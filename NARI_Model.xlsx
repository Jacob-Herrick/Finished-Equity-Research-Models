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C79B4E5F-264C-43BE-93E2-44412CAFAE1C}" xr6:coauthVersionLast="47" xr6:coauthVersionMax="47" xr10:uidLastSave="{00000000-0000-0000-0000-000000000000}"/>
  <bookViews>
    <workbookView xWindow="28680" yWindow="-120" windowWidth="29040" windowHeight="15720" activeTab="1" xr2:uid="{00000000-000D-0000-FFFF-FFFF00000000}"/>
  </bookViews>
  <sheets>
    <sheet name="Main" sheetId="1" r:id="rId1"/>
    <sheet name="Model" sheetId="2" r:id="rId2"/>
    <sheet name="Notes | Quant Analysis" sheetId="7" r:id="rId3"/>
    <sheet name="Product Lines" sheetId="5" r:id="rId4"/>
    <sheet name="Management" sheetId="6" r:id="rId5"/>
    <sheet name="Table Formatting" sheetId="4" r:id="rId6"/>
  </sheets>
  <externalReferences>
    <externalReference r:id="rId7"/>
    <externalReference r:id="rId8"/>
    <externalReference r:id="rId9"/>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65" i="2" l="1" a="1"/>
  <c r="AY65" i="2" s="1"/>
  <c r="AZ56" i="2"/>
  <c r="K197" i="7"/>
  <c r="K194" i="7"/>
  <c r="G175" i="7"/>
  <c r="K196" i="7" s="1"/>
  <c r="S207" i="7" l="1"/>
  <c r="S206" i="7"/>
  <c r="K198" i="7"/>
  <c r="K195" i="7"/>
  <c r="S218" i="7" l="1"/>
  <c r="S210" i="7"/>
  <c r="S217" i="7"/>
  <c r="S209" i="7"/>
  <c r="S216" i="7"/>
  <c r="S208" i="7"/>
  <c r="S215" i="7"/>
  <c r="S211" i="7"/>
  <c r="S214" i="7"/>
  <c r="S213" i="7"/>
  <c r="K199" i="7"/>
  <c r="S212" i="7"/>
  <c r="S219" i="7"/>
  <c r="AP81" i="2"/>
  <c r="AO81" i="2"/>
  <c r="AN81" i="2"/>
  <c r="AM81" i="2"/>
  <c r="AP80" i="2"/>
  <c r="AO80" i="2"/>
  <c r="AN80" i="2"/>
  <c r="AM80" i="2"/>
  <c r="AP79" i="2"/>
  <c r="AO79" i="2"/>
  <c r="AN79" i="2"/>
  <c r="AM79" i="2"/>
  <c r="AP78" i="2"/>
  <c r="AO78" i="2"/>
  <c r="AN78" i="2"/>
  <c r="AM78" i="2"/>
  <c r="AP77" i="2"/>
  <c r="AO77" i="2"/>
  <c r="AN77" i="2"/>
  <c r="AM77" i="2"/>
  <c r="AP76" i="2"/>
  <c r="AO76" i="2"/>
  <c r="AN76" i="2"/>
  <c r="AM76" i="2"/>
  <c r="AP75" i="2"/>
  <c r="AO75" i="2"/>
  <c r="AN75" i="2"/>
  <c r="AM75" i="2"/>
  <c r="T81" i="2"/>
  <c r="S81" i="2"/>
  <c r="R81" i="2"/>
  <c r="Q81" i="2"/>
  <c r="P81" i="2"/>
  <c r="O81" i="2"/>
  <c r="N81" i="2"/>
  <c r="M81" i="2"/>
  <c r="L81" i="2"/>
  <c r="K81" i="2"/>
  <c r="J81" i="2"/>
  <c r="I81" i="2"/>
  <c r="H81" i="2"/>
  <c r="G81" i="2"/>
  <c r="F81" i="2"/>
  <c r="T80" i="2"/>
  <c r="S80" i="2"/>
  <c r="R80" i="2"/>
  <c r="Q80" i="2"/>
  <c r="P80" i="2"/>
  <c r="O80" i="2"/>
  <c r="N80" i="2"/>
  <c r="M80" i="2"/>
  <c r="L80" i="2"/>
  <c r="K80" i="2"/>
  <c r="J80" i="2"/>
  <c r="I80" i="2"/>
  <c r="H80" i="2"/>
  <c r="G80" i="2"/>
  <c r="F80" i="2"/>
  <c r="T79" i="2"/>
  <c r="S79" i="2"/>
  <c r="R79" i="2"/>
  <c r="Q79" i="2"/>
  <c r="P79" i="2"/>
  <c r="O79" i="2"/>
  <c r="N79" i="2"/>
  <c r="M79" i="2"/>
  <c r="L79" i="2"/>
  <c r="K79" i="2"/>
  <c r="J79" i="2"/>
  <c r="I79" i="2"/>
  <c r="H79" i="2"/>
  <c r="G79" i="2"/>
  <c r="F79" i="2"/>
  <c r="T78" i="2"/>
  <c r="S78" i="2"/>
  <c r="R78" i="2"/>
  <c r="Q78" i="2"/>
  <c r="P78" i="2"/>
  <c r="O78" i="2"/>
  <c r="N78" i="2"/>
  <c r="M78" i="2"/>
  <c r="L78" i="2"/>
  <c r="K78" i="2"/>
  <c r="J78" i="2"/>
  <c r="I78" i="2"/>
  <c r="H78" i="2"/>
  <c r="G78" i="2"/>
  <c r="F78" i="2"/>
  <c r="T77" i="2"/>
  <c r="S77" i="2"/>
  <c r="R77" i="2"/>
  <c r="Q77" i="2"/>
  <c r="P77" i="2"/>
  <c r="O77" i="2"/>
  <c r="N77" i="2"/>
  <c r="M77" i="2"/>
  <c r="L77" i="2"/>
  <c r="K77" i="2"/>
  <c r="J77" i="2"/>
  <c r="I77" i="2"/>
  <c r="H77" i="2"/>
  <c r="G77" i="2"/>
  <c r="F77" i="2"/>
  <c r="T76" i="2"/>
  <c r="S76" i="2"/>
  <c r="R76" i="2"/>
  <c r="Q76" i="2"/>
  <c r="P76" i="2"/>
  <c r="O76" i="2"/>
  <c r="N76" i="2"/>
  <c r="M76" i="2"/>
  <c r="L76" i="2"/>
  <c r="K76" i="2"/>
  <c r="J76" i="2"/>
  <c r="I76" i="2"/>
  <c r="H76" i="2"/>
  <c r="G76" i="2"/>
  <c r="F76" i="2"/>
  <c r="T75" i="2"/>
  <c r="S75" i="2"/>
  <c r="R75" i="2"/>
  <c r="Q75" i="2"/>
  <c r="P75" i="2"/>
  <c r="O75" i="2"/>
  <c r="N75" i="2"/>
  <c r="M75" i="2"/>
  <c r="L75" i="2"/>
  <c r="K75" i="2"/>
  <c r="J75" i="2"/>
  <c r="I75" i="2"/>
  <c r="H75" i="2"/>
  <c r="G75" i="2"/>
  <c r="F75" i="2"/>
  <c r="U81" i="2"/>
  <c r="U80" i="2"/>
  <c r="U79" i="2"/>
  <c r="U78" i="2"/>
  <c r="U77" i="2"/>
  <c r="U76" i="2"/>
  <c r="U75" i="2"/>
  <c r="AR35" i="2" l="1"/>
  <c r="AZ63" i="2"/>
  <c r="AZ58" i="2"/>
  <c r="AQ35" i="2"/>
  <c r="AR5" i="2"/>
  <c r="AS5" i="2" s="1"/>
  <c r="AT5" i="2" s="1"/>
  <c r="AU5" i="2" s="1"/>
  <c r="AV5" i="2" s="1"/>
  <c r="AW5" i="2" s="1"/>
  <c r="AX5" i="2" s="1"/>
  <c r="AY5" i="2" s="1"/>
  <c r="AZ5" i="2" s="1"/>
  <c r="BA5" i="2" s="1"/>
  <c r="AQ4" i="2"/>
  <c r="AQ6" i="2" s="1"/>
  <c r="AP41" i="2"/>
  <c r="AZ61" i="2" s="1"/>
  <c r="AO41" i="2"/>
  <c r="AN41" i="2"/>
  <c r="AM41" i="2"/>
  <c r="AO73" i="2"/>
  <c r="AP72" i="2"/>
  <c r="AO72" i="2"/>
  <c r="AN72" i="2"/>
  <c r="AM72" i="2"/>
  <c r="AO71" i="2"/>
  <c r="AP70" i="2"/>
  <c r="AO70" i="2"/>
  <c r="AN70" i="2"/>
  <c r="AM70" i="2"/>
  <c r="AP69" i="2"/>
  <c r="AO69" i="2"/>
  <c r="AN69" i="2"/>
  <c r="AM69" i="2"/>
  <c r="AP68" i="2"/>
  <c r="AO68" i="2"/>
  <c r="AN68" i="2"/>
  <c r="AM68" i="2"/>
  <c r="AP67" i="2"/>
  <c r="AO67" i="2"/>
  <c r="AN67" i="2"/>
  <c r="AM67" i="2"/>
  <c r="AP66" i="2"/>
  <c r="AO66" i="2"/>
  <c r="AN66" i="2"/>
  <c r="AM66" i="2"/>
  <c r="AP65" i="2"/>
  <c r="AO65" i="2"/>
  <c r="AN65" i="2"/>
  <c r="AM65" i="2"/>
  <c r="AP64" i="2"/>
  <c r="AO64" i="2"/>
  <c r="AN64" i="2"/>
  <c r="AM64" i="2"/>
  <c r="AP61" i="2"/>
  <c r="AO61" i="2"/>
  <c r="AN61" i="2"/>
  <c r="AM61" i="2"/>
  <c r="AP60" i="2"/>
  <c r="AO60" i="2"/>
  <c r="AN60" i="2"/>
  <c r="AM60" i="2"/>
  <c r="AP59" i="2"/>
  <c r="AO59" i="2"/>
  <c r="AN59" i="2"/>
  <c r="AM59" i="2"/>
  <c r="AP58" i="2"/>
  <c r="AO58" i="2"/>
  <c r="AN58" i="2"/>
  <c r="AM58" i="2"/>
  <c r="AP57" i="2"/>
  <c r="AO57" i="2"/>
  <c r="AN57" i="2"/>
  <c r="AM57" i="2"/>
  <c r="AP56" i="2"/>
  <c r="AO56" i="2"/>
  <c r="AN56" i="2"/>
  <c r="AM56" i="2"/>
  <c r="AP55" i="2"/>
  <c r="AO55" i="2"/>
  <c r="AN55" i="2"/>
  <c r="AM55" i="2"/>
  <c r="AP54" i="2"/>
  <c r="AO54" i="2"/>
  <c r="AN54" i="2"/>
  <c r="AM54" i="2"/>
  <c r="AP53" i="2"/>
  <c r="AO53" i="2"/>
  <c r="AM53" i="2"/>
  <c r="AP52" i="2"/>
  <c r="AO52" i="2"/>
  <c r="AN52" i="2"/>
  <c r="AM52" i="2"/>
  <c r="AM51" i="2"/>
  <c r="AN51" i="2"/>
  <c r="AO51" i="2"/>
  <c r="AT55" i="2" s="1"/>
  <c r="AP51" i="2"/>
  <c r="AU55" i="2" s="1"/>
  <c r="AM39" i="2"/>
  <c r="AM37" i="2"/>
  <c r="AO33" i="2"/>
  <c r="AN33" i="2"/>
  <c r="AM33" i="2"/>
  <c r="AO32" i="2"/>
  <c r="AN32" i="2"/>
  <c r="AM32" i="2"/>
  <c r="AP31" i="2"/>
  <c r="AO31" i="2"/>
  <c r="AN31" i="2"/>
  <c r="AM31" i="2"/>
  <c r="AO27" i="2"/>
  <c r="AN27" i="2"/>
  <c r="AM27" i="2"/>
  <c r="D85" i="2"/>
  <c r="D84" i="2"/>
  <c r="E84" i="2" s="1"/>
  <c r="F84" i="2" s="1"/>
  <c r="E85" i="2"/>
  <c r="H85" i="2"/>
  <c r="I85" i="2" s="1"/>
  <c r="J85" i="2" s="1"/>
  <c r="H84" i="2"/>
  <c r="I84" i="2" s="1"/>
  <c r="J84" i="2" s="1"/>
  <c r="F85" i="2"/>
  <c r="L85" i="2"/>
  <c r="M85" i="2" s="1"/>
  <c r="L84" i="2"/>
  <c r="M84" i="2" s="1"/>
  <c r="N84" i="2" s="1"/>
  <c r="I61" i="2"/>
  <c r="J53" i="2"/>
  <c r="AN53" i="2" s="1"/>
  <c r="F37" i="2"/>
  <c r="F36" i="2"/>
  <c r="AM36" i="2" s="1"/>
  <c r="F35" i="2"/>
  <c r="AM35" i="2" s="1"/>
  <c r="F30" i="2"/>
  <c r="AM30" i="2" s="1"/>
  <c r="AM46" i="2" s="1"/>
  <c r="F29" i="2"/>
  <c r="AM29" i="2" s="1"/>
  <c r="AM45" i="2" s="1"/>
  <c r="F27" i="2"/>
  <c r="F26" i="2"/>
  <c r="AM26" i="2" s="1"/>
  <c r="J39" i="2"/>
  <c r="AN39" i="2" s="1"/>
  <c r="J37" i="2"/>
  <c r="AN37" i="2" s="1"/>
  <c r="J36" i="2"/>
  <c r="AN36" i="2" s="1"/>
  <c r="J35" i="2"/>
  <c r="AN35" i="2" s="1"/>
  <c r="J30" i="2"/>
  <c r="AN30" i="2" s="1"/>
  <c r="J29" i="2"/>
  <c r="AN29" i="2" s="1"/>
  <c r="AN45" i="2" s="1"/>
  <c r="J27" i="2"/>
  <c r="J26" i="2"/>
  <c r="AN26" i="2" s="1"/>
  <c r="N39" i="2"/>
  <c r="AO39" i="2" s="1"/>
  <c r="N37" i="2"/>
  <c r="AO37" i="2" s="1"/>
  <c r="N36" i="2"/>
  <c r="AO36" i="2" s="1"/>
  <c r="N35" i="2"/>
  <c r="AO35" i="2" s="1"/>
  <c r="N30" i="2"/>
  <c r="AO30" i="2" s="1"/>
  <c r="AO46" i="2" s="1"/>
  <c r="N29" i="2"/>
  <c r="AO29" i="2" s="1"/>
  <c r="AO45" i="2" s="1"/>
  <c r="N27" i="2"/>
  <c r="N26" i="2"/>
  <c r="AO26" i="2" s="1"/>
  <c r="R39" i="2"/>
  <c r="AP39" i="2" s="1"/>
  <c r="R37" i="2"/>
  <c r="AP37" i="2" s="1"/>
  <c r="R36" i="2"/>
  <c r="AP36" i="2" s="1"/>
  <c r="R35" i="2"/>
  <c r="AP35" i="2" s="1"/>
  <c r="R33" i="2"/>
  <c r="AP33" i="2" s="1"/>
  <c r="R32" i="2"/>
  <c r="AP32" i="2" s="1"/>
  <c r="R31" i="2"/>
  <c r="R30" i="2"/>
  <c r="AP30" i="2" s="1"/>
  <c r="R29" i="2"/>
  <c r="AP29" i="2" s="1"/>
  <c r="R27" i="2"/>
  <c r="AP27" i="2" s="1"/>
  <c r="P85" i="2"/>
  <c r="Q85" i="2" s="1"/>
  <c r="P84" i="2"/>
  <c r="S86" i="2"/>
  <c r="O86" i="2"/>
  <c r="K86" i="2"/>
  <c r="G86" i="2"/>
  <c r="C86" i="2"/>
  <c r="T85" i="2"/>
  <c r="U85" i="2" s="1"/>
  <c r="T84" i="2"/>
  <c r="T87" i="2"/>
  <c r="S87" i="2"/>
  <c r="R87" i="2"/>
  <c r="Q87" i="2"/>
  <c r="P87" i="2"/>
  <c r="O87" i="2"/>
  <c r="N87" i="2"/>
  <c r="M87" i="2"/>
  <c r="L87" i="2"/>
  <c r="AO87" i="2" s="1"/>
  <c r="K87" i="2"/>
  <c r="J87" i="2"/>
  <c r="I87" i="2"/>
  <c r="H87" i="2"/>
  <c r="G87" i="2"/>
  <c r="AN87" i="2" s="1"/>
  <c r="F87" i="2"/>
  <c r="E87" i="2"/>
  <c r="D87" i="2"/>
  <c r="AM87" i="2" s="1"/>
  <c r="C87" i="2"/>
  <c r="U87" i="2"/>
  <c r="M46" i="2"/>
  <c r="L46" i="2"/>
  <c r="K46" i="2"/>
  <c r="I46" i="2"/>
  <c r="H46" i="2"/>
  <c r="G46" i="2"/>
  <c r="E46" i="2"/>
  <c r="D46" i="2"/>
  <c r="C46" i="2"/>
  <c r="M45" i="2"/>
  <c r="L45" i="2"/>
  <c r="K45" i="2"/>
  <c r="I45" i="2"/>
  <c r="H45" i="2"/>
  <c r="G45" i="2"/>
  <c r="E45" i="2"/>
  <c r="D45" i="2"/>
  <c r="C45" i="2"/>
  <c r="T71" i="2"/>
  <c r="T73" i="2" s="1"/>
  <c r="S71" i="2"/>
  <c r="S73" i="2" s="1"/>
  <c r="R71" i="2"/>
  <c r="R73" i="2" s="1"/>
  <c r="AP73" i="2" s="1"/>
  <c r="Q71" i="2"/>
  <c r="Q73" i="2" s="1"/>
  <c r="P71" i="2"/>
  <c r="P73" i="2" s="1"/>
  <c r="O71" i="2"/>
  <c r="O73" i="2" s="1"/>
  <c r="N71" i="2"/>
  <c r="N73" i="2" s="1"/>
  <c r="M71" i="2"/>
  <c r="M73" i="2" s="1"/>
  <c r="L71" i="2"/>
  <c r="L73" i="2" s="1"/>
  <c r="K71" i="2"/>
  <c r="K73" i="2" s="1"/>
  <c r="J71" i="2"/>
  <c r="J73" i="2" s="1"/>
  <c r="AN73" i="2" s="1"/>
  <c r="I71" i="2"/>
  <c r="I73" i="2" s="1"/>
  <c r="H71" i="2"/>
  <c r="H73" i="2" s="1"/>
  <c r="G71" i="2"/>
  <c r="G73" i="2" s="1"/>
  <c r="F71" i="2"/>
  <c r="F73" i="2" s="1"/>
  <c r="AM73" i="2" s="1"/>
  <c r="T62" i="2"/>
  <c r="S62" i="2"/>
  <c r="R62" i="2"/>
  <c r="AP62" i="2" s="1"/>
  <c r="Q62" i="2"/>
  <c r="P62" i="2"/>
  <c r="O62" i="2"/>
  <c r="N62" i="2"/>
  <c r="AO62" i="2" s="1"/>
  <c r="M62" i="2"/>
  <c r="L62" i="2"/>
  <c r="K62" i="2"/>
  <c r="J62" i="2"/>
  <c r="AN62" i="2" s="1"/>
  <c r="I62" i="2"/>
  <c r="H62" i="2"/>
  <c r="G62" i="2"/>
  <c r="F62" i="2"/>
  <c r="AM62" i="2" s="1"/>
  <c r="U62" i="2"/>
  <c r="U71" i="2"/>
  <c r="U73" i="2" s="1"/>
  <c r="M28" i="2"/>
  <c r="M34" i="2" s="1"/>
  <c r="M47" i="2" s="1"/>
  <c r="L28" i="2"/>
  <c r="L34" i="2" s="1"/>
  <c r="L47" i="2" s="1"/>
  <c r="K28" i="2"/>
  <c r="K34" i="2" s="1"/>
  <c r="K38" i="2" s="1"/>
  <c r="I28" i="2"/>
  <c r="I34" i="2" s="1"/>
  <c r="I38" i="2" s="1"/>
  <c r="H28" i="2"/>
  <c r="H34" i="2" s="1"/>
  <c r="H38" i="2" s="1"/>
  <c r="G28" i="2"/>
  <c r="G34" i="2" s="1"/>
  <c r="G38" i="2" s="1"/>
  <c r="E28" i="2"/>
  <c r="E34" i="2" s="1"/>
  <c r="E47" i="2" s="1"/>
  <c r="D28" i="2"/>
  <c r="D34" i="2" s="1"/>
  <c r="D47" i="2" s="1"/>
  <c r="C28" i="2"/>
  <c r="C34" i="2" s="1"/>
  <c r="C38" i="2" s="1"/>
  <c r="T20" i="2"/>
  <c r="S20" i="2"/>
  <c r="T19" i="2"/>
  <c r="S19" i="2"/>
  <c r="U20" i="2"/>
  <c r="U19" i="2"/>
  <c r="R16" i="2"/>
  <c r="AP16" i="2" s="1"/>
  <c r="R15" i="2"/>
  <c r="AP15" i="2" s="1"/>
  <c r="U17" i="2"/>
  <c r="U24" i="2" s="1"/>
  <c r="T17" i="2"/>
  <c r="S17" i="2"/>
  <c r="S23" i="2" s="1"/>
  <c r="Q17" i="2"/>
  <c r="Q23" i="2" s="1"/>
  <c r="P17" i="2"/>
  <c r="P23" i="2" s="1"/>
  <c r="O17" i="2"/>
  <c r="O23" i="2" s="1"/>
  <c r="T12" i="2"/>
  <c r="S12" i="2"/>
  <c r="T11" i="2"/>
  <c r="S11" i="2"/>
  <c r="U12" i="2"/>
  <c r="U11" i="2"/>
  <c r="R5" i="2"/>
  <c r="AP5" i="2" s="1"/>
  <c r="R4" i="2"/>
  <c r="AP4" i="2" s="1"/>
  <c r="T6" i="2"/>
  <c r="S6" i="2"/>
  <c r="S26" i="2" s="1"/>
  <c r="S28" i="2" s="1"/>
  <c r="S34" i="2" s="1"/>
  <c r="S38" i="2" s="1"/>
  <c r="Q6" i="2"/>
  <c r="Q9" i="2" s="1"/>
  <c r="P6" i="2"/>
  <c r="P9" i="2" s="1"/>
  <c r="O6" i="2"/>
  <c r="O8" i="2" s="1"/>
  <c r="U6" i="2"/>
  <c r="U9" i="2" s="1"/>
  <c r="AQ26" i="2" l="1"/>
  <c r="AN46" i="2"/>
  <c r="AM71" i="2"/>
  <c r="AM84" i="2"/>
  <c r="AO84" i="2"/>
  <c r="AQ12" i="2"/>
  <c r="T86" i="2"/>
  <c r="AR4" i="2"/>
  <c r="AS4" i="2" s="1"/>
  <c r="AS6" i="2" s="1"/>
  <c r="AS9" i="2" s="1"/>
  <c r="AP87" i="2"/>
  <c r="AM85" i="2"/>
  <c r="AW55" i="2"/>
  <c r="AQ8" i="2"/>
  <c r="AQ9" i="2"/>
  <c r="AN71" i="2"/>
  <c r="AN85" i="2"/>
  <c r="AN84" i="2"/>
  <c r="AP71" i="2"/>
  <c r="AM28" i="2"/>
  <c r="AM44" i="2" s="1"/>
  <c r="R85" i="2"/>
  <c r="AP85" i="2" s="1"/>
  <c r="T88" i="2"/>
  <c r="K88" i="2"/>
  <c r="C88" i="2"/>
  <c r="L86" i="2"/>
  <c r="N85" i="2"/>
  <c r="AO85" i="2" s="1"/>
  <c r="G88" i="2"/>
  <c r="J86" i="2"/>
  <c r="J88" i="2" s="1"/>
  <c r="I86" i="2"/>
  <c r="I88" i="2" s="1"/>
  <c r="D86" i="2"/>
  <c r="H86" i="2"/>
  <c r="S45" i="2"/>
  <c r="F28" i="2"/>
  <c r="F44" i="2" s="1"/>
  <c r="F45" i="2"/>
  <c r="D38" i="2"/>
  <c r="D48" i="2" s="1"/>
  <c r="F46" i="2"/>
  <c r="G47" i="2"/>
  <c r="J45" i="2"/>
  <c r="I44" i="2"/>
  <c r="L38" i="2"/>
  <c r="L48" i="2" s="1"/>
  <c r="N46" i="2"/>
  <c r="N45" i="2"/>
  <c r="N28" i="2"/>
  <c r="N44" i="2" s="1"/>
  <c r="J28" i="2"/>
  <c r="AN28" i="2" s="1"/>
  <c r="AN44" i="2" s="1"/>
  <c r="J46" i="2"/>
  <c r="S88" i="2"/>
  <c r="U84" i="2"/>
  <c r="U86" i="2" s="1"/>
  <c r="U88" i="2" s="1"/>
  <c r="S44" i="2"/>
  <c r="Q84" i="2"/>
  <c r="Q86" i="2" s="1"/>
  <c r="Q88" i="2" s="1"/>
  <c r="P86" i="2"/>
  <c r="O88" i="2"/>
  <c r="I48" i="2"/>
  <c r="I40" i="2"/>
  <c r="I42" i="2" s="1"/>
  <c r="H48" i="2"/>
  <c r="H40" i="2"/>
  <c r="H83" i="2" s="1"/>
  <c r="C40" i="2"/>
  <c r="C48" i="2"/>
  <c r="G48" i="2"/>
  <c r="G40" i="2"/>
  <c r="S40" i="2"/>
  <c r="S83" i="2" s="1"/>
  <c r="S48" i="2"/>
  <c r="K40" i="2"/>
  <c r="K48" i="2"/>
  <c r="L40" i="2"/>
  <c r="L83" i="2" s="1"/>
  <c r="C44" i="2"/>
  <c r="K44" i="2"/>
  <c r="H47" i="2"/>
  <c r="D44" i="2"/>
  <c r="L44" i="2"/>
  <c r="S46" i="2"/>
  <c r="I47" i="2"/>
  <c r="S47" i="2"/>
  <c r="E44" i="2"/>
  <c r="M44" i="2"/>
  <c r="M38" i="2"/>
  <c r="C47" i="2"/>
  <c r="K47" i="2"/>
  <c r="E38" i="2"/>
  <c r="G44" i="2"/>
  <c r="H44" i="2"/>
  <c r="T21" i="2"/>
  <c r="T23" i="2"/>
  <c r="T13" i="2"/>
  <c r="Q24" i="2"/>
  <c r="U26" i="2"/>
  <c r="T24" i="2"/>
  <c r="P8" i="2"/>
  <c r="O26" i="2"/>
  <c r="S24" i="2"/>
  <c r="Q8" i="2"/>
  <c r="T26" i="2"/>
  <c r="S21" i="2"/>
  <c r="T9" i="2"/>
  <c r="S13" i="2"/>
  <c r="T8" i="2"/>
  <c r="U23" i="2"/>
  <c r="O24" i="2"/>
  <c r="P26" i="2"/>
  <c r="U8" i="2"/>
  <c r="O9" i="2"/>
  <c r="U21" i="2"/>
  <c r="P24" i="2"/>
  <c r="Q26" i="2"/>
  <c r="S9" i="2"/>
  <c r="S8" i="2"/>
  <c r="U13" i="2"/>
  <c r="R17" i="2"/>
  <c r="R23" i="2" s="1"/>
  <c r="R6" i="2"/>
  <c r="AP6" i="2" s="1"/>
  <c r="AP9" i="2" s="1"/>
  <c r="AN3" i="2"/>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7" i="1"/>
  <c r="C10" i="1" s="1"/>
  <c r="AQ13" i="2" l="1"/>
  <c r="AQ30" i="2"/>
  <c r="AQ29" i="2"/>
  <c r="AQ27" i="2"/>
  <c r="AQ28" i="2" s="1"/>
  <c r="AQ34" i="2" s="1"/>
  <c r="AP17" i="2"/>
  <c r="AP8" i="2"/>
  <c r="AR6" i="2"/>
  <c r="AR9" i="2" s="1"/>
  <c r="AT4" i="2"/>
  <c r="AS8" i="2"/>
  <c r="AS26" i="2"/>
  <c r="G83" i="2"/>
  <c r="P88" i="2"/>
  <c r="L88" i="2"/>
  <c r="C83" i="2"/>
  <c r="AO28" i="2"/>
  <c r="AO44" i="2" s="1"/>
  <c r="K83" i="2"/>
  <c r="D88" i="2"/>
  <c r="H88" i="2"/>
  <c r="AN88" i="2" s="1"/>
  <c r="AN86" i="2"/>
  <c r="R84" i="2"/>
  <c r="AP84" i="2" s="1"/>
  <c r="N86" i="2"/>
  <c r="N88" i="2" s="1"/>
  <c r="M86" i="2"/>
  <c r="M88" i="2" s="1"/>
  <c r="F34" i="2"/>
  <c r="F86" i="2"/>
  <c r="F88" i="2" s="1"/>
  <c r="E86" i="2"/>
  <c r="E88" i="2" s="1"/>
  <c r="D40" i="2"/>
  <c r="D83" i="2" s="1"/>
  <c r="I49" i="2"/>
  <c r="I83" i="2"/>
  <c r="N34" i="2"/>
  <c r="J34" i="2"/>
  <c r="AN34" i="2" s="1"/>
  <c r="AN47" i="2" s="1"/>
  <c r="J44" i="2"/>
  <c r="R86" i="2"/>
  <c r="R88" i="2" s="1"/>
  <c r="AP88" i="2" s="1"/>
  <c r="S49" i="2"/>
  <c r="S42" i="2"/>
  <c r="O28" i="2"/>
  <c r="O46" i="2"/>
  <c r="O45" i="2"/>
  <c r="E48" i="2"/>
  <c r="E40" i="2"/>
  <c r="E83" i="2" s="1"/>
  <c r="T28" i="2"/>
  <c r="T34" i="2" s="1"/>
  <c r="T46" i="2"/>
  <c r="T45" i="2"/>
  <c r="M48" i="2"/>
  <c r="M40" i="2"/>
  <c r="M83" i="2" s="1"/>
  <c r="G42" i="2"/>
  <c r="G49" i="2"/>
  <c r="H42" i="2"/>
  <c r="H49" i="2"/>
  <c r="P28" i="2"/>
  <c r="P34" i="2" s="1"/>
  <c r="P45" i="2"/>
  <c r="P46" i="2"/>
  <c r="L42" i="2"/>
  <c r="L49" i="2"/>
  <c r="U28" i="2"/>
  <c r="U46" i="2"/>
  <c r="U45" i="2"/>
  <c r="C49" i="2"/>
  <c r="C42" i="2"/>
  <c r="Q28" i="2"/>
  <c r="Q44" i="2" s="1"/>
  <c r="Q45" i="2"/>
  <c r="Q46" i="2"/>
  <c r="K42" i="2"/>
  <c r="K49" i="2"/>
  <c r="R24" i="2"/>
  <c r="R26" i="2"/>
  <c r="AP26" i="2" s="1"/>
  <c r="R9" i="2"/>
  <c r="R8" i="2"/>
  <c r="AR13" i="2" l="1"/>
  <c r="AR26" i="2"/>
  <c r="AR29" i="2" s="1"/>
  <c r="AS13" i="2"/>
  <c r="AR8" i="2"/>
  <c r="AQ38" i="2"/>
  <c r="AQ40" i="2" s="1"/>
  <c r="AQ47" i="2"/>
  <c r="AM88" i="2"/>
  <c r="AP24" i="2"/>
  <c r="AP23" i="2"/>
  <c r="AO88" i="2"/>
  <c r="P44" i="2"/>
  <c r="AU4" i="2"/>
  <c r="AT6" i="2"/>
  <c r="AS29" i="2"/>
  <c r="AS27" i="2"/>
  <c r="AS28" i="2" s="1"/>
  <c r="AS30" i="2"/>
  <c r="AR30" i="2"/>
  <c r="AR27" i="2"/>
  <c r="AR28" i="2" s="1"/>
  <c r="F47" i="2"/>
  <c r="AM34" i="2"/>
  <c r="AM47" i="2" s="1"/>
  <c r="AM86" i="2"/>
  <c r="N38" i="2"/>
  <c r="AO34" i="2"/>
  <c r="AO47" i="2" s="1"/>
  <c r="AO86" i="2"/>
  <c r="AP46" i="2"/>
  <c r="AP45" i="2"/>
  <c r="AP86" i="2"/>
  <c r="F38" i="2"/>
  <c r="Q34" i="2"/>
  <c r="Q47" i="2" s="1"/>
  <c r="D42" i="2"/>
  <c r="D49" i="2"/>
  <c r="N40" i="2"/>
  <c r="N83" i="2" s="1"/>
  <c r="AO83" i="2" s="1"/>
  <c r="N47" i="2"/>
  <c r="J38" i="2"/>
  <c r="AN38" i="2" s="1"/>
  <c r="AN48" i="2" s="1"/>
  <c r="J47" i="2"/>
  <c r="M49" i="2"/>
  <c r="M42" i="2"/>
  <c r="E49" i="2"/>
  <c r="E42" i="2"/>
  <c r="R28" i="2"/>
  <c r="AP28" i="2" s="1"/>
  <c r="AP44" i="2" s="1"/>
  <c r="R45" i="2"/>
  <c r="R46" i="2"/>
  <c r="O34" i="2"/>
  <c r="O44" i="2"/>
  <c r="U34" i="2"/>
  <c r="U44" i="2"/>
  <c r="T44" i="2"/>
  <c r="P38" i="2"/>
  <c r="P47" i="2"/>
  <c r="T47" i="2"/>
  <c r="T38" i="2"/>
  <c r="AS34" i="2" l="1"/>
  <c r="AS47" i="2" s="1"/>
  <c r="AQ42" i="2"/>
  <c r="AQ49" i="2"/>
  <c r="AT9" i="2"/>
  <c r="AT26" i="2"/>
  <c r="AT13" i="2"/>
  <c r="AT8" i="2"/>
  <c r="AR34" i="2"/>
  <c r="AR47" i="2" s="1"/>
  <c r="AV4" i="2"/>
  <c r="AU6" i="2"/>
  <c r="AU8" i="2" s="1"/>
  <c r="F48" i="2"/>
  <c r="AM38" i="2"/>
  <c r="AM48" i="2" s="1"/>
  <c r="AO40" i="2"/>
  <c r="AO49" i="2" s="1"/>
  <c r="N48" i="2"/>
  <c r="AO38" i="2"/>
  <c r="AO48" i="2" s="1"/>
  <c r="Q38" i="2"/>
  <c r="Q40" i="2" s="1"/>
  <c r="Q83" i="2" s="1"/>
  <c r="F40" i="2"/>
  <c r="F42" i="2" s="1"/>
  <c r="AM42" i="2" s="1"/>
  <c r="N42" i="2"/>
  <c r="AO42" i="2" s="1"/>
  <c r="N49" i="2"/>
  <c r="J48" i="2"/>
  <c r="J40" i="2"/>
  <c r="AN40" i="2" s="1"/>
  <c r="AN49" i="2" s="1"/>
  <c r="R34" i="2"/>
  <c r="AP34" i="2" s="1"/>
  <c r="R44" i="2"/>
  <c r="U38" i="2"/>
  <c r="U47" i="2"/>
  <c r="O38" i="2"/>
  <c r="O47" i="2"/>
  <c r="P48" i="2"/>
  <c r="P40" i="2"/>
  <c r="P83" i="2" s="1"/>
  <c r="T48" i="2"/>
  <c r="T40" i="2"/>
  <c r="T83" i="2" s="1"/>
  <c r="AP47" i="2" l="1"/>
  <c r="F49" i="2"/>
  <c r="AT29" i="2"/>
  <c r="AT27" i="2"/>
  <c r="AT28" i="2" s="1"/>
  <c r="AT30" i="2"/>
  <c r="AU9" i="2"/>
  <c r="AU13" i="2"/>
  <c r="AU26" i="2"/>
  <c r="AW4" i="2"/>
  <c r="AV6" i="2"/>
  <c r="F83" i="2"/>
  <c r="AM83" i="2" s="1"/>
  <c r="AM40" i="2"/>
  <c r="AM49" i="2" s="1"/>
  <c r="Q48" i="2"/>
  <c r="J49" i="2"/>
  <c r="J83" i="2"/>
  <c r="AN83" i="2" s="1"/>
  <c r="J42" i="2"/>
  <c r="AN42" i="2" s="1"/>
  <c r="O48" i="2"/>
  <c r="O40" i="2"/>
  <c r="U48" i="2"/>
  <c r="U40" i="2"/>
  <c r="Q49" i="2"/>
  <c r="Q42" i="2"/>
  <c r="R38" i="2"/>
  <c r="AP38" i="2" s="1"/>
  <c r="AP48" i="2" s="1"/>
  <c r="AR55" i="2" s="1"/>
  <c r="AR56" i="2" s="1"/>
  <c r="R47" i="2"/>
  <c r="P42" i="2"/>
  <c r="P49" i="2"/>
  <c r="T49" i="2"/>
  <c r="T42" i="2"/>
  <c r="AU27" i="2" l="1"/>
  <c r="AU28" i="2" s="1"/>
  <c r="AU29" i="2"/>
  <c r="AU30" i="2"/>
  <c r="AX4" i="2"/>
  <c r="AW6" i="2"/>
  <c r="AV9" i="2"/>
  <c r="AV26" i="2"/>
  <c r="AV13" i="2"/>
  <c r="AT34" i="2"/>
  <c r="AT47" i="2" s="1"/>
  <c r="AV8" i="2"/>
  <c r="O83" i="2"/>
  <c r="U83" i="2"/>
  <c r="U42" i="2"/>
  <c r="U49" i="2"/>
  <c r="O49" i="2"/>
  <c r="O42" i="2"/>
  <c r="R40" i="2"/>
  <c r="R83" i="2" s="1"/>
  <c r="R48" i="2"/>
  <c r="AW9" i="2" l="1"/>
  <c r="AW26" i="2"/>
  <c r="AW13" i="2"/>
  <c r="AW8" i="2"/>
  <c r="AY4" i="2"/>
  <c r="AX6" i="2"/>
  <c r="AX8" i="2" s="1"/>
  <c r="AU34" i="2"/>
  <c r="AU47" i="2" s="1"/>
  <c r="AV27" i="2"/>
  <c r="AV28" i="2" s="1"/>
  <c r="AV30" i="2"/>
  <c r="AV29" i="2"/>
  <c r="AP40" i="2"/>
  <c r="AP49" i="2" s="1"/>
  <c r="AP83" i="2"/>
  <c r="R49" i="2"/>
  <c r="R42" i="2"/>
  <c r="AP42" i="2" s="1"/>
  <c r="AX9" i="2" l="1"/>
  <c r="AX26" i="2"/>
  <c r="AX13" i="2"/>
  <c r="AV34" i="2"/>
  <c r="AV47" i="2" s="1"/>
  <c r="AW30" i="2"/>
  <c r="AW29" i="2"/>
  <c r="AW27" i="2"/>
  <c r="AW28" i="2" s="1"/>
  <c r="AZ4" i="2"/>
  <c r="AY6" i="2"/>
  <c r="AW34" i="2" l="1"/>
  <c r="AW47" i="2" s="1"/>
  <c r="BA4" i="2"/>
  <c r="AZ6" i="2"/>
  <c r="AZ8" i="2" s="1"/>
  <c r="AX30" i="2"/>
  <c r="AX29" i="2"/>
  <c r="AX27" i="2"/>
  <c r="AX28" i="2" s="1"/>
  <c r="AY9" i="2"/>
  <c r="AY13" i="2"/>
  <c r="AY26" i="2"/>
  <c r="AY8" i="2"/>
  <c r="AX34" i="2" l="1"/>
  <c r="AX47" i="2" s="1"/>
  <c r="AY30" i="2"/>
  <c r="AY29" i="2"/>
  <c r="AY27" i="2"/>
  <c r="AY28" i="2" s="1"/>
  <c r="AZ9" i="2"/>
  <c r="AZ13" i="2"/>
  <c r="AZ26" i="2"/>
  <c r="BA6" i="2"/>
  <c r="AY34" i="2" l="1"/>
  <c r="AY47" i="2" s="1"/>
  <c r="AZ30" i="2"/>
  <c r="AZ29" i="2"/>
  <c r="AZ27" i="2"/>
  <c r="AZ28" i="2" s="1"/>
  <c r="BA9" i="2"/>
  <c r="BA26" i="2"/>
  <c r="BA13" i="2"/>
  <c r="BA8" i="2"/>
  <c r="AZ34" i="2" l="1"/>
  <c r="AZ47" i="2" s="1"/>
  <c r="BA29" i="2"/>
  <c r="BA27" i="2"/>
  <c r="BA28" i="2" s="1"/>
  <c r="BA30" i="2"/>
  <c r="BA34" i="2" l="1"/>
  <c r="BA47" i="2" s="1"/>
  <c r="AR38" i="2" l="1"/>
  <c r="AR39" i="2" l="1"/>
  <c r="AR40" i="2" s="1"/>
  <c r="AR42" i="2" l="1"/>
  <c r="AR49" i="2"/>
  <c r="AR51" i="2"/>
  <c r="AS35" i="2" s="1"/>
  <c r="AS38" i="2" s="1"/>
  <c r="AS39" i="2" l="1"/>
  <c r="AS40" i="2" s="1"/>
  <c r="AS49" i="2" l="1"/>
  <c r="AS42" i="2"/>
  <c r="AS51" i="2"/>
  <c r="AT35" i="2" s="1"/>
  <c r="AT38" i="2" s="1"/>
  <c r="AT39" i="2" s="1"/>
  <c r="AT40" i="2" s="1"/>
  <c r="AT42" i="2" l="1"/>
  <c r="AT51" i="2"/>
  <c r="AU35" i="2" s="1"/>
  <c r="AU38" i="2" s="1"/>
  <c r="AT49" i="2"/>
  <c r="AU39" i="2" l="1"/>
  <c r="AU40" i="2" s="1"/>
  <c r="AU42" i="2" l="1"/>
  <c r="AU49" i="2"/>
  <c r="AU51" i="2"/>
  <c r="AV35" i="2" s="1"/>
  <c r="AV38" i="2" s="1"/>
  <c r="AV39" i="2" l="1"/>
  <c r="AV40" i="2" s="1"/>
  <c r="AV42" i="2" s="1"/>
  <c r="AV49" i="2" l="1"/>
  <c r="AV51" i="2"/>
  <c r="AW35" i="2" s="1"/>
  <c r="AW38" i="2" s="1"/>
  <c r="AW39" i="2" l="1"/>
  <c r="AW40" i="2" s="1"/>
  <c r="AW42" i="2" s="1"/>
  <c r="AW49" i="2" l="1"/>
  <c r="AW51" i="2"/>
  <c r="AX35" i="2" s="1"/>
  <c r="AX38" i="2" s="1"/>
  <c r="AX39" i="2" l="1"/>
  <c r="AX40" i="2" s="1"/>
  <c r="AX42" i="2" s="1"/>
  <c r="AX49" i="2" l="1"/>
  <c r="AX51" i="2"/>
  <c r="AY35" i="2" s="1"/>
  <c r="AY38" i="2" s="1"/>
  <c r="AY39" i="2" l="1"/>
  <c r="AY40" i="2" s="1"/>
  <c r="AY42" i="2" s="1"/>
  <c r="AY49" i="2" l="1"/>
  <c r="AY51" i="2"/>
  <c r="AZ35" i="2" s="1"/>
  <c r="AZ38" i="2" s="1"/>
  <c r="AZ39" i="2" l="1"/>
  <c r="AZ40" i="2" s="1"/>
  <c r="AZ42" i="2" s="1"/>
  <c r="AZ49" i="2" l="1"/>
  <c r="AZ51" i="2"/>
  <c r="BA35" i="2" s="1"/>
  <c r="BA38" i="2" s="1"/>
  <c r="BA39" i="2" l="1"/>
  <c r="BA40" i="2" s="1"/>
  <c r="BB40" i="2" l="1"/>
  <c r="BC40" i="2" s="1"/>
  <c r="BD40" i="2" s="1"/>
  <c r="BE40" i="2" s="1"/>
  <c r="BF40" i="2" s="1"/>
  <c r="BG40" i="2" s="1"/>
  <c r="BH40" i="2" s="1"/>
  <c r="BI40" i="2" s="1"/>
  <c r="BJ40" i="2" s="1"/>
  <c r="BK40" i="2" s="1"/>
  <c r="BL40" i="2" s="1"/>
  <c r="BM40" i="2" s="1"/>
  <c r="BN40" i="2" s="1"/>
  <c r="BO40" i="2" s="1"/>
  <c r="BP40" i="2" s="1"/>
  <c r="BQ40" i="2" s="1"/>
  <c r="BR40" i="2" s="1"/>
  <c r="BS40" i="2" s="1"/>
  <c r="BT40" i="2" s="1"/>
  <c r="BU40" i="2" s="1"/>
  <c r="BV40" i="2" s="1"/>
  <c r="BW40" i="2" s="1"/>
  <c r="BX40" i="2" s="1"/>
  <c r="BY40" i="2" s="1"/>
  <c r="BZ40" i="2" s="1"/>
  <c r="CA40" i="2" s="1"/>
  <c r="CB40" i="2" s="1"/>
  <c r="CC40" i="2" s="1"/>
  <c r="CD40" i="2" s="1"/>
  <c r="CE40" i="2" s="1"/>
  <c r="CF40" i="2" s="1"/>
  <c r="CG40" i="2" s="1"/>
  <c r="CH40" i="2" s="1"/>
  <c r="CI40" i="2" s="1"/>
  <c r="CJ40" i="2" s="1"/>
  <c r="CK40" i="2" s="1"/>
  <c r="CL40" i="2" s="1"/>
  <c r="CM40" i="2" s="1"/>
  <c r="CN40" i="2" s="1"/>
  <c r="CO40" i="2" s="1"/>
  <c r="CP40" i="2" s="1"/>
  <c r="CQ40" i="2" s="1"/>
  <c r="CR40" i="2" s="1"/>
  <c r="CS40" i="2" s="1"/>
  <c r="CT40" i="2" s="1"/>
  <c r="CU40" i="2" s="1"/>
  <c r="CV40" i="2" s="1"/>
  <c r="CW40" i="2" s="1"/>
  <c r="CX40" i="2" s="1"/>
  <c r="CY40" i="2" s="1"/>
  <c r="AZ60" i="2" s="1"/>
  <c r="AZ62" i="2" s="1"/>
  <c r="AZ64" i="2" s="1"/>
  <c r="BA64" i="2" s="1"/>
  <c r="BA42" i="2"/>
  <c r="BA49" i="2"/>
  <c r="BA5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<sst xmlns="http://schemas.openxmlformats.org/spreadsheetml/2006/main" count="710" uniqueCount="672">
  <si>
    <t>Master</t>
  </si>
  <si>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</si>
  <si>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</si>
  <si>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</si>
  <si>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</si>
  <si>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</si>
  <si>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</si>
  <si>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</si>
  <si>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</si>
  <si>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</si>
  <si>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</si>
  <si>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</si>
  <si>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</si>
  <si>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</si>
  <si>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</si>
  <si>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</si>
  <si>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</si>
  <si>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</si>
  <si>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</si>
  <si>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Total Revenues, Net Income, FCF</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</si>
  <si>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</si>
  <si>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</si>
  <si>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</si>
  <si>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</si>
  <si>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</si>
  <si>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</si>
  <si>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</si>
  <si>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</si>
  <si>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</si>
  <si>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</si>
  <si>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</si>
  <si>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</si>
  <si>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</si>
  <si>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</si>
  <si>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</si>
  <si>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</si>
  <si>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</si>
  <si>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</si>
  <si>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</si>
  <si>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</si>
  <si>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</si>
  <si>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</si>
  <si>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</si>
  <si>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</si>
  <si>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</si>
  <si>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</si>
  <si>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</si>
  <si>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</si>
  <si>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</si>
  <si>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</si>
  <si>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</si>
  <si>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</si>
  <si>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Revenues</t>
  </si>
  <si>
    <t>U.S. % of Revenues</t>
  </si>
  <si>
    <t>U.S.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</si>
  <si>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</si>
  <si>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</si>
  <si>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</si>
  <si>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</si>
  <si>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</si>
  <si>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</si>
  <si>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</si>
  <si>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</si>
  <si>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</si>
  <si>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</si>
  <si>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</si>
  <si>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</si>
  <si>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</si>
  <si>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</si>
  <si>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</si>
  <si>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</si>
  <si>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</si>
  <si>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</si>
  <si>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</si>
  <si>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CapEx, net</t>
  </si>
  <si>
    <t>FCF</t>
  </si>
  <si>
    <t>SC</t>
  </si>
  <si>
    <t>General Notes/Observations (Updated Q1'25)</t>
  </si>
  <si>
    <t>Phone:</t>
  </si>
  <si>
    <t xml:space="preserve">Email: </t>
  </si>
  <si>
    <t>https://www.sec.gov/edgar/browse/?CIK=310764&amp;owner=exclude</t>
  </si>
  <si>
    <t>Earnings Calls</t>
  </si>
  <si>
    <t>https://app.godelterminal.com/</t>
  </si>
  <si>
    <t>Investors Relation Department</t>
  </si>
  <si>
    <t>Capital Structure Snapshot:</t>
  </si>
  <si>
    <t>NARI</t>
  </si>
  <si>
    <t>Inari Medical (NARI)</t>
  </si>
  <si>
    <t>Founder(s): Bob Rosenbluth, Brian Cox, Paul Lubock</t>
  </si>
  <si>
    <t>Founded: 2011 
(as part of Inceptus Medical incubator); company spun out in 2013, renaming itself Inari Medical)</t>
  </si>
  <si>
    <t>Headquarters: Irvine, CA</t>
  </si>
  <si>
    <t>Employees: 1,440 (Q4'24)</t>
  </si>
  <si>
    <t>Sector: Medical Devices</t>
  </si>
  <si>
    <t>Industry: Thrombectomy/Embolization</t>
  </si>
  <si>
    <t>Acquired: Jan. 6th, 2025 $4.7B by Stryker</t>
  </si>
  <si>
    <t>IPO: May 22nd 2020 -- ~$805M valuation (scored as best IPO, with shares closing 124% higher)</t>
  </si>
  <si>
    <t>1/6/2025</t>
  </si>
  <si>
    <t>Registered Exchange: NASDAQ</t>
  </si>
  <si>
    <t>Address: 6001 Oak Canyon, Suite 100, Irvine, CA 92618, USA</t>
  </si>
  <si>
    <t>Inari Medical develops and markets minimally invasive mechanical thrombectomy devices for treating venous thromboembolism, including deep vein thrombosis (DVT) and pulmonary embolism (PE)</t>
  </si>
  <si>
    <t>Flagship products include the FlowTriever and ClotTriever systems</t>
  </si>
  <si>
    <t>Inari Medical, founded in 2011 and headquartered in Irvine, California, is a unique competitor in the field of mechanical thrombectomy</t>
  </si>
  <si>
    <t>FlowTriever System:</t>
  </si>
  <si>
    <t>ClotTriever System:</t>
  </si>
  <si>
    <t>The first FDA-cleared mechanical thrombectomy device specifically designed for the treatment of pulmonary embolism (PE). FlowTriever enables physicians to remove large clots from the pulmonary arteries without thrombolytic drugs, reducing the risk of bleeding complications</t>
  </si>
  <si>
    <t>A mechanical thrombectomy device for the removal of clots from peripheral vessels, particularly deep vein thrombosis (DVT) in the lower extremities. Like FlowTriever, it is designed for single-session clot removal without the need for thrombolytics</t>
  </si>
  <si>
    <t>Emerging Therapies:</t>
  </si>
  <si>
    <t>Inari has been developing additional therapies and devices to address other unmet needs in the peripheral vascular and venous thromboembolism (VTE) space, leveraging its expertise in mechanical clot removal</t>
  </si>
  <si>
    <t>https://seekingalpha.com/symbol/NARI-DEFUNCT-601218/sec-filings</t>
  </si>
  <si>
    <t>https://www.inarimedical.com/</t>
  </si>
  <si>
    <t>https://ir.inarimedical.com/</t>
  </si>
  <si>
    <t>Inari IR Page</t>
  </si>
  <si>
    <t>Inari Homepage</t>
  </si>
  <si>
    <t>Managers State they are passionate about the mission to establish treatments as the standard of care for venous disease, including venous thromboembolism, chronic venous disease and beyond. They state they're are just getting started on this mission</t>
  </si>
  <si>
    <t>In addition to purpose-built solutions, The Company leverages capabilities in education, clinical research, and program development to improve patient outcomes</t>
  </si>
  <si>
    <t>The Company purpose builds a variety of products, including minimally invasive, novel, catheter-based mechanical thrombectomy devices and their accessories to address the unique characteristics of specific disease states</t>
  </si>
  <si>
    <t>In November 2023, The Company acquired LimFlow S.A. (LimFlow), a medical device company focused on limb salvage for patients with chronic limb-threatening ischemia (CLTI)</t>
  </si>
  <si>
    <t>CLTI is an advanced stage of peripheral artery disease that is associated with increased mortality, risk of amputation and impaired quality of life</t>
  </si>
  <si>
    <t>The LimFlow system utilizes transcatheter arterialization of deep veins (TADV) to bypass blocked arteries in the leg and deliver oxygenated blood back into the foot via the veins in CLTI patients</t>
  </si>
  <si>
    <t>The Company's listed key pillars in it's growth strategy are:</t>
  </si>
  <si>
    <t>Driving solutions towards standard of care in venous thromboembolism (VTE)</t>
  </si>
  <si>
    <t>Building momentum with new products in new markets</t>
  </si>
  <si>
    <t>Expanding footprint internationally</t>
  </si>
  <si>
    <t>The Company generated revenue of $493.6 million, with a gross margin of 88.0% and net loss of $1.6 million during the year ended December 31, 2023</t>
  </si>
  <si>
    <t>Compared to revenue of $383.5 million, with a gross margin of 88.4% and net loss of $29.3 million during the year ended December 31, 2022</t>
  </si>
  <si>
    <t>The Company has experienced significant growth since its IPO and was acquired by Stryker in early 2025</t>
  </si>
  <si>
    <t>Markets:</t>
  </si>
  <si>
    <t>Venous Thromboembolism</t>
  </si>
  <si>
    <r>
      <t xml:space="preserve">The Company's product offerings consist of solutions aimed at improving outcomes for patients suffering from </t>
    </r>
    <r>
      <rPr>
        <b/>
        <sz val="11"/>
        <color theme="1"/>
        <rFont val="Calibre"/>
      </rPr>
      <t>venous thromboembolism</t>
    </r>
    <r>
      <rPr>
        <sz val="11"/>
        <color theme="1"/>
        <rFont val="Calibre"/>
      </rPr>
      <t xml:space="preserve"> and </t>
    </r>
    <r>
      <rPr>
        <b/>
        <sz val="11"/>
        <color theme="1"/>
        <rFont val="Calibre"/>
      </rPr>
      <t>other vascular diseases and conditions</t>
    </r>
    <r>
      <rPr>
        <sz val="11"/>
        <color theme="1"/>
        <rFont val="Calibre"/>
      </rPr>
      <t xml:space="preserve">, including </t>
    </r>
    <r>
      <rPr>
        <b/>
        <sz val="11"/>
        <color theme="1"/>
        <rFont val="Calibre"/>
      </rPr>
      <t>chronic venous disease, small vessel thrombosis, arterial thromboembolism and chronic-limb-threatening ischemia</t>
    </r>
  </si>
  <si>
    <t>Venous thromboembolism, or VTE, is a disease caused by blood clot formation in the veins of the body and is a leading cause of death and disability worldwide</t>
  </si>
  <si>
    <t>VTE includes both deep vein thrombosis, or DVT, and pulmonary embolism, or PE</t>
  </si>
  <si>
    <t>The current standard of care for treating VTE is conservative medical management with anticoagulants, which are drugs designed to prevent further blood clotting, but that do not break down or eliminate existing clots</t>
  </si>
  <si>
    <t>Anticoagulants are intended to stop further clot formation while the body attempts to break down and remove clots using natural mechanisms</t>
  </si>
  <si>
    <t>Nearly all patients receive this treatment, many of whom remain on anticoagulants for the remainder of their lives</t>
  </si>
  <si>
    <t>In addition to anticoagulants, some patients also receive thrombolytic drug therapy</t>
  </si>
  <si>
    <t>Thrombolytic drugs accelerate the body’s natural mechanisms for breaking down clot but have limited effectiveness due to the chronic nature of most venous clots</t>
  </si>
  <si>
    <t>These drugs also are associated with a risk of spontaneous major bleeding, including catastrophic bleeding in the brain. In addition, these drugs are expensive and require monitoring in a critical care setting, such as the intensive care unit, or ICU</t>
  </si>
  <si>
    <t>Deep Vein Thrombosis</t>
  </si>
  <si>
    <t>Patients with DVT can experience swelling, cramping and unexplained pain in the foot, ankle or leg, warm skin and discoloration of the skin</t>
  </si>
  <si>
    <t>Symptoms can persist and worsen over time if left untreated and can ultimately progress into chronic venous disease</t>
  </si>
  <si>
    <t>If DVT is treated with conservative therapies only, patients can develop painful, debilitating ulcers, and up to 50% of patients will develop post-thrombotic syndrome, or PTS, a severe, lifestyle-limiting disease that is characterized by chronic pain, swelling and skin ulcers</t>
  </si>
  <si>
    <t>Pulmonary Embolism</t>
  </si>
  <si>
    <t>PE represents the third leading cause of cardiovascular death in the United States after myocardial infarction and stroke. Patients with PE can experience trouble breathing, chest pain, coughing blood, rapid heartbeat, passing out and, ultimately, death</t>
  </si>
  <si>
    <t>Up to 50% of patients who survive have long-term residual pulmonary vascular obstruction due to the body’s inability to break down and eliminate the clot</t>
  </si>
  <si>
    <t>These patients may experience significantly impaired function of the heart and lungs, shortness of breath, reduced exercise capacity and lifestyle limitations, and have a statistically higher rate of recurrent PE, pulmonary hypertension, heart failure and death</t>
  </si>
  <si>
    <t>PE is a leading cause of preventable deaths in hospitals</t>
  </si>
  <si>
    <t>For example, high-risk PE has a mortality rate of up to 50% within 30 days, with approximately 5% of all PE patients considered high risk. Intermediate-risk PE has a 6% to 15% mortality rate within 30 days, and represents approximately 50% of all PE patients</t>
  </si>
  <si>
    <t>The Company believes the best way to treat VTE and improve the quality of life for patients suffering from this disease is to safely and effectively remove the blood clot</t>
  </si>
  <si>
    <t>Through clinical evidence, The company has proven that removing all or almost all clot matters after procedure</t>
  </si>
  <si>
    <t>The Company estimates that approximately 1.9 million people present with VTE in the United States each year, with approximately 1.0 million patients diagnosed with DVT and approximately 900,000 patients diagnosed with PE each year</t>
  </si>
  <si>
    <t>Taken together, these patients represent a potential annual addressable U.S. market opportunity for these solutions of approximately $5.8 billion</t>
  </si>
  <si>
    <t>The Compnay believes there is a substantial market opportunity internationally … but has limited foothold thus far</t>
  </si>
  <si>
    <t>The Company has a list of other, more specialized treatment offerings, which The Company segments as "Emerging Therapies"</t>
  </si>
  <si>
    <t>Emerging Therapies</t>
  </si>
  <si>
    <t>Chronic Venous Disease</t>
  </si>
  <si>
    <t>Chronic venous disease, or CVD, often progresses from DVT and includes scarred vein walls and wall-adherent obstructions</t>
  </si>
  <si>
    <t>If these obstructions are left unaddressed, patients can develop painful, debilitating ulcers and ultimately progress to PTS</t>
  </si>
  <si>
    <t>Up to 50% of patients suffering from DVT that are treated with conservative therapies will develop CVD, which is often caused by chronic scarring and occlusion of vessels</t>
  </si>
  <si>
    <t>Because of the severity and lifestyle-limiting nature of CVD symptoms, approximately 90% of patients with PTS are unable to work 10 years after diagnosis</t>
  </si>
  <si>
    <t>The current standard of care for treating CVD is conservative medical management with anticoagulants, compression therapy and superficial treatment of wounds and leg ulcers</t>
  </si>
  <si>
    <t>The poor outcomes for many patients with DVT described above occur despite being treated with conservative medical management</t>
  </si>
  <si>
    <t>The Company believes the best way to treat CVD and improve the quality of life for patients suffering from this disease is to safely and effectively restore the flow through opening the obstructed vein, including the removal of any chronic clot that may remain</t>
  </si>
  <si>
    <t>ClotTriever BOLD is a multi-purpose solution, addressing both chronic clot and DVT</t>
  </si>
  <si>
    <t>The Company estimates that approximately 100,000 people in the United States each year present with a new case of obstructive CVD, with an estimated prevalence of approximately 1.0 million patients</t>
  </si>
  <si>
    <t>These patients represent a potential annual addressable U.S. market opportunity of approximately $1.0 billion, with a prevalence of approximately $10.0 billion</t>
  </si>
  <si>
    <t>Managers also believe there is a substantial market opportunity internationally</t>
  </si>
  <si>
    <t>Small Vessel Thrombosis</t>
  </si>
  <si>
    <t>Small vessel thrombosis refers to clots that occur in the smaller vessels, including the upper extremities, below the knee, and arteriovenous (AV) thrombosis primarily in dialysis fistulas or grafts</t>
  </si>
  <si>
    <t>Thrombosis that occurs at the AV access point in an AV fistula or graft can result in loss of access to life-saving dialysis</t>
  </si>
  <si>
    <t>Current treatments for small vessel thrombosis generally are limited due to conservative medical management similar to VTE</t>
  </si>
  <si>
    <t>In addition, with respect to dialysis patients, current treatments are limited due to a number of factors, including that most methods for removing clot from the AV send clot to the lungs, exacerbating pulmonary hypertension in an already sick patient</t>
  </si>
  <si>
    <t>In addition, thrombosis in the AV has a high recurrence rate and current treatments are not as effective for chronic or larger clot burdens</t>
  </si>
  <si>
    <t>These patients represent a potential annual addressable U.S. market opportunity of approximately $1.0 billion</t>
  </si>
  <si>
    <t>Arterial Thromboembolism</t>
  </si>
  <si>
    <t>Acute limb ischemia (ALI), acute visceral ischemia, and certain cases of chronic limb ischemia are all acute embolization events that can cause extensive damage if not treated quickly</t>
  </si>
  <si>
    <t>Due to the emergent nature of these diseases and because there are no purpose-built solutions, over 50% of patients often require open surgical procedures which can result in distal embolization and vessel trauma</t>
  </si>
  <si>
    <t>If a patient is not a candidate for open embolectomy, they are often treated with thrombolytic drugs or other conservative forms of medical treatment</t>
  </si>
  <si>
    <t>These patients represent a potential annual addressable U.S. market opportunity of approximately $600.0 million</t>
  </si>
  <si>
    <t>Chronic Limb-Threatening Ischemia</t>
  </si>
  <si>
    <t>Chronic limb-threatening ischemia (CLTI) is an advanced stage of peripheral artery disease that is associated with increased mortality, risk of amputation and impaired quality of life</t>
  </si>
  <si>
    <t>No-option CLTI patients are those who are facing major amputation and have exhausted all other therapeutic options</t>
  </si>
  <si>
    <t>LimFlow's transcatheter arterialization of deep veins (TADV) system is minimally-invasive and is designed to bypass blocked arteries in the leg and deliver oxygenated blood back into the foot via the veins in no-option CLTI patients</t>
  </si>
  <si>
    <t>CLTI is a large and underpenetrated market, impacting more than 1.5 million patients each year globally, approximately 560,000 of which are in the United States</t>
  </si>
  <si>
    <t>The Company estimates that no-option CLTI impacts approximately 55,000 patients in the United States each year</t>
  </si>
  <si>
    <t>The Company believes these patients represent a potential annual addressable market opportunity of approximately $1.5 billion</t>
  </si>
  <si>
    <t>As a result, Managers believe that CLTI represents one of the most significant unmet needs in vascular medicine</t>
  </si>
  <si>
    <t>Geography</t>
  </si>
  <si>
    <t>The Company competes globally in the U.S. and across international geographies</t>
  </si>
  <si>
    <t>International includes countries across Europe, Middle East, and Africa (EMEA), Latin America and Canada (LAC), and Asia Pacific (APAC)</t>
  </si>
  <si>
    <t>Products and Patient Solutions</t>
  </si>
  <si>
    <t>The Company's managers believe the historical bias for conservative medical management in clot removal is largely due to the ineffectiveness of, and risks associated with, current alternative treatments, and the lack of purpose-built solutions</t>
  </si>
  <si>
    <t>The standard of care for treatment of other thrombotic diseases, such as myocardial infarction and stroke, has evolved from the use of anticoagulants alone to anticoagulants together with thrombolytic drugs and eventually to anticoagulants together with definitive catheter-based interventions</t>
  </si>
  <si>
    <t>Procedures are typically performed in a catheterization laboratory, or cath lab, interventional suite or operating room</t>
  </si>
  <si>
    <t>Venous Thromboembolism (VTE) Offering</t>
  </si>
  <si>
    <t>ClotTriever System</t>
  </si>
  <si>
    <t>The ClotTriever system is a comprehensive solution for DVT and peripheral thrombus</t>
  </si>
  <si>
    <t>The ClotTriever system was designed to core, capture, and remove large clots from large vessels</t>
  </si>
  <si>
    <t>The ClotTriever is 510(k) cleared for the non-surgical removal of thrombi and emboli from blood vessels, and for the injection, infusion, and/or aspiration of contrast media and other fluids into or from a blood vessel, is intended for use in the peripheral vasculature including in patients with DVT, and is CE marked for the treatment of DVT</t>
  </si>
  <si>
    <t>Each component is packaged separately and may be sold individually or as part of a system. The ClotTriever system consists of the following primary components:</t>
  </si>
  <si>
    <t>ClotTriever Sheath</t>
  </si>
  <si>
    <t>ClotTriever Bold Catheter</t>
  </si>
  <si>
    <t>ClotTriever Catheter</t>
  </si>
  <si>
    <t>ProTrieve Sheath</t>
  </si>
  <si>
    <t>ClotTriever XL</t>
  </si>
  <si>
    <t>ClotTriever Bold Gen 2</t>
  </si>
  <si>
    <t>FlowTriever System</t>
  </si>
  <si>
    <t>The FlowTriever is a large bore catheter-based aspiration and mechanical thrombectomy system designed to remove large clots from large vessels in the peripheral vasculature and specifically to treat PE, although it is also used by physicians to treat other complex venous thromboembolism cases</t>
  </si>
  <si>
    <t>The FlowTriever is 510(k)-cleared by the FDA for the non-surgical removal of emboli and thrombi from blood vessels, and injection, infusion, and/or aspiration of contrast media and other fluids into or from a blood vessel, is intended for use in the peripheral vasculature and for the treatment of PE, and is CE marked for the treatment of PE</t>
  </si>
  <si>
    <t>Triever catheters, a component of the FlowTriever system, are also intended for use in the treatment of clot in transit from the right atrium</t>
  </si>
  <si>
    <t>The FlowTriever system consists of the following components, which are included in the price of the system:</t>
  </si>
  <si>
    <t>Triever Catheters</t>
  </si>
  <si>
    <t>FlowTriever Catheters</t>
  </si>
  <si>
    <t>Triever20 Curve Catheter</t>
  </si>
  <si>
    <t>FlowSaver Blood Return System</t>
  </si>
  <si>
    <t>Intri24 Sheath</t>
  </si>
  <si>
    <t>Large Bore Syringe and Whoosh Mechanism</t>
  </si>
  <si>
    <t>Triever16 Curve Catheter</t>
  </si>
  <si>
    <t>FlowStasis Suture Retention Device</t>
  </si>
  <si>
    <t>Emerging Therapies Offering</t>
  </si>
  <si>
    <t>Chronic Venous Disease Toolkit</t>
  </si>
  <si>
    <t>The ClotTriever BOLD is similar to the original ClotTriever catheter and is designed to core, capture and remove large clots from large vessels and address a range of clot chronicity, including chronic clot</t>
  </si>
  <si>
    <t>The ClotTriever BOLD is 510(k) cleared for the non-surgical removal of thrombi and emboli from blood vessels, and for the injection, infusion, and/or aspiration of contrast media and other fluids into or from a blood vessel, is intended for use in the peripheral vasculature, including in patients with DVT, and is CE marked for the treatment of DVT</t>
  </si>
  <si>
    <t>The Company began commercializing the ClotTriever BOLD in early 2022</t>
  </si>
  <si>
    <t>The Company is currently designing a toolkit for treating CVD</t>
  </si>
  <si>
    <t>The first device in the toolkit is the ClotTriever BOLD which also forms part of The Company's DVT toolkit</t>
  </si>
  <si>
    <t>RevCore is 510(k) cleared for the non-surgical removal of thrombi and emboli from blood vessels and for the injection, infusion, and/or aspiration of contrast media and other fluids into or from a blood vessel, and is intended for use in the peripheral vasculature</t>
  </si>
  <si>
    <t>The device includes a unique diameter-controlled coring element specifically designed to safely engage thrombus within stents</t>
  </si>
  <si>
    <t>The Company is continuing to expand its CVD toolkit to include a recanalization device, crossing device and stent cleaner device among other enhancements and expansions</t>
  </si>
  <si>
    <t>Managers expect the CVD toolkit devices to be packaged separately and sold individually, or as part of the ClotTriever system</t>
  </si>
  <si>
    <t>RevCore</t>
  </si>
  <si>
    <t>InThrill System</t>
  </si>
  <si>
    <t>The InThrill system was purpose-built to treat small vessel thrombosis</t>
  </si>
  <si>
    <t>The InThrill system is 510(k) cleared for the non-surgical removal of emboli and thrombi from blood vessels, and the injection, infusion, and/or aspiration of contrast media and other fluids into or from a blood vessel, and is intended for use in the peripheral vasculature but not intended for use in DVT treatment</t>
  </si>
  <si>
    <t>InThrill Catheter and Sheath</t>
  </si>
  <si>
    <t>LimFlow</t>
  </si>
  <si>
    <t>The LimFlow system received premarket approval (PMA) from the FDA in September 2023 and is the first and only FDA-approved device for TADV</t>
  </si>
  <si>
    <t>The LimFlow system is indicated for patients who have CLTI with no suitable endovascular or surgical revascularization options and are at risk of major amputation</t>
  </si>
  <si>
    <t>The LimFlow system is not intended for use in patients with DVT in the target vein or in patients with uncorrected bleeding disorders or who cannot receive anticoagulation or antiplatelet aggregation therapy</t>
  </si>
  <si>
    <t>LimFlow launched its system commercially in the United States in the fourth quarter of 2023</t>
  </si>
  <si>
    <t>The LimFlow system consists of the following six components, which are depicted below and all of which are included in the price of the system: three stent grafts, one arterial catheter (ARC), one venous catheter (V-Ceiver) and one valvulotome (Vector)</t>
  </si>
  <si>
    <t>LimFlow Crossing Stents</t>
  </si>
  <si>
    <t>LimFlow Extension Covered Stent</t>
  </si>
  <si>
    <t>LimFlow ARC and V-Ceiver</t>
  </si>
  <si>
    <t>LimFlow Vector (Valvulotome)</t>
  </si>
  <si>
    <t>Three of the components of the LimFlow system - ARC, V-Ceiver, and Vector - are each independently 510(k) cleared</t>
  </si>
  <si>
    <t>The LimFlow ARC is a single-use device designed to facilitate placement and positioning of guide wires within the peripheral vasculature</t>
  </si>
  <si>
    <t>The LimFlow ARC is intended to facilitate placement and positioning of guidewires and catheters within the peripheral vasculature</t>
  </si>
  <si>
    <t>The LimFlow ARC is not intended for use in the coronary or cerebral vasculature</t>
  </si>
  <si>
    <t>The LimFlow V-Ceiver consists of an intravascular catheter which incorporates a nitinol basket at its distal tip</t>
  </si>
  <si>
    <t>The LimFlow V-Ceiver™ is intended for use in the cardiovascular system to manipulate and retrieve guidewires</t>
  </si>
  <si>
    <t>The LimFlow Vector is a single-use medical device designed to cut venous valves during vascular in-situ bypass procedures</t>
  </si>
  <si>
    <t>The LimFlow Vector is intended for the treatment of vascular disorders and more particularly for existing or disrupting venous valves</t>
  </si>
  <si>
    <t>Business Foundation</t>
  </si>
  <si>
    <t>Education and Training</t>
  </si>
  <si>
    <t>With a team of experts, The Company has greatly expanded its Clot Warrior Academy since its launch in 2020 to provide regular and interactive training dozens of times per year</t>
  </si>
  <si>
    <t>Clinical Research</t>
  </si>
  <si>
    <t>PEERLESS will compare the clinical outcomes of patients with intermediate risk PE treated with FlowTriever to those treated with catheter-directed thrombolysis</t>
  </si>
  <si>
    <t>With respect to CLTI, multiple prospective studies have been completed or are still ongoing</t>
  </si>
  <si>
    <t>PROMISE I study was a prospective early feasibility study of the LimFlow system for transcatheter arterialization of deep vein (TADV), enrolling 32 patients at 7 centers</t>
  </si>
  <si>
    <t>PROMISE II was a prospective, multicenter pivotal study enrolled 105 patients at 20 centers, with the 12-month results published in the New England Journal of Medicine in March 2023</t>
  </si>
  <si>
    <t>Patient follow-up is ongoing. PROMISE II was a prospective, single-group multi-center study to evaluate the effect of TADV patients with nonhealing ulcers and no surgical or endovascular revascularization treatment options</t>
  </si>
  <si>
    <t>PROMISE III is a post-market study of the LimFlow System, enrolling up to 100 patients</t>
  </si>
  <si>
    <t>Product and Patient Solution Developments (R&amp;D)</t>
  </si>
  <si>
    <t>Program Developments</t>
  </si>
  <si>
    <t>Sales and Marketing</t>
  </si>
  <si>
    <t>Manufacturing and Supply</t>
  </si>
  <si>
    <t>The manufacturing and assembly of the LimFlow system is currently performed by third-party contract manufacturers in Germany and Costa Rica</t>
  </si>
  <si>
    <t>The lease provides for, among other things, the construction of and option to purchase a manufacturing and distribution facility, which is expected to be operational in 2025</t>
  </si>
  <si>
    <t>The FDA conducted its most recent inspection in August 2016</t>
  </si>
  <si>
    <t>ISO certification generally includes recertification audits every third year, scheduled annual surveillance audits and periodic unannounced audits</t>
  </si>
  <si>
    <t>Externally-sourced components include off-the-shelf materials, sub-assemblies and custom parts that are provided by approved suppliers</t>
  </si>
  <si>
    <t>Some of these components are provided by single-source suppliers</t>
  </si>
  <si>
    <t>Lead times for components may vary depending on the size of the order, time required to fabricate and test the components, specific supplier requirements and current market demand for the materials, sub-assemblies and parts</t>
  </si>
  <si>
    <t>Competition</t>
  </si>
  <si>
    <t>The medical device industry is highly competitive, subject to rapid change and significantly affected by the introduction of new products and technologies and other activities of industry participants</t>
  </si>
  <si>
    <t>These systems include water jets, ultrasonic acoustic field generators, aspirators, catheters and others</t>
  </si>
  <si>
    <t>Public Competitors:</t>
  </si>
  <si>
    <t>Ticker:</t>
  </si>
  <si>
    <t>Additional Notes:</t>
  </si>
  <si>
    <t>Abbott Labs</t>
  </si>
  <si>
    <t>ABT</t>
  </si>
  <si>
    <t>AngioDynamics</t>
  </si>
  <si>
    <t>ANGO</t>
  </si>
  <si>
    <t>Boston Scientific</t>
  </si>
  <si>
    <t>BSX</t>
  </si>
  <si>
    <t>Silk Road Medical</t>
  </si>
  <si>
    <t>SILK</t>
  </si>
  <si>
    <t xml:space="preserve">&lt;- Acquired by Boston Scientific (Sep. 17, 2024) for ~$1.16 billion </t>
  </si>
  <si>
    <t>Edwards Lifesciences</t>
  </si>
  <si>
    <t>EW</t>
  </si>
  <si>
    <t>Johnson and Johnson</t>
  </si>
  <si>
    <t>JNJ</t>
  </si>
  <si>
    <t>Koninklijke Philips N.V.</t>
  </si>
  <si>
    <t xml:space="preserve">PHG </t>
  </si>
  <si>
    <t>Japanese listing</t>
  </si>
  <si>
    <t>Lemaitre Vascular</t>
  </si>
  <si>
    <t>LMAT</t>
  </si>
  <si>
    <t>Medtronic</t>
  </si>
  <si>
    <t>MDT</t>
  </si>
  <si>
    <t>Stryker</t>
  </si>
  <si>
    <t>SYK</t>
  </si>
  <si>
    <t>Inari Medical</t>
  </si>
  <si>
    <t xml:space="preserve">NARI </t>
  </si>
  <si>
    <t>&lt;- Acquired by Stryker (Feb. 20, 2025) for ~$4.9 billion (an incredible 60% premium on the trading market valuation) … Stryker has a talented management team with a long term track record of successful M&amp;A activity … what are they seeing here that demanded such a premium (for context NARI was ultimately acquired for ~ it's IPO valuation... so was it really a massive premium?... do the work and find out!!!)</t>
  </si>
  <si>
    <t>Terumo</t>
  </si>
  <si>
    <t xml:space="preserve">TRUMY </t>
  </si>
  <si>
    <t xml:space="preserve">Teleflex </t>
  </si>
  <si>
    <t>TFX</t>
  </si>
  <si>
    <t>&lt;- Offers the Pronto Extraction Catheter, a manual aspiration device designed for removing fresh, soft emboli and thrombi from coronary and peripheral vessels</t>
  </si>
  <si>
    <t>There is growing interest in the treatment of VTE disease with catheter-based solutions, and there are a significant number of approved thrombectomy devices available or entering the market in the near term</t>
  </si>
  <si>
    <t>Currently, there are no commercially approved devices comparable to the LimFlow system on the market</t>
  </si>
  <si>
    <t>In addition, certain competitors have several competitive advantages, including established treatment patterns pursuant to which drugs are generally first-line or concurrent therapies for the treatment of VTE and established relationships with hospitals and physicians who prescribe their drugs or are familiar with existing interventional procedures for the treatment of VTE</t>
  </si>
  <si>
    <t>Intellectual Property</t>
  </si>
  <si>
    <t>The term of individual patents depends on the legal term for patents in the countries in which they are granted. In most countries, including the United States, the patent term is generally 20 years from the earliest claimed filing date of a nonprovisional patent application in the applicable country</t>
  </si>
  <si>
    <t>As of December 31, 2023, we had 140 registered trademarks and 61 pending trademark applications worldwide, including trademark registrations for “Inari Medical”, “FlowTriever”, “ClotTriever”, and “LimFlow” in the United States and other countries</t>
  </si>
  <si>
    <t>Coverage And Reimbursement</t>
  </si>
  <si>
    <t>Hospitals in turn bill various third-party payors, such as Medicare, Medicaid and private health insurance plans, for the total healthcare services required to treat the patient</t>
  </si>
  <si>
    <t>We do not participate in the billing or reimbursement process and as such, do not engage directly with patients or payors with respect to billing</t>
  </si>
  <si>
    <t>Government agencies, private insurers and other payors determine whether to provide coverage for a particular procedure and to reimburse hospitals for inpatient treatment at a fixed rate based on the diagnosis-related group, or DRG, as determined by the U.S. Centers for Medicare and Medicaid Services, or CMS</t>
  </si>
  <si>
    <t>The fixed rate of reimbursement is based on the procedure performed and is unrelated to the specific medical device used in that procedure</t>
  </si>
  <si>
    <t>Medicare rates for the same or similar procedures vary due to geographic location, nature of facility in which the procedure is performed (i.e., teaching or community hospital) and other factors</t>
  </si>
  <si>
    <t>While private payors vary in their coverage and payment policies, most use coverage and payment by Medicare as a benchmark by which to make their own decisions</t>
  </si>
  <si>
    <t>Third-party payors are increasingly limiting coverage and reducing reimbursements for medical products and services</t>
  </si>
  <si>
    <t>&lt;- Offers a comprehensive thrombectomy product portfolio focused on mechanical aspiration for the removal of blood clots from the venous system (Primary thrombectomy offering: AlphaVac System + AngioVac System)</t>
  </si>
  <si>
    <t>&lt;- Offers mechanical thrombectomy devices (JETi Peripheral Thrombectomy System)</t>
  </si>
  <si>
    <t>&lt;- Offers a robust portfolio in both thrombectomy and embolization for vascular and interventional procedures (AngioJet™ Thrombectomy System, Fetch™2 Aspiration Catheter)</t>
  </si>
  <si>
    <t>&lt;- Offers a comprehensive suite of thrombectomy catheters under its Fogarty® brand (Fogarty Arterial Embolectomy Catheters, Fogarty Venous Thrombectomy Catheters, Fogarty Thru-Lumen Embolectomy Catheters, Fogarty Corkscrew Catheters, Fogarty Graft Thrombectomy Catheters)</t>
  </si>
  <si>
    <t>&lt;- Offers a comprehensive portfolio focused on neurovascular thrombectomy and embolization for stroke and aneurysm treatment (Thrombectomy Scope: EMBOTRAP® III Revascularization Device, CEREGLIDE™ Catheter Family, CEREBASE™ DA Guide Sheath, CERENOVUS NIMBUS™ Geometric Clot Extractor)</t>
  </si>
  <si>
    <t>&lt;- Offers a robust portfolio of thrombectomy and embolectomy products under the TufTex® and Syntel® brands, with a focus on both arterial and venous clot management (TufTex® Embolectomy Catheter, Syntel® Silicone Embolectomy/Thrombectomy Catheter, Python Over-the-Wire Embolectomy Catheter, Latis Graft Cleaning Catheter)</t>
  </si>
  <si>
    <t>&lt;- Offers a comprehensive portfolio of thrombectomy and embolization products, with a strong focus on neurovascular applications as well as peripheral interventions (Thrombectomy: Solitaire™ X Stent Retriever Device,  Riptide™ Aspiration System, Excipio Peripheral Thrombectomy System)</t>
  </si>
  <si>
    <t>&lt;- Offers a comprehensive portfolio in neurovascular thrombectomy, with a strong focus on acute ischemic stroke treatment (Trevo NXT ProVue Stent Retriever, AXS Universal Aspiration System, FlowGate2 Balloon Guide Catheter, Excelsior XT-27 Microcatheter / Trevo Trak 21 Microcatheter, etc)</t>
  </si>
  <si>
    <t>In addition, the U.S. government, state legislatures and foreign governments have continued implementing cost-containment programs, including price controls, restrictions on coverage and reimbursement</t>
  </si>
  <si>
    <t>The process for determining whether a third-party payor will provide coverage for a product or procedure may be separate from the process for establishing the reimbursement rate that such a payor will pay for the product or procedure</t>
  </si>
  <si>
    <t>A payor’s decision to provide coverage for a product or procedure does not imply that an adequate reimbursement rate will be approved</t>
  </si>
  <si>
    <t>Further, one payor’s determination to provide coverage for a product or procedure does not assure that other payors will also provide coverage for the device or procedure</t>
  </si>
  <si>
    <t>In addition to the traditional coding and reimbursement mechanisms described above, there is an additional mechanism under Medicare to help ensure that adequate payment is made for new medical services and technologies in the hospital inpatient setting</t>
  </si>
  <si>
    <t>This mechanism is called “New Technology Add-on Payment” or “NTAP”</t>
  </si>
  <si>
    <t>CMS may grant NTAP status to technologies that meet a set of criteria, including requirements involving newness, cost, and whether the product results in a substantial clinical improvement in comparison to existing therapies</t>
  </si>
  <si>
    <t>Under NTAP, hospitals can receive additional reimbursement when treating Medicare beneficiaries with new technology during the initial two or three years that the product is on the market</t>
  </si>
  <si>
    <t>The rules governing NTAP eligibility and processes are described in greater detail on the CMS website and in notices that are published from time-to-time in a government publication called the Federal Register</t>
  </si>
  <si>
    <t>In October 2023, LimFlow applied for NTAP to be effective October 1, 2024, and expects to receive a decision from CMS as part of CMS’ Fiscal Year 2025 Hospital Inpatient Prospective Payment System Rulemaking</t>
  </si>
  <si>
    <t>In November 2023, as part of CMS’ CY 2024 Final Hospital Outpatient Prospective Payment System Rule, CMS reassigned CPT Code 0620T to a New Technology Ambulatory Payment Classification (“APC”) 1578 (New Technology – Level 41), effective January 1, 2024</t>
  </si>
  <si>
    <t>The reassignment to New Technology APC Code 1578 allows for continuing reimbursement for the LimFlow procedure at a higher reimbursement rate than was previously available</t>
  </si>
  <si>
    <t>Government Regulation</t>
  </si>
  <si>
    <t>The FDA regulates the development, design, non-clinical and clinical research, manufacturing, safety, efficacy, labeling, packaging, storage, sale, installation, servicing, recordkeeping, premarket clearance or approval, adverse event reporting, advertising, promotion, marketing and distribution, and import and export of medical devices to ensure that medical devices distributed domestically are safe and effective for their intended uses and otherwise meet the requirements of the FDCA</t>
  </si>
  <si>
    <t>FDA Premarket Clearance and Approval Requirements</t>
  </si>
  <si>
    <t>Unless an exemption applies, each medical device commercially distributed in the United States requires either FDA clearance of a 510(k) premarket notification, or approval of a premarket approval application, or PMA</t>
  </si>
  <si>
    <t>Under the FDCA, medical devices are classified into one of three classes—Class I, Class II or Class III—depending on the degree of risk associated with each medical device and the extent of manufacturer and regulatory control needed to ensure its safety and effectiveness</t>
  </si>
  <si>
    <t>Class I includes devices with the lowest risk to the patient and are those for which safety and effectiveness can be assured by adherence to the FDA’s General Controls for medical devices, which include compliance with the applicable portions of the Quality System Regulation, or QSR, facility registration and product listing, reporting of adverse medical events, and truthful and non-misleading labeling, advertising, and promotional materials</t>
  </si>
  <si>
    <t>Class II devices are subject to the FDA’s General Controls, and special controls as deemed necessary by the FDA to ensure the safety and effectiveness of the device</t>
  </si>
  <si>
    <t>These special controls can include performance standards, post-market surveillance, patient registries and FDA guidance documents</t>
  </si>
  <si>
    <t>While most Class I devices are exempt from the 510(k) premarket notification requirement, manufacturers of most Class II devices are required to submit to the FDA a premarket notification under Section 510(k) of the FDCA requesting permission to commercially distribute the device, also referred to as a 510(k) clearance</t>
  </si>
  <si>
    <t>Class III devices are those deemed to pose the greatest risk, such as life-sustaining, life-supporting or implantable devices deemed not substantially equivalent to a previously cleared 510(k) device, requiring approval of a PMA</t>
  </si>
  <si>
    <t xml:space="preserve"> The LimFlow system is a Class III device that is PMA-approved</t>
  </si>
  <si>
    <t>510(k) Clearance Pathway</t>
  </si>
  <si>
    <t>The FDA’s 510(k) clearance process usually takes from three to 12 months but may take longer</t>
  </si>
  <si>
    <t>The FDA may require additional information, including clinical data, to make a determination regarding substantial equivalence</t>
  </si>
  <si>
    <t>If the FDA agrees that the device is substantially equivalent to a predicate device currently on the market, it will grant 510(k) clearance to commercially market the device</t>
  </si>
  <si>
    <t>If the FDA determines that the device is “not substantially equivalent” to a previously cleared device, the device is automatically designated as a Class III device</t>
  </si>
  <si>
    <t>The device sponsor must then fulfill more rigorous PMA requirements or can request a risk-based classification determination for the device in accordance with the “de novo” process, which is a route to market for novel medical devices that are low to moderate risk and are not substantially equivalent to a predicate device</t>
  </si>
  <si>
    <t>After a device receives 510(k) clearance, any modification that could significantly affect its safety or effectiveness, or that would constitute a major change or modification in its intended use, will require a new 510(k) clearance or, depending on the modification, PMA approval or de novo classification</t>
  </si>
  <si>
    <t>The FDA requires each manufacturer to determine whether the proposed change requires submission of a 510(k), de novo request or a PMA in the first instance, but the FDA can review any such decision and disagree with a manufacturer’s determination</t>
  </si>
  <si>
    <t>If the FDA disagrees with a manufacturer’s determination, the FDA can require the manufacturer to cease marketing and/or request the recall of the modified device until 510(k) marketing clearance or PMA approval is obtained, or a de novo request is granted</t>
  </si>
  <si>
    <t>Also, in these circumstances, the manufacturer may be subject to significant regulatory fines or penalties</t>
  </si>
  <si>
    <t>PMA Approval Pathway</t>
  </si>
  <si>
    <t>The LimFlow system received PMA approval from the FDA in September 2023</t>
  </si>
  <si>
    <t>Class III devices require PMA approval before they can be marketed, although some pre-amendment Class III devices for which FDA has not yet required approval of a PMA are cleared through the 510(k) process</t>
  </si>
  <si>
    <t>The PMA process is more demanding than the 510(k) premarket notification process</t>
  </si>
  <si>
    <t>In a PMA, the manufacturer must demonstrate that the device is safe and effective, and the PMA must be supported by extensive data, including data from preclinical studies and human clinical trials</t>
  </si>
  <si>
    <t>Following receipt of a PMA, the FDA determines whether the application is sufficiently complete to permit a substantive review</t>
  </si>
  <si>
    <t>If FDA accepts the application for review, it has 180 days under the FDCA to complete its review of a PMA, although in practice, the FDA’s review often takes significantly longer, and can take up to several years</t>
  </si>
  <si>
    <t>The FDA will approve the new device for commercial distribution if it determines that the data and information in the PMA constitute valid scientific evidence and that there is reasonable assurance that the device is safe and effective for its intended use(s)</t>
  </si>
  <si>
    <t>The FDA may approve a PMA with post-approval conditions intended to ensure the safety and effectiveness of the device, including, among other things, restrictions on labeling, promotion, sale and distribution, and collection of long-term follow-up data from patients in the clinical study that supported PMA approval or requirements to conduct additional clinical studies post-approval</t>
  </si>
  <si>
    <t>The FDA may condition PMA approval on some form of post-market surveillance when deemed necessary to protect the public health or to provide additional safety and efficacy data for the device in a larger population or for a longer period of use</t>
  </si>
  <si>
    <t>In such cases, the manufacturer might be required to follow certain patient groups for a number of years and to make periodic reports to the FDA on the clinical status of those patients</t>
  </si>
  <si>
    <t>[Continue government commentary + stated business risks)</t>
  </si>
  <si>
    <t>VTE</t>
  </si>
  <si>
    <t>VTE Growth Y/y</t>
  </si>
  <si>
    <t>Emerging Therapies Growth Y/y</t>
  </si>
  <si>
    <t>VTE % of Ttl Revenues</t>
  </si>
  <si>
    <t>Emerging Therapies % of Ttl Revenues</t>
  </si>
  <si>
    <t>International Revenues</t>
  </si>
  <si>
    <t>International Revenue Growth Y/y</t>
  </si>
  <si>
    <t>International Revenues % of Revenues</t>
  </si>
  <si>
    <t>Ttl Revenue Growth Y/y</t>
  </si>
  <si>
    <t>R&amp;D</t>
  </si>
  <si>
    <t>SG&amp;A</t>
  </si>
  <si>
    <t xml:space="preserve">Change in FV </t>
  </si>
  <si>
    <t>Amortization of Intangibles</t>
  </si>
  <si>
    <t>Acquisition Related Expenses</t>
  </si>
  <si>
    <t>Operating Income</t>
  </si>
  <si>
    <t>Interest Income</t>
  </si>
  <si>
    <t>Pretax Income</t>
  </si>
  <si>
    <t>Taxes</t>
  </si>
  <si>
    <t>EPS</t>
  </si>
  <si>
    <t>Restricted Cash</t>
  </si>
  <si>
    <t>A/R</t>
  </si>
  <si>
    <t>Inventories</t>
  </si>
  <si>
    <t>Prepaid Expenses</t>
  </si>
  <si>
    <t>PP&amp;E</t>
  </si>
  <si>
    <t>Operating Leases</t>
  </si>
  <si>
    <t>Goodwill</t>
  </si>
  <si>
    <t>Intangible Assets</t>
  </si>
  <si>
    <t>Deposits and Other Assets</t>
  </si>
  <si>
    <t>Ttl Assets</t>
  </si>
  <si>
    <t>A/P</t>
  </si>
  <si>
    <t>Accrued Payroll</t>
  </si>
  <si>
    <t>Other Income (Expenses)</t>
  </si>
  <si>
    <t>ST Operating Lease Liabilities</t>
  </si>
  <si>
    <t>LT Operating Lease Liabilities</t>
  </si>
  <si>
    <t>Deffered Tax Liabilities</t>
  </si>
  <si>
    <t>Other LT Liabilities</t>
  </si>
  <si>
    <t>Ttl Liabilities</t>
  </si>
  <si>
    <t>SE</t>
  </si>
  <si>
    <t>Ttl L + SE</t>
  </si>
  <si>
    <t>Interest Expenses</t>
  </si>
  <si>
    <t xml:space="preserve">Current CEO: Andrew Hykes </t>
  </si>
  <si>
    <t>/s/ Andrew Hykes</t>
  </si>
  <si>
    <t>Chief Executive Officer (Principal Executive Officer), President and Director</t>
  </si>
  <si>
    <t>Andrew Hykes</t>
  </si>
  <si>
    <t>/s/ Mitchell Hill</t>
  </si>
  <si>
    <t>Chief Financial Officer (Principal Financial and Principal Accounting Officer)</t>
  </si>
  <si>
    <t>Mitchell Hill</t>
  </si>
  <si>
    <t>/s/ Donald Milder</t>
  </si>
  <si>
    <t>Chair of the Board of Directors</t>
  </si>
  <si>
    <t>Donald Milder</t>
  </si>
  <si>
    <t>/s/ Rebecca Chambers</t>
  </si>
  <si>
    <t>Director</t>
  </si>
  <si>
    <t>Rebecca Chambers</t>
  </si>
  <si>
    <t>/s/ William Hoffman</t>
  </si>
  <si>
    <t>William Hoffman</t>
  </si>
  <si>
    <t>/s/ Cynthia Lucchese</t>
  </si>
  <si>
    <t>Cynthia Lucchese</t>
  </si>
  <si>
    <t>/s/ Dana G. Mead</t>
  </si>
  <si>
    <t>Dana G. Mead, Jr.</t>
  </si>
  <si>
    <t>/s/ Kirk Nielsen</t>
  </si>
  <si>
    <t>Kirk Nielsen</t>
  </si>
  <si>
    <t>/s/ Jonathan Root</t>
  </si>
  <si>
    <t>Jonathan Root, M.D.</t>
  </si>
  <si>
    <t>/s/ Catherine Szyman</t>
  </si>
  <si>
    <t>Catherine Szyman</t>
  </si>
  <si>
    <t>/s/ Robert Warner</t>
  </si>
  <si>
    <t>Name</t>
  </si>
  <si>
    <t>Title</t>
  </si>
  <si>
    <t>Revenues (in $Ms)</t>
  </si>
  <si>
    <t>NI</t>
  </si>
  <si>
    <t>FCF Per Share</t>
  </si>
  <si>
    <t>Accrued Expenses</t>
  </si>
  <si>
    <t>Projected ROIC:</t>
  </si>
  <si>
    <t>Invested Capital</t>
  </si>
  <si>
    <t>AVG Invested Capital</t>
  </si>
  <si>
    <t>ROIC</t>
  </si>
  <si>
    <t>Terminal</t>
  </si>
  <si>
    <t>RFR (10-year yield)</t>
  </si>
  <si>
    <t>ERP 
(Avg. market return - (less) RFR)</t>
  </si>
  <si>
    <t>Equity β (1-year avg.)</t>
  </si>
  <si>
    <t>Discount (Cost of Equity)</t>
  </si>
  <si>
    <t>NPV</t>
  </si>
  <si>
    <t>Q1'25</t>
  </si>
  <si>
    <t>FV</t>
  </si>
  <si>
    <t>CP</t>
  </si>
  <si>
    <t>6/3/25</t>
  </si>
  <si>
    <t>Change Δ</t>
  </si>
  <si>
    <t>2022-2023</t>
  </si>
  <si>
    <t>Q3'24</t>
  </si>
  <si>
    <t>All of The Company's systems are designed as single-use, sterile systems, to be deployed over a wire … They do not require capital equipment</t>
  </si>
  <si>
    <t>During the second quarter of 2023, The Company began commercializing the RevCore thrombectomy catheter, which is the first mechanical thrombectomy device developed to treat acute to chronic in-stent thrombosis</t>
  </si>
  <si>
    <t>Education and Training – The Company develops specialized content for both internal and external users, including providing robust sales team training and external training through The Company's Clot Warrior Academy</t>
  </si>
  <si>
    <t>Solutions Development – The Company has an industry-leading pipeline of enhanced and new solutions, with the ability to rapidly iterate</t>
  </si>
  <si>
    <t>Program Development – The Company has a team dedicated to program building, including it's VTE Excellence platform</t>
  </si>
  <si>
    <t>Since The Company's inception, it has focused on generating clinical data to build evidence to change the standard of care for the treatment of VTE and other diseases</t>
  </si>
  <si>
    <t>In November 2023, The Company enrolled the first patient in PEERLESS II, a prospective, multicenter randomized controlled trial enrolling up to 1,200 patients at up to 100 centers that will compare the outcomes of patients with intermediate-risk PE treated with FlowTriever plus anticoagulation to those treated with traditional anticoagulation therapy alone</t>
  </si>
  <si>
    <t>With respect to DVT, The Company completed enrollment in it's CLOUT study for the ClotTriever system in DVT patients, which is the largest prospective DVT thrombectomy study of 500 patients, and reported the results in October 2022 in late-breaking clinical trial sessions at the VEINS conference</t>
  </si>
  <si>
    <t>AYOOO … was this zoomer speak acronym intentional?? If it was intentional  … short the stock lmaooooo</t>
  </si>
  <si>
    <t>The Company also announced the first industry-sponsored RCT for DVT - DEFIANCE, studying ClotTriever’s performance in patients with moderate to severe iliofemoral DVT as compared to conservative medical management alone, and enrolling up to 300 patients at up to 60 sites</t>
  </si>
  <si>
    <t>The Company is committed to improving lives in extraordinary ways by creating innovative solutions for both unmet and underserved health needs and The Company is dedicated to the treatment of venous and other diseases</t>
  </si>
  <si>
    <t>The Company's engineering team has broad mechanical and biomedical engineering, project management, materials science, design and prototyping expertise</t>
  </si>
  <si>
    <t>This process has allowed us to rapidly innovate and enhance The Company solutions, and The Company continues to develop new and enhanced solutions for its portfolio</t>
  </si>
  <si>
    <t>This process has allowed The Company to rapidly innovate and enhance its solutions, and the company continues to develop new and enhanced solutions for its portfolio</t>
  </si>
  <si>
    <t>First, The Company seeks to continue to enhance the effectiveness, efficiency and ease of use of its current solutions</t>
  </si>
  <si>
    <t>They're most likely working on a Neuro solution … Different ball game from peripheral … Track PEN's THUNDER study … first movers advantage?</t>
  </si>
  <si>
    <t>Third, The Company is developing and refining solutions beyond thrombectomy to address other unmet and underserved needs</t>
  </si>
  <si>
    <t>For the years ended December 31, 2023, 2022 and 2021, The Company's research and development expenses, which includes clinical research expenses, were $87.5 million, $74.2 million and $51.0 million, respectively</t>
  </si>
  <si>
    <t>The Company believes that the standard of care for the treatment of VTE and other diseases will evolve similar to that of other thrombotic diseases, such as myocardial infarction and stroke, to anticoagulants together with catheter-based interventions</t>
  </si>
  <si>
    <t>The Company believes its purpose-built solutions are further driving this evolution of treatment and The Company is committed to changing the standard of care for VTE and other diseases</t>
  </si>
  <si>
    <t>In this regard, The Company has a team who develops innovative ideas for educating facilities and administrators on the benefits of having a dedicated VTE response team, institutional guidelines for treatment of VTE, and a comprehensive quality review of their respective VTE programs</t>
  </si>
  <si>
    <t>The efforts The Company makes to improve VTE treatment awareness and procedural excellence overlap with its continued push for more robust clinical evidence and collaboration with, and input from key stakeholders, including physicians that treat VTE and non-interventional stakeholders who are instrumental in making referrals or establishing treatment protocols within medical facilities</t>
  </si>
  <si>
    <t>With the acquisition of LimFlow, The Company believes it can apply a similar model of program development to improve CLTI treatment awareness and procedural excellence</t>
  </si>
  <si>
    <t>The Company believe its mission-focused and highly-trained commercial organization provides a significant competitive advantage</t>
  </si>
  <si>
    <t>The Company's most important relationships are between its sales representatives and treating physicians, which include interventional cardiologists, interventional radiologists and vascular surgeons</t>
  </si>
  <si>
    <t>The Company recruits sales representatives who have substantial and applicable medical device or other relevant sales experience</t>
  </si>
  <si>
    <t>This seems to be a standard across the industry … IDK enough about med-tech sales landscape … are there barriers to entry through certification???</t>
  </si>
  <si>
    <t>The Company's front-line sales representatives typically attend procedures, which puts The Company at the intersection of the patient and physician</t>
  </si>
  <si>
    <t>The Company markets and sell solutions to hospitals, which are reimbursed by various third-party payors</t>
  </si>
  <si>
    <t>No patient/company contact … similar to PEN</t>
  </si>
  <si>
    <t>The Company has dedicated meaningful resources to building a direct sales force in the United States, with The Company's sales force covering over 300 territories as of December 31, 2023</t>
  </si>
  <si>
    <t>The Company currently sells its solutions to over 1,600 of the approximately 2,000 hospitals in the United States with a cath lab or interventional suite where catheter-based procedures can be performed</t>
  </si>
  <si>
    <t>Outside of the United States, The Company sells its solutions in over 30 countries</t>
  </si>
  <si>
    <t>This is something to watch for and can be exploited by bad market players … Are there any rumors out their??</t>
  </si>
  <si>
    <t>This strategy enables The Company's sales representatives to have regular and targeted communications to convey the benefits of The Company's solutions to non-interventional physicians, such as emergency department physicians and pulmonologists</t>
  </si>
  <si>
    <t>The Company also inspects, tests, packages and ships finished goods from this facility</t>
  </si>
  <si>
    <t>The Company has intentionally pursued a vertically integrated manufacturing strategy</t>
  </si>
  <si>
    <t>Look into if other med tech firms are vertically integrated … I am pretty sure this is industry standard, except if you get to the MNC level</t>
  </si>
  <si>
    <t>The Company believes its current manufacturing capacity is sufficient to meet The Company's current expected demand for at least the next 12 months</t>
  </si>
  <si>
    <t>In October 2023, The Company signed a lease and construction agreement for 185,000 square feet of land with options to lease additional land of 283,000 square feet in the Evolution Free Trade Zone in Costa Rica</t>
  </si>
  <si>
    <t>The Company is registered with the FDA as a medical device manufacturer and are licensed by the State of California to manufacture and distribute medical devices</t>
  </si>
  <si>
    <t>The Company is required to manufacture devices in compliance with the FDA’s Quality System Regulation, or QSR</t>
  </si>
  <si>
    <t>The FDA enforces the QSR through periodic inspections and may also inspect the facilities of The Company's suppliers</t>
  </si>
  <si>
    <t>In October 2021, The Company moved to its current Irvine, California facility</t>
  </si>
  <si>
    <t>This inspection was conducted at The Company's prior facility, also located in Irvine, California</t>
  </si>
  <si>
    <t>The FDA has not conducted an inspection at The Company's current facility</t>
  </si>
  <si>
    <t>The Company has received International Organization for Standardization, or ISO, 13485:2016 certification for its QSM (quality management system)</t>
  </si>
  <si>
    <t>The Company currently has no major unresolved non-conformities outstanding in connection with previous audits of The Company's facilities or QSM (quality management systems)</t>
  </si>
  <si>
    <t>The Company uses a combination of internally manufactured and externally-sourced components to produce medical device systems</t>
  </si>
  <si>
    <t>The Company has experienced significant growth since The Companybegan commercializing products in the United States</t>
  </si>
  <si>
    <t>The Company believes the best way to treat small vessel thrombosis and improve the quality of life for patients suffering from the underlying diseases is to safely and effectively remove as much clot as possible</t>
  </si>
  <si>
    <t>The Company purpose built it's InThrill system to effectively treat small vessel thrombosis generally, and AV thrombosis specifically</t>
  </si>
  <si>
    <t>The Company plans to continue its efforts in treating the debilitating effects of clot in the small vessels through additional solutions or enhancements</t>
  </si>
  <si>
    <t>The Company estimates that between approximately 150,000 and 200,000 patients in the United States each year present with AV thrombosis and another approximately 80,000 patients present with thrombosis below the knee or in the upper extremities</t>
  </si>
  <si>
    <t>The Company believes the best way to treat ALI and related diseases is to quickly, safely and effectively remove the clot</t>
  </si>
  <si>
    <t>The Company estimates that approximately 80,000 patients in the United States each year present with ALI or other arterial thromboembolism in the peripheral vasculature</t>
  </si>
  <si>
    <t>The Company currently operates in 22 countries within EMEA, six in LAC, and three in APAC</t>
  </si>
  <si>
    <t>SYK acquisition opens NARI products to a wider pool of markets, that have pre-established relations with SYK … Definitely a certain scaling factor tailwind but is The Company's offering really better than firms with competitive overlap</t>
  </si>
  <si>
    <t>In these international markets, The Company sells products either directly or through distributors, with the practice varying by country</t>
  </si>
  <si>
    <t>Each component of a system is packaged separately, and The Company generally prices its systems on a per procedure basis instead of charging for each component used in a procedure</t>
  </si>
  <si>
    <t>With RevCore, The Company have developed a solution for an entirely new patient population not currently addressed by the ClotTriever or FlowTriever systems</t>
  </si>
  <si>
    <t>The Company began commercializing the InThrill system in late 2022. Each component is packaged separately and sold individually</t>
  </si>
  <si>
    <t>Clinical Research – The Company believes The Company are the market leader for building clinical evidence with a mission of changing the standard of care</t>
  </si>
  <si>
    <t>In 2023, The Company's continued enrollment in randomized control trial (RCT) – PEERLESS, a prospective, multicenter trial. The Company completed enrollment in February 2024 with 550 randomized patients enrolled at up to 60 centers</t>
  </si>
  <si>
    <t>For the LimFlow system, The Company currently relies solely on externally-sourced components, third-party contract manufacturing, and finished good assemblies</t>
  </si>
  <si>
    <t>In addition, The Company is continually looking for opportunities to approve alternative suppliers to dual or multi-source certain of components</t>
  </si>
  <si>
    <t>The Company generally seeks to maintain sufficient supply levels to help mitigate any supply interruptions and enable The Company to find and qualify another source of supply</t>
  </si>
  <si>
    <t>For certain components, The Company estimates that it could take up to six months to find and qualify a second source</t>
  </si>
  <si>
    <t>The Company inspects and verify externally-sourced components under strict processes supported by internal policies and procedures</t>
  </si>
  <si>
    <t>The Company's finished solutions are then ethylene oxide sterilized by qualified third-party suppliers</t>
  </si>
  <si>
    <t>For The Company's VTE solutions and Emerging Therapy clot removal solutions, it competes with manufacturers of thrombolytic drugs, such as Roche, and with medical device companies that manufacture thrombectomy devices and systems used to treat vascular blockages</t>
  </si>
  <si>
    <t>The Company's primary medical device competitors are divisions of:</t>
  </si>
  <si>
    <t>As this interest continues to grow, Managers are anticipating that this competition will intensify</t>
  </si>
  <si>
    <t>Many of The Company's competitors have longer, more established operating histories, and significantly greater name recognition and financial, technical, marketing, sales, distribution and other resources</t>
  </si>
  <si>
    <t>While The Company acknowledges a limited number of mechanical thrombectomy and aspiration-based devices and companies in the market, The Company's primary competition in the Emerging Therapies space currently lies with manufacturers of thrombolytic drugs or anticoagulants, or with physicians' treatment decisions, such as surgery instead of intervention</t>
  </si>
  <si>
    <t>With respect to LimFlow, in particular, The Company currently competes with physicians' treatment decisions, such as amputation, and limited understanding of the availability of TADV as an FDA-approved treatment option</t>
  </si>
  <si>
    <t>The Company's overall competitive position is dependent upon a number of factors, including patient outcomes and adverse event rates, patient experience and treatment time, acceptance by hospitals, physicians and referral sources, ease-of-use and reliability, patient recovery time and level of discomfort, economic benefits and cost savings, availability of reimbursement and the strength of clinical data and supporting evidence and The Company's ability to obtain necessary clearances, certifications or approvals for new solutions</t>
  </si>
  <si>
    <t>One of the major hurdles to adoption of The Company's solutions is overcoming established treatment patterns, which The Company seeks to accomplish through the four-pronged foundation of its business and driving the education of referral sources and physicians, generating supportive clinical data and developing treatment programs with hospitals and other customers</t>
  </si>
  <si>
    <t>Together, The Company's devices and systems provide solutions to address the following disease states: deep vein thrombosis, pulmonary embolism, arteriovenous (AV) thrombosis primarily in dialysis fistulas or grafts, acute limb ischemia (ALI), chronic venous disease, and CLTI</t>
  </si>
  <si>
    <t>The results of operations of LimFlow have been included in The Company's consolidated financial statements from the date of the acquisition</t>
  </si>
  <si>
    <t>The Company's first two devices, ClotTriever and FlowTriever, were developed to treat the debilitating effects of VTE, and this remains a core focus of The Company's business</t>
  </si>
  <si>
    <t>The Company purpose builds clot-removing ClotTriever and FlowTriever systems, which are described in more detail below under “The Company's Solutions - Venous Thromboembolism (VTE)” to effectively treat DVT and PE</t>
  </si>
  <si>
    <t>Based on The Company's recent reassessment of the total addressable market for VTE in the United States, of these estimated annual DVT and PE diagnoses, The Companybelieve approximately 430,000 DVT patients and approximately 280,000 PE patients could benefit from safe and effective treatment with The Company's ClotTriever and FlowTriever systems each year, respectively</t>
  </si>
  <si>
    <t>In addition, The Company believes there are approximately 20,000 patients with clot in transit in the right atrium who could benefit from treatment with The Company's FlowTriever system</t>
  </si>
  <si>
    <t>In addition to treating CVD with The Company's existing ClotTriever and FlowTriever systems, The Companypurpose built The Company's ClotTriever BOLD catheter to address a range of clot chronicity, including chronic clot, and The Company's RevCore thrombectomy catheter to address venous stent thrombosis</t>
  </si>
  <si>
    <t>The Companyplan to continue The Company's efforts in treating the debilitating effects of CVD and related diseases through additional solutions in the near and medium term</t>
  </si>
  <si>
    <t>The Company is purposefully designing its Artix system to effectively remove thrombosis to alleviate the symptoms of these underlying and emergent diseases, and The Company plan to continue developing solutions for these disease states</t>
  </si>
  <si>
    <t>The Company believes its solutions could be the catalyst to drive the same evolution of treatment for The Company's target opportunities, establishing The Company's solutions as the standard of care</t>
  </si>
  <si>
    <t>Additionally, LimFlow, as one of The Company's Emerging Therapy solutions, currently is the only FDA approved purpose-built system for artery to vein crossing and offers a critical alternative to amputation for no-option CLTI patients, as limb loss is associated with significant complications, mortality, and deterioration of quality of life</t>
  </si>
  <si>
    <t>The Company's sales representatives generally target interventional radiologists, interventional cardiologists, and vascular surgeons in selling each of The Company's systems</t>
  </si>
  <si>
    <t>The Company began commercializing The Company's ClotTriever system in 2017 and continue to expand the system through indication expansions, component enhancements and new solutions</t>
  </si>
  <si>
    <t>The Company began commercializing The Company's FlowTriever system in 2017 and continue to expand the system through indication expansions, component enhancements and new solutions</t>
  </si>
  <si>
    <t>The Company's ethos is to put patients first, make no small plans, and take care of each other. The Company has established a fitspronged foundation for itsbusiness:</t>
  </si>
  <si>
    <t>The Company has an established and experienced team of medical education professionals, who lead the training program and content development for The Company's internal and external users</t>
  </si>
  <si>
    <t>Because The Company's sales representatives attend many of the procedures where it's devices are used, The Company has a robust sales training program to ensure they are able to support The Company's customers and to keep them up to speed on clinical and device-related updates real-time</t>
  </si>
  <si>
    <t>In addition, this team develops and leads regular national, regional, and local training and educational programs for both interventional and non-interventional physicians, nursing staff and other personnel involved in The Company's procedures at a hospital</t>
  </si>
  <si>
    <t>The Company's medical affairs team, led by Thomas Tu, M.D., The Company's Chief Medical Officer and an interventional cardiologist by training, consists of three full-time physicians (two interventional cardiologists, including Dr. Tu, and one pulmonologist with expertise in PE)</t>
  </si>
  <si>
    <t>The Company hosts other events designed to help physicians who are familiar with The Company's solutions and procedures to learn additional and enhanced techniques</t>
  </si>
  <si>
    <t>Following completion of U.S. enrollment in The Company's FLASH study for the FlowTriever system in PE patients (the largest prospective PE device study with up to 1,000 patients), The Company reported the results during a late-breaking clinical trial session at the TCT (Transcatheter Cardiovascular Therapeutics) conference in September 2022</t>
  </si>
  <si>
    <t>Lol … are these study names trolling?</t>
  </si>
  <si>
    <t>The Company also completed enrollment in The Company's FLAME study which is the largest prospective high-risk PE device study with over 100 patients and in March 2023, The Company reported the results during a late-breaking clinical and investigative horizons session at the 2023 American College of Cardiology conference</t>
  </si>
  <si>
    <t>The Company enrolled The Company's first patient in this study in January 2023</t>
  </si>
  <si>
    <t>In addition to The Company's RCTs and large prospective studies, The Company has a number of investigator-initiated and sponsored studies underway as well as multiple publications annually on the safety, efficacy and cost effectiveness of The Company's devices</t>
  </si>
  <si>
    <t>The Company believe The Company's ability to develop innovative solutions is attributable to The Company's focus on the specific anatomical system, the design philosophy and development process that The Company have implemented, The Company's efforts to leverage and expand The Company's clinical evidence, and the insights that The Company have gained from The Company's work in developing The Company's solutions to date</t>
  </si>
  <si>
    <t>The Company's research and development effort is informed by near real-time field-based input from The Company's sales organization, physicians and the direct field experience of its engineers</t>
  </si>
  <si>
    <t>The Company's development efforts are focused on developing and providing the best treatment for patients and The Company centers its efforts on feedback from The Company's customers, who are at the front lines of treating patients with VTE, CLTI and other complex diseases</t>
  </si>
  <si>
    <t>Second, The Company plans to expand the application of its thrombectomy technology to areas of the body that are not addressed by The Company's existing solutions</t>
  </si>
  <si>
    <t>The Company has developed systems and processes to harness the information gained from these relationships and The Company leverage this information to rapidly iterate solutions, introduce and execute physician education and training programs and scale The Company's sales organization</t>
  </si>
  <si>
    <t>The Company continues to actively expand The Company's sales organization through additional sales representatives and territories</t>
  </si>
  <si>
    <t>As The Company expands its network of hospital customers and leverage its expanding sales organization, The Company seeks to increase awareness within these hospitals and with The Company's treating physicians, referring physicians and other stakeholders at the customer account level in order to drive greater adoption of The Company's solutions as the preferred first-line choice treatment for patients</t>
  </si>
  <si>
    <t>The manufacturing and assembly of all of The Company's solutions, except for the LimFlow system, is performed at The Company's facility in Irvine, California</t>
  </si>
  <si>
    <t>The Company believes this offers important advantages, including rapid iteration and control The Company's device quality</t>
  </si>
  <si>
    <t>In connection with these audits, non-conformities relating to The Company's quality management system are noted from time to time</t>
  </si>
  <si>
    <t>While there are other suppliers that could make or provide any one of The Company's externally-sourced components, The Company seeks to manage supplier risk by regularly assessing the quality and capacity of The Company's suppliers, implementing supply and quality agreements where appropriate and actively managing lead times and inventory levels of sourced components</t>
  </si>
  <si>
    <t>Order quantities and lead times for externally-sourced components are based on The Company's forecasts, which are derived from historical demand and anticipated future demand</t>
  </si>
  <si>
    <t>The Company's suppliers are evaluated, qualified and approved as part of The Company's supplier quality program, which includes verification and monitoring procedures to ensure that The Company's suppliers comply with FDA and ISO standards as appropriate, as well as The Company's own specifications and requirements</t>
  </si>
  <si>
    <t>The Company maintains a rigorous change control policy to assure that no product or process changes are implemented without The Company's prior review and approval</t>
  </si>
  <si>
    <t>The Company competes primarily on the basis that The Company's ClotTriever and FlowTriever systems are designed specifically for the venous system and are able to treat patients with DVT and PE safely, effectively and without the need for thrombolytic drugs and their related costs and complications</t>
  </si>
  <si>
    <t>With respect to Emerging Therapies, The Company is just entering the market and believe there are currently limited competitors offering purpose-built solutions for The Company's target opportunities</t>
  </si>
  <si>
    <t>The Company actively seeks to protect the intellectual property and proprietary technology that The Company believe is important to The Company's business</t>
  </si>
  <si>
    <t>The Company relies on a combination of trademark, copyright, patent, trade secret and other intellectual property laws, employment, confidentiality and invention assignment agreements, and protective contractual provisions with The Company's employees, contractors, consultants, suppliers, partners and other third parties to protect The Company's intellectual property rights</t>
  </si>
  <si>
    <t>As of December 31, 2023, The Company held 74 U.S. patents, which are expected to expire between March 2025 and October 2024, 54 pending U.S. patent applications, 55 issued foreign patents, and 90 pending foreign patent applications including 11 pending Patent Cooperation Treaty applications, excluding The Company's licensed and sublicensed patents</t>
  </si>
  <si>
    <t>The Company's patents include a number of claims related to The Company's systems, future concepts for The Company's devices and methods for treating vascular occlusions and embolisms</t>
  </si>
  <si>
    <t>There is no active patent litigation involving any of The Company's patents and we have not received any notices of any patent infringement</t>
  </si>
  <si>
    <t>The Company's pending patent and trademark applications may not result in issued patents or trademarks, and we cannot assure that any current or subsequently issued patent or trademark will protect The Company's intellectual property rights, provide us with any competitive advantage or withstand or retain its original scope if subjected to a validity or enforceability challenge from a third party</t>
  </si>
  <si>
    <t>While there is no active litigation involving any of The Company's patents or other intellectual property rights and we have not received any notices of patent or other intellectual property infringement, we may be required to enforce or defend The Company's intellectual property rights against third parties in the future</t>
  </si>
  <si>
    <t>In the United States, we sell The Company's solutions to hospitals</t>
  </si>
  <si>
    <t>As we continue to expand into new geographies, we work with the local government agencies to establish relevant reimbursement for The Company's solutions</t>
  </si>
  <si>
    <t>The Company's products and The Company's operations are subject to extensive regulation by the U.S. Food and Drug Administration, or FDA, and other federal and state authorities in the United States, as well as comparable authorities in foreign jurisdictions</t>
  </si>
  <si>
    <t>The Company's products are subject to regulation as medical devices in the United States under the Federal Food, Drug, and Cosmetic Act, or FDCA, as implemented and enforced by the FDA</t>
  </si>
  <si>
    <t>With exception of the LimFlow system, The Company's currently marketed products are Class II devices for which we have received 510(k) clearance</t>
  </si>
  <si>
    <t>Most of The Company's current products are subject to premarket notification and clearance under section 510(k) of the FDCA. To obtain 510(k) clearance, we must submit to the FDA a premarket notification submission demonstrating that the proposed device is “substantially equivalent” to a predicate device already on the market, i.e., a device that was legally marketed prior to May 28, 1976 (pre-amendments device) and for which a PMA is not required, a device that has been reclassified from Class III to Class II or I, or a device that was found substantially equivalent through the 510(k) process</t>
  </si>
  <si>
    <t>Employee Scope:</t>
  </si>
  <si>
    <t>[Godel Snapshot]</t>
  </si>
  <si>
    <t>Revenues:</t>
  </si>
  <si>
    <t>Revenue Breakdown by Segment (Build graph for this section if applicable…. See example below)</t>
  </si>
  <si>
    <t>Earnings Scope:</t>
  </si>
  <si>
    <t>[Godel Snapshot of projected earnings/EPS]</t>
  </si>
  <si>
    <t xml:space="preserve">[Ticker] Historical Return Histogram (Date Built) </t>
  </si>
  <si>
    <r>
      <rPr>
        <i/>
        <sz val="11"/>
        <color theme="1"/>
        <rFont val="Calibre"/>
      </rPr>
      <t>n</t>
    </r>
    <r>
      <rPr>
        <sz val="11"/>
        <color theme="1"/>
        <rFont val="Calibre"/>
      </rPr>
      <t xml:space="preserve"> # of Trading Days? (From: </t>
    </r>
    <r>
      <rPr>
        <i/>
        <sz val="11"/>
        <color theme="1"/>
        <rFont val="Calibre"/>
      </rPr>
      <t>date the data snapshot was collected</t>
    </r>
    <r>
      <rPr>
        <sz val="11"/>
        <color theme="1"/>
        <rFont val="Calibre"/>
      </rPr>
      <t>)</t>
    </r>
  </si>
  <si>
    <t>Close</t>
  </si>
  <si>
    <t>High</t>
  </si>
  <si>
    <t>Low</t>
  </si>
  <si>
    <t>Open</t>
  </si>
  <si>
    <t>Volume</t>
  </si>
  <si>
    <t>UTC Date</t>
  </si>
  <si>
    <t>Change</t>
  </si>
  <si>
    <t>Balance Sheet Scope:</t>
  </si>
  <si>
    <t>[Godel Snapshot of projected balances (assets, liabilities, equity)]</t>
  </si>
  <si>
    <t>Min</t>
  </si>
  <si>
    <t>Max</t>
  </si>
  <si>
    <t>Mean μ</t>
  </si>
  <si>
    <t>Median</t>
  </si>
  <si>
    <t>SD σ</t>
  </si>
  <si>
    <t xml:space="preserve">  3σ 1-Day Δ: ±</t>
  </si>
  <si>
    <t>&lt;- Sharpe Ratio (Risk Adjusted Return)</t>
  </si>
  <si>
    <t>β (1-year avg.)</t>
  </si>
  <si>
    <t>[look up]</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</si>
  <si>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</si>
  <si>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</si>
  <si>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</si>
  <si>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</si>
  <si>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</si>
  <si>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</si>
  <si>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</si>
  <si>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</si>
  <si>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</si>
  <si>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</si>
  <si>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</si>
  <si>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Mean</t>
  </si>
  <si>
    <t>-3σ</t>
  </si>
  <si>
    <t>-2σ</t>
  </si>
  <si>
    <t>-1σ</t>
  </si>
  <si>
    <t>1σ</t>
  </si>
  <si>
    <t>2σ</t>
  </si>
  <si>
    <t>3σ</t>
  </si>
  <si>
    <t>[Equity Preformance Compared to Peers]</t>
  </si>
  <si>
    <t>Use Godel CMS command</t>
  </si>
  <si>
    <t xml:space="preserve">Institutional Ownership Snapshot </t>
  </si>
  <si>
    <t>During 2023, we derived substantially all our revenue from the sale of our VTE products directly to hospitals primarily located in the United States while we continued to grow internationally</t>
  </si>
  <si>
    <t>Our customers typically purchase our products through an initial stocking order, and then reorder replenishment inventory as procedures are performed</t>
  </si>
  <si>
    <t>No single customer accounted for 10% or more of our revenue during the years ended December 31, 2023, 2022 and 2021</t>
  </si>
  <si>
    <t>The Company expects revenues to increase in absolute dollars as The Company expands their offerings, grow the sales organization and sales territories, add customers, expand the base of physicians who gain experience with using our products, expand awareness of our products with new and existing customers and as physicians perform more procedures using our products.</t>
  </si>
  <si>
    <t>We disaggregate revenue between VTE and Emerging Therapies markets</t>
  </si>
  <si>
    <t>VTE comprises revenue from the sale of our ClotTriever and FlowTriever systems. Emerging Therapies comprises revenues from the sale of our solutions addressing chronic venous disease, CLTI, small vessel thrombosis and arterial thromboembolism</t>
  </si>
  <si>
    <t>We manufacture and/or assemble substantially all our products at our facility in Irvine, California</t>
  </si>
  <si>
    <t>Cost of goods sold consists primarily of the cost of raw materials, components, direct labor and manufacturing overhead</t>
  </si>
  <si>
    <t>Overhead costs include the cost of quality assurance, material procurement, inventory control, facilities, equipment and operations supervision and management, including stock-based compensation</t>
  </si>
  <si>
    <t>Cost of goods sold also includes depreciation expense for production equipment and certain direct costs such as shipping costs</t>
  </si>
  <si>
    <t>Cost of Goods Sold and Gross Margin:</t>
  </si>
  <si>
    <t>We expect cost of goods sold to continue to increase in absolute dollars as our revenue grows, we introduce new products, and more of our products are sold; however, we also expect to realize opportunities to increase operating leverage as we continue to expand and optimize our manufacturing operations</t>
  </si>
  <si>
    <t>We calculate gross margin as gross profit divided by revenue</t>
  </si>
  <si>
    <t>Our gross margin has been and will continue to be affected by a variety of factors, including average selling prices, product sales mix, production and ordering volumes, manufacturing costs, product yields, headcount and cost-reduction strategies. Our gross margin could fluctuate from year to year as we introduce new products, adopt new manufacturing processes and technologies, and as we expand internationally</t>
  </si>
  <si>
    <t>Financial Stmts. Notes/Observations (Updated Q4'23)</t>
  </si>
  <si>
    <t>Additionally, treatments using our systems can be billed on a per system price or price per component</t>
  </si>
  <si>
    <t>For our products sold on a per system price, we typically charge customers the same price, regardless of the number of components used during the procedure</t>
  </si>
  <si>
    <t>As a result, changes in the number of components used, the cost of these components and the introduction of additional components into the systems can impact our gross margin</t>
  </si>
  <si>
    <t>Research and development, or “R&amp;D”, expenses consist primarily of engineering, product development, clinical studies to develop and support our products, regulatory expenses, and other costs associated with products that are in development</t>
  </si>
  <si>
    <t>Research and Development Expenses:</t>
  </si>
  <si>
    <t>These expenses include employee compensation, including stock-based compensation, supplies, consulting, prototyping, testing, materials, travel and depreciation expenses</t>
  </si>
  <si>
    <t>Additionally, R&amp;D expenses include costs associated with our clinical trials and registries, including clinical study design, clinical study site initiation and study costs, data management, and internal and external costs incurred in the process of regulatory submissions, which include the costs of outside consultants and contractors</t>
  </si>
  <si>
    <t>We expense R&amp;D costs as incurred</t>
  </si>
  <si>
    <t>We expect R&amp;D to increase in absolute dollars in the near term and generally expect R&amp;D expenses as a percentage of revenue to vary over time depending on the level and timing of our new product development efforts, as well as our clinical evidence development, clinical trials and registries and other related activities</t>
  </si>
  <si>
    <t>Selling, General and Administrative Expenses:</t>
  </si>
  <si>
    <t>Selling, general and administrative, or “SG&amp;A”, expenses consist primarily of compensation for personnel, including stock-based compensation, related to selling and marketing functions, physician education programs, commercial operations and analytics, finance, information technology, human resource and other corporate functions</t>
  </si>
  <si>
    <t>Other SG&amp;A expenses include sales commissions, travel expenses, promotional activities, marketing initiatives, market research and analysis, conferences and trade shows, physician training, professional services fees (including acquisition related transaction costs, legal, audit and tax fees), insurance costs, general corporate expenses, facilities-related expenses and amortization of intangible assets</t>
  </si>
  <si>
    <t>We expect SG&amp;A expenses to continue to increase in absolute dollars as we expand our sales and marketing organization and infrastructure to both drive and support the anticipated growth in revenue</t>
  </si>
  <si>
    <t>Interest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</si>
</sst>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24">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Calibre"/>
    </font>
    <font>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color rgb="FF000000"/>
      <name val="Arial"/>
      <family val="2"/>
    </font>
    <font>
      <sz val="12"/>
      <color rgb="FF212529"/>
      <name val="Segoe UI"/>
      <family val="2"/>
    </font>
    <font>
      <sz val="9"/>
      <color rgb="FF000000"/>
      <name val="Arial"/>
      <family val="2"/>
    </font>
    <font>
      <sz val="8"/>
      <color rgb="FF000000"/>
      <name val="Arial"/>
      <family val="2"/>
    </font>
    <font>
      <b/>
      <sz val="9"/>
      <color rgb="FF000000"/>
      <name val="Arial"/>
      <family val="2"/>
    </font>
    <font>
      <i/>
      <sz val="11"/>
      <color theme="1"/>
      <name val="Calibre"/>
    </font>
    <font>
      <b/>
      <sz val="10"/>
      <name val="Arial"/>
      <family val="2"/>
    </font>
    <font>
      <b/>
      <i/>
      <sz val="11"/>
      <color theme="1"/>
      <name val="Calibri"/>
      <family val="2"/>
      <scheme val="minor"/>
    </font>
    <font>
      <sz val="11"/>
      <color theme="4" tint="-0.249977111117893"/>
      <name val="Calibre"/>
    </font>
    <font>
      <b/>
      <sz val="11"/>
      <color theme="4" tint="-0.249977111117893"/>
      <name val="Calibre"/>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FFFF"/>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indexed="64"/>
      </top>
      <bottom style="thin">
        <color theme="4" tint="0.39997558519241921"/>
      </bottom>
      <diagonal/>
    </border>
    <border>
      <left style="thin">
        <color indexed="64"/>
      </left>
      <right/>
      <top style="thin">
        <color theme="4" tint="0.39997558519241921"/>
      </top>
      <bottom style="thin">
        <color indexed="64"/>
      </bottom>
      <diagonal/>
    </border>
    <border>
      <left style="thin">
        <color indexed="64"/>
      </left>
      <right/>
      <top style="thin">
        <color theme="4" tint="0.39997558519241921"/>
      </top>
      <bottom style="thin">
        <color theme="4" tint="0.39997558519241921"/>
      </bottom>
      <diagonal/>
    </border>
    <border>
      <left/>
      <right/>
      <top style="medium">
        <color rgb="FF000000"/>
      </top>
      <bottom/>
      <diagonal/>
    </border>
    <border>
      <left/>
      <right/>
      <top/>
      <bottom style="medium">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cellStyleXfs>
  <cellXfs count="105">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10" fontId="2" fillId="0" borderId="0" xfId="0" applyNumberFormat="1" applyFont="1"/>
    <xf numFmtId="0" fontId="6" fillId="5" borderId="0" xfId="0" applyFont="1" applyFill="1" applyAlignment="1">
      <alignment horizontal="center" vertical="center"/>
    </xf>
    <xf numFmtId="10" fontId="6" fillId="5" borderId="0" xfId="0" applyNumberFormat="1" applyFont="1" applyFill="1" applyAlignment="1">
      <alignment horizontal="center" vertical="center"/>
    </xf>
    <xf numFmtId="0" fontId="6"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7" fillId="0" borderId="17" xfId="0" applyFont="1" applyBorder="1" applyAlignment="1">
      <alignment horizontal="center"/>
    </xf>
    <xf numFmtId="0" fontId="7" fillId="0" borderId="17" xfId="0" applyFont="1" applyBorder="1" applyAlignment="1">
      <alignment horizontal="left"/>
    </xf>
    <xf numFmtId="0" fontId="7" fillId="0" borderId="17" xfId="0" applyFont="1" applyBorder="1" applyAlignment="1">
      <alignment horizontal="center" wrapText="1"/>
    </xf>
    <xf numFmtId="0" fontId="8" fillId="0" borderId="0" xfId="0" applyFont="1"/>
    <xf numFmtId="0" fontId="9" fillId="0" borderId="0" xfId="0" applyFont="1"/>
    <xf numFmtId="0" fontId="10" fillId="0" borderId="0" xfId="0" applyFont="1"/>
    <xf numFmtId="0" fontId="11" fillId="0" borderId="0" xfId="0" applyFont="1" applyAlignment="1">
      <alignment horizontal="left" indent="1"/>
    </xf>
    <xf numFmtId="0" fontId="11" fillId="0" borderId="0" xfId="0" applyFont="1"/>
    <xf numFmtId="0" fontId="11"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3" fillId="0" borderId="0" xfId="3" applyFont="1"/>
    <xf numFmtId="0" fontId="12" fillId="0" borderId="0" xfId="3"/>
    <xf numFmtId="165" fontId="2" fillId="0" borderId="0" xfId="0" applyNumberFormat="1" applyFont="1" applyAlignment="1">
      <alignment horizontal="left" indent="5"/>
    </xf>
    <xf numFmtId="14" fontId="2" fillId="0" borderId="0" xfId="0" applyNumberFormat="1" applyFont="1"/>
    <xf numFmtId="0" fontId="14" fillId="0" borderId="0" xfId="0" applyFont="1"/>
    <xf numFmtId="0" fontId="4" fillId="2" borderId="2" xfId="0" applyFont="1" applyFill="1" applyBorder="1"/>
    <xf numFmtId="0" fontId="4" fillId="3" borderId="2" xfId="0" applyFont="1" applyFill="1" applyBorder="1" applyAlignment="1">
      <alignment horizontal="left"/>
    </xf>
    <xf numFmtId="0" fontId="4" fillId="3" borderId="5" xfId="0" applyFont="1" applyFill="1" applyBorder="1" applyAlignment="1">
      <alignment horizontal="left"/>
    </xf>
    <xf numFmtId="0" fontId="4" fillId="3" borderId="9" xfId="0" applyFont="1" applyFill="1" applyBorder="1" applyAlignment="1">
      <alignment horizontal="left"/>
    </xf>
    <xf numFmtId="0" fontId="4" fillId="3" borderId="13" xfId="0" applyFont="1" applyFill="1" applyBorder="1" applyAlignment="1">
      <alignment horizontal="left"/>
    </xf>
    <xf numFmtId="0" fontId="4" fillId="3" borderId="14" xfId="0" applyFont="1" applyFill="1" applyBorder="1" applyAlignment="1">
      <alignment horizontal="left"/>
    </xf>
    <xf numFmtId="0" fontId="4" fillId="3" borderId="0" xfId="0" applyFont="1" applyFill="1" applyAlignment="1">
      <alignment horizontal="left"/>
    </xf>
    <xf numFmtId="10" fontId="13" fillId="4" borderId="18" xfId="0" applyNumberFormat="1" applyFont="1" applyFill="1" applyBorder="1"/>
    <xf numFmtId="10" fontId="13" fillId="0" borderId="19" xfId="0" applyNumberFormat="1" applyFont="1" applyBorder="1"/>
    <xf numFmtId="10" fontId="13" fillId="4" borderId="19" xfId="0" applyNumberFormat="1" applyFont="1" applyFill="1" applyBorder="1"/>
    <xf numFmtId="10" fontId="2" fillId="0" borderId="19" xfId="0" applyNumberFormat="1" applyFont="1" applyBorder="1"/>
    <xf numFmtId="10" fontId="2" fillId="4" borderId="19" xfId="0" applyNumberFormat="1" applyFont="1" applyFill="1" applyBorder="1"/>
    <xf numFmtId="10" fontId="2" fillId="4" borderId="19" xfId="0" applyNumberFormat="1" applyFont="1" applyFill="1" applyBorder="1" applyAlignment="1">
      <alignment wrapText="1"/>
    </xf>
    <xf numFmtId="10" fontId="2" fillId="4" borderId="20" xfId="0" applyNumberFormat="1" applyFont="1" applyFill="1" applyBorder="1"/>
    <xf numFmtId="165" fontId="2" fillId="0" borderId="0" xfId="0" applyNumberFormat="1" applyFont="1"/>
    <xf numFmtId="166" fontId="2" fillId="0" borderId="0" xfId="1" applyNumberFormat="1" applyFont="1"/>
    <xf numFmtId="0" fontId="15" fillId="6" borderId="0" xfId="0" applyFont="1" applyFill="1" applyAlignment="1">
      <alignment vertical="center" wrapText="1"/>
    </xf>
    <xf numFmtId="0" fontId="3" fillId="0" borderId="0" xfId="0" applyFont="1" applyAlignment="1">
      <alignment horizontal="center"/>
    </xf>
    <xf numFmtId="165" fontId="3" fillId="0" borderId="0" xfId="0" applyNumberFormat="1" applyFont="1"/>
    <xf numFmtId="2" fontId="2" fillId="0" borderId="0" xfId="1" applyNumberFormat="1" applyFont="1"/>
    <xf numFmtId="0" fontId="20" fillId="5" borderId="0" xfId="0" applyFont="1" applyFill="1" applyAlignment="1">
      <alignment horizontal="center" vertical="center"/>
    </xf>
    <xf numFmtId="0" fontId="22" fillId="0" borderId="0" xfId="0" applyFont="1"/>
    <xf numFmtId="0" fontId="23" fillId="0" borderId="0" xfId="0" applyFont="1"/>
    <xf numFmtId="165" fontId="22" fillId="0" borderId="0" xfId="0" applyNumberFormat="1" applyFont="1"/>
    <xf numFmtId="165" fontId="23" fillId="0" borderId="0" xfId="0" applyNumberFormat="1" applyFont="1"/>
    <xf numFmtId="166" fontId="22" fillId="0" borderId="0" xfId="1" applyNumberFormat="1" applyFont="1"/>
    <xf numFmtId="2" fontId="22" fillId="0" borderId="0" xfId="0" applyNumberFormat="1" applyFont="1"/>
    <xf numFmtId="0" fontId="22" fillId="0" borderId="0" xfId="0" applyFont="1" applyAlignment="1">
      <alignment horizontal="right"/>
    </xf>
    <xf numFmtId="0" fontId="22" fillId="0" borderId="0" xfId="0" applyFont="1" applyAlignment="1">
      <alignment horizontal="center"/>
    </xf>
    <xf numFmtId="0" fontId="22" fillId="0" borderId="0" xfId="0" applyFont="1" applyAlignment="1">
      <alignment vertical="top" wrapText="1"/>
    </xf>
    <xf numFmtId="10" fontId="22" fillId="0" borderId="0" xfId="0" applyNumberFormat="1" applyFont="1"/>
    <xf numFmtId="1" fontId="22" fillId="0" borderId="0" xfId="0" applyNumberFormat="1" applyFont="1"/>
    <xf numFmtId="14" fontId="22" fillId="0" borderId="0" xfId="0" applyNumberFormat="1" applyFont="1" applyAlignment="1">
      <alignment horizontal="right"/>
    </xf>
    <xf numFmtId="49" fontId="22" fillId="0" borderId="0" xfId="0" applyNumberFormat="1" applyFont="1" applyAlignment="1">
      <alignment horizontal="right"/>
    </xf>
    <xf numFmtId="10" fontId="2" fillId="4" borderId="22" xfId="0" applyNumberFormat="1" applyFont="1" applyFill="1" applyBorder="1" applyAlignment="1">
      <alignment horizontal="center" wrapText="1"/>
    </xf>
    <xf numFmtId="10" fontId="2" fillId="4" borderId="15" xfId="0" applyNumberFormat="1" applyFont="1" applyFill="1" applyBorder="1" applyAlignment="1">
      <alignment horizontal="center" wrapText="1"/>
    </xf>
    <xf numFmtId="10" fontId="2" fillId="4" borderId="16" xfId="0" applyNumberFormat="1" applyFont="1" applyFill="1" applyBorder="1" applyAlignment="1">
      <alignment horizontal="center" wrapText="1"/>
    </xf>
    <xf numFmtId="10" fontId="2" fillId="4" borderId="23" xfId="0" applyNumberFormat="1" applyFont="1" applyFill="1" applyBorder="1" applyAlignment="1">
      <alignment horizontal="left" vertical="top" wrapText="1"/>
    </xf>
    <xf numFmtId="10" fontId="2" fillId="4" borderId="10" xfId="0" applyNumberFormat="1" applyFont="1" applyFill="1" applyBorder="1" applyAlignment="1">
      <alignment horizontal="left" vertical="top" wrapText="1"/>
    </xf>
    <xf numFmtId="10" fontId="2" fillId="4" borderId="11" xfId="0" applyNumberFormat="1" applyFont="1" applyFill="1" applyBorder="1" applyAlignment="1">
      <alignment horizontal="left" vertical="top" wrapText="1"/>
    </xf>
    <xf numFmtId="10" fontId="2" fillId="0" borderId="23" xfId="0" applyNumberFormat="1" applyFont="1" applyBorder="1" applyAlignment="1">
      <alignment horizontal="left" vertical="top" wrapText="1"/>
    </xf>
    <xf numFmtId="10" fontId="2" fillId="0" borderId="10" xfId="0" applyNumberFormat="1" applyFont="1" applyBorder="1" applyAlignment="1">
      <alignment horizontal="left" vertical="top" wrapText="1"/>
    </xf>
    <xf numFmtId="10" fontId="2" fillId="0" borderId="11" xfId="0" applyNumberFormat="1" applyFont="1" applyBorder="1" applyAlignment="1">
      <alignment horizontal="left" vertical="top" wrapText="1"/>
    </xf>
    <xf numFmtId="0" fontId="2" fillId="0" borderId="0" xfId="0" applyFont="1" applyAlignment="1">
      <alignment horizontal="left" vertical="top" wrapText="1"/>
    </xf>
    <xf numFmtId="10" fontId="2" fillId="4" borderId="21" xfId="0" applyNumberFormat="1" applyFont="1" applyFill="1" applyBorder="1" applyAlignment="1">
      <alignment horizontal="left" vertical="top" wrapText="1"/>
    </xf>
    <xf numFmtId="10" fontId="2" fillId="4" borderId="6" xfId="0" applyNumberFormat="1" applyFont="1" applyFill="1" applyBorder="1" applyAlignment="1">
      <alignment horizontal="left" vertical="top" wrapText="1"/>
    </xf>
    <xf numFmtId="10" fontId="2" fillId="4" borderId="7" xfId="0" applyNumberFormat="1" applyFont="1" applyFill="1" applyBorder="1" applyAlignment="1">
      <alignment horizontal="left" vertical="top" wrapText="1"/>
    </xf>
    <xf numFmtId="0" fontId="22" fillId="0" borderId="0" xfId="0" applyFont="1" applyAlignment="1">
      <alignment horizontal="center"/>
    </xf>
    <xf numFmtId="0" fontId="15" fillId="6" borderId="0" xfId="0" applyFont="1" applyFill="1" applyAlignment="1">
      <alignment vertical="center" wrapText="1"/>
    </xf>
    <xf numFmtId="0" fontId="16" fillId="6" borderId="25" xfId="0" applyFont="1" applyFill="1" applyBorder="1" applyAlignment="1">
      <alignment horizontal="center" wrapText="1"/>
    </xf>
    <xf numFmtId="0" fontId="17" fillId="6" borderId="0" xfId="0" applyFont="1" applyFill="1" applyAlignment="1">
      <alignment horizontal="left" wrapText="1"/>
    </xf>
    <xf numFmtId="0" fontId="18" fillId="6" borderId="24" xfId="0" applyFont="1" applyFill="1" applyBorder="1" applyAlignment="1">
      <alignment horizontal="center" wrapText="1"/>
    </xf>
    <xf numFmtId="0" fontId="16" fillId="6" borderId="0" xfId="0" applyFont="1" applyFill="1" applyAlignment="1">
      <alignment horizontal="center" wrapText="1"/>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(NARI)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[1]Model!$B$6</c:f>
              <c:strCache>
                <c:ptCount val="1"/>
                <c:pt idx="0">
                  <c:v>Medical</c:v>
                </c:pt>
              </c:strCache>
            </c:strRef>
          </c:tx>
          <c:spPr>
            <a:solidFill>
              <a:schemeClr val="accent5">
                <a:lumMod val="5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[1]Model!$AW$6:$BQ$6</c:f>
              <c:numCache>
                <c:formatCode>General</c:formatCode>
                <c:ptCount val="21"/>
                <c:pt idx="0">
                  <c:v>600</c:v>
                </c:pt>
                <c:pt idx="1">
                  <c:v>705</c:v>
                </c:pt>
                <c:pt idx="2">
                  <c:v>622</c:v>
                </c:pt>
                <c:pt idx="3">
                  <c:v>640</c:v>
                </c:pt>
                <c:pt idx="4">
                  <c:v>636</c:v>
                </c:pt>
                <c:pt idx="5">
                  <c:v>709</c:v>
                </c:pt>
                <c:pt idx="6">
                  <c:v>664</c:v>
                </c:pt>
                <c:pt idx="7">
                  <c:v>666</c:v>
                </c:pt>
                <c:pt idx="8">
                  <c:v>765</c:v>
                </c:pt>
                <c:pt idx="9">
                  <c:v>936</c:v>
                </c:pt>
                <c:pt idx="10">
                  <c:v>778</c:v>
                </c:pt>
                <c:pt idx="11">
                  <c:v>841</c:v>
                </c:pt>
                <c:pt idx="12">
                  <c:v>798</c:v>
                </c:pt>
                <c:pt idx="13">
                  <c:v>1042</c:v>
                </c:pt>
                <c:pt idx="14">
                  <c:v>864</c:v>
                </c:pt>
                <c:pt idx="15">
                  <c:v>908</c:v>
                </c:pt>
                <c:pt idx="16">
                  <c:v>938</c:v>
                </c:pt>
                <c:pt idx="17">
                  <c:v>1142</c:v>
                </c:pt>
                <c:pt idx="18">
                  <c:v>945</c:v>
                </c:pt>
                <c:pt idx="19">
                  <c:v>990</c:v>
                </c:pt>
              </c:numCache>
            </c:numRef>
          </c:val>
          <c:extLst>
            <c:ext xmlns:c16="http://schemas.microsoft.com/office/drawing/2014/chart" uri="{C3380CC4-5D6E-409C-BE32-E72D297353CC}">
              <c16:uniqueId val="{00000000-956C-4D19-9F68-F28D3E76FDD9}"/>
            </c:ext>
          </c:extLst>
        </c:ser>
        <c:ser>
          <c:idx val="1"/>
          <c:order val="1"/>
          <c:tx>
            <c:strRef>
              <c:f>[1]Model!$B$12</c:f>
              <c:strCache>
                <c:ptCount val="1"/>
                <c:pt idx="0">
                  <c:v>Trauma and Extremities</c:v>
                </c:pt>
              </c:strCache>
            </c:strRef>
          </c:tx>
          <c:spPr>
            <a:solidFill>
              <a:schemeClr val="accent5">
                <a:lumMod val="75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[1]Model!$AW$12:$BQ$12</c:f>
              <c:numCache>
                <c:formatCode>General</c:formatCode>
                <c:ptCount val="21"/>
                <c:pt idx="0">
                  <c:v>430</c:v>
                </c:pt>
                <c:pt idx="1">
                  <c:v>570</c:v>
                </c:pt>
                <c:pt idx="2">
                  <c:v>640</c:v>
                </c:pt>
                <c:pt idx="3">
                  <c:v>674</c:v>
                </c:pt>
                <c:pt idx="4">
                  <c:v>639</c:v>
                </c:pt>
                <c:pt idx="5">
                  <c:v>711</c:v>
                </c:pt>
                <c:pt idx="6">
                  <c:v>685</c:v>
                </c:pt>
                <c:pt idx="7">
                  <c:v>676</c:v>
                </c:pt>
                <c:pt idx="8">
                  <c:v>672</c:v>
                </c:pt>
                <c:pt idx="9">
                  <c:v>774</c:v>
                </c:pt>
                <c:pt idx="10">
                  <c:v>769</c:v>
                </c:pt>
                <c:pt idx="11">
                  <c:v>766</c:v>
                </c:pt>
                <c:pt idx="12">
                  <c:v>752</c:v>
                </c:pt>
                <c:pt idx="13">
                  <c:v>860</c:v>
                </c:pt>
                <c:pt idx="14">
                  <c:v>830</c:v>
                </c:pt>
                <c:pt idx="15">
                  <c:v>832</c:v>
                </c:pt>
                <c:pt idx="16">
                  <c:v>849</c:v>
                </c:pt>
                <c:pt idx="17">
                  <c:v>996</c:v>
                </c:pt>
                <c:pt idx="18">
                  <c:v>945</c:v>
                </c:pt>
                <c:pt idx="19">
                  <c:v>957</c:v>
                </c:pt>
              </c:numCache>
            </c:numRef>
          </c:val>
          <c:extLst>
            <c:ext xmlns:c16="http://schemas.microsoft.com/office/drawing/2014/chart" uri="{C3380CC4-5D6E-409C-BE32-E72D297353CC}">
              <c16:uniqueId val="{00000001-956C-4D19-9F68-F28D3E76FDD9}"/>
            </c:ext>
          </c:extLst>
        </c:ser>
        <c:ser>
          <c:idx val="2"/>
          <c:order val="2"/>
          <c:tx>
            <c:strRef>
              <c:f>[1]Model!$B$5</c:f>
              <c:strCache>
                <c:ptCount val="1"/>
                <c:pt idx="0">
                  <c:v>Endoscopy</c:v>
                </c:pt>
              </c:strCache>
            </c:strRef>
          </c:tx>
          <c:spPr>
            <a:solidFill>
              <a:srgbClr val="5881CC"/>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[1]Model!$AW$5:$BQ$5</c:f>
              <c:numCache>
                <c:formatCode>General</c:formatCode>
                <c:ptCount val="21"/>
                <c:pt idx="0">
                  <c:v>467</c:v>
                </c:pt>
                <c:pt idx="1">
                  <c:v>525</c:v>
                </c:pt>
                <c:pt idx="2">
                  <c:v>469</c:v>
                </c:pt>
                <c:pt idx="3">
                  <c:v>518</c:v>
                </c:pt>
                <c:pt idx="4">
                  <c:v>525</c:v>
                </c:pt>
                <c:pt idx="5">
                  <c:v>629</c:v>
                </c:pt>
                <c:pt idx="6">
                  <c:v>538</c:v>
                </c:pt>
                <c:pt idx="7">
                  <c:v>600</c:v>
                </c:pt>
                <c:pt idx="8">
                  <c:v>590</c:v>
                </c:pt>
                <c:pt idx="9">
                  <c:v>997</c:v>
                </c:pt>
                <c:pt idx="10">
                  <c:v>707</c:v>
                </c:pt>
                <c:pt idx="11">
                  <c:v>713</c:v>
                </c:pt>
                <c:pt idx="12">
                  <c:v>746</c:v>
                </c:pt>
                <c:pt idx="13">
                  <c:v>902</c:v>
                </c:pt>
                <c:pt idx="14">
                  <c:v>778</c:v>
                </c:pt>
                <c:pt idx="15">
                  <c:v>768</c:v>
                </c:pt>
                <c:pt idx="16">
                  <c:v>837</c:v>
                </c:pt>
                <c:pt idx="17">
                  <c:v>1006</c:v>
                </c:pt>
                <c:pt idx="18">
                  <c:v>867</c:v>
                </c:pt>
                <c:pt idx="19">
                  <c:v>899</c:v>
                </c:pt>
              </c:numCache>
            </c:numRef>
          </c:val>
          <c:extLst>
            <c:ext xmlns:c16="http://schemas.microsoft.com/office/drawing/2014/chart" uri="{C3380CC4-5D6E-409C-BE32-E72D297353CC}">
              <c16:uniqueId val="{00000002-956C-4D19-9F68-F28D3E76FDD9}"/>
            </c:ext>
          </c:extLst>
        </c:ser>
        <c:ser>
          <c:idx val="3"/>
          <c:order val="3"/>
          <c:tx>
            <c:strRef>
              <c:f>[1]Model!$B$4</c:f>
              <c:strCache>
                <c:ptCount val="1"/>
                <c:pt idx="0">
                  <c:v>Instruments</c:v>
                </c:pt>
              </c:strCache>
            </c:strRef>
          </c:tx>
          <c:spPr>
            <a:solidFill>
              <a:schemeClr val="accent1">
                <a:lumMod val="60000"/>
                <a:lumOff val="4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[1]Model!$AW$4:$BQ$4</c:f>
              <c:numCache>
                <c:formatCode>General</c:formatCode>
                <c:ptCount val="21"/>
                <c:pt idx="0">
                  <c:v>467</c:v>
                </c:pt>
                <c:pt idx="1">
                  <c:v>555</c:v>
                </c:pt>
                <c:pt idx="2">
                  <c:v>469</c:v>
                </c:pt>
                <c:pt idx="3">
                  <c:v>517</c:v>
                </c:pt>
                <c:pt idx="4">
                  <c:v>525</c:v>
                </c:pt>
                <c:pt idx="5">
                  <c:v>600</c:v>
                </c:pt>
                <c:pt idx="6">
                  <c:v>528</c:v>
                </c:pt>
                <c:pt idx="7">
                  <c:v>563</c:v>
                </c:pt>
                <c:pt idx="8">
                  <c:v>535</c:v>
                </c:pt>
                <c:pt idx="9">
                  <c:v>653</c:v>
                </c:pt>
                <c:pt idx="10">
                  <c:v>566</c:v>
                </c:pt>
                <c:pt idx="11">
                  <c:v>622</c:v>
                </c:pt>
                <c:pt idx="12">
                  <c:v>620</c:v>
                </c:pt>
                <c:pt idx="13">
                  <c:v>726</c:v>
                </c:pt>
                <c:pt idx="14">
                  <c:v>667</c:v>
                </c:pt>
                <c:pt idx="15">
                  <c:v>698</c:v>
                </c:pt>
                <c:pt idx="16">
                  <c:v>679</c:v>
                </c:pt>
                <c:pt idx="17">
                  <c:v>790</c:v>
                </c:pt>
                <c:pt idx="18">
                  <c:v>730</c:v>
                </c:pt>
                <c:pt idx="19">
                  <c:v>768</c:v>
                </c:pt>
              </c:numCache>
            </c:numRef>
          </c:val>
          <c:extLst>
            <c:ext xmlns:c16="http://schemas.microsoft.com/office/drawing/2014/chart" uri="{C3380CC4-5D6E-409C-BE32-E72D297353CC}">
              <c16:uniqueId val="{00000003-956C-4D19-9F68-F28D3E76FDD9}"/>
            </c:ext>
          </c:extLst>
        </c:ser>
        <c:ser>
          <c:idx val="4"/>
          <c:order val="4"/>
          <c:tx>
            <c:strRef>
              <c:f>[1]Model!$B$10</c:f>
              <c:strCache>
                <c:ptCount val="1"/>
                <c:pt idx="0">
                  <c:v>Knees</c:v>
                </c:pt>
              </c:strCache>
            </c:strRef>
          </c:tx>
          <c:spPr>
            <a:solidFill>
              <a:srgbClr val="CDE1F3"/>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[1]Model!$AW$10:$BQ$10</c:f>
              <c:numCache>
                <c:formatCode>General</c:formatCode>
                <c:ptCount val="21"/>
                <c:pt idx="0">
                  <c:v>435</c:v>
                </c:pt>
                <c:pt idx="1">
                  <c:v>459</c:v>
                </c:pt>
                <c:pt idx="2">
                  <c:v>412</c:v>
                </c:pt>
                <c:pt idx="3">
                  <c:v>474</c:v>
                </c:pt>
                <c:pt idx="4">
                  <c:v>439</c:v>
                </c:pt>
                <c:pt idx="5">
                  <c:v>523</c:v>
                </c:pt>
                <c:pt idx="6">
                  <c:v>464</c:v>
                </c:pt>
                <c:pt idx="7">
                  <c:v>500</c:v>
                </c:pt>
                <c:pt idx="8">
                  <c:v>481</c:v>
                </c:pt>
                <c:pt idx="9">
                  <c:v>552</c:v>
                </c:pt>
                <c:pt idx="10">
                  <c:v>566</c:v>
                </c:pt>
                <c:pt idx="11">
                  <c:v>562</c:v>
                </c:pt>
                <c:pt idx="12">
                  <c:v>515</c:v>
                </c:pt>
                <c:pt idx="13">
                  <c:v>630</c:v>
                </c:pt>
                <c:pt idx="14">
                  <c:v>588</c:v>
                </c:pt>
                <c:pt idx="15">
                  <c:v>602</c:v>
                </c:pt>
                <c:pt idx="16">
                  <c:v>570</c:v>
                </c:pt>
                <c:pt idx="17">
                  <c:v>687</c:v>
                </c:pt>
                <c:pt idx="18">
                  <c:v>639</c:v>
                </c:pt>
                <c:pt idx="19">
                  <c:v>640</c:v>
                </c:pt>
              </c:numCache>
            </c:numRef>
          </c:val>
          <c:extLst>
            <c:ext xmlns:c16="http://schemas.microsoft.com/office/drawing/2014/chart" uri="{C3380CC4-5D6E-409C-BE32-E72D297353CC}">
              <c16:uniqueId val="{00000004-956C-4D19-9F68-F28D3E76FDD9}"/>
            </c:ext>
          </c:extLst>
        </c:ser>
        <c:ser>
          <c:idx val="5"/>
          <c:order val="5"/>
          <c:tx>
            <c:strRef>
              <c:f>[1]Model!$B$8</c:f>
              <c:strCache>
                <c:ptCount val="1"/>
                <c:pt idx="0">
                  <c:v>Neuro Cranial</c:v>
                </c:pt>
              </c:strCache>
            </c:strRef>
          </c:tx>
          <c:spPr>
            <a:solidFill>
              <a:srgbClr val="94346D"/>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[1]Model!$AW$8:$BQ$8</c:f>
              <c:numCache>
                <c:formatCode>General</c:formatCode>
                <c:ptCount val="21"/>
                <c:pt idx="0">
                  <c:v>518</c:v>
                </c:pt>
                <c:pt idx="1">
                  <c:v>312</c:v>
                </c:pt>
                <c:pt idx="2">
                  <c:v>281</c:v>
                </c:pt>
                <c:pt idx="3">
                  <c:v>310</c:v>
                </c:pt>
                <c:pt idx="4">
                  <c:v>299</c:v>
                </c:pt>
                <c:pt idx="5">
                  <c:v>324</c:v>
                </c:pt>
                <c:pt idx="6">
                  <c:v>323</c:v>
                </c:pt>
                <c:pt idx="7">
                  <c:v>337</c:v>
                </c:pt>
                <c:pt idx="8">
                  <c:v>332</c:v>
                </c:pt>
                <c:pt idx="9">
                  <c:v>384</c:v>
                </c:pt>
                <c:pt idx="10">
                  <c:v>355</c:v>
                </c:pt>
                <c:pt idx="11">
                  <c:v>373</c:v>
                </c:pt>
                <c:pt idx="12">
                  <c:v>384</c:v>
                </c:pt>
                <c:pt idx="13">
                  <c:v>764</c:v>
                </c:pt>
                <c:pt idx="14">
                  <c:v>478</c:v>
                </c:pt>
                <c:pt idx="15">
                  <c:v>416</c:v>
                </c:pt>
                <c:pt idx="16">
                  <c:v>441</c:v>
                </c:pt>
                <c:pt idx="17">
                  <c:v>801</c:v>
                </c:pt>
                <c:pt idx="18">
                  <c:v>563</c:v>
                </c:pt>
                <c:pt idx="19">
                  <c:v>616</c:v>
                </c:pt>
              </c:numCache>
            </c:numRef>
          </c:val>
          <c:extLst>
            <c:ext xmlns:c16="http://schemas.microsoft.com/office/drawing/2014/chart" uri="{C3380CC4-5D6E-409C-BE32-E72D297353CC}">
              <c16:uniqueId val="{00000005-956C-4D19-9F68-F28D3E76FDD9}"/>
            </c:ext>
          </c:extLst>
        </c:ser>
        <c:ser>
          <c:idx val="6"/>
          <c:order val="6"/>
          <c:tx>
            <c:strRef>
              <c:f>[1]Model!$B$11</c:f>
              <c:strCache>
                <c:ptCount val="1"/>
                <c:pt idx="0">
                  <c:v>Hips</c:v>
                </c:pt>
              </c:strCache>
            </c:strRef>
          </c:tx>
          <c:spPr>
            <a:solidFill>
              <a:srgbClr val="B03E82"/>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[1]Model!$AW$11:$BQ$11</c:f>
              <c:numCache>
                <c:formatCode>General</c:formatCode>
                <c:ptCount val="21"/>
                <c:pt idx="0">
                  <c:v>334</c:v>
                </c:pt>
                <c:pt idx="1">
                  <c:v>340</c:v>
                </c:pt>
                <c:pt idx="2">
                  <c:v>309</c:v>
                </c:pt>
                <c:pt idx="3">
                  <c:v>353</c:v>
                </c:pt>
                <c:pt idx="4">
                  <c:v>328</c:v>
                </c:pt>
                <c:pt idx="5">
                  <c:v>352</c:v>
                </c:pt>
                <c:pt idx="6">
                  <c:v>327</c:v>
                </c:pt>
                <c:pt idx="7">
                  <c:v>364</c:v>
                </c:pt>
                <c:pt idx="8">
                  <c:v>347</c:v>
                </c:pt>
                <c:pt idx="9">
                  <c:v>375</c:v>
                </c:pt>
                <c:pt idx="10">
                  <c:v>375</c:v>
                </c:pt>
                <c:pt idx="11">
                  <c:v>393</c:v>
                </c:pt>
                <c:pt idx="12">
                  <c:v>362</c:v>
                </c:pt>
                <c:pt idx="13">
                  <c:v>414</c:v>
                </c:pt>
                <c:pt idx="14">
                  <c:v>393</c:v>
                </c:pt>
                <c:pt idx="15">
                  <c:v>428</c:v>
                </c:pt>
                <c:pt idx="16">
                  <c:v>420</c:v>
                </c:pt>
                <c:pt idx="17">
                  <c:v>463</c:v>
                </c:pt>
                <c:pt idx="18">
                  <c:v>443</c:v>
                </c:pt>
                <c:pt idx="19">
                  <c:v>466</c:v>
                </c:pt>
              </c:numCache>
            </c:numRef>
          </c:val>
          <c:extLst>
            <c:ext xmlns:c16="http://schemas.microsoft.com/office/drawing/2014/chart" uri="{C3380CC4-5D6E-409C-BE32-E72D297353CC}">
              <c16:uniqueId val="{00000006-956C-4D19-9F68-F28D3E76FDD9}"/>
            </c:ext>
          </c:extLst>
        </c:ser>
        <c:ser>
          <c:idx val="7"/>
          <c:order val="7"/>
          <c:tx>
            <c:strRef>
              <c:f>[1]Model!$B$7</c:f>
              <c:strCache>
                <c:ptCount val="1"/>
                <c:pt idx="0">
                  <c:v>Vascular</c:v>
                </c:pt>
              </c:strCache>
            </c:strRef>
          </c:tx>
          <c:spPr>
            <a:solidFill>
              <a:srgbClr val="CF73A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[1]Model!$AW$7:$BQ$7</c:f>
              <c:numCache>
                <c:formatCode>General</c:formatCode>
                <c:ptCount val="21"/>
                <c:pt idx="0">
                  <c:v>66</c:v>
                </c:pt>
                <c:pt idx="1">
                  <c:v>82</c:v>
                </c:pt>
                <c:pt idx="2">
                  <c:v>289</c:v>
                </c:pt>
                <c:pt idx="3">
                  <c:v>301</c:v>
                </c:pt>
                <c:pt idx="4">
                  <c:v>295</c:v>
                </c:pt>
                <c:pt idx="5">
                  <c:v>303</c:v>
                </c:pt>
                <c:pt idx="6">
                  <c:v>301</c:v>
                </c:pt>
                <c:pt idx="7">
                  <c:v>306</c:v>
                </c:pt>
                <c:pt idx="8">
                  <c:v>294</c:v>
                </c:pt>
                <c:pt idx="9">
                  <c:v>299</c:v>
                </c:pt>
                <c:pt idx="10">
                  <c:v>284</c:v>
                </c:pt>
                <c:pt idx="11">
                  <c:v>311</c:v>
                </c:pt>
                <c:pt idx="12">
                  <c:v>311</c:v>
                </c:pt>
                <c:pt idx="13">
                  <c:v>320</c:v>
                </c:pt>
                <c:pt idx="14">
                  <c:v>310</c:v>
                </c:pt>
                <c:pt idx="15">
                  <c:v>327</c:v>
                </c:pt>
                <c:pt idx="16">
                  <c:v>329</c:v>
                </c:pt>
                <c:pt idx="17">
                  <c:v>341</c:v>
                </c:pt>
                <c:pt idx="18">
                  <c:v>406</c:v>
                </c:pt>
                <c:pt idx="19">
                  <c:v>498</c:v>
                </c:pt>
              </c:numCache>
            </c:numRef>
          </c:val>
          <c:extLst>
            <c:ext xmlns:c16="http://schemas.microsoft.com/office/drawing/2014/chart" uri="{C3380CC4-5D6E-409C-BE32-E72D297353CC}">
              <c16:uniqueId val="{00000007-956C-4D19-9F68-F28D3E76FDD9}"/>
            </c:ext>
          </c:extLst>
        </c:ser>
        <c:ser>
          <c:idx val="8"/>
          <c:order val="8"/>
          <c:tx>
            <c:strRef>
              <c:f>[1]Model!$B$13</c:f>
              <c:strCache>
                <c:ptCount val="1"/>
                <c:pt idx="0">
                  <c:v>Spinal Implants</c:v>
                </c:pt>
              </c:strCache>
            </c:strRef>
          </c:tx>
          <c:spPr>
            <a:solidFill>
              <a:srgbClr val="E1A9C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[1]Model!$AW$13:$BQ$13</c:f>
              <c:numCache>
                <c:formatCode>General</c:formatCode>
                <c:ptCount val="21"/>
                <c:pt idx="0">
                  <c:v>302</c:v>
                </c:pt>
                <c:pt idx="1">
                  <c:v>307</c:v>
                </c:pt>
                <c:pt idx="2">
                  <c:v>278</c:v>
                </c:pt>
                <c:pt idx="3">
                  <c:v>307</c:v>
                </c:pt>
                <c:pt idx="4">
                  <c:v>282</c:v>
                </c:pt>
                <c:pt idx="5">
                  <c:v>300</c:v>
                </c:pt>
                <c:pt idx="6">
                  <c:v>279</c:v>
                </c:pt>
                <c:pt idx="7">
                  <c:v>290</c:v>
                </c:pt>
                <c:pt idx="8">
                  <c:v>280</c:v>
                </c:pt>
                <c:pt idx="9">
                  <c:v>297</c:v>
                </c:pt>
                <c:pt idx="10">
                  <c:v>284</c:v>
                </c:pt>
                <c:pt idx="11">
                  <c:v>296</c:v>
                </c:pt>
                <c:pt idx="12">
                  <c:v>291</c:v>
                </c:pt>
                <c:pt idx="13">
                  <c:v>122</c:v>
                </c:pt>
                <c:pt idx="14">
                  <c:v>171</c:v>
                </c:pt>
                <c:pt idx="15">
                  <c:v>307</c:v>
                </c:pt>
                <c:pt idx="16">
                  <c:v>304</c:v>
                </c:pt>
                <c:pt idx="17">
                  <c:v>85</c:v>
                </c:pt>
                <c:pt idx="18">
                  <c:v>166</c:v>
                </c:pt>
                <c:pt idx="19">
                  <c:v>5</c:v>
                </c:pt>
              </c:numCache>
            </c:numRef>
          </c:val>
          <c:extLst>
            <c:ext xmlns:c16="http://schemas.microsoft.com/office/drawing/2014/chart" uri="{C3380CC4-5D6E-409C-BE32-E72D297353CC}">
              <c16:uniqueId val="{00000008-956C-4D19-9F68-F28D3E76FDD9}"/>
            </c:ext>
          </c:extLst>
        </c:ser>
        <c:ser>
          <c:idx val="9"/>
          <c:order val="9"/>
          <c:tx>
            <c:strRef>
              <c:f>[1]Model!$B$14</c:f>
              <c:strCache>
                <c:ptCount val="1"/>
                <c:pt idx="0">
                  <c:v>Other</c:v>
                </c:pt>
              </c:strCache>
            </c:strRef>
          </c:tx>
          <c:spPr>
            <a:solidFill>
              <a:srgbClr val="F0D4E5"/>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[1]Model!$AW$14:$BQ$14</c:f>
              <c:numCache>
                <c:formatCode>General</c:formatCode>
                <c:ptCount val="21"/>
                <c:pt idx="0">
                  <c:v>118</c:v>
                </c:pt>
                <c:pt idx="1">
                  <c:v>157</c:v>
                </c:pt>
                <c:pt idx="2">
                  <c:v>123</c:v>
                </c:pt>
                <c:pt idx="3">
                  <c:v>127</c:v>
                </c:pt>
                <c:pt idx="4">
                  <c:v>123</c:v>
                </c:pt>
                <c:pt idx="5">
                  <c:v>176</c:v>
                </c:pt>
                <c:pt idx="6">
                  <c:v>97</c:v>
                </c:pt>
                <c:pt idx="7">
                  <c:v>114</c:v>
                </c:pt>
                <c:pt idx="8">
                  <c:v>111</c:v>
                </c:pt>
                <c:pt idx="9">
                  <c:v>153</c:v>
                </c:pt>
                <c:pt idx="10">
                  <c:v>94</c:v>
                </c:pt>
                <c:pt idx="11">
                  <c:v>119</c:v>
                </c:pt>
                <c:pt idx="12">
                  <c:v>130</c:v>
                </c:pt>
                <c:pt idx="13">
                  <c:v>35</c:v>
                </c:pt>
                <c:pt idx="14">
                  <c:v>164</c:v>
                </c:pt>
                <c:pt idx="15">
                  <c:v>136</c:v>
                </c:pt>
                <c:pt idx="16">
                  <c:v>127</c:v>
                </c:pt>
                <c:pt idx="17">
                  <c:v>125</c:v>
                </c:pt>
                <c:pt idx="18">
                  <c:v>162</c:v>
                </c:pt>
                <c:pt idx="19">
                  <c:v>183</c:v>
                </c:pt>
              </c:numCache>
            </c:numRef>
          </c:val>
          <c:extLst>
            <c:ext xmlns:c16="http://schemas.microsoft.com/office/drawing/2014/chart" uri="{C3380CC4-5D6E-409C-BE32-E72D297353CC}">
              <c16:uniqueId val="{00000009-956C-4D19-9F68-F28D3E76FDD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(NARI)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spPr>
            <a:solidFill>
              <a:srgbClr val="00B050"/>
            </a:solidFill>
          </c:spPr>
          <c:invertIfNegative val="0"/>
          <c:val>
            <c:numRef>
              <c:f>[1]Model!$AW$55:$BQ$55</c:f>
              <c:numCache>
                <c:formatCode>General</c:formatCode>
                <c:ptCount val="21"/>
                <c:pt idx="0">
                  <c:v>780</c:v>
                </c:pt>
                <c:pt idx="1">
                  <c:v>671</c:v>
                </c:pt>
                <c:pt idx="2">
                  <c:v>367</c:v>
                </c:pt>
                <c:pt idx="3">
                  <c:v>662</c:v>
                </c:pt>
                <c:pt idx="4">
                  <c:v>495</c:v>
                </c:pt>
                <c:pt idx="5">
                  <c:v>757</c:v>
                </c:pt>
                <c:pt idx="6">
                  <c:v>386</c:v>
                </c:pt>
                <c:pt idx="7">
                  <c:v>720</c:v>
                </c:pt>
                <c:pt idx="8">
                  <c:v>816</c:v>
                </c:pt>
                <c:pt idx="9">
                  <c:v>761</c:v>
                </c:pt>
                <c:pt idx="10">
                  <c:v>679</c:v>
                </c:pt>
                <c:pt idx="11">
                  <c:v>899</c:v>
                </c:pt>
                <c:pt idx="12">
                  <c:v>869</c:v>
                </c:pt>
                <c:pt idx="13">
                  <c:v>1226</c:v>
                </c:pt>
                <c:pt idx="14">
                  <c:v>923</c:v>
                </c:pt>
                <c:pt idx="15">
                  <c:v>998</c:v>
                </c:pt>
                <c:pt idx="16">
                  <c:v>1043</c:v>
                </c:pt>
                <c:pt idx="17">
                  <c:v>528</c:v>
                </c:pt>
                <c:pt idx="18">
                  <c:v>764</c:v>
                </c:pt>
                <c:pt idx="19">
                  <c:v>1016</c:v>
                </c:pt>
              </c:numCache>
            </c:numRef>
          </c:val>
          <c:extLst>
            <c:ext xmlns:c16="http://schemas.microsoft.com/office/drawing/2014/chart" uri="{C3380CC4-5D6E-409C-BE32-E72D297353CC}">
              <c16:uniqueId val="{00000000-B066-49F4-8AF8-11455A0B9C98}"/>
            </c:ext>
          </c:extLst>
        </c:ser>
        <c:ser>
          <c:idx val="4"/>
          <c:order val="1"/>
          <c:tx>
            <c:v>FCF</c:v>
          </c:tx>
          <c:spPr>
            <a:solidFill>
              <a:srgbClr val="FFC000"/>
            </a:solidFill>
          </c:spPr>
          <c:invertIfNegative val="0"/>
          <c:val>
            <c:numRef>
              <c:f>[1]Model!$AW$103:$BQ$103</c:f>
              <c:numCache>
                <c:formatCode>General</c:formatCode>
                <c:ptCount val="21"/>
                <c:pt idx="0">
                  <c:v>621</c:v>
                </c:pt>
                <c:pt idx="1">
                  <c:v>568</c:v>
                </c:pt>
                <c:pt idx="2">
                  <c:v>302</c:v>
                </c:pt>
                <c:pt idx="3">
                  <c:v>592</c:v>
                </c:pt>
                <c:pt idx="4">
                  <c:v>438</c:v>
                </c:pt>
                <c:pt idx="5">
                  <c:v>662</c:v>
                </c:pt>
                <c:pt idx="6">
                  <c:v>323</c:v>
                </c:pt>
                <c:pt idx="7">
                  <c:v>656</c:v>
                </c:pt>
                <c:pt idx="8">
                  <c:v>816</c:v>
                </c:pt>
                <c:pt idx="9">
                  <c:v>563</c:v>
                </c:pt>
                <c:pt idx="10">
                  <c:v>592</c:v>
                </c:pt>
                <c:pt idx="11">
                  <c:v>738</c:v>
                </c:pt>
                <c:pt idx="12">
                  <c:v>692</c:v>
                </c:pt>
                <c:pt idx="13">
                  <c:v>1143</c:v>
                </c:pt>
                <c:pt idx="14">
                  <c:v>788</c:v>
                </c:pt>
                <c:pt idx="15">
                  <c:v>825</c:v>
                </c:pt>
                <c:pt idx="16">
                  <c:v>834</c:v>
                </c:pt>
                <c:pt idx="17">
                  <c:v>546</c:v>
                </c:pt>
                <c:pt idx="18">
                  <c:v>654</c:v>
                </c:pt>
                <c:pt idx="19">
                  <c:v>884</c:v>
                </c:pt>
              </c:numCache>
            </c:numRef>
          </c:val>
          <c:extLst>
            <c:ext xmlns:c16="http://schemas.microsoft.com/office/drawing/2014/chart" uri="{C3380CC4-5D6E-409C-BE32-E72D297353CC}">
              <c16:uniqueId val="{00000001-B066-49F4-8AF8-11455A0B9C98}"/>
            </c:ext>
          </c:extLst>
        </c:ser>
        <c:ser>
          <c:idx val="5"/>
          <c:order val="2"/>
          <c:tx>
            <c:v>Revenues</c:v>
          </c:tx>
          <c:spPr>
            <a:ln>
              <a:solidFill>
                <a:srgbClr val="00B0F0"/>
              </a:solidFill>
            </a:ln>
          </c:spPr>
          <c:invertIfNegative val="0"/>
          <c:cat>
            <c:strRef>
              <c:f>[1]Model!$AW$1:$BQ$1</c:f>
              <c:strCache>
                <c:ptCount val="21"/>
                <c:pt idx="2">
                  <c:v>Q1 2021</c:v>
                </c:pt>
                <c:pt idx="6">
                  <c:v>Q1 2022</c:v>
                </c:pt>
                <c:pt idx="10">
                  <c:v>Q1 2023</c:v>
                </c:pt>
                <c:pt idx="14">
                  <c:v>Q1 2024</c:v>
                </c:pt>
                <c:pt idx="18">
                  <c:v>Q1 2025</c:v>
                </c:pt>
              </c:strCache>
            </c:strRef>
          </c:cat>
          <c:val>
            <c:numRef>
              <c:f>[1]Model!$AW$44:$BQ$44</c:f>
              <c:numCache>
                <c:formatCode>General</c:formatCode>
                <c:ptCount val="21"/>
                <c:pt idx="0">
                  <c:v>4.1817674937273397E-2</c:v>
                </c:pt>
                <c:pt idx="1">
                  <c:v>3.1711450012103626E-2</c:v>
                </c:pt>
                <c:pt idx="2">
                  <c:v>0.1017279821627648</c:v>
                </c:pt>
                <c:pt idx="3">
                  <c:v>0.55354558610709126</c:v>
                </c:pt>
                <c:pt idx="4">
                  <c:v>0.11319240032111311</c:v>
                </c:pt>
                <c:pt idx="5">
                  <c:v>0.10300328484279686</c:v>
                </c:pt>
                <c:pt idx="6">
                  <c:v>8.1457121173792002E-2</c:v>
                </c:pt>
                <c:pt idx="7">
                  <c:v>4.6343735444806633E-2</c:v>
                </c:pt>
                <c:pt idx="8">
                  <c:v>7.6682692307692202E-2</c:v>
                </c:pt>
                <c:pt idx="9">
                  <c:v>0.10657306955966805</c:v>
                </c:pt>
                <c:pt idx="10">
                  <c:v>0.11766081871345024</c:v>
                </c:pt>
                <c:pt idx="11">
                  <c:v>0.11195192521700426</c:v>
                </c:pt>
                <c:pt idx="12">
                  <c:v>9.6003572225943357E-2</c:v>
                </c:pt>
                <c:pt idx="13">
                  <c:v>0.1178392925797771</c:v>
                </c:pt>
                <c:pt idx="14">
                  <c:v>9.7321054834658804E-2</c:v>
                </c:pt>
                <c:pt idx="15">
                  <c:v>8.526821457165723E-2</c:v>
                </c:pt>
                <c:pt idx="16">
                  <c:v>0.11916887349765726</c:v>
                </c:pt>
                <c:pt idx="17">
                  <c:v>0.10679277730008607</c:v>
                </c:pt>
                <c:pt idx="18">
                  <c:v>0.11882510013351144</c:v>
                </c:pt>
                <c:pt idx="19">
                  <c:v>0.11066027296200653</c:v>
                </c:pt>
              </c:numCache>
            </c:numRef>
          </c:val>
          <c:extLst>
            <c:ext xmlns:c16="http://schemas.microsoft.com/office/drawing/2014/chart" uri="{C3380CC4-5D6E-409C-BE32-E72D297353CC}">
              <c16:uniqueId val="{00000002-B066-49F4-8AF8-11455A0B9C98}"/>
            </c:ext>
          </c:extLst>
        </c:ser>
        <c:ser>
          <c:idx val="1"/>
          <c:order val="4"/>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3-B066-49F4-8AF8-11455A0B9C98}"/>
            </c:ext>
          </c:extLst>
        </c:ser>
        <c:ser>
          <c:idx val="2"/>
          <c:order val="5"/>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0.4710676446617767</c:v>
                </c:pt>
                <c:pt idx="4">
                  <c:v>0.59416445623342173</c:v>
                </c:pt>
                <c:pt idx="5">
                  <c:v>0.65676405597839427</c:v>
                </c:pt>
                <c:pt idx="6">
                  <c:v>0.4840875186474391</c:v>
                </c:pt>
                <c:pt idx="7">
                  <c:v>0.45050315937280599</c:v>
                </c:pt>
                <c:pt idx="8">
                  <c:v>7.6041179223210104E-2</c:v>
                </c:pt>
                <c:pt idx="9">
                  <c:v>7.107906258047901E-2</c:v>
                </c:pt>
                <c:pt idx="10">
                  <c:v>9.5519864750633982E-2</c:v>
                </c:pt>
                <c:pt idx="11">
                  <c:v>0.2440178806205627</c:v>
                </c:pt>
                <c:pt idx="12">
                  <c:v>0.13960323291697282</c:v>
                </c:pt>
                <c:pt idx="13">
                  <c:v>9.3380096448925906E-2</c:v>
                </c:pt>
                <c:pt idx="14">
                  <c:v>0.20790565625682464</c:v>
                </c:pt>
                <c:pt idx="15">
                  <c:v>0.17551682205107419</c:v>
                </c:pt>
                <c:pt idx="16">
                  <c:v>0.47375915378356387</c:v>
                </c:pt>
                <c:pt idx="17">
                  <c:v>0.52241750358680061</c:v>
                </c:pt>
                <c:pt idx="18">
                  <c:v>0.42327863305701235</c:v>
                </c:pt>
                <c:pt idx="19">
                  <c:v>6.4551422319474833E-2</c:v>
                </c:pt>
                <c:pt idx="20">
                  <c:v>0.14333728746540134</c:v>
                </c:pt>
              </c:numCache>
            </c:numRef>
          </c:val>
          <c:extLst>
            <c:ext xmlns:c16="http://schemas.microsoft.com/office/drawing/2014/chart" uri="{C3380CC4-5D6E-409C-BE32-E72D297353CC}">
              <c16:uniqueId val="{00000004-B066-49F4-8AF8-11455A0B9C98}"/>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3"/>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B066-49F4-8AF8-11455A0B9C98}"/>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(Ticker) Historical Return Histogram + Normal Distribution Overlay</a:t>
            </a:r>
          </a:p>
        </c:rich>
      </c:tx>
      <c:layout>
        <c:manualLayout>
          <c:xMode val="edge"/>
          <c:yMode val="edge"/>
          <c:x val="0.30108591378517141"/>
          <c:y val="1.8888948670044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152794667284949E-2"/>
          <c:y val="7.3102355294668728E-2"/>
          <c:w val="0.94945999344094489"/>
          <c:h val="0.8723512307833301"/>
        </c:manualLayout>
      </c:layout>
      <c:scatterChart>
        <c:scatterStyle val="smoothMarker"/>
        <c:varyColors val="0"/>
        <c:ser>
          <c:idx val="0"/>
          <c:order val="0"/>
          <c:spPr>
            <a:ln w="1905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strRef>
              <c:f>'[1]Notes | Quant Analysis'!$I$182:$I$262</c:f>
              <c:strCache>
                <c:ptCount val="81"/>
                <c:pt idx="6">
                  <c:v>Notes:</c:v>
                </c:pt>
                <c:pt idx="42">
                  <c:v>Notes:</c:v>
                </c:pt>
              </c:strCache>
            </c:strRef>
          </c:xVal>
          <c:yVal>
            <c:numRef>
              <c:f>'[1]Notes | Quant Analysis'!$J$182:$J$262</c:f>
              <c:numCache>
                <c:formatCode>General</c:formatCode>
                <c:ptCount val="81"/>
                <c:pt idx="6">
                  <c:v>0</c:v>
                </c:pt>
                <c:pt idx="7">
                  <c:v>0</c:v>
                </c:pt>
                <c:pt idx="8">
                  <c:v>0</c:v>
                </c:pt>
                <c:pt idx="42">
                  <c:v>0</c:v>
                </c:pt>
                <c:pt idx="43">
                  <c:v>0</c:v>
                </c:pt>
                <c:pt idx="44">
                  <c:v>0</c:v>
                </c:pt>
                <c:pt idx="76">
                  <c:v>0</c:v>
                </c:pt>
                <c:pt idx="77">
                  <c:v>0</c:v>
                </c:pt>
              </c:numCache>
            </c:numRef>
          </c:yVal>
          <c:smooth val="1"/>
          <c:extLst>
            <c:ext xmlns:c16="http://schemas.microsoft.com/office/drawing/2014/chart" uri="{C3380CC4-5D6E-409C-BE32-E72D297353CC}">
              <c16:uniqueId val="{00000000-A9D7-4AFE-BC95-9FA5F7A3AF97}"/>
            </c:ext>
          </c:extLst>
        </c:ser>
        <c:ser>
          <c:idx val="1"/>
          <c:order val="1"/>
          <c:tx>
            <c:strRef>
              <c:f>'[1]Notes | Quant Analysis'!$L$180</c:f>
              <c:strCache>
                <c:ptCount val="1"/>
              </c:strCache>
            </c:strRef>
          </c:tx>
          <c:spPr>
            <a:ln w="19050" cap="rnd">
              <a:solidFill>
                <a:srgbClr val="FFC000"/>
              </a:solidFill>
              <a:round/>
            </a:ln>
            <a:effectLst/>
          </c:spPr>
          <c:marker>
            <c:symbol val="none"/>
          </c:marker>
          <c:xVal>
            <c:numRef>
              <c:f>'[1]Notes | Quant Analysis'!$L$182:$L$264</c:f>
              <c:numCache>
                <c:formatCode>General</c:formatCode>
                <c:ptCount val="83"/>
              </c:numCache>
            </c:numRef>
          </c:xVal>
          <c:yVal>
            <c:numRef>
              <c:f>'[1]Notes | Quant Analysis'!$M$182:$M$264</c:f>
              <c:numCache>
                <c:formatCode>General</c:formatCode>
                <c:ptCount val="83"/>
              </c:numCache>
            </c:numRef>
          </c:yVal>
          <c:smooth val="1"/>
          <c:extLst>
            <c:ext xmlns:c16="http://schemas.microsoft.com/office/drawing/2014/chart" uri="{C3380CC4-5D6E-409C-BE32-E72D297353CC}">
              <c16:uniqueId val="{00000001-A9D7-4AFE-BC95-9FA5F7A3AF97}"/>
            </c:ext>
          </c:extLst>
        </c:ser>
        <c:ser>
          <c:idx val="2"/>
          <c:order val="2"/>
          <c:tx>
            <c:strRef>
              <c:f>'[1]Notes | Quant Analysis'!$O$182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A9D7-4AFE-BC95-9FA5F7A3AF97}"/>
                </c:ext>
              </c:extLst>
            </c:dLbl>
            <c:dLbl>
              <c:idx val="1"/>
              <c:layout>
                <c:manualLayout>
                  <c:x val="-6.5761321986558208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A9D7-4AFE-BC95-9FA5F7A3AF9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Analysis'!$P$182:$P$183</c:f>
              <c:numCache>
                <c:formatCode>General</c:formatCode>
                <c:ptCount val="2"/>
              </c:numCache>
            </c:numRef>
          </c:xVal>
          <c:yVal>
            <c:numRef>
              <c:f>'[1]Notes | Quant Analysis'!$Q$182:$Q$183</c:f>
              <c:numCache>
                <c:formatCode>General</c:formatCode>
                <c:ptCount val="2"/>
              </c:numCache>
            </c:numRef>
          </c:yVal>
          <c:smooth val="1"/>
          <c:extLst>
            <c:ext xmlns:c16="http://schemas.microsoft.com/office/drawing/2014/chart" uri="{C3380CC4-5D6E-409C-BE32-E72D297353CC}">
              <c16:uniqueId val="{00000004-A9D7-4AFE-BC95-9FA5F7A3AF97}"/>
            </c:ext>
          </c:extLst>
        </c:ser>
        <c:ser>
          <c:idx val="3"/>
          <c:order val="3"/>
          <c:tx>
            <c:strRef>
              <c:f>'[1]Notes | Quant Analysis'!$O$184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A9D7-4AFE-BC95-9FA5F7A3AF97}"/>
                </c:ext>
              </c:extLst>
            </c:dLbl>
            <c:dLbl>
              <c:idx val="1"/>
              <c:layout>
                <c:manualLayout>
                  <c:x val="-4.0576134842769972E-2"/>
                  <c:y val="-4.958333821358315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A9D7-4AFE-BC95-9FA5F7A3AF9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Analysis'!$P$184:$P$185</c:f>
              <c:numCache>
                <c:formatCode>General</c:formatCode>
                <c:ptCount val="2"/>
              </c:numCache>
            </c:numRef>
          </c:xVal>
          <c:yVal>
            <c:numRef>
              <c:f>'[1]Notes | Quant Analysis'!$Q$184:$Q$185</c:f>
              <c:numCache>
                <c:formatCode>General</c:formatCode>
                <c:ptCount val="2"/>
              </c:numCache>
            </c:numRef>
          </c:yVal>
          <c:smooth val="1"/>
          <c:extLst>
            <c:ext xmlns:c16="http://schemas.microsoft.com/office/drawing/2014/chart" uri="{C3380CC4-5D6E-409C-BE32-E72D297353CC}">
              <c16:uniqueId val="{00000007-A9D7-4AFE-BC95-9FA5F7A3AF97}"/>
            </c:ext>
          </c:extLst>
        </c:ser>
        <c:ser>
          <c:idx val="4"/>
          <c:order val="4"/>
          <c:tx>
            <c:strRef>
              <c:f>'[1]Notes | Quant Analysis'!$O$186</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A9D7-4AFE-BC95-9FA5F7A3AF97}"/>
                </c:ext>
              </c:extLst>
            </c:dLbl>
            <c:dLbl>
              <c:idx val="1"/>
              <c:layout>
                <c:manualLayout>
                  <c:x val="-5.3168728414664079E-2"/>
                  <c:y val="-3.541667015255957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A9D7-4AFE-BC95-9FA5F7A3AF9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Analysis'!$P$186:$P$187</c:f>
              <c:numCache>
                <c:formatCode>General</c:formatCode>
                <c:ptCount val="2"/>
              </c:numCache>
            </c:numRef>
          </c:xVal>
          <c:yVal>
            <c:numRef>
              <c:f>'[1]Notes | Quant Analysis'!$Q$186:$Q$187</c:f>
              <c:numCache>
                <c:formatCode>General</c:formatCode>
                <c:ptCount val="2"/>
              </c:numCache>
            </c:numRef>
          </c:yVal>
          <c:smooth val="1"/>
          <c:extLst>
            <c:ext xmlns:c16="http://schemas.microsoft.com/office/drawing/2014/chart" uri="{C3380CC4-5D6E-409C-BE32-E72D297353CC}">
              <c16:uniqueId val="{0000000A-A9D7-4AFE-BC95-9FA5F7A3AF97}"/>
            </c:ext>
          </c:extLst>
        </c:ser>
        <c:ser>
          <c:idx val="5"/>
          <c:order val="5"/>
          <c:tx>
            <c:strRef>
              <c:f>'[1]Notes | Quant Analysis'!$O$188</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9D7-4AFE-BC95-9FA5F7A3AF97}"/>
                </c:ext>
              </c:extLst>
            </c:dLbl>
            <c:dLbl>
              <c:idx val="1"/>
              <c:layout>
                <c:manualLayout>
                  <c:x val="-9.5144040320977827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A9D7-4AFE-BC95-9FA5F7A3AF9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Analysis'!$P$188:$P$189</c:f>
              <c:numCache>
                <c:formatCode>General</c:formatCode>
                <c:ptCount val="2"/>
              </c:numCache>
            </c:numRef>
          </c:xVal>
          <c:yVal>
            <c:numRef>
              <c:f>'[1]Notes | Quant Analysis'!$Q$188:$Q$189</c:f>
              <c:numCache>
                <c:formatCode>General</c:formatCode>
                <c:ptCount val="2"/>
              </c:numCache>
            </c:numRef>
          </c:yVal>
          <c:smooth val="1"/>
          <c:extLst>
            <c:ext xmlns:c16="http://schemas.microsoft.com/office/drawing/2014/chart" uri="{C3380CC4-5D6E-409C-BE32-E72D297353CC}">
              <c16:uniqueId val="{0000000D-A9D7-4AFE-BC95-9FA5F7A3AF97}"/>
            </c:ext>
          </c:extLst>
        </c:ser>
        <c:ser>
          <c:idx val="6"/>
          <c:order val="6"/>
          <c:tx>
            <c:strRef>
              <c:f>'[1]Notes | Quant Analysis'!$O$190</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9D7-4AFE-BC95-9FA5F7A3AF97}"/>
                </c:ext>
              </c:extLst>
            </c:dLbl>
            <c:dLbl>
              <c:idx val="1"/>
              <c:layout>
                <c:manualLayout>
                  <c:x val="-2.3786010080244464E-2"/>
                  <c:y val="-2.833333612204761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201295968475098E-2"/>
                      <c:h val="4.9276393738927629E-2"/>
                    </c:manualLayout>
                  </c15:layout>
                </c:ext>
                <c:ext xmlns:c16="http://schemas.microsoft.com/office/drawing/2014/chart" uri="{C3380CC4-5D6E-409C-BE32-E72D297353CC}">
                  <c16:uniqueId val="{0000000F-A9D7-4AFE-BC95-9FA5F7A3AF9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Analysis'!$P$190:$P$191</c:f>
              <c:numCache>
                <c:formatCode>General</c:formatCode>
                <c:ptCount val="2"/>
              </c:numCache>
            </c:numRef>
          </c:xVal>
          <c:yVal>
            <c:numRef>
              <c:f>'[1]Notes | Quant Analysis'!$Q$190:$Q$191</c:f>
              <c:numCache>
                <c:formatCode>General</c:formatCode>
                <c:ptCount val="2"/>
              </c:numCache>
            </c:numRef>
          </c:yVal>
          <c:smooth val="1"/>
          <c:extLst>
            <c:ext xmlns:c16="http://schemas.microsoft.com/office/drawing/2014/chart" uri="{C3380CC4-5D6E-409C-BE32-E72D297353CC}">
              <c16:uniqueId val="{00000010-A9D7-4AFE-BC95-9FA5F7A3AF97}"/>
            </c:ext>
          </c:extLst>
        </c:ser>
        <c:ser>
          <c:idx val="7"/>
          <c:order val="7"/>
          <c:tx>
            <c:strRef>
              <c:f>'[1]Notes | Quant Analysis'!$O$192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9D7-4AFE-BC95-9FA5F7A3AF97}"/>
                </c:ext>
              </c:extLst>
            </c:dLbl>
            <c:dLbl>
              <c:idx val="1"/>
              <c:layout>
                <c:manualLayout>
                  <c:x val="-3.7777780715682475E-2"/>
                  <c:y val="-6.138889493110313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A9D7-4AFE-BC95-9FA5F7A3AF9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Analysis'!$P$192:$P$193</c:f>
              <c:numCache>
                <c:formatCode>General</c:formatCode>
                <c:ptCount val="2"/>
              </c:numCache>
            </c:numRef>
          </c:xVal>
          <c:yVal>
            <c:numRef>
              <c:f>'[1]Notes | Quant Analysis'!$Q$192:$Q$193</c:f>
              <c:numCache>
                <c:formatCode>General</c:formatCode>
                <c:ptCount val="2"/>
              </c:numCache>
            </c:numRef>
          </c:yVal>
          <c:smooth val="1"/>
          <c:extLst>
            <c:ext xmlns:c16="http://schemas.microsoft.com/office/drawing/2014/chart" uri="{C3380CC4-5D6E-409C-BE32-E72D297353CC}">
              <c16:uniqueId val="{00000013-A9D7-4AFE-BC95-9FA5F7A3AF97}"/>
            </c:ext>
          </c:extLst>
        </c:ser>
        <c:ser>
          <c:idx val="8"/>
          <c:order val="8"/>
          <c:tx>
            <c:strRef>
              <c:f>'[1]Notes | Quant Analysis'!$O$194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4-A9D7-4AFE-BC95-9FA5F7A3AF97}"/>
                </c:ext>
              </c:extLst>
            </c:dLbl>
            <c:dLbl>
              <c:idx val="1"/>
              <c:layout>
                <c:manualLayout>
                  <c:x val="-3.3580249525050995E-2"/>
                  <c:y val="-3.7777781496063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9D7-4AFE-BC95-9FA5F7A3A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Analysis'!$P$194:$P$195</c:f>
              <c:numCache>
                <c:formatCode>General</c:formatCode>
                <c:ptCount val="2"/>
              </c:numCache>
            </c:numRef>
          </c:xVal>
          <c:yVal>
            <c:numRef>
              <c:f>'[1]Notes | Quant Analysis'!$Q$194:$Q$195</c:f>
              <c:numCache>
                <c:formatCode>General</c:formatCode>
                <c:ptCount val="2"/>
              </c:numCache>
            </c:numRef>
          </c:yVal>
          <c:smooth val="1"/>
          <c:extLst>
            <c:ext xmlns:c16="http://schemas.microsoft.com/office/drawing/2014/chart" uri="{C3380CC4-5D6E-409C-BE32-E72D297353CC}">
              <c16:uniqueId val="{00000016-A9D7-4AFE-BC95-9FA5F7A3AF97}"/>
            </c:ext>
          </c:extLst>
        </c:ser>
        <c:dLbls>
          <c:showLegendKey val="0"/>
          <c:showVal val="0"/>
          <c:showCatName val="0"/>
          <c:showSerName val="0"/>
          <c:showPercent val="0"/>
          <c:showBubbleSize val="0"/>
        </c:dLbls>
        <c:axId val="1297843279"/>
        <c:axId val="1297840879"/>
      </c:scatterChart>
      <c:valAx>
        <c:axId val="1297843279"/>
        <c:scaling>
          <c:orientation val="minMax"/>
          <c:max val="4.5000000000000012E-2"/>
          <c:min val="-4.5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5.000000000000001E-3"/>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33619</xdr:colOff>
      <xdr:row>347</xdr:row>
      <xdr:rowOff>112057</xdr:rowOff>
    </xdr:from>
    <xdr:to>
      <xdr:col>17</xdr:col>
      <xdr:colOff>582707</xdr:colOff>
      <xdr:row>347</xdr:row>
      <xdr:rowOff>112058</xdr:rowOff>
    </xdr:to>
    <xdr:cxnSp macro="">
      <xdr:nvCxnSpPr>
        <xdr:cNvPr id="3" name="Straight Connector 2">
          <a:extLst>
            <a:ext uri="{FF2B5EF4-FFF2-40B4-BE49-F238E27FC236}">
              <a16:creationId xmlns:a16="http://schemas.microsoft.com/office/drawing/2014/main" id="{E323394B-820B-43E6-80DE-0A86E30EB1B5}"/>
            </a:ext>
          </a:extLst>
        </xdr:cNvPr>
        <xdr:cNvCxnSpPr/>
      </xdr:nvCxnSpPr>
      <xdr:spPr>
        <a:xfrm>
          <a:off x="224119" y="51166057"/>
          <a:ext cx="10626538" cy="1"/>
        </a:xfrm>
        <a:prstGeom prst="line">
          <a:avLst/>
        </a:prstGeom>
        <a:ln w="19050">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56029</xdr:colOff>
      <xdr:row>340</xdr:row>
      <xdr:rowOff>112059</xdr:rowOff>
    </xdr:from>
    <xdr:to>
      <xdr:col>17</xdr:col>
      <xdr:colOff>582706</xdr:colOff>
      <xdr:row>340</xdr:row>
      <xdr:rowOff>112060</xdr:rowOff>
    </xdr:to>
    <xdr:cxnSp macro="">
      <xdr:nvCxnSpPr>
        <xdr:cNvPr id="4" name="Straight Connector 3">
          <a:extLst>
            <a:ext uri="{FF2B5EF4-FFF2-40B4-BE49-F238E27FC236}">
              <a16:creationId xmlns:a16="http://schemas.microsoft.com/office/drawing/2014/main" id="{2ABED92F-EE29-4000-BF5E-7230AC6A5A9F}"/>
            </a:ext>
          </a:extLst>
        </xdr:cNvPr>
        <xdr:cNvCxnSpPr/>
      </xdr:nvCxnSpPr>
      <xdr:spPr>
        <a:xfrm flipV="1">
          <a:off x="246529" y="49832559"/>
          <a:ext cx="10604127" cy="1"/>
        </a:xfrm>
        <a:prstGeom prst="line">
          <a:avLst/>
        </a:prstGeom>
        <a:ln w="19050">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6</xdr:col>
      <xdr:colOff>11206</xdr:colOff>
      <xdr:row>3</xdr:row>
      <xdr:rowOff>11204</xdr:rowOff>
    </xdr:from>
    <xdr:to>
      <xdr:col>8</xdr:col>
      <xdr:colOff>593912</xdr:colOff>
      <xdr:row>10</xdr:row>
      <xdr:rowOff>1</xdr:rowOff>
    </xdr:to>
    <xdr:pic>
      <xdr:nvPicPr>
        <xdr:cNvPr id="2" name="dimg_zX4-afm1LefFp84PrbSBqQU_15" descr="Inari Medical - YouTube">
          <a:extLst>
            <a:ext uri="{FF2B5EF4-FFF2-40B4-BE49-F238E27FC236}">
              <a16:creationId xmlns:a16="http://schemas.microsoft.com/office/drawing/2014/main" id="{7EEB1791-BA5A-7E23-B125-6185EA54D53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3144" b="14301"/>
        <a:stretch>
          <a:fillRect/>
        </a:stretch>
      </xdr:blipFill>
      <xdr:spPr bwMode="auto">
        <a:xfrm>
          <a:off x="3765177" y="571498"/>
          <a:ext cx="1792941" cy="1266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0</xdr:row>
      <xdr:rowOff>0</xdr:rowOff>
    </xdr:from>
    <xdr:to>
      <xdr:col>21</xdr:col>
      <xdr:colOff>0</xdr:colOff>
      <xdr:row>113</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3481625" y="0"/>
          <a:ext cx="0" cy="204787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0</xdr:row>
      <xdr:rowOff>0</xdr:rowOff>
    </xdr:from>
    <xdr:to>
      <xdr:col>42</xdr:col>
      <xdr:colOff>0</xdr:colOff>
      <xdr:row>112</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30070425" y="0"/>
          <a:ext cx="0" cy="204216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85</xdr:row>
      <xdr:rowOff>190499</xdr:rowOff>
    </xdr:from>
    <xdr:to>
      <xdr:col>23</xdr:col>
      <xdr:colOff>0</xdr:colOff>
      <xdr:row>116</xdr:row>
      <xdr:rowOff>180974</xdr:rowOff>
    </xdr:to>
    <xdr:graphicFrame macro="">
      <xdr:nvGraphicFramePr>
        <xdr:cNvPr id="2" name="Chart 1">
          <a:extLst>
            <a:ext uri="{FF2B5EF4-FFF2-40B4-BE49-F238E27FC236}">
              <a16:creationId xmlns:a16="http://schemas.microsoft.com/office/drawing/2014/main" id="{6B678D25-2974-42A4-8A41-6C09C2771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122</xdr:row>
      <xdr:rowOff>0</xdr:rowOff>
    </xdr:from>
    <xdr:to>
      <xdr:col>23</xdr:col>
      <xdr:colOff>0</xdr:colOff>
      <xdr:row>150</xdr:row>
      <xdr:rowOff>0</xdr:rowOff>
    </xdr:to>
    <xdr:graphicFrame macro="">
      <xdr:nvGraphicFramePr>
        <xdr:cNvPr id="3" name="Chart 2">
          <a:extLst>
            <a:ext uri="{FF2B5EF4-FFF2-40B4-BE49-F238E27FC236}">
              <a16:creationId xmlns:a16="http://schemas.microsoft.com/office/drawing/2014/main" id="{265D6249-D860-442F-B9CA-F720C0F3B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155</xdr:row>
      <xdr:rowOff>0</xdr:rowOff>
    </xdr:from>
    <xdr:to>
      <xdr:col>23</xdr:col>
      <xdr:colOff>0</xdr:colOff>
      <xdr:row>183</xdr:row>
      <xdr:rowOff>0</xdr:rowOff>
    </xdr:to>
    <xdr:graphicFrame macro="">
      <xdr:nvGraphicFramePr>
        <xdr:cNvPr id="4" name="Chart 3">
          <a:extLst>
            <a:ext uri="{FF2B5EF4-FFF2-40B4-BE49-F238E27FC236}">
              <a16:creationId xmlns:a16="http://schemas.microsoft.com/office/drawing/2014/main" id="{2B16E748-AF7B-45D7-BDFC-278A448E0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SYK_Model.xlsx" TargetMode="External"/><Relationship Id="rId1" Type="http://schemas.openxmlformats.org/officeDocument/2006/relationships/externalLinkPath" Target="SYK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BSX_Model.xlsx" TargetMode="External"/><Relationship Id="rId1" Type="http://schemas.openxmlformats.org/officeDocument/2006/relationships/externalLinkPath" Target="BSX_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https://d.docs.live.net/Users/User/Desktop/Equity%20Research/Models/Health%20Care/MedTech/SYK_Mode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NARI"/>
      <sheetName val="Debt Schedule"/>
      <sheetName val="Inari Medical"/>
    </sheetNames>
    <sheetDataSet>
      <sheetData sheetId="0"/>
      <sheetData sheetId="1">
        <row r="1">
          <cell r="AY1" t="str">
            <v>Q1 2021</v>
          </cell>
          <cell r="BC1" t="str">
            <v>Q1 2022</v>
          </cell>
          <cell r="BG1" t="str">
            <v>Q1 2023</v>
          </cell>
          <cell r="BK1" t="str">
            <v>Q1 2024</v>
          </cell>
          <cell r="BO1" t="str">
            <v>Q1 2025</v>
          </cell>
        </row>
        <row r="4">
          <cell r="B4" t="str">
            <v>Instruments</v>
          </cell>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cell r="BP4">
            <v>768</v>
          </cell>
        </row>
        <row r="5">
          <cell r="B5" t="str">
            <v>Endoscopy</v>
          </cell>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cell r="BP5">
            <v>899</v>
          </cell>
        </row>
        <row r="6">
          <cell r="B6" t="str">
            <v>Medical</v>
          </cell>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cell r="BP6">
            <v>990</v>
          </cell>
        </row>
        <row r="7">
          <cell r="B7" t="str">
            <v>Vascular</v>
          </cell>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cell r="BP7">
            <v>498</v>
          </cell>
        </row>
        <row r="8">
          <cell r="B8" t="str">
            <v>Neuro Cranial</v>
          </cell>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cell r="BP8">
            <v>616</v>
          </cell>
        </row>
        <row r="10">
          <cell r="B10" t="str">
            <v>Knees</v>
          </cell>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cell r="BP10">
            <v>640</v>
          </cell>
        </row>
        <row r="11">
          <cell r="B11" t="str">
            <v>Hips</v>
          </cell>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cell r="BP11">
            <v>466</v>
          </cell>
        </row>
        <row r="12">
          <cell r="B12" t="str">
            <v>Trauma and Extremities</v>
          </cell>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cell r="BP12">
            <v>957</v>
          </cell>
        </row>
        <row r="13">
          <cell r="B13" t="str">
            <v>Spinal Implants</v>
          </cell>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cell r="BP13">
            <v>5</v>
          </cell>
        </row>
        <row r="14">
          <cell r="B14" t="str">
            <v>Other</v>
          </cell>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cell r="BP14">
            <v>183</v>
          </cell>
        </row>
        <row r="44">
          <cell r="AW44">
            <v>4.1817674937273397E-2</v>
          </cell>
          <cell r="AX44">
            <v>3.1711450012103626E-2</v>
          </cell>
          <cell r="AY44">
            <v>0.1017279821627648</v>
          </cell>
          <cell r="AZ44">
            <v>0.55354558610709126</v>
          </cell>
          <cell r="BA44">
            <v>0.11319240032111311</v>
          </cell>
          <cell r="BB44">
            <v>0.10300328484279686</v>
          </cell>
          <cell r="BC44">
            <v>8.1457121173792002E-2</v>
          </cell>
          <cell r="BD44">
            <v>4.6343735444806633E-2</v>
          </cell>
          <cell r="BE44">
            <v>7.6682692307692202E-2</v>
          </cell>
          <cell r="BF44">
            <v>0.10657306955966805</v>
          </cell>
          <cell r="BG44">
            <v>0.11766081871345024</v>
          </cell>
          <cell r="BH44">
            <v>0.11195192521700426</v>
          </cell>
          <cell r="BI44">
            <v>9.6003572225943357E-2</v>
          </cell>
          <cell r="BJ44">
            <v>0.1178392925797771</v>
          </cell>
          <cell r="BK44">
            <v>9.7321054834658804E-2</v>
          </cell>
          <cell r="BL44">
            <v>8.526821457165723E-2</v>
          </cell>
          <cell r="BM44">
            <v>0.11916887349765726</v>
          </cell>
          <cell r="BN44">
            <v>0.10679277730008607</v>
          </cell>
          <cell r="BO44">
            <v>0.11882510013351144</v>
          </cell>
          <cell r="BP44">
            <v>0.11066027296200653</v>
          </cell>
        </row>
        <row r="55">
          <cell r="AW55">
            <v>780</v>
          </cell>
          <cell r="AX55">
            <v>671</v>
          </cell>
          <cell r="AY55">
            <v>367</v>
          </cell>
          <cell r="AZ55">
            <v>662</v>
          </cell>
          <cell r="BA55">
            <v>495</v>
          </cell>
          <cell r="BB55">
            <v>757</v>
          </cell>
          <cell r="BC55">
            <v>386</v>
          </cell>
          <cell r="BD55">
            <v>720</v>
          </cell>
          <cell r="BE55">
            <v>816</v>
          </cell>
          <cell r="BF55">
            <v>761</v>
          </cell>
          <cell r="BG55">
            <v>679</v>
          </cell>
          <cell r="BH55">
            <v>899</v>
          </cell>
          <cell r="BI55">
            <v>869</v>
          </cell>
          <cell r="BJ55">
            <v>1226</v>
          </cell>
          <cell r="BK55">
            <v>923</v>
          </cell>
          <cell r="BL55">
            <v>998</v>
          </cell>
          <cell r="BM55">
            <v>1043</v>
          </cell>
          <cell r="BN55">
            <v>528</v>
          </cell>
          <cell r="BO55">
            <v>764</v>
          </cell>
          <cell r="BP55">
            <v>1016</v>
          </cell>
        </row>
        <row r="103">
          <cell r="AW103">
            <v>621</v>
          </cell>
          <cell r="AX103">
            <v>568</v>
          </cell>
          <cell r="AY103">
            <v>302</v>
          </cell>
          <cell r="AZ103">
            <v>592</v>
          </cell>
          <cell r="BA103">
            <v>438</v>
          </cell>
          <cell r="BB103">
            <v>662</v>
          </cell>
          <cell r="BC103">
            <v>323</v>
          </cell>
          <cell r="BD103">
            <v>656</v>
          </cell>
          <cell r="BE103">
            <v>816</v>
          </cell>
          <cell r="BF103">
            <v>563</v>
          </cell>
          <cell r="BG103">
            <v>592</v>
          </cell>
          <cell r="BH103">
            <v>738</v>
          </cell>
          <cell r="BI103">
            <v>692</v>
          </cell>
          <cell r="BJ103">
            <v>1143</v>
          </cell>
          <cell r="BK103">
            <v>788</v>
          </cell>
          <cell r="BL103">
            <v>825</v>
          </cell>
          <cell r="BM103">
            <v>834</v>
          </cell>
          <cell r="BN103">
            <v>546</v>
          </cell>
          <cell r="BO103">
            <v>654</v>
          </cell>
          <cell r="BP103">
            <v>884</v>
          </cell>
        </row>
      </sheetData>
      <sheetData sheetId="2">
        <row r="188">
          <cell r="I188" t="str">
            <v>Notes:</v>
          </cell>
          <cell r="J188" t="str">
            <v>[X]</v>
          </cell>
        </row>
        <row r="189">
          <cell r="J189" t="str">
            <v>[Y]</v>
          </cell>
        </row>
        <row r="190">
          <cell r="J190" t="str">
            <v>[Z]</v>
          </cell>
        </row>
        <row r="224">
          <cell r="I224" t="str">
            <v>Notes:</v>
          </cell>
          <cell r="J224" t="str">
            <v>[X]</v>
          </cell>
        </row>
        <row r="225">
          <cell r="J225" t="str">
            <v>[Y]</v>
          </cell>
        </row>
        <row r="226">
          <cell r="J226" t="str">
            <v>[Z]</v>
          </cell>
        </row>
        <row r="258">
          <cell r="J258" t="str">
            <v xml:space="preserve">The return distribution fits a Gaussian curve well, implying that daily change follows a roughly normal distribution </v>
          </cell>
        </row>
        <row r="259">
          <cell r="J259" t="str">
            <v xml:space="preserve">There is slight implied upside to mean 1-day returns </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refreshError="1"/>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row r="50">
          <cell r="AW50">
            <v>2543</v>
          </cell>
          <cell r="AX50">
            <v>2003</v>
          </cell>
          <cell r="AY50">
            <v>2659</v>
          </cell>
          <cell r="AZ50">
            <v>2708</v>
          </cell>
          <cell r="BA50">
            <v>2752</v>
          </cell>
          <cell r="BB50">
            <v>3077</v>
          </cell>
          <cell r="BC50">
            <v>2932</v>
          </cell>
          <cell r="BD50">
            <v>3127</v>
          </cell>
          <cell r="BE50">
            <v>3026</v>
          </cell>
          <cell r="BF50">
            <v>3244</v>
          </cell>
          <cell r="BG50">
            <v>3170</v>
          </cell>
          <cell r="BH50">
            <v>3242</v>
          </cell>
          <cell r="BI50">
            <v>3389</v>
          </cell>
          <cell r="BJ50">
            <v>3599</v>
          </cell>
          <cell r="BK50">
            <v>3527</v>
          </cell>
          <cell r="BL50">
            <v>3725</v>
          </cell>
          <cell r="BM50">
            <v>3857</v>
          </cell>
          <cell r="BN50">
            <v>4120</v>
          </cell>
          <cell r="BO50">
            <v>4209</v>
          </cell>
          <cell r="BP50">
            <v>4561</v>
          </cell>
          <cell r="BQ50">
            <v>4663</v>
          </cell>
        </row>
        <row r="70">
          <cell r="AW70">
            <v>11</v>
          </cell>
          <cell r="AX70">
            <v>-152</v>
          </cell>
          <cell r="AY70">
            <v>-169</v>
          </cell>
          <cell r="AZ70">
            <v>196</v>
          </cell>
          <cell r="BA70">
            <v>327</v>
          </cell>
          <cell r="BB70">
            <v>172</v>
          </cell>
          <cell r="BC70">
            <v>405</v>
          </cell>
          <cell r="BD70">
            <v>80</v>
          </cell>
          <cell r="BE70">
            <v>97</v>
          </cell>
          <cell r="BF70">
            <v>246</v>
          </cell>
          <cell r="BG70">
            <v>174</v>
          </cell>
          <cell r="BH70">
            <v>124</v>
          </cell>
          <cell r="BI70">
            <v>300</v>
          </cell>
          <cell r="BJ70">
            <v>261</v>
          </cell>
          <cell r="BK70">
            <v>504</v>
          </cell>
          <cell r="BL70">
            <v>504</v>
          </cell>
          <cell r="BM70">
            <v>495</v>
          </cell>
          <cell r="BN70">
            <v>324</v>
          </cell>
          <cell r="BO70">
            <v>468</v>
          </cell>
          <cell r="BP70">
            <v>565</v>
          </cell>
          <cell r="BQ70">
            <v>674</v>
          </cell>
        </row>
        <row r="115">
          <cell r="AZ115">
            <v>0.4710676446617767</v>
          </cell>
          <cell r="BA115">
            <v>0.59416445623342173</v>
          </cell>
          <cell r="BB115">
            <v>0.65676405597839427</v>
          </cell>
          <cell r="BC115">
            <v>0.4840875186474391</v>
          </cell>
          <cell r="BD115">
            <v>0.45050315937280599</v>
          </cell>
          <cell r="BE115">
            <v>7.6041179223210104E-2</v>
          </cell>
          <cell r="BF115">
            <v>7.107906258047901E-2</v>
          </cell>
          <cell r="BG115">
            <v>9.5519864750633982E-2</v>
          </cell>
          <cell r="BH115">
            <v>0.2440178806205627</v>
          </cell>
          <cell r="BI115">
            <v>0.13960323291697282</v>
          </cell>
          <cell r="BJ115">
            <v>9.3380096448925906E-2</v>
          </cell>
          <cell r="BK115">
            <v>0.20790565625682464</v>
          </cell>
          <cell r="BL115">
            <v>0.17551682205107419</v>
          </cell>
          <cell r="BM115">
            <v>0.47375915378356387</v>
          </cell>
          <cell r="BN115">
            <v>0.52241750358680061</v>
          </cell>
          <cell r="BO115">
            <v>0.42327863305701235</v>
          </cell>
          <cell r="BP115">
            <v>6.4551422319474833E-2</v>
          </cell>
          <cell r="BQ115">
            <v>0.14333728746540134</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Y1" t="str">
            <v>Q1 2021</v>
          </cell>
        </row>
        <row r="4">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cell r="BP4"/>
          <cell r="BQ4"/>
        </row>
        <row r="5">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cell r="BP5"/>
          <cell r="BQ5"/>
        </row>
        <row r="6">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cell r="BP6"/>
          <cell r="BQ6"/>
        </row>
        <row r="7">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cell r="BP7"/>
          <cell r="BQ7"/>
        </row>
        <row r="8">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cell r="BP8"/>
          <cell r="BQ8"/>
        </row>
        <row r="10">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cell r="BP10"/>
          <cell r="BQ10"/>
        </row>
        <row r="11">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cell r="BP11"/>
          <cell r="BQ11"/>
        </row>
        <row r="12">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cell r="BP12"/>
          <cell r="BQ12"/>
        </row>
        <row r="13">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cell r="BP13"/>
          <cell r="BQ13"/>
        </row>
        <row r="14">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cell r="BP14"/>
          <cell r="BQ14"/>
        </row>
      </sheetData>
      <sheetData sheetId="2">
        <row r="188">
          <cell r="I188" t="str">
            <v>Notes:</v>
          </cell>
        </row>
      </sheetData>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row>
        <row r="50">
          <cell r="AW50">
            <v>2543</v>
          </cell>
          <cell r="AX50">
            <v>2003</v>
          </cell>
          <cell r="AY50">
            <v>2659</v>
          </cell>
          <cell r="AZ50">
            <v>2708</v>
          </cell>
          <cell r="BA50">
            <v>2752</v>
          </cell>
          <cell r="BB50">
            <v>3077</v>
          </cell>
          <cell r="BC50">
            <v>2932</v>
          </cell>
          <cell r="BD50">
            <v>3127</v>
          </cell>
          <cell r="BE50">
            <v>3026</v>
          </cell>
          <cell r="BF50">
            <v>3244</v>
          </cell>
          <cell r="BG50">
            <v>3170</v>
          </cell>
          <cell r="BH50">
            <v>3242</v>
          </cell>
          <cell r="BI50">
            <v>3389</v>
          </cell>
          <cell r="BJ50">
            <v>3599</v>
          </cell>
          <cell r="BK50">
            <v>3527</v>
          </cell>
          <cell r="BL50">
            <v>3725</v>
          </cell>
          <cell r="BM50">
            <v>3857</v>
          </cell>
          <cell r="BN50">
            <v>4120</v>
          </cell>
          <cell r="BO50">
            <v>4209</v>
          </cell>
          <cell r="BP50">
            <v>4561</v>
          </cell>
          <cell r="BQ50">
            <v>4663</v>
          </cell>
        </row>
        <row r="70">
          <cell r="AW70">
            <v>11</v>
          </cell>
          <cell r="AX70">
            <v>-152</v>
          </cell>
          <cell r="AY70">
            <v>-169</v>
          </cell>
          <cell r="AZ70">
            <v>196</v>
          </cell>
          <cell r="BA70">
            <v>327</v>
          </cell>
          <cell r="BB70">
            <v>172</v>
          </cell>
          <cell r="BC70">
            <v>405</v>
          </cell>
          <cell r="BD70">
            <v>80</v>
          </cell>
          <cell r="BE70">
            <v>97</v>
          </cell>
          <cell r="BF70">
            <v>246</v>
          </cell>
          <cell r="BG70">
            <v>174</v>
          </cell>
          <cell r="BH70">
            <v>124</v>
          </cell>
          <cell r="BI70">
            <v>300</v>
          </cell>
          <cell r="BJ70">
            <v>261</v>
          </cell>
          <cell r="BK70">
            <v>504</v>
          </cell>
          <cell r="BL70">
            <v>504</v>
          </cell>
          <cell r="BM70">
            <v>495</v>
          </cell>
          <cell r="BN70">
            <v>324</v>
          </cell>
          <cell r="BO70">
            <v>468</v>
          </cell>
          <cell r="BP70">
            <v>565</v>
          </cell>
          <cell r="BQ70">
            <v>674</v>
          </cell>
        </row>
        <row r="115">
          <cell r="AZ115">
            <v>1.4515077424612877</v>
          </cell>
          <cell r="BA115">
            <v>1.3834364868847628</v>
          </cell>
          <cell r="BB115">
            <v>1.3083722072182666</v>
          </cell>
          <cell r="BC115">
            <v>1.1499254102436598</v>
          </cell>
          <cell r="BD115">
            <v>1.1015679850222326</v>
          </cell>
          <cell r="BE115">
            <v>0.77889564810481982</v>
          </cell>
          <cell r="BF115">
            <v>0.85784187483904195</v>
          </cell>
          <cell r="BG115">
            <v>0.94561848408002258</v>
          </cell>
          <cell r="BH115">
            <v>1.0236655272153563</v>
          </cell>
          <cell r="BI115">
            <v>0.89468528043105555</v>
          </cell>
          <cell r="BJ115">
            <v>0.79701885138097328</v>
          </cell>
          <cell r="BK115">
            <v>0.89561039528281283</v>
          </cell>
          <cell r="BL115">
            <v>0.8169841913254966</v>
          </cell>
          <cell r="BM115">
            <v>1.1438161106590725</v>
          </cell>
          <cell r="BN115">
            <v>1.144906743185079</v>
          </cell>
          <cell r="BO115">
            <v>1.016579259008628</v>
          </cell>
          <cell r="BP115">
            <v>0.64223194748358858</v>
          </cell>
          <cell r="BQ115">
            <v>0.88335310399367339</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JNJ.xlsx" TargetMode="External"/><Relationship Id="rId13" Type="http://schemas.openxmlformats.org/officeDocument/2006/relationships/hyperlink" Target="LMAT_Model.xlsx" TargetMode="External"/><Relationship Id="rId3" Type="http://schemas.openxmlformats.org/officeDocument/2006/relationships/hyperlink" Target="000%20Med-Devices%20Master%20List%20000.xlsx" TargetMode="External"/><Relationship Id="rId7" Type="http://schemas.openxmlformats.org/officeDocument/2006/relationships/hyperlink" Target="NARI_Model.xlsx" TargetMode="External"/><Relationship Id="rId12" Type="http://schemas.openxmlformats.org/officeDocument/2006/relationships/hyperlink" Target="EW_Model.xlsx" TargetMode="External"/><Relationship Id="rId2" Type="http://schemas.openxmlformats.org/officeDocument/2006/relationships/hyperlink" Target="https://www.inarimedical.com/" TargetMode="External"/><Relationship Id="rId1" Type="http://schemas.openxmlformats.org/officeDocument/2006/relationships/hyperlink" Target="https://www.sec.gov/edgar/browse/?CIK=310764&amp;owner=exclude" TargetMode="External"/><Relationship Id="rId6" Type="http://schemas.openxmlformats.org/officeDocument/2006/relationships/hyperlink" Target="SYK_Model.xlsx" TargetMode="External"/><Relationship Id="rId11" Type="http://schemas.openxmlformats.org/officeDocument/2006/relationships/hyperlink" Target="ABT_Model.xlsx" TargetMode="External"/><Relationship Id="rId5" Type="http://schemas.openxmlformats.org/officeDocument/2006/relationships/hyperlink" Target="https://app.godelterminal.com/" TargetMode="External"/><Relationship Id="rId15" Type="http://schemas.openxmlformats.org/officeDocument/2006/relationships/drawing" Target="../drawings/drawing1.xml"/><Relationship Id="rId10" Type="http://schemas.openxmlformats.org/officeDocument/2006/relationships/hyperlink" Target="MDT_Model.xlsx" TargetMode="External"/><Relationship Id="rId4" Type="http://schemas.openxmlformats.org/officeDocument/2006/relationships/hyperlink" Target="https://ir.inarimedical.com/" TargetMode="External"/><Relationship Id="rId9" Type="http://schemas.openxmlformats.org/officeDocument/2006/relationships/hyperlink" Target="BSX_Model.xlsx" TargetMode="External"/><Relationship Id="rId14" Type="http://schemas.openxmlformats.org/officeDocument/2006/relationships/hyperlink" Target="ANGO_Model.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433"/>
  <sheetViews>
    <sheetView topLeftCell="A18" zoomScale="85" zoomScaleNormal="85" workbookViewId="0">
      <selection activeCell="H12" sqref="H12"/>
    </sheetView>
  </sheetViews>
  <sheetFormatPr defaultRowHeight="14.25"/>
  <cols>
    <col min="1" max="1" width="3.42578125" style="1" customWidth="1"/>
    <col min="2" max="4" width="11.5703125" style="1" customWidth="1"/>
    <col min="5" max="16384" width="9.140625" style="1"/>
  </cols>
  <sheetData>
    <row r="1" spans="1:78" ht="15">
      <c r="A1" s="48" t="s">
        <v>0</v>
      </c>
      <c r="BZ1" s="1">
        <v>0</v>
      </c>
    </row>
    <row r="2" spans="1:78" ht="15">
      <c r="A2" s="2" t="s">
        <v>84</v>
      </c>
    </row>
    <row r="4" spans="1:78" ht="15">
      <c r="B4" s="2" t="s">
        <v>85</v>
      </c>
    </row>
    <row r="5" spans="1:78" ht="15">
      <c r="B5" s="1" t="s">
        <v>1</v>
      </c>
      <c r="C5" s="44">
        <v>80</v>
      </c>
      <c r="D5" s="43" t="s">
        <v>95</v>
      </c>
      <c r="F5"/>
    </row>
    <row r="6" spans="1:78">
      <c r="B6" s="1" t="s">
        <v>2</v>
      </c>
      <c r="C6" s="49">
        <v>59.3</v>
      </c>
      <c r="D6" s="50" t="s">
        <v>463</v>
      </c>
    </row>
    <row r="7" spans="1:78">
      <c r="B7" s="1" t="s">
        <v>3</v>
      </c>
      <c r="C7" s="45">
        <f>C5*C6</f>
        <v>4744</v>
      </c>
    </row>
    <row r="8" spans="1:78">
      <c r="B8" s="1" t="s">
        <v>4</v>
      </c>
      <c r="C8" s="46">
        <v>112</v>
      </c>
      <c r="D8" s="50" t="s">
        <v>463</v>
      </c>
    </row>
    <row r="9" spans="1:78">
      <c r="B9" s="1" t="s">
        <v>5</v>
      </c>
      <c r="C9" s="46">
        <v>0</v>
      </c>
      <c r="D9" s="50" t="s">
        <v>463</v>
      </c>
    </row>
    <row r="10" spans="1:78">
      <c r="B10" s="1" t="s">
        <v>6</v>
      </c>
      <c r="C10" s="46">
        <f>C7-C8+C9</f>
        <v>4632</v>
      </c>
      <c r="D10" s="50"/>
    </row>
    <row r="12" spans="1:78" ht="15">
      <c r="B12" s="2" t="s">
        <v>86</v>
      </c>
    </row>
    <row r="13" spans="1:78" ht="15">
      <c r="Q13" s="2"/>
    </row>
    <row r="14" spans="1:78">
      <c r="B14" s="1" t="s">
        <v>87</v>
      </c>
      <c r="G14" s="1" t="s">
        <v>96</v>
      </c>
      <c r="N14" s="1" t="s">
        <v>8</v>
      </c>
      <c r="Q14" s="47" t="s">
        <v>80</v>
      </c>
    </row>
    <row r="15" spans="1:78" ht="15" customHeight="1">
      <c r="B15" s="95" t="s">
        <v>88</v>
      </c>
      <c r="C15" s="95"/>
      <c r="G15" s="1" t="s">
        <v>97</v>
      </c>
      <c r="N15" s="1" t="s">
        <v>111</v>
      </c>
      <c r="Q15" s="47" t="s">
        <v>108</v>
      </c>
      <c r="R15" s="47"/>
    </row>
    <row r="16" spans="1:78">
      <c r="B16" s="1" t="s">
        <v>89</v>
      </c>
      <c r="G16" s="1" t="s">
        <v>7</v>
      </c>
      <c r="O16" s="1" t="s">
        <v>110</v>
      </c>
      <c r="Q16" s="47"/>
      <c r="R16" s="47" t="s">
        <v>109</v>
      </c>
    </row>
    <row r="17" spans="1:22">
      <c r="B17" s="1" t="s">
        <v>415</v>
      </c>
      <c r="G17" s="1" t="s">
        <v>83</v>
      </c>
      <c r="N17" s="1" t="s">
        <v>81</v>
      </c>
      <c r="Q17" s="47" t="s">
        <v>107</v>
      </c>
    </row>
    <row r="18" spans="1:22">
      <c r="B18" s="1" t="s">
        <v>90</v>
      </c>
      <c r="G18" s="1" t="s">
        <v>78</v>
      </c>
      <c r="J18" s="1" t="s">
        <v>79</v>
      </c>
      <c r="N18" s="1" t="s">
        <v>9</v>
      </c>
      <c r="Q18" s="47" t="s">
        <v>82</v>
      </c>
    </row>
    <row r="19" spans="1:22">
      <c r="B19" s="1" t="s">
        <v>91</v>
      </c>
      <c r="Q19" s="47"/>
    </row>
    <row r="20" spans="1:22" ht="15">
      <c r="B20" s="1" t="s">
        <v>92</v>
      </c>
      <c r="N20" s="2"/>
    </row>
    <row r="21" spans="1:22" ht="15">
      <c r="B21" s="1" t="s">
        <v>94</v>
      </c>
      <c r="N21" s="2"/>
    </row>
    <row r="22" spans="1:22">
      <c r="B22" s="1" t="s">
        <v>93</v>
      </c>
    </row>
    <row r="24" spans="1:22" ht="15">
      <c r="A24" s="2" t="s">
        <v>10</v>
      </c>
    </row>
    <row r="25" spans="1:22">
      <c r="B25" s="1" t="s">
        <v>100</v>
      </c>
    </row>
    <row r="26" spans="1:22">
      <c r="B26" s="1" t="s">
        <v>98</v>
      </c>
    </row>
    <row r="27" spans="1:22">
      <c r="C27" s="1" t="s">
        <v>99</v>
      </c>
    </row>
    <row r="28" spans="1:22">
      <c r="D28" s="1" t="s">
        <v>101</v>
      </c>
      <c r="F28" s="95" t="s">
        <v>103</v>
      </c>
      <c r="G28" s="95"/>
      <c r="H28" s="95"/>
      <c r="I28" s="95"/>
      <c r="J28" s="95"/>
      <c r="K28" s="95"/>
      <c r="L28" s="95"/>
      <c r="M28" s="95"/>
      <c r="N28" s="95"/>
      <c r="O28" s="95"/>
      <c r="P28" s="95"/>
      <c r="Q28" s="95"/>
      <c r="R28" s="95"/>
      <c r="S28" s="95"/>
      <c r="T28" s="95"/>
      <c r="U28" s="95"/>
      <c r="V28" s="95"/>
    </row>
    <row r="29" spans="1:22">
      <c r="F29" s="95"/>
      <c r="G29" s="95"/>
      <c r="H29" s="95"/>
      <c r="I29" s="95"/>
      <c r="J29" s="95"/>
      <c r="K29" s="95"/>
      <c r="L29" s="95"/>
      <c r="M29" s="95"/>
      <c r="N29" s="95"/>
      <c r="O29" s="95"/>
      <c r="P29" s="95"/>
      <c r="Q29" s="95"/>
      <c r="R29" s="95"/>
      <c r="S29" s="95"/>
      <c r="T29" s="95"/>
      <c r="U29" s="95"/>
      <c r="V29" s="95"/>
    </row>
    <row r="30" spans="1:22">
      <c r="D30" s="1" t="s">
        <v>102</v>
      </c>
      <c r="F30" s="95" t="s">
        <v>104</v>
      </c>
      <c r="G30" s="95"/>
      <c r="H30" s="95"/>
      <c r="I30" s="95"/>
      <c r="J30" s="95"/>
      <c r="K30" s="95"/>
      <c r="L30" s="95"/>
      <c r="M30" s="95"/>
      <c r="N30" s="95"/>
      <c r="O30" s="95"/>
      <c r="P30" s="95"/>
      <c r="Q30" s="95"/>
      <c r="R30" s="95"/>
      <c r="S30" s="95"/>
      <c r="T30" s="95"/>
      <c r="U30" s="95"/>
      <c r="V30" s="95"/>
    </row>
    <row r="31" spans="1:22">
      <c r="F31" s="95"/>
      <c r="G31" s="95"/>
      <c r="H31" s="95"/>
      <c r="I31" s="95"/>
      <c r="J31" s="95"/>
      <c r="K31" s="95"/>
      <c r="L31" s="95"/>
      <c r="M31" s="95"/>
      <c r="N31" s="95"/>
      <c r="O31" s="95"/>
      <c r="P31" s="95"/>
      <c r="Q31" s="95"/>
      <c r="R31" s="95"/>
      <c r="S31" s="95"/>
      <c r="T31" s="95"/>
      <c r="U31" s="95"/>
      <c r="V31" s="95"/>
    </row>
    <row r="32" spans="1:22">
      <c r="D32" s="1" t="s">
        <v>105</v>
      </c>
      <c r="F32" s="95" t="s">
        <v>106</v>
      </c>
      <c r="G32" s="95"/>
      <c r="H32" s="95"/>
      <c r="I32" s="95"/>
      <c r="J32" s="95"/>
      <c r="K32" s="95"/>
      <c r="L32" s="95"/>
      <c r="M32" s="95"/>
      <c r="N32" s="95"/>
      <c r="O32" s="95"/>
      <c r="P32" s="95"/>
      <c r="Q32" s="95"/>
      <c r="R32" s="95"/>
      <c r="S32" s="95"/>
      <c r="T32" s="95"/>
      <c r="U32" s="95"/>
      <c r="V32" s="95"/>
    </row>
    <row r="33" spans="1:22">
      <c r="F33" s="95"/>
      <c r="G33" s="95"/>
      <c r="H33" s="95"/>
      <c r="I33" s="95"/>
      <c r="J33" s="95"/>
      <c r="K33" s="95"/>
      <c r="L33" s="95"/>
      <c r="M33" s="95"/>
      <c r="N33" s="95"/>
      <c r="O33" s="95"/>
      <c r="P33" s="95"/>
      <c r="Q33" s="95"/>
      <c r="R33" s="95"/>
      <c r="S33" s="95"/>
      <c r="T33" s="95"/>
      <c r="U33" s="95"/>
      <c r="V33" s="95"/>
    </row>
    <row r="34" spans="1:22">
      <c r="B34" s="1" t="s">
        <v>112</v>
      </c>
    </row>
    <row r="35" spans="1:22">
      <c r="B35" s="1" t="s">
        <v>113</v>
      </c>
    </row>
    <row r="36" spans="1:22">
      <c r="B36" s="1" t="s">
        <v>114</v>
      </c>
    </row>
    <row r="37" spans="1:22" ht="15">
      <c r="A37" s="2"/>
      <c r="C37" s="1" t="s">
        <v>115</v>
      </c>
    </row>
    <row r="38" spans="1:22">
      <c r="D38" s="1" t="s">
        <v>116</v>
      </c>
    </row>
    <row r="39" spans="1:22">
      <c r="D39" s="1" t="s">
        <v>117</v>
      </c>
    </row>
    <row r="40" spans="1:22">
      <c r="D40" s="1" t="s">
        <v>542</v>
      </c>
    </row>
    <row r="41" spans="1:22">
      <c r="D41" s="1" t="s">
        <v>543</v>
      </c>
    </row>
    <row r="42" spans="1:22">
      <c r="B42" s="1" t="s">
        <v>118</v>
      </c>
    </row>
    <row r="43" spans="1:22">
      <c r="C43" s="1" t="s">
        <v>119</v>
      </c>
    </row>
    <row r="44" spans="1:22">
      <c r="C44" s="1" t="s">
        <v>120</v>
      </c>
    </row>
    <row r="45" spans="1:22">
      <c r="C45" s="1" t="s">
        <v>121</v>
      </c>
    </row>
    <row r="46" spans="1:22">
      <c r="B46" s="1" t="s">
        <v>513</v>
      </c>
    </row>
    <row r="47" spans="1:22">
      <c r="C47" s="1" t="s">
        <v>122</v>
      </c>
    </row>
    <row r="48" spans="1:22">
      <c r="C48" s="1" t="s">
        <v>123</v>
      </c>
    </row>
    <row r="49" spans="1:5">
      <c r="B49" s="1" t="s">
        <v>124</v>
      </c>
    </row>
    <row r="51" spans="1:5" ht="15">
      <c r="A51" s="2" t="s">
        <v>125</v>
      </c>
    </row>
    <row r="52" spans="1:5" ht="15">
      <c r="B52" s="1" t="s">
        <v>127</v>
      </c>
    </row>
    <row r="53" spans="1:5">
      <c r="C53" s="1" t="s">
        <v>126</v>
      </c>
    </row>
    <row r="54" spans="1:5">
      <c r="D54" s="1" t="s">
        <v>128</v>
      </c>
    </row>
    <row r="55" spans="1:5">
      <c r="E55" s="1" t="s">
        <v>129</v>
      </c>
    </row>
    <row r="56" spans="1:5">
      <c r="E56" s="1" t="s">
        <v>544</v>
      </c>
    </row>
    <row r="57" spans="1:5">
      <c r="D57" s="1" t="s">
        <v>130</v>
      </c>
    </row>
    <row r="58" spans="1:5">
      <c r="E58" s="1" t="s">
        <v>131</v>
      </c>
    </row>
    <row r="59" spans="1:5">
      <c r="E59" s="1" t="s">
        <v>132</v>
      </c>
    </row>
    <row r="60" spans="1:5">
      <c r="E60" s="1" t="s">
        <v>133</v>
      </c>
    </row>
    <row r="61" spans="1:5">
      <c r="E61" s="1" t="s">
        <v>134</v>
      </c>
    </row>
    <row r="62" spans="1:5">
      <c r="E62" s="1" t="s">
        <v>135</v>
      </c>
    </row>
    <row r="63" spans="1:5">
      <c r="C63" s="1" t="s">
        <v>136</v>
      </c>
    </row>
    <row r="64" spans="1:5">
      <c r="D64" s="1" t="s">
        <v>137</v>
      </c>
    </row>
    <row r="65" spans="3:6">
      <c r="E65" s="1" t="s">
        <v>138</v>
      </c>
    </row>
    <row r="66" spans="3:6">
      <c r="E66" s="1" t="s">
        <v>139</v>
      </c>
    </row>
    <row r="67" spans="3:6">
      <c r="C67" s="1" t="s">
        <v>140</v>
      </c>
    </row>
    <row r="68" spans="3:6">
      <c r="D68" s="1" t="s">
        <v>141</v>
      </c>
    </row>
    <row r="69" spans="3:6">
      <c r="E69" s="1" t="s">
        <v>142</v>
      </c>
    </row>
    <row r="70" spans="3:6">
      <c r="E70" s="1" t="s">
        <v>143</v>
      </c>
    </row>
    <row r="71" spans="3:6">
      <c r="E71" s="1" t="s">
        <v>144</v>
      </c>
    </row>
    <row r="72" spans="3:6">
      <c r="F72" s="1" t="s">
        <v>145</v>
      </c>
    </row>
    <row r="73" spans="3:6">
      <c r="C73" s="1" t="s">
        <v>146</v>
      </c>
    </row>
    <row r="74" spans="3:6">
      <c r="D74" s="1" t="s">
        <v>147</v>
      </c>
    </row>
    <row r="75" spans="3:6">
      <c r="D75" s="1" t="s">
        <v>545</v>
      </c>
    </row>
    <row r="76" spans="3:6">
      <c r="C76" s="1" t="s">
        <v>148</v>
      </c>
    </row>
    <row r="77" spans="3:6">
      <c r="D77" s="1" t="s">
        <v>546</v>
      </c>
    </row>
    <row r="78" spans="3:6">
      <c r="D78" s="1" t="s">
        <v>547</v>
      </c>
    </row>
    <row r="79" spans="3:6">
      <c r="D79" s="1" t="s">
        <v>149</v>
      </c>
    </row>
    <row r="80" spans="3:6">
      <c r="D80" s="1" t="s">
        <v>150</v>
      </c>
    </row>
    <row r="81" spans="2:5">
      <c r="B81" s="1" t="s">
        <v>151</v>
      </c>
    </row>
    <row r="82" spans="2:5">
      <c r="C82" s="1" t="s">
        <v>153</v>
      </c>
    </row>
    <row r="83" spans="2:5">
      <c r="D83" s="1" t="s">
        <v>154</v>
      </c>
    </row>
    <row r="84" spans="2:5">
      <c r="E84" s="1" t="s">
        <v>155</v>
      </c>
    </row>
    <row r="85" spans="2:5">
      <c r="E85" s="1" t="s">
        <v>156</v>
      </c>
    </row>
    <row r="86" spans="2:5">
      <c r="E86" s="1" t="s">
        <v>157</v>
      </c>
    </row>
    <row r="87" spans="2:5">
      <c r="D87" s="1" t="s">
        <v>158</v>
      </c>
    </row>
    <row r="88" spans="2:5">
      <c r="E88" s="1" t="s">
        <v>132</v>
      </c>
    </row>
    <row r="89" spans="2:5">
      <c r="E89" s="1" t="s">
        <v>159</v>
      </c>
    </row>
    <row r="90" spans="2:5">
      <c r="D90" s="1" t="s">
        <v>160</v>
      </c>
    </row>
    <row r="91" spans="2:5">
      <c r="E91" s="1" t="s">
        <v>548</v>
      </c>
    </row>
    <row r="92" spans="2:5">
      <c r="E92" s="1" t="s">
        <v>161</v>
      </c>
    </row>
    <row r="93" spans="2:5">
      <c r="E93" s="1" t="s">
        <v>549</v>
      </c>
    </row>
    <row r="94" spans="2:5">
      <c r="D94" s="1" t="s">
        <v>162</v>
      </c>
    </row>
    <row r="95" spans="2:5">
      <c r="E95" s="1" t="s">
        <v>163</v>
      </c>
    </row>
    <row r="96" spans="2:5">
      <c r="E96" s="1" t="s">
        <v>164</v>
      </c>
    </row>
    <row r="97" spans="3:5">
      <c r="C97" s="1" t="s">
        <v>165</v>
      </c>
    </row>
    <row r="98" spans="3:5">
      <c r="D98" s="1" t="s">
        <v>166</v>
      </c>
    </row>
    <row r="99" spans="3:5">
      <c r="E99" s="1" t="s">
        <v>167</v>
      </c>
    </row>
    <row r="100" spans="3:5">
      <c r="D100" s="1" t="s">
        <v>168</v>
      </c>
    </row>
    <row r="101" spans="3:5">
      <c r="E101" s="1" t="s">
        <v>169</v>
      </c>
    </row>
    <row r="102" spans="3:5">
      <c r="E102" s="1" t="s">
        <v>170</v>
      </c>
    </row>
    <row r="103" spans="3:5">
      <c r="D103" s="1" t="s">
        <v>514</v>
      </c>
    </row>
    <row r="104" spans="3:5">
      <c r="E104" s="1" t="s">
        <v>515</v>
      </c>
    </row>
    <row r="105" spans="3:5">
      <c r="E105" s="1" t="s">
        <v>516</v>
      </c>
    </row>
    <row r="106" spans="3:5">
      <c r="D106" s="1" t="s">
        <v>517</v>
      </c>
    </row>
    <row r="107" spans="3:5">
      <c r="E107" s="1" t="s">
        <v>171</v>
      </c>
    </row>
    <row r="108" spans="3:5">
      <c r="E108" s="1" t="s">
        <v>164</v>
      </c>
    </row>
    <row r="109" spans="3:5">
      <c r="C109" s="1" t="s">
        <v>172</v>
      </c>
    </row>
    <row r="110" spans="3:5">
      <c r="D110" s="1" t="s">
        <v>173</v>
      </c>
    </row>
    <row r="111" spans="3:5">
      <c r="E111" s="1" t="s">
        <v>174</v>
      </c>
    </row>
    <row r="112" spans="3:5">
      <c r="E112" s="1" t="s">
        <v>175</v>
      </c>
    </row>
    <row r="113" spans="2:5">
      <c r="D113" s="1" t="s">
        <v>518</v>
      </c>
    </row>
    <row r="114" spans="2:5">
      <c r="E114" s="1" t="s">
        <v>550</v>
      </c>
    </row>
    <row r="115" spans="2:5">
      <c r="D115" s="1" t="s">
        <v>519</v>
      </c>
    </row>
    <row r="116" spans="2:5">
      <c r="E116" s="1" t="s">
        <v>176</v>
      </c>
    </row>
    <row r="117" spans="2:5">
      <c r="E117" s="1" t="s">
        <v>164</v>
      </c>
    </row>
    <row r="118" spans="2:5">
      <c r="C118" s="1" t="s">
        <v>177</v>
      </c>
    </row>
    <row r="119" spans="2:5">
      <c r="D119" s="1" t="s">
        <v>178</v>
      </c>
    </row>
    <row r="120" spans="2:5">
      <c r="E120" s="1" t="s">
        <v>179</v>
      </c>
    </row>
    <row r="121" spans="2:5">
      <c r="E121" s="1" t="s">
        <v>180</v>
      </c>
    </row>
    <row r="122" spans="2:5">
      <c r="D122" s="1" t="s">
        <v>181</v>
      </c>
    </row>
    <row r="123" spans="2:5">
      <c r="E123" s="1" t="s">
        <v>182</v>
      </c>
    </row>
    <row r="124" spans="2:5">
      <c r="E124" s="1" t="s">
        <v>183</v>
      </c>
    </row>
    <row r="125" spans="2:5">
      <c r="E125" s="1" t="s">
        <v>184</v>
      </c>
    </row>
    <row r="126" spans="2:5">
      <c r="B126" s="1" t="s">
        <v>185</v>
      </c>
    </row>
    <row r="127" spans="2:5">
      <c r="C127" s="1" t="s">
        <v>186</v>
      </c>
    </row>
    <row r="128" spans="2:5">
      <c r="D128" s="1" t="s">
        <v>187</v>
      </c>
    </row>
    <row r="129" spans="1:5">
      <c r="D129" s="1" t="s">
        <v>520</v>
      </c>
    </row>
    <row r="130" spans="1:5">
      <c r="E130" s="1" t="s">
        <v>521</v>
      </c>
    </row>
    <row r="131" spans="1:5">
      <c r="D131" s="1" t="s">
        <v>522</v>
      </c>
    </row>
    <row r="133" spans="1:5" ht="15">
      <c r="A133" s="2" t="s">
        <v>188</v>
      </c>
    </row>
    <row r="134" spans="1:5">
      <c r="B134" s="1" t="s">
        <v>189</v>
      </c>
    </row>
    <row r="135" spans="1:5">
      <c r="C135" s="1" t="s">
        <v>190</v>
      </c>
    </row>
    <row r="136" spans="1:5">
      <c r="C136" s="1" t="s">
        <v>551</v>
      </c>
    </row>
    <row r="137" spans="1:5">
      <c r="C137" s="1" t="s">
        <v>552</v>
      </c>
    </row>
    <row r="138" spans="1:5">
      <c r="B138" s="1" t="s">
        <v>464</v>
      </c>
    </row>
    <row r="139" spans="1:5">
      <c r="C139" s="1" t="s">
        <v>191</v>
      </c>
    </row>
    <row r="140" spans="1:5">
      <c r="C140" s="1" t="s">
        <v>523</v>
      </c>
    </row>
    <row r="141" spans="1:5">
      <c r="C141" s="1" t="s">
        <v>553</v>
      </c>
    </row>
    <row r="142" spans="1:5">
      <c r="B142" s="1" t="s">
        <v>192</v>
      </c>
    </row>
    <row r="143" spans="1:5">
      <c r="C143" s="1" t="s">
        <v>193</v>
      </c>
    </row>
    <row r="144" spans="1:5">
      <c r="D144" s="1" t="s">
        <v>194</v>
      </c>
    </row>
    <row r="145" spans="3:5">
      <c r="D145" s="1" t="s">
        <v>195</v>
      </c>
    </row>
    <row r="146" spans="3:5">
      <c r="D146" s="1" t="s">
        <v>196</v>
      </c>
    </row>
    <row r="147" spans="3:5">
      <c r="D147" s="1" t="s">
        <v>554</v>
      </c>
    </row>
    <row r="148" spans="3:5">
      <c r="D148" s="1" t="s">
        <v>197</v>
      </c>
    </row>
    <row r="149" spans="3:5">
      <c r="E149" s="1" t="s">
        <v>198</v>
      </c>
    </row>
    <row r="151" spans="3:5">
      <c r="E151" s="1" t="s">
        <v>199</v>
      </c>
    </row>
    <row r="153" spans="3:5">
      <c r="E153" s="1" t="s">
        <v>200</v>
      </c>
    </row>
    <row r="155" spans="3:5">
      <c r="E155" s="1" t="s">
        <v>201</v>
      </c>
    </row>
    <row r="157" spans="3:5">
      <c r="E157" s="1" t="s">
        <v>202</v>
      </c>
    </row>
    <row r="159" spans="3:5">
      <c r="E159" s="1" t="s">
        <v>203</v>
      </c>
    </row>
    <row r="160" spans="3:5">
      <c r="C160" s="1" t="s">
        <v>204</v>
      </c>
    </row>
    <row r="161" spans="4:5">
      <c r="D161" s="1" t="s">
        <v>205</v>
      </c>
    </row>
    <row r="162" spans="4:5">
      <c r="D162" s="1" t="s">
        <v>206</v>
      </c>
    </row>
    <row r="163" spans="4:5">
      <c r="D163" s="1" t="s">
        <v>207</v>
      </c>
    </row>
    <row r="164" spans="4:5">
      <c r="D164" s="1" t="s">
        <v>555</v>
      </c>
    </row>
    <row r="165" spans="4:5">
      <c r="D165" s="1" t="s">
        <v>208</v>
      </c>
    </row>
    <row r="166" spans="4:5">
      <c r="E166" s="1" t="s">
        <v>209</v>
      </c>
    </row>
    <row r="168" spans="4:5">
      <c r="E168" s="1" t="s">
        <v>210</v>
      </c>
    </row>
    <row r="170" spans="4:5">
      <c r="E170" s="1" t="s">
        <v>211</v>
      </c>
    </row>
    <row r="172" spans="4:5">
      <c r="E172" s="1" t="s">
        <v>212</v>
      </c>
    </row>
    <row r="174" spans="4:5">
      <c r="E174" s="1" t="s">
        <v>213</v>
      </c>
    </row>
    <row r="176" spans="4:5">
      <c r="E176" s="1" t="s">
        <v>214</v>
      </c>
    </row>
    <row r="178" spans="2:5">
      <c r="E178" s="1" t="s">
        <v>215</v>
      </c>
    </row>
    <row r="180" spans="2:5">
      <c r="E180" s="1" t="s">
        <v>216</v>
      </c>
    </row>
    <row r="182" spans="2:5">
      <c r="B182" s="1" t="s">
        <v>217</v>
      </c>
    </row>
    <row r="183" spans="2:5">
      <c r="C183" s="1" t="s">
        <v>218</v>
      </c>
    </row>
    <row r="184" spans="2:5">
      <c r="D184" s="1" t="s">
        <v>222</v>
      </c>
    </row>
    <row r="185" spans="2:5">
      <c r="E185" s="1" t="s">
        <v>223</v>
      </c>
    </row>
    <row r="186" spans="2:5">
      <c r="E186" s="1" t="s">
        <v>219</v>
      </c>
    </row>
    <row r="187" spans="2:5">
      <c r="E187" s="1" t="s">
        <v>220</v>
      </c>
    </row>
    <row r="188" spans="2:5">
      <c r="E188" s="1" t="s">
        <v>221</v>
      </c>
    </row>
    <row r="189" spans="2:5">
      <c r="D189" s="1" t="s">
        <v>465</v>
      </c>
    </row>
    <row r="190" spans="2:5">
      <c r="E190" s="1" t="s">
        <v>224</v>
      </c>
    </row>
    <row r="191" spans="2:5">
      <c r="E191" s="1" t="s">
        <v>225</v>
      </c>
    </row>
    <row r="192" spans="2:5">
      <c r="E192" s="1" t="s">
        <v>524</v>
      </c>
    </row>
    <row r="193" spans="3:5">
      <c r="D193" s="1" t="s">
        <v>226</v>
      </c>
    </row>
    <row r="194" spans="3:5">
      <c r="E194" s="1" t="s">
        <v>227</v>
      </c>
    </row>
    <row r="195" spans="3:5">
      <c r="E195" s="1" t="s">
        <v>199</v>
      </c>
    </row>
    <row r="197" spans="3:5">
      <c r="E197" s="1" t="s">
        <v>228</v>
      </c>
    </row>
    <row r="198" spans="3:5">
      <c r="C198" s="1" t="s">
        <v>229</v>
      </c>
    </row>
    <row r="199" spans="3:5">
      <c r="D199" s="1" t="s">
        <v>230</v>
      </c>
    </row>
    <row r="200" spans="3:5">
      <c r="E200" s="1" t="s">
        <v>231</v>
      </c>
    </row>
    <row r="201" spans="3:5">
      <c r="E201" s="1" t="s">
        <v>525</v>
      </c>
    </row>
    <row r="202" spans="3:5">
      <c r="E202" s="1" t="s">
        <v>232</v>
      </c>
    </row>
    <row r="203" spans="3:5">
      <c r="C203" s="1" t="s">
        <v>233</v>
      </c>
    </row>
    <row r="204" spans="3:5">
      <c r="D204" s="1" t="s">
        <v>234</v>
      </c>
    </row>
    <row r="205" spans="3:5">
      <c r="E205" s="1" t="s">
        <v>235</v>
      </c>
    </row>
    <row r="206" spans="3:5">
      <c r="E206" s="1" t="s">
        <v>236</v>
      </c>
    </row>
    <row r="207" spans="3:5">
      <c r="E207" s="1" t="s">
        <v>237</v>
      </c>
    </row>
    <row r="208" spans="3:5">
      <c r="E208" s="1" t="s">
        <v>238</v>
      </c>
    </row>
    <row r="209" spans="1:6">
      <c r="E209" s="1" t="s">
        <v>239</v>
      </c>
    </row>
    <row r="211" spans="1:6">
      <c r="E211" s="1" t="s">
        <v>240</v>
      </c>
    </row>
    <row r="213" spans="1:6">
      <c r="E213" s="1" t="s">
        <v>241</v>
      </c>
    </row>
    <row r="214" spans="1:6">
      <c r="F214" s="1" t="s">
        <v>244</v>
      </c>
    </row>
    <row r="215" spans="1:6">
      <c r="F215" s="1" t="s">
        <v>245</v>
      </c>
    </row>
    <row r="216" spans="1:6">
      <c r="F216" s="1" t="s">
        <v>246</v>
      </c>
    </row>
    <row r="217" spans="1:6">
      <c r="F217" s="1" t="s">
        <v>247</v>
      </c>
    </row>
    <row r="218" spans="1:6">
      <c r="F218" s="1" t="s">
        <v>248</v>
      </c>
    </row>
    <row r="219" spans="1:6">
      <c r="E219" s="1" t="s">
        <v>242</v>
      </c>
    </row>
    <row r="220" spans="1:6">
      <c r="F220" s="1" t="s">
        <v>249</v>
      </c>
    </row>
    <row r="221" spans="1:6">
      <c r="F221" s="1" t="s">
        <v>250</v>
      </c>
    </row>
    <row r="222" spans="1:6">
      <c r="E222" s="1" t="s">
        <v>243</v>
      </c>
    </row>
    <row r="224" spans="1:6" ht="15">
      <c r="A224" s="2" t="s">
        <v>251</v>
      </c>
    </row>
    <row r="225" spans="1:3">
      <c r="B225" s="1" t="s">
        <v>556</v>
      </c>
    </row>
    <row r="226" spans="1:3">
      <c r="C226" s="1" t="s">
        <v>466</v>
      </c>
    </row>
    <row r="227" spans="1:3">
      <c r="C227" s="1" t="s">
        <v>526</v>
      </c>
    </row>
    <row r="228" spans="1:3">
      <c r="C228" s="1" t="s">
        <v>467</v>
      </c>
    </row>
    <row r="229" spans="1:3">
      <c r="C229" s="1" t="s">
        <v>468</v>
      </c>
    </row>
    <row r="231" spans="1:3" ht="15">
      <c r="A231" s="2" t="s">
        <v>252</v>
      </c>
    </row>
    <row r="232" spans="1:3">
      <c r="B232" s="1" t="s">
        <v>557</v>
      </c>
    </row>
    <row r="233" spans="1:3">
      <c r="C233" s="1" t="s">
        <v>558</v>
      </c>
    </row>
    <row r="234" spans="1:3">
      <c r="B234" s="1" t="s">
        <v>559</v>
      </c>
    </row>
    <row r="235" spans="1:3">
      <c r="C235" s="1" t="s">
        <v>560</v>
      </c>
    </row>
    <row r="236" spans="1:3">
      <c r="C236" s="1" t="s">
        <v>253</v>
      </c>
    </row>
    <row r="237" spans="1:3">
      <c r="C237" s="1" t="s">
        <v>561</v>
      </c>
    </row>
    <row r="239" spans="1:3" ht="15">
      <c r="A239" s="2" t="s">
        <v>254</v>
      </c>
    </row>
    <row r="240" spans="1:3">
      <c r="B240" s="1" t="s">
        <v>469</v>
      </c>
    </row>
    <row r="241" spans="2:4">
      <c r="C241" s="1" t="s">
        <v>562</v>
      </c>
    </row>
    <row r="242" spans="2:4">
      <c r="D242" s="1" t="s">
        <v>563</v>
      </c>
    </row>
    <row r="243" spans="2:4">
      <c r="C243" s="1" t="s">
        <v>564</v>
      </c>
    </row>
    <row r="244" spans="2:4">
      <c r="C244" s="1" t="s">
        <v>527</v>
      </c>
    </row>
    <row r="245" spans="2:4">
      <c r="C245" s="1" t="s">
        <v>255</v>
      </c>
    </row>
    <row r="246" spans="2:4">
      <c r="C246" s="1" t="s">
        <v>470</v>
      </c>
    </row>
    <row r="247" spans="2:4">
      <c r="B247" s="1" t="s">
        <v>471</v>
      </c>
    </row>
    <row r="248" spans="2:4">
      <c r="C248" s="1" t="s">
        <v>472</v>
      </c>
    </row>
    <row r="249" spans="2:4">
      <c r="C249" s="1" t="s">
        <v>473</v>
      </c>
    </row>
    <row r="250" spans="2:4">
      <c r="C250" s="1" t="s">
        <v>565</v>
      </c>
    </row>
    <row r="251" spans="2:4">
      <c r="B251" s="1" t="s">
        <v>256</v>
      </c>
    </row>
    <row r="252" spans="2:4">
      <c r="C252" s="1" t="s">
        <v>257</v>
      </c>
    </row>
    <row r="253" spans="2:4">
      <c r="C253" s="1" t="s">
        <v>258</v>
      </c>
    </row>
    <row r="254" spans="2:4">
      <c r="C254" s="1" t="s">
        <v>259</v>
      </c>
    </row>
    <row r="255" spans="2:4">
      <c r="C255" s="1" t="s">
        <v>260</v>
      </c>
    </row>
    <row r="256" spans="2:4">
      <c r="B256" s="1" t="s">
        <v>566</v>
      </c>
    </row>
    <row r="258" spans="1:4" ht="15">
      <c r="A258" s="2" t="s">
        <v>261</v>
      </c>
    </row>
    <row r="259" spans="1:4">
      <c r="B259" s="1" t="s">
        <v>474</v>
      </c>
    </row>
    <row r="260" spans="1:4">
      <c r="C260" s="1" t="s">
        <v>567</v>
      </c>
    </row>
    <row r="261" spans="1:4">
      <c r="C261" s="1" t="s">
        <v>475</v>
      </c>
    </row>
    <row r="262" spans="1:4">
      <c r="B262" s="1" t="s">
        <v>568</v>
      </c>
    </row>
    <row r="263" spans="1:4">
      <c r="C263" s="1" t="s">
        <v>569</v>
      </c>
    </row>
    <row r="264" spans="1:4">
      <c r="C264" s="1" t="s">
        <v>476</v>
      </c>
    </row>
    <row r="265" spans="1:4">
      <c r="B265" s="1" t="s">
        <v>477</v>
      </c>
    </row>
    <row r="266" spans="1:4">
      <c r="C266" s="1" t="s">
        <v>478</v>
      </c>
    </row>
    <row r="267" spans="1:4">
      <c r="C267" s="1" t="s">
        <v>570</v>
      </c>
    </row>
    <row r="268" spans="1:4">
      <c r="D268" s="1" t="s">
        <v>479</v>
      </c>
    </row>
    <row r="269" spans="1:4">
      <c r="C269" s="1" t="s">
        <v>480</v>
      </c>
    </row>
    <row r="270" spans="1:4">
      <c r="B270" s="1" t="s">
        <v>481</v>
      </c>
    </row>
    <row r="272" spans="1:4" ht="15">
      <c r="A272" s="2" t="s">
        <v>262</v>
      </c>
    </row>
    <row r="273" spans="1:4">
      <c r="B273" s="1" t="s">
        <v>482</v>
      </c>
    </row>
    <row r="274" spans="1:4">
      <c r="C274" s="1" t="s">
        <v>483</v>
      </c>
    </row>
    <row r="275" spans="1:4">
      <c r="C275" s="1" t="s">
        <v>484</v>
      </c>
    </row>
    <row r="276" spans="1:4">
      <c r="C276" s="1" t="s">
        <v>485</v>
      </c>
    </row>
    <row r="277" spans="1:4">
      <c r="B277" s="1" t="s">
        <v>486</v>
      </c>
    </row>
    <row r="279" spans="1:4" ht="15">
      <c r="A279" s="2" t="s">
        <v>263</v>
      </c>
    </row>
    <row r="280" spans="1:4">
      <c r="B280" s="1" t="s">
        <v>487</v>
      </c>
    </row>
    <row r="281" spans="1:4">
      <c r="C281" s="1" t="s">
        <v>488</v>
      </c>
    </row>
    <row r="282" spans="1:4">
      <c r="C282" s="1" t="s">
        <v>489</v>
      </c>
    </row>
    <row r="283" spans="1:4">
      <c r="D283" s="1" t="s">
        <v>490</v>
      </c>
    </row>
    <row r="284" spans="1:4">
      <c r="C284" s="1" t="s">
        <v>491</v>
      </c>
    </row>
    <row r="285" spans="1:4">
      <c r="C285" s="1" t="s">
        <v>571</v>
      </c>
    </row>
    <row r="286" spans="1:4">
      <c r="C286" s="1" t="s">
        <v>492</v>
      </c>
    </row>
    <row r="287" spans="1:4">
      <c r="D287" s="1" t="s">
        <v>493</v>
      </c>
    </row>
    <row r="288" spans="1:4">
      <c r="B288" s="1" t="s">
        <v>494</v>
      </c>
    </row>
    <row r="289" spans="1:4">
      <c r="C289" s="1" t="s">
        <v>572</v>
      </c>
    </row>
    <row r="290" spans="1:4">
      <c r="B290" s="1" t="s">
        <v>495</v>
      </c>
    </row>
    <row r="291" spans="1:4">
      <c r="C291" s="1" t="s">
        <v>496</v>
      </c>
    </row>
    <row r="292" spans="1:4">
      <c r="C292" s="1" t="s">
        <v>573</v>
      </c>
    </row>
    <row r="293" spans="1:4">
      <c r="D293" s="1" t="s">
        <v>497</v>
      </c>
    </row>
    <row r="294" spans="1:4">
      <c r="C294" s="1" t="s">
        <v>498</v>
      </c>
    </row>
    <row r="296" spans="1:4" ht="15">
      <c r="A296" s="2" t="s">
        <v>264</v>
      </c>
    </row>
    <row r="297" spans="1:4">
      <c r="B297" s="1" t="s">
        <v>574</v>
      </c>
    </row>
    <row r="298" spans="1:4">
      <c r="B298" s="1" t="s">
        <v>499</v>
      </c>
    </row>
    <row r="299" spans="1:4">
      <c r="C299" s="1" t="s">
        <v>500</v>
      </c>
    </row>
    <row r="300" spans="1:4">
      <c r="C300" s="1" t="s">
        <v>575</v>
      </c>
    </row>
    <row r="301" spans="1:4">
      <c r="D301" s="1" t="s">
        <v>501</v>
      </c>
    </row>
    <row r="302" spans="1:4">
      <c r="B302" s="1" t="s">
        <v>265</v>
      </c>
    </row>
    <row r="303" spans="1:4">
      <c r="B303" s="1" t="s">
        <v>502</v>
      </c>
    </row>
    <row r="304" spans="1:4">
      <c r="B304" s="1" t="s">
        <v>503</v>
      </c>
    </row>
    <row r="305" spans="2:4">
      <c r="C305" s="1" t="s">
        <v>266</v>
      </c>
    </row>
    <row r="306" spans="2:4">
      <c r="B306" s="1" t="s">
        <v>504</v>
      </c>
    </row>
    <row r="307" spans="2:4">
      <c r="C307" s="1" t="s">
        <v>505</v>
      </c>
    </row>
    <row r="308" spans="2:4">
      <c r="C308" s="1" t="s">
        <v>506</v>
      </c>
    </row>
    <row r="309" spans="2:4">
      <c r="C309" s="1" t="s">
        <v>507</v>
      </c>
    </row>
    <row r="310" spans="2:4">
      <c r="C310" s="1" t="s">
        <v>267</v>
      </c>
    </row>
    <row r="311" spans="2:4">
      <c r="D311" s="1" t="s">
        <v>508</v>
      </c>
    </row>
    <row r="312" spans="2:4">
      <c r="C312" s="1" t="s">
        <v>509</v>
      </c>
    </row>
    <row r="313" spans="2:4">
      <c r="B313" s="1" t="s">
        <v>510</v>
      </c>
    </row>
    <row r="314" spans="2:4">
      <c r="C314" s="1" t="s">
        <v>268</v>
      </c>
    </row>
    <row r="315" spans="2:4">
      <c r="C315" s="1" t="s">
        <v>576</v>
      </c>
    </row>
    <row r="316" spans="2:4">
      <c r="C316" s="1" t="s">
        <v>511</v>
      </c>
    </row>
    <row r="317" spans="2:4">
      <c r="B317" s="1" t="s">
        <v>512</v>
      </c>
    </row>
    <row r="318" spans="2:4">
      <c r="C318" s="1" t="s">
        <v>528</v>
      </c>
    </row>
    <row r="319" spans="2:4">
      <c r="C319" s="1" t="s">
        <v>269</v>
      </c>
    </row>
    <row r="320" spans="2:4">
      <c r="D320" s="1" t="s">
        <v>270</v>
      </c>
    </row>
    <row r="321" spans="1:3">
      <c r="C321" s="1" t="s">
        <v>577</v>
      </c>
    </row>
    <row r="322" spans="1:3">
      <c r="C322" s="1" t="s">
        <v>529</v>
      </c>
    </row>
    <row r="323" spans="1:3">
      <c r="C323" s="1" t="s">
        <v>530</v>
      </c>
    </row>
    <row r="324" spans="1:3">
      <c r="C324" s="1" t="s">
        <v>531</v>
      </c>
    </row>
    <row r="325" spans="1:3">
      <c r="C325" s="1" t="s">
        <v>578</v>
      </c>
    </row>
    <row r="326" spans="1:3">
      <c r="C326" s="1" t="s">
        <v>271</v>
      </c>
    </row>
    <row r="327" spans="1:3">
      <c r="B327" s="1" t="s">
        <v>579</v>
      </c>
    </row>
    <row r="328" spans="1:3">
      <c r="C328" s="1" t="s">
        <v>532</v>
      </c>
    </row>
    <row r="329" spans="1:3">
      <c r="C329" s="1" t="s">
        <v>580</v>
      </c>
    </row>
    <row r="330" spans="1:3">
      <c r="B330" s="1" t="s">
        <v>533</v>
      </c>
    </row>
    <row r="332" spans="1:3" ht="15">
      <c r="A332" s="2" t="s">
        <v>272</v>
      </c>
    </row>
    <row r="333" spans="1:3">
      <c r="B333" s="1" t="s">
        <v>273</v>
      </c>
    </row>
    <row r="334" spans="1:3">
      <c r="C334" s="1" t="s">
        <v>534</v>
      </c>
    </row>
    <row r="335" spans="1:3">
      <c r="C335" s="1" t="s">
        <v>274</v>
      </c>
    </row>
    <row r="336" spans="1:3">
      <c r="C336" s="1" t="s">
        <v>535</v>
      </c>
    </row>
    <row r="337" spans="2:18" ht="15">
      <c r="B337" s="3" t="s">
        <v>275</v>
      </c>
      <c r="C337" s="52"/>
      <c r="D337" s="52"/>
      <c r="E337" s="52" t="s">
        <v>276</v>
      </c>
      <c r="F337" s="52" t="s">
        <v>277</v>
      </c>
      <c r="G337" s="52"/>
      <c r="H337" s="4"/>
      <c r="I337" s="4"/>
      <c r="J337" s="3"/>
      <c r="K337" s="4"/>
      <c r="L337" s="4"/>
      <c r="M337" s="4"/>
      <c r="N337" s="4"/>
      <c r="O337" s="4"/>
      <c r="P337" s="3"/>
      <c r="Q337" s="3"/>
      <c r="R337" s="3"/>
    </row>
    <row r="338" spans="2:18" ht="15">
      <c r="B338" s="7" t="s">
        <v>278</v>
      </c>
      <c r="C338" s="53"/>
      <c r="D338" s="54"/>
      <c r="E338" s="59" t="s">
        <v>279</v>
      </c>
      <c r="F338" s="96" t="s">
        <v>323</v>
      </c>
      <c r="G338" s="97"/>
      <c r="H338" s="97"/>
      <c r="I338" s="97"/>
      <c r="J338" s="97"/>
      <c r="K338" s="97"/>
      <c r="L338" s="97"/>
      <c r="M338" s="97"/>
      <c r="N338" s="97"/>
      <c r="O338" s="97"/>
      <c r="P338" s="97"/>
      <c r="Q338" s="97"/>
      <c r="R338" s="98"/>
    </row>
    <row r="339" spans="2:18" ht="15">
      <c r="B339" s="12" t="s">
        <v>280</v>
      </c>
      <c r="C339" s="58"/>
      <c r="D339" s="55"/>
      <c r="E339" s="60" t="s">
        <v>281</v>
      </c>
      <c r="F339" s="92" t="s">
        <v>322</v>
      </c>
      <c r="G339" s="93"/>
      <c r="H339" s="93"/>
      <c r="I339" s="93"/>
      <c r="J339" s="93"/>
      <c r="K339" s="93"/>
      <c r="L339" s="93"/>
      <c r="M339" s="93"/>
      <c r="N339" s="93"/>
      <c r="O339" s="93"/>
      <c r="P339" s="93"/>
      <c r="Q339" s="93"/>
      <c r="R339" s="94"/>
    </row>
    <row r="340" spans="2:18" ht="15">
      <c r="B340" s="12" t="s">
        <v>282</v>
      </c>
      <c r="C340" s="58"/>
      <c r="D340" s="55"/>
      <c r="E340" s="61" t="s">
        <v>283</v>
      </c>
      <c r="F340" s="89" t="s">
        <v>324</v>
      </c>
      <c r="G340" s="90"/>
      <c r="H340" s="90"/>
      <c r="I340" s="90"/>
      <c r="J340" s="90"/>
      <c r="K340" s="90"/>
      <c r="L340" s="90"/>
      <c r="M340" s="90"/>
      <c r="N340" s="90"/>
      <c r="O340" s="90"/>
      <c r="P340" s="90"/>
      <c r="Q340" s="90"/>
      <c r="R340" s="91"/>
    </row>
    <row r="341" spans="2:18" ht="15">
      <c r="B341" s="12" t="s">
        <v>284</v>
      </c>
      <c r="C341" s="58"/>
      <c r="D341" s="55"/>
      <c r="E341" s="62" t="s">
        <v>285</v>
      </c>
      <c r="F341" s="15" t="s">
        <v>286</v>
      </c>
      <c r="G341" s="15"/>
      <c r="H341" s="15"/>
      <c r="I341" s="15"/>
      <c r="J341" s="15"/>
      <c r="K341" s="15"/>
      <c r="L341" s="15"/>
      <c r="M341" s="15"/>
      <c r="N341" s="15"/>
      <c r="O341" s="15"/>
      <c r="P341" s="15"/>
      <c r="Q341" s="15"/>
      <c r="R341" s="16"/>
    </row>
    <row r="342" spans="2:18" ht="15">
      <c r="B342" s="12" t="s">
        <v>287</v>
      </c>
      <c r="C342" s="58"/>
      <c r="D342" s="55"/>
      <c r="E342" s="61" t="s">
        <v>288</v>
      </c>
      <c r="F342" s="89" t="s">
        <v>325</v>
      </c>
      <c r="G342" s="90"/>
      <c r="H342" s="90"/>
      <c r="I342" s="90"/>
      <c r="J342" s="90"/>
      <c r="K342" s="90"/>
      <c r="L342" s="90"/>
      <c r="M342" s="90"/>
      <c r="N342" s="90"/>
      <c r="O342" s="90"/>
      <c r="P342" s="90"/>
      <c r="Q342" s="90"/>
      <c r="R342" s="91"/>
    </row>
    <row r="343" spans="2:18" ht="15">
      <c r="B343" s="12" t="s">
        <v>289</v>
      </c>
      <c r="C343" s="58"/>
      <c r="D343" s="55"/>
      <c r="E343" s="60" t="s">
        <v>290</v>
      </c>
      <c r="F343" s="92" t="s">
        <v>326</v>
      </c>
      <c r="G343" s="93"/>
      <c r="H343" s="93"/>
      <c r="I343" s="93"/>
      <c r="J343" s="93"/>
      <c r="K343" s="93"/>
      <c r="L343" s="93"/>
      <c r="M343" s="93"/>
      <c r="N343" s="93"/>
      <c r="O343" s="93"/>
      <c r="P343" s="93"/>
      <c r="Q343" s="93"/>
      <c r="R343" s="94"/>
    </row>
    <row r="344" spans="2:18" ht="15">
      <c r="B344" s="12" t="s">
        <v>291</v>
      </c>
      <c r="C344" s="58"/>
      <c r="D344" s="55"/>
      <c r="E344" s="63" t="s">
        <v>292</v>
      </c>
      <c r="F344" s="17" t="s">
        <v>293</v>
      </c>
      <c r="G344" s="17"/>
      <c r="H344" s="17"/>
      <c r="I344" s="17"/>
      <c r="J344" s="17"/>
      <c r="K344" s="17"/>
      <c r="L344" s="17"/>
      <c r="M344" s="17"/>
      <c r="N344" s="17"/>
      <c r="O344" s="17"/>
      <c r="P344" s="17"/>
      <c r="Q344" s="17"/>
      <c r="R344" s="18"/>
    </row>
    <row r="345" spans="2:18" ht="15">
      <c r="B345" s="12" t="s">
        <v>294</v>
      </c>
      <c r="C345" s="58"/>
      <c r="D345" s="55"/>
      <c r="E345" s="60" t="s">
        <v>295</v>
      </c>
      <c r="F345" s="92" t="s">
        <v>327</v>
      </c>
      <c r="G345" s="93"/>
      <c r="H345" s="93"/>
      <c r="I345" s="93"/>
      <c r="J345" s="93"/>
      <c r="K345" s="93"/>
      <c r="L345" s="93"/>
      <c r="M345" s="93"/>
      <c r="N345" s="93"/>
      <c r="O345" s="93"/>
      <c r="P345" s="93"/>
      <c r="Q345" s="93"/>
      <c r="R345" s="94"/>
    </row>
    <row r="346" spans="2:18" ht="15">
      <c r="B346" s="12" t="s">
        <v>296</v>
      </c>
      <c r="C346" s="58"/>
      <c r="D346" s="55"/>
      <c r="E346" s="61" t="s">
        <v>297</v>
      </c>
      <c r="F346" s="89" t="s">
        <v>328</v>
      </c>
      <c r="G346" s="90"/>
      <c r="H346" s="90"/>
      <c r="I346" s="90"/>
      <c r="J346" s="90"/>
      <c r="K346" s="90"/>
      <c r="L346" s="90"/>
      <c r="M346" s="90"/>
      <c r="N346" s="90"/>
      <c r="O346" s="90"/>
      <c r="P346" s="90"/>
      <c r="Q346" s="90"/>
      <c r="R346" s="91"/>
    </row>
    <row r="347" spans="2:18" ht="15">
      <c r="B347" s="12" t="s">
        <v>298</v>
      </c>
      <c r="C347" s="58"/>
      <c r="D347" s="55"/>
      <c r="E347" s="60" t="s">
        <v>299</v>
      </c>
      <c r="F347" s="92" t="s">
        <v>329</v>
      </c>
      <c r="G347" s="93"/>
      <c r="H347" s="93"/>
      <c r="I347" s="93"/>
      <c r="J347" s="93"/>
      <c r="K347" s="93"/>
      <c r="L347" s="93"/>
      <c r="M347" s="93"/>
      <c r="N347" s="93"/>
      <c r="O347" s="93"/>
      <c r="P347" s="93"/>
      <c r="Q347" s="93"/>
      <c r="R347" s="94"/>
    </row>
    <row r="348" spans="2:18" ht="15">
      <c r="B348" s="12" t="s">
        <v>300</v>
      </c>
      <c r="C348" s="58"/>
      <c r="D348" s="55"/>
      <c r="E348" s="64" t="s">
        <v>301</v>
      </c>
      <c r="F348" s="90" t="s">
        <v>302</v>
      </c>
      <c r="G348" s="90"/>
      <c r="H348" s="90"/>
      <c r="I348" s="90"/>
      <c r="J348" s="90"/>
      <c r="K348" s="90"/>
      <c r="L348" s="90"/>
      <c r="M348" s="90"/>
      <c r="N348" s="90"/>
      <c r="O348" s="90"/>
      <c r="P348" s="90"/>
      <c r="Q348" s="90"/>
      <c r="R348" s="91"/>
    </row>
    <row r="349" spans="2:18" ht="15">
      <c r="B349" s="12" t="s">
        <v>303</v>
      </c>
      <c r="C349" s="58"/>
      <c r="D349" s="55"/>
      <c r="E349" s="62" t="s">
        <v>304</v>
      </c>
      <c r="F349" s="15" t="s">
        <v>293</v>
      </c>
      <c r="G349" s="15"/>
      <c r="H349" s="15"/>
      <c r="I349" s="15"/>
      <c r="J349" s="15"/>
      <c r="K349" s="15"/>
      <c r="L349" s="15"/>
      <c r="M349" s="15"/>
      <c r="N349" s="15"/>
      <c r="O349" s="15"/>
      <c r="P349" s="15"/>
      <c r="Q349" s="15"/>
      <c r="R349" s="16"/>
    </row>
    <row r="350" spans="2:18" ht="15" customHeight="1">
      <c r="B350" s="19" t="s">
        <v>305</v>
      </c>
      <c r="C350" s="56"/>
      <c r="D350" s="57"/>
      <c r="E350" s="65" t="s">
        <v>306</v>
      </c>
      <c r="F350" s="86" t="s">
        <v>307</v>
      </c>
      <c r="G350" s="87"/>
      <c r="H350" s="87"/>
      <c r="I350" s="87"/>
      <c r="J350" s="87"/>
      <c r="K350" s="87"/>
      <c r="L350" s="87"/>
      <c r="M350" s="87"/>
      <c r="N350" s="87"/>
      <c r="O350" s="87"/>
      <c r="P350" s="87"/>
      <c r="Q350" s="87"/>
      <c r="R350" s="88"/>
    </row>
    <row r="351" spans="2:18">
      <c r="C351" s="1" t="s">
        <v>308</v>
      </c>
    </row>
    <row r="352" spans="2:18">
      <c r="D352" s="1" t="s">
        <v>536</v>
      </c>
    </row>
    <row r="353" spans="1:3">
      <c r="B353" s="1" t="s">
        <v>309</v>
      </c>
    </row>
    <row r="354" spans="1:3">
      <c r="B354" s="1" t="s">
        <v>537</v>
      </c>
    </row>
    <row r="355" spans="1:3">
      <c r="C355" s="1" t="s">
        <v>310</v>
      </c>
    </row>
    <row r="356" spans="1:3">
      <c r="C356" s="1" t="s">
        <v>581</v>
      </c>
    </row>
    <row r="357" spans="1:3">
      <c r="B357" s="1" t="s">
        <v>582</v>
      </c>
    </row>
    <row r="358" spans="1:3">
      <c r="C358" s="1" t="s">
        <v>538</v>
      </c>
    </row>
    <row r="359" spans="1:3">
      <c r="C359" s="1" t="s">
        <v>539</v>
      </c>
    </row>
    <row r="360" spans="1:3">
      <c r="B360" s="1" t="s">
        <v>540</v>
      </c>
    </row>
    <row r="361" spans="1:3">
      <c r="C361" s="1" t="s">
        <v>541</v>
      </c>
    </row>
    <row r="363" spans="1:3" ht="15">
      <c r="A363" s="2" t="s">
        <v>311</v>
      </c>
    </row>
    <row r="364" spans="1:3">
      <c r="B364" s="1" t="s">
        <v>583</v>
      </c>
    </row>
    <row r="365" spans="1:3">
      <c r="C365" s="1" t="s">
        <v>584</v>
      </c>
    </row>
    <row r="366" spans="1:3">
      <c r="B366" s="1" t="s">
        <v>585</v>
      </c>
    </row>
    <row r="367" spans="1:3">
      <c r="C367" s="1" t="s">
        <v>312</v>
      </c>
    </row>
    <row r="368" spans="1:3">
      <c r="C368" s="1" t="s">
        <v>586</v>
      </c>
    </row>
    <row r="369" spans="1:3">
      <c r="B369" s="1" t="s">
        <v>587</v>
      </c>
    </row>
    <row r="370" spans="1:3">
      <c r="B370" s="1" t="s">
        <v>313</v>
      </c>
    </row>
    <row r="371" spans="1:3">
      <c r="B371" s="1" t="s">
        <v>588</v>
      </c>
    </row>
    <row r="372" spans="1:3">
      <c r="C372" s="1" t="s">
        <v>589</v>
      </c>
    </row>
    <row r="374" spans="1:3" ht="15">
      <c r="A374" s="2" t="s">
        <v>314</v>
      </c>
    </row>
    <row r="375" spans="1:3">
      <c r="B375" s="1" t="s">
        <v>590</v>
      </c>
    </row>
    <row r="376" spans="1:3">
      <c r="C376" s="1" t="s">
        <v>315</v>
      </c>
    </row>
    <row r="377" spans="1:3">
      <c r="C377" s="1" t="s">
        <v>316</v>
      </c>
    </row>
    <row r="378" spans="1:3">
      <c r="C378" s="1" t="s">
        <v>317</v>
      </c>
    </row>
    <row r="379" spans="1:3">
      <c r="C379" s="1" t="s">
        <v>318</v>
      </c>
    </row>
    <row r="380" spans="1:3">
      <c r="C380" s="1" t="s">
        <v>319</v>
      </c>
    </row>
    <row r="381" spans="1:3">
      <c r="C381" s="1" t="s">
        <v>320</v>
      </c>
    </row>
    <row r="382" spans="1:3">
      <c r="B382" s="1" t="s">
        <v>321</v>
      </c>
    </row>
    <row r="383" spans="1:3">
      <c r="C383" s="1" t="s">
        <v>330</v>
      </c>
    </row>
    <row r="384" spans="1:3">
      <c r="C384" s="1" t="s">
        <v>331</v>
      </c>
    </row>
    <row r="385" spans="1:3">
      <c r="C385" s="1" t="s">
        <v>332</v>
      </c>
    </row>
    <row r="386" spans="1:3">
      <c r="C386" s="1" t="s">
        <v>333</v>
      </c>
    </row>
    <row r="387" spans="1:3">
      <c r="B387" s="1" t="s">
        <v>591</v>
      </c>
    </row>
    <row r="388" spans="1:3">
      <c r="B388" s="1" t="s">
        <v>334</v>
      </c>
    </row>
    <row r="389" spans="1:3">
      <c r="C389" s="1" t="s">
        <v>335</v>
      </c>
    </row>
    <row r="390" spans="1:3">
      <c r="C390" s="1" t="s">
        <v>336</v>
      </c>
    </row>
    <row r="391" spans="1:3">
      <c r="C391" s="1" t="s">
        <v>337</v>
      </c>
    </row>
    <row r="392" spans="1:3">
      <c r="C392" s="1" t="s">
        <v>338</v>
      </c>
    </row>
    <row r="393" spans="1:3">
      <c r="B393" s="1" t="s">
        <v>339</v>
      </c>
    </row>
    <row r="394" spans="1:3">
      <c r="B394" s="1" t="s">
        <v>340</v>
      </c>
    </row>
    <row r="395" spans="1:3">
      <c r="C395" s="1" t="s">
        <v>341</v>
      </c>
    </row>
    <row r="397" spans="1:3" ht="15">
      <c r="A397" s="2" t="s">
        <v>342</v>
      </c>
    </row>
    <row r="398" spans="1:3">
      <c r="B398" s="1" t="s">
        <v>592</v>
      </c>
    </row>
    <row r="399" spans="1:3">
      <c r="C399" s="1" t="s">
        <v>593</v>
      </c>
    </row>
    <row r="400" spans="1:3">
      <c r="B400" s="1" t="s">
        <v>343</v>
      </c>
    </row>
    <row r="401" spans="3:6">
      <c r="C401" s="1" t="s">
        <v>344</v>
      </c>
    </row>
    <row r="402" spans="3:6">
      <c r="D402" s="1" t="s">
        <v>345</v>
      </c>
    </row>
    <row r="403" spans="3:6">
      <c r="E403" s="1" t="s">
        <v>346</v>
      </c>
    </row>
    <row r="404" spans="3:6">
      <c r="E404" s="1" t="s">
        <v>347</v>
      </c>
    </row>
    <row r="405" spans="3:6">
      <c r="E405" s="1" t="s">
        <v>348</v>
      </c>
    </row>
    <row r="406" spans="3:6">
      <c r="E406" s="1" t="s">
        <v>349</v>
      </c>
    </row>
    <row r="407" spans="3:6">
      <c r="D407" s="1" t="s">
        <v>350</v>
      </c>
    </row>
    <row r="408" spans="3:6">
      <c r="E408" s="1" t="s">
        <v>351</v>
      </c>
    </row>
    <row r="409" spans="3:6">
      <c r="E409" s="1" t="s">
        <v>594</v>
      </c>
    </row>
    <row r="410" spans="3:6">
      <c r="E410" s="51"/>
      <c r="F410" s="1" t="s">
        <v>352</v>
      </c>
    </row>
    <row r="411" spans="3:6">
      <c r="C411" s="1" t="s">
        <v>353</v>
      </c>
    </row>
    <row r="412" spans="3:6">
      <c r="D412" s="1" t="s">
        <v>595</v>
      </c>
    </row>
    <row r="413" spans="3:6">
      <c r="E413" s="1" t="s">
        <v>354</v>
      </c>
    </row>
    <row r="414" spans="3:6">
      <c r="E414" s="1" t="s">
        <v>355</v>
      </c>
    </row>
    <row r="415" spans="3:6">
      <c r="D415" s="1" t="s">
        <v>356</v>
      </c>
    </row>
    <row r="416" spans="3:6">
      <c r="E416" s="1" t="s">
        <v>357</v>
      </c>
    </row>
    <row r="417" spans="3:5">
      <c r="E417" s="1" t="s">
        <v>358</v>
      </c>
    </row>
    <row r="418" spans="3:5">
      <c r="D418" s="1" t="s">
        <v>359</v>
      </c>
    </row>
    <row r="419" spans="3:5">
      <c r="E419" s="1" t="s">
        <v>360</v>
      </c>
    </row>
    <row r="420" spans="3:5">
      <c r="E420" s="1" t="s">
        <v>361</v>
      </c>
    </row>
    <row r="421" spans="3:5">
      <c r="E421" s="1" t="s">
        <v>362</v>
      </c>
    </row>
    <row r="422" spans="3:5">
      <c r="C422" s="1" t="s">
        <v>363</v>
      </c>
    </row>
    <row r="423" spans="3:5">
      <c r="D423" s="1" t="s">
        <v>364</v>
      </c>
    </row>
    <row r="424" spans="3:5">
      <c r="E424" s="1" t="s">
        <v>365</v>
      </c>
    </row>
    <row r="425" spans="3:5">
      <c r="E425" s="1" t="s">
        <v>366</v>
      </c>
    </row>
    <row r="426" spans="3:5">
      <c r="E426" s="1" t="s">
        <v>367</v>
      </c>
    </row>
    <row r="427" spans="3:5">
      <c r="E427" s="1" t="s">
        <v>368</v>
      </c>
    </row>
    <row r="428" spans="3:5">
      <c r="E428" s="1" t="s">
        <v>369</v>
      </c>
    </row>
    <row r="429" spans="3:5">
      <c r="D429" s="1" t="s">
        <v>370</v>
      </c>
    </row>
    <row r="430" spans="3:5">
      <c r="E430" s="1" t="s">
        <v>371</v>
      </c>
    </row>
    <row r="431" spans="3:5">
      <c r="E431" s="1" t="s">
        <v>372</v>
      </c>
    </row>
    <row r="432" spans="3:5">
      <c r="E432" s="1" t="s">
        <v>373</v>
      </c>
    </row>
    <row r="433" spans="2:2">
      <c r="B433" s="1" t="s">
        <v>374</v>
      </c>
    </row>
  </sheetData>
  <mergeCells count="14">
    <mergeCell ref="B15:C15"/>
    <mergeCell ref="F28:V29"/>
    <mergeCell ref="F30:V31"/>
    <mergeCell ref="F32:V33"/>
    <mergeCell ref="F348:R348"/>
    <mergeCell ref="F338:R338"/>
    <mergeCell ref="F350:R350"/>
    <mergeCell ref="F342:R342"/>
    <mergeCell ref="F339:R339"/>
    <mergeCell ref="F340:R340"/>
    <mergeCell ref="F343:R343"/>
    <mergeCell ref="F345:R345"/>
    <mergeCell ref="F346:R346"/>
    <mergeCell ref="F347:R347"/>
  </mergeCells>
  <hyperlinks>
    <hyperlink ref="Q14" r:id="rId1" xr:uid="{739BC0F6-DDEA-409E-BAA0-CED0EC3FAC10}"/>
    <hyperlink ref="Q15" r:id="rId2" xr:uid="{3A32E811-E794-46FB-A010-EBB0450F323B}"/>
    <hyperlink ref="A1" r:id="rId3" xr:uid="{705F4509-F4F9-4F95-9424-5B734A534CF8}"/>
    <hyperlink ref="R16" r:id="rId4" xr:uid="{B6F14CD2-3663-462E-A23B-B23ED70174D7}"/>
    <hyperlink ref="Q18" r:id="rId5" xr:uid="{05EDFCC3-E80A-42C9-9355-473447A4FF1C}"/>
    <hyperlink ref="E347" r:id="rId6" xr:uid="{780EC931-EE0F-4078-85F5-925A3B824F98}"/>
    <hyperlink ref="E348" r:id="rId7" xr:uid="{E532C8C3-451A-4C67-A1D1-01C66BB4B6D0}"/>
    <hyperlink ref="E343" r:id="rId8" xr:uid="{9379278B-9429-4DCD-AA71-8DFF3DAD59D3}"/>
    <hyperlink ref="E340" r:id="rId9" xr:uid="{D92D473C-7656-415A-B447-545556153F5B}"/>
    <hyperlink ref="E346" r:id="rId10" xr:uid="{CF975499-E7F8-4A42-9BA6-A8C595A7F0D4}"/>
    <hyperlink ref="E338" r:id="rId11" xr:uid="{CCBE92C9-BE3D-42DF-BBCE-0527421D0659}"/>
    <hyperlink ref="E342" r:id="rId12" xr:uid="{A1593452-A82B-4183-B981-1655E9ADA7CE}"/>
    <hyperlink ref="E345" r:id="rId13" xr:uid="{D067D516-2565-48B7-AA01-1785F8147D5A}"/>
    <hyperlink ref="E339" r:id="rId14" xr:uid="{385BB4B1-55A4-440D-B91A-3D4B4150CC49}"/>
  </hyperlinks>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DB88"/>
  <sheetViews>
    <sheetView tabSelected="1" zoomScale="70" zoomScaleNormal="70" workbookViewId="0">
      <pane xSplit="2" ySplit="3" topLeftCell="AF27" activePane="bottomRight" state="frozen"/>
      <selection pane="topRight" activeCell="C1" sqref="C1"/>
      <selection pane="bottomLeft" activeCell="A4" sqref="A4"/>
      <selection pane="bottomRight" activeCell="BA63" sqref="BA63"/>
    </sheetView>
  </sheetViews>
  <sheetFormatPr defaultRowHeight="14.25"/>
  <cols>
    <col min="1" max="1" width="3.140625" style="1" customWidth="1"/>
    <col min="2" max="2" width="36.42578125" style="1" customWidth="1"/>
    <col min="3" max="23" width="9.140625" style="1"/>
    <col min="24" max="30" width="9.140625" style="35"/>
    <col min="31" max="42" width="9.140625" style="1"/>
    <col min="43" max="43" width="9.140625" style="73"/>
    <col min="44" max="44" width="9.140625" style="73" customWidth="1"/>
    <col min="45" max="105" width="9.140625" style="73"/>
    <col min="106" max="16384" width="9.140625" style="1"/>
  </cols>
  <sheetData>
    <row r="1" spans="2:106" ht="15">
      <c r="B1" s="1" t="s">
        <v>48</v>
      </c>
      <c r="C1" s="33" t="s">
        <v>20</v>
      </c>
      <c r="G1" s="33" t="s">
        <v>24</v>
      </c>
      <c r="K1" s="33" t="s">
        <v>28</v>
      </c>
      <c r="O1" s="33" t="s">
        <v>32</v>
      </c>
      <c r="S1" s="33" t="s">
        <v>36</v>
      </c>
      <c r="W1" s="34" t="s">
        <v>40</v>
      </c>
    </row>
    <row r="2" spans="2:106" ht="15">
      <c r="B2" s="1" t="s">
        <v>49</v>
      </c>
      <c r="W2" s="34"/>
    </row>
    <row r="3" spans="2:106" ht="15">
      <c r="B3" s="2" t="s">
        <v>443</v>
      </c>
      <c r="C3" s="33" t="s">
        <v>20</v>
      </c>
      <c r="D3" s="33" t="s">
        <v>21</v>
      </c>
      <c r="E3" s="33" t="s">
        <v>22</v>
      </c>
      <c r="F3" s="33" t="s">
        <v>23</v>
      </c>
      <c r="G3" s="33" t="s">
        <v>24</v>
      </c>
      <c r="H3" s="33" t="s">
        <v>25</v>
      </c>
      <c r="I3" s="33" t="s">
        <v>26</v>
      </c>
      <c r="J3" s="33" t="s">
        <v>27</v>
      </c>
      <c r="K3" s="33" t="s">
        <v>28</v>
      </c>
      <c r="L3" s="33" t="s">
        <v>29</v>
      </c>
      <c r="M3" s="33" t="s">
        <v>30</v>
      </c>
      <c r="N3" s="33" t="s">
        <v>31</v>
      </c>
      <c r="O3" s="33" t="s">
        <v>32</v>
      </c>
      <c r="P3" s="33" t="s">
        <v>33</v>
      </c>
      <c r="Q3" s="33" t="s">
        <v>34</v>
      </c>
      <c r="R3" s="33" t="s">
        <v>35</v>
      </c>
      <c r="S3" s="33" t="s">
        <v>36</v>
      </c>
      <c r="T3" s="33" t="s">
        <v>37</v>
      </c>
      <c r="U3" s="33" t="s">
        <v>38</v>
      </c>
      <c r="V3" s="34" t="s">
        <v>39</v>
      </c>
      <c r="W3" s="34" t="s">
        <v>40</v>
      </c>
      <c r="X3" s="34" t="s">
        <v>41</v>
      </c>
      <c r="Y3" s="34" t="s">
        <v>42</v>
      </c>
      <c r="Z3" s="34" t="s">
        <v>43</v>
      </c>
      <c r="AA3" s="34" t="s">
        <v>44</v>
      </c>
      <c r="AB3" s="34" t="s">
        <v>45</v>
      </c>
      <c r="AC3" s="34" t="s">
        <v>46</v>
      </c>
      <c r="AD3" s="34" t="s">
        <v>47</v>
      </c>
      <c r="AM3" s="2">
        <v>2020</v>
      </c>
      <c r="AN3" s="2">
        <f t="shared" ref="AN3:CN3" si="0">AM3+1</f>
        <v>2021</v>
      </c>
      <c r="AO3" s="2">
        <f t="shared" si="0"/>
        <v>2022</v>
      </c>
      <c r="AP3" s="2">
        <f t="shared" si="0"/>
        <v>2023</v>
      </c>
      <c r="AQ3" s="74">
        <f t="shared" si="0"/>
        <v>2024</v>
      </c>
      <c r="AR3" s="74">
        <f t="shared" si="0"/>
        <v>2025</v>
      </c>
      <c r="AS3" s="74">
        <f t="shared" si="0"/>
        <v>2026</v>
      </c>
      <c r="AT3" s="74">
        <f t="shared" si="0"/>
        <v>2027</v>
      </c>
      <c r="AU3" s="74">
        <f t="shared" si="0"/>
        <v>2028</v>
      </c>
      <c r="AV3" s="74">
        <f t="shared" si="0"/>
        <v>2029</v>
      </c>
      <c r="AW3" s="74">
        <f t="shared" si="0"/>
        <v>2030</v>
      </c>
      <c r="AX3" s="74">
        <f t="shared" si="0"/>
        <v>2031</v>
      </c>
      <c r="AY3" s="74">
        <f t="shared" si="0"/>
        <v>2032</v>
      </c>
      <c r="AZ3" s="74">
        <f t="shared" si="0"/>
        <v>2033</v>
      </c>
      <c r="BA3" s="74">
        <f t="shared" si="0"/>
        <v>2034</v>
      </c>
      <c r="BB3" s="74">
        <f t="shared" si="0"/>
        <v>2035</v>
      </c>
      <c r="BC3" s="74">
        <f t="shared" si="0"/>
        <v>2036</v>
      </c>
      <c r="BD3" s="74">
        <f t="shared" si="0"/>
        <v>2037</v>
      </c>
      <c r="BE3" s="74">
        <f t="shared" si="0"/>
        <v>2038</v>
      </c>
      <c r="BF3" s="74">
        <f t="shared" si="0"/>
        <v>2039</v>
      </c>
      <c r="BG3" s="74">
        <f t="shared" si="0"/>
        <v>2040</v>
      </c>
      <c r="BH3" s="74">
        <f t="shared" si="0"/>
        <v>2041</v>
      </c>
      <c r="BI3" s="74">
        <f t="shared" si="0"/>
        <v>2042</v>
      </c>
      <c r="BJ3" s="74">
        <f t="shared" si="0"/>
        <v>2043</v>
      </c>
      <c r="BK3" s="74">
        <f t="shared" si="0"/>
        <v>2044</v>
      </c>
      <c r="BL3" s="74">
        <f t="shared" si="0"/>
        <v>2045</v>
      </c>
      <c r="BM3" s="74">
        <f t="shared" si="0"/>
        <v>2046</v>
      </c>
      <c r="BN3" s="74">
        <f t="shared" si="0"/>
        <v>2047</v>
      </c>
      <c r="BO3" s="74">
        <f t="shared" si="0"/>
        <v>2048</v>
      </c>
      <c r="BP3" s="74">
        <f t="shared" si="0"/>
        <v>2049</v>
      </c>
      <c r="BQ3" s="74">
        <f t="shared" si="0"/>
        <v>2050</v>
      </c>
      <c r="BR3" s="74">
        <f t="shared" si="0"/>
        <v>2051</v>
      </c>
      <c r="BS3" s="74">
        <f t="shared" si="0"/>
        <v>2052</v>
      </c>
      <c r="BT3" s="74">
        <f t="shared" si="0"/>
        <v>2053</v>
      </c>
      <c r="BU3" s="74">
        <f t="shared" si="0"/>
        <v>2054</v>
      </c>
      <c r="BV3" s="74">
        <f t="shared" si="0"/>
        <v>2055</v>
      </c>
      <c r="BW3" s="74">
        <f t="shared" si="0"/>
        <v>2056</v>
      </c>
      <c r="BX3" s="74">
        <f t="shared" si="0"/>
        <v>2057</v>
      </c>
      <c r="BY3" s="74">
        <f t="shared" si="0"/>
        <v>2058</v>
      </c>
      <c r="BZ3" s="74">
        <f t="shared" si="0"/>
        <v>2059</v>
      </c>
      <c r="CA3" s="74">
        <f t="shared" si="0"/>
        <v>2060</v>
      </c>
      <c r="CB3" s="74">
        <f t="shared" si="0"/>
        <v>2061</v>
      </c>
      <c r="CC3" s="74">
        <f t="shared" si="0"/>
        <v>2062</v>
      </c>
      <c r="CD3" s="74">
        <f t="shared" si="0"/>
        <v>2063</v>
      </c>
      <c r="CE3" s="74">
        <f t="shared" si="0"/>
        <v>2064</v>
      </c>
      <c r="CF3" s="74">
        <f t="shared" si="0"/>
        <v>2065</v>
      </c>
      <c r="CG3" s="74">
        <f t="shared" si="0"/>
        <v>2066</v>
      </c>
      <c r="CH3" s="74">
        <f t="shared" si="0"/>
        <v>2067</v>
      </c>
      <c r="CI3" s="74">
        <f t="shared" si="0"/>
        <v>2068</v>
      </c>
      <c r="CJ3" s="74">
        <f t="shared" si="0"/>
        <v>2069</v>
      </c>
      <c r="CK3" s="74">
        <f t="shared" si="0"/>
        <v>2070</v>
      </c>
      <c r="CL3" s="74">
        <f t="shared" si="0"/>
        <v>2071</v>
      </c>
      <c r="CM3" s="74">
        <f t="shared" si="0"/>
        <v>2072</v>
      </c>
      <c r="CN3" s="74">
        <f t="shared" si="0"/>
        <v>2073</v>
      </c>
      <c r="CO3" s="74">
        <f t="shared" ref="CO3:CY3" si="1">CN3+1</f>
        <v>2074</v>
      </c>
      <c r="CP3" s="74">
        <f t="shared" si="1"/>
        <v>2075</v>
      </c>
      <c r="CQ3" s="74">
        <f t="shared" si="1"/>
        <v>2076</v>
      </c>
      <c r="CR3" s="74">
        <f t="shared" si="1"/>
        <v>2077</v>
      </c>
      <c r="CS3" s="74">
        <f t="shared" si="1"/>
        <v>2078</v>
      </c>
      <c r="CT3" s="74">
        <f t="shared" si="1"/>
        <v>2079</v>
      </c>
      <c r="CU3" s="74">
        <f t="shared" si="1"/>
        <v>2080</v>
      </c>
      <c r="CV3" s="74">
        <f t="shared" si="1"/>
        <v>2081</v>
      </c>
      <c r="CW3" s="74">
        <f t="shared" si="1"/>
        <v>2082</v>
      </c>
      <c r="CX3" s="74">
        <f t="shared" si="1"/>
        <v>2083</v>
      </c>
      <c r="CY3" s="74">
        <f t="shared" si="1"/>
        <v>2084</v>
      </c>
      <c r="CZ3" s="74"/>
      <c r="DA3" s="74"/>
      <c r="DB3" s="2"/>
    </row>
    <row r="4" spans="2:106">
      <c r="B4" s="36" t="s">
        <v>375</v>
      </c>
      <c r="K4" s="66"/>
      <c r="L4" s="66"/>
      <c r="M4" s="66"/>
      <c r="N4" s="66"/>
      <c r="O4" s="66">
        <v>114.05800000000001</v>
      </c>
      <c r="P4" s="66">
        <v>114.086</v>
      </c>
      <c r="Q4" s="66">
        <v>121.46</v>
      </c>
      <c r="R4" s="66">
        <f>476.28-SUM(O4:Q4)</f>
        <v>126.67599999999999</v>
      </c>
      <c r="S4" s="66">
        <v>137.19</v>
      </c>
      <c r="T4" s="66">
        <v>137.66999999999999</v>
      </c>
      <c r="U4" s="66">
        <v>145.346</v>
      </c>
      <c r="AO4" s="66"/>
      <c r="AP4" s="66">
        <f>SUM(O4:R4)</f>
        <v>476.28</v>
      </c>
      <c r="AQ4" s="73">
        <f>420.2+151.6</f>
        <v>571.79999999999995</v>
      </c>
      <c r="AR4" s="75">
        <f>AQ4*(1+AR11)</f>
        <v>686.16</v>
      </c>
      <c r="AS4" s="75">
        <f t="shared" ref="AS4:BA4" si="2">AR4*(1+AS11)</f>
        <v>802.80719999999997</v>
      </c>
      <c r="AT4" s="75">
        <f t="shared" si="2"/>
        <v>923.22827999999993</v>
      </c>
      <c r="AU4" s="75">
        <f t="shared" si="2"/>
        <v>1043.2479563999998</v>
      </c>
      <c r="AV4" s="75">
        <f t="shared" si="2"/>
        <v>1158.0052316039998</v>
      </c>
      <c r="AW4" s="75">
        <f t="shared" si="2"/>
        <v>1273.8057547644</v>
      </c>
      <c r="AX4" s="75">
        <f t="shared" si="2"/>
        <v>1394.8173014670181</v>
      </c>
      <c r="AY4" s="75">
        <f t="shared" si="2"/>
        <v>1520.3508585990498</v>
      </c>
      <c r="AZ4" s="75">
        <f t="shared" si="2"/>
        <v>1649.580681579969</v>
      </c>
      <c r="BA4" s="75">
        <f t="shared" si="2"/>
        <v>1781.5471361063667</v>
      </c>
    </row>
    <row r="5" spans="2:106">
      <c r="B5" s="36" t="s">
        <v>152</v>
      </c>
      <c r="K5" s="66"/>
      <c r="L5" s="66"/>
      <c r="M5" s="66"/>
      <c r="N5" s="66"/>
      <c r="O5" s="66">
        <v>2.11</v>
      </c>
      <c r="P5" s="66">
        <v>4.9189999999999996</v>
      </c>
      <c r="Q5" s="66">
        <v>4.9000000000000004</v>
      </c>
      <c r="R5" s="66">
        <f>17.357-SUM(O5:Q5)</f>
        <v>5.427999999999999</v>
      </c>
      <c r="S5" s="66">
        <v>6</v>
      </c>
      <c r="T5" s="66">
        <v>8.1460000000000008</v>
      </c>
      <c r="U5" s="66">
        <v>8.0440000000000005</v>
      </c>
      <c r="AP5" s="66">
        <f>SUM(O5:R5)</f>
        <v>17.356999999999999</v>
      </c>
      <c r="AQ5" s="73">
        <v>34</v>
      </c>
      <c r="AR5" s="75">
        <f>AQ5*(1+AR12)</f>
        <v>44.2</v>
      </c>
      <c r="AS5" s="75">
        <f t="shared" ref="AS5:BA5" si="3">AR5*(1+AS12)</f>
        <v>55.25</v>
      </c>
      <c r="AT5" s="75">
        <f t="shared" si="3"/>
        <v>67.405000000000001</v>
      </c>
      <c r="AU5" s="75">
        <f t="shared" si="3"/>
        <v>80.885999999999996</v>
      </c>
      <c r="AV5" s="75">
        <f t="shared" si="3"/>
        <v>96.254339999999985</v>
      </c>
      <c r="AW5" s="75">
        <f t="shared" si="3"/>
        <v>113.58012119999998</v>
      </c>
      <c r="AX5" s="75">
        <f t="shared" si="3"/>
        <v>132.88874180399998</v>
      </c>
      <c r="AY5" s="75">
        <f t="shared" si="3"/>
        <v>154.15094049263996</v>
      </c>
      <c r="AZ5" s="75">
        <f t="shared" si="3"/>
        <v>177.27358156653594</v>
      </c>
      <c r="BA5" s="75">
        <f t="shared" si="3"/>
        <v>203.86461880151631</v>
      </c>
    </row>
    <row r="6" spans="2:106" s="2" customFormat="1" ht="15">
      <c r="B6" s="33" t="s">
        <v>51</v>
      </c>
      <c r="K6" s="70"/>
      <c r="L6" s="70"/>
      <c r="M6" s="70"/>
      <c r="N6" s="70"/>
      <c r="O6" s="70">
        <f t="shared" ref="O6:T6" si="4">SUM(O4:O5)</f>
        <v>116.16800000000001</v>
      </c>
      <c r="P6" s="70">
        <f t="shared" si="4"/>
        <v>119.005</v>
      </c>
      <c r="Q6" s="70">
        <f t="shared" si="4"/>
        <v>126.36</v>
      </c>
      <c r="R6" s="70">
        <f t="shared" si="4"/>
        <v>132.10399999999998</v>
      </c>
      <c r="S6" s="70">
        <f t="shared" si="4"/>
        <v>143.19</v>
      </c>
      <c r="T6" s="70">
        <f t="shared" si="4"/>
        <v>145.81599999999997</v>
      </c>
      <c r="U6" s="70">
        <f>SUM(U4:U5)</f>
        <v>153.39000000000001</v>
      </c>
      <c r="X6" s="34"/>
      <c r="Y6" s="34"/>
      <c r="Z6" s="34"/>
      <c r="AA6" s="34"/>
      <c r="AB6" s="34"/>
      <c r="AC6" s="34"/>
      <c r="AD6" s="34"/>
      <c r="AP6" s="70">
        <f>SUM(O6:R6)</f>
        <v>493.637</v>
      </c>
      <c r="AQ6" s="76">
        <f>SUM(AQ4:AQ5)</f>
        <v>605.79999999999995</v>
      </c>
      <c r="AR6" s="76">
        <f t="shared" ref="AR6:BA6" si="5">SUM(AR4:AR5)</f>
        <v>730.36</v>
      </c>
      <c r="AS6" s="76">
        <f t="shared" si="5"/>
        <v>858.05719999999997</v>
      </c>
      <c r="AT6" s="76">
        <f t="shared" si="5"/>
        <v>990.6332799999999</v>
      </c>
      <c r="AU6" s="76">
        <f t="shared" si="5"/>
        <v>1124.1339563999998</v>
      </c>
      <c r="AV6" s="76">
        <f t="shared" si="5"/>
        <v>1254.2595716039998</v>
      </c>
      <c r="AW6" s="76">
        <f t="shared" si="5"/>
        <v>1387.3858759643999</v>
      </c>
      <c r="AX6" s="76">
        <f t="shared" si="5"/>
        <v>1527.706043271018</v>
      </c>
      <c r="AY6" s="76">
        <f t="shared" si="5"/>
        <v>1674.5017990916899</v>
      </c>
      <c r="AZ6" s="76">
        <f t="shared" si="5"/>
        <v>1826.854263146505</v>
      </c>
      <c r="BA6" s="76">
        <f t="shared" si="5"/>
        <v>1985.4117549078831</v>
      </c>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row>
    <row r="7" spans="2:106">
      <c r="B7" s="36"/>
    </row>
    <row r="8" spans="2:106">
      <c r="B8" s="37" t="s">
        <v>378</v>
      </c>
      <c r="O8" s="67">
        <f t="shared" ref="O8:U8" si="6">O4/O6</f>
        <v>0.98183665036843193</v>
      </c>
      <c r="P8" s="67">
        <f t="shared" si="6"/>
        <v>0.95866560228561826</v>
      </c>
      <c r="Q8" s="67">
        <f t="shared" si="6"/>
        <v>0.96122190566635002</v>
      </c>
      <c r="R8" s="67">
        <f t="shared" si="6"/>
        <v>0.95891116090353057</v>
      </c>
      <c r="S8" s="67">
        <f t="shared" si="6"/>
        <v>0.95809763251623714</v>
      </c>
      <c r="T8" s="67">
        <f t="shared" si="6"/>
        <v>0.94413507434026456</v>
      </c>
      <c r="U8" s="67">
        <f t="shared" si="6"/>
        <v>0.94755851098507071</v>
      </c>
      <c r="AP8" s="67">
        <f t="shared" ref="AP8:BA8" si="7">AP4/AP6</f>
        <v>0.96483853519894169</v>
      </c>
      <c r="AQ8" s="77">
        <f t="shared" si="7"/>
        <v>0.94387586662264777</v>
      </c>
      <c r="AR8" s="77">
        <f t="shared" si="7"/>
        <v>0.93948189933731308</v>
      </c>
      <c r="AS8" s="77">
        <f t="shared" si="7"/>
        <v>0.9356103532491773</v>
      </c>
      <c r="AT8" s="77">
        <f t="shared" si="7"/>
        <v>0.93195766651409084</v>
      </c>
      <c r="AU8" s="77">
        <f t="shared" si="7"/>
        <v>0.92804594190977507</v>
      </c>
      <c r="AV8" s="77">
        <f t="shared" si="7"/>
        <v>0.9232580383046981</v>
      </c>
      <c r="AW8" s="77">
        <f t="shared" si="7"/>
        <v>0.91813371956014178</v>
      </c>
      <c r="AX8" s="77">
        <f t="shared" si="7"/>
        <v>0.91301419380428206</v>
      </c>
      <c r="AY8" s="77">
        <f t="shared" si="7"/>
        <v>0.90794220670514836</v>
      </c>
      <c r="AZ8" s="77">
        <f t="shared" si="7"/>
        <v>0.9029623844973782</v>
      </c>
      <c r="BA8" s="77">
        <f t="shared" si="7"/>
        <v>0.89731872076531805</v>
      </c>
    </row>
    <row r="9" spans="2:106">
      <c r="B9" s="37" t="s">
        <v>379</v>
      </c>
      <c r="O9" s="67">
        <f t="shared" ref="O9:U9" si="8">O5/O6</f>
        <v>1.8163349631568071E-2</v>
      </c>
      <c r="P9" s="67">
        <f t="shared" si="8"/>
        <v>4.133439771438175E-2</v>
      </c>
      <c r="Q9" s="67">
        <f t="shared" si="8"/>
        <v>3.8778094333649892E-2</v>
      </c>
      <c r="R9" s="67">
        <f t="shared" si="8"/>
        <v>4.1088839096469446E-2</v>
      </c>
      <c r="S9" s="67">
        <f t="shared" si="8"/>
        <v>4.1902367483762831E-2</v>
      </c>
      <c r="T9" s="67">
        <f t="shared" si="8"/>
        <v>5.5864925659735575E-2</v>
      </c>
      <c r="U9" s="67">
        <f t="shared" si="8"/>
        <v>5.244148901492926E-2</v>
      </c>
      <c r="AP9" s="67">
        <f t="shared" ref="AP9:BA9" si="9">AP5/AP6</f>
        <v>3.5161464801058265E-2</v>
      </c>
      <c r="AQ9" s="77">
        <f t="shared" si="9"/>
        <v>5.6124133377352267E-2</v>
      </c>
      <c r="AR9" s="77">
        <f t="shared" si="9"/>
        <v>6.0518100662686897E-2</v>
      </c>
      <c r="AS9" s="77">
        <f t="shared" si="9"/>
        <v>6.4389646750822677E-2</v>
      </c>
      <c r="AT9" s="77">
        <f t="shared" si="9"/>
        <v>6.8042333485909143E-2</v>
      </c>
      <c r="AU9" s="77">
        <f t="shared" si="9"/>
        <v>7.1954058090224954E-2</v>
      </c>
      <c r="AV9" s="77">
        <f t="shared" si="9"/>
        <v>7.6741961695301952E-2</v>
      </c>
      <c r="AW9" s="77">
        <f t="shared" si="9"/>
        <v>8.1866280439858261E-2</v>
      </c>
      <c r="AX9" s="77">
        <f t="shared" si="9"/>
        <v>8.6985806195718024E-2</v>
      </c>
      <c r="AY9" s="77">
        <f t="shared" si="9"/>
        <v>9.2057793294851628E-2</v>
      </c>
      <c r="AZ9" s="77">
        <f t="shared" si="9"/>
        <v>9.7037615502621757E-2</v>
      </c>
      <c r="BA9" s="77">
        <f t="shared" si="9"/>
        <v>0.10268127923468198</v>
      </c>
    </row>
    <row r="11" spans="2:106">
      <c r="B11" s="37" t="s">
        <v>376</v>
      </c>
      <c r="S11" s="67">
        <f t="shared" ref="S11:T11" si="10">S4/O4-1</f>
        <v>0.20280909712602346</v>
      </c>
      <c r="T11" s="67">
        <f t="shared" si="10"/>
        <v>0.20672124537629499</v>
      </c>
      <c r="U11" s="67">
        <f>U4/Q4-1</f>
        <v>0.19665733574839472</v>
      </c>
      <c r="AP11" s="67"/>
      <c r="AQ11" s="77">
        <v>0.215</v>
      </c>
      <c r="AR11" s="77">
        <v>0.2</v>
      </c>
      <c r="AS11" s="77">
        <v>0.17</v>
      </c>
      <c r="AT11" s="77">
        <v>0.15</v>
      </c>
      <c r="AU11" s="77">
        <v>0.13</v>
      </c>
      <c r="AV11" s="77">
        <v>0.11</v>
      </c>
      <c r="AW11" s="77">
        <v>0.1</v>
      </c>
      <c r="AX11" s="77">
        <v>9.5000000000000001E-2</v>
      </c>
      <c r="AY11" s="77">
        <v>0.09</v>
      </c>
      <c r="AZ11" s="77">
        <v>8.5000000000000006E-2</v>
      </c>
      <c r="BA11" s="77">
        <v>0.08</v>
      </c>
    </row>
    <row r="12" spans="2:106">
      <c r="B12" s="37" t="s">
        <v>377</v>
      </c>
      <c r="S12" s="67">
        <f t="shared" ref="S12:T12" si="11">S5/O5-1</f>
        <v>1.8436018957345972</v>
      </c>
      <c r="T12" s="67">
        <f t="shared" si="11"/>
        <v>0.65602764789591417</v>
      </c>
      <c r="U12" s="67">
        <f>U5/Q5-1</f>
        <v>0.64163265306122441</v>
      </c>
      <c r="AP12" s="67"/>
      <c r="AQ12" s="77">
        <f>AQ5/AP5-1</f>
        <v>0.95886385896180215</v>
      </c>
      <c r="AR12" s="77">
        <v>0.3</v>
      </c>
      <c r="AS12" s="77">
        <v>0.25</v>
      </c>
      <c r="AT12" s="77">
        <v>0.22</v>
      </c>
      <c r="AU12" s="77">
        <v>0.2</v>
      </c>
      <c r="AV12" s="77">
        <v>0.19</v>
      </c>
      <c r="AW12" s="77">
        <v>0.18</v>
      </c>
      <c r="AX12" s="77">
        <v>0.17</v>
      </c>
      <c r="AY12" s="77">
        <v>0.16</v>
      </c>
      <c r="AZ12" s="77">
        <v>0.15</v>
      </c>
      <c r="BA12" s="77">
        <v>0.15</v>
      </c>
    </row>
    <row r="13" spans="2:106">
      <c r="B13" s="1" t="s">
        <v>383</v>
      </c>
      <c r="S13" s="67">
        <f t="shared" ref="S13:T13" si="12">S6/O6-1</f>
        <v>0.23261139040011014</v>
      </c>
      <c r="T13" s="67">
        <f t="shared" si="12"/>
        <v>0.22529305491365892</v>
      </c>
      <c r="U13" s="67">
        <f>U6/Q6-1</f>
        <v>0.21391263057929732</v>
      </c>
      <c r="AP13" s="67"/>
      <c r="AQ13" s="77">
        <f>AQ6/AP6-1</f>
        <v>0.22721757080607796</v>
      </c>
      <c r="AR13" s="77">
        <f t="shared" ref="AR13:BA13" si="13">AR6/AQ6-1</f>
        <v>0.20561241333773528</v>
      </c>
      <c r="AS13" s="77">
        <f t="shared" si="13"/>
        <v>0.17484144805301494</v>
      </c>
      <c r="AT13" s="77">
        <f t="shared" si="13"/>
        <v>0.15450727527255759</v>
      </c>
      <c r="AU13" s="77">
        <f t="shared" si="13"/>
        <v>0.1347629633440135</v>
      </c>
      <c r="AV13" s="77">
        <f t="shared" si="13"/>
        <v>0.11575632464721797</v>
      </c>
      <c r="AW13" s="77">
        <f t="shared" si="13"/>
        <v>0.10613935693562437</v>
      </c>
      <c r="AX13" s="77">
        <f t="shared" si="13"/>
        <v>0.10113997103298944</v>
      </c>
      <c r="AY13" s="77">
        <f t="shared" si="13"/>
        <v>9.6089006433700552E-2</v>
      </c>
      <c r="AZ13" s="77">
        <f t="shared" si="13"/>
        <v>9.0983756564165352E-2</v>
      </c>
      <c r="BA13" s="77">
        <f t="shared" si="13"/>
        <v>8.679263308518359E-2</v>
      </c>
    </row>
    <row r="15" spans="2:106">
      <c r="B15" s="1" t="s">
        <v>52</v>
      </c>
      <c r="O15" s="66">
        <v>111.846</v>
      </c>
      <c r="P15" s="66">
        <v>113.80200000000001</v>
      </c>
      <c r="Q15" s="66">
        <v>119.83</v>
      </c>
      <c r="R15" s="66">
        <f>469.864-SUM(O15:Q15)</f>
        <v>124.38599999999997</v>
      </c>
      <c r="S15" s="66">
        <v>133.68299999999999</v>
      </c>
      <c r="T15" s="66">
        <v>135.78</v>
      </c>
      <c r="U15" s="66">
        <v>141.85</v>
      </c>
      <c r="AP15" s="66">
        <f>SUM(O15:R15)</f>
        <v>469.86399999999998</v>
      </c>
    </row>
    <row r="16" spans="2:106">
      <c r="B16" s="1" t="s">
        <v>380</v>
      </c>
      <c r="O16" s="66">
        <v>4.3209999999999997</v>
      </c>
      <c r="P16" s="66">
        <v>5.2030000000000003</v>
      </c>
      <c r="Q16" s="66">
        <v>6.5410000000000004</v>
      </c>
      <c r="R16" s="66">
        <f>23.768-SUM(O16:Q16)</f>
        <v>7.7029999999999994</v>
      </c>
      <c r="S16" s="66">
        <v>9.5109999999999992</v>
      </c>
      <c r="T16" s="66">
        <v>10.036</v>
      </c>
      <c r="U16" s="66">
        <v>11.53</v>
      </c>
      <c r="AP16" s="66">
        <f t="shared" ref="AP16:AP17" si="14">SUM(O16:R16)</f>
        <v>23.768000000000001</v>
      </c>
    </row>
    <row r="17" spans="2:105" s="2" customFormat="1" ht="15">
      <c r="B17" s="33" t="s">
        <v>51</v>
      </c>
      <c r="O17" s="70">
        <f t="shared" ref="O17:U17" si="15">SUM(O15:O16)</f>
        <v>116.167</v>
      </c>
      <c r="P17" s="70">
        <f t="shared" si="15"/>
        <v>119.00500000000001</v>
      </c>
      <c r="Q17" s="70">
        <f t="shared" si="15"/>
        <v>126.371</v>
      </c>
      <c r="R17" s="70">
        <f t="shared" si="15"/>
        <v>132.08899999999997</v>
      </c>
      <c r="S17" s="70">
        <f t="shared" si="15"/>
        <v>143.19399999999999</v>
      </c>
      <c r="T17" s="70">
        <f t="shared" si="15"/>
        <v>145.816</v>
      </c>
      <c r="U17" s="70">
        <f t="shared" si="15"/>
        <v>153.38</v>
      </c>
      <c r="X17" s="34"/>
      <c r="Y17" s="34"/>
      <c r="Z17" s="34"/>
      <c r="AA17" s="34"/>
      <c r="AB17" s="34"/>
      <c r="AC17" s="34"/>
      <c r="AD17" s="34"/>
      <c r="AP17" s="70">
        <f t="shared" si="14"/>
        <v>493.63199999999995</v>
      </c>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row>
    <row r="19" spans="2:105">
      <c r="B19" s="1" t="s">
        <v>54</v>
      </c>
      <c r="S19" s="67">
        <f t="shared" ref="S19:T19" si="16">S15/O15-1</f>
        <v>0.1952416715841423</v>
      </c>
      <c r="T19" s="67">
        <f t="shared" si="16"/>
        <v>0.19312490114409231</v>
      </c>
      <c r="U19" s="67">
        <f>U15/Q15-1</f>
        <v>0.18376032713010093</v>
      </c>
      <c r="AP19" s="66"/>
    </row>
    <row r="20" spans="2:105">
      <c r="B20" s="1" t="s">
        <v>381</v>
      </c>
      <c r="S20" s="67">
        <f t="shared" ref="S20:T20" si="17">S16/O16-1</f>
        <v>1.2011108539689888</v>
      </c>
      <c r="T20" s="67">
        <f t="shared" si="17"/>
        <v>0.92888718047280405</v>
      </c>
      <c r="U20" s="67">
        <f>U16/Q16-1</f>
        <v>0.76272741171074743</v>
      </c>
      <c r="AP20" s="66"/>
    </row>
    <row r="21" spans="2:105">
      <c r="B21" s="1" t="s">
        <v>383</v>
      </c>
      <c r="S21" s="67">
        <f t="shared" ref="S21:T21" si="18">S17/O17-1</f>
        <v>0.23265643427135063</v>
      </c>
      <c r="T21" s="67">
        <f t="shared" si="18"/>
        <v>0.22529305491365892</v>
      </c>
      <c r="U21" s="67">
        <f>U17/Q17-1</f>
        <v>0.21372783312627108</v>
      </c>
      <c r="AP21" s="66"/>
    </row>
    <row r="23" spans="2:105">
      <c r="B23" s="38" t="s">
        <v>53</v>
      </c>
      <c r="O23" s="67">
        <f t="shared" ref="O23:T23" si="19">O15/O17</f>
        <v>0.96280355006154938</v>
      </c>
      <c r="P23" s="67">
        <f t="shared" si="19"/>
        <v>0.95627914793496072</v>
      </c>
      <c r="Q23" s="67">
        <f t="shared" si="19"/>
        <v>0.9482397068947781</v>
      </c>
      <c r="R23" s="67">
        <f t="shared" si="19"/>
        <v>0.94168325901475514</v>
      </c>
      <c r="S23" s="67">
        <f t="shared" si="19"/>
        <v>0.93357961925779021</v>
      </c>
      <c r="T23" s="67">
        <f t="shared" si="19"/>
        <v>0.93117353376858503</v>
      </c>
      <c r="U23" s="67">
        <f>U15/U17</f>
        <v>0.92482722649628368</v>
      </c>
      <c r="AP23" s="67">
        <f>AP15/AP17</f>
        <v>0.95185077142486718</v>
      </c>
    </row>
    <row r="24" spans="2:105">
      <c r="B24" s="1" t="s">
        <v>382</v>
      </c>
      <c r="O24" s="67">
        <f t="shared" ref="O24:T24" si="20">O16/O17</f>
        <v>3.7196449938450678E-2</v>
      </c>
      <c r="P24" s="67">
        <f t="shared" si="20"/>
        <v>4.3720852065039284E-2</v>
      </c>
      <c r="Q24" s="67">
        <f t="shared" si="20"/>
        <v>5.1760293105221934E-2</v>
      </c>
      <c r="R24" s="67">
        <f t="shared" si="20"/>
        <v>5.8316740985244808E-2</v>
      </c>
      <c r="S24" s="67">
        <f t="shared" si="20"/>
        <v>6.6420380742209864E-2</v>
      </c>
      <c r="T24" s="67">
        <f t="shared" si="20"/>
        <v>6.8826466231414932E-2</v>
      </c>
      <c r="U24" s="67">
        <f>U16/U17</f>
        <v>7.5172773503716261E-2</v>
      </c>
      <c r="AP24" s="67">
        <f>AP16/AP17</f>
        <v>4.8149228575132902E-2</v>
      </c>
    </row>
    <row r="26" spans="2:105" s="2" customFormat="1" ht="15">
      <c r="B26" s="2" t="s">
        <v>50</v>
      </c>
      <c r="C26" s="70">
        <v>26.952999999999999</v>
      </c>
      <c r="D26" s="70">
        <v>25.391999999999999</v>
      </c>
      <c r="E26" s="70">
        <v>38.715000000000003</v>
      </c>
      <c r="F26" s="70">
        <f>139.67-SUM(C26:E26)</f>
        <v>48.609999999999985</v>
      </c>
      <c r="G26" s="70">
        <v>57.396999999999998</v>
      </c>
      <c r="H26" s="70">
        <v>63.453000000000003</v>
      </c>
      <c r="I26" s="70">
        <v>72.915999999999997</v>
      </c>
      <c r="J26" s="70">
        <f>276.984-SUM(G26:I26)</f>
        <v>83.217999999999989</v>
      </c>
      <c r="K26" s="70">
        <v>86.751999999999995</v>
      </c>
      <c r="L26" s="70">
        <v>92.744</v>
      </c>
      <c r="M26" s="70">
        <v>96.203999999999994</v>
      </c>
      <c r="N26" s="70">
        <f>383.471-SUM(K26:M26)</f>
        <v>107.77100000000002</v>
      </c>
      <c r="O26" s="70">
        <f t="shared" ref="O26:U26" si="21">O6</f>
        <v>116.16800000000001</v>
      </c>
      <c r="P26" s="70">
        <f t="shared" si="21"/>
        <v>119.005</v>
      </c>
      <c r="Q26" s="70">
        <f t="shared" si="21"/>
        <v>126.36</v>
      </c>
      <c r="R26" s="70">
        <f t="shared" si="21"/>
        <v>132.10399999999998</v>
      </c>
      <c r="S26" s="70">
        <f t="shared" si="21"/>
        <v>143.19</v>
      </c>
      <c r="T26" s="70">
        <f t="shared" si="21"/>
        <v>145.81599999999997</v>
      </c>
      <c r="U26" s="70">
        <f t="shared" si="21"/>
        <v>153.39000000000001</v>
      </c>
      <c r="X26" s="34"/>
      <c r="Y26" s="34"/>
      <c r="Z26" s="34"/>
      <c r="AA26" s="34"/>
      <c r="AB26" s="34"/>
      <c r="AC26" s="34"/>
      <c r="AD26" s="34"/>
      <c r="AM26" s="70">
        <f>SUM(C26:F26)</f>
        <v>139.66999999999999</v>
      </c>
      <c r="AN26" s="70">
        <f>SUM(G26:J26)</f>
        <v>276.98399999999998</v>
      </c>
      <c r="AO26" s="70">
        <f>SUM(K26:N26)</f>
        <v>383.471</v>
      </c>
      <c r="AP26" s="70">
        <f>SUM(O26:R26)</f>
        <v>493.637</v>
      </c>
      <c r="AQ26" s="76">
        <f>AQ6</f>
        <v>605.79999999999995</v>
      </c>
      <c r="AR26" s="76">
        <f t="shared" ref="AR26:BA26" si="22">AR6</f>
        <v>730.36</v>
      </c>
      <c r="AS26" s="76">
        <f t="shared" si="22"/>
        <v>858.05719999999997</v>
      </c>
      <c r="AT26" s="76">
        <f t="shared" si="22"/>
        <v>990.6332799999999</v>
      </c>
      <c r="AU26" s="76">
        <f t="shared" si="22"/>
        <v>1124.1339563999998</v>
      </c>
      <c r="AV26" s="76">
        <f t="shared" si="22"/>
        <v>1254.2595716039998</v>
      </c>
      <c r="AW26" s="76">
        <f t="shared" si="22"/>
        <v>1387.3858759643999</v>
      </c>
      <c r="AX26" s="76">
        <f t="shared" si="22"/>
        <v>1527.706043271018</v>
      </c>
      <c r="AY26" s="76">
        <f t="shared" si="22"/>
        <v>1674.5017990916899</v>
      </c>
      <c r="AZ26" s="76">
        <f t="shared" si="22"/>
        <v>1826.854263146505</v>
      </c>
      <c r="BA26" s="76">
        <f t="shared" si="22"/>
        <v>1985.4117549078831</v>
      </c>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row>
    <row r="27" spans="2:105">
      <c r="B27" s="1" t="s">
        <v>55</v>
      </c>
      <c r="C27" s="66">
        <v>2.706</v>
      </c>
      <c r="D27" s="66">
        <v>3.4870000000000001</v>
      </c>
      <c r="E27" s="66">
        <v>3.2280000000000002</v>
      </c>
      <c r="F27" s="66">
        <f>13.106-SUM(C27:E27)</f>
        <v>3.6850000000000005</v>
      </c>
      <c r="G27" s="66">
        <v>4.6230000000000002</v>
      </c>
      <c r="H27" s="66">
        <v>4.8140000000000001</v>
      </c>
      <c r="I27" s="66">
        <v>7.04</v>
      </c>
      <c r="J27" s="66">
        <f>24.757-SUM(G27:I27)</f>
        <v>8.2800000000000011</v>
      </c>
      <c r="K27" s="66">
        <v>9.9670000000000005</v>
      </c>
      <c r="L27" s="66">
        <v>10.347</v>
      </c>
      <c r="M27" s="66">
        <v>11.064</v>
      </c>
      <c r="N27" s="66">
        <f>44.506-SUM(K27:M27)</f>
        <v>13.128</v>
      </c>
      <c r="O27" s="66">
        <v>13.741</v>
      </c>
      <c r="P27" s="66">
        <v>13.843999999999999</v>
      </c>
      <c r="Q27" s="66">
        <v>14.477</v>
      </c>
      <c r="R27" s="66">
        <f>59.068-SUM(O27:Q27)</f>
        <v>17.006</v>
      </c>
      <c r="S27" s="66">
        <v>18.893000000000001</v>
      </c>
      <c r="T27" s="66">
        <v>19.992999999999999</v>
      </c>
      <c r="U27" s="66">
        <v>19.850000000000001</v>
      </c>
      <c r="AM27" s="66">
        <f t="shared" ref="AM27:AM42" si="23">SUM(C27:F27)</f>
        <v>13.106</v>
      </c>
      <c r="AN27" s="66">
        <f t="shared" ref="AN27:AN42" si="24">SUM(G27:J27)</f>
        <v>24.757000000000001</v>
      </c>
      <c r="AO27" s="66">
        <f t="shared" ref="AO27:AO42" si="25">SUM(K27:N27)</f>
        <v>44.506</v>
      </c>
      <c r="AP27" s="66">
        <f t="shared" ref="AP27:AP42" si="26">SUM(O27:R27)</f>
        <v>59.067999999999998</v>
      </c>
      <c r="AQ27" s="75">
        <f>AQ26*(1-AQ44)</f>
        <v>80.571399999999997</v>
      </c>
      <c r="AR27" s="75">
        <f t="shared" ref="AR27:BA27" si="27">AR26*(1-AR44)</f>
        <v>116.85760000000002</v>
      </c>
      <c r="AS27" s="75">
        <f t="shared" si="27"/>
        <v>137.28915200000003</v>
      </c>
      <c r="AT27" s="75">
        <f t="shared" si="27"/>
        <v>168.40765760000002</v>
      </c>
      <c r="AU27" s="75">
        <f t="shared" si="27"/>
        <v>191.10277258799999</v>
      </c>
      <c r="AV27" s="75">
        <f t="shared" si="27"/>
        <v>225.76672288872004</v>
      </c>
      <c r="AW27" s="75">
        <f t="shared" si="27"/>
        <v>249.72945767359207</v>
      </c>
      <c r="AX27" s="75">
        <f t="shared" si="27"/>
        <v>290.26414822149331</v>
      </c>
      <c r="AY27" s="75">
        <f t="shared" si="27"/>
        <v>318.15534182742101</v>
      </c>
      <c r="AZ27" s="75">
        <f t="shared" si="27"/>
        <v>365.37085262930094</v>
      </c>
      <c r="BA27" s="75">
        <f t="shared" si="27"/>
        <v>397.0823509815765</v>
      </c>
    </row>
    <row r="28" spans="2:105">
      <c r="B28" s="1" t="s">
        <v>56</v>
      </c>
      <c r="C28" s="66">
        <f t="shared" ref="C28:T28" si="28">C26-C27</f>
        <v>24.247</v>
      </c>
      <c r="D28" s="66">
        <f t="shared" si="28"/>
        <v>21.905000000000001</v>
      </c>
      <c r="E28" s="66">
        <f t="shared" si="28"/>
        <v>35.487000000000002</v>
      </c>
      <c r="F28" s="66">
        <f t="shared" si="28"/>
        <v>44.924999999999983</v>
      </c>
      <c r="G28" s="66">
        <f t="shared" si="28"/>
        <v>52.774000000000001</v>
      </c>
      <c r="H28" s="66">
        <f t="shared" si="28"/>
        <v>58.639000000000003</v>
      </c>
      <c r="I28" s="66">
        <f t="shared" si="28"/>
        <v>65.875999999999991</v>
      </c>
      <c r="J28" s="66">
        <f t="shared" si="28"/>
        <v>74.937999999999988</v>
      </c>
      <c r="K28" s="66">
        <f t="shared" si="28"/>
        <v>76.784999999999997</v>
      </c>
      <c r="L28" s="66">
        <f t="shared" si="28"/>
        <v>82.397000000000006</v>
      </c>
      <c r="M28" s="66">
        <f t="shared" si="28"/>
        <v>85.139999999999986</v>
      </c>
      <c r="N28" s="66">
        <f t="shared" si="28"/>
        <v>94.643000000000015</v>
      </c>
      <c r="O28" s="66">
        <f t="shared" si="28"/>
        <v>102.42700000000001</v>
      </c>
      <c r="P28" s="66">
        <f t="shared" si="28"/>
        <v>105.161</v>
      </c>
      <c r="Q28" s="66">
        <f t="shared" si="28"/>
        <v>111.883</v>
      </c>
      <c r="R28" s="66">
        <f t="shared" si="28"/>
        <v>115.09799999999998</v>
      </c>
      <c r="S28" s="66">
        <f t="shared" si="28"/>
        <v>124.297</v>
      </c>
      <c r="T28" s="66">
        <f t="shared" si="28"/>
        <v>125.82299999999998</v>
      </c>
      <c r="U28" s="66">
        <f>U26-U27</f>
        <v>133.54000000000002</v>
      </c>
      <c r="AM28" s="66">
        <f t="shared" si="23"/>
        <v>126.56399999999999</v>
      </c>
      <c r="AN28" s="66">
        <f t="shared" si="24"/>
        <v>252.22699999999998</v>
      </c>
      <c r="AO28" s="66">
        <f t="shared" si="25"/>
        <v>338.96500000000003</v>
      </c>
      <c r="AP28" s="66">
        <f t="shared" si="26"/>
        <v>434.56899999999996</v>
      </c>
      <c r="AQ28" s="75">
        <f>AQ26-AQ27</f>
        <v>525.22859999999991</v>
      </c>
      <c r="AR28" s="75">
        <f t="shared" ref="AR28:BA28" si="29">AR26-AR27</f>
        <v>613.50239999999997</v>
      </c>
      <c r="AS28" s="75">
        <f t="shared" si="29"/>
        <v>720.76804799999991</v>
      </c>
      <c r="AT28" s="75">
        <f t="shared" si="29"/>
        <v>822.22562239999991</v>
      </c>
      <c r="AU28" s="75">
        <f t="shared" si="29"/>
        <v>933.03118381199977</v>
      </c>
      <c r="AV28" s="75">
        <f t="shared" si="29"/>
        <v>1028.4928487152797</v>
      </c>
      <c r="AW28" s="75">
        <f t="shared" si="29"/>
        <v>1137.6564182908078</v>
      </c>
      <c r="AX28" s="75">
        <f t="shared" si="29"/>
        <v>1237.4418950495246</v>
      </c>
      <c r="AY28" s="75">
        <f t="shared" si="29"/>
        <v>1356.3464572642688</v>
      </c>
      <c r="AZ28" s="75">
        <f t="shared" si="29"/>
        <v>1461.483410517204</v>
      </c>
      <c r="BA28" s="75">
        <f t="shared" si="29"/>
        <v>1588.3294039263064</v>
      </c>
    </row>
    <row r="29" spans="2:105">
      <c r="B29" s="1" t="s">
        <v>384</v>
      </c>
      <c r="C29" s="66">
        <v>3.0179999999999998</v>
      </c>
      <c r="D29" s="66">
        <v>3.6280000000000001</v>
      </c>
      <c r="E29" s="66">
        <v>5.2169999999999996</v>
      </c>
      <c r="F29" s="66">
        <f>18.399-SUM(C29:E29)</f>
        <v>6.5360000000000014</v>
      </c>
      <c r="G29" s="66">
        <v>8.1630000000000003</v>
      </c>
      <c r="H29" s="66">
        <v>11.63</v>
      </c>
      <c r="I29" s="66">
        <v>12.499000000000001</v>
      </c>
      <c r="J29" s="66">
        <f>51.018-SUM(G29:I29)</f>
        <v>18.725999999999999</v>
      </c>
      <c r="K29" s="66">
        <v>16.135000000000002</v>
      </c>
      <c r="L29" s="66">
        <v>18.568999999999999</v>
      </c>
      <c r="M29" s="66">
        <v>19.105</v>
      </c>
      <c r="N29" s="66">
        <f>74.221-SUM(K29:M29)</f>
        <v>20.412000000000006</v>
      </c>
      <c r="O29" s="66">
        <v>22.064</v>
      </c>
      <c r="P29" s="66">
        <v>21.085000000000001</v>
      </c>
      <c r="Q29" s="66">
        <v>21.492000000000001</v>
      </c>
      <c r="R29" s="66">
        <f>87.533-SUM(O29:Q29)</f>
        <v>22.891999999999996</v>
      </c>
      <c r="S29" s="66">
        <v>26.88</v>
      </c>
      <c r="T29" s="66">
        <v>24.905000000000001</v>
      </c>
      <c r="U29" s="66">
        <v>29.43</v>
      </c>
      <c r="AM29" s="66">
        <f t="shared" si="23"/>
        <v>18.399000000000001</v>
      </c>
      <c r="AN29" s="66">
        <f t="shared" si="24"/>
        <v>51.018000000000001</v>
      </c>
      <c r="AO29" s="66">
        <f t="shared" si="25"/>
        <v>74.221000000000004</v>
      </c>
      <c r="AP29" s="66">
        <f t="shared" si="26"/>
        <v>87.533000000000001</v>
      </c>
      <c r="AQ29" s="75">
        <f>AQ26*AQ45</f>
        <v>112.07299999999999</v>
      </c>
      <c r="AR29" s="75">
        <f t="shared" ref="AR29:BA29" si="30">AR26*AR45</f>
        <v>131.4648</v>
      </c>
      <c r="AS29" s="75">
        <f t="shared" si="30"/>
        <v>145.86972399999999</v>
      </c>
      <c r="AT29" s="75">
        <f t="shared" si="30"/>
        <v>168.40765759999999</v>
      </c>
      <c r="AU29" s="75">
        <f t="shared" si="30"/>
        <v>185.48210280599997</v>
      </c>
      <c r="AV29" s="75">
        <f t="shared" si="30"/>
        <v>206.95282931465997</v>
      </c>
      <c r="AW29" s="75">
        <f t="shared" si="30"/>
        <v>194.234022635016</v>
      </c>
      <c r="AX29" s="75">
        <f t="shared" si="30"/>
        <v>183.32472519252215</v>
      </c>
      <c r="AY29" s="75">
        <f t="shared" si="30"/>
        <v>200.94021589100279</v>
      </c>
      <c r="AZ29" s="75">
        <f t="shared" si="30"/>
        <v>219.2225115775806</v>
      </c>
      <c r="BA29" s="75">
        <f t="shared" si="30"/>
        <v>238.24941058894595</v>
      </c>
    </row>
    <row r="30" spans="2:105">
      <c r="B30" s="1" t="s">
        <v>385</v>
      </c>
      <c r="C30" s="66">
        <v>16.393000000000001</v>
      </c>
      <c r="D30" s="66">
        <v>18.88</v>
      </c>
      <c r="E30" s="66">
        <v>23.08</v>
      </c>
      <c r="F30" s="66">
        <f>89.746-SUM(C30:E30)</f>
        <v>31.393000000000001</v>
      </c>
      <c r="G30" s="66">
        <v>36.898000000000003</v>
      </c>
      <c r="H30" s="66">
        <v>42.896999999999998</v>
      </c>
      <c r="I30" s="66">
        <v>56.103999999999999</v>
      </c>
      <c r="J30" s="66">
        <f>190.365-SUM(G30:I30)</f>
        <v>54.466000000000008</v>
      </c>
      <c r="K30" s="66">
        <v>63.731999999999999</v>
      </c>
      <c r="L30" s="66">
        <v>73.156000000000006</v>
      </c>
      <c r="M30" s="66">
        <v>75.832999999999998</v>
      </c>
      <c r="N30" s="66">
        <f>292.843-SUM(K30:M30)</f>
        <v>80.122000000000014</v>
      </c>
      <c r="O30" s="66">
        <v>85.7</v>
      </c>
      <c r="P30" s="66">
        <v>85.585999999999999</v>
      </c>
      <c r="Q30" s="66">
        <v>85.602999999999994</v>
      </c>
      <c r="R30" s="66">
        <f>361.063-SUM(O30:Q30)</f>
        <v>104.17399999999998</v>
      </c>
      <c r="S30" s="66">
        <v>103.05500000000001</v>
      </c>
      <c r="T30" s="66">
        <v>114.15300000000001</v>
      </c>
      <c r="U30" s="66">
        <v>108.27</v>
      </c>
      <c r="AM30" s="66">
        <f t="shared" si="23"/>
        <v>89.745999999999995</v>
      </c>
      <c r="AN30" s="66">
        <f t="shared" si="24"/>
        <v>190.36500000000001</v>
      </c>
      <c r="AO30" s="66">
        <f t="shared" si="25"/>
        <v>292.84300000000002</v>
      </c>
      <c r="AP30" s="66">
        <f t="shared" si="26"/>
        <v>361.06299999999999</v>
      </c>
      <c r="AQ30" s="75">
        <f>AQ26*AQ46</f>
        <v>442.23399999999998</v>
      </c>
      <c r="AR30" s="75">
        <f t="shared" ref="AR30:BA30" si="31">AR26*AR46</f>
        <v>511.25199999999995</v>
      </c>
      <c r="AS30" s="75">
        <f t="shared" si="31"/>
        <v>574.898324</v>
      </c>
      <c r="AT30" s="75">
        <f t="shared" si="31"/>
        <v>643.91163199999994</v>
      </c>
      <c r="AU30" s="75">
        <f t="shared" si="31"/>
        <v>685.72171340399984</v>
      </c>
      <c r="AV30" s="75">
        <f t="shared" si="31"/>
        <v>727.47055153031988</v>
      </c>
      <c r="AW30" s="75">
        <f t="shared" si="31"/>
        <v>763.06223178042001</v>
      </c>
      <c r="AX30" s="75">
        <f t="shared" si="31"/>
        <v>824.96126336634973</v>
      </c>
      <c r="AY30" s="75">
        <f t="shared" si="31"/>
        <v>887.48595351859569</v>
      </c>
      <c r="AZ30" s="75">
        <f t="shared" si="31"/>
        <v>949.96421683618257</v>
      </c>
      <c r="BA30" s="75">
        <f t="shared" si="31"/>
        <v>1012.5599950030204</v>
      </c>
    </row>
    <row r="31" spans="2:105">
      <c r="B31" s="1" t="s">
        <v>386</v>
      </c>
      <c r="C31" s="66">
        <v>0</v>
      </c>
      <c r="D31" s="66">
        <v>0</v>
      </c>
      <c r="E31" s="66">
        <v>0</v>
      </c>
      <c r="F31" s="66">
        <v>0</v>
      </c>
      <c r="G31" s="66">
        <v>0</v>
      </c>
      <c r="H31" s="66">
        <v>0</v>
      </c>
      <c r="I31" s="66">
        <v>0</v>
      </c>
      <c r="J31" s="66">
        <v>0</v>
      </c>
      <c r="K31" s="66">
        <v>0</v>
      </c>
      <c r="L31" s="66">
        <v>0</v>
      </c>
      <c r="M31" s="66">
        <v>0</v>
      </c>
      <c r="N31" s="66">
        <v>0</v>
      </c>
      <c r="O31" s="66">
        <v>0</v>
      </c>
      <c r="P31" s="66">
        <v>0</v>
      </c>
      <c r="Q31" s="66">
        <v>0</v>
      </c>
      <c r="R31" s="66">
        <f>0-SUM(O31:Q31)</f>
        <v>0</v>
      </c>
      <c r="S31" s="66">
        <v>6.3029999999999999</v>
      </c>
      <c r="T31" s="66">
        <v>5.7279999999999998</v>
      </c>
      <c r="U31" s="66">
        <v>6.5780000000000003</v>
      </c>
      <c r="AM31" s="66">
        <f t="shared" si="23"/>
        <v>0</v>
      </c>
      <c r="AN31" s="66">
        <f t="shared" si="24"/>
        <v>0</v>
      </c>
      <c r="AO31" s="66">
        <f t="shared" si="25"/>
        <v>0</v>
      </c>
      <c r="AP31" s="66">
        <f t="shared" si="26"/>
        <v>0</v>
      </c>
      <c r="AQ31" s="75">
        <v>0</v>
      </c>
      <c r="AR31" s="75">
        <v>0</v>
      </c>
      <c r="AS31" s="75">
        <v>0</v>
      </c>
      <c r="AT31" s="75">
        <v>0</v>
      </c>
      <c r="AU31" s="75">
        <v>0</v>
      </c>
      <c r="AV31" s="75">
        <v>0</v>
      </c>
      <c r="AW31" s="75">
        <v>0</v>
      </c>
      <c r="AX31" s="75">
        <v>0</v>
      </c>
      <c r="AY31" s="75">
        <v>0</v>
      </c>
      <c r="AZ31" s="75">
        <v>0</v>
      </c>
      <c r="BA31" s="75">
        <v>0</v>
      </c>
    </row>
    <row r="32" spans="2:105">
      <c r="B32" s="1" t="s">
        <v>387</v>
      </c>
      <c r="C32" s="66">
        <v>0</v>
      </c>
      <c r="D32" s="66">
        <v>0</v>
      </c>
      <c r="E32" s="66">
        <v>0</v>
      </c>
      <c r="F32" s="66">
        <v>0</v>
      </c>
      <c r="G32" s="66">
        <v>0</v>
      </c>
      <c r="H32" s="66">
        <v>3.5000000000000003E-2</v>
      </c>
      <c r="I32" s="66">
        <v>0</v>
      </c>
      <c r="J32" s="66">
        <v>0</v>
      </c>
      <c r="K32" s="66">
        <v>0</v>
      </c>
      <c r="L32" s="66">
        <v>0</v>
      </c>
      <c r="M32" s="66">
        <v>0</v>
      </c>
      <c r="N32" s="66">
        <v>0</v>
      </c>
      <c r="O32" s="66">
        <v>0</v>
      </c>
      <c r="P32" s="66">
        <v>0</v>
      </c>
      <c r="Q32" s="66">
        <v>0</v>
      </c>
      <c r="R32" s="66">
        <f>0-SUM(O32:Q32)</f>
        <v>0</v>
      </c>
      <c r="S32" s="66">
        <v>2.4609999999999999</v>
      </c>
      <c r="T32" s="66">
        <v>2.4489999999999998</v>
      </c>
      <c r="U32" s="66">
        <v>2.504</v>
      </c>
      <c r="AM32" s="66">
        <f t="shared" si="23"/>
        <v>0</v>
      </c>
      <c r="AN32" s="66">
        <f t="shared" si="24"/>
        <v>3.5000000000000003E-2</v>
      </c>
      <c r="AO32" s="66">
        <f t="shared" si="25"/>
        <v>0</v>
      </c>
      <c r="AP32" s="66">
        <f t="shared" si="26"/>
        <v>0</v>
      </c>
      <c r="AQ32" s="75">
        <v>0</v>
      </c>
      <c r="AR32" s="75">
        <v>0</v>
      </c>
      <c r="AS32" s="75">
        <v>0</v>
      </c>
      <c r="AT32" s="75">
        <v>0</v>
      </c>
      <c r="AU32" s="75">
        <v>0</v>
      </c>
      <c r="AV32" s="75">
        <v>0</v>
      </c>
      <c r="AW32" s="75">
        <v>0</v>
      </c>
      <c r="AX32" s="75">
        <v>0</v>
      </c>
      <c r="AY32" s="75">
        <v>0</v>
      </c>
      <c r="AZ32" s="75">
        <v>0</v>
      </c>
      <c r="BA32" s="75">
        <v>0</v>
      </c>
    </row>
    <row r="33" spans="2:105">
      <c r="B33" s="1" t="s">
        <v>388</v>
      </c>
      <c r="C33" s="66">
        <v>0</v>
      </c>
      <c r="D33" s="66">
        <v>0</v>
      </c>
      <c r="E33" s="66">
        <v>0</v>
      </c>
      <c r="F33" s="66">
        <v>0</v>
      </c>
      <c r="G33" s="66">
        <v>0</v>
      </c>
      <c r="H33" s="66">
        <v>0</v>
      </c>
      <c r="I33" s="66">
        <v>0</v>
      </c>
      <c r="J33" s="66">
        <v>0</v>
      </c>
      <c r="K33" s="66">
        <v>0</v>
      </c>
      <c r="L33" s="66">
        <v>0</v>
      </c>
      <c r="M33" s="66">
        <v>0</v>
      </c>
      <c r="N33" s="66">
        <v>0</v>
      </c>
      <c r="O33" s="66">
        <v>0</v>
      </c>
      <c r="P33" s="66">
        <v>0</v>
      </c>
      <c r="Q33" s="66">
        <v>2.681</v>
      </c>
      <c r="R33" s="66">
        <f>0-SUM(O33:Q33)</f>
        <v>-2.681</v>
      </c>
      <c r="S33" s="66">
        <v>2.7789999999999999</v>
      </c>
      <c r="T33" s="66">
        <v>1.036</v>
      </c>
      <c r="U33" s="66">
        <v>0.32800000000000001</v>
      </c>
      <c r="AM33" s="66">
        <f t="shared" si="23"/>
        <v>0</v>
      </c>
      <c r="AN33" s="66">
        <f t="shared" si="24"/>
        <v>0</v>
      </c>
      <c r="AO33" s="66">
        <f t="shared" si="25"/>
        <v>0</v>
      </c>
      <c r="AP33" s="66">
        <f t="shared" si="26"/>
        <v>0</v>
      </c>
      <c r="AQ33" s="75">
        <v>0</v>
      </c>
      <c r="AR33" s="75">
        <v>0</v>
      </c>
      <c r="AS33" s="75">
        <v>0</v>
      </c>
      <c r="AT33" s="75">
        <v>0</v>
      </c>
      <c r="AU33" s="75">
        <v>0</v>
      </c>
      <c r="AV33" s="75">
        <v>0</v>
      </c>
      <c r="AW33" s="75">
        <v>0</v>
      </c>
      <c r="AX33" s="75">
        <v>0</v>
      </c>
      <c r="AY33" s="75">
        <v>0</v>
      </c>
      <c r="AZ33" s="75">
        <v>0</v>
      </c>
      <c r="BA33" s="75">
        <v>0</v>
      </c>
    </row>
    <row r="34" spans="2:105">
      <c r="B34" s="1" t="s">
        <v>389</v>
      </c>
      <c r="C34" s="66">
        <f t="shared" ref="C34:T34" si="32">C28-SUM(C29:C33)</f>
        <v>4.8359999999999985</v>
      </c>
      <c r="D34" s="66">
        <f t="shared" si="32"/>
        <v>-0.60299999999999798</v>
      </c>
      <c r="E34" s="66">
        <f t="shared" si="32"/>
        <v>7.1900000000000048</v>
      </c>
      <c r="F34" s="66">
        <f t="shared" si="32"/>
        <v>6.9959999999999809</v>
      </c>
      <c r="G34" s="66">
        <f t="shared" si="32"/>
        <v>7.7129999999999939</v>
      </c>
      <c r="H34" s="66">
        <f t="shared" si="32"/>
        <v>4.0770000000000053</v>
      </c>
      <c r="I34" s="66">
        <f t="shared" si="32"/>
        <v>-2.7270000000000039</v>
      </c>
      <c r="J34" s="66">
        <f t="shared" si="32"/>
        <v>1.7459999999999809</v>
      </c>
      <c r="K34" s="66">
        <f t="shared" si="32"/>
        <v>-3.0820000000000078</v>
      </c>
      <c r="L34" s="66">
        <f t="shared" si="32"/>
        <v>-9.328000000000003</v>
      </c>
      <c r="M34" s="66">
        <f t="shared" si="32"/>
        <v>-9.798000000000016</v>
      </c>
      <c r="N34" s="66">
        <f t="shared" si="32"/>
        <v>-5.8910000000000053</v>
      </c>
      <c r="O34" s="66">
        <f t="shared" si="32"/>
        <v>-5.3370000000000033</v>
      </c>
      <c r="P34" s="66">
        <f t="shared" si="32"/>
        <v>-1.5099999999999909</v>
      </c>
      <c r="Q34" s="66">
        <f t="shared" si="32"/>
        <v>2.1069999999999993</v>
      </c>
      <c r="R34" s="66">
        <f t="shared" si="32"/>
        <v>-9.2869999999999919</v>
      </c>
      <c r="S34" s="66">
        <f t="shared" si="32"/>
        <v>-17.181000000000012</v>
      </c>
      <c r="T34" s="66">
        <f t="shared" si="32"/>
        <v>-22.448000000000036</v>
      </c>
      <c r="U34" s="66">
        <f>U28-SUM(U29:U33)</f>
        <v>-13.569999999999965</v>
      </c>
      <c r="AM34" s="66">
        <f t="shared" si="23"/>
        <v>18.418999999999986</v>
      </c>
      <c r="AN34" s="66">
        <f t="shared" si="24"/>
        <v>10.808999999999976</v>
      </c>
      <c r="AO34" s="66">
        <f t="shared" si="25"/>
        <v>-28.099000000000032</v>
      </c>
      <c r="AP34" s="66">
        <f t="shared" si="26"/>
        <v>-14.026999999999987</v>
      </c>
      <c r="AQ34" s="75">
        <f>AQ28-SUM(AQ29:AQ33)</f>
        <v>-29.078400000000101</v>
      </c>
      <c r="AR34" s="75">
        <f t="shared" ref="AR34:BA34" si="33">AR28-SUM(AR29:AR33)</f>
        <v>-29.214399999999955</v>
      </c>
      <c r="AS34" s="75">
        <f t="shared" si="33"/>
        <v>0</v>
      </c>
      <c r="AT34" s="75">
        <f t="shared" si="33"/>
        <v>9.9063327999999728</v>
      </c>
      <c r="AU34" s="75">
        <f t="shared" si="33"/>
        <v>61.827367601999981</v>
      </c>
      <c r="AV34" s="75">
        <f t="shared" si="33"/>
        <v>94.069467870299832</v>
      </c>
      <c r="AW34" s="75">
        <f t="shared" si="33"/>
        <v>180.36016387537177</v>
      </c>
      <c r="AX34" s="75">
        <f t="shared" si="33"/>
        <v>229.1559064906528</v>
      </c>
      <c r="AY34" s="75">
        <f t="shared" si="33"/>
        <v>267.92028785467028</v>
      </c>
      <c r="AZ34" s="75">
        <f t="shared" si="33"/>
        <v>292.29668210344084</v>
      </c>
      <c r="BA34" s="75">
        <f t="shared" si="33"/>
        <v>337.51999833434002</v>
      </c>
    </row>
    <row r="35" spans="2:105">
      <c r="B35" s="1" t="s">
        <v>390</v>
      </c>
      <c r="C35" s="66">
        <v>5.5E-2</v>
      </c>
      <c r="D35" s="66">
        <v>0.14599999999999999</v>
      </c>
      <c r="E35" s="66">
        <v>0.20799999999999999</v>
      </c>
      <c r="F35" s="66">
        <f>0.484-SUM(C35:E35)</f>
        <v>7.5000000000000011E-2</v>
      </c>
      <c r="G35" s="66">
        <v>6.8000000000000005E-2</v>
      </c>
      <c r="H35" s="66">
        <v>3.5000000000000003E-2</v>
      </c>
      <c r="I35" s="66">
        <v>2.7E-2</v>
      </c>
      <c r="J35" s="66">
        <f>0.154-SUM(G35:I35)</f>
        <v>2.3999999999999994E-2</v>
      </c>
      <c r="K35" s="66">
        <v>0.05</v>
      </c>
      <c r="L35" s="66">
        <v>0.214</v>
      </c>
      <c r="M35" s="66">
        <v>0.61799999999999999</v>
      </c>
      <c r="N35" s="66">
        <f>1.852-SUM(K35:M35)</f>
        <v>0.97000000000000008</v>
      </c>
      <c r="O35" s="66">
        <v>4.1449999999999996</v>
      </c>
      <c r="P35" s="66">
        <v>4.5519999999999996</v>
      </c>
      <c r="Q35" s="66">
        <v>4.2</v>
      </c>
      <c r="R35" s="66">
        <f>15.613-SUM(O35:Q35)</f>
        <v>2.7160000000000011</v>
      </c>
      <c r="S35" s="66">
        <v>1.1910000000000001</v>
      </c>
      <c r="T35" s="66">
        <v>1.0760000000000001</v>
      </c>
      <c r="U35" s="66">
        <v>1.1040000000000001</v>
      </c>
      <c r="AM35" s="66">
        <f t="shared" si="23"/>
        <v>0.48399999999999999</v>
      </c>
      <c r="AN35" s="66">
        <f t="shared" si="24"/>
        <v>0.154</v>
      </c>
      <c r="AO35" s="66">
        <f t="shared" si="25"/>
        <v>1.8520000000000001</v>
      </c>
      <c r="AP35" s="66">
        <f t="shared" si="26"/>
        <v>15.613</v>
      </c>
      <c r="AQ35" s="75">
        <f>AQ51*0.1</f>
        <v>4</v>
      </c>
      <c r="AR35" s="75">
        <f>AQ51*$AZ$53</f>
        <v>4.5</v>
      </c>
      <c r="AS35" s="75">
        <f t="shared" ref="AS35:BA35" si="34">AR51*$AZ$53</f>
        <v>2.3313114000000037</v>
      </c>
      <c r="AT35" s="75">
        <f t="shared" si="34"/>
        <v>2.5358839753500044</v>
      </c>
      <c r="AU35" s="75">
        <f t="shared" si="34"/>
        <v>3.6276884973869645</v>
      </c>
      <c r="AV35" s="75">
        <f t="shared" si="34"/>
        <v>9.3713696701081695</v>
      </c>
      <c r="AW35" s="75">
        <f t="shared" si="34"/>
        <v>18.448303164278975</v>
      </c>
      <c r="AX35" s="75">
        <f t="shared" si="34"/>
        <v>35.893746147008329</v>
      </c>
      <c r="AY35" s="75">
        <f t="shared" si="34"/>
        <v>59.15185316596309</v>
      </c>
      <c r="AZ35" s="75">
        <f t="shared" si="34"/>
        <v>87.852433540523677</v>
      </c>
      <c r="BA35" s="75">
        <f t="shared" si="34"/>
        <v>121.21051843828157</v>
      </c>
    </row>
    <row r="36" spans="2:105">
      <c r="B36" s="1" t="s">
        <v>414</v>
      </c>
      <c r="C36" s="66">
        <v>-0.34599999999999997</v>
      </c>
      <c r="D36" s="66">
        <v>-0.46300000000000002</v>
      </c>
      <c r="E36" s="66">
        <v>-0.251</v>
      </c>
      <c r="F36" s="66">
        <f>-1.135-SUM(C36:E36)</f>
        <v>-7.4999999999999956E-2</v>
      </c>
      <c r="G36" s="66">
        <v>-7.2999999999999995E-2</v>
      </c>
      <c r="H36" s="66">
        <v>-7.3999999999999996E-2</v>
      </c>
      <c r="I36" s="66">
        <v>-7.2999999999999995E-2</v>
      </c>
      <c r="J36" s="66">
        <f>-0.295-SUM(G36:I36)</f>
        <v>-7.5000000000000011E-2</v>
      </c>
      <c r="K36" s="66">
        <v>-7.2999999999999995E-2</v>
      </c>
      <c r="L36" s="66">
        <v>-7.2999999999999995E-2</v>
      </c>
      <c r="M36" s="66">
        <v>-7.3999999999999996E-2</v>
      </c>
      <c r="N36" s="66">
        <f>-0.294-SUM(K36:M36)</f>
        <v>-7.400000000000001E-2</v>
      </c>
      <c r="O36" s="66">
        <v>-0.04</v>
      </c>
      <c r="P36" s="66">
        <v>-4.3999999999999997E-2</v>
      </c>
      <c r="Q36" s="66">
        <v>-4.2999999999999997E-2</v>
      </c>
      <c r="R36" s="66">
        <f>-0.196-SUM(O36:Q36)</f>
        <v>-6.9000000000000006E-2</v>
      </c>
      <c r="S36" s="66">
        <v>-7.8E-2</v>
      </c>
      <c r="T36" s="66">
        <v>-7.6999999999999999E-2</v>
      </c>
      <c r="U36" s="66">
        <v>-7.8E-2</v>
      </c>
      <c r="AM36" s="66">
        <f t="shared" si="23"/>
        <v>-1.135</v>
      </c>
      <c r="AN36" s="66">
        <f t="shared" si="24"/>
        <v>-0.29499999999999998</v>
      </c>
      <c r="AO36" s="66">
        <f t="shared" si="25"/>
        <v>-0.29399999999999998</v>
      </c>
      <c r="AP36" s="66">
        <f t="shared" si="26"/>
        <v>-0.19600000000000001</v>
      </c>
      <c r="AQ36" s="75">
        <v>-0.3</v>
      </c>
      <c r="AR36" s="75">
        <v>0</v>
      </c>
      <c r="AS36" s="75">
        <v>0</v>
      </c>
      <c r="AT36" s="75">
        <v>0</v>
      </c>
      <c r="AU36" s="75">
        <v>0</v>
      </c>
      <c r="AV36" s="75">
        <v>0</v>
      </c>
      <c r="AW36" s="75">
        <v>0</v>
      </c>
      <c r="AX36" s="75">
        <v>0</v>
      </c>
      <c r="AY36" s="75">
        <v>0</v>
      </c>
      <c r="AZ36" s="75">
        <v>0</v>
      </c>
      <c r="BA36" s="75">
        <v>0</v>
      </c>
    </row>
    <row r="37" spans="2:105">
      <c r="B37" s="1" t="s">
        <v>406</v>
      </c>
      <c r="C37" s="66">
        <v>-0.433</v>
      </c>
      <c r="D37" s="66">
        <v>-2.8839999999999999</v>
      </c>
      <c r="E37" s="66">
        <v>-0.65100000000000002</v>
      </c>
      <c r="F37" s="66">
        <f>-3.317-0.662-SUM(C37:E37)</f>
        <v>-1.1000000000000121E-2</v>
      </c>
      <c r="G37" s="66">
        <v>-4.1000000000000002E-2</v>
      </c>
      <c r="H37" s="66">
        <v>7.0000000000000001E-3</v>
      </c>
      <c r="I37" s="66">
        <v>0.03</v>
      </c>
      <c r="J37" s="66">
        <f>-0.018-SUM(G37:I37)</f>
        <v>-1.3999999999999995E-2</v>
      </c>
      <c r="K37" s="66">
        <v>-2.4E-2</v>
      </c>
      <c r="L37" s="66">
        <v>0.252</v>
      </c>
      <c r="M37" s="66">
        <v>-5.8999999999999997E-2</v>
      </c>
      <c r="N37" s="66">
        <f>0.356-SUM(K37:M37)</f>
        <v>0.18699999999999997</v>
      </c>
      <c r="O37" s="66">
        <v>3.9E-2</v>
      </c>
      <c r="P37" s="66">
        <v>2.5999999999999999E-2</v>
      </c>
      <c r="Q37" s="66">
        <v>-0.68200000000000005</v>
      </c>
      <c r="R37" s="66">
        <f>2.861-SUM(O37:Q37)</f>
        <v>3.4780000000000002</v>
      </c>
      <c r="S37" s="66">
        <v>-2.3E-2</v>
      </c>
      <c r="T37" s="66">
        <v>2.3E-2</v>
      </c>
      <c r="U37" s="66">
        <v>-0.13</v>
      </c>
      <c r="AM37" s="66">
        <f t="shared" si="23"/>
        <v>-3.9790000000000001</v>
      </c>
      <c r="AN37" s="66">
        <f t="shared" si="24"/>
        <v>-1.7999999999999999E-2</v>
      </c>
      <c r="AO37" s="66">
        <f t="shared" si="25"/>
        <v>0.35599999999999998</v>
      </c>
      <c r="AP37" s="66">
        <f t="shared" si="26"/>
        <v>2.8610000000000002</v>
      </c>
      <c r="AQ37" s="75">
        <v>0.3</v>
      </c>
      <c r="AR37" s="75">
        <v>0</v>
      </c>
      <c r="AS37" s="75">
        <v>0</v>
      </c>
      <c r="AT37" s="75">
        <v>0</v>
      </c>
      <c r="AU37" s="75">
        <v>0</v>
      </c>
      <c r="AV37" s="75">
        <v>0</v>
      </c>
      <c r="AW37" s="75">
        <v>0</v>
      </c>
      <c r="AX37" s="75">
        <v>0</v>
      </c>
      <c r="AY37" s="75">
        <v>0</v>
      </c>
      <c r="AZ37" s="75">
        <v>0</v>
      </c>
      <c r="BA37" s="75">
        <v>0</v>
      </c>
    </row>
    <row r="38" spans="2:105">
      <c r="B38" s="1" t="s">
        <v>391</v>
      </c>
      <c r="C38" s="66">
        <f t="shared" ref="C38:T38" si="35">C34+SUM(C35:C37)</f>
        <v>4.1119999999999983</v>
      </c>
      <c r="D38" s="66">
        <f t="shared" si="35"/>
        <v>-3.803999999999998</v>
      </c>
      <c r="E38" s="66">
        <f t="shared" si="35"/>
        <v>6.4960000000000049</v>
      </c>
      <c r="F38" s="66">
        <f t="shared" si="35"/>
        <v>6.9849999999999808</v>
      </c>
      <c r="G38" s="66">
        <f t="shared" si="35"/>
        <v>7.6669999999999936</v>
      </c>
      <c r="H38" s="66">
        <f t="shared" si="35"/>
        <v>4.0450000000000053</v>
      </c>
      <c r="I38" s="66">
        <f t="shared" si="35"/>
        <v>-2.7430000000000039</v>
      </c>
      <c r="J38" s="66">
        <f t="shared" si="35"/>
        <v>1.680999999999981</v>
      </c>
      <c r="K38" s="66">
        <f t="shared" si="35"/>
        <v>-3.129000000000008</v>
      </c>
      <c r="L38" s="66">
        <f t="shared" si="35"/>
        <v>-8.9350000000000023</v>
      </c>
      <c r="M38" s="66">
        <f t="shared" si="35"/>
        <v>-9.3130000000000166</v>
      </c>
      <c r="N38" s="66">
        <f t="shared" si="35"/>
        <v>-4.8080000000000052</v>
      </c>
      <c r="O38" s="66">
        <f t="shared" si="35"/>
        <v>-1.1930000000000041</v>
      </c>
      <c r="P38" s="66">
        <f t="shared" si="35"/>
        <v>3.0240000000000089</v>
      </c>
      <c r="Q38" s="66">
        <f t="shared" si="35"/>
        <v>5.581999999999999</v>
      </c>
      <c r="R38" s="66">
        <f t="shared" si="35"/>
        <v>-3.1619999999999902</v>
      </c>
      <c r="S38" s="66">
        <f t="shared" si="35"/>
        <v>-16.091000000000012</v>
      </c>
      <c r="T38" s="66">
        <f t="shared" si="35"/>
        <v>-21.426000000000037</v>
      </c>
      <c r="U38" s="66">
        <f>U34+SUM(U35:U37)</f>
        <v>-12.673999999999964</v>
      </c>
      <c r="AM38" s="66">
        <f t="shared" si="23"/>
        <v>13.788999999999987</v>
      </c>
      <c r="AN38" s="66">
        <f t="shared" si="24"/>
        <v>10.649999999999977</v>
      </c>
      <c r="AO38" s="66">
        <f t="shared" si="25"/>
        <v>-26.185000000000031</v>
      </c>
      <c r="AP38" s="66">
        <f t="shared" si="26"/>
        <v>4.2510000000000137</v>
      </c>
      <c r="AQ38" s="75">
        <f>AQ34+SUM(AQ35:AQ37)</f>
        <v>-25.078400000000101</v>
      </c>
      <c r="AR38" s="75">
        <f t="shared" ref="AR38:BA38" si="36">AR34+SUM(AR35:AR37)</f>
        <v>-24.714399999999955</v>
      </c>
      <c r="AS38" s="75">
        <f t="shared" si="36"/>
        <v>2.3313114000000037</v>
      </c>
      <c r="AT38" s="75">
        <f t="shared" si="36"/>
        <v>12.442216775349976</v>
      </c>
      <c r="AU38" s="75">
        <f t="shared" si="36"/>
        <v>65.455056099386951</v>
      </c>
      <c r="AV38" s="75">
        <f t="shared" si="36"/>
        <v>103.440837540408</v>
      </c>
      <c r="AW38" s="75">
        <f t="shared" si="36"/>
        <v>198.80846703965074</v>
      </c>
      <c r="AX38" s="75">
        <f t="shared" si="36"/>
        <v>265.0496526376611</v>
      </c>
      <c r="AY38" s="75">
        <f t="shared" si="36"/>
        <v>327.07214102063335</v>
      </c>
      <c r="AZ38" s="75">
        <f t="shared" si="36"/>
        <v>380.14911564396454</v>
      </c>
      <c r="BA38" s="75">
        <f t="shared" si="36"/>
        <v>458.73051677262157</v>
      </c>
    </row>
    <row r="39" spans="2:105">
      <c r="B39" s="1" t="s">
        <v>392</v>
      </c>
      <c r="C39" s="66">
        <v>0</v>
      </c>
      <c r="D39" s="66">
        <v>0</v>
      </c>
      <c r="E39" s="66">
        <v>0</v>
      </c>
      <c r="F39" s="66">
        <v>0</v>
      </c>
      <c r="G39" s="66">
        <v>0.19800000000000001</v>
      </c>
      <c r="H39" s="66">
        <v>1.2E-2</v>
      </c>
      <c r="I39" s="66">
        <v>6.0999999999999999E-2</v>
      </c>
      <c r="J39" s="66">
        <f>0.845-SUM(G39:I39)</f>
        <v>0.57399999999999995</v>
      </c>
      <c r="K39" s="66">
        <v>0</v>
      </c>
      <c r="L39" s="66">
        <v>1.252</v>
      </c>
      <c r="M39" s="66">
        <v>0.84</v>
      </c>
      <c r="N39" s="66">
        <f>3.082-SUM(K39:M39)</f>
        <v>0.98999999999999977</v>
      </c>
      <c r="O39" s="66">
        <v>1.024</v>
      </c>
      <c r="P39" s="66">
        <v>0.93899999999999995</v>
      </c>
      <c r="Q39" s="66">
        <v>2.4279999999999999</v>
      </c>
      <c r="R39" s="66">
        <f>5.882-SUM(O39:Q39)</f>
        <v>1.4909999999999997</v>
      </c>
      <c r="S39" s="66">
        <v>8.1150000000000002</v>
      </c>
      <c r="T39" s="66">
        <v>9.9260000000000002</v>
      </c>
      <c r="U39" s="66">
        <v>5.6950000000000003</v>
      </c>
      <c r="AM39" s="66">
        <f t="shared" si="23"/>
        <v>0</v>
      </c>
      <c r="AN39" s="66">
        <f t="shared" si="24"/>
        <v>0.84499999999999997</v>
      </c>
      <c r="AO39" s="66">
        <f t="shared" si="25"/>
        <v>3.0819999999999999</v>
      </c>
      <c r="AP39" s="66">
        <f t="shared" si="26"/>
        <v>5.8819999999999997</v>
      </c>
      <c r="AQ39" s="75">
        <v>28.5</v>
      </c>
      <c r="AR39" s="75">
        <f>AR38*AR48</f>
        <v>-5.43716799999999</v>
      </c>
      <c r="AS39" s="75">
        <f t="shared" ref="AS39:BA39" si="37">AS38*AS48</f>
        <v>0.51288850800000085</v>
      </c>
      <c r="AT39" s="75">
        <f t="shared" si="37"/>
        <v>2.7372876905769949</v>
      </c>
      <c r="AU39" s="75">
        <f t="shared" si="37"/>
        <v>14.40011234186513</v>
      </c>
      <c r="AV39" s="75">
        <f t="shared" si="37"/>
        <v>22.756984258889759</v>
      </c>
      <c r="AW39" s="75">
        <f t="shared" si="37"/>
        <v>43.73786274872316</v>
      </c>
      <c r="AX39" s="75">
        <f t="shared" si="37"/>
        <v>58.31092358028544</v>
      </c>
      <c r="AY39" s="75">
        <f t="shared" si="37"/>
        <v>71.955871024539334</v>
      </c>
      <c r="AZ39" s="75">
        <f t="shared" si="37"/>
        <v>83.632805441672204</v>
      </c>
      <c r="BA39" s="75">
        <f t="shared" si="37"/>
        <v>100.92071368997675</v>
      </c>
    </row>
    <row r="40" spans="2:105" s="2" customFormat="1" ht="15">
      <c r="B40" s="2" t="s">
        <v>72</v>
      </c>
      <c r="C40" s="70">
        <f t="shared" ref="C40:T40" si="38">C38-C39</f>
        <v>4.1119999999999983</v>
      </c>
      <c r="D40" s="70">
        <f t="shared" si="38"/>
        <v>-3.803999999999998</v>
      </c>
      <c r="E40" s="70">
        <f t="shared" si="38"/>
        <v>6.4960000000000049</v>
      </c>
      <c r="F40" s="70">
        <f t="shared" si="38"/>
        <v>6.9849999999999808</v>
      </c>
      <c r="G40" s="70">
        <f t="shared" si="38"/>
        <v>7.4689999999999932</v>
      </c>
      <c r="H40" s="70">
        <f t="shared" si="38"/>
        <v>4.0330000000000057</v>
      </c>
      <c r="I40" s="70">
        <f t="shared" si="38"/>
        <v>-2.8040000000000038</v>
      </c>
      <c r="J40" s="70">
        <f t="shared" si="38"/>
        <v>1.1069999999999811</v>
      </c>
      <c r="K40" s="70">
        <f t="shared" si="38"/>
        <v>-3.129000000000008</v>
      </c>
      <c r="L40" s="70">
        <f t="shared" si="38"/>
        <v>-10.187000000000003</v>
      </c>
      <c r="M40" s="70">
        <f t="shared" si="38"/>
        <v>-10.153000000000016</v>
      </c>
      <c r="N40" s="70">
        <f t="shared" si="38"/>
        <v>-5.7980000000000054</v>
      </c>
      <c r="O40" s="70">
        <f t="shared" si="38"/>
        <v>-2.2170000000000041</v>
      </c>
      <c r="P40" s="70">
        <f t="shared" si="38"/>
        <v>2.0850000000000088</v>
      </c>
      <c r="Q40" s="70">
        <f t="shared" si="38"/>
        <v>3.153999999999999</v>
      </c>
      <c r="R40" s="70">
        <f t="shared" si="38"/>
        <v>-4.6529999999999898</v>
      </c>
      <c r="S40" s="70">
        <f t="shared" si="38"/>
        <v>-24.20600000000001</v>
      </c>
      <c r="T40" s="70">
        <f t="shared" si="38"/>
        <v>-31.352000000000039</v>
      </c>
      <c r="U40" s="70">
        <f>U38-U39</f>
        <v>-18.368999999999964</v>
      </c>
      <c r="X40" s="34"/>
      <c r="Y40" s="34"/>
      <c r="Z40" s="34"/>
      <c r="AA40" s="34"/>
      <c r="AB40" s="34"/>
      <c r="AC40" s="34"/>
      <c r="AD40" s="34"/>
      <c r="AM40" s="70">
        <f t="shared" si="23"/>
        <v>13.788999999999987</v>
      </c>
      <c r="AN40" s="70">
        <f t="shared" si="24"/>
        <v>9.8049999999999766</v>
      </c>
      <c r="AO40" s="70">
        <f t="shared" si="25"/>
        <v>-29.267000000000035</v>
      </c>
      <c r="AP40" s="70">
        <f t="shared" si="26"/>
        <v>-1.630999999999986</v>
      </c>
      <c r="AQ40" s="76">
        <f>AQ38-AQ39</f>
        <v>-53.578400000000101</v>
      </c>
      <c r="AR40" s="76">
        <f t="shared" ref="AR40:BA40" si="39">AR38-AR39</f>
        <v>-19.277231999999966</v>
      </c>
      <c r="AS40" s="76">
        <f t="shared" si="39"/>
        <v>1.8184228920000027</v>
      </c>
      <c r="AT40" s="76">
        <f t="shared" si="39"/>
        <v>9.7049290847729814</v>
      </c>
      <c r="AU40" s="76">
        <f t="shared" si="39"/>
        <v>51.054943757521819</v>
      </c>
      <c r="AV40" s="76">
        <f t="shared" si="39"/>
        <v>80.683853281518239</v>
      </c>
      <c r="AW40" s="76">
        <f t="shared" si="39"/>
        <v>155.07060429092758</v>
      </c>
      <c r="AX40" s="76">
        <f t="shared" si="39"/>
        <v>206.73872905737565</v>
      </c>
      <c r="AY40" s="76">
        <f t="shared" si="39"/>
        <v>255.11626999609402</v>
      </c>
      <c r="AZ40" s="76">
        <f t="shared" si="39"/>
        <v>296.51631020229235</v>
      </c>
      <c r="BA40" s="76">
        <f t="shared" si="39"/>
        <v>357.80980308264481</v>
      </c>
      <c r="BB40" s="76">
        <f>BA40*(1+$AZ$54)</f>
        <v>370.33314619053732</v>
      </c>
      <c r="BC40" s="76">
        <f t="shared" ref="BC40:CY40" si="40">BB40*(1+$AZ$54)</f>
        <v>383.2948063072061</v>
      </c>
      <c r="BD40" s="76">
        <f t="shared" si="40"/>
        <v>396.71012452795827</v>
      </c>
      <c r="BE40" s="76">
        <f t="shared" si="40"/>
        <v>410.59497888643676</v>
      </c>
      <c r="BF40" s="76">
        <f t="shared" si="40"/>
        <v>424.965803147462</v>
      </c>
      <c r="BG40" s="76">
        <f t="shared" si="40"/>
        <v>439.83960625762313</v>
      </c>
      <c r="BH40" s="76">
        <f t="shared" si="40"/>
        <v>455.23399247663991</v>
      </c>
      <c r="BI40" s="76">
        <f t="shared" si="40"/>
        <v>471.16718221332229</v>
      </c>
      <c r="BJ40" s="76">
        <f t="shared" si="40"/>
        <v>487.65803359078853</v>
      </c>
      <c r="BK40" s="76">
        <f t="shared" si="40"/>
        <v>504.7260647664661</v>
      </c>
      <c r="BL40" s="76">
        <f t="shared" si="40"/>
        <v>522.3914770332924</v>
      </c>
      <c r="BM40" s="76">
        <f t="shared" si="40"/>
        <v>540.67517872945757</v>
      </c>
      <c r="BN40" s="76">
        <f t="shared" si="40"/>
        <v>559.59880998498852</v>
      </c>
      <c r="BO40" s="76">
        <f t="shared" si="40"/>
        <v>579.18476833446312</v>
      </c>
      <c r="BP40" s="76">
        <f t="shared" si="40"/>
        <v>599.45623522616927</v>
      </c>
      <c r="BQ40" s="76">
        <f t="shared" si="40"/>
        <v>620.43720345908514</v>
      </c>
      <c r="BR40" s="76">
        <f t="shared" si="40"/>
        <v>642.15250558015305</v>
      </c>
      <c r="BS40" s="76">
        <f t="shared" si="40"/>
        <v>664.6278432754583</v>
      </c>
      <c r="BT40" s="76">
        <f t="shared" si="40"/>
        <v>687.8898177900993</v>
      </c>
      <c r="BU40" s="76">
        <f t="shared" si="40"/>
        <v>711.96596141275268</v>
      </c>
      <c r="BV40" s="76">
        <f t="shared" si="40"/>
        <v>736.88477006219898</v>
      </c>
      <c r="BW40" s="76">
        <f t="shared" si="40"/>
        <v>762.67573701437584</v>
      </c>
      <c r="BX40" s="76">
        <f t="shared" si="40"/>
        <v>789.36938780987896</v>
      </c>
      <c r="BY40" s="76">
        <f t="shared" si="40"/>
        <v>816.99731638322464</v>
      </c>
      <c r="BZ40" s="76">
        <f t="shared" si="40"/>
        <v>845.59222245663739</v>
      </c>
      <c r="CA40" s="76">
        <f t="shared" si="40"/>
        <v>875.18795024261965</v>
      </c>
      <c r="CB40" s="76">
        <f t="shared" si="40"/>
        <v>905.81952850111122</v>
      </c>
      <c r="CC40" s="76">
        <f t="shared" si="40"/>
        <v>937.52321199865003</v>
      </c>
      <c r="CD40" s="76">
        <f t="shared" si="40"/>
        <v>970.33652441860272</v>
      </c>
      <c r="CE40" s="76">
        <f t="shared" si="40"/>
        <v>1004.2983027732538</v>
      </c>
      <c r="CF40" s="76">
        <f t="shared" si="40"/>
        <v>1039.4487433703175</v>
      </c>
      <c r="CG40" s="76">
        <f t="shared" si="40"/>
        <v>1075.8294493882786</v>
      </c>
      <c r="CH40" s="76">
        <f t="shared" si="40"/>
        <v>1113.4834801168683</v>
      </c>
      <c r="CI40" s="76">
        <f t="shared" si="40"/>
        <v>1152.4554019209586</v>
      </c>
      <c r="CJ40" s="76">
        <f t="shared" si="40"/>
        <v>1192.7913409881921</v>
      </c>
      <c r="CK40" s="76">
        <f t="shared" si="40"/>
        <v>1234.5390379227788</v>
      </c>
      <c r="CL40" s="76">
        <f t="shared" si="40"/>
        <v>1277.7479042500759</v>
      </c>
      <c r="CM40" s="76">
        <f t="shared" si="40"/>
        <v>1322.4690808988285</v>
      </c>
      <c r="CN40" s="76">
        <f t="shared" si="40"/>
        <v>1368.7554987302874</v>
      </c>
      <c r="CO40" s="76">
        <f t="shared" si="40"/>
        <v>1416.6619411858474</v>
      </c>
      <c r="CP40" s="76">
        <f t="shared" si="40"/>
        <v>1466.245109127352</v>
      </c>
      <c r="CQ40" s="76">
        <f t="shared" si="40"/>
        <v>1517.5636879468091</v>
      </c>
      <c r="CR40" s="76">
        <f t="shared" si="40"/>
        <v>1570.6784170249473</v>
      </c>
      <c r="CS40" s="76">
        <f t="shared" si="40"/>
        <v>1625.6521616208204</v>
      </c>
      <c r="CT40" s="76">
        <f t="shared" si="40"/>
        <v>1682.549987277549</v>
      </c>
      <c r="CU40" s="76">
        <f t="shared" si="40"/>
        <v>1741.4392368322631</v>
      </c>
      <c r="CV40" s="76">
        <f t="shared" si="40"/>
        <v>1802.3896101213923</v>
      </c>
      <c r="CW40" s="76">
        <f t="shared" si="40"/>
        <v>1865.4732464756407</v>
      </c>
      <c r="CX40" s="76">
        <f t="shared" si="40"/>
        <v>1930.764810102288</v>
      </c>
      <c r="CY40" s="76">
        <f t="shared" si="40"/>
        <v>1998.3415784558679</v>
      </c>
      <c r="CZ40" s="74"/>
      <c r="DA40" s="74"/>
    </row>
    <row r="41" spans="2:105">
      <c r="B41" s="1" t="s">
        <v>76</v>
      </c>
      <c r="C41" s="66">
        <v>6.3979999999999997</v>
      </c>
      <c r="D41" s="66">
        <v>24.295000000000002</v>
      </c>
      <c r="E41" s="66">
        <v>48.335000000000001</v>
      </c>
      <c r="F41" s="66">
        <v>32.033000000000001</v>
      </c>
      <c r="G41" s="66">
        <v>49.354999999999997</v>
      </c>
      <c r="H41" s="66">
        <v>49.668999999999997</v>
      </c>
      <c r="I41" s="66">
        <v>50</v>
      </c>
      <c r="J41" s="66">
        <v>49.814999999999998</v>
      </c>
      <c r="K41" s="66">
        <v>50.954000000000001</v>
      </c>
      <c r="L41" s="66">
        <v>53.183</v>
      </c>
      <c r="M41" s="66">
        <v>53.491</v>
      </c>
      <c r="N41" s="66">
        <v>52.837000000000003</v>
      </c>
      <c r="O41" s="66">
        <v>58.36</v>
      </c>
      <c r="P41" s="66">
        <v>57.207000000000001</v>
      </c>
      <c r="Q41" s="66">
        <v>57.38</v>
      </c>
      <c r="R41" s="66">
        <v>56.77</v>
      </c>
      <c r="S41" s="66">
        <v>57.938000000000002</v>
      </c>
      <c r="T41" s="66">
        <v>58.142000000000003</v>
      </c>
      <c r="U41" s="66">
        <v>58.36</v>
      </c>
      <c r="AM41" s="66">
        <f>AVERAGE(C41:F41)</f>
        <v>27.765250000000002</v>
      </c>
      <c r="AN41" s="66">
        <f>AVERAGE(G41:J41)</f>
        <v>49.70975</v>
      </c>
      <c r="AO41" s="66">
        <f>AVERAGE(K41:N41)</f>
        <v>52.616249999999994</v>
      </c>
      <c r="AP41" s="66">
        <f>AVERAGE(O41:R41)</f>
        <v>57.429250000000003</v>
      </c>
      <c r="AQ41" s="75">
        <v>58.4</v>
      </c>
      <c r="AR41" s="75">
        <v>58.4</v>
      </c>
      <c r="AS41" s="75">
        <v>58.4</v>
      </c>
      <c r="AT41" s="75">
        <v>58.4</v>
      </c>
      <c r="AU41" s="75">
        <v>58.4</v>
      </c>
      <c r="AV41" s="75">
        <v>58.4</v>
      </c>
      <c r="AW41" s="75">
        <v>58.4</v>
      </c>
      <c r="AX41" s="75">
        <v>58.4</v>
      </c>
      <c r="AY41" s="75">
        <v>58.4</v>
      </c>
      <c r="AZ41" s="75">
        <v>58.4</v>
      </c>
      <c r="BA41" s="75">
        <v>58.4</v>
      </c>
    </row>
    <row r="42" spans="2:105">
      <c r="B42" s="1" t="s">
        <v>393</v>
      </c>
      <c r="C42" s="40">
        <f t="shared" ref="C42:T42" si="41">C40/C41</f>
        <v>0.64270084401375405</v>
      </c>
      <c r="D42" s="40">
        <f t="shared" si="41"/>
        <v>-0.15657542704260127</v>
      </c>
      <c r="E42" s="40">
        <f t="shared" si="41"/>
        <v>0.13439536567704571</v>
      </c>
      <c r="F42" s="40">
        <f t="shared" si="41"/>
        <v>0.21805637935878563</v>
      </c>
      <c r="G42" s="40">
        <f t="shared" si="41"/>
        <v>0.15133218518893715</v>
      </c>
      <c r="H42" s="40">
        <f t="shared" si="41"/>
        <v>8.1197527632930117E-2</v>
      </c>
      <c r="I42" s="40">
        <f t="shared" si="41"/>
        <v>-5.6080000000000074E-2</v>
      </c>
      <c r="J42" s="40">
        <f t="shared" si="41"/>
        <v>2.2222222222221845E-2</v>
      </c>
      <c r="K42" s="40">
        <f t="shared" si="41"/>
        <v>-6.1408329081132154E-2</v>
      </c>
      <c r="L42" s="40">
        <f t="shared" si="41"/>
        <v>-0.19154617076885477</v>
      </c>
      <c r="M42" s="40">
        <f t="shared" si="41"/>
        <v>-0.18980763119029401</v>
      </c>
      <c r="N42" s="40">
        <f t="shared" si="41"/>
        <v>-0.10973370933247545</v>
      </c>
      <c r="O42" s="40">
        <f t="shared" si="41"/>
        <v>-3.7988348183687529E-2</v>
      </c>
      <c r="P42" s="40">
        <f t="shared" si="41"/>
        <v>3.644658870417971E-2</v>
      </c>
      <c r="Q42" s="40">
        <f t="shared" si="41"/>
        <v>5.4966887417218523E-2</v>
      </c>
      <c r="R42" s="40">
        <f t="shared" si="41"/>
        <v>-8.1962304033820502E-2</v>
      </c>
      <c r="S42" s="40">
        <f t="shared" si="41"/>
        <v>-0.41779143222064979</v>
      </c>
      <c r="T42" s="40">
        <f t="shared" si="41"/>
        <v>-0.5392315365828495</v>
      </c>
      <c r="U42" s="40">
        <f>U40/U41</f>
        <v>-0.31475325565455731</v>
      </c>
      <c r="AM42" s="40">
        <f t="shared" si="23"/>
        <v>0.83857716200698407</v>
      </c>
      <c r="AN42" s="40">
        <f t="shared" si="24"/>
        <v>0.19867193504408903</v>
      </c>
      <c r="AO42" s="40">
        <f t="shared" si="25"/>
        <v>-0.55249584037275645</v>
      </c>
      <c r="AP42" s="40">
        <f t="shared" si="26"/>
        <v>-2.8537176096109798E-2</v>
      </c>
      <c r="AQ42" s="78">
        <f>AQ40/AQ41</f>
        <v>-0.91743835616438529</v>
      </c>
      <c r="AR42" s="78">
        <f t="shared" ref="AR42:BA42" si="42">AR40/AR41</f>
        <v>-0.33008958904109531</v>
      </c>
      <c r="AS42" s="78">
        <f t="shared" si="42"/>
        <v>3.1137378287671279E-2</v>
      </c>
      <c r="AT42" s="78">
        <f t="shared" si="42"/>
        <v>0.16618029254748257</v>
      </c>
      <c r="AU42" s="78">
        <f t="shared" si="42"/>
        <v>0.87422848899866135</v>
      </c>
      <c r="AV42" s="78">
        <f t="shared" si="42"/>
        <v>1.3815728301629835</v>
      </c>
      <c r="AW42" s="78">
        <f t="shared" si="42"/>
        <v>2.6553185666254722</v>
      </c>
      <c r="AX42" s="78">
        <f t="shared" si="42"/>
        <v>3.5400467304345145</v>
      </c>
      <c r="AY42" s="78">
        <f t="shared" si="42"/>
        <v>4.3684292807550351</v>
      </c>
      <c r="AZ42" s="78">
        <f t="shared" si="42"/>
        <v>5.0773340788063761</v>
      </c>
      <c r="BA42" s="78">
        <f t="shared" si="42"/>
        <v>6.126880189771315</v>
      </c>
    </row>
    <row r="44" spans="2:105">
      <c r="B44" s="37" t="s">
        <v>57</v>
      </c>
      <c r="C44" s="67">
        <f t="shared" ref="C44:T44" si="43">C28/C26</f>
        <v>0.89960301265165288</v>
      </c>
      <c r="D44" s="67">
        <f t="shared" si="43"/>
        <v>0.86267328292375556</v>
      </c>
      <c r="E44" s="67">
        <f t="shared" si="43"/>
        <v>0.91662146454862459</v>
      </c>
      <c r="F44" s="67">
        <f t="shared" si="43"/>
        <v>0.92419255297263936</v>
      </c>
      <c r="G44" s="67">
        <f t="shared" si="43"/>
        <v>0.91945572068226566</v>
      </c>
      <c r="H44" s="67">
        <f t="shared" si="43"/>
        <v>0.92413282271917796</v>
      </c>
      <c r="I44" s="67">
        <f t="shared" si="43"/>
        <v>0.90345054583356177</v>
      </c>
      <c r="J44" s="67">
        <f t="shared" si="43"/>
        <v>0.90050229517652425</v>
      </c>
      <c r="K44" s="67">
        <f t="shared" si="43"/>
        <v>0.88510927701955</v>
      </c>
      <c r="L44" s="67">
        <f t="shared" si="43"/>
        <v>0.88843483136375401</v>
      </c>
      <c r="M44" s="67">
        <f t="shared" si="43"/>
        <v>0.88499438692777843</v>
      </c>
      <c r="N44" s="67">
        <f t="shared" si="43"/>
        <v>0.8781861539746314</v>
      </c>
      <c r="O44" s="67">
        <f t="shared" si="43"/>
        <v>0.88171441360787828</v>
      </c>
      <c r="P44" s="67">
        <f t="shared" si="43"/>
        <v>0.8836687534137222</v>
      </c>
      <c r="Q44" s="67">
        <f t="shared" si="43"/>
        <v>0.88543051598607148</v>
      </c>
      <c r="R44" s="67">
        <f t="shared" si="43"/>
        <v>0.87126809180645548</v>
      </c>
      <c r="S44" s="67">
        <f t="shared" si="43"/>
        <v>0.86805642852154474</v>
      </c>
      <c r="T44" s="67">
        <f t="shared" si="43"/>
        <v>0.86288884621715034</v>
      </c>
      <c r="U44" s="67">
        <f>U28/U26</f>
        <v>0.87059130321402967</v>
      </c>
      <c r="AM44" s="67">
        <f t="shared" ref="AM44:AP44" si="44">AM28/AM26</f>
        <v>0.90616453067945879</v>
      </c>
      <c r="AN44" s="67">
        <f t="shared" si="44"/>
        <v>0.91061938595731162</v>
      </c>
      <c r="AO44" s="67">
        <f t="shared" si="44"/>
        <v>0.8839390723157684</v>
      </c>
      <c r="AP44" s="67">
        <f t="shared" si="44"/>
        <v>0.88034122239621415</v>
      </c>
      <c r="AQ44" s="77">
        <v>0.86699999999999999</v>
      </c>
      <c r="AR44" s="77">
        <v>0.84</v>
      </c>
      <c r="AS44" s="77">
        <v>0.84</v>
      </c>
      <c r="AT44" s="77">
        <v>0.83</v>
      </c>
      <c r="AU44" s="77">
        <v>0.83</v>
      </c>
      <c r="AV44" s="77">
        <v>0.82</v>
      </c>
      <c r="AW44" s="77">
        <v>0.82</v>
      </c>
      <c r="AX44" s="77">
        <v>0.81</v>
      </c>
      <c r="AY44" s="77">
        <v>0.81</v>
      </c>
      <c r="AZ44" s="77">
        <v>0.8</v>
      </c>
      <c r="BA44" s="77">
        <v>0.8</v>
      </c>
    </row>
    <row r="45" spans="2:105">
      <c r="B45" s="37" t="s">
        <v>58</v>
      </c>
      <c r="C45" s="67">
        <f t="shared" ref="C45:T45" si="45">C29/C26</f>
        <v>0.11197269320669313</v>
      </c>
      <c r="D45" s="67">
        <f t="shared" si="45"/>
        <v>0.14287964713295526</v>
      </c>
      <c r="E45" s="67">
        <f t="shared" si="45"/>
        <v>0.13475397132894226</v>
      </c>
      <c r="F45" s="67">
        <f t="shared" si="45"/>
        <v>0.13445793046698218</v>
      </c>
      <c r="G45" s="67">
        <f t="shared" si="45"/>
        <v>0.1422199766538321</v>
      </c>
      <c r="H45" s="67">
        <f t="shared" si="45"/>
        <v>0.1832852662600665</v>
      </c>
      <c r="I45" s="67">
        <f t="shared" si="45"/>
        <v>0.17141642437873719</v>
      </c>
      <c r="J45" s="67">
        <f t="shared" si="45"/>
        <v>0.22502343243048381</v>
      </c>
      <c r="K45" s="67">
        <f t="shared" si="45"/>
        <v>0.18598994835853933</v>
      </c>
      <c r="L45" s="67">
        <f t="shared" si="45"/>
        <v>0.20021780384714913</v>
      </c>
      <c r="M45" s="67">
        <f t="shared" si="45"/>
        <v>0.1985884162820673</v>
      </c>
      <c r="N45" s="67">
        <f t="shared" si="45"/>
        <v>0.18940160154401464</v>
      </c>
      <c r="O45" s="67">
        <f t="shared" si="45"/>
        <v>0.1899318228772123</v>
      </c>
      <c r="P45" s="67">
        <f t="shared" si="45"/>
        <v>0.17717742951976809</v>
      </c>
      <c r="Q45" s="67">
        <f t="shared" si="45"/>
        <v>0.17008547008547009</v>
      </c>
      <c r="R45" s="67">
        <f t="shared" si="45"/>
        <v>0.17328771271119722</v>
      </c>
      <c r="S45" s="67">
        <f t="shared" si="45"/>
        <v>0.18772260632725749</v>
      </c>
      <c r="T45" s="67">
        <f t="shared" si="45"/>
        <v>0.17079744335326716</v>
      </c>
      <c r="U45" s="67">
        <f>U29/U26</f>
        <v>0.19186387639350672</v>
      </c>
      <c r="AM45" s="67">
        <f t="shared" ref="AM45:AP45" si="46">AM29/AM26</f>
        <v>0.13173193957184795</v>
      </c>
      <c r="AN45" s="67">
        <f t="shared" si="46"/>
        <v>0.18419114461485142</v>
      </c>
      <c r="AO45" s="67">
        <f t="shared" si="46"/>
        <v>0.19355049012832784</v>
      </c>
      <c r="AP45" s="67">
        <f t="shared" si="46"/>
        <v>0.17732260750308426</v>
      </c>
      <c r="AQ45" s="77">
        <v>0.185</v>
      </c>
      <c r="AR45" s="77">
        <v>0.18</v>
      </c>
      <c r="AS45" s="77">
        <v>0.17</v>
      </c>
      <c r="AT45" s="77">
        <v>0.17</v>
      </c>
      <c r="AU45" s="77">
        <v>0.16500000000000001</v>
      </c>
      <c r="AV45" s="77">
        <v>0.16500000000000001</v>
      </c>
      <c r="AW45" s="77">
        <v>0.14000000000000001</v>
      </c>
      <c r="AX45" s="77">
        <v>0.12</v>
      </c>
      <c r="AY45" s="77">
        <v>0.12</v>
      </c>
      <c r="AZ45" s="77">
        <v>0.12</v>
      </c>
      <c r="BA45" s="77">
        <v>0.12</v>
      </c>
    </row>
    <row r="46" spans="2:105">
      <c r="B46" s="37" t="s">
        <v>59</v>
      </c>
      <c r="C46" s="67">
        <f t="shared" ref="C46:T46" si="47">C30/C26</f>
        <v>0.60820687864059664</v>
      </c>
      <c r="D46" s="67">
        <f t="shared" si="47"/>
        <v>0.74354127284183991</v>
      </c>
      <c r="E46" s="67">
        <f t="shared" si="47"/>
        <v>0.59615136252098655</v>
      </c>
      <c r="F46" s="67">
        <f t="shared" si="47"/>
        <v>0.64581361859699671</v>
      </c>
      <c r="G46" s="67">
        <f t="shared" si="47"/>
        <v>0.64285589839190205</v>
      </c>
      <c r="H46" s="67">
        <f t="shared" si="47"/>
        <v>0.67604368587773622</v>
      </c>
      <c r="I46" s="67">
        <f t="shared" si="47"/>
        <v>0.76943332053321634</v>
      </c>
      <c r="J46" s="67">
        <f t="shared" si="47"/>
        <v>0.65449782498978604</v>
      </c>
      <c r="K46" s="67">
        <f t="shared" si="47"/>
        <v>0.73464588712652157</v>
      </c>
      <c r="L46" s="67">
        <f t="shared" si="47"/>
        <v>0.78879496247735714</v>
      </c>
      <c r="M46" s="67">
        <f t="shared" si="47"/>
        <v>0.78825204773190305</v>
      </c>
      <c r="N46" s="67">
        <f t="shared" si="47"/>
        <v>0.7434467528370341</v>
      </c>
      <c r="O46" s="67">
        <f t="shared" si="47"/>
        <v>0.73772467460918667</v>
      </c>
      <c r="P46" s="67">
        <f t="shared" si="47"/>
        <v>0.71917986639216847</v>
      </c>
      <c r="Q46" s="67">
        <f t="shared" si="47"/>
        <v>0.6774533080088635</v>
      </c>
      <c r="R46" s="67">
        <f t="shared" si="47"/>
        <v>0.78857566765578624</v>
      </c>
      <c r="S46" s="67">
        <f t="shared" si="47"/>
        <v>0.71970808017319654</v>
      </c>
      <c r="T46" s="67">
        <f t="shared" si="47"/>
        <v>0.78285647665551128</v>
      </c>
      <c r="U46" s="67">
        <f>U30/U26</f>
        <v>0.70584783884216695</v>
      </c>
      <c r="AM46" s="67">
        <f t="shared" ref="AM46:AP46" si="48">AM30/AM26</f>
        <v>0.64255745686260468</v>
      </c>
      <c r="AN46" s="67">
        <f t="shared" si="48"/>
        <v>0.68727796551425357</v>
      </c>
      <c r="AO46" s="67">
        <f t="shared" si="48"/>
        <v>0.76366400588310468</v>
      </c>
      <c r="AP46" s="67">
        <f t="shared" si="48"/>
        <v>0.73143423203690161</v>
      </c>
      <c r="AQ46" s="77">
        <v>0.73</v>
      </c>
      <c r="AR46" s="77">
        <v>0.7</v>
      </c>
      <c r="AS46" s="77">
        <v>0.67</v>
      </c>
      <c r="AT46" s="77">
        <v>0.65</v>
      </c>
      <c r="AU46" s="77">
        <v>0.61</v>
      </c>
      <c r="AV46" s="77">
        <v>0.57999999999999996</v>
      </c>
      <c r="AW46" s="77">
        <v>0.55000000000000004</v>
      </c>
      <c r="AX46" s="77">
        <v>0.54</v>
      </c>
      <c r="AY46" s="77">
        <v>0.53</v>
      </c>
      <c r="AZ46" s="77">
        <v>0.52</v>
      </c>
      <c r="BA46" s="77">
        <v>0.51</v>
      </c>
    </row>
    <row r="47" spans="2:105">
      <c r="B47" s="37" t="s">
        <v>60</v>
      </c>
      <c r="C47" s="67">
        <f t="shared" ref="C47:T47" si="49">C34/C26</f>
        <v>0.17942344080436309</v>
      </c>
      <c r="D47" s="67">
        <f t="shared" si="49"/>
        <v>-2.3747637051039619E-2</v>
      </c>
      <c r="E47" s="67">
        <f t="shared" si="49"/>
        <v>0.18571613069869569</v>
      </c>
      <c r="F47" s="67">
        <f t="shared" si="49"/>
        <v>0.14392100390866042</v>
      </c>
      <c r="G47" s="67">
        <f t="shared" si="49"/>
        <v>0.13437984563653144</v>
      </c>
      <c r="H47" s="67">
        <f t="shared" si="49"/>
        <v>6.4252281216018239E-2</v>
      </c>
      <c r="I47" s="67">
        <f t="shared" si="49"/>
        <v>-3.7399199078391628E-2</v>
      </c>
      <c r="J47" s="67">
        <f t="shared" si="49"/>
        <v>2.0981037756254428E-2</v>
      </c>
      <c r="K47" s="67">
        <f t="shared" si="49"/>
        <v>-3.5526558465510977E-2</v>
      </c>
      <c r="L47" s="67">
        <f t="shared" si="49"/>
        <v>-0.10057793496075221</v>
      </c>
      <c r="M47" s="67">
        <f t="shared" si="49"/>
        <v>-0.10184607708619202</v>
      </c>
      <c r="N47" s="67">
        <f t="shared" si="49"/>
        <v>-5.4662200406417352E-2</v>
      </c>
      <c r="O47" s="67">
        <f t="shared" si="49"/>
        <v>-4.5942083878520786E-2</v>
      </c>
      <c r="P47" s="67">
        <f t="shared" si="49"/>
        <v>-1.2688542498214285E-2</v>
      </c>
      <c r="Q47" s="67">
        <f t="shared" si="49"/>
        <v>1.6674580563469446E-2</v>
      </c>
      <c r="R47" s="67">
        <f t="shared" si="49"/>
        <v>-7.0300672197662395E-2</v>
      </c>
      <c r="S47" s="67">
        <f t="shared" si="49"/>
        <v>-0.11998742928975495</v>
      </c>
      <c r="T47" s="67">
        <f t="shared" si="49"/>
        <v>-0.15394744061008422</v>
      </c>
      <c r="U47" s="67">
        <f>U34/U26</f>
        <v>-8.8467305560988085E-2</v>
      </c>
      <c r="AM47" s="67">
        <f t="shared" ref="AM47:AP47" si="50">AM34/AM26</f>
        <v>0.13187513424500599</v>
      </c>
      <c r="AN47" s="67">
        <f t="shared" si="50"/>
        <v>3.9023914738757388E-2</v>
      </c>
      <c r="AO47" s="67">
        <f t="shared" si="50"/>
        <v>-7.3275423695664157E-2</v>
      </c>
      <c r="AP47" s="67">
        <f t="shared" si="50"/>
        <v>-2.841561714377161E-2</v>
      </c>
      <c r="AQ47" s="77">
        <f>AQ34/AQ26</f>
        <v>-4.8000000000000174E-2</v>
      </c>
      <c r="AR47" s="77">
        <f t="shared" ref="AR47:BA47" si="51">AR34/AR26</f>
        <v>-3.9999999999999938E-2</v>
      </c>
      <c r="AS47" s="77">
        <f t="shared" si="51"/>
        <v>0</v>
      </c>
      <c r="AT47" s="77">
        <f t="shared" si="51"/>
        <v>9.9999999999999742E-3</v>
      </c>
      <c r="AU47" s="77">
        <f t="shared" si="51"/>
        <v>5.4999999999999993E-2</v>
      </c>
      <c r="AV47" s="77">
        <f t="shared" si="51"/>
        <v>7.4999999999999872E-2</v>
      </c>
      <c r="AW47" s="77">
        <f t="shared" si="51"/>
        <v>0.12999999999999984</v>
      </c>
      <c r="AX47" s="77">
        <f t="shared" si="51"/>
        <v>0.15000000000000008</v>
      </c>
      <c r="AY47" s="77">
        <f t="shared" si="51"/>
        <v>0.15999999999999995</v>
      </c>
      <c r="AZ47" s="77">
        <f t="shared" si="51"/>
        <v>0.16000000000000003</v>
      </c>
      <c r="BA47" s="77">
        <f t="shared" si="51"/>
        <v>0.16999999999999996</v>
      </c>
    </row>
    <row r="48" spans="2:105">
      <c r="B48" s="37" t="s">
        <v>61</v>
      </c>
      <c r="C48" s="67">
        <f t="shared" ref="C48:T48" si="52">C39/-C38</f>
        <v>0</v>
      </c>
      <c r="D48" s="67">
        <f t="shared" si="52"/>
        <v>0</v>
      </c>
      <c r="E48" s="67">
        <f t="shared" si="52"/>
        <v>0</v>
      </c>
      <c r="F48" s="67">
        <f t="shared" si="52"/>
        <v>0</v>
      </c>
      <c r="G48" s="67">
        <f t="shared" si="52"/>
        <v>-2.5824964131994282E-2</v>
      </c>
      <c r="H48" s="67">
        <f t="shared" si="52"/>
        <v>-2.966625463535225E-3</v>
      </c>
      <c r="I48" s="67">
        <f t="shared" si="52"/>
        <v>2.2238425082026947E-2</v>
      </c>
      <c r="J48" s="67">
        <f t="shared" si="52"/>
        <v>-0.3414634146341502</v>
      </c>
      <c r="K48" s="67">
        <f t="shared" si="52"/>
        <v>0</v>
      </c>
      <c r="L48" s="67">
        <f t="shared" si="52"/>
        <v>0.14012311135982089</v>
      </c>
      <c r="M48" s="67">
        <f t="shared" si="52"/>
        <v>9.0196499516804307E-2</v>
      </c>
      <c r="N48" s="67">
        <f t="shared" si="52"/>
        <v>0.20590682196339408</v>
      </c>
      <c r="O48" s="67">
        <f t="shared" si="52"/>
        <v>0.8583403185247247</v>
      </c>
      <c r="P48" s="67">
        <f t="shared" si="52"/>
        <v>-0.31051587301587208</v>
      </c>
      <c r="Q48" s="67">
        <f t="shared" si="52"/>
        <v>-0.43496954496596207</v>
      </c>
      <c r="R48" s="67">
        <f t="shared" si="52"/>
        <v>0.47153700189753456</v>
      </c>
      <c r="S48" s="67">
        <f t="shared" si="52"/>
        <v>0.50431918463737457</v>
      </c>
      <c r="T48" s="67">
        <f t="shared" si="52"/>
        <v>0.46326892560440508</v>
      </c>
      <c r="U48" s="67">
        <f>U39/-U38</f>
        <v>0.44934511598548338</v>
      </c>
      <c r="AM48" s="67">
        <f t="shared" ref="AM48:AP48" si="53">AM39/-AM38</f>
        <v>0</v>
      </c>
      <c r="AN48" s="67">
        <f t="shared" si="53"/>
        <v>-7.9342723004694998E-2</v>
      </c>
      <c r="AO48" s="67">
        <f t="shared" si="53"/>
        <v>0.11770097383998458</v>
      </c>
      <c r="AP48" s="67">
        <f t="shared" si="53"/>
        <v>-1.3836744295459846</v>
      </c>
      <c r="AQ48" s="77">
        <v>0.22</v>
      </c>
      <c r="AR48" s="77">
        <v>0.22</v>
      </c>
      <c r="AS48" s="77">
        <v>0.22</v>
      </c>
      <c r="AT48" s="77">
        <v>0.22</v>
      </c>
      <c r="AU48" s="77">
        <v>0.22</v>
      </c>
      <c r="AV48" s="77">
        <v>0.22</v>
      </c>
      <c r="AW48" s="77">
        <v>0.22</v>
      </c>
      <c r="AX48" s="77">
        <v>0.22</v>
      </c>
      <c r="AY48" s="77">
        <v>0.22</v>
      </c>
      <c r="AZ48" s="77">
        <v>0.22</v>
      </c>
      <c r="BA48" s="77">
        <v>0.22</v>
      </c>
    </row>
    <row r="49" spans="2:105">
      <c r="B49" s="37" t="s">
        <v>62</v>
      </c>
      <c r="C49" s="67">
        <f t="shared" ref="C49:T49" si="54">C40/C26</f>
        <v>0.15256186695358581</v>
      </c>
      <c r="D49" s="67">
        <f t="shared" si="54"/>
        <v>-0.14981096408317573</v>
      </c>
      <c r="E49" s="67">
        <f t="shared" si="54"/>
        <v>0.16779026217228477</v>
      </c>
      <c r="F49" s="67">
        <f t="shared" si="54"/>
        <v>0.14369471302201159</v>
      </c>
      <c r="G49" s="67">
        <f t="shared" si="54"/>
        <v>0.13012875237381732</v>
      </c>
      <c r="H49" s="67">
        <f t="shared" si="54"/>
        <v>6.3558854585283681E-2</v>
      </c>
      <c r="I49" s="67">
        <f t="shared" si="54"/>
        <v>-3.8455208733337042E-2</v>
      </c>
      <c r="J49" s="67">
        <f t="shared" si="54"/>
        <v>1.3302410536181851E-2</v>
      </c>
      <c r="K49" s="67">
        <f t="shared" si="54"/>
        <v>-3.6068332718554134E-2</v>
      </c>
      <c r="L49" s="67">
        <f t="shared" si="54"/>
        <v>-0.10983998964892611</v>
      </c>
      <c r="M49" s="67">
        <f t="shared" si="54"/>
        <v>-0.1055361523429381</v>
      </c>
      <c r="N49" s="67">
        <f t="shared" si="54"/>
        <v>-5.3799259541063967E-2</v>
      </c>
      <c r="O49" s="67">
        <f t="shared" si="54"/>
        <v>-1.9084429447007816E-2</v>
      </c>
      <c r="P49" s="67">
        <f t="shared" si="54"/>
        <v>1.7520272257468248E-2</v>
      </c>
      <c r="Q49" s="67">
        <f t="shared" si="54"/>
        <v>2.4960430515986065E-2</v>
      </c>
      <c r="R49" s="67">
        <f t="shared" si="54"/>
        <v>-3.5222249137043471E-2</v>
      </c>
      <c r="S49" s="67">
        <f t="shared" si="54"/>
        <v>-0.16904811788532725</v>
      </c>
      <c r="T49" s="67">
        <f t="shared" si="54"/>
        <v>-0.21501069841444043</v>
      </c>
      <c r="U49" s="67">
        <f>U40/U26</f>
        <v>-0.11975356933307231</v>
      </c>
      <c r="AM49" s="67">
        <f t="shared" ref="AM49:AP49" si="55">AM40/AM26</f>
        <v>9.8725567408892309E-2</v>
      </c>
      <c r="AN49" s="67">
        <f t="shared" si="55"/>
        <v>3.5399156629985766E-2</v>
      </c>
      <c r="AO49" s="67">
        <f t="shared" si="55"/>
        <v>-7.6321286355422013E-2</v>
      </c>
      <c r="AP49" s="67">
        <f t="shared" si="55"/>
        <v>-3.304047306016336E-3</v>
      </c>
      <c r="AQ49" s="77">
        <f>AQ40/AQ26</f>
        <v>-8.8442390227798123E-2</v>
      </c>
      <c r="AR49" s="77">
        <f t="shared" ref="AR49:BA49" si="56">AR40/AR26</f>
        <v>-2.6394150829727757E-2</v>
      </c>
      <c r="AS49" s="77">
        <f t="shared" si="56"/>
        <v>2.1192327178188152E-3</v>
      </c>
      <c r="AT49" s="77">
        <f t="shared" si="56"/>
        <v>9.7966919552440052E-3</v>
      </c>
      <c r="AU49" s="77">
        <f t="shared" si="56"/>
        <v>4.5417135090397513E-2</v>
      </c>
      <c r="AV49" s="77">
        <f t="shared" si="56"/>
        <v>6.4327875272529381E-2</v>
      </c>
      <c r="AW49" s="77">
        <f t="shared" si="56"/>
        <v>0.11177179109102207</v>
      </c>
      <c r="AX49" s="77">
        <f t="shared" si="56"/>
        <v>0.13532624942343036</v>
      </c>
      <c r="AY49" s="77">
        <f t="shared" si="56"/>
        <v>0.15235353592004397</v>
      </c>
      <c r="AZ49" s="77">
        <f t="shared" si="56"/>
        <v>0.16230977817112999</v>
      </c>
      <c r="BA49" s="77">
        <f t="shared" si="56"/>
        <v>0.1802194442528855</v>
      </c>
    </row>
    <row r="51" spans="2:105">
      <c r="B51" s="1" t="s">
        <v>63</v>
      </c>
      <c r="C51" s="66"/>
      <c r="D51" s="66"/>
      <c r="E51" s="66"/>
      <c r="F51" s="66">
        <v>114.229</v>
      </c>
      <c r="G51" s="66">
        <v>102.90300000000001</v>
      </c>
      <c r="H51" s="66">
        <v>91.322000000000003</v>
      </c>
      <c r="I51" s="66">
        <v>81.158000000000001</v>
      </c>
      <c r="J51" s="66">
        <v>92.751999999999995</v>
      </c>
      <c r="K51" s="66">
        <v>186.55600000000001</v>
      </c>
      <c r="L51" s="66">
        <v>79.724000000000004</v>
      </c>
      <c r="M51" s="66">
        <v>83.528000000000006</v>
      </c>
      <c r="N51" s="66">
        <v>60.222000000000001</v>
      </c>
      <c r="O51" s="66">
        <v>56.561999999999998</v>
      </c>
      <c r="P51" s="66">
        <v>57.837000000000003</v>
      </c>
      <c r="Q51" s="66">
        <v>89.18</v>
      </c>
      <c r="R51" s="66">
        <v>38.597000000000001</v>
      </c>
      <c r="S51" s="66">
        <v>66.706999999999994</v>
      </c>
      <c r="T51" s="66">
        <v>70.125</v>
      </c>
      <c r="U51" s="66">
        <v>41.140999999999998</v>
      </c>
      <c r="AM51" s="66">
        <f>F51</f>
        <v>114.229</v>
      </c>
      <c r="AN51" s="66">
        <f>J51</f>
        <v>92.751999999999995</v>
      </c>
      <c r="AO51" s="66">
        <f>N51</f>
        <v>60.222000000000001</v>
      </c>
      <c r="AP51" s="66">
        <f>R51</f>
        <v>38.597000000000001</v>
      </c>
      <c r="AQ51" s="75">
        <v>40</v>
      </c>
      <c r="AR51" s="75">
        <f>AQ51+AR40</f>
        <v>20.722768000000034</v>
      </c>
      <c r="AS51" s="75">
        <f t="shared" ref="AS51:BA51" si="57">AR51+AS40</f>
        <v>22.541190892000039</v>
      </c>
      <c r="AT51" s="75">
        <f t="shared" si="57"/>
        <v>32.246119976773016</v>
      </c>
      <c r="AU51" s="75">
        <f t="shared" si="57"/>
        <v>83.301063734294843</v>
      </c>
      <c r="AV51" s="75">
        <f t="shared" si="57"/>
        <v>163.9849170158131</v>
      </c>
      <c r="AW51" s="75">
        <f t="shared" si="57"/>
        <v>319.05552130674067</v>
      </c>
      <c r="AX51" s="75">
        <f t="shared" si="57"/>
        <v>525.79425036411635</v>
      </c>
      <c r="AY51" s="75">
        <f t="shared" si="57"/>
        <v>780.9105203602104</v>
      </c>
      <c r="AZ51" s="75">
        <f t="shared" si="57"/>
        <v>1077.4268305625028</v>
      </c>
      <c r="BA51" s="75">
        <f t="shared" si="57"/>
        <v>1435.2366336451475</v>
      </c>
    </row>
    <row r="52" spans="2:105">
      <c r="B52" s="1" t="s">
        <v>394</v>
      </c>
      <c r="C52" s="66"/>
      <c r="D52" s="66"/>
      <c r="E52" s="66"/>
      <c r="F52" s="66">
        <v>0.05</v>
      </c>
      <c r="G52" s="66">
        <v>0</v>
      </c>
      <c r="H52" s="66">
        <v>0</v>
      </c>
      <c r="I52" s="1">
        <v>0</v>
      </c>
      <c r="J52" s="1">
        <v>0</v>
      </c>
      <c r="K52" s="1">
        <v>0</v>
      </c>
      <c r="L52" s="66">
        <v>0</v>
      </c>
      <c r="M52" s="1">
        <v>0</v>
      </c>
      <c r="N52" s="66">
        <v>0</v>
      </c>
      <c r="O52" s="66">
        <v>0</v>
      </c>
      <c r="P52" s="1">
        <v>0</v>
      </c>
      <c r="Q52" s="1">
        <v>0</v>
      </c>
      <c r="R52" s="66">
        <v>0.61099999999999999</v>
      </c>
      <c r="S52" s="66">
        <v>0.5</v>
      </c>
      <c r="T52" s="66">
        <v>6.7000000000000004E-2</v>
      </c>
      <c r="U52" s="66">
        <v>6.7000000000000004E-2</v>
      </c>
      <c r="AM52" s="66">
        <f t="shared" ref="AM52:AM62" si="58">F52</f>
        <v>0.05</v>
      </c>
      <c r="AN52" s="66">
        <f t="shared" ref="AN52:AN62" si="59">J52</f>
        <v>0</v>
      </c>
      <c r="AO52" s="66">
        <f t="shared" ref="AO52:AO62" si="60">N52</f>
        <v>0</v>
      </c>
      <c r="AP52" s="66">
        <f t="shared" ref="AP52:AP62" si="61">R52</f>
        <v>0.61099999999999999</v>
      </c>
    </row>
    <row r="53" spans="2:105" ht="15" customHeight="1">
      <c r="B53" s="1" t="s">
        <v>64</v>
      </c>
      <c r="C53" s="66"/>
      <c r="D53" s="66"/>
      <c r="E53" s="66"/>
      <c r="F53" s="66">
        <v>49.981000000000002</v>
      </c>
      <c r="G53" s="66">
        <v>71.245999999999995</v>
      </c>
      <c r="H53" s="66">
        <v>84.744</v>
      </c>
      <c r="I53" s="66">
        <v>81.436000000000007</v>
      </c>
      <c r="J53" s="66">
        <f>83.348+3.983</f>
        <v>87.331000000000003</v>
      </c>
      <c r="K53" s="66">
        <v>152.15600000000001</v>
      </c>
      <c r="L53" s="66">
        <v>250.77199999999999</v>
      </c>
      <c r="M53" s="66">
        <v>235.70500000000001</v>
      </c>
      <c r="N53" s="66">
        <v>266.17899999999997</v>
      </c>
      <c r="O53" s="66">
        <v>271.88400000000001</v>
      </c>
      <c r="P53" s="66">
        <v>279.69600000000003</v>
      </c>
      <c r="Q53" s="66">
        <v>262.113</v>
      </c>
      <c r="R53" s="66">
        <v>76.855000000000004</v>
      </c>
      <c r="S53" s="66">
        <v>34.594999999999999</v>
      </c>
      <c r="T53" s="66">
        <v>39.546999999999997</v>
      </c>
      <c r="U53" s="66">
        <v>70.397000000000006</v>
      </c>
      <c r="AM53" s="66">
        <f t="shared" si="58"/>
        <v>49.981000000000002</v>
      </c>
      <c r="AN53" s="66">
        <f t="shared" si="59"/>
        <v>87.331000000000003</v>
      </c>
      <c r="AO53" s="66">
        <f t="shared" si="60"/>
        <v>266.17899999999997</v>
      </c>
      <c r="AP53" s="66">
        <f t="shared" si="61"/>
        <v>76.855000000000004</v>
      </c>
      <c r="AR53" s="79" t="s">
        <v>447</v>
      </c>
      <c r="AU53" s="79" t="s">
        <v>448</v>
      </c>
      <c r="AW53" s="80" t="s">
        <v>449</v>
      </c>
      <c r="AY53" s="81" t="s">
        <v>450</v>
      </c>
      <c r="AZ53" s="82">
        <v>0.1125</v>
      </c>
    </row>
    <row r="54" spans="2:105" ht="15" customHeight="1">
      <c r="B54" s="1" t="s">
        <v>395</v>
      </c>
      <c r="C54" s="66"/>
      <c r="D54" s="66"/>
      <c r="E54" s="66"/>
      <c r="F54" s="66">
        <v>28.007999999999999</v>
      </c>
      <c r="G54" s="66">
        <v>31.303999999999998</v>
      </c>
      <c r="H54" s="66">
        <v>31.497</v>
      </c>
      <c r="I54" s="66">
        <v>38.915999999999997</v>
      </c>
      <c r="J54" s="66">
        <v>42.350999999999999</v>
      </c>
      <c r="K54" s="66">
        <v>44.95</v>
      </c>
      <c r="L54" s="66">
        <v>49.170999999999999</v>
      </c>
      <c r="M54" s="66">
        <v>54.058999999999997</v>
      </c>
      <c r="N54" s="66">
        <v>58.610999999999997</v>
      </c>
      <c r="O54" s="66">
        <v>55.719000000000001</v>
      </c>
      <c r="P54" s="66">
        <v>63.128</v>
      </c>
      <c r="Q54" s="66">
        <v>69.594999999999999</v>
      </c>
      <c r="R54" s="66">
        <v>70.119</v>
      </c>
      <c r="S54" s="66">
        <v>78.620999999999995</v>
      </c>
      <c r="T54" s="66">
        <v>81.631</v>
      </c>
      <c r="U54" s="66">
        <v>84.403000000000006</v>
      </c>
      <c r="AM54" s="66">
        <f t="shared" si="58"/>
        <v>28.007999999999999</v>
      </c>
      <c r="AN54" s="66">
        <f t="shared" si="59"/>
        <v>42.350999999999999</v>
      </c>
      <c r="AO54" s="66">
        <f t="shared" si="60"/>
        <v>58.610999999999997</v>
      </c>
      <c r="AP54" s="66">
        <f t="shared" si="61"/>
        <v>70.119</v>
      </c>
      <c r="AR54" s="73">
        <v>2024</v>
      </c>
      <c r="AT54" s="73">
        <v>2022</v>
      </c>
      <c r="AU54" s="73">
        <v>2023</v>
      </c>
      <c r="AW54" s="80" t="s">
        <v>462</v>
      </c>
      <c r="AY54" s="81" t="s">
        <v>451</v>
      </c>
      <c r="AZ54" s="82">
        <v>3.5000000000000003E-2</v>
      </c>
    </row>
    <row r="55" spans="2:105" ht="15" customHeight="1">
      <c r="B55" s="1" t="s">
        <v>396</v>
      </c>
      <c r="C55" s="66"/>
      <c r="D55" s="66"/>
      <c r="E55" s="66"/>
      <c r="F55" s="66">
        <v>10.597</v>
      </c>
      <c r="G55" s="66">
        <v>13.664999999999999</v>
      </c>
      <c r="H55" s="66">
        <v>18.111999999999998</v>
      </c>
      <c r="I55" s="66">
        <v>19.498999999999999</v>
      </c>
      <c r="J55" s="66">
        <v>21.053000000000001</v>
      </c>
      <c r="K55" s="66">
        <v>23.827999999999999</v>
      </c>
      <c r="L55" s="66">
        <v>26.673999999999999</v>
      </c>
      <c r="M55" s="66">
        <v>29.67</v>
      </c>
      <c r="N55" s="66">
        <v>32.581000000000003</v>
      </c>
      <c r="O55" s="66">
        <v>36.499000000000002</v>
      </c>
      <c r="P55" s="66">
        <v>38.984000000000002</v>
      </c>
      <c r="Q55" s="66">
        <v>40.226999999999997</v>
      </c>
      <c r="R55" s="66">
        <v>42.9</v>
      </c>
      <c r="S55" s="66">
        <v>44.65</v>
      </c>
      <c r="T55" s="66">
        <v>49.359000000000002</v>
      </c>
      <c r="U55" s="66">
        <v>55.21</v>
      </c>
      <c r="AM55" s="66">
        <f t="shared" si="58"/>
        <v>10.597</v>
      </c>
      <c r="AN55" s="66">
        <f t="shared" si="59"/>
        <v>21.053000000000001</v>
      </c>
      <c r="AO55" s="66">
        <f t="shared" si="60"/>
        <v>32.581000000000003</v>
      </c>
      <c r="AP55" s="66">
        <f t="shared" si="61"/>
        <v>42.9</v>
      </c>
      <c r="AR55" s="83">
        <f>AVERAGE(AP34)*(1-AP48)</f>
        <v>-33.435801223241498</v>
      </c>
      <c r="AT55" s="75">
        <f>SUM(AO51:AO55)-SUM(AO64:AO66)+AO57+AO58+AO59</f>
        <v>435.08799999999997</v>
      </c>
      <c r="AU55" s="75">
        <f>SUM(AP51:AP55)-SUM(AP64:AP66)+AP57+AP58+AP59</f>
        <v>438.10599999999999</v>
      </c>
      <c r="AW55" s="73">
        <f>AVERAGE(AT55:AU55)</f>
        <v>436.59699999999998</v>
      </c>
      <c r="AY55" s="81" t="s">
        <v>452</v>
      </c>
      <c r="AZ55" s="82">
        <v>4.5100000000000001E-2</v>
      </c>
    </row>
    <row r="56" spans="2:105" ht="15" customHeight="1">
      <c r="B56" s="1" t="s">
        <v>397</v>
      </c>
      <c r="C56" s="66"/>
      <c r="D56" s="66"/>
      <c r="E56" s="66"/>
      <c r="F56" s="66">
        <v>2.8079999999999998</v>
      </c>
      <c r="G56" s="66">
        <v>2.1589999999999998</v>
      </c>
      <c r="H56" s="66">
        <v>2.4969999999999999</v>
      </c>
      <c r="I56" s="66">
        <v>7.141</v>
      </c>
      <c r="J56" s="66">
        <v>5.694</v>
      </c>
      <c r="K56" s="66">
        <v>5.8490000000000002</v>
      </c>
      <c r="L56" s="66">
        <v>4.9969999999999999</v>
      </c>
      <c r="M56" s="66">
        <v>7.609</v>
      </c>
      <c r="N56" s="66">
        <v>5.3120000000000003</v>
      </c>
      <c r="O56" s="66">
        <v>4.9420000000000002</v>
      </c>
      <c r="P56" s="66">
        <v>4.9720000000000004</v>
      </c>
      <c r="Q56" s="66">
        <v>7.94</v>
      </c>
      <c r="R56" s="66">
        <v>6.4809999999999999</v>
      </c>
      <c r="S56" s="66">
        <v>8.24</v>
      </c>
      <c r="T56" s="66">
        <v>8.6229999999999993</v>
      </c>
      <c r="U56" s="66">
        <v>12.167999999999999</v>
      </c>
      <c r="AM56" s="66">
        <f t="shared" si="58"/>
        <v>2.8079999999999998</v>
      </c>
      <c r="AN56" s="66">
        <f t="shared" si="59"/>
        <v>5.694</v>
      </c>
      <c r="AO56" s="66">
        <f t="shared" si="60"/>
        <v>5.3120000000000003</v>
      </c>
      <c r="AP56" s="66">
        <f t="shared" si="61"/>
        <v>6.4809999999999999</v>
      </c>
      <c r="AR56" s="77">
        <f>AR55/AW55</f>
        <v>-7.6582755317241069E-2</v>
      </c>
      <c r="AY56" s="81" t="s">
        <v>453</v>
      </c>
      <c r="AZ56" s="82">
        <f>11.5%-AZ55</f>
        <v>6.9900000000000004E-2</v>
      </c>
    </row>
    <row r="57" spans="2:105" ht="15" customHeight="1">
      <c r="B57" s="1" t="s">
        <v>398</v>
      </c>
      <c r="C57" s="66"/>
      <c r="D57" s="66"/>
      <c r="E57" s="66"/>
      <c r="F57" s="66">
        <v>7.4980000000000002</v>
      </c>
      <c r="G57" s="66">
        <v>6.5839999999999996</v>
      </c>
      <c r="H57" s="66">
        <v>10.827</v>
      </c>
      <c r="I57" s="66">
        <v>14.747999999999999</v>
      </c>
      <c r="J57" s="66">
        <v>16.471</v>
      </c>
      <c r="K57" s="66">
        <v>18.152999999999999</v>
      </c>
      <c r="L57" s="66">
        <v>20.076000000000001</v>
      </c>
      <c r="M57" s="66">
        <v>21.190999999999999</v>
      </c>
      <c r="N57" s="66">
        <v>21.655000000000001</v>
      </c>
      <c r="O57" s="66">
        <v>21.245000000000001</v>
      </c>
      <c r="P57" s="66">
        <v>21.062999999999999</v>
      </c>
      <c r="Q57" s="66">
        <v>21.242999999999999</v>
      </c>
      <c r="R57" s="66">
        <v>20.928999999999998</v>
      </c>
      <c r="S57" s="66">
        <v>20.760999999999999</v>
      </c>
      <c r="T57" s="66">
        <v>23.004999999999999</v>
      </c>
      <c r="U57" s="66">
        <v>24.097999999999999</v>
      </c>
      <c r="AM57" s="66">
        <f t="shared" si="58"/>
        <v>7.4980000000000002</v>
      </c>
      <c r="AN57" s="66">
        <f t="shared" si="59"/>
        <v>16.471</v>
      </c>
      <c r="AO57" s="66">
        <f t="shared" si="60"/>
        <v>21.655000000000001</v>
      </c>
      <c r="AP57" s="66">
        <f t="shared" si="61"/>
        <v>20.928999999999998</v>
      </c>
      <c r="AY57" s="81" t="s">
        <v>454</v>
      </c>
      <c r="AZ57" s="73">
        <v>0.56000000000000005</v>
      </c>
    </row>
    <row r="58" spans="2:105" ht="15" customHeight="1">
      <c r="B58" s="1" t="s">
        <v>399</v>
      </c>
      <c r="C58" s="66"/>
      <c r="D58" s="66"/>
      <c r="E58" s="66"/>
      <c r="F58" s="66">
        <v>0</v>
      </c>
      <c r="G58" s="66">
        <v>0</v>
      </c>
      <c r="H58" s="66">
        <v>0.86799999999999999</v>
      </c>
      <c r="I58" s="66">
        <v>42.854999999999997</v>
      </c>
      <c r="J58" s="66">
        <v>44.908999999999999</v>
      </c>
      <c r="K58" s="66">
        <v>46.401000000000003</v>
      </c>
      <c r="L58" s="66">
        <v>46.652999999999999</v>
      </c>
      <c r="M58" s="66">
        <v>49.951000000000001</v>
      </c>
      <c r="N58" s="66">
        <v>50.703000000000003</v>
      </c>
      <c r="O58" s="66">
        <v>50.598999999999997</v>
      </c>
      <c r="P58" s="66">
        <v>49.856999999999999</v>
      </c>
      <c r="Q58" s="66">
        <v>49.064999999999998</v>
      </c>
      <c r="R58" s="66">
        <v>48.406999999999996</v>
      </c>
      <c r="S58" s="66">
        <v>47.61</v>
      </c>
      <c r="T58" s="66">
        <v>48.823999999999998</v>
      </c>
      <c r="U58" s="66">
        <v>48.301000000000002</v>
      </c>
      <c r="AM58" s="66">
        <f t="shared" si="58"/>
        <v>0</v>
      </c>
      <c r="AN58" s="66">
        <f t="shared" si="59"/>
        <v>44.908999999999999</v>
      </c>
      <c r="AO58" s="66">
        <f t="shared" si="60"/>
        <v>50.703000000000003</v>
      </c>
      <c r="AP58" s="66">
        <f t="shared" si="61"/>
        <v>48.406999999999996</v>
      </c>
      <c r="AY58" s="81" t="s">
        <v>455</v>
      </c>
      <c r="AZ58" s="82">
        <f>+AZ55+(AZ56*AZ57)</f>
        <v>8.4244000000000013E-2</v>
      </c>
    </row>
    <row r="59" spans="2:105" ht="15" customHeight="1">
      <c r="B59" s="1" t="s">
        <v>400</v>
      </c>
      <c r="C59" s="66"/>
      <c r="D59" s="66"/>
      <c r="E59" s="66"/>
      <c r="F59" s="66">
        <v>0</v>
      </c>
      <c r="G59" s="66">
        <v>0</v>
      </c>
      <c r="H59" s="66">
        <v>0</v>
      </c>
      <c r="I59" s="66">
        <v>0</v>
      </c>
      <c r="J59" s="66">
        <v>0</v>
      </c>
      <c r="K59" s="1">
        <v>0</v>
      </c>
      <c r="L59" s="66">
        <v>0</v>
      </c>
      <c r="M59" s="66">
        <v>0</v>
      </c>
      <c r="N59" s="66">
        <v>0</v>
      </c>
      <c r="O59" s="66">
        <v>0</v>
      </c>
      <c r="P59" s="66">
        <v>0</v>
      </c>
      <c r="Q59" s="66">
        <v>0</v>
      </c>
      <c r="R59" s="66">
        <v>214.33500000000001</v>
      </c>
      <c r="S59" s="66">
        <v>209.642</v>
      </c>
      <c r="T59" s="66">
        <v>204.40100000000001</v>
      </c>
      <c r="U59" s="66">
        <v>213.345</v>
      </c>
      <c r="AM59" s="66">
        <f t="shared" si="58"/>
        <v>0</v>
      </c>
      <c r="AN59" s="66">
        <f t="shared" si="59"/>
        <v>0</v>
      </c>
      <c r="AO59" s="66">
        <f t="shared" si="60"/>
        <v>0</v>
      </c>
      <c r="AP59" s="66">
        <f t="shared" si="61"/>
        <v>214.33500000000001</v>
      </c>
      <c r="AY59" s="81"/>
    </row>
    <row r="60" spans="2:105" ht="15" customHeight="1">
      <c r="B60" s="1" t="s">
        <v>401</v>
      </c>
      <c r="C60" s="66"/>
      <c r="D60" s="66"/>
      <c r="E60" s="66"/>
      <c r="F60" s="66">
        <v>0.33800000000000002</v>
      </c>
      <c r="G60" s="66">
        <v>1.0469999999999999</v>
      </c>
      <c r="H60" s="66">
        <v>0</v>
      </c>
      <c r="I60" s="66">
        <v>0</v>
      </c>
      <c r="J60" s="66">
        <v>0</v>
      </c>
      <c r="K60" s="66">
        <v>0</v>
      </c>
      <c r="L60" s="66">
        <v>0</v>
      </c>
      <c r="M60" s="66">
        <v>0</v>
      </c>
      <c r="N60" s="66">
        <v>0</v>
      </c>
      <c r="O60" s="66">
        <v>0</v>
      </c>
      <c r="P60" s="66">
        <v>0</v>
      </c>
      <c r="Q60" s="66">
        <v>0</v>
      </c>
      <c r="R60" s="66">
        <v>150.88399999999999</v>
      </c>
      <c r="S60" s="66">
        <v>145.774</v>
      </c>
      <c r="T60" s="66">
        <v>143.10599999999999</v>
      </c>
      <c r="U60" s="66">
        <v>143.80799999999999</v>
      </c>
      <c r="AM60" s="66">
        <f t="shared" si="58"/>
        <v>0.33800000000000002</v>
      </c>
      <c r="AN60" s="66">
        <f t="shared" si="59"/>
        <v>0</v>
      </c>
      <c r="AO60" s="66">
        <f t="shared" si="60"/>
        <v>0</v>
      </c>
      <c r="AP60" s="66">
        <f t="shared" si="61"/>
        <v>150.88399999999999</v>
      </c>
      <c r="AY60" s="81" t="s">
        <v>456</v>
      </c>
      <c r="AZ60" s="75">
        <f>NPV(AZ58,AP40:CY40)</f>
        <v>3145.1170793827332</v>
      </c>
    </row>
    <row r="61" spans="2:105" ht="15" customHeight="1">
      <c r="B61" s="1" t="s">
        <v>402</v>
      </c>
      <c r="C61" s="66"/>
      <c r="D61" s="66"/>
      <c r="E61" s="66"/>
      <c r="F61" s="66">
        <v>0.58299999999999996</v>
      </c>
      <c r="G61" s="66">
        <v>5.6689999999999996</v>
      </c>
      <c r="H61" s="66">
        <v>13.692</v>
      </c>
      <c r="I61" s="66">
        <f>6.002+0.672</f>
        <v>6.6739999999999995</v>
      </c>
      <c r="J61" s="66">
        <v>0.98099999999999998</v>
      </c>
      <c r="K61" s="66">
        <v>6.2160000000000002</v>
      </c>
      <c r="L61" s="66">
        <v>6.1950000000000003</v>
      </c>
      <c r="M61" s="66">
        <v>6.1059999999999999</v>
      </c>
      <c r="N61" s="66">
        <v>8.8889999999999993</v>
      </c>
      <c r="O61" s="66">
        <v>9.0839999999999996</v>
      </c>
      <c r="P61" s="66">
        <v>9.4309999999999992</v>
      </c>
      <c r="Q61" s="66">
        <v>9.4659999999999993</v>
      </c>
      <c r="R61" s="66">
        <v>4.117</v>
      </c>
      <c r="S61" s="66">
        <v>4.6760000000000002</v>
      </c>
      <c r="T61" s="66">
        <v>4.242</v>
      </c>
      <c r="U61" s="66">
        <v>4.3010000000000002</v>
      </c>
      <c r="AM61" s="66">
        <f t="shared" si="58"/>
        <v>0.58299999999999996</v>
      </c>
      <c r="AN61" s="66">
        <f t="shared" si="59"/>
        <v>0.98099999999999998</v>
      </c>
      <c r="AO61" s="66">
        <f t="shared" si="60"/>
        <v>8.8889999999999993</v>
      </c>
      <c r="AP61" s="66">
        <f t="shared" si="61"/>
        <v>4.117</v>
      </c>
      <c r="AY61" s="81" t="s">
        <v>76</v>
      </c>
      <c r="AZ61" s="75">
        <f>AP41</f>
        <v>57.429250000000003</v>
      </c>
      <c r="BA61" s="84" t="s">
        <v>457</v>
      </c>
    </row>
    <row r="62" spans="2:105" s="2" customFormat="1" ht="15" customHeight="1">
      <c r="B62" s="2" t="s">
        <v>403</v>
      </c>
      <c r="C62" s="70"/>
      <c r="D62" s="70"/>
      <c r="E62" s="70"/>
      <c r="F62" s="70">
        <f t="shared" ref="F62:T62" si="62">SUM(F51:F61)</f>
        <v>214.09199999999998</v>
      </c>
      <c r="G62" s="70">
        <f t="shared" si="62"/>
        <v>234.577</v>
      </c>
      <c r="H62" s="70">
        <f t="shared" si="62"/>
        <v>253.55899999999997</v>
      </c>
      <c r="I62" s="70">
        <f t="shared" si="62"/>
        <v>292.42699999999996</v>
      </c>
      <c r="J62" s="70">
        <f>SUM(J51:J61)</f>
        <v>311.54199999999997</v>
      </c>
      <c r="K62" s="70">
        <f>SUM(K51:K61)</f>
        <v>484.10899999999998</v>
      </c>
      <c r="L62" s="70">
        <f t="shared" si="62"/>
        <v>484.262</v>
      </c>
      <c r="M62" s="70">
        <f t="shared" si="62"/>
        <v>487.81900000000002</v>
      </c>
      <c r="N62" s="70">
        <f t="shared" si="62"/>
        <v>504.15199999999993</v>
      </c>
      <c r="O62" s="70">
        <f t="shared" si="62"/>
        <v>506.53400000000005</v>
      </c>
      <c r="P62" s="70">
        <f t="shared" si="62"/>
        <v>524.96799999999996</v>
      </c>
      <c r="Q62" s="70">
        <f t="shared" si="62"/>
        <v>548.82900000000006</v>
      </c>
      <c r="R62" s="70">
        <f t="shared" si="62"/>
        <v>674.23500000000001</v>
      </c>
      <c r="S62" s="70">
        <f t="shared" si="62"/>
        <v>661.77600000000007</v>
      </c>
      <c r="T62" s="70">
        <f t="shared" si="62"/>
        <v>672.93000000000006</v>
      </c>
      <c r="U62" s="70">
        <f>SUM(U51:U61)</f>
        <v>697.23900000000003</v>
      </c>
      <c r="X62" s="34"/>
      <c r="Y62" s="34"/>
      <c r="Z62" s="34"/>
      <c r="AA62" s="34"/>
      <c r="AB62" s="34"/>
      <c r="AC62" s="34"/>
      <c r="AD62" s="34"/>
      <c r="AM62" s="70">
        <f t="shared" si="58"/>
        <v>214.09199999999998</v>
      </c>
      <c r="AN62" s="70">
        <f t="shared" si="59"/>
        <v>311.54199999999997</v>
      </c>
      <c r="AO62" s="70">
        <f t="shared" si="60"/>
        <v>504.15199999999993</v>
      </c>
      <c r="AP62" s="70">
        <f t="shared" si="61"/>
        <v>674.23500000000001</v>
      </c>
      <c r="AQ62" s="74"/>
      <c r="AR62" s="73"/>
      <c r="AS62" s="73"/>
      <c r="AT62" s="73"/>
      <c r="AU62" s="73"/>
      <c r="AV62" s="73"/>
      <c r="AW62" s="73"/>
      <c r="AX62" s="73"/>
      <c r="AY62" s="81" t="s">
        <v>458</v>
      </c>
      <c r="AZ62" s="78">
        <f>AZ60/AZ61</f>
        <v>54.765073188013652</v>
      </c>
      <c r="BA62" s="79"/>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c r="CS62" s="74"/>
      <c r="CT62" s="74"/>
      <c r="CU62" s="74"/>
      <c r="CV62" s="74"/>
      <c r="CW62" s="74"/>
      <c r="CX62" s="74"/>
      <c r="CY62" s="74"/>
      <c r="CZ62" s="74"/>
      <c r="DA62" s="74"/>
    </row>
    <row r="63" spans="2:105" ht="15" customHeight="1">
      <c r="AR63" s="74"/>
      <c r="AS63" s="74"/>
      <c r="AT63" s="74"/>
      <c r="AU63" s="74"/>
      <c r="AV63" s="74"/>
      <c r="AW63" s="74"/>
      <c r="AX63" s="74"/>
      <c r="AY63" s="81" t="s">
        <v>459</v>
      </c>
      <c r="AZ63" s="78">
        <f>Main!C5</f>
        <v>80</v>
      </c>
      <c r="BA63" s="85" t="s">
        <v>460</v>
      </c>
    </row>
    <row r="64" spans="2:105" ht="15" customHeight="1">
      <c r="B64" s="1" t="s">
        <v>404</v>
      </c>
      <c r="C64" s="66"/>
      <c r="D64" s="66"/>
      <c r="E64" s="66"/>
      <c r="F64" s="66">
        <v>3.0470000000000002</v>
      </c>
      <c r="G64" s="66">
        <v>5.5179999999999998</v>
      </c>
      <c r="H64" s="66">
        <v>10.319000000000001</v>
      </c>
      <c r="I64" s="66">
        <v>5.0830000000000002</v>
      </c>
      <c r="J64" s="66">
        <v>6.5410000000000004</v>
      </c>
      <c r="K64" s="66">
        <v>6.0659999999999998</v>
      </c>
      <c r="L64" s="66">
        <v>4.7480000000000002</v>
      </c>
      <c r="M64" s="66">
        <v>6.0350000000000001</v>
      </c>
      <c r="N64" s="66">
        <v>7.6589999999999998</v>
      </c>
      <c r="O64" s="66">
        <v>7.3520000000000003</v>
      </c>
      <c r="P64" s="66">
        <v>7.24</v>
      </c>
      <c r="Q64" s="66">
        <v>10.090999999999999</v>
      </c>
      <c r="R64" s="66">
        <v>10.577</v>
      </c>
      <c r="S64" s="66">
        <v>12.026</v>
      </c>
      <c r="T64" s="66">
        <v>16.375</v>
      </c>
      <c r="U64" s="66">
        <v>15.523</v>
      </c>
      <c r="AM64" s="66">
        <f t="shared" ref="AM64:AM73" si="63">F64</f>
        <v>3.0470000000000002</v>
      </c>
      <c r="AN64" s="66">
        <f t="shared" ref="AN64:AN73" si="64">J64</f>
        <v>6.5410000000000004</v>
      </c>
      <c r="AO64" s="66">
        <f t="shared" ref="AO64:AO73" si="65">N64</f>
        <v>7.6589999999999998</v>
      </c>
      <c r="AP64" s="66">
        <f t="shared" ref="AP64:AP73" si="66">R64</f>
        <v>10.577</v>
      </c>
      <c r="AY64" s="81" t="s">
        <v>461</v>
      </c>
      <c r="AZ64" s="82">
        <f>AZ62/AZ63-1</f>
        <v>-0.31543658514982931</v>
      </c>
      <c r="BA64" s="79" t="str">
        <f>IF(AZ64&gt;0,"Upside","Downside")</f>
        <v>Downside</v>
      </c>
    </row>
    <row r="65" spans="2:105">
      <c r="B65" s="1" t="s">
        <v>405</v>
      </c>
      <c r="C65" s="66"/>
      <c r="D65" s="66"/>
      <c r="E65" s="66"/>
      <c r="F65" s="66">
        <v>8.1980000000000004</v>
      </c>
      <c r="G65" s="66">
        <v>11.55</v>
      </c>
      <c r="H65" s="66">
        <v>16.041</v>
      </c>
      <c r="I65" s="66">
        <v>16.9877</v>
      </c>
      <c r="J65" s="66">
        <v>24.433</v>
      </c>
      <c r="K65" s="66">
        <v>19.728999999999999</v>
      </c>
      <c r="L65" s="66">
        <v>27.695</v>
      </c>
      <c r="M65" s="66">
        <v>28.052</v>
      </c>
      <c r="N65" s="66">
        <v>38.954999999999998</v>
      </c>
      <c r="O65" s="66">
        <v>28.443000000000001</v>
      </c>
      <c r="P65" s="66">
        <v>38.29</v>
      </c>
      <c r="Q65" s="66">
        <v>41.305</v>
      </c>
      <c r="R65" s="66">
        <v>48.706000000000003</v>
      </c>
      <c r="S65" s="66">
        <v>38.747999999999998</v>
      </c>
      <c r="T65" s="66">
        <v>54.363</v>
      </c>
      <c r="U65" s="66">
        <v>54.796999999999997</v>
      </c>
      <c r="AM65" s="66">
        <f t="shared" si="63"/>
        <v>8.1980000000000004</v>
      </c>
      <c r="AN65" s="66">
        <f t="shared" si="64"/>
        <v>24.433</v>
      </c>
      <c r="AO65" s="66">
        <f t="shared" si="65"/>
        <v>38.954999999999998</v>
      </c>
      <c r="AP65" s="66">
        <f t="shared" si="66"/>
        <v>48.706000000000003</v>
      </c>
      <c r="AY65" s="99" t="str" cm="1">
        <f t="array" ref="AY65">_xlfn.IFS(AZ64&gt;=25%,"Strong Buy",AZ64&gt;=10.00001%,"Buy",AND(AZ64&lt;=10%,AZ64&gt;=-4.9999%),"Hold",AND(AZ64&lt;=-5%,AZ64&gt;=-14.999999%),"Sell",AZ64&lt;=-15%,"Strong Sell")</f>
        <v>Strong Sell</v>
      </c>
      <c r="AZ65" s="99"/>
    </row>
    <row r="66" spans="2:105">
      <c r="B66" s="1" t="s">
        <v>446</v>
      </c>
      <c r="C66" s="66"/>
      <c r="D66" s="66"/>
      <c r="E66" s="66"/>
      <c r="F66" s="66">
        <v>2.593</v>
      </c>
      <c r="G66" s="66">
        <v>2.758</v>
      </c>
      <c r="H66" s="66">
        <v>4.4290000000000003</v>
      </c>
      <c r="I66" s="66">
        <v>6.5830000000000002</v>
      </c>
      <c r="J66" s="66">
        <v>10.737</v>
      </c>
      <c r="K66" s="66">
        <v>9.1549999999999994</v>
      </c>
      <c r="L66" s="66">
        <v>8.0760000000000005</v>
      </c>
      <c r="M66" s="66">
        <v>7.6680000000000001</v>
      </c>
      <c r="N66" s="66">
        <v>8.2490000000000006</v>
      </c>
      <c r="O66" s="66">
        <v>11.018000000000001</v>
      </c>
      <c r="P66" s="66">
        <v>11.125</v>
      </c>
      <c r="Q66" s="66">
        <v>13.04</v>
      </c>
      <c r="R66" s="66">
        <v>15.364000000000001</v>
      </c>
      <c r="S66" s="66">
        <v>33.543999999999997</v>
      </c>
      <c r="T66" s="66">
        <v>65.605000000000004</v>
      </c>
      <c r="U66" s="66">
        <v>76.881</v>
      </c>
      <c r="AM66" s="66">
        <f t="shared" si="63"/>
        <v>2.593</v>
      </c>
      <c r="AN66" s="66">
        <f t="shared" si="64"/>
        <v>10.737</v>
      </c>
      <c r="AO66" s="66">
        <f t="shared" si="65"/>
        <v>8.2490000000000006</v>
      </c>
      <c r="AP66" s="66">
        <f t="shared" si="66"/>
        <v>15.364000000000001</v>
      </c>
    </row>
    <row r="67" spans="2:105">
      <c r="B67" s="1" t="s">
        <v>407</v>
      </c>
      <c r="C67" s="66"/>
      <c r="D67" s="66"/>
      <c r="E67" s="66"/>
      <c r="F67" s="66">
        <v>0</v>
      </c>
      <c r="G67" s="66">
        <v>0.78900000000000003</v>
      </c>
      <c r="H67" s="66">
        <v>0.79300000000000004</v>
      </c>
      <c r="I67" s="66">
        <v>0.85699999999999998</v>
      </c>
      <c r="J67" s="66">
        <v>0.80200000000000005</v>
      </c>
      <c r="K67" s="66">
        <v>0.63</v>
      </c>
      <c r="L67" s="66">
        <v>0.46500000000000002</v>
      </c>
      <c r="M67" s="66">
        <v>0.58799999999999997</v>
      </c>
      <c r="N67" s="66">
        <v>1.3109999999999999</v>
      </c>
      <c r="O67" s="66">
        <v>1.5269999999999999</v>
      </c>
      <c r="P67" s="66">
        <v>1.583</v>
      </c>
      <c r="Q67" s="66">
        <v>1.63</v>
      </c>
      <c r="R67" s="66">
        <v>1.6919999999999999</v>
      </c>
      <c r="S67" s="66">
        <v>1.7190000000000001</v>
      </c>
      <c r="T67" s="66">
        <v>1.9179999999999999</v>
      </c>
      <c r="U67" s="66">
        <v>1.579</v>
      </c>
      <c r="AM67" s="66">
        <f t="shared" si="63"/>
        <v>0</v>
      </c>
      <c r="AN67" s="66">
        <f t="shared" si="64"/>
        <v>0.80200000000000005</v>
      </c>
      <c r="AO67" s="66">
        <f t="shared" si="65"/>
        <v>1.3109999999999999</v>
      </c>
      <c r="AP67" s="66">
        <f t="shared" si="66"/>
        <v>1.6919999999999999</v>
      </c>
    </row>
    <row r="68" spans="2:105">
      <c r="B68" s="1" t="s">
        <v>408</v>
      </c>
      <c r="C68" s="66"/>
      <c r="D68" s="66"/>
      <c r="E68" s="66"/>
      <c r="F68" s="66">
        <v>0</v>
      </c>
      <c r="G68" s="66">
        <v>0.35099999999999998</v>
      </c>
      <c r="H68" s="66">
        <v>0.156</v>
      </c>
      <c r="I68" s="66">
        <v>28.547000000000001</v>
      </c>
      <c r="J68" s="66">
        <v>28.404</v>
      </c>
      <c r="K68" s="66">
        <v>28.300999999999998</v>
      </c>
      <c r="L68" s="66">
        <v>28.196000000000002</v>
      </c>
      <c r="M68" s="66">
        <v>30.376999999999999</v>
      </c>
      <c r="N68" s="66">
        <v>30.975999999999999</v>
      </c>
      <c r="O68" s="66">
        <v>31.457999999999998</v>
      </c>
      <c r="P68" s="66">
        <v>31.085000000000001</v>
      </c>
      <c r="Q68" s="66">
        <v>30.626999999999999</v>
      </c>
      <c r="R68" s="66">
        <v>30.355</v>
      </c>
      <c r="S68" s="66">
        <v>29.773</v>
      </c>
      <c r="T68" s="66">
        <v>31.231000000000002</v>
      </c>
      <c r="U68" s="66">
        <v>31.145</v>
      </c>
      <c r="AM68" s="66">
        <f t="shared" si="63"/>
        <v>0</v>
      </c>
      <c r="AN68" s="66">
        <f t="shared" si="64"/>
        <v>28.404</v>
      </c>
      <c r="AO68" s="66">
        <f t="shared" si="65"/>
        <v>30.975999999999999</v>
      </c>
      <c r="AP68" s="66">
        <f t="shared" si="66"/>
        <v>30.355</v>
      </c>
    </row>
    <row r="69" spans="2:105">
      <c r="B69" s="1" t="s">
        <v>409</v>
      </c>
      <c r="C69" s="66"/>
      <c r="D69" s="66"/>
      <c r="E69" s="66"/>
      <c r="F69" s="66">
        <v>0</v>
      </c>
      <c r="G69" s="66">
        <v>0</v>
      </c>
      <c r="H69" s="66">
        <v>0</v>
      </c>
      <c r="I69" s="66">
        <v>0</v>
      </c>
      <c r="J69" s="66">
        <v>0</v>
      </c>
      <c r="K69" s="66">
        <v>0</v>
      </c>
      <c r="L69" s="66">
        <v>0</v>
      </c>
      <c r="M69" s="66">
        <v>0</v>
      </c>
      <c r="N69" s="66">
        <v>0</v>
      </c>
      <c r="O69" s="66">
        <v>0</v>
      </c>
      <c r="P69" s="66">
        <v>0</v>
      </c>
      <c r="Q69" s="66">
        <v>0</v>
      </c>
      <c r="R69" s="66">
        <v>36.231000000000002</v>
      </c>
      <c r="S69" s="66">
        <v>35.395000000000003</v>
      </c>
      <c r="T69" s="66">
        <v>35.125999999999998</v>
      </c>
      <c r="U69" s="66">
        <v>36.747999999999998</v>
      </c>
      <c r="AM69" s="66">
        <f t="shared" si="63"/>
        <v>0</v>
      </c>
      <c r="AN69" s="66">
        <f t="shared" si="64"/>
        <v>0</v>
      </c>
      <c r="AO69" s="66">
        <f t="shared" si="65"/>
        <v>0</v>
      </c>
      <c r="AP69" s="66">
        <f t="shared" si="66"/>
        <v>36.231000000000002</v>
      </c>
    </row>
    <row r="70" spans="2:105">
      <c r="B70" s="1" t="s">
        <v>410</v>
      </c>
      <c r="C70" s="66"/>
      <c r="D70" s="66"/>
      <c r="E70" s="66"/>
      <c r="F70" s="66">
        <v>0</v>
      </c>
      <c r="G70" s="66">
        <v>0</v>
      </c>
      <c r="H70" s="66">
        <v>0</v>
      </c>
      <c r="I70" s="66">
        <v>0</v>
      </c>
      <c r="J70" s="66">
        <v>1.4159999999999999</v>
      </c>
      <c r="K70" s="66">
        <v>1.4159999999999999</v>
      </c>
      <c r="L70" s="66">
        <v>1.304</v>
      </c>
      <c r="M70" s="66">
        <v>0</v>
      </c>
      <c r="N70" s="66">
        <v>0</v>
      </c>
      <c r="O70" s="66">
        <v>0</v>
      </c>
      <c r="P70" s="66">
        <v>0</v>
      </c>
      <c r="Q70" s="66">
        <v>0</v>
      </c>
      <c r="R70" s="66">
        <v>66.400000000000006</v>
      </c>
      <c r="S70" s="66">
        <v>63.341000000000001</v>
      </c>
      <c r="T70" s="66">
        <v>44.503</v>
      </c>
      <c r="U70" s="66">
        <v>45.805</v>
      </c>
      <c r="AM70" s="66">
        <f t="shared" si="63"/>
        <v>0</v>
      </c>
      <c r="AN70" s="66">
        <f t="shared" si="64"/>
        <v>1.4159999999999999</v>
      </c>
      <c r="AO70" s="66">
        <f t="shared" si="65"/>
        <v>0</v>
      </c>
      <c r="AP70" s="66">
        <f t="shared" si="66"/>
        <v>66.400000000000006</v>
      </c>
    </row>
    <row r="71" spans="2:105" s="2" customFormat="1" ht="15">
      <c r="B71" s="2" t="s">
        <v>411</v>
      </c>
      <c r="C71" s="70"/>
      <c r="D71" s="70"/>
      <c r="E71" s="70"/>
      <c r="F71" s="70">
        <f t="shared" ref="F71:T71" si="67">SUM(F64:F70)</f>
        <v>13.838000000000001</v>
      </c>
      <c r="G71" s="70">
        <f t="shared" si="67"/>
        <v>20.966000000000001</v>
      </c>
      <c r="H71" s="70">
        <f t="shared" si="67"/>
        <v>31.738</v>
      </c>
      <c r="I71" s="70">
        <f t="shared" si="67"/>
        <v>58.057699999999997</v>
      </c>
      <c r="J71" s="70">
        <f t="shared" si="67"/>
        <v>72.332999999999998</v>
      </c>
      <c r="K71" s="70">
        <f t="shared" si="67"/>
        <v>65.296999999999997</v>
      </c>
      <c r="L71" s="70">
        <f t="shared" si="67"/>
        <v>70.484000000000009</v>
      </c>
      <c r="M71" s="70">
        <f t="shared" si="67"/>
        <v>72.72</v>
      </c>
      <c r="N71" s="70">
        <f t="shared" si="67"/>
        <v>87.15</v>
      </c>
      <c r="O71" s="70">
        <f t="shared" si="67"/>
        <v>79.798000000000002</v>
      </c>
      <c r="P71" s="70">
        <f t="shared" si="67"/>
        <v>89.323000000000008</v>
      </c>
      <c r="Q71" s="70">
        <f t="shared" si="67"/>
        <v>96.692999999999998</v>
      </c>
      <c r="R71" s="70">
        <f t="shared" si="67"/>
        <v>209.32500000000002</v>
      </c>
      <c r="S71" s="70">
        <f t="shared" si="67"/>
        <v>214.54599999999999</v>
      </c>
      <c r="T71" s="70">
        <f t="shared" si="67"/>
        <v>249.12100000000004</v>
      </c>
      <c r="U71" s="70">
        <f>SUM(U64:U70)</f>
        <v>262.47800000000001</v>
      </c>
      <c r="X71" s="34"/>
      <c r="Y71" s="34"/>
      <c r="Z71" s="34"/>
      <c r="AA71" s="34"/>
      <c r="AB71" s="34"/>
      <c r="AC71" s="34"/>
      <c r="AD71" s="34"/>
      <c r="AM71" s="70">
        <f t="shared" si="63"/>
        <v>13.838000000000001</v>
      </c>
      <c r="AN71" s="70">
        <f t="shared" si="64"/>
        <v>72.332999999999998</v>
      </c>
      <c r="AO71" s="70">
        <f t="shared" si="65"/>
        <v>87.15</v>
      </c>
      <c r="AP71" s="70">
        <f t="shared" si="66"/>
        <v>209.32500000000002</v>
      </c>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c r="CS71" s="74"/>
      <c r="CT71" s="74"/>
      <c r="CU71" s="74"/>
      <c r="CV71" s="74"/>
      <c r="CW71" s="74"/>
      <c r="CX71" s="74"/>
      <c r="CY71" s="74"/>
      <c r="CZ71" s="74"/>
      <c r="DA71" s="74"/>
    </row>
    <row r="72" spans="2:105">
      <c r="B72" s="1" t="s">
        <v>412</v>
      </c>
      <c r="C72" s="66"/>
      <c r="D72" s="66"/>
      <c r="E72" s="66"/>
      <c r="F72" s="66">
        <v>200.25399999999999</v>
      </c>
      <c r="G72" s="66">
        <v>213.61099999999999</v>
      </c>
      <c r="H72" s="66">
        <v>221.821</v>
      </c>
      <c r="I72" s="66">
        <v>234.37</v>
      </c>
      <c r="J72" s="66">
        <v>239.209</v>
      </c>
      <c r="K72" s="66">
        <v>418.81200000000001</v>
      </c>
      <c r="L72" s="66">
        <v>413.77800000000002</v>
      </c>
      <c r="M72" s="66">
        <v>415.09899999999999</v>
      </c>
      <c r="N72" s="66">
        <v>417.00200000000001</v>
      </c>
      <c r="O72" s="66">
        <v>426.73599999999999</v>
      </c>
      <c r="P72" s="66">
        <v>435.64499999999998</v>
      </c>
      <c r="Q72" s="66">
        <v>452.14</v>
      </c>
      <c r="R72" s="66">
        <v>464.91</v>
      </c>
      <c r="S72" s="66">
        <v>447.23</v>
      </c>
      <c r="T72" s="66">
        <v>423.80900000000003</v>
      </c>
      <c r="U72" s="66">
        <v>434.76100000000002</v>
      </c>
      <c r="AM72" s="66">
        <f t="shared" si="63"/>
        <v>200.25399999999999</v>
      </c>
      <c r="AN72" s="66">
        <f t="shared" si="64"/>
        <v>239.209</v>
      </c>
      <c r="AO72" s="66">
        <f t="shared" si="65"/>
        <v>417.00200000000001</v>
      </c>
      <c r="AP72" s="66">
        <f t="shared" si="66"/>
        <v>464.91</v>
      </c>
    </row>
    <row r="73" spans="2:105" s="2" customFormat="1" ht="15">
      <c r="B73" s="2" t="s">
        <v>413</v>
      </c>
      <c r="C73" s="70"/>
      <c r="D73" s="70"/>
      <c r="E73" s="70"/>
      <c r="F73" s="70">
        <f t="shared" ref="F73:T73" si="68">F71+F72</f>
        <v>214.09199999999998</v>
      </c>
      <c r="G73" s="70">
        <f t="shared" si="68"/>
        <v>234.577</v>
      </c>
      <c r="H73" s="70">
        <f t="shared" si="68"/>
        <v>253.559</v>
      </c>
      <c r="I73" s="70">
        <f t="shared" si="68"/>
        <v>292.42770000000002</v>
      </c>
      <c r="J73" s="70">
        <f t="shared" si="68"/>
        <v>311.54200000000003</v>
      </c>
      <c r="K73" s="70">
        <f t="shared" si="68"/>
        <v>484.10900000000004</v>
      </c>
      <c r="L73" s="70">
        <f t="shared" si="68"/>
        <v>484.26200000000006</v>
      </c>
      <c r="M73" s="70">
        <f t="shared" si="68"/>
        <v>487.81899999999996</v>
      </c>
      <c r="N73" s="70">
        <f t="shared" si="68"/>
        <v>504.15200000000004</v>
      </c>
      <c r="O73" s="70">
        <f t="shared" si="68"/>
        <v>506.53399999999999</v>
      </c>
      <c r="P73" s="70">
        <f t="shared" si="68"/>
        <v>524.96799999999996</v>
      </c>
      <c r="Q73" s="70">
        <f t="shared" si="68"/>
        <v>548.83299999999997</v>
      </c>
      <c r="R73" s="70">
        <f t="shared" si="68"/>
        <v>674.23500000000001</v>
      </c>
      <c r="S73" s="70">
        <f t="shared" si="68"/>
        <v>661.77600000000007</v>
      </c>
      <c r="T73" s="70">
        <f t="shared" si="68"/>
        <v>672.93000000000006</v>
      </c>
      <c r="U73" s="70">
        <f>U71+U72</f>
        <v>697.23900000000003</v>
      </c>
      <c r="X73" s="34"/>
      <c r="Y73" s="34"/>
      <c r="Z73" s="34"/>
      <c r="AA73" s="34"/>
      <c r="AB73" s="34"/>
      <c r="AC73" s="34"/>
      <c r="AD73" s="34"/>
      <c r="AM73" s="70">
        <f t="shared" si="63"/>
        <v>214.09199999999998</v>
      </c>
      <c r="AN73" s="70">
        <f t="shared" si="64"/>
        <v>311.54200000000003</v>
      </c>
      <c r="AO73" s="70">
        <f t="shared" si="65"/>
        <v>504.15200000000004</v>
      </c>
      <c r="AP73" s="70">
        <f t="shared" si="66"/>
        <v>674.23500000000001</v>
      </c>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c r="CS73" s="74"/>
      <c r="CT73" s="74"/>
      <c r="CU73" s="74"/>
      <c r="CV73" s="74"/>
      <c r="CW73" s="74"/>
      <c r="CX73" s="74"/>
      <c r="CY73" s="74"/>
      <c r="CZ73" s="74"/>
      <c r="DA73" s="74"/>
    </row>
    <row r="75" spans="2:105">
      <c r="B75" s="1" t="s">
        <v>65</v>
      </c>
      <c r="F75" s="71">
        <f t="shared" ref="F75:T75" si="69">SUM(F51:F56)/SUM(F64:F67)</f>
        <v>14.862913715854891</v>
      </c>
      <c r="G75" s="71">
        <f t="shared" si="69"/>
        <v>10.73378607809847</v>
      </c>
      <c r="H75" s="71">
        <f t="shared" si="69"/>
        <v>7.2247482743334803</v>
      </c>
      <c r="I75" s="71">
        <f t="shared" si="69"/>
        <v>7.731094145513322</v>
      </c>
      <c r="J75" s="71">
        <f t="shared" si="69"/>
        <v>5.8612894879213417</v>
      </c>
      <c r="K75" s="71">
        <f t="shared" si="69"/>
        <v>11.617172568858908</v>
      </c>
      <c r="L75" s="71">
        <f t="shared" si="69"/>
        <v>10.036550849111848</v>
      </c>
      <c r="M75" s="71">
        <f t="shared" si="69"/>
        <v>9.6963134402380557</v>
      </c>
      <c r="N75" s="71">
        <f t="shared" si="69"/>
        <v>7.528482928045003</v>
      </c>
      <c r="O75" s="71">
        <f t="shared" si="69"/>
        <v>8.8044269755895748</v>
      </c>
      <c r="P75" s="71">
        <f t="shared" si="69"/>
        <v>7.6344826402005559</v>
      </c>
      <c r="Q75" s="71">
        <f t="shared" si="69"/>
        <v>7.0997941452486906</v>
      </c>
      <c r="R75" s="71">
        <f t="shared" si="69"/>
        <v>3.0857490928621023</v>
      </c>
      <c r="S75" s="71">
        <f t="shared" si="69"/>
        <v>2.7117751664981351</v>
      </c>
      <c r="T75" s="71">
        <f t="shared" si="69"/>
        <v>1.8034876067726977</v>
      </c>
      <c r="U75" s="71">
        <f>SUM(U51:U56)/SUM(U64:U67)</f>
        <v>1.7703051485414707</v>
      </c>
      <c r="AM75" s="71">
        <f t="shared" ref="AM75:AP75" si="70">SUM(AM51:AM56)/SUM(AM64:AM67)</f>
        <v>14.862913715854891</v>
      </c>
      <c r="AN75" s="71">
        <f t="shared" si="70"/>
        <v>5.8612894879213417</v>
      </c>
      <c r="AO75" s="71">
        <f t="shared" si="70"/>
        <v>7.528482928045003</v>
      </c>
      <c r="AP75" s="71">
        <f t="shared" si="70"/>
        <v>3.0857490928621023</v>
      </c>
    </row>
    <row r="76" spans="2:105" s="2" customFormat="1" ht="15">
      <c r="B76" s="1" t="s">
        <v>66</v>
      </c>
      <c r="F76" s="71">
        <f t="shared" ref="F76:T76" si="71">(SUM(F51:F56)-F55)/SUM(F64:F67)</f>
        <v>14.097123861829743</v>
      </c>
      <c r="G76" s="71">
        <f t="shared" si="71"/>
        <v>10.070919233567789</v>
      </c>
      <c r="H76" s="71">
        <f t="shared" si="71"/>
        <v>6.6512570451523008</v>
      </c>
      <c r="I76" s="71">
        <f t="shared" si="71"/>
        <v>7.070350754133246</v>
      </c>
      <c r="J76" s="71">
        <f t="shared" si="71"/>
        <v>5.3660762590266504</v>
      </c>
      <c r="K76" s="71">
        <f t="shared" si="71"/>
        <v>10.947470489038786</v>
      </c>
      <c r="L76" s="71">
        <f t="shared" si="71"/>
        <v>9.3857114971696269</v>
      </c>
      <c r="M76" s="71">
        <f t="shared" si="71"/>
        <v>8.9956073022695602</v>
      </c>
      <c r="N76" s="71">
        <f t="shared" si="71"/>
        <v>6.9484815038986003</v>
      </c>
      <c r="O76" s="71">
        <f t="shared" si="71"/>
        <v>8.0493793959453868</v>
      </c>
      <c r="P76" s="71">
        <f t="shared" si="71"/>
        <v>6.9650915210000344</v>
      </c>
      <c r="Q76" s="71">
        <f t="shared" si="71"/>
        <v>6.4909030363575821</v>
      </c>
      <c r="R76" s="71">
        <f t="shared" si="71"/>
        <v>2.5237820773130379</v>
      </c>
      <c r="S76" s="71">
        <f t="shared" si="71"/>
        <v>2.1928123946674107</v>
      </c>
      <c r="T76" s="71">
        <f t="shared" si="71"/>
        <v>1.4464888869601693</v>
      </c>
      <c r="U76" s="71">
        <f>(SUM(U51:U56)-U55)/SUM(U64:U67)</f>
        <v>1.3992203253125421</v>
      </c>
      <c r="X76" s="34"/>
      <c r="Y76" s="34"/>
      <c r="Z76" s="34"/>
      <c r="AA76" s="34"/>
      <c r="AB76" s="34"/>
      <c r="AC76" s="34"/>
      <c r="AD76" s="34"/>
      <c r="AM76" s="71">
        <f t="shared" ref="AM76:AP76" si="72">(SUM(AM51:AM56)-AM55)/SUM(AM64:AM67)</f>
        <v>14.097123861829743</v>
      </c>
      <c r="AN76" s="71">
        <f t="shared" si="72"/>
        <v>5.3660762590266504</v>
      </c>
      <c r="AO76" s="71">
        <f t="shared" si="72"/>
        <v>6.9484815038986003</v>
      </c>
      <c r="AP76" s="71">
        <f t="shared" si="72"/>
        <v>2.5237820773130379</v>
      </c>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c r="CS76" s="74"/>
      <c r="CT76" s="74"/>
      <c r="CU76" s="74"/>
      <c r="CV76" s="74"/>
      <c r="CW76" s="74"/>
      <c r="CX76" s="74"/>
      <c r="CY76" s="74"/>
      <c r="CZ76" s="74"/>
      <c r="DA76" s="74"/>
    </row>
    <row r="77" spans="2:105">
      <c r="B77" s="1" t="s">
        <v>67</v>
      </c>
      <c r="F77" s="71">
        <f t="shared" ref="F77:T77" si="73">F51/SUM(F64:F67)</f>
        <v>8.2547333429686365</v>
      </c>
      <c r="G77" s="71">
        <f t="shared" si="73"/>
        <v>4.9916565607567307</v>
      </c>
      <c r="H77" s="71">
        <f t="shared" si="73"/>
        <v>2.8915838135646887</v>
      </c>
      <c r="I77" s="71">
        <f t="shared" si="73"/>
        <v>2.7501211425008556</v>
      </c>
      <c r="J77" s="71">
        <f t="shared" si="73"/>
        <v>2.1817326464846047</v>
      </c>
      <c r="K77" s="71">
        <f t="shared" si="73"/>
        <v>5.2432827431141096</v>
      </c>
      <c r="L77" s="71">
        <f t="shared" si="73"/>
        <v>1.945246925629514</v>
      </c>
      <c r="M77" s="71">
        <f t="shared" si="73"/>
        <v>1.9726519141298444</v>
      </c>
      <c r="N77" s="71">
        <f t="shared" si="73"/>
        <v>1.0720618079538577</v>
      </c>
      <c r="O77" s="71">
        <f t="shared" si="73"/>
        <v>1.1700868845676458</v>
      </c>
      <c r="P77" s="71">
        <f t="shared" si="73"/>
        <v>0.99311446134826065</v>
      </c>
      <c r="Q77" s="71">
        <f t="shared" si="73"/>
        <v>1.3498622589531681</v>
      </c>
      <c r="R77" s="71">
        <f t="shared" si="73"/>
        <v>0.5056000209591428</v>
      </c>
      <c r="S77" s="71">
        <f t="shared" si="73"/>
        <v>0.77532921882445927</v>
      </c>
      <c r="T77" s="71">
        <f t="shared" si="73"/>
        <v>0.50719291774253039</v>
      </c>
      <c r="U77" s="71">
        <f>U51/SUM(U64:U67)</f>
        <v>0.27652238204059681</v>
      </c>
      <c r="AM77" s="71">
        <f t="shared" ref="AM77:AP77" si="74">AM51/SUM(AM64:AM67)</f>
        <v>8.2547333429686365</v>
      </c>
      <c r="AN77" s="71">
        <f t="shared" si="74"/>
        <v>2.1817326464846047</v>
      </c>
      <c r="AO77" s="71">
        <f t="shared" si="74"/>
        <v>1.0720618079538577</v>
      </c>
      <c r="AP77" s="71">
        <f t="shared" si="74"/>
        <v>0.5056000209591428</v>
      </c>
    </row>
    <row r="78" spans="2:105">
      <c r="B78" s="1" t="s">
        <v>68</v>
      </c>
      <c r="F78" s="71">
        <f t="shared" ref="F78:T78" si="75">F26/F62</f>
        <v>0.22705192160379645</v>
      </c>
      <c r="G78" s="71">
        <f t="shared" si="75"/>
        <v>0.24468298256009754</v>
      </c>
      <c r="H78" s="71">
        <f t="shared" si="75"/>
        <v>0.25024944884622519</v>
      </c>
      <c r="I78" s="71">
        <f t="shared" si="75"/>
        <v>0.24934770045173668</v>
      </c>
      <c r="J78" s="71">
        <f t="shared" si="75"/>
        <v>0.26711647225735213</v>
      </c>
      <c r="K78" s="71">
        <f t="shared" si="75"/>
        <v>0.17919931255151217</v>
      </c>
      <c r="L78" s="71">
        <f t="shared" si="75"/>
        <v>0.19151616273835237</v>
      </c>
      <c r="M78" s="71">
        <f t="shared" si="75"/>
        <v>0.19721249069839425</v>
      </c>
      <c r="N78" s="71">
        <f t="shared" si="75"/>
        <v>0.21376687982989262</v>
      </c>
      <c r="O78" s="71">
        <f t="shared" si="75"/>
        <v>0.22933899797446963</v>
      </c>
      <c r="P78" s="71">
        <f t="shared" si="75"/>
        <v>0.22669000777190229</v>
      </c>
      <c r="Q78" s="71">
        <f t="shared" si="75"/>
        <v>0.23023564716879025</v>
      </c>
      <c r="R78" s="71">
        <f t="shared" si="75"/>
        <v>0.19593168553990817</v>
      </c>
      <c r="S78" s="71">
        <f t="shared" si="75"/>
        <v>0.2163723072459563</v>
      </c>
      <c r="T78" s="71">
        <f t="shared" si="75"/>
        <v>0.21668821422733414</v>
      </c>
      <c r="U78" s="71">
        <f>U26/U62</f>
        <v>0.21999629969063694</v>
      </c>
      <c r="AM78" s="71">
        <f t="shared" ref="AM78:AP78" si="76">AM26/AM62</f>
        <v>0.65238308764456399</v>
      </c>
      <c r="AN78" s="71">
        <f t="shared" si="76"/>
        <v>0.88907434631606652</v>
      </c>
      <c r="AO78" s="71">
        <f t="shared" si="76"/>
        <v>0.76062576365857926</v>
      </c>
      <c r="AP78" s="71">
        <f t="shared" si="76"/>
        <v>0.73214383708944208</v>
      </c>
    </row>
    <row r="79" spans="2:105">
      <c r="B79" s="1" t="s">
        <v>69</v>
      </c>
      <c r="F79" s="71">
        <f t="shared" ref="F79:T79" si="77">F55/AVERAGE(C27:F27)</f>
        <v>3.234243857775065</v>
      </c>
      <c r="G79" s="71">
        <f t="shared" si="77"/>
        <v>3.6384210876655794</v>
      </c>
      <c r="H79" s="71">
        <f t="shared" si="77"/>
        <v>4.4310703363914365</v>
      </c>
      <c r="I79" s="71">
        <f t="shared" si="77"/>
        <v>3.8684654300168635</v>
      </c>
      <c r="J79" s="71">
        <f t="shared" si="77"/>
        <v>3.4015429979399765</v>
      </c>
      <c r="K79" s="71">
        <f t="shared" si="77"/>
        <v>3.1664064316800107</v>
      </c>
      <c r="L79" s="71">
        <f t="shared" si="77"/>
        <v>2.9942190043217152</v>
      </c>
      <c r="M79" s="71">
        <f t="shared" si="77"/>
        <v>2.9925866155630643</v>
      </c>
      <c r="N79" s="71">
        <f t="shared" si="77"/>
        <v>2.9282343953624235</v>
      </c>
      <c r="O79" s="71">
        <f t="shared" si="77"/>
        <v>3.0239436619718312</v>
      </c>
      <c r="P79" s="71">
        <f t="shared" si="77"/>
        <v>3.0116847248778416</v>
      </c>
      <c r="Q79" s="71">
        <f t="shared" si="77"/>
        <v>2.9155281753940931</v>
      </c>
      <c r="R79" s="71">
        <f t="shared" si="77"/>
        <v>2.9051262951174919</v>
      </c>
      <c r="S79" s="71">
        <f t="shared" si="77"/>
        <v>2.7810650887573964</v>
      </c>
      <c r="T79" s="71">
        <f t="shared" si="77"/>
        <v>2.805724111469539</v>
      </c>
      <c r="U79" s="71">
        <f>U55/AVERAGE(R27:U27)</f>
        <v>2.915687465342875</v>
      </c>
      <c r="AM79" s="71">
        <f t="shared" ref="AM79:AP79" si="78">AM55/AVERAGE(AJ27:AM27)</f>
        <v>0.80856096444376624</v>
      </c>
      <c r="AN79" s="71">
        <f t="shared" si="78"/>
        <v>1.1120619074030056</v>
      </c>
      <c r="AO79" s="71">
        <f t="shared" si="78"/>
        <v>1.1866478893758576</v>
      </c>
      <c r="AP79" s="71">
        <f t="shared" si="78"/>
        <v>1.2132610278781364</v>
      </c>
    </row>
    <row r="80" spans="2:105">
      <c r="B80" s="1" t="s">
        <v>70</v>
      </c>
      <c r="F80" s="67">
        <f t="shared" ref="F80:T80" si="79">F40/F62</f>
        <v>3.2626160715953804E-2</v>
      </c>
      <c r="G80" s="67">
        <f t="shared" si="79"/>
        <v>3.1840291247649997E-2</v>
      </c>
      <c r="H80" s="67">
        <f t="shared" si="79"/>
        <v>1.5905568329264614E-2</v>
      </c>
      <c r="I80" s="67">
        <f t="shared" si="79"/>
        <v>-9.5887178680491344E-3</v>
      </c>
      <c r="J80" s="67">
        <f t="shared" si="79"/>
        <v>3.5532929749439281E-3</v>
      </c>
      <c r="K80" s="67">
        <f t="shared" si="79"/>
        <v>-6.4634204280441141E-3</v>
      </c>
      <c r="L80" s="67">
        <f t="shared" si="79"/>
        <v>-2.1036133332782675E-2</v>
      </c>
      <c r="M80" s="67">
        <f t="shared" si="79"/>
        <v>-2.0813047462276E-2</v>
      </c>
      <c r="N80" s="67">
        <f t="shared" si="79"/>
        <v>-1.1500499849251826E-2</v>
      </c>
      <c r="O80" s="67">
        <f t="shared" si="79"/>
        <v>-4.3768039262912341E-3</v>
      </c>
      <c r="P80" s="67">
        <f t="shared" si="79"/>
        <v>3.9716706542113215E-3</v>
      </c>
      <c r="Q80" s="67">
        <f t="shared" si="79"/>
        <v>5.7467808734596726E-3</v>
      </c>
      <c r="R80" s="67">
        <f t="shared" si="79"/>
        <v>-6.901154641927503E-3</v>
      </c>
      <c r="S80" s="67">
        <f t="shared" si="79"/>
        <v>-3.6577331302434672E-2</v>
      </c>
      <c r="T80" s="67">
        <f t="shared" si="79"/>
        <v>-4.6590284279197001E-2</v>
      </c>
      <c r="U80" s="67">
        <f>U40/U62</f>
        <v>-2.6345342128022045E-2</v>
      </c>
      <c r="AM80" s="67">
        <f t="shared" ref="AM80:AP80" si="80">AM40/AM62</f>
        <v>6.4406890495674704E-2</v>
      </c>
      <c r="AN80" s="67">
        <f t="shared" si="80"/>
        <v>3.1472482040944647E-2</v>
      </c>
      <c r="AO80" s="67">
        <f t="shared" si="80"/>
        <v>-5.8051936717497976E-2</v>
      </c>
      <c r="AP80" s="67">
        <f t="shared" si="80"/>
        <v>-2.4190378725518344E-3</v>
      </c>
    </row>
    <row r="81" spans="2:105">
      <c r="B81" s="1" t="s">
        <v>71</v>
      </c>
      <c r="F81" s="67">
        <f t="shared" ref="F81:T81" si="81">F40/F72</f>
        <v>3.4880701509083373E-2</v>
      </c>
      <c r="G81" s="67">
        <f t="shared" si="81"/>
        <v>3.4965427810365539E-2</v>
      </c>
      <c r="H81" s="67">
        <f t="shared" si="81"/>
        <v>1.8181326384787762E-2</v>
      </c>
      <c r="I81" s="67">
        <f t="shared" si="81"/>
        <v>-1.1963988565089404E-2</v>
      </c>
      <c r="J81" s="67">
        <f t="shared" si="81"/>
        <v>4.6277523002896254E-3</v>
      </c>
      <c r="K81" s="67">
        <f t="shared" si="81"/>
        <v>-7.4711326323028179E-3</v>
      </c>
      <c r="L81" s="67">
        <f t="shared" si="81"/>
        <v>-2.4619481944424312E-2</v>
      </c>
      <c r="M81" s="67">
        <f t="shared" si="81"/>
        <v>-2.4459225389605894E-2</v>
      </c>
      <c r="N81" s="67">
        <f t="shared" si="81"/>
        <v>-1.3904010052709592E-2</v>
      </c>
      <c r="O81" s="67">
        <f t="shared" si="81"/>
        <v>-5.1952495219526927E-3</v>
      </c>
      <c r="P81" s="67">
        <f t="shared" si="81"/>
        <v>4.7860069552043728E-3</v>
      </c>
      <c r="Q81" s="67">
        <f t="shared" si="81"/>
        <v>6.9757154863537823E-3</v>
      </c>
      <c r="R81" s="67">
        <f t="shared" si="81"/>
        <v>-1.0008388720397474E-2</v>
      </c>
      <c r="S81" s="67">
        <f t="shared" si="81"/>
        <v>-5.4124276099546113E-2</v>
      </c>
      <c r="T81" s="67">
        <f t="shared" si="81"/>
        <v>-7.3976720645385158E-2</v>
      </c>
      <c r="U81" s="67">
        <f>U40/U72</f>
        <v>-4.2250799864753191E-2</v>
      </c>
      <c r="AM81" s="67">
        <f t="shared" ref="AM81:AP81" si="82">AM40/AM72</f>
        <v>6.8857550910343804E-2</v>
      </c>
      <c r="AN81" s="67">
        <f t="shared" si="82"/>
        <v>4.0989260437525245E-2</v>
      </c>
      <c r="AO81" s="67">
        <f t="shared" si="82"/>
        <v>-7.0184315662754695E-2</v>
      </c>
      <c r="AP81" s="67">
        <f t="shared" si="82"/>
        <v>-3.5082058893118797E-3</v>
      </c>
    </row>
    <row r="83" spans="2:105">
      <c r="B83" s="1" t="s">
        <v>444</v>
      </c>
      <c r="C83" s="66">
        <f t="shared" ref="C83:U83" si="83">C40</f>
        <v>4.1119999999999983</v>
      </c>
      <c r="D83" s="66">
        <f t="shared" si="83"/>
        <v>-3.803999999999998</v>
      </c>
      <c r="E83" s="66">
        <f t="shared" si="83"/>
        <v>6.4960000000000049</v>
      </c>
      <c r="F83" s="66">
        <f t="shared" si="83"/>
        <v>6.9849999999999808</v>
      </c>
      <c r="G83" s="66">
        <f t="shared" si="83"/>
        <v>7.4689999999999932</v>
      </c>
      <c r="H83" s="66">
        <f t="shared" si="83"/>
        <v>4.0330000000000057</v>
      </c>
      <c r="I83" s="66">
        <f t="shared" si="83"/>
        <v>-2.8040000000000038</v>
      </c>
      <c r="J83" s="66">
        <f t="shared" si="83"/>
        <v>1.1069999999999811</v>
      </c>
      <c r="K83" s="66">
        <f t="shared" si="83"/>
        <v>-3.129000000000008</v>
      </c>
      <c r="L83" s="66">
        <f t="shared" si="83"/>
        <v>-10.187000000000003</v>
      </c>
      <c r="M83" s="66">
        <f t="shared" si="83"/>
        <v>-10.153000000000016</v>
      </c>
      <c r="N83" s="66">
        <f t="shared" si="83"/>
        <v>-5.7980000000000054</v>
      </c>
      <c r="O83" s="66">
        <f t="shared" si="83"/>
        <v>-2.2170000000000041</v>
      </c>
      <c r="P83" s="66">
        <f t="shared" si="83"/>
        <v>2.0850000000000088</v>
      </c>
      <c r="Q83" s="66">
        <f t="shared" si="83"/>
        <v>3.153999999999999</v>
      </c>
      <c r="R83" s="66">
        <f t="shared" si="83"/>
        <v>-4.6529999999999898</v>
      </c>
      <c r="S83" s="66">
        <f t="shared" si="83"/>
        <v>-24.20600000000001</v>
      </c>
      <c r="T83" s="66">
        <f t="shared" si="83"/>
        <v>-31.352000000000039</v>
      </c>
      <c r="U83" s="66">
        <f t="shared" si="83"/>
        <v>-18.368999999999964</v>
      </c>
      <c r="AM83" s="66">
        <f t="shared" ref="AM83:AM88" si="84">SUM(C83:F83)</f>
        <v>13.788999999999987</v>
      </c>
      <c r="AN83" s="66">
        <f t="shared" ref="AN83:AN88" si="85">SUM(G83:J83)</f>
        <v>9.8049999999999766</v>
      </c>
      <c r="AO83" s="66">
        <f t="shared" ref="AO83:AO88" si="86">SUM(K83:N83)</f>
        <v>-29.267000000000035</v>
      </c>
      <c r="AP83" s="66">
        <f t="shared" ref="AP83:AP88" si="87">SUM(O83:R83)</f>
        <v>-1.630999999999986</v>
      </c>
    </row>
    <row r="84" spans="2:105" s="2" customFormat="1" ht="15">
      <c r="B84" s="2" t="s">
        <v>73</v>
      </c>
      <c r="C84" s="70">
        <v>-0.67900000000000005</v>
      </c>
      <c r="D84" s="70">
        <f>-1.805-SUM(C84)</f>
        <v>-1.1259999999999999</v>
      </c>
      <c r="E84" s="70">
        <f>3.536-SUM(C84:D84)</f>
        <v>5.3410000000000002</v>
      </c>
      <c r="F84" s="70">
        <f>1.912-SUM(C84:E84)</f>
        <v>-1.6240000000000006</v>
      </c>
      <c r="G84" s="70">
        <v>8.766</v>
      </c>
      <c r="H84" s="70">
        <f>16.068-SUM(G84)</f>
        <v>7.3020000000000014</v>
      </c>
      <c r="I84" s="70">
        <f>10.479-SUM(G84:H84)</f>
        <v>-5.5890000000000022</v>
      </c>
      <c r="J84" s="70">
        <f>25.486-SUM(G84:I84)</f>
        <v>15.007000000000001</v>
      </c>
      <c r="K84" s="70">
        <v>-9.1</v>
      </c>
      <c r="L84" s="70">
        <f>-12.161-SUM(K84)</f>
        <v>-3.0609999999999999</v>
      </c>
      <c r="M84" s="70">
        <f>25.227-SUM(K84:L84)</f>
        <v>37.387999999999998</v>
      </c>
      <c r="N84" s="70">
        <f>-13.972-SUM(K84:M84)</f>
        <v>-39.198999999999998</v>
      </c>
      <c r="O84" s="70">
        <v>-2.0129999999999999</v>
      </c>
      <c r="P84" s="70">
        <f>7.747-SUM(O84)</f>
        <v>9.76</v>
      </c>
      <c r="Q84" s="70">
        <f>23.686-SUM(O84:P84)</f>
        <v>15.939</v>
      </c>
      <c r="R84" s="70">
        <f>35.927-SUM(O84:Q84)</f>
        <v>12.241</v>
      </c>
      <c r="S84" s="70">
        <v>-12.288</v>
      </c>
      <c r="T84" s="70">
        <f>-0.775-SUM(S84)</f>
        <v>11.513</v>
      </c>
      <c r="U84" s="70">
        <f>1.937-SUM(S84:T84)</f>
        <v>2.7120000000000006</v>
      </c>
      <c r="X84" s="34"/>
      <c r="Y84" s="34"/>
      <c r="Z84" s="34"/>
      <c r="AA84" s="34"/>
      <c r="AB84" s="34"/>
      <c r="AC84" s="34"/>
      <c r="AD84" s="34"/>
      <c r="AM84" s="70">
        <f t="shared" si="84"/>
        <v>1.9119999999999999</v>
      </c>
      <c r="AN84" s="70">
        <f t="shared" si="85"/>
        <v>25.486000000000001</v>
      </c>
      <c r="AO84" s="70">
        <f t="shared" si="86"/>
        <v>-13.972000000000001</v>
      </c>
      <c r="AP84" s="70">
        <f t="shared" si="87"/>
        <v>35.927</v>
      </c>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c r="CG84" s="74"/>
      <c r="CH84" s="74"/>
      <c r="CI84" s="74"/>
      <c r="CJ84" s="74"/>
      <c r="CK84" s="74"/>
      <c r="CL84" s="74"/>
      <c r="CM84" s="74"/>
      <c r="CN84" s="74"/>
      <c r="CO84" s="74"/>
      <c r="CP84" s="74"/>
      <c r="CQ84" s="74"/>
      <c r="CR84" s="74"/>
      <c r="CS84" s="74"/>
      <c r="CT84" s="74"/>
      <c r="CU84" s="74"/>
      <c r="CV84" s="74"/>
      <c r="CW84" s="74"/>
      <c r="CX84" s="74"/>
      <c r="CY84" s="74"/>
      <c r="CZ84" s="74"/>
      <c r="DA84" s="74"/>
    </row>
    <row r="85" spans="2:105">
      <c r="B85" s="1" t="s">
        <v>74</v>
      </c>
      <c r="C85" s="66">
        <v>-0.60899999999999999</v>
      </c>
      <c r="D85" s="66">
        <f>-1.418-SUM(C85)</f>
        <v>-0.80899999999999994</v>
      </c>
      <c r="E85" s="66">
        <f>-3.076-SUM(C85:D85)</f>
        <v>-1.6580000000000001</v>
      </c>
      <c r="F85" s="66">
        <f>-5.46-SUM(C85:E85)</f>
        <v>-2.3839999999999999</v>
      </c>
      <c r="G85" s="66">
        <v>-1.2649999999999999</v>
      </c>
      <c r="H85" s="66">
        <f>-6.186-SUM(G85)</f>
        <v>-4.9210000000000003</v>
      </c>
      <c r="I85" s="66">
        <f>-10.927-SUM(G85:H85)</f>
        <v>-4.7409999999999997</v>
      </c>
      <c r="J85" s="66">
        <f>-13.645-SUM(G85:I85)</f>
        <v>-2.718</v>
      </c>
      <c r="K85" s="66">
        <v>-2.7450000000000001</v>
      </c>
      <c r="L85" s="66">
        <f>-5.864-SUM(K85)</f>
        <v>-3.1189999999999998</v>
      </c>
      <c r="M85" s="66">
        <f>-8.173-SUM(K85:L85)</f>
        <v>-2.3090000000000002</v>
      </c>
      <c r="N85" s="66">
        <f>-9.951-SUM(K85:M85)</f>
        <v>-1.7780000000000005</v>
      </c>
      <c r="O85" s="66">
        <v>-0.96399999999999997</v>
      </c>
      <c r="P85" s="66">
        <f>-2.193-SUM(O85)</f>
        <v>-1.2290000000000001</v>
      </c>
      <c r="Q85" s="66">
        <f>-3.801-SUM(O85:P85)</f>
        <v>-1.6080000000000001</v>
      </c>
      <c r="R85" s="66">
        <f>-4.71-SUM(O85:Q85)</f>
        <v>-0.90899999999999981</v>
      </c>
      <c r="S85" s="66">
        <v>-1.25</v>
      </c>
      <c r="T85" s="66">
        <f>-5.011-SUM(S85)</f>
        <v>-3.7610000000000001</v>
      </c>
      <c r="U85" s="66">
        <f>-7.899-SUM(S85:T85)</f>
        <v>-2.8879999999999999</v>
      </c>
      <c r="AM85" s="66">
        <f t="shared" si="84"/>
        <v>-5.46</v>
      </c>
      <c r="AN85" s="66">
        <f t="shared" si="85"/>
        <v>-13.645</v>
      </c>
      <c r="AO85" s="66">
        <f t="shared" si="86"/>
        <v>-9.9510000000000005</v>
      </c>
      <c r="AP85" s="66">
        <f t="shared" si="87"/>
        <v>-4.71</v>
      </c>
    </row>
    <row r="86" spans="2:105" s="2" customFormat="1" ht="15">
      <c r="B86" s="2" t="s">
        <v>75</v>
      </c>
      <c r="C86" s="70">
        <f t="shared" ref="C86:T86" si="88">C84-C85</f>
        <v>-7.0000000000000062E-2</v>
      </c>
      <c r="D86" s="70">
        <f t="shared" si="88"/>
        <v>-0.31699999999999995</v>
      </c>
      <c r="E86" s="70">
        <f t="shared" si="88"/>
        <v>6.9990000000000006</v>
      </c>
      <c r="F86" s="70">
        <f t="shared" si="88"/>
        <v>0.75999999999999934</v>
      </c>
      <c r="G86" s="70">
        <f t="shared" si="88"/>
        <v>10.031000000000001</v>
      </c>
      <c r="H86" s="70">
        <f t="shared" si="88"/>
        <v>12.223000000000003</v>
      </c>
      <c r="I86" s="70">
        <f t="shared" si="88"/>
        <v>-0.84800000000000253</v>
      </c>
      <c r="J86" s="70">
        <f t="shared" si="88"/>
        <v>17.725000000000001</v>
      </c>
      <c r="K86" s="70">
        <f t="shared" si="88"/>
        <v>-6.3549999999999995</v>
      </c>
      <c r="L86" s="70">
        <f t="shared" si="88"/>
        <v>5.7999999999999829E-2</v>
      </c>
      <c r="M86" s="70">
        <f t="shared" si="88"/>
        <v>39.696999999999996</v>
      </c>
      <c r="N86" s="70">
        <f t="shared" si="88"/>
        <v>-37.420999999999999</v>
      </c>
      <c r="O86" s="70">
        <f t="shared" si="88"/>
        <v>-1.0489999999999999</v>
      </c>
      <c r="P86" s="70">
        <f t="shared" si="88"/>
        <v>10.989000000000001</v>
      </c>
      <c r="Q86" s="70">
        <f t="shared" si="88"/>
        <v>17.547000000000001</v>
      </c>
      <c r="R86" s="70">
        <f t="shared" si="88"/>
        <v>13.149999999999999</v>
      </c>
      <c r="S86" s="70">
        <f t="shared" si="88"/>
        <v>-11.038</v>
      </c>
      <c r="T86" s="70">
        <f t="shared" si="88"/>
        <v>15.274000000000001</v>
      </c>
      <c r="U86" s="70">
        <f>U84-U85</f>
        <v>5.6000000000000005</v>
      </c>
      <c r="X86" s="34"/>
      <c r="Y86" s="34"/>
      <c r="Z86" s="34"/>
      <c r="AA86" s="34"/>
      <c r="AB86" s="34"/>
      <c r="AC86" s="34"/>
      <c r="AD86" s="34"/>
      <c r="AM86" s="70">
        <f t="shared" si="84"/>
        <v>7.3719999999999999</v>
      </c>
      <c r="AN86" s="70">
        <f t="shared" si="85"/>
        <v>39.131</v>
      </c>
      <c r="AO86" s="70">
        <f t="shared" si="86"/>
        <v>-4.0210000000000008</v>
      </c>
      <c r="AP86" s="70">
        <f t="shared" si="87"/>
        <v>40.637</v>
      </c>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c r="CG86" s="74"/>
      <c r="CH86" s="74"/>
      <c r="CI86" s="74"/>
      <c r="CJ86" s="74"/>
      <c r="CK86" s="74"/>
      <c r="CL86" s="74"/>
      <c r="CM86" s="74"/>
      <c r="CN86" s="74"/>
      <c r="CO86" s="74"/>
      <c r="CP86" s="74"/>
      <c r="CQ86" s="74"/>
      <c r="CR86" s="74"/>
      <c r="CS86" s="74"/>
      <c r="CT86" s="74"/>
      <c r="CU86" s="74"/>
      <c r="CV86" s="74"/>
      <c r="CW86" s="74"/>
      <c r="CX86" s="74"/>
      <c r="CY86" s="74"/>
      <c r="CZ86" s="74"/>
      <c r="DA86" s="74"/>
    </row>
    <row r="87" spans="2:105">
      <c r="B87" s="1" t="s">
        <v>76</v>
      </c>
      <c r="C87" s="66">
        <f t="shared" ref="C87:U87" si="89">C41</f>
        <v>6.3979999999999997</v>
      </c>
      <c r="D87" s="66">
        <f t="shared" si="89"/>
        <v>24.295000000000002</v>
      </c>
      <c r="E87" s="66">
        <f t="shared" si="89"/>
        <v>48.335000000000001</v>
      </c>
      <c r="F87" s="66">
        <f t="shared" si="89"/>
        <v>32.033000000000001</v>
      </c>
      <c r="G87" s="66">
        <f t="shared" si="89"/>
        <v>49.354999999999997</v>
      </c>
      <c r="H87" s="66">
        <f t="shared" si="89"/>
        <v>49.668999999999997</v>
      </c>
      <c r="I87" s="66">
        <f t="shared" si="89"/>
        <v>50</v>
      </c>
      <c r="J87" s="66">
        <f t="shared" si="89"/>
        <v>49.814999999999998</v>
      </c>
      <c r="K87" s="66">
        <f t="shared" si="89"/>
        <v>50.954000000000001</v>
      </c>
      <c r="L87" s="66">
        <f t="shared" si="89"/>
        <v>53.183</v>
      </c>
      <c r="M87" s="66">
        <f t="shared" si="89"/>
        <v>53.491</v>
      </c>
      <c r="N87" s="66">
        <f t="shared" si="89"/>
        <v>52.837000000000003</v>
      </c>
      <c r="O87" s="66">
        <f t="shared" si="89"/>
        <v>58.36</v>
      </c>
      <c r="P87" s="66">
        <f t="shared" si="89"/>
        <v>57.207000000000001</v>
      </c>
      <c r="Q87" s="66">
        <f t="shared" si="89"/>
        <v>57.38</v>
      </c>
      <c r="R87" s="66">
        <f t="shared" si="89"/>
        <v>56.77</v>
      </c>
      <c r="S87" s="66">
        <f t="shared" si="89"/>
        <v>57.938000000000002</v>
      </c>
      <c r="T87" s="66">
        <f t="shared" si="89"/>
        <v>58.142000000000003</v>
      </c>
      <c r="U87" s="66">
        <f t="shared" si="89"/>
        <v>58.36</v>
      </c>
      <c r="AM87" s="66">
        <f>AVERAGE(C87:F87)</f>
        <v>27.765250000000002</v>
      </c>
      <c r="AN87" s="66">
        <f>AVERAGE(G87:J87)</f>
        <v>49.70975</v>
      </c>
      <c r="AO87" s="66">
        <f>AVERAGE(K87:N87)</f>
        <v>52.616249999999994</v>
      </c>
      <c r="AP87" s="66">
        <f>AVERAGE(O87:R87)</f>
        <v>57.429250000000003</v>
      </c>
    </row>
    <row r="88" spans="2:105">
      <c r="B88" s="1" t="s">
        <v>445</v>
      </c>
      <c r="C88" s="40">
        <f t="shared" ref="C88:T88" si="90">C86/C87</f>
        <v>-1.0940919037199135E-2</v>
      </c>
      <c r="D88" s="40">
        <f t="shared" si="90"/>
        <v>-1.304795225355011E-2</v>
      </c>
      <c r="E88" s="40">
        <f t="shared" si="90"/>
        <v>0.14480190338264198</v>
      </c>
      <c r="F88" s="40">
        <f t="shared" si="90"/>
        <v>2.3725533044048303E-2</v>
      </c>
      <c r="G88" s="40">
        <f t="shared" si="90"/>
        <v>0.20324181947117823</v>
      </c>
      <c r="H88" s="40">
        <f t="shared" si="90"/>
        <v>0.24608910990758831</v>
      </c>
      <c r="I88" s="40">
        <f t="shared" si="90"/>
        <v>-1.6960000000000051E-2</v>
      </c>
      <c r="J88" s="40">
        <f t="shared" si="90"/>
        <v>0.3558165211281743</v>
      </c>
      <c r="K88" s="40">
        <f t="shared" si="90"/>
        <v>-0.12472033598932369</v>
      </c>
      <c r="L88" s="40">
        <f t="shared" si="90"/>
        <v>1.0905740556192737E-3</v>
      </c>
      <c r="M88" s="40">
        <f t="shared" si="90"/>
        <v>0.74212484343160523</v>
      </c>
      <c r="N88" s="40">
        <f t="shared" si="90"/>
        <v>-0.70823475973276295</v>
      </c>
      <c r="O88" s="40">
        <f t="shared" si="90"/>
        <v>-1.7974640164496229E-2</v>
      </c>
      <c r="P88" s="40">
        <f t="shared" si="90"/>
        <v>0.19209187686821544</v>
      </c>
      <c r="Q88" s="40">
        <f t="shared" si="90"/>
        <v>0.30580341582432902</v>
      </c>
      <c r="R88" s="40">
        <f t="shared" si="90"/>
        <v>0.23163642769068166</v>
      </c>
      <c r="S88" s="40">
        <f t="shared" si="90"/>
        <v>-0.19051399772170249</v>
      </c>
      <c r="T88" s="40">
        <f t="shared" si="90"/>
        <v>0.26270166144955454</v>
      </c>
      <c r="U88" s="40">
        <f>U86/U87</f>
        <v>9.5956134338588087E-2</v>
      </c>
      <c r="AM88" s="40">
        <f t="shared" si="84"/>
        <v>0.14453856513594104</v>
      </c>
      <c r="AN88" s="40">
        <f t="shared" si="85"/>
        <v>0.78818745050694083</v>
      </c>
      <c r="AO88" s="40">
        <f t="shared" si="86"/>
        <v>-8.9739678234862175E-2</v>
      </c>
      <c r="AP88" s="40">
        <f t="shared" si="87"/>
        <v>0.71155708021872988</v>
      </c>
    </row>
  </sheetData>
  <mergeCells count="1">
    <mergeCell ref="AY65:AZ65"/>
  </mergeCells>
  <conditionalFormatting sqref="AY65:AZ65">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Sell",AY65)))</formula>
    </cfRule>
    <cfRule type="containsText" dxfId="3" priority="3" operator="containsText" text="Sell">
      <formula>NOT(ISERROR(SEARCH("Sell",AY65)))</formula>
    </cfRule>
    <cfRule type="containsText" dxfId="2" priority="4" operator="containsText" text="Hold">
      <formula>NOT(ISERROR(SEARCH("Hold",AY65)))</formula>
    </cfRule>
    <cfRule type="beginsWith" dxfId="1" priority="5" operator="beginsWith" text="Buy">
      <formula>LEFT(AY65,LEN("Buy"))="Buy"</formula>
    </cfRule>
    <cfRule type="beginsWith" dxfId="0" priority="6" operator="beginsWith" text="Strong">
      <formula>LEFT(AY65,LEN("Strong"))="Strong"</formula>
    </cfRule>
  </conditionalFormatting>
  <pageMargins left="0.7" right="0.7" top="0.75" bottom="0.75" header="0.3" footer="0.3"/>
  <ignoredErrors>
    <ignoredError sqref="F28:R28 F34:R34 P29:Q29 P30:Q30 P31:Q31 P32:Q32 P33:Q33 F38:R38 P35:Q35 P36:Q36 P37:Q37 P39:Q39 AM87:AP87" formula="1"/>
    <ignoredError sqref="R31:R33 AM31:AP34 AM39:AP40 AM42:AP42 F75:U79 J39" formulaRange="1"/>
    <ignoredError sqref="AM41:AP41" formula="1" formulaRange="1"/>
    <ignoredError sqref="BA63" twoDigitTextYea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9749-2AF7-4C59-BA9C-7BF0CB2E3F15}">
  <dimension ref="A1:CA1574"/>
  <sheetViews>
    <sheetView zoomScale="85" zoomScaleNormal="85" workbookViewId="0">
      <selection activeCell="AD67" sqref="AD67"/>
    </sheetView>
  </sheetViews>
  <sheetFormatPr defaultRowHeight="14.25"/>
  <cols>
    <col min="1" max="7" width="9.140625" style="1"/>
    <col min="8" max="8" width="3.140625" style="1" customWidth="1"/>
    <col min="9" max="28" width="9.140625" style="1"/>
    <col min="29" max="29" width="2.85546875" style="1" customWidth="1"/>
    <col min="30" max="16384" width="9.140625" style="1"/>
  </cols>
  <sheetData>
    <row r="1" spans="8:79">
      <c r="CA1" s="1">
        <v>0</v>
      </c>
    </row>
    <row r="2" spans="8:79" ht="15">
      <c r="H2" s="2" t="s">
        <v>596</v>
      </c>
      <c r="AD2" s="2" t="s">
        <v>77</v>
      </c>
    </row>
    <row r="36" spans="8:31" ht="15">
      <c r="H36" s="2" t="s">
        <v>642</v>
      </c>
    </row>
    <row r="37" spans="8:31" ht="15">
      <c r="I37" s="1" t="s">
        <v>597</v>
      </c>
      <c r="AD37" s="2" t="s">
        <v>657</v>
      </c>
    </row>
    <row r="38" spans="8:31" ht="15">
      <c r="AD38" s="2" t="s">
        <v>598</v>
      </c>
    </row>
    <row r="39" spans="8:31">
      <c r="AD39" s="1" t="s">
        <v>643</v>
      </c>
    </row>
    <row r="40" spans="8:31">
      <c r="AE40" s="1" t="s">
        <v>644</v>
      </c>
    </row>
    <row r="41" spans="8:31">
      <c r="AD41" s="1" t="s">
        <v>645</v>
      </c>
    </row>
    <row r="42" spans="8:31">
      <c r="AD42" s="1" t="s">
        <v>646</v>
      </c>
    </row>
    <row r="43" spans="8:31">
      <c r="AD43" s="1" t="s">
        <v>647</v>
      </c>
    </row>
    <row r="44" spans="8:31">
      <c r="AE44" s="1" t="s">
        <v>648</v>
      </c>
    </row>
    <row r="45" spans="8:31" ht="15">
      <c r="AD45" s="2" t="s">
        <v>653</v>
      </c>
    </row>
    <row r="46" spans="8:31">
      <c r="AD46" s="1" t="s">
        <v>649</v>
      </c>
    </row>
    <row r="47" spans="8:31">
      <c r="AE47" s="1" t="s">
        <v>650</v>
      </c>
    </row>
    <row r="48" spans="8:31">
      <c r="AE48" s="1" t="s">
        <v>651</v>
      </c>
    </row>
    <row r="49" spans="30:31">
      <c r="AD49" s="1" t="s">
        <v>652</v>
      </c>
    </row>
    <row r="50" spans="30:31">
      <c r="AE50" s="1" t="s">
        <v>654</v>
      </c>
    </row>
    <row r="51" spans="30:31">
      <c r="AD51" s="1" t="s">
        <v>655</v>
      </c>
    </row>
    <row r="52" spans="30:31">
      <c r="AE52" s="1" t="s">
        <v>656</v>
      </c>
    </row>
    <row r="53" spans="30:31">
      <c r="AD53" s="1" t="s">
        <v>658</v>
      </c>
    </row>
    <row r="54" spans="30:31">
      <c r="AE54" s="1" t="s">
        <v>659</v>
      </c>
    </row>
    <row r="55" spans="30:31">
      <c r="AE55" s="1" t="s">
        <v>660</v>
      </c>
    </row>
    <row r="56" spans="30:31" ht="15">
      <c r="AD56" s="2" t="s">
        <v>662</v>
      </c>
    </row>
    <row r="57" spans="30:31">
      <c r="AD57" s="1" t="s">
        <v>661</v>
      </c>
    </row>
    <row r="58" spans="30:31">
      <c r="AE58" s="1" t="s">
        <v>663</v>
      </c>
    </row>
    <row r="59" spans="30:31">
      <c r="AE59" s="1" t="s">
        <v>664</v>
      </c>
    </row>
    <row r="60" spans="30:31">
      <c r="AE60" s="1" t="s">
        <v>665</v>
      </c>
    </row>
    <row r="61" spans="30:31">
      <c r="AD61" s="1" t="s">
        <v>666</v>
      </c>
    </row>
    <row r="62" spans="30:31" ht="15">
      <c r="AD62" s="2" t="s">
        <v>667</v>
      </c>
    </row>
    <row r="63" spans="30:31">
      <c r="AD63" s="1" t="s">
        <v>668</v>
      </c>
    </row>
    <row r="64" spans="30:31">
      <c r="AE64" s="1" t="s">
        <v>669</v>
      </c>
    </row>
    <row r="65" spans="30:31">
      <c r="AE65" s="1" t="s">
        <v>670</v>
      </c>
    </row>
    <row r="66" spans="30:31" ht="15">
      <c r="AD66" s="2" t="s">
        <v>671</v>
      </c>
    </row>
    <row r="86" spans="8:30" ht="15">
      <c r="H86" s="2" t="s">
        <v>599</v>
      </c>
    </row>
    <row r="93" spans="8:30" ht="15">
      <c r="AD93" s="2" t="s">
        <v>600</v>
      </c>
    </row>
    <row r="94" spans="8:30">
      <c r="AD94" s="1" t="s">
        <v>601</v>
      </c>
    </row>
    <row r="118" spans="8:10">
      <c r="I118" s="1" t="s">
        <v>15</v>
      </c>
      <c r="J118" s="1" t="s">
        <v>16</v>
      </c>
    </row>
    <row r="119" spans="8:10">
      <c r="J119" s="1" t="s">
        <v>17</v>
      </c>
    </row>
    <row r="120" spans="8:10">
      <c r="J120" s="1" t="s">
        <v>18</v>
      </c>
    </row>
    <row r="122" spans="8:10" ht="15">
      <c r="H122" s="2" t="s">
        <v>19</v>
      </c>
    </row>
    <row r="151" spans="8:10">
      <c r="I151" s="1" t="s">
        <v>15</v>
      </c>
      <c r="J151" s="1" t="s">
        <v>16</v>
      </c>
    </row>
    <row r="152" spans="8:10">
      <c r="J152" s="1" t="s">
        <v>17</v>
      </c>
    </row>
    <row r="153" spans="8:10">
      <c r="J153" s="1" t="s">
        <v>18</v>
      </c>
    </row>
    <row r="155" spans="8:10" ht="15">
      <c r="H155" s="2" t="s">
        <v>602</v>
      </c>
    </row>
    <row r="171" spans="1:7" ht="15" customHeight="1"/>
    <row r="173" spans="1:7">
      <c r="A173" s="1" t="s">
        <v>603</v>
      </c>
    </row>
    <row r="174" spans="1:7">
      <c r="A174" s="72" t="s">
        <v>604</v>
      </c>
      <c r="B174" s="72" t="s">
        <v>605</v>
      </c>
      <c r="C174" s="72" t="s">
        <v>606</v>
      </c>
      <c r="D174" s="72" t="s">
        <v>607</v>
      </c>
      <c r="E174" s="72" t="s">
        <v>608</v>
      </c>
      <c r="F174" s="72" t="s">
        <v>609</v>
      </c>
      <c r="G174" s="72" t="s">
        <v>610</v>
      </c>
    </row>
    <row r="175" spans="1:7">
      <c r="G175" s="24" t="e">
        <f>A175/D175-1</f>
        <v>#DIV/0!</v>
      </c>
    </row>
    <row r="176" spans="1:7">
      <c r="G176" s="24"/>
    </row>
    <row r="177" spans="7:30">
      <c r="G177" s="24"/>
    </row>
    <row r="178" spans="7:30">
      <c r="G178" s="24"/>
    </row>
    <row r="179" spans="7:30">
      <c r="G179" s="24"/>
    </row>
    <row r="180" spans="7:30">
      <c r="G180" s="24"/>
    </row>
    <row r="181" spans="7:30">
      <c r="G181" s="24"/>
    </row>
    <row r="182" spans="7:30">
      <c r="G182" s="24"/>
    </row>
    <row r="183" spans="7:30">
      <c r="G183" s="24"/>
    </row>
    <row r="184" spans="7:30">
      <c r="G184" s="24"/>
    </row>
    <row r="185" spans="7:30">
      <c r="G185" s="24"/>
    </row>
    <row r="186" spans="7:30">
      <c r="G186" s="24"/>
    </row>
    <row r="187" spans="7:30">
      <c r="G187" s="24"/>
    </row>
    <row r="188" spans="7:30" ht="15">
      <c r="G188" s="24"/>
      <c r="AD188" s="2" t="s">
        <v>611</v>
      </c>
    </row>
    <row r="189" spans="7:30">
      <c r="G189" s="24"/>
      <c r="AD189" s="1" t="s">
        <v>612</v>
      </c>
    </row>
    <row r="190" spans="7:30">
      <c r="G190" s="24"/>
    </row>
    <row r="191" spans="7:30">
      <c r="G191" s="24"/>
    </row>
    <row r="192" spans="7:30">
      <c r="G192" s="24"/>
    </row>
    <row r="193" spans="7:20">
      <c r="G193" s="24"/>
    </row>
    <row r="194" spans="7:20">
      <c r="G194" s="24"/>
      <c r="I194" s="25"/>
      <c r="J194" s="25" t="s">
        <v>613</v>
      </c>
      <c r="K194" s="26" t="e">
        <f>MIN(G169:G1160)</f>
        <v>#DIV/0!</v>
      </c>
    </row>
    <row r="195" spans="7:20">
      <c r="G195" s="24"/>
      <c r="I195" s="25"/>
      <c r="J195" s="25" t="s">
        <v>614</v>
      </c>
      <c r="K195" s="26" t="e">
        <f>MAX(G169:G1160)</f>
        <v>#DIV/0!</v>
      </c>
    </row>
    <row r="196" spans="7:20">
      <c r="G196" s="24"/>
      <c r="I196" s="25"/>
      <c r="J196" s="25" t="s">
        <v>615</v>
      </c>
      <c r="K196" s="26" t="e">
        <f>AVERAGE(G169:G1160)</f>
        <v>#DIV/0!</v>
      </c>
    </row>
    <row r="197" spans="7:20">
      <c r="G197" s="24"/>
      <c r="I197" s="25"/>
      <c r="J197" s="25" t="s">
        <v>616</v>
      </c>
      <c r="K197" s="26" t="e">
        <f>MEDIAN(G169:G1160)</f>
        <v>#DIV/0!</v>
      </c>
    </row>
    <row r="198" spans="7:20" ht="15">
      <c r="G198" s="24"/>
      <c r="I198" s="25"/>
      <c r="J198" s="25" t="s">
        <v>617</v>
      </c>
      <c r="K198" s="26" t="e">
        <f>_xlfn.STDEV.P(G169:G1160)</f>
        <v>#DIV/0!</v>
      </c>
      <c r="M198" s="2"/>
    </row>
    <row r="199" spans="7:20" ht="15">
      <c r="G199" s="24"/>
      <c r="I199" s="25"/>
      <c r="J199" s="27" t="s">
        <v>618</v>
      </c>
      <c r="K199" s="26" t="e">
        <f>3*K198</f>
        <v>#DIV/0!</v>
      </c>
      <c r="L199" s="25"/>
      <c r="M199" s="2" t="s">
        <v>619</v>
      </c>
    </row>
    <row r="200" spans="7:20" ht="15">
      <c r="G200" s="24"/>
      <c r="I200" s="25"/>
      <c r="J200" s="27" t="s">
        <v>620</v>
      </c>
      <c r="K200" s="25" t="s">
        <v>621</v>
      </c>
      <c r="L200" s="25"/>
      <c r="M200" s="2" t="s">
        <v>622</v>
      </c>
    </row>
    <row r="201" spans="7:20">
      <c r="G201" s="24"/>
    </row>
    <row r="202" spans="7:20">
      <c r="G202" s="24"/>
    </row>
    <row r="203" spans="7:20">
      <c r="G203" s="24"/>
      <c r="L203" s="28" t="s">
        <v>623</v>
      </c>
      <c r="M203" s="29">
        <v>1014</v>
      </c>
    </row>
    <row r="204" spans="7:20" ht="15" thickBot="1">
      <c r="G204" s="24"/>
      <c r="L204" s="1" t="s">
        <v>624</v>
      </c>
      <c r="O204" s="1" t="s">
        <v>625</v>
      </c>
      <c r="S204" s="1" t="s">
        <v>626</v>
      </c>
    </row>
    <row r="205" spans="7:20" ht="30">
      <c r="G205" s="24"/>
      <c r="L205" s="30" t="s">
        <v>627</v>
      </c>
      <c r="M205" s="30" t="s">
        <v>628</v>
      </c>
      <c r="O205" s="31" t="s">
        <v>629</v>
      </c>
      <c r="P205" s="32" t="s">
        <v>630</v>
      </c>
      <c r="S205" s="31" t="s">
        <v>631</v>
      </c>
      <c r="T205" s="32" t="s">
        <v>632</v>
      </c>
    </row>
    <row r="206" spans="7:20">
      <c r="G206" s="24"/>
      <c r="R206" s="1" t="s">
        <v>633</v>
      </c>
      <c r="S206" s="24" t="e">
        <f>K196</f>
        <v>#DIV/0!</v>
      </c>
    </row>
    <row r="207" spans="7:20">
      <c r="G207" s="24"/>
      <c r="S207" s="24" t="e">
        <f>K196</f>
        <v>#DIV/0!</v>
      </c>
    </row>
    <row r="208" spans="7:20">
      <c r="G208" s="24"/>
      <c r="R208" s="39" t="s">
        <v>634</v>
      </c>
      <c r="S208" s="1" t="e">
        <f>($K$198*-3)+$K$196</f>
        <v>#DIV/0!</v>
      </c>
    </row>
    <row r="209" spans="7:19">
      <c r="G209" s="24"/>
      <c r="R209" s="40"/>
      <c r="S209" s="1" t="e">
        <f>($K$198*-3)+$K$196</f>
        <v>#DIV/0!</v>
      </c>
    </row>
    <row r="210" spans="7:19">
      <c r="G210" s="24"/>
      <c r="R210" s="39" t="s">
        <v>635</v>
      </c>
      <c r="S210" s="1" t="e">
        <f>($K$198*-2)+$K$196</f>
        <v>#DIV/0!</v>
      </c>
    </row>
    <row r="211" spans="7:19">
      <c r="G211" s="24"/>
      <c r="R211" s="40"/>
      <c r="S211" s="1" t="e">
        <f>($K$198*-2)+$K$196</f>
        <v>#DIV/0!</v>
      </c>
    </row>
    <row r="212" spans="7:19">
      <c r="G212" s="24"/>
      <c r="R212" s="41" t="s">
        <v>636</v>
      </c>
      <c r="S212" s="1" t="e">
        <f>($K$198*-1)+$K$196</f>
        <v>#DIV/0!</v>
      </c>
    </row>
    <row r="213" spans="7:19">
      <c r="G213" s="24"/>
      <c r="S213" s="1" t="e">
        <f>($K$198*-1)+$K$196</f>
        <v>#DIV/0!</v>
      </c>
    </row>
    <row r="214" spans="7:19">
      <c r="G214" s="24"/>
      <c r="R214" s="1" t="s">
        <v>637</v>
      </c>
      <c r="S214" s="1" t="e">
        <f>($K$198*1)+$K$196</f>
        <v>#DIV/0!</v>
      </c>
    </row>
    <row r="215" spans="7:19">
      <c r="G215" s="24"/>
      <c r="S215" s="1" t="e">
        <f>($K$198*1)+$K$196</f>
        <v>#DIV/0!</v>
      </c>
    </row>
    <row r="216" spans="7:19">
      <c r="G216" s="24"/>
      <c r="R216" s="42" t="s">
        <v>638</v>
      </c>
      <c r="S216" s="1" t="e">
        <f>($K$198*2)+$K$196</f>
        <v>#DIV/0!</v>
      </c>
    </row>
    <row r="217" spans="7:19">
      <c r="G217" s="24"/>
      <c r="S217" s="1" t="e">
        <f>($K$198*2)+$K$196</f>
        <v>#DIV/0!</v>
      </c>
    </row>
    <row r="218" spans="7:19">
      <c r="G218" s="24"/>
      <c r="R218" s="42" t="s">
        <v>639</v>
      </c>
      <c r="S218" s="1" t="e">
        <f>($K$198*3)+$K$196</f>
        <v>#DIV/0!</v>
      </c>
    </row>
    <row r="219" spans="7:19">
      <c r="G219" s="24"/>
      <c r="R219" s="42"/>
      <c r="S219" s="1" t="e">
        <f>($K$198*3)+$K$196</f>
        <v>#DIV/0!</v>
      </c>
    </row>
    <row r="220" spans="7:19">
      <c r="G220" s="24"/>
    </row>
    <row r="221" spans="7:19">
      <c r="G221" s="24"/>
    </row>
    <row r="222" spans="7:19">
      <c r="G222" s="24"/>
    </row>
    <row r="223" spans="7:19">
      <c r="G223" s="24"/>
    </row>
    <row r="224" spans="7:19">
      <c r="G224" s="24"/>
    </row>
    <row r="225" spans="7:7">
      <c r="G225" s="24"/>
    </row>
    <row r="226" spans="7:7">
      <c r="G226" s="24"/>
    </row>
    <row r="227" spans="7:7">
      <c r="G227" s="24"/>
    </row>
    <row r="228" spans="7:7">
      <c r="G228" s="24"/>
    </row>
    <row r="229" spans="7:7">
      <c r="G229" s="24"/>
    </row>
    <row r="230" spans="7:7">
      <c r="G230" s="24"/>
    </row>
    <row r="231" spans="7:7">
      <c r="G231" s="24"/>
    </row>
    <row r="232" spans="7:7">
      <c r="G232" s="24"/>
    </row>
    <row r="233" spans="7:7">
      <c r="G233" s="24"/>
    </row>
    <row r="234" spans="7:7">
      <c r="G234" s="24"/>
    </row>
    <row r="235" spans="7:7">
      <c r="G235" s="24"/>
    </row>
    <row r="236" spans="7:7">
      <c r="G236" s="24"/>
    </row>
    <row r="237" spans="7:7">
      <c r="G237" s="24"/>
    </row>
    <row r="238" spans="7:7">
      <c r="G238" s="24"/>
    </row>
    <row r="239" spans="7:7">
      <c r="G239" s="24"/>
    </row>
    <row r="240" spans="7:7">
      <c r="G240" s="24"/>
    </row>
    <row r="241" spans="7:7">
      <c r="G241" s="24"/>
    </row>
    <row r="242" spans="7:7">
      <c r="G242" s="24"/>
    </row>
    <row r="243" spans="7:7">
      <c r="G243" s="24"/>
    </row>
    <row r="244" spans="7:7">
      <c r="G244" s="24"/>
    </row>
    <row r="245" spans="7:7">
      <c r="G245" s="24"/>
    </row>
    <row r="246" spans="7:7">
      <c r="G246" s="24"/>
    </row>
    <row r="247" spans="7:7">
      <c r="G247" s="24"/>
    </row>
    <row r="248" spans="7:7">
      <c r="G248" s="24"/>
    </row>
    <row r="249" spans="7:7">
      <c r="G249" s="24"/>
    </row>
    <row r="250" spans="7:7">
      <c r="G250" s="24"/>
    </row>
    <row r="251" spans="7:7">
      <c r="G251" s="24"/>
    </row>
    <row r="252" spans="7:7">
      <c r="G252" s="24"/>
    </row>
    <row r="253" spans="7:7">
      <c r="G253" s="24"/>
    </row>
    <row r="254" spans="7:7">
      <c r="G254" s="24"/>
    </row>
    <row r="255" spans="7:7">
      <c r="G255" s="24"/>
    </row>
    <row r="256" spans="7:7">
      <c r="G256" s="24"/>
    </row>
    <row r="257" spans="7:7">
      <c r="G257" s="24"/>
    </row>
    <row r="258" spans="7:7">
      <c r="G258" s="24"/>
    </row>
    <row r="259" spans="7:7">
      <c r="G259" s="24"/>
    </row>
    <row r="260" spans="7:7">
      <c r="G260" s="24"/>
    </row>
    <row r="261" spans="7:7">
      <c r="G261" s="24"/>
    </row>
    <row r="262" spans="7:7">
      <c r="G262" s="24"/>
    </row>
    <row r="263" spans="7:7">
      <c r="G263" s="24"/>
    </row>
    <row r="264" spans="7:7">
      <c r="G264" s="24"/>
    </row>
    <row r="265" spans="7:7">
      <c r="G265" s="24"/>
    </row>
    <row r="266" spans="7:7">
      <c r="G266" s="24"/>
    </row>
    <row r="267" spans="7:7">
      <c r="G267" s="24"/>
    </row>
    <row r="268" spans="7:7">
      <c r="G268" s="24"/>
    </row>
    <row r="269" spans="7:7">
      <c r="G269" s="24"/>
    </row>
    <row r="270" spans="7:7">
      <c r="G270" s="24"/>
    </row>
    <row r="271" spans="7:7">
      <c r="G271" s="24"/>
    </row>
    <row r="272" spans="7:7">
      <c r="G272" s="24"/>
    </row>
    <row r="273" spans="7:30">
      <c r="G273" s="24"/>
    </row>
    <row r="274" spans="7:30" ht="15">
      <c r="G274" s="24"/>
      <c r="AD274" s="2" t="s">
        <v>640</v>
      </c>
    </row>
    <row r="275" spans="7:30">
      <c r="G275" s="24"/>
      <c r="AD275" s="1" t="s">
        <v>641</v>
      </c>
    </row>
    <row r="276" spans="7:30">
      <c r="G276" s="24"/>
    </row>
    <row r="277" spans="7:30">
      <c r="G277" s="24"/>
    </row>
    <row r="278" spans="7:30">
      <c r="G278" s="24"/>
    </row>
    <row r="279" spans="7:30">
      <c r="G279" s="24"/>
    </row>
    <row r="280" spans="7:30">
      <c r="G280" s="24"/>
    </row>
    <row r="281" spans="7:30">
      <c r="G281" s="24"/>
    </row>
    <row r="282" spans="7:30">
      <c r="G282" s="24"/>
    </row>
    <row r="283" spans="7:30">
      <c r="G283" s="24"/>
    </row>
    <row r="284" spans="7:30">
      <c r="G284" s="24"/>
    </row>
    <row r="285" spans="7:30">
      <c r="G285" s="24"/>
    </row>
    <row r="286" spans="7:30">
      <c r="G286" s="24"/>
    </row>
    <row r="287" spans="7:30">
      <c r="G287" s="24"/>
    </row>
    <row r="288" spans="7:30">
      <c r="G288" s="24"/>
    </row>
    <row r="289" spans="7:7">
      <c r="G289" s="24"/>
    </row>
    <row r="290" spans="7:7">
      <c r="G290" s="24"/>
    </row>
    <row r="291" spans="7:7">
      <c r="G291" s="24"/>
    </row>
    <row r="292" spans="7:7">
      <c r="G292" s="24"/>
    </row>
    <row r="293" spans="7:7">
      <c r="G293" s="24"/>
    </row>
    <row r="294" spans="7:7">
      <c r="G294" s="24"/>
    </row>
    <row r="295" spans="7:7">
      <c r="G295" s="24"/>
    </row>
    <row r="296" spans="7:7">
      <c r="G296" s="24"/>
    </row>
    <row r="297" spans="7:7">
      <c r="G297" s="24"/>
    </row>
    <row r="298" spans="7:7">
      <c r="G298" s="24"/>
    </row>
    <row r="299" spans="7:7">
      <c r="G299" s="24"/>
    </row>
    <row r="300" spans="7:7">
      <c r="G300" s="24"/>
    </row>
    <row r="301" spans="7:7">
      <c r="G301" s="24"/>
    </row>
    <row r="302" spans="7:7">
      <c r="G302" s="24"/>
    </row>
    <row r="303" spans="7:7">
      <c r="G303" s="24"/>
    </row>
    <row r="304" spans="7:7">
      <c r="G304" s="24"/>
    </row>
    <row r="305" spans="7:7">
      <c r="G305" s="24"/>
    </row>
    <row r="306" spans="7:7">
      <c r="G306" s="24"/>
    </row>
    <row r="307" spans="7:7">
      <c r="G307" s="24"/>
    </row>
    <row r="308" spans="7:7">
      <c r="G308" s="24"/>
    </row>
    <row r="309" spans="7:7">
      <c r="G309" s="24"/>
    </row>
    <row r="310" spans="7:7">
      <c r="G310" s="24"/>
    </row>
    <row r="311" spans="7:7">
      <c r="G311" s="24"/>
    </row>
    <row r="312" spans="7:7">
      <c r="G312" s="24"/>
    </row>
    <row r="313" spans="7:7">
      <c r="G313" s="24"/>
    </row>
    <row r="314" spans="7:7">
      <c r="G314" s="24"/>
    </row>
    <row r="315" spans="7:7">
      <c r="G315" s="24"/>
    </row>
    <row r="316" spans="7:7">
      <c r="G316" s="24"/>
    </row>
    <row r="317" spans="7:7">
      <c r="G317" s="24"/>
    </row>
    <row r="318" spans="7:7">
      <c r="G318" s="24"/>
    </row>
    <row r="319" spans="7:7">
      <c r="G319" s="24"/>
    </row>
    <row r="320" spans="7:7">
      <c r="G320" s="24"/>
    </row>
    <row r="321" spans="7:7">
      <c r="G321" s="24"/>
    </row>
    <row r="322" spans="7:7">
      <c r="G322" s="24"/>
    </row>
    <row r="323" spans="7:7">
      <c r="G323" s="24"/>
    </row>
    <row r="324" spans="7:7">
      <c r="G324" s="24"/>
    </row>
    <row r="325" spans="7:7">
      <c r="G325" s="24"/>
    </row>
    <row r="326" spans="7:7">
      <c r="G326" s="24"/>
    </row>
    <row r="327" spans="7:7">
      <c r="G327" s="24"/>
    </row>
    <row r="328" spans="7:7">
      <c r="G328" s="24"/>
    </row>
    <row r="329" spans="7:7">
      <c r="G329" s="24"/>
    </row>
    <row r="330" spans="7:7">
      <c r="G330" s="24"/>
    </row>
    <row r="331" spans="7:7">
      <c r="G331" s="24"/>
    </row>
    <row r="332" spans="7:7">
      <c r="G332" s="24"/>
    </row>
    <row r="333" spans="7:7">
      <c r="G333" s="24"/>
    </row>
    <row r="334" spans="7:7">
      <c r="G334" s="24"/>
    </row>
    <row r="335" spans="7:7">
      <c r="G335" s="24"/>
    </row>
    <row r="336" spans="7:7">
      <c r="G336" s="24"/>
    </row>
    <row r="337" spans="7:7">
      <c r="G337" s="24"/>
    </row>
    <row r="338" spans="7:7">
      <c r="G338" s="24"/>
    </row>
    <row r="339" spans="7:7">
      <c r="G339" s="24"/>
    </row>
    <row r="340" spans="7:7">
      <c r="G340" s="24"/>
    </row>
    <row r="341" spans="7:7">
      <c r="G341" s="24"/>
    </row>
    <row r="342" spans="7:7">
      <c r="G342" s="24"/>
    </row>
    <row r="343" spans="7:7">
      <c r="G343" s="24"/>
    </row>
    <row r="344" spans="7:7">
      <c r="G344" s="24"/>
    </row>
    <row r="345" spans="7:7">
      <c r="G345" s="24"/>
    </row>
    <row r="346" spans="7:7">
      <c r="G346" s="24"/>
    </row>
    <row r="347" spans="7:7">
      <c r="G347" s="24"/>
    </row>
    <row r="348" spans="7:7">
      <c r="G348" s="24"/>
    </row>
    <row r="349" spans="7:7">
      <c r="G349" s="24"/>
    </row>
    <row r="350" spans="7:7">
      <c r="G350" s="24"/>
    </row>
    <row r="351" spans="7:7">
      <c r="G351" s="24"/>
    </row>
    <row r="352" spans="7:7">
      <c r="G352" s="24"/>
    </row>
    <row r="353" spans="7:7">
      <c r="G353" s="24"/>
    </row>
    <row r="354" spans="7:7">
      <c r="G354" s="24"/>
    </row>
    <row r="355" spans="7:7">
      <c r="G355" s="24"/>
    </row>
    <row r="356" spans="7:7">
      <c r="G356" s="24"/>
    </row>
    <row r="357" spans="7:7">
      <c r="G357" s="24"/>
    </row>
    <row r="358" spans="7:7">
      <c r="G358" s="24"/>
    </row>
    <row r="359" spans="7:7">
      <c r="G359" s="24"/>
    </row>
    <row r="360" spans="7:7">
      <c r="G360" s="24"/>
    </row>
    <row r="361" spans="7:7">
      <c r="G361" s="24"/>
    </row>
    <row r="362" spans="7:7">
      <c r="G362" s="24"/>
    </row>
    <row r="363" spans="7:7">
      <c r="G363" s="24"/>
    </row>
    <row r="364" spans="7:7">
      <c r="G364" s="24"/>
    </row>
    <row r="365" spans="7:7">
      <c r="G365" s="24"/>
    </row>
    <row r="366" spans="7:7">
      <c r="G366" s="24"/>
    </row>
    <row r="367" spans="7:7">
      <c r="G367" s="24"/>
    </row>
    <row r="368" spans="7:7">
      <c r="G368" s="24"/>
    </row>
    <row r="369" spans="7:7">
      <c r="G369" s="24"/>
    </row>
    <row r="370" spans="7:7">
      <c r="G370" s="24"/>
    </row>
    <row r="371" spans="7:7">
      <c r="G371" s="24"/>
    </row>
    <row r="372" spans="7:7">
      <c r="G372" s="24"/>
    </row>
    <row r="373" spans="7:7">
      <c r="G373" s="24"/>
    </row>
    <row r="374" spans="7:7">
      <c r="G374" s="24"/>
    </row>
    <row r="375" spans="7:7">
      <c r="G375" s="24"/>
    </row>
    <row r="376" spans="7:7">
      <c r="G376" s="24"/>
    </row>
    <row r="377" spans="7:7">
      <c r="G377" s="24"/>
    </row>
    <row r="378" spans="7:7">
      <c r="G378" s="24"/>
    </row>
    <row r="379" spans="7:7">
      <c r="G379" s="24"/>
    </row>
    <row r="380" spans="7:7">
      <c r="G380" s="24"/>
    </row>
    <row r="381" spans="7:7">
      <c r="G381" s="24"/>
    </row>
    <row r="382" spans="7:7">
      <c r="G382" s="24"/>
    </row>
    <row r="383" spans="7:7">
      <c r="G383" s="24"/>
    </row>
    <row r="384" spans="7:7">
      <c r="G384" s="24"/>
    </row>
    <row r="385" spans="7:7">
      <c r="G385" s="24"/>
    </row>
    <row r="386" spans="7:7">
      <c r="G386" s="24"/>
    </row>
    <row r="387" spans="7:7">
      <c r="G387" s="24"/>
    </row>
    <row r="388" spans="7:7">
      <c r="G388" s="24"/>
    </row>
    <row r="389" spans="7:7">
      <c r="G389" s="24"/>
    </row>
    <row r="390" spans="7:7">
      <c r="G390" s="24"/>
    </row>
    <row r="391" spans="7:7">
      <c r="G391" s="24"/>
    </row>
    <row r="392" spans="7:7">
      <c r="G392" s="24"/>
    </row>
    <row r="393" spans="7:7">
      <c r="G393" s="24"/>
    </row>
    <row r="394" spans="7:7">
      <c r="G394" s="24"/>
    </row>
    <row r="395" spans="7:7">
      <c r="G395" s="24"/>
    </row>
    <row r="396" spans="7:7">
      <c r="G396" s="24"/>
    </row>
    <row r="397" spans="7:7">
      <c r="G397" s="24"/>
    </row>
    <row r="398" spans="7:7">
      <c r="G398" s="24"/>
    </row>
    <row r="399" spans="7:7">
      <c r="G399" s="24"/>
    </row>
    <row r="400" spans="7:7">
      <c r="G400" s="24"/>
    </row>
    <row r="401" spans="7:7">
      <c r="G401" s="24"/>
    </row>
    <row r="402" spans="7:7">
      <c r="G402" s="24"/>
    </row>
    <row r="403" spans="7:7">
      <c r="G403" s="24"/>
    </row>
    <row r="404" spans="7:7">
      <c r="G404" s="24"/>
    </row>
    <row r="405" spans="7:7">
      <c r="G405" s="24"/>
    </row>
    <row r="406" spans="7:7">
      <c r="G406" s="24"/>
    </row>
    <row r="407" spans="7:7">
      <c r="G407" s="24"/>
    </row>
    <row r="408" spans="7:7">
      <c r="G408" s="24"/>
    </row>
    <row r="409" spans="7:7">
      <c r="G409" s="24"/>
    </row>
    <row r="410" spans="7:7">
      <c r="G410" s="24"/>
    </row>
    <row r="411" spans="7:7">
      <c r="G411" s="24"/>
    </row>
    <row r="412" spans="7:7">
      <c r="G412" s="24"/>
    </row>
    <row r="413" spans="7:7">
      <c r="G413" s="24"/>
    </row>
    <row r="414" spans="7:7">
      <c r="G414" s="24"/>
    </row>
    <row r="415" spans="7:7">
      <c r="G415" s="24"/>
    </row>
    <row r="416" spans="7:7">
      <c r="G416" s="24"/>
    </row>
    <row r="417" spans="7:7">
      <c r="G417" s="24"/>
    </row>
    <row r="418" spans="7:7">
      <c r="G418" s="24"/>
    </row>
    <row r="419" spans="7:7">
      <c r="G419" s="24"/>
    </row>
    <row r="420" spans="7:7">
      <c r="G420" s="24"/>
    </row>
    <row r="421" spans="7:7">
      <c r="G421" s="24"/>
    </row>
    <row r="422" spans="7:7">
      <c r="G422" s="24"/>
    </row>
    <row r="423" spans="7:7">
      <c r="G423" s="24"/>
    </row>
    <row r="424" spans="7:7">
      <c r="G424" s="24"/>
    </row>
    <row r="425" spans="7:7">
      <c r="G425" s="24"/>
    </row>
    <row r="426" spans="7:7">
      <c r="G426" s="24"/>
    </row>
    <row r="427" spans="7:7">
      <c r="G427" s="24"/>
    </row>
    <row r="428" spans="7:7">
      <c r="G428" s="24"/>
    </row>
    <row r="429" spans="7:7">
      <c r="G429" s="24"/>
    </row>
    <row r="430" spans="7:7">
      <c r="G430" s="24"/>
    </row>
    <row r="431" spans="7:7">
      <c r="G431" s="24"/>
    </row>
    <row r="432" spans="7:7">
      <c r="G432" s="24"/>
    </row>
    <row r="433" spans="7:7">
      <c r="G433" s="24"/>
    </row>
    <row r="434" spans="7:7">
      <c r="G434" s="24"/>
    </row>
    <row r="435" spans="7:7">
      <c r="G435" s="24"/>
    </row>
    <row r="436" spans="7:7">
      <c r="G436" s="24"/>
    </row>
    <row r="437" spans="7:7">
      <c r="G437" s="24"/>
    </row>
    <row r="438" spans="7:7">
      <c r="G438" s="24"/>
    </row>
    <row r="439" spans="7:7">
      <c r="G439" s="24"/>
    </row>
    <row r="440" spans="7:7">
      <c r="G440" s="24"/>
    </row>
    <row r="441" spans="7:7">
      <c r="G441" s="24"/>
    </row>
    <row r="442" spans="7:7">
      <c r="G442" s="24"/>
    </row>
    <row r="443" spans="7:7">
      <c r="G443" s="24"/>
    </row>
    <row r="444" spans="7:7">
      <c r="G444" s="24"/>
    </row>
    <row r="445" spans="7:7">
      <c r="G445" s="24"/>
    </row>
    <row r="446" spans="7:7">
      <c r="G446" s="24"/>
    </row>
    <row r="447" spans="7:7">
      <c r="G447" s="24"/>
    </row>
    <row r="448" spans="7:7">
      <c r="G448" s="24"/>
    </row>
    <row r="449" spans="7:7">
      <c r="G449" s="24"/>
    </row>
    <row r="450" spans="7:7">
      <c r="G450" s="24"/>
    </row>
    <row r="451" spans="7:7">
      <c r="G451" s="24"/>
    </row>
    <row r="452" spans="7:7">
      <c r="G452" s="24"/>
    </row>
    <row r="453" spans="7:7">
      <c r="G453" s="24"/>
    </row>
    <row r="454" spans="7:7">
      <c r="G454" s="24"/>
    </row>
    <row r="455" spans="7:7">
      <c r="G455" s="24"/>
    </row>
    <row r="456" spans="7:7">
      <c r="G456" s="24"/>
    </row>
    <row r="457" spans="7:7">
      <c r="G457" s="24"/>
    </row>
    <row r="458" spans="7:7">
      <c r="G458" s="24"/>
    </row>
    <row r="459" spans="7:7">
      <c r="G459" s="24"/>
    </row>
    <row r="460" spans="7:7">
      <c r="G460" s="24"/>
    </row>
    <row r="461" spans="7:7">
      <c r="G461" s="24"/>
    </row>
    <row r="462" spans="7:7">
      <c r="G462" s="24"/>
    </row>
    <row r="463" spans="7:7">
      <c r="G463" s="24"/>
    </row>
    <row r="464" spans="7:7">
      <c r="G464" s="24"/>
    </row>
    <row r="465" spans="7:7">
      <c r="G465" s="24"/>
    </row>
    <row r="466" spans="7:7">
      <c r="G466" s="24"/>
    </row>
    <row r="467" spans="7:7">
      <c r="G467" s="24"/>
    </row>
    <row r="468" spans="7:7">
      <c r="G468" s="24"/>
    </row>
    <row r="469" spans="7:7">
      <c r="G469" s="24"/>
    </row>
    <row r="470" spans="7:7">
      <c r="G470" s="24"/>
    </row>
    <row r="471" spans="7:7">
      <c r="G471" s="24"/>
    </row>
    <row r="472" spans="7:7">
      <c r="G472" s="24"/>
    </row>
    <row r="473" spans="7:7">
      <c r="G473" s="24"/>
    </row>
    <row r="474" spans="7:7">
      <c r="G474" s="24"/>
    </row>
    <row r="475" spans="7:7">
      <c r="G475" s="24"/>
    </row>
    <row r="476" spans="7:7">
      <c r="G476" s="24"/>
    </row>
    <row r="477" spans="7:7">
      <c r="G477" s="24"/>
    </row>
    <row r="478" spans="7:7">
      <c r="G478" s="24"/>
    </row>
    <row r="479" spans="7:7">
      <c r="G479" s="24"/>
    </row>
    <row r="480" spans="7:7">
      <c r="G480" s="24"/>
    </row>
    <row r="481" spans="7:7">
      <c r="G481" s="24"/>
    </row>
    <row r="482" spans="7:7">
      <c r="G482" s="24"/>
    </row>
    <row r="483" spans="7:7">
      <c r="G483" s="24"/>
    </row>
    <row r="484" spans="7:7">
      <c r="G484" s="24"/>
    </row>
    <row r="485" spans="7:7">
      <c r="G485" s="24"/>
    </row>
    <row r="486" spans="7:7">
      <c r="G486" s="24"/>
    </row>
    <row r="487" spans="7:7">
      <c r="G487" s="24"/>
    </row>
    <row r="488" spans="7:7">
      <c r="G488" s="24"/>
    </row>
    <row r="489" spans="7:7">
      <c r="G489" s="24"/>
    </row>
    <row r="490" spans="7:7">
      <c r="G490" s="24"/>
    </row>
    <row r="491" spans="7:7">
      <c r="G491" s="24"/>
    </row>
    <row r="492" spans="7:7">
      <c r="G492" s="24"/>
    </row>
    <row r="493" spans="7:7">
      <c r="G493" s="24"/>
    </row>
    <row r="494" spans="7:7">
      <c r="G494" s="24"/>
    </row>
    <row r="495" spans="7:7">
      <c r="G495" s="24"/>
    </row>
    <row r="496" spans="7:7">
      <c r="G496" s="24"/>
    </row>
    <row r="497" spans="7:7">
      <c r="G497" s="24"/>
    </row>
    <row r="498" spans="7:7">
      <c r="G498" s="24"/>
    </row>
    <row r="499" spans="7:7">
      <c r="G499" s="24"/>
    </row>
    <row r="500" spans="7:7">
      <c r="G500" s="24"/>
    </row>
    <row r="501" spans="7:7">
      <c r="G501" s="24"/>
    </row>
    <row r="502" spans="7:7">
      <c r="G502" s="24"/>
    </row>
    <row r="503" spans="7:7">
      <c r="G503" s="24"/>
    </row>
    <row r="504" spans="7:7">
      <c r="G504" s="24"/>
    </row>
    <row r="505" spans="7:7">
      <c r="G505" s="24"/>
    </row>
    <row r="506" spans="7:7">
      <c r="G506" s="24"/>
    </row>
    <row r="507" spans="7:7">
      <c r="G507" s="24"/>
    </row>
    <row r="508" spans="7:7">
      <c r="G508" s="24"/>
    </row>
    <row r="509" spans="7:7">
      <c r="G509" s="24"/>
    </row>
    <row r="510" spans="7:7">
      <c r="G510" s="24"/>
    </row>
    <row r="511" spans="7:7">
      <c r="G511" s="24"/>
    </row>
    <row r="512" spans="7:7">
      <c r="G512" s="24"/>
    </row>
    <row r="513" spans="7:7">
      <c r="G513" s="24"/>
    </row>
    <row r="514" spans="7:7">
      <c r="G514" s="24"/>
    </row>
    <row r="515" spans="7:7">
      <c r="G515" s="24"/>
    </row>
    <row r="516" spans="7:7">
      <c r="G516" s="24"/>
    </row>
    <row r="517" spans="7:7">
      <c r="G517" s="24"/>
    </row>
    <row r="518" spans="7:7">
      <c r="G518" s="24"/>
    </row>
    <row r="519" spans="7:7">
      <c r="G519" s="24"/>
    </row>
    <row r="520" spans="7:7">
      <c r="G520" s="24"/>
    </row>
    <row r="521" spans="7:7">
      <c r="G521" s="24"/>
    </row>
    <row r="522" spans="7:7">
      <c r="G522" s="24"/>
    </row>
    <row r="523" spans="7:7">
      <c r="G523" s="24"/>
    </row>
    <row r="524" spans="7:7">
      <c r="G524" s="24"/>
    </row>
    <row r="525" spans="7:7">
      <c r="G525" s="24"/>
    </row>
    <row r="526" spans="7:7">
      <c r="G526" s="24"/>
    </row>
    <row r="527" spans="7:7">
      <c r="G527" s="24"/>
    </row>
    <row r="528" spans="7:7">
      <c r="G528" s="24"/>
    </row>
    <row r="529" spans="7:7">
      <c r="G529" s="24"/>
    </row>
    <row r="530" spans="7:7">
      <c r="G530" s="24"/>
    </row>
    <row r="531" spans="7:7">
      <c r="G531" s="24"/>
    </row>
    <row r="532" spans="7:7">
      <c r="G532" s="24"/>
    </row>
    <row r="533" spans="7:7">
      <c r="G533" s="24"/>
    </row>
    <row r="534" spans="7:7">
      <c r="G534" s="24"/>
    </row>
    <row r="535" spans="7:7">
      <c r="G535" s="24"/>
    </row>
    <row r="536" spans="7:7">
      <c r="G536" s="24"/>
    </row>
    <row r="537" spans="7:7">
      <c r="G537" s="24"/>
    </row>
    <row r="538" spans="7:7">
      <c r="G538" s="24"/>
    </row>
    <row r="539" spans="7:7">
      <c r="G539" s="24"/>
    </row>
    <row r="540" spans="7:7">
      <c r="G540" s="24"/>
    </row>
    <row r="541" spans="7:7">
      <c r="G541" s="24"/>
    </row>
    <row r="542" spans="7:7">
      <c r="G542" s="24"/>
    </row>
    <row r="543" spans="7:7">
      <c r="G543" s="24"/>
    </row>
    <row r="544" spans="7:7">
      <c r="G544" s="24"/>
    </row>
    <row r="545" spans="7:7">
      <c r="G545" s="24"/>
    </row>
    <row r="546" spans="7:7">
      <c r="G546" s="24"/>
    </row>
    <row r="547" spans="7:7">
      <c r="G547" s="24"/>
    </row>
    <row r="548" spans="7:7">
      <c r="G548" s="24"/>
    </row>
    <row r="549" spans="7:7">
      <c r="G549" s="24"/>
    </row>
    <row r="550" spans="7:7">
      <c r="G550" s="24"/>
    </row>
    <row r="551" spans="7:7">
      <c r="G551" s="24"/>
    </row>
    <row r="552" spans="7:7">
      <c r="G552" s="24"/>
    </row>
    <row r="553" spans="7:7">
      <c r="G553" s="24"/>
    </row>
    <row r="554" spans="7:7">
      <c r="G554" s="24"/>
    </row>
    <row r="555" spans="7:7">
      <c r="G555" s="24"/>
    </row>
    <row r="556" spans="7:7">
      <c r="G556" s="24"/>
    </row>
    <row r="557" spans="7:7">
      <c r="G557" s="24"/>
    </row>
    <row r="558" spans="7:7">
      <c r="G558" s="24"/>
    </row>
    <row r="559" spans="7:7">
      <c r="G559" s="24"/>
    </row>
    <row r="560" spans="7:7">
      <c r="G560" s="24"/>
    </row>
    <row r="561" spans="7:7">
      <c r="G561" s="24"/>
    </row>
    <row r="562" spans="7:7">
      <c r="G562" s="24"/>
    </row>
    <row r="563" spans="7:7">
      <c r="G563" s="24"/>
    </row>
    <row r="564" spans="7:7">
      <c r="G564" s="24"/>
    </row>
    <row r="565" spans="7:7">
      <c r="G565" s="24"/>
    </row>
    <row r="566" spans="7:7">
      <c r="G566" s="24"/>
    </row>
    <row r="567" spans="7:7">
      <c r="G567" s="24"/>
    </row>
    <row r="568" spans="7:7">
      <c r="G568" s="24"/>
    </row>
    <row r="569" spans="7:7">
      <c r="G569" s="24"/>
    </row>
    <row r="570" spans="7:7">
      <c r="G570" s="24"/>
    </row>
    <row r="571" spans="7:7">
      <c r="G571" s="24"/>
    </row>
    <row r="572" spans="7:7">
      <c r="G572" s="24"/>
    </row>
    <row r="573" spans="7:7">
      <c r="G573" s="24"/>
    </row>
    <row r="574" spans="7:7">
      <c r="G574" s="24"/>
    </row>
    <row r="575" spans="7:7">
      <c r="G575" s="24"/>
    </row>
    <row r="576" spans="7:7">
      <c r="G576" s="24"/>
    </row>
    <row r="577" spans="7:7">
      <c r="G577" s="24"/>
    </row>
    <row r="578" spans="7:7">
      <c r="G578" s="24"/>
    </row>
    <row r="579" spans="7:7">
      <c r="G579" s="24"/>
    </row>
    <row r="580" spans="7:7">
      <c r="G580" s="24"/>
    </row>
    <row r="581" spans="7:7">
      <c r="G581" s="24"/>
    </row>
    <row r="582" spans="7:7">
      <c r="G582" s="24"/>
    </row>
    <row r="583" spans="7:7">
      <c r="G583" s="24"/>
    </row>
    <row r="584" spans="7:7">
      <c r="G584" s="24"/>
    </row>
    <row r="585" spans="7:7">
      <c r="G585" s="24"/>
    </row>
    <row r="586" spans="7:7">
      <c r="G586" s="24"/>
    </row>
    <row r="587" spans="7:7">
      <c r="G587" s="24"/>
    </row>
    <row r="588" spans="7:7">
      <c r="G588" s="24"/>
    </row>
    <row r="589" spans="7:7">
      <c r="G589" s="24"/>
    </row>
    <row r="590" spans="7:7">
      <c r="G590" s="24"/>
    </row>
    <row r="591" spans="7:7">
      <c r="G591" s="24"/>
    </row>
    <row r="592" spans="7:7">
      <c r="G592" s="24"/>
    </row>
    <row r="593" spans="7:7">
      <c r="G593" s="24"/>
    </row>
    <row r="594" spans="7:7">
      <c r="G594" s="24"/>
    </row>
    <row r="595" spans="7:7">
      <c r="G595" s="24"/>
    </row>
    <row r="596" spans="7:7">
      <c r="G596" s="24"/>
    </row>
    <row r="597" spans="7:7">
      <c r="G597" s="24"/>
    </row>
    <row r="598" spans="7:7">
      <c r="G598" s="24"/>
    </row>
    <row r="599" spans="7:7">
      <c r="G599" s="24"/>
    </row>
    <row r="600" spans="7:7">
      <c r="G600" s="24"/>
    </row>
    <row r="601" spans="7:7">
      <c r="G601" s="24"/>
    </row>
    <row r="602" spans="7:7">
      <c r="G602" s="24"/>
    </row>
    <row r="603" spans="7:7">
      <c r="G603" s="24"/>
    </row>
    <row r="604" spans="7:7">
      <c r="G604" s="24"/>
    </row>
    <row r="605" spans="7:7">
      <c r="G605" s="24"/>
    </row>
    <row r="606" spans="7:7">
      <c r="G606" s="24"/>
    </row>
    <row r="607" spans="7:7">
      <c r="G607" s="24"/>
    </row>
    <row r="608" spans="7:7">
      <c r="G608" s="24"/>
    </row>
    <row r="609" spans="7:7">
      <c r="G609" s="24"/>
    </row>
    <row r="610" spans="7:7">
      <c r="G610" s="24"/>
    </row>
    <row r="611" spans="7:7">
      <c r="G611" s="24"/>
    </row>
    <row r="612" spans="7:7">
      <c r="G612" s="24"/>
    </row>
    <row r="613" spans="7:7">
      <c r="G613" s="24"/>
    </row>
    <row r="614" spans="7:7">
      <c r="G614" s="24"/>
    </row>
    <row r="615" spans="7:7">
      <c r="G615" s="24"/>
    </row>
    <row r="616" spans="7:7">
      <c r="G616" s="24"/>
    </row>
    <row r="617" spans="7:7">
      <c r="G617" s="24"/>
    </row>
    <row r="618" spans="7:7">
      <c r="G618" s="24"/>
    </row>
    <row r="619" spans="7:7">
      <c r="G619" s="24"/>
    </row>
    <row r="620" spans="7:7">
      <c r="G620" s="24"/>
    </row>
    <row r="621" spans="7:7">
      <c r="G621" s="24"/>
    </row>
    <row r="622" spans="7:7">
      <c r="G622" s="24"/>
    </row>
    <row r="623" spans="7:7">
      <c r="G623" s="24"/>
    </row>
    <row r="624" spans="7:7">
      <c r="G624" s="24"/>
    </row>
    <row r="625" spans="7:7">
      <c r="G625" s="24"/>
    </row>
    <row r="626" spans="7:7">
      <c r="G626" s="24"/>
    </row>
    <row r="627" spans="7:7">
      <c r="G627" s="24"/>
    </row>
    <row r="628" spans="7:7">
      <c r="G628" s="24"/>
    </row>
    <row r="629" spans="7:7">
      <c r="G629" s="24"/>
    </row>
    <row r="630" spans="7:7">
      <c r="G630" s="24"/>
    </row>
    <row r="631" spans="7:7">
      <c r="G631" s="24"/>
    </row>
    <row r="632" spans="7:7">
      <c r="G632" s="24"/>
    </row>
    <row r="633" spans="7:7">
      <c r="G633" s="24"/>
    </row>
    <row r="634" spans="7:7">
      <c r="G634" s="24"/>
    </row>
    <row r="635" spans="7:7">
      <c r="G635" s="24"/>
    </row>
    <row r="636" spans="7:7">
      <c r="G636" s="24"/>
    </row>
    <row r="637" spans="7:7">
      <c r="G637" s="24"/>
    </row>
    <row r="638" spans="7:7">
      <c r="G638" s="24"/>
    </row>
    <row r="639" spans="7:7">
      <c r="G639" s="24"/>
    </row>
    <row r="640" spans="7:7">
      <c r="G640" s="24"/>
    </row>
    <row r="641" spans="7:7">
      <c r="G641" s="24"/>
    </row>
    <row r="642" spans="7:7">
      <c r="G642" s="24"/>
    </row>
    <row r="643" spans="7:7">
      <c r="G643" s="24"/>
    </row>
    <row r="644" spans="7:7">
      <c r="G644" s="24"/>
    </row>
    <row r="645" spans="7:7">
      <c r="G645" s="24"/>
    </row>
    <row r="646" spans="7:7">
      <c r="G646" s="24"/>
    </row>
    <row r="647" spans="7:7">
      <c r="G647" s="24"/>
    </row>
    <row r="648" spans="7:7">
      <c r="G648" s="24"/>
    </row>
    <row r="649" spans="7:7">
      <c r="G649" s="24"/>
    </row>
    <row r="650" spans="7:7">
      <c r="G650" s="24"/>
    </row>
    <row r="651" spans="7:7">
      <c r="G651" s="24"/>
    </row>
    <row r="652" spans="7:7">
      <c r="G652" s="24"/>
    </row>
    <row r="653" spans="7:7">
      <c r="G653" s="24"/>
    </row>
    <row r="654" spans="7:7">
      <c r="G654" s="24"/>
    </row>
    <row r="655" spans="7:7">
      <c r="G655" s="24"/>
    </row>
    <row r="656" spans="7:7">
      <c r="G656" s="24"/>
    </row>
    <row r="657" spans="7:7">
      <c r="G657" s="24"/>
    </row>
    <row r="658" spans="7:7">
      <c r="G658" s="24"/>
    </row>
    <row r="659" spans="7:7">
      <c r="G659" s="24"/>
    </row>
    <row r="660" spans="7:7">
      <c r="G660" s="24"/>
    </row>
    <row r="661" spans="7:7">
      <c r="G661" s="24"/>
    </row>
    <row r="662" spans="7:7">
      <c r="G662" s="24"/>
    </row>
    <row r="663" spans="7:7">
      <c r="G663" s="24"/>
    </row>
    <row r="664" spans="7:7">
      <c r="G664" s="24"/>
    </row>
    <row r="665" spans="7:7">
      <c r="G665" s="24"/>
    </row>
    <row r="666" spans="7:7">
      <c r="G666" s="24"/>
    </row>
    <row r="667" spans="7:7">
      <c r="G667" s="24"/>
    </row>
    <row r="668" spans="7:7">
      <c r="G668" s="24"/>
    </row>
    <row r="669" spans="7:7">
      <c r="G669" s="24"/>
    </row>
    <row r="670" spans="7:7">
      <c r="G670" s="24"/>
    </row>
    <row r="671" spans="7:7">
      <c r="G671" s="24"/>
    </row>
    <row r="672" spans="7:7">
      <c r="G672" s="24"/>
    </row>
    <row r="673" spans="7:7">
      <c r="G673" s="24"/>
    </row>
    <row r="674" spans="7:7">
      <c r="G674" s="24"/>
    </row>
    <row r="675" spans="7:7">
      <c r="G675" s="24"/>
    </row>
    <row r="676" spans="7:7">
      <c r="G676" s="24"/>
    </row>
    <row r="677" spans="7:7">
      <c r="G677" s="24"/>
    </row>
    <row r="678" spans="7:7">
      <c r="G678" s="24"/>
    </row>
    <row r="679" spans="7:7">
      <c r="G679" s="24"/>
    </row>
    <row r="680" spans="7:7">
      <c r="G680" s="24"/>
    </row>
    <row r="681" spans="7:7">
      <c r="G681" s="24"/>
    </row>
    <row r="682" spans="7:7">
      <c r="G682" s="24"/>
    </row>
    <row r="683" spans="7:7">
      <c r="G683" s="24"/>
    </row>
    <row r="684" spans="7:7">
      <c r="G684" s="24"/>
    </row>
    <row r="685" spans="7:7">
      <c r="G685" s="24"/>
    </row>
    <row r="686" spans="7:7">
      <c r="G686" s="24"/>
    </row>
    <row r="687" spans="7:7">
      <c r="G687" s="24"/>
    </row>
    <row r="688" spans="7:7">
      <c r="G688" s="24"/>
    </row>
    <row r="689" spans="7:7">
      <c r="G689" s="24"/>
    </row>
    <row r="690" spans="7:7">
      <c r="G690" s="24"/>
    </row>
    <row r="691" spans="7:7">
      <c r="G691" s="24"/>
    </row>
    <row r="692" spans="7:7">
      <c r="G692" s="24"/>
    </row>
    <row r="693" spans="7:7">
      <c r="G693" s="24"/>
    </row>
    <row r="694" spans="7:7">
      <c r="G694" s="24"/>
    </row>
    <row r="695" spans="7:7">
      <c r="G695" s="24"/>
    </row>
    <row r="696" spans="7:7">
      <c r="G696" s="24"/>
    </row>
    <row r="697" spans="7:7">
      <c r="G697" s="24"/>
    </row>
    <row r="698" spans="7:7">
      <c r="G698" s="24"/>
    </row>
    <row r="699" spans="7:7">
      <c r="G699" s="24"/>
    </row>
    <row r="700" spans="7:7">
      <c r="G700" s="24"/>
    </row>
    <row r="701" spans="7:7">
      <c r="G701" s="24"/>
    </row>
    <row r="702" spans="7:7">
      <c r="G702" s="24"/>
    </row>
    <row r="703" spans="7:7">
      <c r="G703" s="24"/>
    </row>
    <row r="704" spans="7:7">
      <c r="G704" s="24"/>
    </row>
    <row r="705" spans="7:7">
      <c r="G705" s="24"/>
    </row>
    <row r="706" spans="7:7">
      <c r="G706" s="24"/>
    </row>
    <row r="707" spans="7:7">
      <c r="G707" s="24"/>
    </row>
    <row r="708" spans="7:7">
      <c r="G708" s="24"/>
    </row>
    <row r="709" spans="7:7">
      <c r="G709" s="24"/>
    </row>
    <row r="710" spans="7:7">
      <c r="G710" s="24"/>
    </row>
    <row r="711" spans="7:7">
      <c r="G711" s="24"/>
    </row>
    <row r="712" spans="7:7">
      <c r="G712" s="24"/>
    </row>
    <row r="713" spans="7:7">
      <c r="G713" s="24"/>
    </row>
    <row r="714" spans="7:7">
      <c r="G714" s="24"/>
    </row>
    <row r="715" spans="7:7">
      <c r="G715" s="24"/>
    </row>
    <row r="716" spans="7:7">
      <c r="G716" s="24"/>
    </row>
    <row r="717" spans="7:7">
      <c r="G717" s="24"/>
    </row>
    <row r="718" spans="7:7">
      <c r="G718" s="24"/>
    </row>
    <row r="719" spans="7:7">
      <c r="G719" s="24"/>
    </row>
    <row r="720" spans="7:7">
      <c r="G720" s="24"/>
    </row>
    <row r="721" spans="7:7">
      <c r="G721" s="24"/>
    </row>
    <row r="722" spans="7:7">
      <c r="G722" s="24"/>
    </row>
    <row r="723" spans="7:7">
      <c r="G723" s="24"/>
    </row>
    <row r="724" spans="7:7">
      <c r="G724" s="24"/>
    </row>
    <row r="725" spans="7:7">
      <c r="G725" s="24"/>
    </row>
    <row r="726" spans="7:7">
      <c r="G726" s="24"/>
    </row>
    <row r="727" spans="7:7">
      <c r="G727" s="24"/>
    </row>
    <row r="728" spans="7:7">
      <c r="G728" s="24"/>
    </row>
    <row r="729" spans="7:7">
      <c r="G729" s="24"/>
    </row>
    <row r="730" spans="7:7">
      <c r="G730" s="24"/>
    </row>
    <row r="731" spans="7:7">
      <c r="G731" s="24"/>
    </row>
    <row r="732" spans="7:7">
      <c r="G732" s="24"/>
    </row>
    <row r="733" spans="7:7">
      <c r="G733" s="24"/>
    </row>
    <row r="734" spans="7:7">
      <c r="G734" s="24"/>
    </row>
    <row r="735" spans="7:7">
      <c r="G735" s="24"/>
    </row>
    <row r="736" spans="7:7">
      <c r="G736" s="24"/>
    </row>
    <row r="737" spans="7:7">
      <c r="G737" s="24"/>
    </row>
    <row r="738" spans="7:7">
      <c r="G738" s="24"/>
    </row>
    <row r="739" spans="7:7">
      <c r="G739" s="24"/>
    </row>
    <row r="740" spans="7:7">
      <c r="G740" s="24"/>
    </row>
    <row r="741" spans="7:7">
      <c r="G741" s="24"/>
    </row>
    <row r="742" spans="7:7">
      <c r="G742" s="24"/>
    </row>
    <row r="743" spans="7:7">
      <c r="G743" s="24"/>
    </row>
    <row r="744" spans="7:7">
      <c r="G744" s="24"/>
    </row>
    <row r="745" spans="7:7">
      <c r="G745" s="24"/>
    </row>
    <row r="746" spans="7:7">
      <c r="G746" s="24"/>
    </row>
    <row r="747" spans="7:7">
      <c r="G747" s="24"/>
    </row>
    <row r="748" spans="7:7">
      <c r="G748" s="24"/>
    </row>
    <row r="749" spans="7:7">
      <c r="G749" s="24"/>
    </row>
    <row r="750" spans="7:7">
      <c r="G750" s="24"/>
    </row>
    <row r="751" spans="7:7">
      <c r="G751" s="24"/>
    </row>
    <row r="752" spans="7:7">
      <c r="G752" s="24"/>
    </row>
    <row r="753" spans="7:7">
      <c r="G753" s="24"/>
    </row>
    <row r="754" spans="7:7">
      <c r="G754" s="24"/>
    </row>
    <row r="755" spans="7:7">
      <c r="G755" s="24"/>
    </row>
    <row r="756" spans="7:7">
      <c r="G756" s="24"/>
    </row>
    <row r="757" spans="7:7">
      <c r="G757" s="24"/>
    </row>
    <row r="758" spans="7:7">
      <c r="G758" s="24"/>
    </row>
    <row r="759" spans="7:7">
      <c r="G759" s="24"/>
    </row>
    <row r="760" spans="7:7">
      <c r="G760" s="24"/>
    </row>
    <row r="761" spans="7:7">
      <c r="G761" s="24"/>
    </row>
    <row r="762" spans="7:7">
      <c r="G762" s="24"/>
    </row>
    <row r="763" spans="7:7">
      <c r="G763" s="24"/>
    </row>
    <row r="764" spans="7:7">
      <c r="G764" s="24"/>
    </row>
    <row r="765" spans="7:7">
      <c r="G765" s="24"/>
    </row>
    <row r="766" spans="7:7">
      <c r="G766" s="24"/>
    </row>
    <row r="767" spans="7:7">
      <c r="G767" s="24"/>
    </row>
    <row r="768" spans="7:7">
      <c r="G768" s="24"/>
    </row>
    <row r="769" spans="7:7">
      <c r="G769" s="24"/>
    </row>
    <row r="770" spans="7:7">
      <c r="G770" s="24"/>
    </row>
    <row r="771" spans="7:7">
      <c r="G771" s="24"/>
    </row>
    <row r="772" spans="7:7">
      <c r="G772" s="24"/>
    </row>
    <row r="773" spans="7:7">
      <c r="G773" s="24"/>
    </row>
    <row r="774" spans="7:7">
      <c r="G774" s="24"/>
    </row>
    <row r="775" spans="7:7">
      <c r="G775" s="24"/>
    </row>
    <row r="776" spans="7:7">
      <c r="G776" s="24"/>
    </row>
    <row r="777" spans="7:7">
      <c r="G777" s="24"/>
    </row>
    <row r="778" spans="7:7">
      <c r="G778" s="24"/>
    </row>
    <row r="779" spans="7:7">
      <c r="G779" s="24"/>
    </row>
    <row r="780" spans="7:7">
      <c r="G780" s="24"/>
    </row>
    <row r="781" spans="7:7">
      <c r="G781" s="24"/>
    </row>
    <row r="782" spans="7:7">
      <c r="G782" s="24"/>
    </row>
    <row r="783" spans="7:7">
      <c r="G783" s="24"/>
    </row>
    <row r="784" spans="7:7">
      <c r="G784" s="24"/>
    </row>
    <row r="785" spans="7:7">
      <c r="G785" s="24"/>
    </row>
    <row r="786" spans="7:7">
      <c r="G786" s="24"/>
    </row>
    <row r="787" spans="7:7">
      <c r="G787" s="24"/>
    </row>
    <row r="788" spans="7:7">
      <c r="G788" s="24"/>
    </row>
    <row r="789" spans="7:7">
      <c r="G789" s="24"/>
    </row>
    <row r="790" spans="7:7">
      <c r="G790" s="24"/>
    </row>
    <row r="791" spans="7:7">
      <c r="G791" s="24"/>
    </row>
    <row r="792" spans="7:7">
      <c r="G792" s="24"/>
    </row>
    <row r="793" spans="7:7">
      <c r="G793" s="24"/>
    </row>
    <row r="794" spans="7:7">
      <c r="G794" s="24"/>
    </row>
    <row r="795" spans="7:7">
      <c r="G795" s="24"/>
    </row>
    <row r="796" spans="7:7">
      <c r="G796" s="24"/>
    </row>
    <row r="797" spans="7:7">
      <c r="G797" s="24"/>
    </row>
    <row r="798" spans="7:7">
      <c r="G798" s="24"/>
    </row>
    <row r="799" spans="7:7">
      <c r="G799" s="24"/>
    </row>
    <row r="800" spans="7:7">
      <c r="G800" s="24"/>
    </row>
    <row r="801" spans="7:7">
      <c r="G801" s="24"/>
    </row>
    <row r="802" spans="7:7">
      <c r="G802" s="24"/>
    </row>
    <row r="803" spans="7:7">
      <c r="G803" s="24"/>
    </row>
    <row r="804" spans="7:7">
      <c r="G804" s="24"/>
    </row>
    <row r="805" spans="7:7">
      <c r="G805" s="24"/>
    </row>
    <row r="806" spans="7:7">
      <c r="G806" s="24"/>
    </row>
    <row r="807" spans="7:7">
      <c r="G807" s="24"/>
    </row>
    <row r="808" spans="7:7">
      <c r="G808" s="24"/>
    </row>
    <row r="809" spans="7:7">
      <c r="G809" s="24"/>
    </row>
    <row r="810" spans="7:7">
      <c r="G810" s="24"/>
    </row>
    <row r="811" spans="7:7">
      <c r="G811" s="24"/>
    </row>
    <row r="812" spans="7:7">
      <c r="G812" s="24"/>
    </row>
    <row r="813" spans="7:7">
      <c r="G813" s="24"/>
    </row>
    <row r="814" spans="7:7">
      <c r="G814" s="24"/>
    </row>
    <row r="815" spans="7:7">
      <c r="G815" s="24"/>
    </row>
    <row r="816" spans="7:7">
      <c r="G816" s="24"/>
    </row>
    <row r="817" spans="7:7">
      <c r="G817" s="24"/>
    </row>
    <row r="818" spans="7:7">
      <c r="G818" s="24"/>
    </row>
    <row r="819" spans="7:7">
      <c r="G819" s="24"/>
    </row>
    <row r="820" spans="7:7">
      <c r="G820" s="24"/>
    </row>
    <row r="821" spans="7:7">
      <c r="G821" s="24"/>
    </row>
    <row r="822" spans="7:7">
      <c r="G822" s="24"/>
    </row>
    <row r="823" spans="7:7">
      <c r="G823" s="24"/>
    </row>
    <row r="824" spans="7:7">
      <c r="G824" s="24"/>
    </row>
    <row r="825" spans="7:7">
      <c r="G825" s="24"/>
    </row>
    <row r="826" spans="7:7">
      <c r="G826" s="24"/>
    </row>
    <row r="827" spans="7:7">
      <c r="G827" s="24"/>
    </row>
    <row r="828" spans="7:7">
      <c r="G828" s="24"/>
    </row>
    <row r="829" spans="7:7">
      <c r="G829" s="24"/>
    </row>
    <row r="830" spans="7:7">
      <c r="G830" s="24"/>
    </row>
    <row r="831" spans="7:7">
      <c r="G831" s="24"/>
    </row>
    <row r="832" spans="7:7">
      <c r="G832" s="24"/>
    </row>
    <row r="833" spans="7:7">
      <c r="G833" s="24"/>
    </row>
    <row r="834" spans="7:7">
      <c r="G834" s="24"/>
    </row>
    <row r="835" spans="7:7">
      <c r="G835" s="24"/>
    </row>
    <row r="836" spans="7:7">
      <c r="G836" s="24"/>
    </row>
    <row r="837" spans="7:7">
      <c r="G837" s="24"/>
    </row>
    <row r="838" spans="7:7">
      <c r="G838" s="24"/>
    </row>
    <row r="839" spans="7:7">
      <c r="G839" s="24"/>
    </row>
    <row r="840" spans="7:7">
      <c r="G840" s="24"/>
    </row>
    <row r="841" spans="7:7">
      <c r="G841" s="24"/>
    </row>
    <row r="842" spans="7:7">
      <c r="G842" s="24"/>
    </row>
    <row r="843" spans="7:7">
      <c r="G843" s="24"/>
    </row>
    <row r="844" spans="7:7">
      <c r="G844" s="24"/>
    </row>
    <row r="845" spans="7:7">
      <c r="G845" s="24"/>
    </row>
    <row r="846" spans="7:7">
      <c r="G846" s="24"/>
    </row>
    <row r="847" spans="7:7">
      <c r="G847" s="24"/>
    </row>
    <row r="848" spans="7:7">
      <c r="G848" s="24"/>
    </row>
    <row r="849" spans="7:7">
      <c r="G849" s="24"/>
    </row>
    <row r="850" spans="7:7">
      <c r="G850" s="24"/>
    </row>
    <row r="851" spans="7:7">
      <c r="G851" s="24"/>
    </row>
    <row r="852" spans="7:7">
      <c r="G852" s="24"/>
    </row>
    <row r="853" spans="7:7">
      <c r="G853" s="24"/>
    </row>
    <row r="854" spans="7:7">
      <c r="G854" s="24"/>
    </row>
    <row r="855" spans="7:7">
      <c r="G855" s="24"/>
    </row>
    <row r="856" spans="7:7">
      <c r="G856" s="24"/>
    </row>
    <row r="857" spans="7:7">
      <c r="G857" s="24"/>
    </row>
    <row r="858" spans="7:7">
      <c r="G858" s="24"/>
    </row>
    <row r="859" spans="7:7">
      <c r="G859" s="24"/>
    </row>
    <row r="860" spans="7:7">
      <c r="G860" s="24"/>
    </row>
    <row r="861" spans="7:7">
      <c r="G861" s="24"/>
    </row>
    <row r="862" spans="7:7">
      <c r="G862" s="24"/>
    </row>
    <row r="863" spans="7:7">
      <c r="G863" s="24"/>
    </row>
    <row r="864" spans="7:7">
      <c r="G864" s="24"/>
    </row>
    <row r="865" spans="7:7">
      <c r="G865" s="24"/>
    </row>
    <row r="866" spans="7:7">
      <c r="G866" s="24"/>
    </row>
    <row r="867" spans="7:7">
      <c r="G867" s="24"/>
    </row>
    <row r="868" spans="7:7">
      <c r="G868" s="24"/>
    </row>
    <row r="869" spans="7:7">
      <c r="G869" s="24"/>
    </row>
    <row r="870" spans="7:7">
      <c r="G870" s="24"/>
    </row>
    <row r="871" spans="7:7">
      <c r="G871" s="24"/>
    </row>
    <row r="872" spans="7:7">
      <c r="G872" s="24"/>
    </row>
    <row r="873" spans="7:7">
      <c r="G873" s="24"/>
    </row>
    <row r="874" spans="7:7">
      <c r="G874" s="24"/>
    </row>
    <row r="875" spans="7:7">
      <c r="G875" s="24"/>
    </row>
    <row r="876" spans="7:7">
      <c r="G876" s="24"/>
    </row>
    <row r="877" spans="7:7">
      <c r="G877" s="24"/>
    </row>
    <row r="878" spans="7:7">
      <c r="G878" s="24"/>
    </row>
    <row r="879" spans="7:7">
      <c r="G879" s="24"/>
    </row>
    <row r="880" spans="7:7">
      <c r="G880" s="24"/>
    </row>
    <row r="881" spans="7:7">
      <c r="G881" s="24"/>
    </row>
    <row r="882" spans="7:7">
      <c r="G882" s="24"/>
    </row>
    <row r="883" spans="7:7">
      <c r="G883" s="24"/>
    </row>
    <row r="884" spans="7:7">
      <c r="G884" s="24"/>
    </row>
    <row r="885" spans="7:7">
      <c r="G885" s="24"/>
    </row>
    <row r="886" spans="7:7">
      <c r="G886" s="24"/>
    </row>
    <row r="887" spans="7:7">
      <c r="G887" s="24"/>
    </row>
    <row r="888" spans="7:7">
      <c r="G888" s="24"/>
    </row>
    <row r="889" spans="7:7">
      <c r="G889" s="24"/>
    </row>
    <row r="890" spans="7:7">
      <c r="G890" s="24"/>
    </row>
    <row r="891" spans="7:7">
      <c r="G891" s="24"/>
    </row>
    <row r="892" spans="7:7">
      <c r="G892" s="24"/>
    </row>
    <row r="893" spans="7:7">
      <c r="G893" s="24"/>
    </row>
    <row r="894" spans="7:7">
      <c r="G894" s="24"/>
    </row>
    <row r="895" spans="7:7">
      <c r="G895" s="24"/>
    </row>
    <row r="896" spans="7:7">
      <c r="G896" s="24"/>
    </row>
    <row r="897" spans="7:7">
      <c r="G897" s="24"/>
    </row>
    <row r="898" spans="7:7">
      <c r="G898" s="24"/>
    </row>
    <row r="899" spans="7:7">
      <c r="G899" s="24"/>
    </row>
    <row r="900" spans="7:7">
      <c r="G900" s="24"/>
    </row>
    <row r="901" spans="7:7">
      <c r="G901" s="24"/>
    </row>
    <row r="902" spans="7:7">
      <c r="G902" s="24"/>
    </row>
    <row r="903" spans="7:7">
      <c r="G903" s="24"/>
    </row>
    <row r="904" spans="7:7">
      <c r="G904" s="24"/>
    </row>
    <row r="905" spans="7:7">
      <c r="G905" s="24"/>
    </row>
    <row r="906" spans="7:7">
      <c r="G906" s="24"/>
    </row>
    <row r="907" spans="7:7">
      <c r="G907" s="24"/>
    </row>
    <row r="908" spans="7:7">
      <c r="G908" s="24"/>
    </row>
    <row r="909" spans="7:7">
      <c r="G909" s="24"/>
    </row>
    <row r="910" spans="7:7">
      <c r="G910" s="24"/>
    </row>
    <row r="911" spans="7:7">
      <c r="G911" s="24"/>
    </row>
    <row r="912" spans="7:7">
      <c r="G912" s="24"/>
    </row>
    <row r="913" spans="7:7">
      <c r="G913" s="24"/>
    </row>
    <row r="914" spans="7:7">
      <c r="G914" s="24"/>
    </row>
    <row r="915" spans="7:7">
      <c r="G915" s="24"/>
    </row>
    <row r="916" spans="7:7">
      <c r="G916" s="24"/>
    </row>
    <row r="917" spans="7:7">
      <c r="G917" s="24"/>
    </row>
    <row r="918" spans="7:7">
      <c r="G918" s="24"/>
    </row>
    <row r="919" spans="7:7">
      <c r="G919" s="24"/>
    </row>
    <row r="920" spans="7:7">
      <c r="G920" s="24"/>
    </row>
    <row r="921" spans="7:7">
      <c r="G921" s="24"/>
    </row>
    <row r="922" spans="7:7">
      <c r="G922" s="24"/>
    </row>
    <row r="923" spans="7:7">
      <c r="G923" s="24"/>
    </row>
    <row r="924" spans="7:7">
      <c r="G924" s="24"/>
    </row>
    <row r="925" spans="7:7">
      <c r="G925" s="24"/>
    </row>
    <row r="926" spans="7:7">
      <c r="G926" s="24"/>
    </row>
    <row r="927" spans="7:7">
      <c r="G927" s="24"/>
    </row>
    <row r="928" spans="7:7">
      <c r="G928" s="24"/>
    </row>
    <row r="929" spans="7:7">
      <c r="G929" s="24"/>
    </row>
    <row r="930" spans="7:7">
      <c r="G930" s="24"/>
    </row>
    <row r="931" spans="7:7">
      <c r="G931" s="24"/>
    </row>
    <row r="932" spans="7:7">
      <c r="G932" s="24"/>
    </row>
    <row r="933" spans="7:7">
      <c r="G933" s="24"/>
    </row>
    <row r="934" spans="7:7">
      <c r="G934" s="24"/>
    </row>
    <row r="935" spans="7:7">
      <c r="G935" s="24"/>
    </row>
    <row r="936" spans="7:7">
      <c r="G936" s="24"/>
    </row>
    <row r="937" spans="7:7">
      <c r="G937" s="24"/>
    </row>
    <row r="938" spans="7:7">
      <c r="G938" s="24"/>
    </row>
    <row r="939" spans="7:7">
      <c r="G939" s="24"/>
    </row>
    <row r="940" spans="7:7">
      <c r="G940" s="24"/>
    </row>
    <row r="941" spans="7:7">
      <c r="G941" s="24"/>
    </row>
    <row r="942" spans="7:7">
      <c r="G942" s="24"/>
    </row>
    <row r="943" spans="7:7">
      <c r="G943" s="24"/>
    </row>
    <row r="944" spans="7:7">
      <c r="G944" s="24"/>
    </row>
    <row r="945" spans="7:7">
      <c r="G945" s="24"/>
    </row>
    <row r="946" spans="7:7">
      <c r="G946" s="24"/>
    </row>
    <row r="947" spans="7:7">
      <c r="G947" s="24"/>
    </row>
    <row r="948" spans="7:7">
      <c r="G948" s="24"/>
    </row>
    <row r="949" spans="7:7">
      <c r="G949" s="24"/>
    </row>
    <row r="950" spans="7:7">
      <c r="G950" s="24"/>
    </row>
    <row r="951" spans="7:7">
      <c r="G951" s="24"/>
    </row>
    <row r="952" spans="7:7">
      <c r="G952" s="24"/>
    </row>
    <row r="953" spans="7:7">
      <c r="G953" s="24"/>
    </row>
    <row r="954" spans="7:7">
      <c r="G954" s="24"/>
    </row>
    <row r="955" spans="7:7">
      <c r="G955" s="24"/>
    </row>
    <row r="956" spans="7:7">
      <c r="G956" s="24"/>
    </row>
    <row r="957" spans="7:7">
      <c r="G957" s="24"/>
    </row>
    <row r="958" spans="7:7">
      <c r="G958" s="24"/>
    </row>
    <row r="959" spans="7:7">
      <c r="G959" s="24"/>
    </row>
    <row r="960" spans="7:7">
      <c r="G960" s="24"/>
    </row>
    <row r="961" spans="7:7">
      <c r="G961" s="24"/>
    </row>
    <row r="962" spans="7:7">
      <c r="G962" s="24"/>
    </row>
    <row r="963" spans="7:7">
      <c r="G963" s="24"/>
    </row>
    <row r="964" spans="7:7">
      <c r="G964" s="24"/>
    </row>
    <row r="965" spans="7:7">
      <c r="G965" s="24"/>
    </row>
    <row r="966" spans="7:7">
      <c r="G966" s="24"/>
    </row>
    <row r="967" spans="7:7">
      <c r="G967" s="24"/>
    </row>
    <row r="968" spans="7:7">
      <c r="G968" s="24"/>
    </row>
    <row r="969" spans="7:7">
      <c r="G969" s="24"/>
    </row>
    <row r="970" spans="7:7">
      <c r="G970" s="24"/>
    </row>
    <row r="971" spans="7:7">
      <c r="G971" s="24"/>
    </row>
    <row r="972" spans="7:7">
      <c r="G972" s="24"/>
    </row>
    <row r="973" spans="7:7">
      <c r="G973" s="24"/>
    </row>
    <row r="974" spans="7:7">
      <c r="G974" s="24"/>
    </row>
    <row r="975" spans="7:7">
      <c r="G975" s="24"/>
    </row>
    <row r="976" spans="7:7">
      <c r="G976" s="24"/>
    </row>
    <row r="977" spans="7:7">
      <c r="G977" s="24"/>
    </row>
    <row r="978" spans="7:7">
      <c r="G978" s="24"/>
    </row>
    <row r="979" spans="7:7">
      <c r="G979" s="24"/>
    </row>
    <row r="980" spans="7:7">
      <c r="G980" s="24"/>
    </row>
    <row r="981" spans="7:7">
      <c r="G981" s="24"/>
    </row>
    <row r="982" spans="7:7">
      <c r="G982" s="24"/>
    </row>
    <row r="983" spans="7:7">
      <c r="G983" s="24"/>
    </row>
    <row r="984" spans="7:7">
      <c r="G984" s="24"/>
    </row>
    <row r="985" spans="7:7">
      <c r="G985" s="24"/>
    </row>
    <row r="986" spans="7:7">
      <c r="G986" s="24"/>
    </row>
    <row r="987" spans="7:7">
      <c r="G987" s="24"/>
    </row>
    <row r="988" spans="7:7">
      <c r="G988" s="24"/>
    </row>
    <row r="989" spans="7:7">
      <c r="G989" s="24"/>
    </row>
    <row r="990" spans="7:7">
      <c r="G990" s="24"/>
    </row>
    <row r="991" spans="7:7">
      <c r="G991" s="24"/>
    </row>
    <row r="992" spans="7:7">
      <c r="G992" s="24"/>
    </row>
    <row r="993" spans="7:7">
      <c r="G993" s="24"/>
    </row>
    <row r="994" spans="7:7">
      <c r="G994" s="24"/>
    </row>
    <row r="995" spans="7:7">
      <c r="G995" s="24"/>
    </row>
    <row r="996" spans="7:7">
      <c r="G996" s="24"/>
    </row>
    <row r="997" spans="7:7">
      <c r="G997" s="24"/>
    </row>
    <row r="998" spans="7:7">
      <c r="G998" s="24"/>
    </row>
    <row r="999" spans="7:7">
      <c r="G999" s="24"/>
    </row>
    <row r="1000" spans="7:7">
      <c r="G1000" s="24"/>
    </row>
    <row r="1001" spans="7:7">
      <c r="G1001" s="24"/>
    </row>
    <row r="1002" spans="7:7">
      <c r="G1002" s="24"/>
    </row>
    <row r="1003" spans="7:7">
      <c r="G1003" s="24"/>
    </row>
    <row r="1004" spans="7:7">
      <c r="G1004" s="24"/>
    </row>
    <row r="1005" spans="7:7">
      <c r="G1005" s="24"/>
    </row>
    <row r="1006" spans="7:7">
      <c r="G1006" s="24"/>
    </row>
    <row r="1007" spans="7:7">
      <c r="G1007" s="24"/>
    </row>
    <row r="1008" spans="7:7">
      <c r="G1008" s="24"/>
    </row>
    <row r="1009" spans="7:7">
      <c r="G1009" s="24"/>
    </row>
    <row r="1010" spans="7:7">
      <c r="G1010" s="24"/>
    </row>
    <row r="1011" spans="7:7">
      <c r="G1011" s="24"/>
    </row>
    <row r="1012" spans="7:7">
      <c r="G1012" s="24"/>
    </row>
    <row r="1013" spans="7:7">
      <c r="G1013" s="24"/>
    </row>
    <row r="1014" spans="7:7">
      <c r="G1014" s="24"/>
    </row>
    <row r="1015" spans="7:7">
      <c r="G1015" s="24"/>
    </row>
    <row r="1016" spans="7:7">
      <c r="G1016" s="24"/>
    </row>
    <row r="1017" spans="7:7">
      <c r="G1017" s="24"/>
    </row>
    <row r="1018" spans="7:7">
      <c r="G1018" s="24"/>
    </row>
    <row r="1019" spans="7:7">
      <c r="G1019" s="24"/>
    </row>
    <row r="1020" spans="7:7">
      <c r="G1020" s="24"/>
    </row>
    <row r="1021" spans="7:7">
      <c r="G1021" s="24"/>
    </row>
    <row r="1022" spans="7:7">
      <c r="G1022" s="24"/>
    </row>
    <row r="1023" spans="7:7">
      <c r="G1023" s="24"/>
    </row>
    <row r="1024" spans="7:7">
      <c r="G1024" s="24"/>
    </row>
    <row r="1025" spans="7:7">
      <c r="G1025" s="24"/>
    </row>
    <row r="1026" spans="7:7">
      <c r="G1026" s="24"/>
    </row>
    <row r="1027" spans="7:7">
      <c r="G1027" s="24"/>
    </row>
    <row r="1028" spans="7:7">
      <c r="G1028" s="24"/>
    </row>
    <row r="1029" spans="7:7">
      <c r="G1029" s="24"/>
    </row>
    <row r="1030" spans="7:7">
      <c r="G1030" s="24"/>
    </row>
    <row r="1031" spans="7:7">
      <c r="G1031" s="24"/>
    </row>
    <row r="1032" spans="7:7">
      <c r="G1032" s="24"/>
    </row>
    <row r="1033" spans="7:7">
      <c r="G1033" s="24"/>
    </row>
    <row r="1034" spans="7:7">
      <c r="G1034" s="24"/>
    </row>
    <row r="1035" spans="7:7">
      <c r="G1035" s="24"/>
    </row>
    <row r="1036" spans="7:7">
      <c r="G1036" s="24"/>
    </row>
    <row r="1037" spans="7:7">
      <c r="G1037" s="24"/>
    </row>
    <row r="1038" spans="7:7">
      <c r="G1038" s="24"/>
    </row>
    <row r="1039" spans="7:7">
      <c r="G1039" s="24"/>
    </row>
    <row r="1040" spans="7:7">
      <c r="G1040" s="24"/>
    </row>
    <row r="1041" spans="7:7">
      <c r="G1041" s="24"/>
    </row>
    <row r="1042" spans="7:7">
      <c r="G1042" s="24"/>
    </row>
    <row r="1043" spans="7:7">
      <c r="G1043" s="24"/>
    </row>
    <row r="1044" spans="7:7">
      <c r="G1044" s="24"/>
    </row>
    <row r="1045" spans="7:7">
      <c r="G1045" s="24"/>
    </row>
    <row r="1046" spans="7:7">
      <c r="G1046" s="24"/>
    </row>
    <row r="1047" spans="7:7">
      <c r="G1047" s="24"/>
    </row>
    <row r="1048" spans="7:7">
      <c r="G1048" s="24"/>
    </row>
    <row r="1049" spans="7:7">
      <c r="G1049" s="24"/>
    </row>
    <row r="1050" spans="7:7">
      <c r="G1050" s="24"/>
    </row>
    <row r="1051" spans="7:7">
      <c r="G1051" s="24"/>
    </row>
    <row r="1052" spans="7:7">
      <c r="G1052" s="24"/>
    </row>
    <row r="1053" spans="7:7">
      <c r="G1053" s="24"/>
    </row>
    <row r="1054" spans="7:7">
      <c r="G1054" s="24"/>
    </row>
    <row r="1055" spans="7:7">
      <c r="G1055" s="24"/>
    </row>
    <row r="1056" spans="7:7">
      <c r="G1056" s="24"/>
    </row>
    <row r="1057" spans="7:7">
      <c r="G1057" s="24"/>
    </row>
    <row r="1058" spans="7:7">
      <c r="G1058" s="24"/>
    </row>
    <row r="1059" spans="7:7">
      <c r="G1059" s="24"/>
    </row>
    <row r="1060" spans="7:7">
      <c r="G1060" s="24"/>
    </row>
    <row r="1061" spans="7:7">
      <c r="G1061" s="24"/>
    </row>
    <row r="1062" spans="7:7">
      <c r="G1062" s="24"/>
    </row>
    <row r="1063" spans="7:7">
      <c r="G1063" s="24"/>
    </row>
    <row r="1064" spans="7:7">
      <c r="G1064" s="24"/>
    </row>
    <row r="1065" spans="7:7">
      <c r="G1065" s="24"/>
    </row>
    <row r="1066" spans="7:7">
      <c r="G1066" s="24"/>
    </row>
    <row r="1067" spans="7:7">
      <c r="G1067" s="24"/>
    </row>
    <row r="1068" spans="7:7">
      <c r="G1068" s="24"/>
    </row>
    <row r="1069" spans="7:7">
      <c r="G1069" s="24"/>
    </row>
    <row r="1070" spans="7:7">
      <c r="G1070" s="24"/>
    </row>
    <row r="1071" spans="7:7">
      <c r="G1071" s="24"/>
    </row>
    <row r="1072" spans="7:7">
      <c r="G1072" s="24"/>
    </row>
    <row r="1073" spans="7:7">
      <c r="G1073" s="24"/>
    </row>
    <row r="1074" spans="7:7">
      <c r="G1074" s="24"/>
    </row>
    <row r="1075" spans="7:7">
      <c r="G1075" s="24"/>
    </row>
    <row r="1076" spans="7:7">
      <c r="G1076" s="24"/>
    </row>
    <row r="1077" spans="7:7">
      <c r="G1077" s="24"/>
    </row>
    <row r="1078" spans="7:7">
      <c r="G1078" s="24"/>
    </row>
    <row r="1079" spans="7:7">
      <c r="G1079" s="24"/>
    </row>
    <row r="1080" spans="7:7">
      <c r="G1080" s="24"/>
    </row>
    <row r="1081" spans="7:7">
      <c r="G1081" s="24"/>
    </row>
    <row r="1082" spans="7:7">
      <c r="G1082" s="24"/>
    </row>
    <row r="1083" spans="7:7">
      <c r="G1083" s="24"/>
    </row>
    <row r="1084" spans="7:7">
      <c r="G1084" s="24"/>
    </row>
    <row r="1085" spans="7:7">
      <c r="G1085" s="24"/>
    </row>
    <row r="1086" spans="7:7">
      <c r="G1086" s="24"/>
    </row>
    <row r="1087" spans="7:7">
      <c r="G1087" s="24"/>
    </row>
    <row r="1088" spans="7:7">
      <c r="G1088" s="24"/>
    </row>
    <row r="1089" spans="7:7">
      <c r="G1089" s="24"/>
    </row>
    <row r="1090" spans="7:7">
      <c r="G1090" s="24"/>
    </row>
    <row r="1091" spans="7:7">
      <c r="G1091" s="24"/>
    </row>
    <row r="1092" spans="7:7">
      <c r="G1092" s="24"/>
    </row>
    <row r="1093" spans="7:7">
      <c r="G1093" s="24"/>
    </row>
    <row r="1094" spans="7:7">
      <c r="G1094" s="24"/>
    </row>
    <row r="1095" spans="7:7">
      <c r="G1095" s="24"/>
    </row>
    <row r="1096" spans="7:7">
      <c r="G1096" s="24"/>
    </row>
    <row r="1097" spans="7:7">
      <c r="G1097" s="24"/>
    </row>
    <row r="1098" spans="7:7">
      <c r="G1098" s="24"/>
    </row>
    <row r="1099" spans="7:7">
      <c r="G1099" s="24"/>
    </row>
    <row r="1100" spans="7:7">
      <c r="G1100" s="24"/>
    </row>
    <row r="1101" spans="7:7">
      <c r="G1101" s="24"/>
    </row>
    <row r="1102" spans="7:7">
      <c r="G1102" s="24"/>
    </row>
    <row r="1103" spans="7:7">
      <c r="G1103" s="24"/>
    </row>
    <row r="1104" spans="7:7">
      <c r="G1104" s="24"/>
    </row>
    <row r="1105" spans="7:7">
      <c r="G1105" s="24"/>
    </row>
    <row r="1106" spans="7:7">
      <c r="G1106" s="24"/>
    </row>
    <row r="1107" spans="7:7">
      <c r="G1107" s="24"/>
    </row>
    <row r="1108" spans="7:7">
      <c r="G1108" s="24"/>
    </row>
    <row r="1109" spans="7:7">
      <c r="G1109" s="24"/>
    </row>
    <row r="1110" spans="7:7">
      <c r="G1110" s="24"/>
    </row>
    <row r="1111" spans="7:7">
      <c r="G1111" s="24"/>
    </row>
    <row r="1112" spans="7:7">
      <c r="G1112" s="24"/>
    </row>
    <row r="1113" spans="7:7">
      <c r="G1113" s="24"/>
    </row>
    <row r="1114" spans="7:7">
      <c r="G1114" s="24"/>
    </row>
    <row r="1115" spans="7:7">
      <c r="G1115" s="24"/>
    </row>
    <row r="1116" spans="7:7">
      <c r="G1116" s="24"/>
    </row>
    <row r="1117" spans="7:7">
      <c r="G1117" s="24"/>
    </row>
    <row r="1118" spans="7:7">
      <c r="G1118" s="24"/>
    </row>
    <row r="1119" spans="7:7">
      <c r="G1119" s="24"/>
    </row>
    <row r="1120" spans="7:7">
      <c r="G1120" s="24"/>
    </row>
    <row r="1121" spans="7:7">
      <c r="G1121" s="24"/>
    </row>
    <row r="1122" spans="7:7">
      <c r="G1122" s="24"/>
    </row>
    <row r="1123" spans="7:7">
      <c r="G1123" s="24"/>
    </row>
    <row r="1124" spans="7:7">
      <c r="G1124" s="24"/>
    </row>
    <row r="1125" spans="7:7">
      <c r="G1125" s="24"/>
    </row>
    <row r="1126" spans="7:7">
      <c r="G1126" s="24"/>
    </row>
    <row r="1127" spans="7:7">
      <c r="G1127" s="24"/>
    </row>
    <row r="1128" spans="7:7">
      <c r="G1128" s="24"/>
    </row>
    <row r="1129" spans="7:7">
      <c r="G1129" s="24"/>
    </row>
    <row r="1130" spans="7:7">
      <c r="G1130" s="24"/>
    </row>
    <row r="1131" spans="7:7">
      <c r="G1131" s="24"/>
    </row>
    <row r="1132" spans="7:7">
      <c r="G1132" s="24"/>
    </row>
    <row r="1133" spans="7:7">
      <c r="G1133" s="24"/>
    </row>
    <row r="1134" spans="7:7">
      <c r="G1134" s="24"/>
    </row>
    <row r="1135" spans="7:7">
      <c r="G1135" s="24"/>
    </row>
    <row r="1136" spans="7:7">
      <c r="G1136" s="24"/>
    </row>
    <row r="1137" spans="7:7">
      <c r="G1137" s="24"/>
    </row>
    <row r="1138" spans="7:7">
      <c r="G1138" s="24"/>
    </row>
    <row r="1139" spans="7:7">
      <c r="G1139" s="24"/>
    </row>
    <row r="1140" spans="7:7">
      <c r="G1140" s="24"/>
    </row>
    <row r="1141" spans="7:7">
      <c r="G1141" s="24"/>
    </row>
    <row r="1142" spans="7:7">
      <c r="G1142" s="24"/>
    </row>
    <row r="1143" spans="7:7">
      <c r="G1143" s="24"/>
    </row>
    <row r="1144" spans="7:7">
      <c r="G1144" s="24"/>
    </row>
    <row r="1145" spans="7:7">
      <c r="G1145" s="24"/>
    </row>
    <row r="1146" spans="7:7">
      <c r="G1146" s="24"/>
    </row>
    <row r="1147" spans="7:7">
      <c r="G1147" s="24"/>
    </row>
    <row r="1148" spans="7:7">
      <c r="G1148" s="24"/>
    </row>
    <row r="1149" spans="7:7">
      <c r="G1149" s="24"/>
    </row>
    <row r="1150" spans="7:7">
      <c r="G1150" s="24"/>
    </row>
    <row r="1151" spans="7:7">
      <c r="G1151" s="24"/>
    </row>
    <row r="1152" spans="7:7">
      <c r="G1152" s="24"/>
    </row>
    <row r="1153" spans="7:7">
      <c r="G1153" s="24"/>
    </row>
    <row r="1154" spans="7:7">
      <c r="G1154" s="24"/>
    </row>
    <row r="1155" spans="7:7">
      <c r="G1155" s="24"/>
    </row>
    <row r="1156" spans="7:7">
      <c r="G1156" s="24"/>
    </row>
    <row r="1157" spans="7:7">
      <c r="G1157" s="24"/>
    </row>
    <row r="1158" spans="7:7">
      <c r="G1158" s="24"/>
    </row>
    <row r="1159" spans="7:7">
      <c r="G1159" s="24"/>
    </row>
    <row r="1160" spans="7:7">
      <c r="G1160" s="24"/>
    </row>
    <row r="1161" spans="7:7">
      <c r="G1161" s="24"/>
    </row>
    <row r="1162" spans="7:7">
      <c r="G1162" s="24"/>
    </row>
    <row r="1163" spans="7:7">
      <c r="G1163" s="24"/>
    </row>
    <row r="1164" spans="7:7">
      <c r="G1164" s="24"/>
    </row>
    <row r="1165" spans="7:7">
      <c r="G1165" s="24"/>
    </row>
    <row r="1166" spans="7:7">
      <c r="G1166" s="24"/>
    </row>
    <row r="1167" spans="7:7">
      <c r="G1167" s="24"/>
    </row>
    <row r="1168" spans="7:7">
      <c r="G1168" s="24"/>
    </row>
    <row r="1169" spans="7:7">
      <c r="G1169" s="24"/>
    </row>
    <row r="1170" spans="7:7">
      <c r="G1170" s="24"/>
    </row>
    <row r="1171" spans="7:7">
      <c r="G1171" s="24"/>
    </row>
    <row r="1172" spans="7:7">
      <c r="G1172" s="24"/>
    </row>
    <row r="1173" spans="7:7">
      <c r="G1173" s="24"/>
    </row>
    <row r="1174" spans="7:7">
      <c r="G1174" s="24"/>
    </row>
    <row r="1175" spans="7:7">
      <c r="G1175" s="24"/>
    </row>
    <row r="1176" spans="7:7">
      <c r="G1176" s="24"/>
    </row>
    <row r="1177" spans="7:7">
      <c r="G1177" s="24"/>
    </row>
    <row r="1178" spans="7:7">
      <c r="G1178" s="24"/>
    </row>
    <row r="1179" spans="7:7">
      <c r="G1179" s="24"/>
    </row>
    <row r="1180" spans="7:7">
      <c r="G1180" s="24"/>
    </row>
    <row r="1181" spans="7:7">
      <c r="G1181" s="24"/>
    </row>
    <row r="1182" spans="7:7">
      <c r="G1182" s="24"/>
    </row>
    <row r="1183" spans="7:7">
      <c r="G1183" s="24"/>
    </row>
    <row r="1184" spans="7:7">
      <c r="G1184" s="24"/>
    </row>
    <row r="1185" spans="7:7">
      <c r="G1185" s="24"/>
    </row>
    <row r="1186" spans="7:7">
      <c r="G1186" s="24"/>
    </row>
    <row r="1187" spans="7:7">
      <c r="G1187" s="24"/>
    </row>
    <row r="1188" spans="7:7">
      <c r="G1188" s="24"/>
    </row>
    <row r="1189" spans="7:7">
      <c r="G1189" s="24"/>
    </row>
    <row r="1190" spans="7:7">
      <c r="G1190" s="24"/>
    </row>
    <row r="1191" spans="7:7">
      <c r="G1191" s="24"/>
    </row>
    <row r="1192" spans="7:7">
      <c r="G1192" s="24"/>
    </row>
    <row r="1193" spans="7:7">
      <c r="G1193" s="24"/>
    </row>
    <row r="1194" spans="7:7">
      <c r="G1194" s="24"/>
    </row>
    <row r="1195" spans="7:7">
      <c r="G1195" s="24"/>
    </row>
    <row r="1196" spans="7:7">
      <c r="G1196" s="24"/>
    </row>
    <row r="1197" spans="7:7">
      <c r="G1197" s="24"/>
    </row>
    <row r="1198" spans="7:7">
      <c r="G1198" s="24"/>
    </row>
    <row r="1199" spans="7:7">
      <c r="G1199" s="24"/>
    </row>
    <row r="1200" spans="7:7">
      <c r="G1200" s="24"/>
    </row>
    <row r="1201" spans="7:7">
      <c r="G1201" s="24"/>
    </row>
    <row r="1202" spans="7:7">
      <c r="G1202" s="24"/>
    </row>
    <row r="1203" spans="7:7">
      <c r="G1203" s="24"/>
    </row>
    <row r="1204" spans="7:7">
      <c r="G1204" s="24"/>
    </row>
    <row r="1205" spans="7:7">
      <c r="G1205" s="24"/>
    </row>
    <row r="1206" spans="7:7">
      <c r="G1206" s="24"/>
    </row>
    <row r="1207" spans="7:7">
      <c r="G1207" s="24"/>
    </row>
    <row r="1208" spans="7:7">
      <c r="G1208" s="24"/>
    </row>
    <row r="1209" spans="7:7">
      <c r="G1209" s="24"/>
    </row>
    <row r="1210" spans="7:7">
      <c r="G1210" s="24"/>
    </row>
    <row r="1211" spans="7:7">
      <c r="G1211" s="24"/>
    </row>
    <row r="1212" spans="7:7">
      <c r="G1212" s="24"/>
    </row>
    <row r="1213" spans="7:7">
      <c r="G1213" s="24"/>
    </row>
    <row r="1214" spans="7:7">
      <c r="G1214" s="24"/>
    </row>
    <row r="1215" spans="7:7">
      <c r="G1215" s="24"/>
    </row>
    <row r="1216" spans="7:7">
      <c r="G1216" s="24"/>
    </row>
    <row r="1217" spans="7:7">
      <c r="G1217" s="24"/>
    </row>
    <row r="1218" spans="7:7">
      <c r="G1218" s="24"/>
    </row>
    <row r="1219" spans="7:7">
      <c r="G1219" s="24"/>
    </row>
    <row r="1220" spans="7:7">
      <c r="G1220" s="24"/>
    </row>
    <row r="1221" spans="7:7">
      <c r="G1221" s="24"/>
    </row>
    <row r="1222" spans="7:7">
      <c r="G1222" s="24"/>
    </row>
    <row r="1223" spans="7:7">
      <c r="G1223" s="24"/>
    </row>
    <row r="1224" spans="7:7">
      <c r="G1224" s="24"/>
    </row>
    <row r="1225" spans="7:7">
      <c r="G1225" s="24"/>
    </row>
    <row r="1226" spans="7:7">
      <c r="G1226" s="24"/>
    </row>
    <row r="1227" spans="7:7">
      <c r="G1227" s="24"/>
    </row>
    <row r="1228" spans="7:7">
      <c r="G1228" s="24"/>
    </row>
    <row r="1229" spans="7:7">
      <c r="G1229" s="24"/>
    </row>
    <row r="1230" spans="7:7">
      <c r="G1230" s="24"/>
    </row>
    <row r="1231" spans="7:7">
      <c r="G1231" s="24"/>
    </row>
    <row r="1232" spans="7:7">
      <c r="G1232" s="24"/>
    </row>
    <row r="1233" spans="7:7">
      <c r="G1233" s="24"/>
    </row>
    <row r="1234" spans="7:7">
      <c r="G1234" s="24"/>
    </row>
    <row r="1235" spans="7:7">
      <c r="G1235" s="24"/>
    </row>
    <row r="1236" spans="7:7">
      <c r="G1236" s="24"/>
    </row>
    <row r="1237" spans="7:7">
      <c r="G1237" s="24"/>
    </row>
    <row r="1238" spans="7:7">
      <c r="G1238" s="24"/>
    </row>
    <row r="1239" spans="7:7">
      <c r="G1239" s="24"/>
    </row>
    <row r="1240" spans="7:7">
      <c r="G1240" s="24"/>
    </row>
    <row r="1241" spans="7:7">
      <c r="G1241" s="24"/>
    </row>
    <row r="1242" spans="7:7">
      <c r="G1242" s="24"/>
    </row>
    <row r="1243" spans="7:7">
      <c r="G1243" s="24"/>
    </row>
    <row r="1244" spans="7:7">
      <c r="G1244" s="24"/>
    </row>
    <row r="1245" spans="7:7">
      <c r="G1245" s="24"/>
    </row>
    <row r="1246" spans="7:7">
      <c r="G1246" s="24"/>
    </row>
    <row r="1247" spans="7:7">
      <c r="G1247" s="24"/>
    </row>
    <row r="1248" spans="7:7">
      <c r="G1248" s="24"/>
    </row>
    <row r="1249" spans="7:7">
      <c r="G1249" s="24"/>
    </row>
    <row r="1250" spans="7:7">
      <c r="G1250" s="24"/>
    </row>
    <row r="1251" spans="7:7">
      <c r="G1251" s="24"/>
    </row>
    <row r="1252" spans="7:7">
      <c r="G1252" s="24"/>
    </row>
    <row r="1253" spans="7:7">
      <c r="G1253" s="24"/>
    </row>
    <row r="1254" spans="7:7">
      <c r="G1254" s="24"/>
    </row>
    <row r="1255" spans="7:7">
      <c r="G1255" s="24"/>
    </row>
    <row r="1256" spans="7:7">
      <c r="G1256" s="24"/>
    </row>
    <row r="1257" spans="7:7">
      <c r="G1257" s="24"/>
    </row>
    <row r="1258" spans="7:7">
      <c r="G1258" s="24"/>
    </row>
    <row r="1259" spans="7:7">
      <c r="G1259" s="24"/>
    </row>
    <row r="1260" spans="7:7">
      <c r="G1260" s="24"/>
    </row>
    <row r="1261" spans="7:7">
      <c r="G1261" s="24"/>
    </row>
    <row r="1262" spans="7:7">
      <c r="G1262" s="24"/>
    </row>
    <row r="1263" spans="7:7">
      <c r="G1263" s="24"/>
    </row>
    <row r="1264" spans="7:7">
      <c r="G1264" s="24"/>
    </row>
    <row r="1265" spans="7:7">
      <c r="G1265" s="24"/>
    </row>
    <row r="1266" spans="7:7">
      <c r="G1266" s="24"/>
    </row>
    <row r="1267" spans="7:7">
      <c r="G1267" s="24"/>
    </row>
    <row r="1268" spans="7:7">
      <c r="G1268" s="24"/>
    </row>
    <row r="1269" spans="7:7">
      <c r="G1269" s="24"/>
    </row>
    <row r="1270" spans="7:7">
      <c r="G1270" s="24"/>
    </row>
    <row r="1271" spans="7:7">
      <c r="G1271" s="24"/>
    </row>
    <row r="1272" spans="7:7">
      <c r="G1272" s="24"/>
    </row>
    <row r="1273" spans="7:7">
      <c r="G1273" s="24"/>
    </row>
    <row r="1274" spans="7:7">
      <c r="G1274" s="24"/>
    </row>
    <row r="1275" spans="7:7">
      <c r="G1275" s="24"/>
    </row>
    <row r="1276" spans="7:7">
      <c r="G1276" s="24"/>
    </row>
    <row r="1277" spans="7:7">
      <c r="G1277" s="24"/>
    </row>
    <row r="1278" spans="7:7">
      <c r="G1278" s="24"/>
    </row>
    <row r="1279" spans="7:7">
      <c r="G1279" s="24"/>
    </row>
    <row r="1280" spans="7:7">
      <c r="G1280" s="24"/>
    </row>
    <row r="1281" spans="7:7">
      <c r="G1281" s="24"/>
    </row>
    <row r="1282" spans="7:7">
      <c r="G1282" s="24"/>
    </row>
    <row r="1283" spans="7:7">
      <c r="G1283" s="24"/>
    </row>
    <row r="1284" spans="7:7">
      <c r="G1284" s="24"/>
    </row>
    <row r="1285" spans="7:7">
      <c r="G1285" s="24"/>
    </row>
    <row r="1286" spans="7:7">
      <c r="G1286" s="24"/>
    </row>
    <row r="1287" spans="7:7">
      <c r="G1287" s="24"/>
    </row>
    <row r="1288" spans="7:7">
      <c r="G1288" s="24"/>
    </row>
    <row r="1289" spans="7:7">
      <c r="G1289" s="24"/>
    </row>
    <row r="1290" spans="7:7">
      <c r="G1290" s="24"/>
    </row>
    <row r="1291" spans="7:7">
      <c r="G1291" s="24"/>
    </row>
    <row r="1292" spans="7:7">
      <c r="G1292" s="24"/>
    </row>
    <row r="1293" spans="7:7">
      <c r="G1293" s="24"/>
    </row>
    <row r="1294" spans="7:7">
      <c r="G1294" s="24"/>
    </row>
    <row r="1295" spans="7:7">
      <c r="G1295" s="24"/>
    </row>
    <row r="1296" spans="7:7">
      <c r="G1296" s="24"/>
    </row>
    <row r="1297" spans="7:7">
      <c r="G1297" s="24"/>
    </row>
    <row r="1298" spans="7:7">
      <c r="G1298" s="24"/>
    </row>
    <row r="1299" spans="7:7">
      <c r="G1299" s="24"/>
    </row>
    <row r="1300" spans="7:7">
      <c r="G1300" s="24"/>
    </row>
    <row r="1301" spans="7:7">
      <c r="G1301" s="24"/>
    </row>
    <row r="1302" spans="7:7">
      <c r="G1302" s="24"/>
    </row>
    <row r="1303" spans="7:7">
      <c r="G1303" s="24"/>
    </row>
    <row r="1304" spans="7:7">
      <c r="G1304" s="24"/>
    </row>
    <row r="1305" spans="7:7">
      <c r="G1305" s="24"/>
    </row>
    <row r="1306" spans="7:7">
      <c r="G1306" s="24"/>
    </row>
    <row r="1307" spans="7:7">
      <c r="G1307" s="24"/>
    </row>
    <row r="1308" spans="7:7">
      <c r="G1308" s="24"/>
    </row>
    <row r="1309" spans="7:7">
      <c r="G1309" s="24"/>
    </row>
    <row r="1310" spans="7:7">
      <c r="G1310" s="24"/>
    </row>
    <row r="1311" spans="7:7">
      <c r="G1311" s="24"/>
    </row>
    <row r="1312" spans="7:7">
      <c r="G1312" s="24"/>
    </row>
    <row r="1313" spans="7:7">
      <c r="G1313" s="24"/>
    </row>
    <row r="1314" spans="7:7">
      <c r="G1314" s="24"/>
    </row>
    <row r="1315" spans="7:7">
      <c r="G1315" s="24"/>
    </row>
    <row r="1316" spans="7:7">
      <c r="G1316" s="24"/>
    </row>
    <row r="1317" spans="7:7">
      <c r="G1317" s="24"/>
    </row>
    <row r="1318" spans="7:7">
      <c r="G1318" s="24"/>
    </row>
    <row r="1319" spans="7:7">
      <c r="G1319" s="24"/>
    </row>
    <row r="1320" spans="7:7">
      <c r="G1320" s="24"/>
    </row>
    <row r="1321" spans="7:7">
      <c r="G1321" s="24"/>
    </row>
    <row r="1322" spans="7:7">
      <c r="G1322" s="24"/>
    </row>
    <row r="1323" spans="7:7">
      <c r="G1323" s="24"/>
    </row>
    <row r="1324" spans="7:7">
      <c r="G1324" s="24"/>
    </row>
    <row r="1325" spans="7:7">
      <c r="G1325" s="24"/>
    </row>
    <row r="1326" spans="7:7">
      <c r="G1326" s="24"/>
    </row>
    <row r="1327" spans="7:7">
      <c r="G1327" s="24"/>
    </row>
    <row r="1328" spans="7:7">
      <c r="G1328" s="24"/>
    </row>
    <row r="1329" spans="7:7">
      <c r="G1329" s="24"/>
    </row>
    <row r="1330" spans="7:7">
      <c r="G1330" s="24"/>
    </row>
    <row r="1331" spans="7:7">
      <c r="G1331" s="24"/>
    </row>
    <row r="1332" spans="7:7">
      <c r="G1332" s="24"/>
    </row>
    <row r="1333" spans="7:7">
      <c r="G1333" s="24"/>
    </row>
    <row r="1334" spans="7:7">
      <c r="G1334" s="24"/>
    </row>
    <row r="1335" spans="7:7">
      <c r="G1335" s="24"/>
    </row>
    <row r="1336" spans="7:7">
      <c r="G1336" s="24"/>
    </row>
    <row r="1337" spans="7:7">
      <c r="G1337" s="24"/>
    </row>
    <row r="1338" spans="7:7">
      <c r="G1338" s="24"/>
    </row>
    <row r="1339" spans="7:7">
      <c r="G1339" s="24"/>
    </row>
    <row r="1340" spans="7:7">
      <c r="G1340" s="24"/>
    </row>
    <row r="1341" spans="7:7">
      <c r="G1341" s="24"/>
    </row>
    <row r="1342" spans="7:7">
      <c r="G1342" s="24"/>
    </row>
    <row r="1343" spans="7:7">
      <c r="G1343" s="24"/>
    </row>
    <row r="1344" spans="7:7">
      <c r="G1344" s="24"/>
    </row>
    <row r="1345" spans="7:7">
      <c r="G1345" s="24"/>
    </row>
    <row r="1346" spans="7:7">
      <c r="G1346" s="24"/>
    </row>
    <row r="1347" spans="7:7">
      <c r="G1347" s="24"/>
    </row>
    <row r="1348" spans="7:7">
      <c r="G1348" s="24"/>
    </row>
    <row r="1349" spans="7:7">
      <c r="G1349" s="24"/>
    </row>
    <row r="1350" spans="7:7">
      <c r="G1350" s="24"/>
    </row>
    <row r="1351" spans="7:7">
      <c r="G1351" s="24"/>
    </row>
    <row r="1352" spans="7:7">
      <c r="G1352" s="24"/>
    </row>
    <row r="1353" spans="7:7">
      <c r="G1353" s="24"/>
    </row>
    <row r="1354" spans="7:7">
      <c r="G1354" s="24"/>
    </row>
    <row r="1355" spans="7:7">
      <c r="G1355" s="24"/>
    </row>
    <row r="1356" spans="7:7">
      <c r="G1356" s="24"/>
    </row>
    <row r="1357" spans="7:7">
      <c r="G1357" s="24"/>
    </row>
    <row r="1358" spans="7:7">
      <c r="G1358" s="24"/>
    </row>
    <row r="1359" spans="7:7">
      <c r="G1359" s="24"/>
    </row>
    <row r="1360" spans="7:7">
      <c r="G1360" s="24"/>
    </row>
    <row r="1361" spans="7:7">
      <c r="G1361" s="24"/>
    </row>
    <row r="1362" spans="7:7">
      <c r="G1362" s="24"/>
    </row>
    <row r="1363" spans="7:7">
      <c r="G1363" s="24"/>
    </row>
    <row r="1364" spans="7:7">
      <c r="G1364" s="24"/>
    </row>
    <row r="1365" spans="7:7">
      <c r="G1365" s="24"/>
    </row>
    <row r="1366" spans="7:7">
      <c r="G1366" s="24"/>
    </row>
    <row r="1367" spans="7:7">
      <c r="G1367" s="24"/>
    </row>
    <row r="1368" spans="7:7">
      <c r="G1368" s="24"/>
    </row>
    <row r="1369" spans="7:7">
      <c r="G1369" s="24"/>
    </row>
    <row r="1370" spans="7:7">
      <c r="G1370" s="24"/>
    </row>
    <row r="1371" spans="7:7">
      <c r="G1371" s="24"/>
    </row>
    <row r="1372" spans="7:7">
      <c r="G1372" s="24"/>
    </row>
    <row r="1373" spans="7:7">
      <c r="G1373" s="24"/>
    </row>
    <row r="1374" spans="7:7">
      <c r="G1374" s="24"/>
    </row>
    <row r="1375" spans="7:7">
      <c r="G1375" s="24"/>
    </row>
    <row r="1376" spans="7:7">
      <c r="G1376" s="24"/>
    </row>
    <row r="1377" spans="7:7">
      <c r="G1377" s="24"/>
    </row>
    <row r="1378" spans="7:7">
      <c r="G1378" s="24"/>
    </row>
    <row r="1379" spans="7:7">
      <c r="G1379" s="24"/>
    </row>
    <row r="1380" spans="7:7">
      <c r="G1380" s="24"/>
    </row>
    <row r="1381" spans="7:7">
      <c r="G1381" s="24"/>
    </row>
    <row r="1382" spans="7:7">
      <c r="G1382" s="24"/>
    </row>
    <row r="1383" spans="7:7">
      <c r="G1383" s="24"/>
    </row>
    <row r="1384" spans="7:7">
      <c r="G1384" s="24"/>
    </row>
    <row r="1385" spans="7:7">
      <c r="G1385" s="24"/>
    </row>
    <row r="1386" spans="7:7">
      <c r="G1386" s="24"/>
    </row>
    <row r="1387" spans="7:7">
      <c r="G1387" s="24"/>
    </row>
    <row r="1388" spans="7:7">
      <c r="G1388" s="24"/>
    </row>
    <row r="1389" spans="7:7">
      <c r="G1389" s="24"/>
    </row>
    <row r="1390" spans="7:7">
      <c r="G1390" s="24"/>
    </row>
    <row r="1391" spans="7:7">
      <c r="G1391" s="24"/>
    </row>
    <row r="1392" spans="7:7">
      <c r="G1392" s="24"/>
    </row>
    <row r="1393" spans="7:7">
      <c r="G1393" s="24"/>
    </row>
    <row r="1394" spans="7:7">
      <c r="G1394" s="24"/>
    </row>
    <row r="1395" spans="7:7">
      <c r="G1395" s="24"/>
    </row>
    <row r="1396" spans="7:7">
      <c r="G1396" s="24"/>
    </row>
    <row r="1397" spans="7:7">
      <c r="G1397" s="24"/>
    </row>
    <row r="1398" spans="7:7">
      <c r="G1398" s="24"/>
    </row>
    <row r="1399" spans="7:7">
      <c r="G1399" s="24"/>
    </row>
    <row r="1400" spans="7:7">
      <c r="G1400" s="24"/>
    </row>
    <row r="1401" spans="7:7">
      <c r="G1401" s="24"/>
    </row>
    <row r="1402" spans="7:7">
      <c r="G1402" s="24"/>
    </row>
    <row r="1403" spans="7:7">
      <c r="G1403" s="24"/>
    </row>
    <row r="1404" spans="7:7">
      <c r="G1404" s="24"/>
    </row>
    <row r="1405" spans="7:7">
      <c r="G1405" s="24"/>
    </row>
    <row r="1406" spans="7:7">
      <c r="G1406" s="24"/>
    </row>
    <row r="1407" spans="7:7">
      <c r="G1407" s="24"/>
    </row>
    <row r="1408" spans="7:7">
      <c r="G1408" s="24"/>
    </row>
    <row r="1409" spans="7:7">
      <c r="G1409" s="24"/>
    </row>
    <row r="1410" spans="7:7">
      <c r="G1410" s="24"/>
    </row>
    <row r="1411" spans="7:7">
      <c r="G1411" s="24"/>
    </row>
    <row r="1412" spans="7:7">
      <c r="G1412" s="24"/>
    </row>
    <row r="1413" spans="7:7">
      <c r="G1413" s="24"/>
    </row>
    <row r="1414" spans="7:7">
      <c r="G1414" s="24"/>
    </row>
    <row r="1415" spans="7:7">
      <c r="G1415" s="24"/>
    </row>
    <row r="1416" spans="7:7">
      <c r="G1416" s="24"/>
    </row>
    <row r="1417" spans="7:7">
      <c r="G1417" s="24"/>
    </row>
    <row r="1418" spans="7:7">
      <c r="G1418" s="24"/>
    </row>
    <row r="1419" spans="7:7">
      <c r="G1419" s="24"/>
    </row>
    <row r="1420" spans="7:7">
      <c r="G1420" s="24"/>
    </row>
    <row r="1421" spans="7:7">
      <c r="G1421" s="24"/>
    </row>
    <row r="1422" spans="7:7">
      <c r="G1422" s="24"/>
    </row>
    <row r="1423" spans="7:7">
      <c r="G1423" s="24"/>
    </row>
    <row r="1424" spans="7:7">
      <c r="G1424" s="24"/>
    </row>
    <row r="1425" spans="7:7">
      <c r="G1425" s="24"/>
    </row>
    <row r="1426" spans="7:7">
      <c r="G1426" s="24"/>
    </row>
    <row r="1427" spans="7:7">
      <c r="G1427" s="24"/>
    </row>
    <row r="1428" spans="7:7">
      <c r="G1428" s="24"/>
    </row>
    <row r="1429" spans="7:7">
      <c r="G1429" s="24"/>
    </row>
    <row r="1430" spans="7:7">
      <c r="G1430" s="24"/>
    </row>
    <row r="1431" spans="7:7">
      <c r="G1431" s="24"/>
    </row>
    <row r="1432" spans="7:7">
      <c r="G1432" s="24"/>
    </row>
    <row r="1433" spans="7:7">
      <c r="G1433" s="24"/>
    </row>
    <row r="1434" spans="7:7">
      <c r="G1434" s="24"/>
    </row>
    <row r="1435" spans="7:7">
      <c r="G1435" s="24"/>
    </row>
    <row r="1436" spans="7:7">
      <c r="G1436" s="24"/>
    </row>
    <row r="1437" spans="7:7">
      <c r="G1437" s="24"/>
    </row>
    <row r="1438" spans="7:7">
      <c r="G1438" s="24"/>
    </row>
    <row r="1439" spans="7:7">
      <c r="G1439" s="24"/>
    </row>
    <row r="1440" spans="7:7">
      <c r="G1440" s="24"/>
    </row>
    <row r="1441" spans="7:7">
      <c r="G1441" s="24"/>
    </row>
    <row r="1442" spans="7:7">
      <c r="G1442" s="24"/>
    </row>
    <row r="1443" spans="7:7">
      <c r="G1443" s="24"/>
    </row>
    <row r="1444" spans="7:7">
      <c r="G1444" s="24"/>
    </row>
    <row r="1445" spans="7:7">
      <c r="G1445" s="24"/>
    </row>
    <row r="1446" spans="7:7">
      <c r="G1446" s="24"/>
    </row>
    <row r="1447" spans="7:7">
      <c r="G1447" s="24"/>
    </row>
    <row r="1448" spans="7:7">
      <c r="G1448" s="24"/>
    </row>
    <row r="1449" spans="7:7">
      <c r="G1449" s="24"/>
    </row>
    <row r="1450" spans="7:7">
      <c r="G1450" s="24"/>
    </row>
    <row r="1451" spans="7:7">
      <c r="G1451" s="24"/>
    </row>
    <row r="1452" spans="7:7">
      <c r="G1452" s="24"/>
    </row>
    <row r="1453" spans="7:7">
      <c r="G1453" s="24"/>
    </row>
    <row r="1454" spans="7:7">
      <c r="G1454" s="24"/>
    </row>
    <row r="1455" spans="7:7">
      <c r="G1455" s="24"/>
    </row>
    <row r="1456" spans="7:7">
      <c r="G1456" s="24"/>
    </row>
    <row r="1457" spans="7:7">
      <c r="G1457" s="24"/>
    </row>
    <row r="1458" spans="7:7">
      <c r="G1458" s="24"/>
    </row>
    <row r="1459" spans="7:7">
      <c r="G1459" s="24"/>
    </row>
    <row r="1460" spans="7:7">
      <c r="G1460" s="24"/>
    </row>
    <row r="1461" spans="7:7">
      <c r="G1461" s="24"/>
    </row>
    <row r="1462" spans="7:7">
      <c r="G1462" s="24"/>
    </row>
    <row r="1463" spans="7:7">
      <c r="G1463" s="24"/>
    </row>
    <row r="1464" spans="7:7">
      <c r="G1464" s="24"/>
    </row>
    <row r="1465" spans="7:7">
      <c r="G1465" s="24"/>
    </row>
    <row r="1466" spans="7:7">
      <c r="G1466" s="24"/>
    </row>
    <row r="1467" spans="7:7">
      <c r="G1467" s="24"/>
    </row>
    <row r="1468" spans="7:7">
      <c r="G1468" s="24"/>
    </row>
    <row r="1469" spans="7:7">
      <c r="G1469" s="24"/>
    </row>
    <row r="1470" spans="7:7">
      <c r="G1470" s="24"/>
    </row>
    <row r="1471" spans="7:7">
      <c r="G1471" s="24"/>
    </row>
    <row r="1472" spans="7:7">
      <c r="G1472" s="24"/>
    </row>
    <row r="1473" spans="7:7">
      <c r="G1473" s="24"/>
    </row>
    <row r="1474" spans="7:7">
      <c r="G1474" s="24"/>
    </row>
    <row r="1475" spans="7:7">
      <c r="G1475" s="24"/>
    </row>
    <row r="1476" spans="7:7">
      <c r="G1476" s="24"/>
    </row>
    <row r="1477" spans="7:7">
      <c r="G1477" s="24"/>
    </row>
    <row r="1478" spans="7:7">
      <c r="G1478" s="24"/>
    </row>
    <row r="1479" spans="7:7">
      <c r="G1479" s="24"/>
    </row>
    <row r="1480" spans="7:7">
      <c r="G1480" s="24"/>
    </row>
    <row r="1481" spans="7:7">
      <c r="G1481" s="24"/>
    </row>
    <row r="1482" spans="7:7">
      <c r="G1482" s="24"/>
    </row>
    <row r="1483" spans="7:7">
      <c r="G1483" s="24"/>
    </row>
    <row r="1484" spans="7:7">
      <c r="G1484" s="24"/>
    </row>
    <row r="1485" spans="7:7">
      <c r="G1485" s="24"/>
    </row>
    <row r="1486" spans="7:7">
      <c r="G1486" s="24"/>
    </row>
    <row r="1487" spans="7:7">
      <c r="G1487" s="24"/>
    </row>
    <row r="1488" spans="7:7">
      <c r="G1488" s="24"/>
    </row>
    <row r="1489" spans="7:7">
      <c r="G1489" s="24"/>
    </row>
    <row r="1490" spans="7:7">
      <c r="G1490" s="24"/>
    </row>
    <row r="1491" spans="7:7">
      <c r="G1491" s="24"/>
    </row>
    <row r="1492" spans="7:7">
      <c r="G1492" s="24"/>
    </row>
    <row r="1493" spans="7:7">
      <c r="G1493" s="24"/>
    </row>
    <row r="1494" spans="7:7">
      <c r="G1494" s="24"/>
    </row>
    <row r="1495" spans="7:7">
      <c r="G1495" s="24"/>
    </row>
    <row r="1496" spans="7:7">
      <c r="G1496" s="24"/>
    </row>
    <row r="1497" spans="7:7">
      <c r="G1497" s="24"/>
    </row>
    <row r="1498" spans="7:7">
      <c r="G1498" s="24"/>
    </row>
    <row r="1499" spans="7:7">
      <c r="G1499" s="24"/>
    </row>
    <row r="1500" spans="7:7">
      <c r="G1500" s="24"/>
    </row>
    <row r="1501" spans="7:7">
      <c r="G1501" s="24"/>
    </row>
    <row r="1502" spans="7:7">
      <c r="G1502" s="24"/>
    </row>
    <row r="1503" spans="7:7">
      <c r="G1503" s="24"/>
    </row>
    <row r="1504" spans="7:7">
      <c r="G1504" s="24"/>
    </row>
    <row r="1505" spans="7:7">
      <c r="G1505" s="24"/>
    </row>
    <row r="1506" spans="7:7">
      <c r="G1506" s="24"/>
    </row>
    <row r="1507" spans="7:7">
      <c r="G1507" s="24"/>
    </row>
    <row r="1508" spans="7:7">
      <c r="G1508" s="24"/>
    </row>
    <row r="1509" spans="7:7">
      <c r="G1509" s="24"/>
    </row>
    <row r="1510" spans="7:7">
      <c r="G1510" s="24"/>
    </row>
    <row r="1511" spans="7:7">
      <c r="G1511" s="24"/>
    </row>
    <row r="1512" spans="7:7">
      <c r="G1512" s="24"/>
    </row>
    <row r="1513" spans="7:7">
      <c r="G1513" s="24"/>
    </row>
    <row r="1514" spans="7:7">
      <c r="G1514" s="24"/>
    </row>
    <row r="1515" spans="7:7">
      <c r="G1515" s="24"/>
    </row>
    <row r="1516" spans="7:7">
      <c r="G1516" s="24"/>
    </row>
    <row r="1517" spans="7:7">
      <c r="G1517" s="24"/>
    </row>
    <row r="1518" spans="7:7">
      <c r="G1518" s="24"/>
    </row>
    <row r="1519" spans="7:7">
      <c r="G1519" s="24"/>
    </row>
    <row r="1520" spans="7:7">
      <c r="G1520" s="24"/>
    </row>
    <row r="1521" spans="7:7">
      <c r="G1521" s="24"/>
    </row>
    <row r="1522" spans="7:7">
      <c r="G1522" s="24"/>
    </row>
    <row r="1523" spans="7:7">
      <c r="G1523" s="24"/>
    </row>
    <row r="1524" spans="7:7">
      <c r="G1524" s="24"/>
    </row>
    <row r="1525" spans="7:7">
      <c r="G1525" s="24"/>
    </row>
    <row r="1526" spans="7:7">
      <c r="G1526" s="24"/>
    </row>
    <row r="1527" spans="7:7">
      <c r="G1527" s="24"/>
    </row>
    <row r="1528" spans="7:7">
      <c r="G1528" s="24"/>
    </row>
    <row r="1529" spans="7:7">
      <c r="G1529" s="24"/>
    </row>
    <row r="1530" spans="7:7">
      <c r="G1530" s="24"/>
    </row>
    <row r="1531" spans="7:7">
      <c r="G1531" s="24"/>
    </row>
    <row r="1532" spans="7:7">
      <c r="G1532" s="24"/>
    </row>
    <row r="1533" spans="7:7">
      <c r="G1533" s="24"/>
    </row>
    <row r="1534" spans="7:7">
      <c r="G1534" s="24"/>
    </row>
    <row r="1535" spans="7:7">
      <c r="G1535" s="24"/>
    </row>
    <row r="1536" spans="7:7">
      <c r="G1536" s="24"/>
    </row>
    <row r="1537" spans="7:7">
      <c r="G1537" s="24"/>
    </row>
    <row r="1538" spans="7:7">
      <c r="G1538" s="24"/>
    </row>
    <row r="1539" spans="7:7">
      <c r="G1539" s="24"/>
    </row>
    <row r="1540" spans="7:7">
      <c r="G1540" s="24"/>
    </row>
    <row r="1541" spans="7:7">
      <c r="G1541" s="24"/>
    </row>
    <row r="1542" spans="7:7">
      <c r="G1542" s="24"/>
    </row>
    <row r="1543" spans="7:7">
      <c r="G1543" s="24"/>
    </row>
    <row r="1544" spans="7:7">
      <c r="G1544" s="24"/>
    </row>
    <row r="1545" spans="7:7">
      <c r="G1545" s="24"/>
    </row>
    <row r="1546" spans="7:7">
      <c r="G1546" s="24"/>
    </row>
    <row r="1547" spans="7:7">
      <c r="G1547" s="24"/>
    </row>
    <row r="1548" spans="7:7">
      <c r="G1548" s="24"/>
    </row>
    <row r="1549" spans="7:7">
      <c r="G1549" s="24"/>
    </row>
    <row r="1550" spans="7:7">
      <c r="G1550" s="24"/>
    </row>
    <row r="1551" spans="7:7">
      <c r="G1551" s="24"/>
    </row>
    <row r="1552" spans="7:7">
      <c r="G1552" s="24"/>
    </row>
    <row r="1553" spans="7:7">
      <c r="G1553" s="24"/>
    </row>
    <row r="1554" spans="7:7">
      <c r="G1554" s="24"/>
    </row>
    <row r="1555" spans="7:7">
      <c r="G1555" s="24"/>
    </row>
    <row r="1556" spans="7:7">
      <c r="G1556" s="24"/>
    </row>
    <row r="1557" spans="7:7">
      <c r="G1557" s="24"/>
    </row>
    <row r="1558" spans="7:7">
      <c r="G1558" s="24"/>
    </row>
    <row r="1559" spans="7:7">
      <c r="G1559" s="24"/>
    </row>
    <row r="1560" spans="7:7">
      <c r="G1560" s="24"/>
    </row>
    <row r="1561" spans="7:7">
      <c r="G1561" s="24"/>
    </row>
    <row r="1562" spans="7:7">
      <c r="G1562" s="24"/>
    </row>
    <row r="1563" spans="7:7">
      <c r="G1563" s="24"/>
    </row>
    <row r="1564" spans="7:7">
      <c r="G1564" s="24"/>
    </row>
    <row r="1565" spans="7:7">
      <c r="G1565" s="24"/>
    </row>
    <row r="1566" spans="7:7">
      <c r="G1566" s="24"/>
    </row>
    <row r="1567" spans="7:7">
      <c r="G1567" s="24"/>
    </row>
    <row r="1568" spans="7:7">
      <c r="G1568" s="24"/>
    </row>
    <row r="1569" spans="7:7">
      <c r="G1569" s="24"/>
    </row>
    <row r="1570" spans="7:7">
      <c r="G1570" s="24"/>
    </row>
    <row r="1571" spans="7:7">
      <c r="G1571" s="24"/>
    </row>
    <row r="1572" spans="7:7">
      <c r="G1572" s="24"/>
    </row>
    <row r="1573" spans="7:7">
      <c r="G1573" s="24"/>
    </row>
    <row r="1574" spans="7:7">
      <c r="G1574"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B2:H33"/>
  <sheetViews>
    <sheetView workbookViewId="0">
      <selection sqref="A1:XFD1"/>
    </sheetView>
  </sheetViews>
  <sheetFormatPr defaultRowHeight="14.25"/>
  <cols>
    <col min="1" max="1" width="3" style="1" customWidth="1"/>
    <col min="2" max="16384" width="9.140625" style="1"/>
  </cols>
  <sheetData>
    <row r="2" spans="2:8" ht="15">
      <c r="C2" s="69" t="s">
        <v>441</v>
      </c>
      <c r="F2" s="2" t="s">
        <v>442</v>
      </c>
    </row>
    <row r="3" spans="2:8" ht="33.75" customHeight="1" thickBot="1">
      <c r="B3" s="101" t="s">
        <v>416</v>
      </c>
      <c r="C3" s="101"/>
      <c r="D3" s="101"/>
      <c r="E3" s="68"/>
      <c r="F3" s="102" t="s">
        <v>417</v>
      </c>
      <c r="G3" s="102"/>
      <c r="H3" s="102"/>
    </row>
    <row r="4" spans="2:8" ht="17.25">
      <c r="B4" s="103" t="s">
        <v>418</v>
      </c>
      <c r="C4" s="103"/>
      <c r="D4" s="103"/>
      <c r="E4" s="68"/>
      <c r="F4" s="100"/>
      <c r="G4" s="100"/>
      <c r="H4" s="100"/>
    </row>
    <row r="5" spans="2:8" ht="17.25">
      <c r="B5" s="100"/>
      <c r="C5" s="100"/>
      <c r="D5" s="100"/>
      <c r="E5" s="68"/>
      <c r="F5" s="100"/>
      <c r="G5" s="100"/>
      <c r="H5" s="100"/>
    </row>
    <row r="6" spans="2:8" ht="33.75" customHeight="1" thickBot="1">
      <c r="B6" s="101" t="s">
        <v>419</v>
      </c>
      <c r="C6" s="101"/>
      <c r="D6" s="101"/>
      <c r="E6" s="68"/>
      <c r="F6" s="102" t="s">
        <v>420</v>
      </c>
      <c r="G6" s="102"/>
      <c r="H6" s="102"/>
    </row>
    <row r="7" spans="2:8" ht="17.25">
      <c r="B7" s="103" t="s">
        <v>421</v>
      </c>
      <c r="C7" s="103"/>
      <c r="D7" s="103"/>
      <c r="E7" s="68"/>
      <c r="F7" s="100"/>
      <c r="G7" s="100"/>
      <c r="H7" s="100"/>
    </row>
    <row r="8" spans="2:8" ht="17.25">
      <c r="B8" s="100"/>
      <c r="C8" s="100"/>
      <c r="D8" s="100"/>
      <c r="E8" s="68"/>
      <c r="F8" s="100"/>
      <c r="G8" s="100"/>
      <c r="H8" s="100"/>
    </row>
    <row r="9" spans="2:8" ht="18" thickBot="1">
      <c r="B9" s="101" t="s">
        <v>422</v>
      </c>
      <c r="C9" s="101"/>
      <c r="D9" s="101"/>
      <c r="E9" s="68"/>
      <c r="F9" s="102" t="s">
        <v>423</v>
      </c>
      <c r="G9" s="102"/>
      <c r="H9" s="102"/>
    </row>
    <row r="10" spans="2:8" ht="17.25">
      <c r="B10" s="103" t="s">
        <v>424</v>
      </c>
      <c r="C10" s="103"/>
      <c r="D10" s="103"/>
      <c r="E10" s="68"/>
      <c r="F10" s="100"/>
      <c r="G10" s="100"/>
      <c r="H10" s="100"/>
    </row>
    <row r="11" spans="2:8" ht="17.25">
      <c r="B11" s="100"/>
      <c r="C11" s="100"/>
      <c r="D11" s="100"/>
      <c r="E11" s="68"/>
      <c r="F11" s="100"/>
      <c r="G11" s="100"/>
      <c r="H11" s="100"/>
    </row>
    <row r="12" spans="2:8" ht="18" thickBot="1">
      <c r="B12" s="101" t="s">
        <v>425</v>
      </c>
      <c r="C12" s="101"/>
      <c r="D12" s="101"/>
      <c r="E12" s="68"/>
      <c r="F12" s="102" t="s">
        <v>426</v>
      </c>
      <c r="G12" s="102"/>
      <c r="H12" s="102"/>
    </row>
    <row r="13" spans="2:8" ht="17.25">
      <c r="B13" s="103" t="s">
        <v>427</v>
      </c>
      <c r="C13" s="103"/>
      <c r="D13" s="103"/>
      <c r="E13" s="68"/>
      <c r="F13" s="100"/>
      <c r="G13" s="100"/>
      <c r="H13" s="100"/>
    </row>
    <row r="14" spans="2:8" ht="17.25">
      <c r="B14" s="100"/>
      <c r="C14" s="100"/>
      <c r="D14" s="100"/>
      <c r="E14" s="68"/>
      <c r="F14" s="100"/>
      <c r="G14" s="100"/>
      <c r="H14" s="100"/>
    </row>
    <row r="15" spans="2:8" ht="18" thickBot="1">
      <c r="B15" s="101" t="s">
        <v>428</v>
      </c>
      <c r="C15" s="101"/>
      <c r="D15" s="101"/>
      <c r="E15" s="68"/>
      <c r="F15" s="102" t="s">
        <v>426</v>
      </c>
      <c r="G15" s="102"/>
      <c r="H15" s="102"/>
    </row>
    <row r="16" spans="2:8" ht="17.25">
      <c r="B16" s="103" t="s">
        <v>429</v>
      </c>
      <c r="C16" s="103"/>
      <c r="D16" s="103"/>
      <c r="E16" s="68"/>
      <c r="F16" s="100"/>
      <c r="G16" s="100"/>
      <c r="H16" s="100"/>
    </row>
    <row r="17" spans="2:8" ht="17.25">
      <c r="B17" s="100"/>
      <c r="C17" s="100"/>
      <c r="D17" s="100"/>
      <c r="E17" s="68"/>
      <c r="F17" s="100"/>
      <c r="G17" s="100"/>
      <c r="H17" s="100"/>
    </row>
    <row r="18" spans="2:8" ht="18" thickBot="1">
      <c r="B18" s="101" t="s">
        <v>430</v>
      </c>
      <c r="C18" s="101"/>
      <c r="D18" s="101"/>
      <c r="E18" s="68"/>
      <c r="F18" s="102" t="s">
        <v>426</v>
      </c>
      <c r="G18" s="102"/>
      <c r="H18" s="102"/>
    </row>
    <row r="19" spans="2:8" ht="17.25">
      <c r="B19" s="103" t="s">
        <v>431</v>
      </c>
      <c r="C19" s="103"/>
      <c r="D19" s="103"/>
      <c r="E19" s="68"/>
      <c r="F19" s="100"/>
      <c r="G19" s="100"/>
      <c r="H19" s="100"/>
    </row>
    <row r="20" spans="2:8" ht="17.25">
      <c r="B20" s="100"/>
      <c r="C20" s="100"/>
      <c r="D20" s="100"/>
      <c r="E20" s="68"/>
      <c r="F20" s="100"/>
      <c r="G20" s="100"/>
      <c r="H20" s="100"/>
    </row>
    <row r="21" spans="2:8" ht="18" thickBot="1">
      <c r="B21" s="101" t="s">
        <v>432</v>
      </c>
      <c r="C21" s="101"/>
      <c r="D21" s="101"/>
      <c r="E21" s="68"/>
      <c r="F21" s="102" t="s">
        <v>426</v>
      </c>
      <c r="G21" s="102"/>
      <c r="H21" s="102"/>
    </row>
    <row r="22" spans="2:8" ht="17.25">
      <c r="B22" s="103" t="s">
        <v>433</v>
      </c>
      <c r="C22" s="103"/>
      <c r="D22" s="103"/>
      <c r="E22" s="68"/>
      <c r="F22" s="100"/>
      <c r="G22" s="100"/>
      <c r="H22" s="100"/>
    </row>
    <row r="23" spans="2:8" ht="17.25">
      <c r="B23" s="100"/>
      <c r="C23" s="100"/>
      <c r="D23" s="100"/>
      <c r="E23" s="68"/>
      <c r="F23" s="100"/>
      <c r="G23" s="100"/>
      <c r="H23" s="100"/>
    </row>
    <row r="24" spans="2:8" ht="18" thickBot="1">
      <c r="B24" s="101" t="s">
        <v>434</v>
      </c>
      <c r="C24" s="101"/>
      <c r="D24" s="101"/>
      <c r="E24" s="68"/>
      <c r="F24" s="102" t="s">
        <v>426</v>
      </c>
      <c r="G24" s="102"/>
      <c r="H24" s="102"/>
    </row>
    <row r="25" spans="2:8" ht="17.25">
      <c r="B25" s="103" t="s">
        <v>435</v>
      </c>
      <c r="C25" s="103"/>
      <c r="D25" s="103"/>
      <c r="E25" s="68"/>
      <c r="F25" s="100"/>
      <c r="G25" s="100"/>
      <c r="H25" s="100"/>
    </row>
    <row r="26" spans="2:8" ht="17.25">
      <c r="B26" s="100"/>
      <c r="C26" s="100"/>
      <c r="D26" s="100"/>
      <c r="E26" s="68"/>
      <c r="F26" s="100"/>
      <c r="G26" s="100"/>
      <c r="H26" s="100"/>
    </row>
    <row r="27" spans="2:8" ht="18" thickBot="1">
      <c r="B27" s="101" t="s">
        <v>436</v>
      </c>
      <c r="C27" s="101"/>
      <c r="D27" s="101"/>
      <c r="E27" s="68"/>
      <c r="F27" s="102" t="s">
        <v>426</v>
      </c>
      <c r="G27" s="102"/>
      <c r="H27" s="102"/>
    </row>
    <row r="28" spans="2:8" ht="17.25">
      <c r="B28" s="103" t="s">
        <v>437</v>
      </c>
      <c r="C28" s="103"/>
      <c r="D28" s="103"/>
      <c r="E28" s="68"/>
      <c r="F28" s="100"/>
      <c r="G28" s="100"/>
      <c r="H28" s="100"/>
    </row>
    <row r="29" spans="2:8" ht="17.25">
      <c r="B29" s="100"/>
      <c r="C29" s="100"/>
      <c r="D29" s="100"/>
      <c r="E29" s="68"/>
      <c r="F29" s="100"/>
      <c r="G29" s="100"/>
      <c r="H29" s="100"/>
    </row>
    <row r="30" spans="2:8" ht="18" thickBot="1">
      <c r="B30" s="101" t="s">
        <v>438</v>
      </c>
      <c r="C30" s="101"/>
      <c r="D30" s="101"/>
      <c r="E30" s="68"/>
      <c r="F30" s="102" t="s">
        <v>426</v>
      </c>
      <c r="G30" s="102"/>
      <c r="H30" s="102"/>
    </row>
    <row r="31" spans="2:8" ht="17.25">
      <c r="B31" s="103" t="s">
        <v>439</v>
      </c>
      <c r="C31" s="103"/>
      <c r="D31" s="103"/>
      <c r="E31" s="68"/>
      <c r="F31" s="100"/>
      <c r="G31" s="100"/>
      <c r="H31" s="100"/>
    </row>
    <row r="32" spans="2:8" ht="17.25">
      <c r="B32" s="100"/>
      <c r="C32" s="100"/>
      <c r="D32" s="100"/>
      <c r="E32" s="68"/>
      <c r="F32" s="100"/>
      <c r="G32" s="100"/>
      <c r="H32" s="100"/>
    </row>
    <row r="33" spans="2:8" ht="17.25">
      <c r="B33" s="104" t="s">
        <v>440</v>
      </c>
      <c r="C33" s="104"/>
      <c r="D33" s="104"/>
      <c r="E33" s="68"/>
      <c r="F33" s="102" t="s">
        <v>426</v>
      </c>
      <c r="G33" s="102"/>
      <c r="H33" s="102"/>
    </row>
  </sheetData>
  <mergeCells count="62">
    <mergeCell ref="B33:D33"/>
    <mergeCell ref="F33:H33"/>
    <mergeCell ref="B31:D31"/>
    <mergeCell ref="F31:H31"/>
    <mergeCell ref="B32:D32"/>
    <mergeCell ref="F32:H32"/>
    <mergeCell ref="B29:D29"/>
    <mergeCell ref="F29:H29"/>
    <mergeCell ref="B30:D30"/>
    <mergeCell ref="F30:H30"/>
    <mergeCell ref="B27:D27"/>
    <mergeCell ref="F27:H27"/>
    <mergeCell ref="B28:D28"/>
    <mergeCell ref="F28:H28"/>
    <mergeCell ref="B25:D25"/>
    <mergeCell ref="F25:H25"/>
    <mergeCell ref="B26:D26"/>
    <mergeCell ref="F26:H26"/>
    <mergeCell ref="B23:D23"/>
    <mergeCell ref="F23:H23"/>
    <mergeCell ref="B24:D24"/>
    <mergeCell ref="F24:H24"/>
    <mergeCell ref="B21:D21"/>
    <mergeCell ref="F21:H21"/>
    <mergeCell ref="B22:D22"/>
    <mergeCell ref="F22:H22"/>
    <mergeCell ref="B19:D19"/>
    <mergeCell ref="F19:H19"/>
    <mergeCell ref="B20:D20"/>
    <mergeCell ref="F20:H20"/>
    <mergeCell ref="B17:D17"/>
    <mergeCell ref="F17:H17"/>
    <mergeCell ref="B18:D18"/>
    <mergeCell ref="F18:H18"/>
    <mergeCell ref="B15:D15"/>
    <mergeCell ref="F15:H15"/>
    <mergeCell ref="B16:D16"/>
    <mergeCell ref="F16:H16"/>
    <mergeCell ref="B13:D13"/>
    <mergeCell ref="F13:H13"/>
    <mergeCell ref="B14:D14"/>
    <mergeCell ref="F14:H14"/>
    <mergeCell ref="B11:D11"/>
    <mergeCell ref="F11:H11"/>
    <mergeCell ref="B12:D12"/>
    <mergeCell ref="F12:H12"/>
    <mergeCell ref="B9:D9"/>
    <mergeCell ref="F9:H9"/>
    <mergeCell ref="B10:D10"/>
    <mergeCell ref="F10:H10"/>
    <mergeCell ref="B7:D7"/>
    <mergeCell ref="F7:H7"/>
    <mergeCell ref="B8:D8"/>
    <mergeCell ref="F8:H8"/>
    <mergeCell ref="B5:D5"/>
    <mergeCell ref="F5:H5"/>
    <mergeCell ref="B6:D6"/>
    <mergeCell ref="F6:H6"/>
    <mergeCell ref="B3:D3"/>
    <mergeCell ref="F3:H3"/>
    <mergeCell ref="B4:D4"/>
    <mergeCell ref="F4: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RowHeight="14.25"/>
  <cols>
    <col min="1" max="1" width="3.140625" style="1" customWidth="1"/>
    <col min="2" max="16384" width="9.140625" style="1"/>
  </cols>
  <sheetData>
    <row r="2" spans="2:26" ht="15">
      <c r="B2" s="3" t="s">
        <v>11</v>
      </c>
      <c r="C2" s="4"/>
      <c r="D2" s="4"/>
      <c r="E2" s="4"/>
      <c r="F2" s="4"/>
      <c r="G2" s="3" t="s">
        <v>11</v>
      </c>
      <c r="H2" s="5"/>
      <c r="I2" s="5"/>
      <c r="J2" s="5"/>
      <c r="K2" s="5"/>
      <c r="L2" s="5"/>
      <c r="M2" s="5"/>
      <c r="N2" s="5"/>
      <c r="O2" s="5"/>
      <c r="P2" s="5"/>
      <c r="Q2" s="5"/>
      <c r="R2" s="5"/>
      <c r="S2" s="5"/>
      <c r="T2" s="5"/>
      <c r="U2" s="5"/>
      <c r="V2" s="5"/>
      <c r="W2" s="5"/>
      <c r="X2" s="5"/>
      <c r="Y2" s="5"/>
      <c r="Z2" s="6"/>
    </row>
    <row r="3" spans="2:26" ht="15">
      <c r="B3" s="7" t="s">
        <v>12</v>
      </c>
      <c r="C3" s="8"/>
      <c r="D3" s="8"/>
      <c r="E3" s="8"/>
      <c r="F3" s="9"/>
      <c r="G3" s="10" t="s">
        <v>13</v>
      </c>
      <c r="H3" s="10"/>
      <c r="I3" s="10"/>
      <c r="J3" s="10"/>
      <c r="K3" s="10"/>
      <c r="L3" s="10"/>
      <c r="M3" s="10"/>
      <c r="N3" s="10"/>
      <c r="O3" s="10"/>
      <c r="P3" s="10"/>
      <c r="Q3" s="10"/>
      <c r="R3" s="10"/>
      <c r="S3" s="10"/>
      <c r="T3" s="10"/>
      <c r="U3" s="10"/>
      <c r="V3" s="10"/>
      <c r="W3" s="10"/>
      <c r="X3" s="10"/>
      <c r="Y3" s="10"/>
      <c r="Z3" s="11"/>
    </row>
    <row r="4" spans="2:26" ht="15">
      <c r="B4" s="12" t="s">
        <v>12</v>
      </c>
      <c r="C4" s="13"/>
      <c r="D4" s="13"/>
      <c r="E4" s="13"/>
      <c r="F4" s="14"/>
      <c r="G4" s="15" t="s">
        <v>14</v>
      </c>
      <c r="H4" s="15"/>
      <c r="I4" s="15"/>
      <c r="J4" s="15"/>
      <c r="K4" s="15"/>
      <c r="L4" s="15"/>
      <c r="M4" s="15"/>
      <c r="N4" s="15"/>
      <c r="O4" s="15"/>
      <c r="P4" s="15"/>
      <c r="Q4" s="15"/>
      <c r="R4" s="15"/>
      <c r="S4" s="15"/>
      <c r="T4" s="15"/>
      <c r="U4" s="15"/>
      <c r="V4" s="15"/>
      <c r="W4" s="15"/>
      <c r="X4" s="15"/>
      <c r="Y4" s="15"/>
      <c r="Z4" s="16"/>
    </row>
    <row r="5" spans="2:26" ht="15">
      <c r="B5" s="12" t="s">
        <v>12</v>
      </c>
      <c r="C5" s="13"/>
      <c r="D5" s="13"/>
      <c r="E5" s="13"/>
      <c r="F5" s="14"/>
      <c r="G5" s="17" t="s">
        <v>13</v>
      </c>
      <c r="H5" s="17"/>
      <c r="I5" s="17"/>
      <c r="J5" s="17"/>
      <c r="K5" s="17"/>
      <c r="L5" s="17"/>
      <c r="M5" s="17"/>
      <c r="N5" s="17"/>
      <c r="O5" s="17"/>
      <c r="P5" s="17"/>
      <c r="Q5" s="17"/>
      <c r="R5" s="17"/>
      <c r="S5" s="17"/>
      <c r="T5" s="17"/>
      <c r="U5" s="17"/>
      <c r="V5" s="17"/>
      <c r="W5" s="17"/>
      <c r="X5" s="17"/>
      <c r="Y5" s="17"/>
      <c r="Z5" s="18"/>
    </row>
    <row r="6" spans="2:26" ht="15">
      <c r="B6" s="12" t="s">
        <v>12</v>
      </c>
      <c r="C6" s="13"/>
      <c r="D6" s="13"/>
      <c r="E6" s="13"/>
      <c r="F6" s="14"/>
      <c r="G6" s="15" t="s">
        <v>14</v>
      </c>
      <c r="H6" s="15"/>
      <c r="I6" s="15"/>
      <c r="J6" s="15"/>
      <c r="K6" s="15"/>
      <c r="L6" s="15"/>
      <c r="M6" s="15"/>
      <c r="N6" s="15"/>
      <c r="O6" s="15"/>
      <c r="P6" s="15"/>
      <c r="Q6" s="15"/>
      <c r="R6" s="15"/>
      <c r="S6" s="15"/>
      <c r="T6" s="15"/>
      <c r="U6" s="15"/>
      <c r="V6" s="15"/>
      <c r="W6" s="15"/>
      <c r="X6" s="15"/>
      <c r="Y6" s="15"/>
      <c r="Z6" s="16"/>
    </row>
    <row r="7" spans="2:26" ht="15">
      <c r="B7" s="12" t="s">
        <v>12</v>
      </c>
      <c r="C7" s="13"/>
      <c r="D7" s="13"/>
      <c r="E7" s="13"/>
      <c r="F7" s="14"/>
      <c r="G7" s="17" t="s">
        <v>13</v>
      </c>
      <c r="H7" s="17"/>
      <c r="I7" s="17"/>
      <c r="J7" s="17"/>
      <c r="K7" s="17"/>
      <c r="L7" s="17"/>
      <c r="M7" s="17"/>
      <c r="N7" s="17"/>
      <c r="O7" s="17"/>
      <c r="P7" s="17"/>
      <c r="Q7" s="17"/>
      <c r="R7" s="17"/>
      <c r="S7" s="17"/>
      <c r="T7" s="17"/>
      <c r="U7" s="17"/>
      <c r="V7" s="17"/>
      <c r="W7" s="17"/>
      <c r="X7" s="17"/>
      <c r="Y7" s="17"/>
      <c r="Z7" s="18"/>
    </row>
    <row r="8" spans="2:26" ht="15">
      <c r="B8" s="19" t="s">
        <v>12</v>
      </c>
      <c r="C8" s="20"/>
      <c r="D8" s="20"/>
      <c r="E8" s="20"/>
      <c r="F8" s="21"/>
      <c r="G8" s="22" t="s">
        <v>14</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2025-12-14T09:12:10Z</dcterms:modified>
</cp:coreProperties>
</file>