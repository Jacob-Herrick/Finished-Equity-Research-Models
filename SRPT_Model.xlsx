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User\OneDrive\Desktop\Equity Research\Models\Health Care\Pharma\"/>
    </mc:Choice>
  </mc:AlternateContent>
  <xr:revisionPtr revIDLastSave="0" documentId="13_ncr:1_{CCA97147-36EB-4D74-979B-D19969DCB797}" xr6:coauthVersionLast="47" xr6:coauthVersionMax="47" xr10:uidLastSave="{00000000-0000-0000-0000-000000000000}"/>
  <bookViews>
    <workbookView xWindow="28695" yWindow="0" windowWidth="14610" windowHeight="15585" activeTab="2" xr2:uid="{00000000-000D-0000-FFFF-FFFF00000000}"/>
  </bookViews>
  <sheets>
    <sheet name="Main" sheetId="1" r:id="rId1"/>
    <sheet name="Bull Case (20%)" sheetId="8" r:id="rId2"/>
    <sheet name="Base Case (50%)" sheetId="9" r:id="rId3"/>
    <sheet name="Bear Case (30%)" sheetId="2" r:id="rId4"/>
    <sheet name="Notes | Quant Analysis" sheetId="3" r:id="rId5"/>
    <sheet name="Product Lines" sheetId="5" r:id="rId6"/>
    <sheet name="IP" sheetId="7" r:id="rId7"/>
    <sheet name="Management" sheetId="6" r:id="rId8"/>
    <sheet name="Table " sheetId="4" r:id="rId9"/>
  </sheets>
  <externalReferences>
    <externalReference r:id="rId10"/>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A50" i="2" l="1"/>
  <c r="BA50" i="9"/>
  <c r="BA51" i="9"/>
  <c r="AR11" i="2"/>
  <c r="Y86" i="2"/>
  <c r="Y85" i="2"/>
  <c r="Y78" i="2"/>
  <c r="Y63" i="2"/>
  <c r="Y58" i="2"/>
  <c r="Y11" i="2"/>
  <c r="Y6" i="2"/>
  <c r="Y86" i="9"/>
  <c r="Y85" i="9"/>
  <c r="Y78" i="9"/>
  <c r="Y70" i="9"/>
  <c r="Y72" i="9" s="1"/>
  <c r="Y63" i="9"/>
  <c r="Y58" i="9"/>
  <c r="Y11" i="9"/>
  <c r="Y6" i="9"/>
  <c r="Y63" i="8"/>
  <c r="Y86" i="8"/>
  <c r="Y85" i="8"/>
  <c r="Y78" i="8"/>
  <c r="Y76" i="8"/>
  <c r="Y75" i="8"/>
  <c r="Y74" i="8"/>
  <c r="Y70" i="8"/>
  <c r="Y72" i="8" s="1"/>
  <c r="Y58" i="8"/>
  <c r="Y23" i="8"/>
  <c r="Y6" i="8"/>
  <c r="Y11" i="8"/>
  <c r="BA51" i="2"/>
  <c r="BA51" i="8"/>
  <c r="C8" i="1"/>
  <c r="AV50" i="2"/>
  <c r="AU50" i="2"/>
  <c r="AX50" i="2" s="1"/>
  <c r="AU50" i="8"/>
  <c r="AV50" i="8"/>
  <c r="AX50" i="8" s="1"/>
  <c r="AV50" i="9"/>
  <c r="AU50" i="9"/>
  <c r="AX50" i="9" s="1"/>
  <c r="AQ87" i="9"/>
  <c r="AP87" i="9"/>
  <c r="AO87" i="9"/>
  <c r="AN87" i="9"/>
  <c r="AM87" i="9"/>
  <c r="AQ85" i="9"/>
  <c r="AP85" i="9"/>
  <c r="AO85" i="9"/>
  <c r="AN85" i="9"/>
  <c r="AM85" i="9"/>
  <c r="AQ84" i="9"/>
  <c r="AP84" i="9"/>
  <c r="AO84" i="9"/>
  <c r="AN84" i="9"/>
  <c r="AM84" i="9"/>
  <c r="AQ83" i="9"/>
  <c r="AP83" i="9"/>
  <c r="AO83" i="9"/>
  <c r="AN83" i="9"/>
  <c r="AM83" i="9"/>
  <c r="AQ82" i="9"/>
  <c r="AP82" i="9"/>
  <c r="AO82" i="9"/>
  <c r="AN82" i="9"/>
  <c r="AM82" i="9"/>
  <c r="AO78" i="9"/>
  <c r="AQ76" i="9"/>
  <c r="AQ72" i="9"/>
  <c r="AP72" i="9"/>
  <c r="AO72" i="9"/>
  <c r="AN72" i="9"/>
  <c r="AM72" i="9"/>
  <c r="AQ71" i="9"/>
  <c r="AP71" i="9"/>
  <c r="AP80" i="9" s="1"/>
  <c r="AO71" i="9"/>
  <c r="AO80" i="9" s="1"/>
  <c r="AN71" i="9"/>
  <c r="AN80" i="9" s="1"/>
  <c r="AM71" i="9"/>
  <c r="AM80" i="9" s="1"/>
  <c r="AQ70" i="9"/>
  <c r="AP70" i="9"/>
  <c r="AO70" i="9"/>
  <c r="AN70" i="9"/>
  <c r="AM70" i="9"/>
  <c r="AQ69" i="9"/>
  <c r="AP69" i="9"/>
  <c r="AO69" i="9"/>
  <c r="AN69" i="9"/>
  <c r="AM69" i="9"/>
  <c r="AQ68" i="9"/>
  <c r="AP68" i="9"/>
  <c r="AO68" i="9"/>
  <c r="AN68" i="9"/>
  <c r="AM68" i="9"/>
  <c r="AQ67" i="9"/>
  <c r="AP67" i="9"/>
  <c r="AO67" i="9"/>
  <c r="AN67" i="9"/>
  <c r="AM67" i="9"/>
  <c r="AQ66" i="9"/>
  <c r="AP66" i="9"/>
  <c r="AO66" i="9"/>
  <c r="AN66" i="9"/>
  <c r="AM66" i="9"/>
  <c r="AQ65" i="9"/>
  <c r="AP65" i="9"/>
  <c r="AO65" i="9"/>
  <c r="AN65" i="9"/>
  <c r="AM65" i="9"/>
  <c r="AQ64" i="9"/>
  <c r="AP64" i="9"/>
  <c r="AP76" i="9" s="1"/>
  <c r="AO64" i="9"/>
  <c r="AN64" i="9"/>
  <c r="AM64" i="9"/>
  <c r="AQ63" i="9"/>
  <c r="AP63" i="9"/>
  <c r="AO63" i="9"/>
  <c r="AN63" i="9"/>
  <c r="AM63" i="9"/>
  <c r="AQ62" i="9"/>
  <c r="AP62" i="9"/>
  <c r="AO62" i="9"/>
  <c r="AN62" i="9"/>
  <c r="AM62" i="9"/>
  <c r="AQ61" i="9"/>
  <c r="AP61" i="9"/>
  <c r="AO61" i="9"/>
  <c r="AN61" i="9"/>
  <c r="AM61" i="9"/>
  <c r="AQ60" i="9"/>
  <c r="AP60" i="9"/>
  <c r="AO60" i="9"/>
  <c r="AN60" i="9"/>
  <c r="AM60" i="9"/>
  <c r="AQ58" i="9"/>
  <c r="AP58" i="9"/>
  <c r="AO58" i="9"/>
  <c r="AN58" i="9"/>
  <c r="AM58" i="9"/>
  <c r="AQ57" i="9"/>
  <c r="AP57" i="9"/>
  <c r="AO57" i="9"/>
  <c r="AN57" i="9"/>
  <c r="AM57" i="9"/>
  <c r="AQ56" i="9"/>
  <c r="AP56" i="9"/>
  <c r="AO56" i="9"/>
  <c r="AN56" i="9"/>
  <c r="AM56" i="9"/>
  <c r="AQ55" i="9"/>
  <c r="AP55" i="9"/>
  <c r="AO55" i="9"/>
  <c r="AN55" i="9"/>
  <c r="AM55" i="9"/>
  <c r="AQ54" i="9"/>
  <c r="AP54" i="9"/>
  <c r="AO54" i="9"/>
  <c r="AN54" i="9"/>
  <c r="AM54" i="9"/>
  <c r="AQ53" i="9"/>
  <c r="AP53" i="9"/>
  <c r="AO53" i="9"/>
  <c r="AN53" i="9"/>
  <c r="AM53" i="9"/>
  <c r="AQ52" i="9"/>
  <c r="AP52" i="9"/>
  <c r="AO52" i="9"/>
  <c r="AN52" i="9"/>
  <c r="AM52" i="9"/>
  <c r="AQ51" i="9"/>
  <c r="AP51" i="9"/>
  <c r="AO51" i="9"/>
  <c r="AN51" i="9"/>
  <c r="AM51" i="9"/>
  <c r="AQ50" i="9"/>
  <c r="AP50" i="9"/>
  <c r="AO50" i="9"/>
  <c r="AN50" i="9"/>
  <c r="AM50" i="9"/>
  <c r="AQ49" i="9"/>
  <c r="AQ75" i="9" s="1"/>
  <c r="AP49" i="9"/>
  <c r="AP75" i="9" s="1"/>
  <c r="AO49" i="9"/>
  <c r="AO75" i="9" s="1"/>
  <c r="AN49" i="9"/>
  <c r="AN75" i="9" s="1"/>
  <c r="AM49" i="9"/>
  <c r="AN78" i="9" s="1"/>
  <c r="AQ48" i="9"/>
  <c r="AP48" i="9"/>
  <c r="AO48" i="9"/>
  <c r="AN48" i="9"/>
  <c r="AM48" i="9"/>
  <c r="AQ47" i="9"/>
  <c r="AQ74" i="9" s="1"/>
  <c r="AP47" i="9"/>
  <c r="AO47" i="9"/>
  <c r="AN47" i="9"/>
  <c r="AM47" i="9"/>
  <c r="AQ46" i="9"/>
  <c r="AP46" i="9"/>
  <c r="AP74" i="9" s="1"/>
  <c r="AO46" i="9"/>
  <c r="AO76" i="9" s="1"/>
  <c r="AN46" i="9"/>
  <c r="AN76" i="9" s="1"/>
  <c r="AM46" i="9"/>
  <c r="AM76" i="9" s="1"/>
  <c r="AQ41" i="9"/>
  <c r="AP41" i="9"/>
  <c r="AQ37" i="9"/>
  <c r="AP37" i="9"/>
  <c r="AO37" i="9"/>
  <c r="AN37" i="9"/>
  <c r="AM37" i="9"/>
  <c r="AQ36" i="9"/>
  <c r="AQ86" i="9" s="1"/>
  <c r="AP36" i="9"/>
  <c r="AP86" i="9" s="1"/>
  <c r="AO36" i="9"/>
  <c r="AO86" i="9" s="1"/>
  <c r="AN36" i="9"/>
  <c r="AN86" i="9" s="1"/>
  <c r="AM36" i="9"/>
  <c r="AM86" i="9" s="1"/>
  <c r="AQ35" i="9"/>
  <c r="AQ79" i="9" s="1"/>
  <c r="AP35" i="9"/>
  <c r="AP79" i="9" s="1"/>
  <c r="AO35" i="9"/>
  <c r="AO79" i="9" s="1"/>
  <c r="AN35" i="9"/>
  <c r="AN79" i="9" s="1"/>
  <c r="AM35" i="9"/>
  <c r="AM79" i="9" s="1"/>
  <c r="AQ34" i="9"/>
  <c r="AQ43" i="9" s="1"/>
  <c r="AP34" i="9"/>
  <c r="AP43" i="9" s="1"/>
  <c r="AO34" i="9"/>
  <c r="AO43" i="9" s="1"/>
  <c r="AN34" i="9"/>
  <c r="AN43" i="9" s="1"/>
  <c r="AM34" i="9"/>
  <c r="AM43" i="9" s="1"/>
  <c r="AQ33" i="9"/>
  <c r="AP33" i="9"/>
  <c r="AO33" i="9"/>
  <c r="AN33" i="9"/>
  <c r="AM33" i="9"/>
  <c r="AQ32" i="9"/>
  <c r="AP32" i="9"/>
  <c r="AO32" i="9"/>
  <c r="AN32" i="9"/>
  <c r="AM32" i="9"/>
  <c r="AQ31" i="9"/>
  <c r="AP31" i="9"/>
  <c r="AO31" i="9"/>
  <c r="AN31" i="9"/>
  <c r="AM31" i="9"/>
  <c r="AQ30" i="9"/>
  <c r="AQ42" i="9" s="1"/>
  <c r="AP30" i="9"/>
  <c r="AP42" i="9" s="1"/>
  <c r="AO30" i="9"/>
  <c r="AN30" i="9"/>
  <c r="AM30" i="9"/>
  <c r="AQ29" i="9"/>
  <c r="AP29" i="9"/>
  <c r="AO29" i="9"/>
  <c r="AN29" i="9"/>
  <c r="AM29" i="9"/>
  <c r="AQ28" i="9"/>
  <c r="AP28" i="9"/>
  <c r="AO28" i="9"/>
  <c r="AN28" i="9"/>
  <c r="AM28" i="9"/>
  <c r="AQ27" i="9"/>
  <c r="AP27" i="9"/>
  <c r="AO27" i="9"/>
  <c r="AN27" i="9"/>
  <c r="AN41" i="9" s="1"/>
  <c r="AM27" i="9"/>
  <c r="AM41" i="9" s="1"/>
  <c r="AQ26" i="9"/>
  <c r="AQ40" i="9" s="1"/>
  <c r="AP26" i="9"/>
  <c r="AP40" i="9" s="1"/>
  <c r="AO26" i="9"/>
  <c r="AO40" i="9" s="1"/>
  <c r="AN26" i="9"/>
  <c r="AM26" i="9"/>
  <c r="AQ25" i="9"/>
  <c r="AP25" i="9"/>
  <c r="AP39" i="9" s="1"/>
  <c r="AO25" i="9"/>
  <c r="AO39" i="9" s="1"/>
  <c r="AN25" i="9"/>
  <c r="AN39" i="9" s="1"/>
  <c r="AM25" i="9"/>
  <c r="AM39" i="9" s="1"/>
  <c r="AQ24" i="9"/>
  <c r="AQ78" i="9" s="1"/>
  <c r="AP24" i="9"/>
  <c r="AP78" i="9" s="1"/>
  <c r="AO24" i="9"/>
  <c r="AN24" i="9"/>
  <c r="AM24" i="9"/>
  <c r="AM78" i="9" s="1"/>
  <c r="AQ23" i="9"/>
  <c r="AQ39" i="9" s="1"/>
  <c r="AP23" i="9"/>
  <c r="AP77" i="9" s="1"/>
  <c r="AO23" i="9"/>
  <c r="AO41" i="9" s="1"/>
  <c r="AN23" i="9"/>
  <c r="AN42" i="9" s="1"/>
  <c r="AM23" i="9"/>
  <c r="AM77" i="9" s="1"/>
  <c r="AP17" i="9"/>
  <c r="AQ16" i="9"/>
  <c r="AP14" i="9"/>
  <c r="AO14" i="9"/>
  <c r="AN14" i="9"/>
  <c r="AQ12" i="9"/>
  <c r="AQ17" i="9" s="1"/>
  <c r="AP12" i="9"/>
  <c r="AO12" i="9"/>
  <c r="AQ11" i="9"/>
  <c r="AP11" i="9"/>
  <c r="AO11" i="9"/>
  <c r="AP16" i="9" s="1"/>
  <c r="AN11" i="9"/>
  <c r="AQ10" i="9"/>
  <c r="AP10" i="9"/>
  <c r="AO10" i="9"/>
  <c r="AN10" i="9"/>
  <c r="AM10" i="9"/>
  <c r="AM11" i="9" s="1"/>
  <c r="AM12" i="9" s="1"/>
  <c r="AQ9" i="9"/>
  <c r="AP9" i="9"/>
  <c r="AO9" i="9"/>
  <c r="AN9" i="9"/>
  <c r="AM9" i="9"/>
  <c r="AQ8" i="9"/>
  <c r="AP8" i="9"/>
  <c r="AO8" i="9"/>
  <c r="AN8" i="9"/>
  <c r="AM8" i="9"/>
  <c r="AQ7" i="9"/>
  <c r="AP7" i="9"/>
  <c r="AO7" i="9"/>
  <c r="AN7" i="9"/>
  <c r="AM7" i="9"/>
  <c r="AQ6" i="9"/>
  <c r="AQ20" i="9" s="1"/>
  <c r="AP6" i="9"/>
  <c r="AP19" i="9" s="1"/>
  <c r="AO6" i="9"/>
  <c r="AO19" i="9" s="1"/>
  <c r="AN6" i="9"/>
  <c r="AN19" i="9" s="1"/>
  <c r="AM6" i="9"/>
  <c r="AQ5" i="9"/>
  <c r="AQ15" i="9" s="1"/>
  <c r="AP5" i="9"/>
  <c r="AP20" i="9" s="1"/>
  <c r="AO5" i="9"/>
  <c r="AO20" i="9" s="1"/>
  <c r="AN5" i="9"/>
  <c r="AN20" i="9" s="1"/>
  <c r="AM5" i="9"/>
  <c r="AM20" i="9" s="1"/>
  <c r="AQ4" i="9"/>
  <c r="AQ14" i="9" s="1"/>
  <c r="AP4" i="9"/>
  <c r="AO4" i="9"/>
  <c r="AN4" i="9"/>
  <c r="AM4" i="9"/>
  <c r="AM19" i="9" s="1"/>
  <c r="AN3" i="9"/>
  <c r="AO3" i="9" s="1"/>
  <c r="AP3" i="9" s="1"/>
  <c r="AQ3" i="9" s="1"/>
  <c r="Y87" i="2" l="1"/>
  <c r="Y70" i="2"/>
  <c r="Y72" i="2" s="1"/>
  <c r="Y74" i="2"/>
  <c r="Y76" i="2"/>
  <c r="Y75" i="2"/>
  <c r="Y12" i="2"/>
  <c r="Y17" i="2"/>
  <c r="Y87" i="9"/>
  <c r="Y76" i="9"/>
  <c r="Y75" i="9"/>
  <c r="Y74" i="9"/>
  <c r="Y17" i="9"/>
  <c r="Y12" i="9"/>
  <c r="Y87" i="8"/>
  <c r="Y89" i="8"/>
  <c r="Y25" i="8"/>
  <c r="Y41" i="8"/>
  <c r="Y77" i="8"/>
  <c r="Y40" i="8"/>
  <c r="AN16" i="9"/>
  <c r="AM74" i="9"/>
  <c r="AN77" i="9"/>
  <c r="AM44" i="9"/>
  <c r="AO77" i="9"/>
  <c r="AN12" i="9"/>
  <c r="AN44" i="9"/>
  <c r="AO74" i="9"/>
  <c r="AQ80" i="9"/>
  <c r="AN40" i="9"/>
  <c r="AQ19" i="9"/>
  <c r="AO42" i="9"/>
  <c r="AN74" i="9"/>
  <c r="AO44" i="9"/>
  <c r="AQ77" i="9"/>
  <c r="AO16" i="9"/>
  <c r="AP44" i="9"/>
  <c r="AM40" i="9"/>
  <c r="AQ44" i="9"/>
  <c r="AM75" i="9"/>
  <c r="AM42" i="9"/>
  <c r="Y21" i="2" l="1"/>
  <c r="Y20" i="2"/>
  <c r="Y23" i="2"/>
  <c r="Y19" i="2"/>
  <c r="Y21" i="9"/>
  <c r="Y23" i="9"/>
  <c r="Y20" i="9"/>
  <c r="Y19" i="9"/>
  <c r="Y30" i="8"/>
  <c r="Y39" i="8"/>
  <c r="AO17" i="9"/>
  <c r="AN17" i="9"/>
  <c r="Y89" i="2" l="1"/>
  <c r="Y40" i="2"/>
  <c r="Y41" i="2"/>
  <c r="Y77" i="2"/>
  <c r="Y25" i="2"/>
  <c r="Y89" i="9"/>
  <c r="Y77" i="9"/>
  <c r="Y41" i="9"/>
  <c r="Y40" i="9"/>
  <c r="Y25" i="9"/>
  <c r="Y42" i="8"/>
  <c r="Y33" i="8"/>
  <c r="X87" i="2"/>
  <c r="W87" i="2"/>
  <c r="V87" i="2"/>
  <c r="P87" i="2"/>
  <c r="M87" i="2"/>
  <c r="I87" i="2"/>
  <c r="H87" i="2"/>
  <c r="X86" i="2"/>
  <c r="W86" i="2"/>
  <c r="V86" i="2"/>
  <c r="U86" i="2"/>
  <c r="T86" i="2"/>
  <c r="S86" i="2"/>
  <c r="R86" i="2"/>
  <c r="Q86" i="2"/>
  <c r="P86" i="2"/>
  <c r="O86" i="2"/>
  <c r="O87" i="2" s="1"/>
  <c r="N86" i="2"/>
  <c r="N87" i="2" s="1"/>
  <c r="M86" i="2"/>
  <c r="L86" i="2"/>
  <c r="K86" i="2"/>
  <c r="J86" i="2"/>
  <c r="I86" i="2"/>
  <c r="H86" i="2"/>
  <c r="G86" i="2"/>
  <c r="G87" i="2" s="1"/>
  <c r="F86" i="2"/>
  <c r="F87" i="2" s="1"/>
  <c r="E86" i="2"/>
  <c r="D86" i="2"/>
  <c r="C86" i="2"/>
  <c r="W85" i="2"/>
  <c r="V85" i="2"/>
  <c r="U85" i="2"/>
  <c r="T85" i="2"/>
  <c r="S85" i="2"/>
  <c r="R85" i="2"/>
  <c r="Q85" i="2"/>
  <c r="Q87" i="2" s="1"/>
  <c r="P85" i="2"/>
  <c r="O85" i="2"/>
  <c r="N85" i="2"/>
  <c r="M85" i="2"/>
  <c r="L85" i="2"/>
  <c r="K85" i="2"/>
  <c r="J85" i="2"/>
  <c r="I85" i="2"/>
  <c r="H85" i="2"/>
  <c r="G85" i="2"/>
  <c r="F85" i="2"/>
  <c r="E85" i="2"/>
  <c r="D85" i="2"/>
  <c r="C85" i="2"/>
  <c r="X84" i="2"/>
  <c r="X83" i="2"/>
  <c r="X85" i="2" s="1"/>
  <c r="X78" i="2"/>
  <c r="W78" i="2"/>
  <c r="U78" i="2"/>
  <c r="T78" i="2"/>
  <c r="S78" i="2"/>
  <c r="Q78" i="2"/>
  <c r="P78" i="2"/>
  <c r="O78" i="2"/>
  <c r="M78" i="2"/>
  <c r="L78" i="2"/>
  <c r="K78" i="2"/>
  <c r="I78" i="2"/>
  <c r="H78" i="2"/>
  <c r="G78" i="2"/>
  <c r="F78" i="2"/>
  <c r="X76" i="2"/>
  <c r="W76" i="2"/>
  <c r="V76" i="2"/>
  <c r="U76" i="2"/>
  <c r="T76" i="2"/>
  <c r="S76" i="2"/>
  <c r="R76" i="2"/>
  <c r="Q76" i="2"/>
  <c r="P76" i="2"/>
  <c r="O76" i="2"/>
  <c r="N76" i="2"/>
  <c r="M76" i="2"/>
  <c r="L76" i="2"/>
  <c r="K76" i="2"/>
  <c r="J76" i="2"/>
  <c r="I76" i="2"/>
  <c r="H76" i="2"/>
  <c r="G76" i="2"/>
  <c r="F76" i="2"/>
  <c r="X75" i="2"/>
  <c r="W75" i="2"/>
  <c r="V75" i="2"/>
  <c r="U75" i="2"/>
  <c r="T75" i="2"/>
  <c r="S75" i="2"/>
  <c r="R75" i="2"/>
  <c r="Q75" i="2"/>
  <c r="P75" i="2"/>
  <c r="O75" i="2"/>
  <c r="N75" i="2"/>
  <c r="M75" i="2"/>
  <c r="L75" i="2"/>
  <c r="K75" i="2"/>
  <c r="J75" i="2"/>
  <c r="I75" i="2"/>
  <c r="H75" i="2"/>
  <c r="G75" i="2"/>
  <c r="F75" i="2"/>
  <c r="X74" i="2"/>
  <c r="W74" i="2"/>
  <c r="V74" i="2"/>
  <c r="U74" i="2"/>
  <c r="T74" i="2"/>
  <c r="S74" i="2"/>
  <c r="R74" i="2"/>
  <c r="Q74" i="2"/>
  <c r="P74" i="2"/>
  <c r="O74" i="2"/>
  <c r="N74" i="2"/>
  <c r="M74" i="2"/>
  <c r="L74" i="2"/>
  <c r="K74" i="2"/>
  <c r="J74" i="2"/>
  <c r="I74" i="2"/>
  <c r="H74" i="2"/>
  <c r="G74" i="2"/>
  <c r="F74" i="2"/>
  <c r="V72" i="2"/>
  <c r="U72" i="2"/>
  <c r="T72" i="2"/>
  <c r="P72" i="2"/>
  <c r="O72" i="2"/>
  <c r="N72" i="2"/>
  <c r="M72" i="2"/>
  <c r="L72" i="2"/>
  <c r="F72" i="2"/>
  <c r="X70" i="2"/>
  <c r="X72" i="2" s="1"/>
  <c r="W70" i="2"/>
  <c r="W72" i="2" s="1"/>
  <c r="V70" i="2"/>
  <c r="U70" i="2"/>
  <c r="T70" i="2"/>
  <c r="S70" i="2"/>
  <c r="S72" i="2" s="1"/>
  <c r="R70" i="2"/>
  <c r="R72" i="2" s="1"/>
  <c r="Q70" i="2"/>
  <c r="Q72" i="2" s="1"/>
  <c r="P70" i="2"/>
  <c r="O70" i="2"/>
  <c r="N70" i="2"/>
  <c r="M70" i="2"/>
  <c r="L70" i="2"/>
  <c r="K70" i="2"/>
  <c r="K72" i="2" s="1"/>
  <c r="J70" i="2"/>
  <c r="J72" i="2" s="1"/>
  <c r="I70" i="2"/>
  <c r="I72" i="2" s="1"/>
  <c r="H70" i="2"/>
  <c r="H72" i="2" s="1"/>
  <c r="G70" i="2"/>
  <c r="G72" i="2" s="1"/>
  <c r="F70" i="2"/>
  <c r="X58" i="2"/>
  <c r="W58" i="2"/>
  <c r="V58" i="2"/>
  <c r="U58" i="2"/>
  <c r="T58" i="2"/>
  <c r="S58" i="2"/>
  <c r="R58" i="2"/>
  <c r="Q58" i="2"/>
  <c r="P58" i="2"/>
  <c r="O58" i="2"/>
  <c r="N58" i="2"/>
  <c r="M58" i="2"/>
  <c r="L58" i="2"/>
  <c r="K58" i="2"/>
  <c r="J58" i="2"/>
  <c r="I58" i="2"/>
  <c r="H58" i="2"/>
  <c r="G58" i="2"/>
  <c r="F58" i="2"/>
  <c r="V34" i="2"/>
  <c r="R34" i="2"/>
  <c r="N34" i="2"/>
  <c r="J34" i="2"/>
  <c r="F34" i="2"/>
  <c r="V32" i="2"/>
  <c r="R32" i="2"/>
  <c r="N32" i="2"/>
  <c r="J32" i="2"/>
  <c r="F32" i="2"/>
  <c r="V31" i="2"/>
  <c r="R31" i="2"/>
  <c r="M31" i="2"/>
  <c r="N31" i="2" s="1"/>
  <c r="J31" i="2"/>
  <c r="F31" i="2"/>
  <c r="V29" i="2"/>
  <c r="R29" i="2"/>
  <c r="N29" i="2"/>
  <c r="J29" i="2"/>
  <c r="F29" i="2"/>
  <c r="R28" i="2"/>
  <c r="N28" i="2"/>
  <c r="Q28" i="2" s="1"/>
  <c r="J28" i="2"/>
  <c r="F28" i="2"/>
  <c r="V27" i="2"/>
  <c r="R27" i="2"/>
  <c r="N27" i="2"/>
  <c r="J27" i="2"/>
  <c r="F27" i="2"/>
  <c r="V26" i="2"/>
  <c r="R26" i="2"/>
  <c r="N26" i="2"/>
  <c r="J26" i="2"/>
  <c r="F26" i="2"/>
  <c r="V24" i="2"/>
  <c r="V78" i="2" s="1"/>
  <c r="R24" i="2"/>
  <c r="R78" i="2" s="1"/>
  <c r="N24" i="2"/>
  <c r="N78" i="2" s="1"/>
  <c r="J24" i="2"/>
  <c r="J78" i="2" s="1"/>
  <c r="F24" i="2"/>
  <c r="S23" i="2"/>
  <c r="S21" i="2"/>
  <c r="S20" i="2"/>
  <c r="S19" i="2"/>
  <c r="U17" i="2"/>
  <c r="T17" i="2"/>
  <c r="G17" i="2"/>
  <c r="X16" i="2"/>
  <c r="S16" i="2"/>
  <c r="O16" i="2"/>
  <c r="H16" i="2"/>
  <c r="X15" i="2"/>
  <c r="W15" i="2"/>
  <c r="U15" i="2"/>
  <c r="X14" i="2"/>
  <c r="W14" i="2"/>
  <c r="U14" i="2"/>
  <c r="T14" i="2"/>
  <c r="S14" i="2"/>
  <c r="Q14" i="2"/>
  <c r="P14" i="2"/>
  <c r="O14" i="2"/>
  <c r="M14" i="2"/>
  <c r="L14" i="2"/>
  <c r="K14" i="2"/>
  <c r="I14" i="2"/>
  <c r="H14" i="2"/>
  <c r="G14" i="2"/>
  <c r="S12" i="2"/>
  <c r="I12" i="2"/>
  <c r="H12" i="2"/>
  <c r="G12" i="2"/>
  <c r="C12" i="2"/>
  <c r="X11" i="2"/>
  <c r="W11" i="2"/>
  <c r="U11" i="2"/>
  <c r="T11" i="2"/>
  <c r="T16" i="2" s="1"/>
  <c r="S11" i="2"/>
  <c r="Q11" i="2"/>
  <c r="P11" i="2"/>
  <c r="O11" i="2"/>
  <c r="M11" i="2"/>
  <c r="L11" i="2"/>
  <c r="K11" i="2"/>
  <c r="I11" i="2"/>
  <c r="H11" i="2"/>
  <c r="H21" i="2" s="1"/>
  <c r="G11" i="2"/>
  <c r="E11" i="2"/>
  <c r="D11" i="2"/>
  <c r="C11" i="2"/>
  <c r="V10" i="2"/>
  <c r="R10" i="2"/>
  <c r="N10" i="2"/>
  <c r="N11" i="2" s="1"/>
  <c r="J10" i="2"/>
  <c r="J11" i="2" s="1"/>
  <c r="F10" i="2"/>
  <c r="F11" i="2" s="1"/>
  <c r="V9" i="2"/>
  <c r="V8" i="2"/>
  <c r="V11" i="2" s="1"/>
  <c r="R8" i="2"/>
  <c r="V7" i="2"/>
  <c r="X6" i="2"/>
  <c r="W6" i="2"/>
  <c r="V6" i="2"/>
  <c r="V12" i="2" s="1"/>
  <c r="U6" i="2"/>
  <c r="T6" i="2"/>
  <c r="S6" i="2"/>
  <c r="Q6" i="2"/>
  <c r="P6" i="2"/>
  <c r="P17" i="2" s="1"/>
  <c r="O6" i="2"/>
  <c r="O17" i="2" s="1"/>
  <c r="N6" i="2"/>
  <c r="M6" i="2"/>
  <c r="L6" i="2"/>
  <c r="K6" i="2"/>
  <c r="I6" i="2"/>
  <c r="H6" i="2"/>
  <c r="L17" i="2" s="1"/>
  <c r="G6" i="2"/>
  <c r="E6" i="2"/>
  <c r="D6" i="2"/>
  <c r="H17" i="2" s="1"/>
  <c r="C6" i="2"/>
  <c r="V5" i="2"/>
  <c r="V15" i="2" s="1"/>
  <c r="R5" i="2"/>
  <c r="V4" i="2"/>
  <c r="R4" i="2"/>
  <c r="N4" i="2"/>
  <c r="J4" i="2"/>
  <c r="F4" i="2"/>
  <c r="X87" i="9"/>
  <c r="R87" i="9"/>
  <c r="Q87" i="9"/>
  <c r="P87" i="9"/>
  <c r="J87" i="9"/>
  <c r="I87" i="9"/>
  <c r="H87" i="9"/>
  <c r="X86" i="9"/>
  <c r="W86" i="9"/>
  <c r="W87" i="9" s="1"/>
  <c r="V86" i="9"/>
  <c r="U86" i="9"/>
  <c r="T86" i="9"/>
  <c r="S86" i="9"/>
  <c r="R86" i="9"/>
  <c r="Q86" i="9"/>
  <c r="P86" i="9"/>
  <c r="O86" i="9"/>
  <c r="O87" i="9" s="1"/>
  <c r="N86" i="9"/>
  <c r="M86" i="9"/>
  <c r="L86" i="9"/>
  <c r="K86" i="9"/>
  <c r="J86" i="9"/>
  <c r="I86" i="9"/>
  <c r="H86" i="9"/>
  <c r="G86" i="9"/>
  <c r="G87" i="9" s="1"/>
  <c r="F86" i="9"/>
  <c r="E86" i="9"/>
  <c r="D86" i="9"/>
  <c r="C86" i="9"/>
  <c r="X85" i="9"/>
  <c r="W85" i="9"/>
  <c r="V85" i="9"/>
  <c r="V87" i="9" s="1"/>
  <c r="U85" i="9"/>
  <c r="U87" i="9" s="1"/>
  <c r="T85" i="9"/>
  <c r="T87" i="9" s="1"/>
  <c r="S85" i="9"/>
  <c r="S87" i="9" s="1"/>
  <c r="R85" i="9"/>
  <c r="Q85" i="9"/>
  <c r="P85" i="9"/>
  <c r="O85" i="9"/>
  <c r="N85" i="9"/>
  <c r="N87" i="9" s="1"/>
  <c r="M85" i="9"/>
  <c r="M87" i="9" s="1"/>
  <c r="L85" i="9"/>
  <c r="L87" i="9" s="1"/>
  <c r="K85" i="9"/>
  <c r="K87" i="9" s="1"/>
  <c r="J85" i="9"/>
  <c r="I85" i="9"/>
  <c r="H85" i="9"/>
  <c r="G85" i="9"/>
  <c r="F85" i="9"/>
  <c r="F87" i="9" s="1"/>
  <c r="E85" i="9"/>
  <c r="E87" i="9" s="1"/>
  <c r="D85" i="9"/>
  <c r="D87" i="9" s="1"/>
  <c r="C85" i="9"/>
  <c r="C87" i="9" s="1"/>
  <c r="X84" i="9"/>
  <c r="X83" i="9"/>
  <c r="X78" i="9"/>
  <c r="W78" i="9"/>
  <c r="U78" i="9"/>
  <c r="T78" i="9"/>
  <c r="S78" i="9"/>
  <c r="R78" i="9"/>
  <c r="Q78" i="9"/>
  <c r="P78" i="9"/>
  <c r="O78" i="9"/>
  <c r="M78" i="9"/>
  <c r="L78" i="9"/>
  <c r="K78" i="9"/>
  <c r="J78" i="9"/>
  <c r="I78" i="9"/>
  <c r="H78" i="9"/>
  <c r="G78" i="9"/>
  <c r="X76" i="9"/>
  <c r="W76" i="9"/>
  <c r="V76" i="9"/>
  <c r="U76" i="9"/>
  <c r="T76" i="9"/>
  <c r="S76" i="9"/>
  <c r="R76" i="9"/>
  <c r="Q76" i="9"/>
  <c r="P76" i="9"/>
  <c r="O76" i="9"/>
  <c r="N76" i="9"/>
  <c r="M76" i="9"/>
  <c r="L76" i="9"/>
  <c r="K76" i="9"/>
  <c r="J76" i="9"/>
  <c r="I76" i="9"/>
  <c r="H76" i="9"/>
  <c r="G76" i="9"/>
  <c r="F76" i="9"/>
  <c r="X75" i="9"/>
  <c r="W75" i="9"/>
  <c r="V75" i="9"/>
  <c r="U75" i="9"/>
  <c r="T75" i="9"/>
  <c r="S75" i="9"/>
  <c r="R75" i="9"/>
  <c r="Q75" i="9"/>
  <c r="P75" i="9"/>
  <c r="O75" i="9"/>
  <c r="N75" i="9"/>
  <c r="M75" i="9"/>
  <c r="L75" i="9"/>
  <c r="K75" i="9"/>
  <c r="J75" i="9"/>
  <c r="I75" i="9"/>
  <c r="H75" i="9"/>
  <c r="G75" i="9"/>
  <c r="F75" i="9"/>
  <c r="X74" i="9"/>
  <c r="W74" i="9"/>
  <c r="V74" i="9"/>
  <c r="U74" i="9"/>
  <c r="T74" i="9"/>
  <c r="S74" i="9"/>
  <c r="R74" i="9"/>
  <c r="Q74" i="9"/>
  <c r="P74" i="9"/>
  <c r="O74" i="9"/>
  <c r="N74" i="9"/>
  <c r="M74" i="9"/>
  <c r="L74" i="9"/>
  <c r="K74" i="9"/>
  <c r="J74" i="9"/>
  <c r="I74" i="9"/>
  <c r="H74" i="9"/>
  <c r="G74" i="9"/>
  <c r="F74" i="9"/>
  <c r="X72" i="9"/>
  <c r="W72" i="9"/>
  <c r="V72" i="9"/>
  <c r="Q72" i="9"/>
  <c r="P72" i="9"/>
  <c r="O72" i="9"/>
  <c r="N72" i="9"/>
  <c r="I72" i="9"/>
  <c r="H72" i="9"/>
  <c r="G72" i="9"/>
  <c r="F72" i="9"/>
  <c r="X70" i="9"/>
  <c r="W70" i="9"/>
  <c r="V70" i="9"/>
  <c r="U70" i="9"/>
  <c r="U72" i="9" s="1"/>
  <c r="T70" i="9"/>
  <c r="T72" i="9" s="1"/>
  <c r="S70" i="9"/>
  <c r="S72" i="9" s="1"/>
  <c r="R70" i="9"/>
  <c r="R72" i="9" s="1"/>
  <c r="Q70" i="9"/>
  <c r="P70" i="9"/>
  <c r="O70" i="9"/>
  <c r="N70" i="9"/>
  <c r="M70" i="9"/>
  <c r="M72" i="9" s="1"/>
  <c r="L70" i="9"/>
  <c r="L72" i="9" s="1"/>
  <c r="K70" i="9"/>
  <c r="K72" i="9" s="1"/>
  <c r="J70" i="9"/>
  <c r="J72" i="9" s="1"/>
  <c r="I70" i="9"/>
  <c r="H70" i="9"/>
  <c r="G70" i="9"/>
  <c r="F70" i="9"/>
  <c r="X58" i="9"/>
  <c r="W58" i="9"/>
  <c r="V58" i="9"/>
  <c r="U58" i="9"/>
  <c r="T58" i="9"/>
  <c r="S58" i="9"/>
  <c r="R58" i="9"/>
  <c r="Q58" i="9"/>
  <c r="P58" i="9"/>
  <c r="O58" i="9"/>
  <c r="N58" i="9"/>
  <c r="M58" i="9"/>
  <c r="L58" i="9"/>
  <c r="K58" i="9"/>
  <c r="J58" i="9"/>
  <c r="I58" i="9"/>
  <c r="H58" i="9"/>
  <c r="G58" i="9"/>
  <c r="F58" i="9"/>
  <c r="V34" i="9"/>
  <c r="R34" i="9"/>
  <c r="N34" i="9"/>
  <c r="J34" i="9"/>
  <c r="F34" i="9"/>
  <c r="V32" i="9"/>
  <c r="R32" i="9"/>
  <c r="N32" i="9"/>
  <c r="J32" i="9"/>
  <c r="F32" i="9"/>
  <c r="V31" i="9"/>
  <c r="R31" i="9"/>
  <c r="M31" i="9"/>
  <c r="N31" i="9" s="1"/>
  <c r="J31" i="9"/>
  <c r="F31" i="9"/>
  <c r="V29" i="9"/>
  <c r="R29" i="9"/>
  <c r="N29" i="9"/>
  <c r="J29" i="9"/>
  <c r="F29" i="9"/>
  <c r="N28" i="9"/>
  <c r="Q28" i="9" s="1"/>
  <c r="J28" i="9"/>
  <c r="F28" i="9"/>
  <c r="V27" i="9"/>
  <c r="R27" i="9"/>
  <c r="N27" i="9"/>
  <c r="J27" i="9"/>
  <c r="F27" i="9"/>
  <c r="V26" i="9"/>
  <c r="R26" i="9"/>
  <c r="N26" i="9"/>
  <c r="J26" i="9"/>
  <c r="F26" i="9"/>
  <c r="V24" i="9"/>
  <c r="V78" i="9" s="1"/>
  <c r="R24" i="9"/>
  <c r="N24" i="9"/>
  <c r="N78" i="9" s="1"/>
  <c r="J24" i="9"/>
  <c r="F24" i="9"/>
  <c r="F78" i="9" s="1"/>
  <c r="T21" i="9"/>
  <c r="L21" i="9"/>
  <c r="D21" i="9"/>
  <c r="T20" i="9"/>
  <c r="Q17" i="9"/>
  <c r="I17" i="9"/>
  <c r="S16" i="9"/>
  <c r="K16" i="9"/>
  <c r="X15" i="9"/>
  <c r="W15" i="9"/>
  <c r="U15" i="9"/>
  <c r="X14" i="9"/>
  <c r="W14" i="9"/>
  <c r="U14" i="9"/>
  <c r="T14" i="9"/>
  <c r="S14" i="9"/>
  <c r="Q14" i="9"/>
  <c r="P14" i="9"/>
  <c r="O14" i="9"/>
  <c r="M14" i="9"/>
  <c r="L14" i="9"/>
  <c r="K14" i="9"/>
  <c r="J14" i="9"/>
  <c r="I14" i="9"/>
  <c r="H14" i="9"/>
  <c r="G14" i="9"/>
  <c r="T12" i="9"/>
  <c r="T23" i="9" s="1"/>
  <c r="S12" i="9"/>
  <c r="S23" i="9" s="1"/>
  <c r="L12" i="9"/>
  <c r="L23" i="9" s="1"/>
  <c r="K12" i="9"/>
  <c r="K23" i="9" s="1"/>
  <c r="D12" i="9"/>
  <c r="D23" i="9" s="1"/>
  <c r="C12" i="9"/>
  <c r="C23" i="9" s="1"/>
  <c r="X11" i="9"/>
  <c r="W11" i="9"/>
  <c r="W16" i="9" s="1"/>
  <c r="U11" i="9"/>
  <c r="T11" i="9"/>
  <c r="S11" i="9"/>
  <c r="Q11" i="9"/>
  <c r="P11" i="9"/>
  <c r="O11" i="9"/>
  <c r="O16" i="9" s="1"/>
  <c r="M11" i="9"/>
  <c r="L11" i="9"/>
  <c r="K11" i="9"/>
  <c r="I11" i="9"/>
  <c r="H11" i="9"/>
  <c r="G11" i="9"/>
  <c r="G16" i="9" s="1"/>
  <c r="E11" i="9"/>
  <c r="D11" i="9"/>
  <c r="C11" i="9"/>
  <c r="V10" i="9"/>
  <c r="R10" i="9"/>
  <c r="R11" i="9" s="1"/>
  <c r="N10" i="9"/>
  <c r="N11" i="9" s="1"/>
  <c r="J10" i="9"/>
  <c r="J11" i="9" s="1"/>
  <c r="F10" i="9"/>
  <c r="F11" i="9" s="1"/>
  <c r="V9" i="9"/>
  <c r="V8" i="9"/>
  <c r="R8" i="9"/>
  <c r="V7" i="9"/>
  <c r="V11" i="9" s="1"/>
  <c r="X6" i="9"/>
  <c r="X17" i="9" s="1"/>
  <c r="W6" i="9"/>
  <c r="W12" i="9" s="1"/>
  <c r="U6" i="9"/>
  <c r="U17" i="9" s="1"/>
  <c r="T6" i="9"/>
  <c r="S6" i="9"/>
  <c r="Q6" i="9"/>
  <c r="P6" i="9"/>
  <c r="T17" i="9" s="1"/>
  <c r="O6" i="9"/>
  <c r="O12" i="9" s="1"/>
  <c r="M6" i="9"/>
  <c r="M17" i="9" s="1"/>
  <c r="L6" i="9"/>
  <c r="K6" i="9"/>
  <c r="I6" i="9"/>
  <c r="H6" i="9"/>
  <c r="L17" i="9" s="1"/>
  <c r="G6" i="9"/>
  <c r="G12" i="9" s="1"/>
  <c r="F6" i="9"/>
  <c r="E6" i="9"/>
  <c r="E12" i="9" s="1"/>
  <c r="D6" i="9"/>
  <c r="C6" i="9"/>
  <c r="V5" i="9"/>
  <c r="R5" i="9"/>
  <c r="V15" i="9" s="1"/>
  <c r="V4" i="9"/>
  <c r="R4" i="9"/>
  <c r="R6" i="9" s="1"/>
  <c r="N4" i="9"/>
  <c r="J4" i="9"/>
  <c r="J6" i="9" s="1"/>
  <c r="F4" i="9"/>
  <c r="X20" i="8"/>
  <c r="V20" i="8"/>
  <c r="U20" i="8"/>
  <c r="T20" i="8"/>
  <c r="S20" i="8"/>
  <c r="R20" i="8"/>
  <c r="Q20" i="8"/>
  <c r="W20" i="8"/>
  <c r="X21" i="8"/>
  <c r="W21" i="8"/>
  <c r="V21" i="8"/>
  <c r="U21" i="8"/>
  <c r="T21" i="8"/>
  <c r="S21" i="8"/>
  <c r="R21" i="8"/>
  <c r="Q21" i="8"/>
  <c r="P21" i="8"/>
  <c r="O21" i="8"/>
  <c r="N21" i="8"/>
  <c r="M21" i="8"/>
  <c r="L21" i="8"/>
  <c r="K21" i="8"/>
  <c r="J21" i="8"/>
  <c r="I21" i="8"/>
  <c r="H21" i="8"/>
  <c r="G21" i="8"/>
  <c r="F21" i="8"/>
  <c r="E21" i="8"/>
  <c r="D21" i="8"/>
  <c r="X19" i="8"/>
  <c r="W19" i="8"/>
  <c r="V19" i="8"/>
  <c r="U19" i="8"/>
  <c r="T19" i="8"/>
  <c r="S19" i="8"/>
  <c r="R19" i="8"/>
  <c r="Q19" i="8"/>
  <c r="P19" i="8"/>
  <c r="O19" i="8"/>
  <c r="N19" i="8"/>
  <c r="M19" i="8"/>
  <c r="L19" i="8"/>
  <c r="K19" i="8"/>
  <c r="J19" i="8"/>
  <c r="I19" i="8"/>
  <c r="H19" i="8"/>
  <c r="G19" i="8"/>
  <c r="F19" i="8"/>
  <c r="E19" i="8"/>
  <c r="D19" i="8"/>
  <c r="C19" i="8"/>
  <c r="C21" i="8"/>
  <c r="C9" i="1"/>
  <c r="AB5" i="8"/>
  <c r="AA5" i="8"/>
  <c r="AB4" i="8"/>
  <c r="AA4" i="8"/>
  <c r="AC5" i="8"/>
  <c r="X84" i="8"/>
  <c r="X83" i="8"/>
  <c r="X86" i="8"/>
  <c r="X78" i="8"/>
  <c r="X76" i="8"/>
  <c r="X75" i="8"/>
  <c r="X74" i="8"/>
  <c r="X70" i="8"/>
  <c r="X72" i="8" s="1"/>
  <c r="X58" i="8"/>
  <c r="X15" i="8"/>
  <c r="X14" i="8"/>
  <c r="X11" i="8"/>
  <c r="AB11" i="8" s="1"/>
  <c r="X6" i="8"/>
  <c r="Y39" i="2" l="1"/>
  <c r="Y30" i="2"/>
  <c r="Y39" i="9"/>
  <c r="Y30" i="9"/>
  <c r="Y35" i="8"/>
  <c r="Y43" i="8"/>
  <c r="Q12" i="2"/>
  <c r="Q16" i="2"/>
  <c r="H23" i="2"/>
  <c r="H19" i="2"/>
  <c r="F41" i="2"/>
  <c r="V20" i="2"/>
  <c r="V19" i="2"/>
  <c r="V23" i="2"/>
  <c r="F6" i="2"/>
  <c r="F12" i="2" s="1"/>
  <c r="F23" i="2" s="1"/>
  <c r="N12" i="2"/>
  <c r="N23" i="2" s="1"/>
  <c r="W17" i="2"/>
  <c r="W12" i="2"/>
  <c r="I16" i="2"/>
  <c r="I21" i="2"/>
  <c r="S40" i="2"/>
  <c r="S25" i="2"/>
  <c r="S41" i="2"/>
  <c r="S77" i="2"/>
  <c r="G23" i="2"/>
  <c r="G19" i="2"/>
  <c r="G21" i="2"/>
  <c r="K16" i="2"/>
  <c r="S28" i="2"/>
  <c r="T28" i="2" s="1"/>
  <c r="M12" i="2"/>
  <c r="M17" i="2"/>
  <c r="Q17" i="2"/>
  <c r="J16" i="2"/>
  <c r="I23" i="2"/>
  <c r="I19" i="2"/>
  <c r="N16" i="2"/>
  <c r="J6" i="2"/>
  <c r="J14" i="2"/>
  <c r="E12" i="2"/>
  <c r="I17" i="2"/>
  <c r="C87" i="2"/>
  <c r="C89" i="2"/>
  <c r="K87" i="2"/>
  <c r="S87" i="2"/>
  <c r="S89" i="2"/>
  <c r="G16" i="2"/>
  <c r="D87" i="2"/>
  <c r="L87" i="2"/>
  <c r="T87" i="2"/>
  <c r="N14" i="2"/>
  <c r="X12" i="2"/>
  <c r="X17" i="2"/>
  <c r="U16" i="2"/>
  <c r="O12" i="2"/>
  <c r="R6" i="2"/>
  <c r="R14" i="2"/>
  <c r="L16" i="2"/>
  <c r="P12" i="2"/>
  <c r="R11" i="2"/>
  <c r="P16" i="2"/>
  <c r="D21" i="2"/>
  <c r="L21" i="2"/>
  <c r="V41" i="2"/>
  <c r="V14" i="2"/>
  <c r="F40" i="2"/>
  <c r="V21" i="2"/>
  <c r="V16" i="2"/>
  <c r="C19" i="2"/>
  <c r="C23" i="2"/>
  <c r="C21" i="2"/>
  <c r="I89" i="2"/>
  <c r="E21" i="2"/>
  <c r="P21" i="2"/>
  <c r="J87" i="2"/>
  <c r="R87" i="2"/>
  <c r="S17" i="2"/>
  <c r="M16" i="2"/>
  <c r="V89" i="2"/>
  <c r="K17" i="2"/>
  <c r="T12" i="2"/>
  <c r="K12" i="2"/>
  <c r="D12" i="2"/>
  <c r="E87" i="2"/>
  <c r="L12" i="2"/>
  <c r="U12" i="2"/>
  <c r="O21" i="2"/>
  <c r="W16" i="2"/>
  <c r="U87" i="2"/>
  <c r="D40" i="9"/>
  <c r="D25" i="9"/>
  <c r="D41" i="9"/>
  <c r="R28" i="9"/>
  <c r="K40" i="9"/>
  <c r="K89" i="9"/>
  <c r="K41" i="9"/>
  <c r="K25" i="9"/>
  <c r="K77" i="9"/>
  <c r="O89" i="9"/>
  <c r="W89" i="9"/>
  <c r="J16" i="9"/>
  <c r="J21" i="9"/>
  <c r="H21" i="9"/>
  <c r="L40" i="9"/>
  <c r="L77" i="9"/>
  <c r="L25" i="9"/>
  <c r="L41" i="9"/>
  <c r="W20" i="9"/>
  <c r="W19" i="9"/>
  <c r="W23" i="9"/>
  <c r="N16" i="9"/>
  <c r="S40" i="9"/>
  <c r="S89" i="9"/>
  <c r="S41" i="9"/>
  <c r="S25" i="9"/>
  <c r="S77" i="9"/>
  <c r="R16" i="9"/>
  <c r="R21" i="9"/>
  <c r="T40" i="9"/>
  <c r="T77" i="9"/>
  <c r="T25" i="9"/>
  <c r="T41" i="9"/>
  <c r="J12" i="9"/>
  <c r="J17" i="9"/>
  <c r="E19" i="9"/>
  <c r="E21" i="9"/>
  <c r="E23" i="9"/>
  <c r="O19" i="9"/>
  <c r="O23" i="9"/>
  <c r="V16" i="9"/>
  <c r="F12" i="9"/>
  <c r="X21" i="9"/>
  <c r="R12" i="9"/>
  <c r="G19" i="9"/>
  <c r="G23" i="9"/>
  <c r="C40" i="9"/>
  <c r="C89" i="9"/>
  <c r="C41" i="9"/>
  <c r="C25" i="9"/>
  <c r="D89" i="9"/>
  <c r="L89" i="9"/>
  <c r="T89" i="9"/>
  <c r="R14" i="9"/>
  <c r="L16" i="9"/>
  <c r="T16" i="9"/>
  <c r="D19" i="9"/>
  <c r="L19" i="9"/>
  <c r="T19" i="9"/>
  <c r="H12" i="9"/>
  <c r="P12" i="9"/>
  <c r="X12" i="9"/>
  <c r="N14" i="9"/>
  <c r="V14" i="9"/>
  <c r="H16" i="9"/>
  <c r="P16" i="9"/>
  <c r="X16" i="9"/>
  <c r="N6" i="9"/>
  <c r="V6" i="9"/>
  <c r="I12" i="9"/>
  <c r="Q12" i="9"/>
  <c r="I16" i="9"/>
  <c r="Q16" i="9"/>
  <c r="G17" i="9"/>
  <c r="O17" i="9"/>
  <c r="W17" i="9"/>
  <c r="C21" i="9"/>
  <c r="K21" i="9"/>
  <c r="S21" i="9"/>
  <c r="C19" i="9"/>
  <c r="K19" i="9"/>
  <c r="S19" i="9"/>
  <c r="S20" i="9"/>
  <c r="H17" i="9"/>
  <c r="P17" i="9"/>
  <c r="R19" i="9"/>
  <c r="M12" i="9"/>
  <c r="U12" i="9"/>
  <c r="M16" i="9"/>
  <c r="U16" i="9"/>
  <c r="K17" i="9"/>
  <c r="S17" i="9"/>
  <c r="G21" i="9"/>
  <c r="O21" i="9"/>
  <c r="W21" i="9"/>
  <c r="X85" i="8"/>
  <c r="X12" i="8"/>
  <c r="X23" i="8" s="1"/>
  <c r="X87" i="8"/>
  <c r="AQ10" i="2"/>
  <c r="AP10" i="2"/>
  <c r="AO10" i="2"/>
  <c r="AN9" i="2"/>
  <c r="AM9" i="2"/>
  <c r="AQ9" i="2"/>
  <c r="AP9" i="2"/>
  <c r="AO9" i="2"/>
  <c r="AN8" i="2"/>
  <c r="AM8" i="2"/>
  <c r="AQ8" i="2"/>
  <c r="AP8" i="2"/>
  <c r="AO8" i="2"/>
  <c r="AN7" i="2"/>
  <c r="AM7" i="2"/>
  <c r="AQ7" i="2"/>
  <c r="AD6" i="2"/>
  <c r="AC6" i="2"/>
  <c r="AB6" i="2"/>
  <c r="AA6" i="2"/>
  <c r="Z6" i="2"/>
  <c r="Z12" i="2"/>
  <c r="AA12" i="2"/>
  <c r="AB12" i="2"/>
  <c r="AC12" i="2"/>
  <c r="AD12" i="2"/>
  <c r="AD6" i="9"/>
  <c r="AD12" i="9" s="1"/>
  <c r="AC6" i="9"/>
  <c r="AC12" i="9" s="1"/>
  <c r="AB6" i="9"/>
  <c r="AB12" i="9" s="1"/>
  <c r="AB17" i="9" s="1"/>
  <c r="AA6" i="9"/>
  <c r="AA12" i="9" s="1"/>
  <c r="AA17" i="9" s="1"/>
  <c r="Z6" i="9"/>
  <c r="Z12" i="9" s="1"/>
  <c r="W78" i="8"/>
  <c r="U78" i="8"/>
  <c r="T78" i="8"/>
  <c r="S78" i="8"/>
  <c r="Q78" i="8"/>
  <c r="P78" i="8"/>
  <c r="O78" i="8"/>
  <c r="M78" i="8"/>
  <c r="L78" i="8"/>
  <c r="K78" i="8"/>
  <c r="I78" i="8"/>
  <c r="H78" i="8"/>
  <c r="G78" i="8"/>
  <c r="W76" i="8"/>
  <c r="V76" i="8"/>
  <c r="U76" i="8"/>
  <c r="T76" i="8"/>
  <c r="S76" i="8"/>
  <c r="R76" i="8"/>
  <c r="Q76" i="8"/>
  <c r="P76" i="8"/>
  <c r="O76" i="8"/>
  <c r="N76" i="8"/>
  <c r="M76" i="8"/>
  <c r="L76" i="8"/>
  <c r="K76" i="8"/>
  <c r="J76" i="8"/>
  <c r="I76" i="8"/>
  <c r="H76" i="8"/>
  <c r="G76" i="8"/>
  <c r="F76" i="8"/>
  <c r="W75" i="8"/>
  <c r="V75" i="8"/>
  <c r="U75" i="8"/>
  <c r="T75" i="8"/>
  <c r="S75" i="8"/>
  <c r="R75" i="8"/>
  <c r="Q75" i="8"/>
  <c r="P75" i="8"/>
  <c r="O75" i="8"/>
  <c r="N75" i="8"/>
  <c r="M75" i="8"/>
  <c r="L75" i="8"/>
  <c r="K75" i="8"/>
  <c r="J75" i="8"/>
  <c r="I75" i="8"/>
  <c r="H75" i="8"/>
  <c r="G75" i="8"/>
  <c r="F75" i="8"/>
  <c r="W74" i="8"/>
  <c r="V74" i="8"/>
  <c r="U74" i="8"/>
  <c r="T74" i="8"/>
  <c r="S74" i="8"/>
  <c r="R74" i="8"/>
  <c r="Q74" i="8"/>
  <c r="P74" i="8"/>
  <c r="O74" i="8"/>
  <c r="N74" i="8"/>
  <c r="M74" i="8"/>
  <c r="L74" i="8"/>
  <c r="K74" i="8"/>
  <c r="J74" i="8"/>
  <c r="I74" i="8"/>
  <c r="H74" i="8"/>
  <c r="G74" i="8"/>
  <c r="F74" i="8"/>
  <c r="AP9" i="8"/>
  <c r="AO9" i="8"/>
  <c r="AO8" i="8"/>
  <c r="AP7" i="8"/>
  <c r="AO7" i="8"/>
  <c r="V10" i="8"/>
  <c r="AQ10" i="8" s="1"/>
  <c r="V7" i="8"/>
  <c r="AQ7" i="8" s="1"/>
  <c r="F10" i="8"/>
  <c r="AM10" i="8" s="1"/>
  <c r="AM11" i="8" s="1"/>
  <c r="J10" i="8"/>
  <c r="AN10" i="8" s="1"/>
  <c r="AN11" i="8" s="1"/>
  <c r="U11" i="8"/>
  <c r="T11" i="8"/>
  <c r="S11" i="8"/>
  <c r="Q11" i="8"/>
  <c r="P11" i="8"/>
  <c r="O11" i="8"/>
  <c r="L11" i="8"/>
  <c r="K11" i="8"/>
  <c r="W11" i="8"/>
  <c r="R10" i="8"/>
  <c r="AP10" i="8" s="1"/>
  <c r="R8" i="8"/>
  <c r="V9" i="8"/>
  <c r="AQ9" i="8" s="1"/>
  <c r="V8" i="8"/>
  <c r="AQ8" i="8" s="1"/>
  <c r="Y42" i="2" l="1"/>
  <c r="Y33" i="2"/>
  <c r="Y33" i="9"/>
  <c r="Y42" i="9"/>
  <c r="Y37" i="8"/>
  <c r="Y44" i="8"/>
  <c r="Y79" i="8"/>
  <c r="Y80" i="8"/>
  <c r="Y82" i="8"/>
  <c r="Z17" i="9"/>
  <c r="AD17" i="9"/>
  <c r="AC17" i="9"/>
  <c r="G77" i="2"/>
  <c r="G40" i="2"/>
  <c r="G25" i="2"/>
  <c r="G89" i="2"/>
  <c r="G41" i="2"/>
  <c r="K19" i="2"/>
  <c r="K23" i="2"/>
  <c r="K21" i="2"/>
  <c r="J17" i="2"/>
  <c r="J12" i="2"/>
  <c r="N17" i="2"/>
  <c r="M19" i="2"/>
  <c r="M23" i="2"/>
  <c r="N25" i="2"/>
  <c r="N77" i="2"/>
  <c r="N40" i="2"/>
  <c r="W19" i="2"/>
  <c r="W23" i="2"/>
  <c r="W20" i="2"/>
  <c r="R17" i="2"/>
  <c r="R12" i="2"/>
  <c r="U20" i="2"/>
  <c r="U19" i="2"/>
  <c r="U23" i="2"/>
  <c r="U21" i="2"/>
  <c r="O23" i="2"/>
  <c r="O19" i="2"/>
  <c r="L19" i="2"/>
  <c r="L23" i="2"/>
  <c r="W21" i="2"/>
  <c r="H89" i="2"/>
  <c r="H41" i="2"/>
  <c r="H25" i="2"/>
  <c r="H40" i="2"/>
  <c r="H77" i="2"/>
  <c r="T20" i="2"/>
  <c r="T19" i="2"/>
  <c r="T23" i="2"/>
  <c r="T21" i="2"/>
  <c r="N21" i="2"/>
  <c r="S39" i="2"/>
  <c r="S30" i="2"/>
  <c r="F25" i="2"/>
  <c r="F77" i="2"/>
  <c r="N89" i="2"/>
  <c r="R21" i="2"/>
  <c r="R16" i="2"/>
  <c r="X23" i="2"/>
  <c r="X19" i="2"/>
  <c r="X21" i="2"/>
  <c r="X20" i="2"/>
  <c r="F19" i="2"/>
  <c r="Q23" i="2"/>
  <c r="Q20" i="2"/>
  <c r="Q19" i="2"/>
  <c r="M21" i="2"/>
  <c r="C40" i="2"/>
  <c r="C41" i="2"/>
  <c r="C25" i="2"/>
  <c r="N41" i="2"/>
  <c r="P23" i="2"/>
  <c r="P19" i="2"/>
  <c r="V17" i="2"/>
  <c r="I41" i="2"/>
  <c r="I25" i="2"/>
  <c r="I77" i="2"/>
  <c r="I40" i="2"/>
  <c r="V25" i="2"/>
  <c r="V77" i="2"/>
  <c r="V40" i="2"/>
  <c r="Q21" i="2"/>
  <c r="D19" i="2"/>
  <c r="D23" i="2"/>
  <c r="F89" i="2"/>
  <c r="N19" i="2"/>
  <c r="E19" i="2"/>
  <c r="E23" i="2"/>
  <c r="F21" i="2"/>
  <c r="E40" i="9"/>
  <c r="E41" i="9"/>
  <c r="E25" i="9"/>
  <c r="T39" i="9"/>
  <c r="E89" i="9"/>
  <c r="Q23" i="9"/>
  <c r="Q20" i="9"/>
  <c r="Q19" i="9"/>
  <c r="F19" i="9"/>
  <c r="F23" i="9"/>
  <c r="K39" i="9"/>
  <c r="K30" i="9"/>
  <c r="S28" i="9"/>
  <c r="T28" i="9" s="1"/>
  <c r="T30" i="9" s="1"/>
  <c r="I23" i="9"/>
  <c r="I19" i="9"/>
  <c r="X23" i="9"/>
  <c r="X20" i="9"/>
  <c r="X19" i="9"/>
  <c r="V12" i="9"/>
  <c r="V17" i="9"/>
  <c r="P23" i="9"/>
  <c r="P19" i="9"/>
  <c r="G41" i="9"/>
  <c r="G25" i="9"/>
  <c r="G77" i="9"/>
  <c r="G40" i="9"/>
  <c r="I21" i="9"/>
  <c r="N12" i="9"/>
  <c r="N17" i="9"/>
  <c r="H23" i="9"/>
  <c r="H19" i="9"/>
  <c r="J23" i="9"/>
  <c r="J19" i="9"/>
  <c r="D39" i="9"/>
  <c r="D30" i="9"/>
  <c r="U20" i="9"/>
  <c r="U19" i="9"/>
  <c r="U21" i="9"/>
  <c r="U23" i="9"/>
  <c r="R17" i="9"/>
  <c r="L39" i="9"/>
  <c r="L30" i="9"/>
  <c r="Q21" i="9"/>
  <c r="M19" i="9"/>
  <c r="M21" i="9"/>
  <c r="M23" i="9"/>
  <c r="R23" i="9"/>
  <c r="R20" i="9"/>
  <c r="O41" i="9"/>
  <c r="O25" i="9"/>
  <c r="O77" i="9"/>
  <c r="O40" i="9"/>
  <c r="W41" i="9"/>
  <c r="W25" i="9"/>
  <c r="W77" i="9"/>
  <c r="W40" i="9"/>
  <c r="G89" i="9"/>
  <c r="F21" i="9"/>
  <c r="P21" i="9"/>
  <c r="C39" i="9"/>
  <c r="C30" i="9"/>
  <c r="S39" i="9"/>
  <c r="O16" i="8"/>
  <c r="S16" i="8"/>
  <c r="T16" i="8"/>
  <c r="P16" i="8"/>
  <c r="AA11" i="8"/>
  <c r="W16" i="8"/>
  <c r="AC11" i="8"/>
  <c r="U16" i="8"/>
  <c r="AN16" i="8"/>
  <c r="X16" i="8"/>
  <c r="R11" i="8"/>
  <c r="X41" i="8"/>
  <c r="X40" i="8"/>
  <c r="AP8" i="8"/>
  <c r="X89" i="8"/>
  <c r="X25" i="8"/>
  <c r="X77" i="8"/>
  <c r="AP11" i="2"/>
  <c r="AO11" i="2"/>
  <c r="AO7" i="2"/>
  <c r="AP7" i="2"/>
  <c r="AN10" i="2"/>
  <c r="AN11" i="2" s="1"/>
  <c r="AM10" i="2"/>
  <c r="AM11" i="2" s="1"/>
  <c r="AQ11" i="2"/>
  <c r="V11" i="8"/>
  <c r="Y43" i="2" l="1"/>
  <c r="Y35" i="2"/>
  <c r="Y35" i="9"/>
  <c r="Y43" i="9"/>
  <c r="K40" i="2"/>
  <c r="K25" i="2"/>
  <c r="K77" i="2"/>
  <c r="K41" i="2"/>
  <c r="K89" i="2"/>
  <c r="T40" i="2"/>
  <c r="T41" i="2"/>
  <c r="T77" i="2"/>
  <c r="T25" i="2"/>
  <c r="T89" i="2"/>
  <c r="E41" i="2"/>
  <c r="E25" i="2"/>
  <c r="E40" i="2"/>
  <c r="E89" i="2"/>
  <c r="P77" i="2"/>
  <c r="P40" i="2"/>
  <c r="P89" i="2"/>
  <c r="P41" i="2"/>
  <c r="P25" i="2"/>
  <c r="L40" i="2"/>
  <c r="L41" i="2"/>
  <c r="L77" i="2"/>
  <c r="L25" i="2"/>
  <c r="L89" i="2"/>
  <c r="X40" i="2"/>
  <c r="X41" i="2"/>
  <c r="X77" i="2"/>
  <c r="X25" i="2"/>
  <c r="X89" i="2"/>
  <c r="U41" i="2"/>
  <c r="U25" i="2"/>
  <c r="U77" i="2"/>
  <c r="U40" i="2"/>
  <c r="U89" i="2"/>
  <c r="N39" i="2"/>
  <c r="N30" i="2"/>
  <c r="Q40" i="2"/>
  <c r="Q77" i="2"/>
  <c r="Q25" i="2"/>
  <c r="Q41" i="2"/>
  <c r="Q89" i="2"/>
  <c r="R20" i="2"/>
  <c r="R23" i="2"/>
  <c r="R19" i="2"/>
  <c r="M77" i="2"/>
  <c r="M41" i="2"/>
  <c r="M25" i="2"/>
  <c r="M40" i="2"/>
  <c r="M89" i="2"/>
  <c r="V30" i="2"/>
  <c r="V39" i="2"/>
  <c r="C39" i="2"/>
  <c r="C30" i="2"/>
  <c r="F39" i="2"/>
  <c r="F30" i="2"/>
  <c r="G39" i="2"/>
  <c r="G30" i="2"/>
  <c r="S42" i="2"/>
  <c r="S33" i="2"/>
  <c r="O77" i="2"/>
  <c r="O40" i="2"/>
  <c r="O89" i="2"/>
  <c r="O41" i="2"/>
  <c r="O25" i="2"/>
  <c r="W77" i="2"/>
  <c r="W89" i="2"/>
  <c r="W40" i="2"/>
  <c r="W41" i="2"/>
  <c r="W25" i="2"/>
  <c r="J23" i="2"/>
  <c r="J21" i="2"/>
  <c r="J19" i="2"/>
  <c r="D40" i="2"/>
  <c r="D41" i="2"/>
  <c r="D25" i="2"/>
  <c r="D89" i="2"/>
  <c r="I39" i="2"/>
  <c r="I30" i="2"/>
  <c r="H30" i="2"/>
  <c r="H39" i="2"/>
  <c r="T42" i="9"/>
  <c r="T33" i="9"/>
  <c r="W39" i="9"/>
  <c r="W30" i="9"/>
  <c r="M40" i="9"/>
  <c r="M41" i="9"/>
  <c r="M25" i="9"/>
  <c r="M77" i="9"/>
  <c r="M89" i="9"/>
  <c r="H41" i="9"/>
  <c r="H25" i="9"/>
  <c r="H40" i="9"/>
  <c r="H77" i="9"/>
  <c r="H89" i="9"/>
  <c r="I77" i="9"/>
  <c r="I40" i="9"/>
  <c r="I89" i="9"/>
  <c r="I41" i="9"/>
  <c r="I25" i="9"/>
  <c r="Q77" i="9"/>
  <c r="Q40" i="9"/>
  <c r="Q89" i="9"/>
  <c r="Q41" i="9"/>
  <c r="Q25" i="9"/>
  <c r="C33" i="9"/>
  <c r="C42" i="9"/>
  <c r="P41" i="9"/>
  <c r="P25" i="9"/>
  <c r="P77" i="9"/>
  <c r="P40" i="9"/>
  <c r="P89" i="9"/>
  <c r="N23" i="9"/>
  <c r="N21" i="9"/>
  <c r="N19" i="9"/>
  <c r="K33" i="9"/>
  <c r="K42" i="9"/>
  <c r="D42" i="9"/>
  <c r="D33" i="9"/>
  <c r="V23" i="9"/>
  <c r="V19" i="9"/>
  <c r="V21" i="9"/>
  <c r="V20" i="9"/>
  <c r="O39" i="9"/>
  <c r="O30" i="9"/>
  <c r="L42" i="9"/>
  <c r="L33" i="9"/>
  <c r="F25" i="9"/>
  <c r="F77" i="9"/>
  <c r="F41" i="9"/>
  <c r="F40" i="9"/>
  <c r="F89" i="9"/>
  <c r="E39" i="9"/>
  <c r="E30" i="9"/>
  <c r="J89" i="9"/>
  <c r="J41" i="9"/>
  <c r="J25" i="9"/>
  <c r="J40" i="9"/>
  <c r="J77" i="9"/>
  <c r="G39" i="9"/>
  <c r="G30" i="9"/>
  <c r="X41" i="9"/>
  <c r="X25" i="9"/>
  <c r="X77" i="9"/>
  <c r="X40" i="9"/>
  <c r="X89" i="9"/>
  <c r="S30" i="9"/>
  <c r="R89" i="9"/>
  <c r="R41" i="9"/>
  <c r="R25" i="9"/>
  <c r="R77" i="9"/>
  <c r="R40" i="9"/>
  <c r="U40" i="9"/>
  <c r="U41" i="9"/>
  <c r="U25" i="9"/>
  <c r="U77" i="9"/>
  <c r="U89" i="9"/>
  <c r="AP11" i="8"/>
  <c r="AQ11" i="8"/>
  <c r="Z11" i="8"/>
  <c r="AD11" i="8" s="1"/>
  <c r="V16" i="8"/>
  <c r="X39" i="8"/>
  <c r="X30" i="8"/>
  <c r="BA58" i="9"/>
  <c r="BA58" i="8"/>
  <c r="M292" i="3"/>
  <c r="M291" i="3"/>
  <c r="M290" i="3"/>
  <c r="M289" i="3"/>
  <c r="M288" i="3"/>
  <c r="M287" i="3"/>
  <c r="M286" i="3"/>
  <c r="M285" i="3"/>
  <c r="M284" i="3"/>
  <c r="M283" i="3"/>
  <c r="M282" i="3"/>
  <c r="M281" i="3"/>
  <c r="M280" i="3"/>
  <c r="M279" i="3"/>
  <c r="M278" i="3"/>
  <c r="M277" i="3"/>
  <c r="M276" i="3"/>
  <c r="M275" i="3"/>
  <c r="M274" i="3"/>
  <c r="M273" i="3"/>
  <c r="M272" i="3"/>
  <c r="M271" i="3"/>
  <c r="M270" i="3"/>
  <c r="M269" i="3"/>
  <c r="M268" i="3"/>
  <c r="M267" i="3"/>
  <c r="M266" i="3"/>
  <c r="M265" i="3"/>
  <c r="M264" i="3"/>
  <c r="M263" i="3"/>
  <c r="M262" i="3"/>
  <c r="M261" i="3"/>
  <c r="M260" i="3"/>
  <c r="M259" i="3"/>
  <c r="M258" i="3"/>
  <c r="M257" i="3"/>
  <c r="M256" i="3"/>
  <c r="M255" i="3"/>
  <c r="M254" i="3"/>
  <c r="M253" i="3"/>
  <c r="M252" i="3"/>
  <c r="M251" i="3"/>
  <c r="M250" i="3"/>
  <c r="M249" i="3"/>
  <c r="M248" i="3"/>
  <c r="M247" i="3"/>
  <c r="M246" i="3"/>
  <c r="M245" i="3"/>
  <c r="M244" i="3"/>
  <c r="M243" i="3"/>
  <c r="M242" i="3"/>
  <c r="M241" i="3"/>
  <c r="M240" i="3"/>
  <c r="M239" i="3"/>
  <c r="M238" i="3"/>
  <c r="M237" i="3"/>
  <c r="M236" i="3"/>
  <c r="M235" i="3"/>
  <c r="M234" i="3"/>
  <c r="M233" i="3"/>
  <c r="M232" i="3"/>
  <c r="M231" i="3"/>
  <c r="M230" i="3"/>
  <c r="M229" i="3"/>
  <c r="M228" i="3"/>
  <c r="M227" i="3"/>
  <c r="M226" i="3"/>
  <c r="M225" i="3"/>
  <c r="M224" i="3"/>
  <c r="M223" i="3"/>
  <c r="M222" i="3"/>
  <c r="M221" i="3"/>
  <c r="M220" i="3"/>
  <c r="M219" i="3"/>
  <c r="M218" i="3"/>
  <c r="M217" i="3"/>
  <c r="M216" i="3"/>
  <c r="M215" i="3"/>
  <c r="M214" i="3"/>
  <c r="M213" i="3"/>
  <c r="M212" i="3"/>
  <c r="M211" i="3"/>
  <c r="M210" i="3"/>
  <c r="Y44" i="2" l="1"/>
  <c r="Y80" i="2"/>
  <c r="Y79" i="2"/>
  <c r="Y82" i="2"/>
  <c r="Y37" i="2"/>
  <c r="Y44" i="9"/>
  <c r="Y82" i="9"/>
  <c r="Y37" i="9"/>
  <c r="Y80" i="9"/>
  <c r="Y79" i="9"/>
  <c r="O39" i="2"/>
  <c r="O30" i="2"/>
  <c r="H42" i="2"/>
  <c r="H33" i="2"/>
  <c r="F42" i="2"/>
  <c r="F33" i="2"/>
  <c r="M30" i="2"/>
  <c r="M39" i="2"/>
  <c r="Q39" i="2"/>
  <c r="Q30" i="2"/>
  <c r="U30" i="2"/>
  <c r="U39" i="2"/>
  <c r="L30" i="2"/>
  <c r="L39" i="2"/>
  <c r="I33" i="2"/>
  <c r="I42" i="2"/>
  <c r="J25" i="2"/>
  <c r="J77" i="2"/>
  <c r="J41" i="2"/>
  <c r="J40" i="2"/>
  <c r="J89" i="2"/>
  <c r="W30" i="2"/>
  <c r="W39" i="2"/>
  <c r="C33" i="2"/>
  <c r="C42" i="2"/>
  <c r="N42" i="2"/>
  <c r="N33" i="2"/>
  <c r="X39" i="2"/>
  <c r="X30" i="2"/>
  <c r="E39" i="2"/>
  <c r="E30" i="2"/>
  <c r="D39" i="2"/>
  <c r="D30" i="2"/>
  <c r="S35" i="2"/>
  <c r="S43" i="2"/>
  <c r="R77" i="2"/>
  <c r="R25" i="2"/>
  <c r="R89" i="2"/>
  <c r="R41" i="2"/>
  <c r="R40" i="2"/>
  <c r="P39" i="2"/>
  <c r="P30" i="2"/>
  <c r="V42" i="2"/>
  <c r="V33" i="2"/>
  <c r="K30" i="2"/>
  <c r="K39" i="2"/>
  <c r="G42" i="2"/>
  <c r="G33" i="2"/>
  <c r="T30" i="2"/>
  <c r="T39" i="2"/>
  <c r="R39" i="9"/>
  <c r="R30" i="9"/>
  <c r="E42" i="9"/>
  <c r="E33" i="9"/>
  <c r="D43" i="9"/>
  <c r="D35" i="9"/>
  <c r="Q39" i="9"/>
  <c r="Q30" i="9"/>
  <c r="G42" i="9"/>
  <c r="G33" i="9"/>
  <c r="O42" i="9"/>
  <c r="O33" i="9"/>
  <c r="M39" i="9"/>
  <c r="M30" i="9"/>
  <c r="U39" i="9"/>
  <c r="U30" i="9"/>
  <c r="S33" i="9"/>
  <c r="S42" i="9"/>
  <c r="K43" i="9"/>
  <c r="K35" i="9"/>
  <c r="P30" i="9"/>
  <c r="P39" i="9"/>
  <c r="W42" i="9"/>
  <c r="W33" i="9"/>
  <c r="J39" i="9"/>
  <c r="J30" i="9"/>
  <c r="I39" i="9"/>
  <c r="I30" i="9"/>
  <c r="H30" i="9"/>
  <c r="H39" i="9"/>
  <c r="F39" i="9"/>
  <c r="F30" i="9"/>
  <c r="T43" i="9"/>
  <c r="T35" i="9"/>
  <c r="X30" i="9"/>
  <c r="X39" i="9"/>
  <c r="L43" i="9"/>
  <c r="L35" i="9"/>
  <c r="V25" i="9"/>
  <c r="V77" i="9"/>
  <c r="V41" i="9"/>
  <c r="V89" i="9"/>
  <c r="V40" i="9"/>
  <c r="N41" i="9"/>
  <c r="N25" i="9"/>
  <c r="N77" i="9"/>
  <c r="N40" i="9"/>
  <c r="N89" i="9"/>
  <c r="C43" i="9"/>
  <c r="C35" i="9"/>
  <c r="AR11" i="8"/>
  <c r="AS11" i="8" s="1"/>
  <c r="AT11" i="8" s="1"/>
  <c r="AQ16" i="8"/>
  <c r="X33" i="8"/>
  <c r="X43" i="8" s="1"/>
  <c r="X42" i="8"/>
  <c r="G35" i="2" l="1"/>
  <c r="G43" i="2"/>
  <c r="C43" i="2"/>
  <c r="C35" i="2"/>
  <c r="M33" i="2"/>
  <c r="M42" i="2"/>
  <c r="F35" i="2"/>
  <c r="F43" i="2"/>
  <c r="X42" i="2"/>
  <c r="X33" i="2"/>
  <c r="L33" i="2"/>
  <c r="L42" i="2"/>
  <c r="V35" i="2"/>
  <c r="V43" i="2"/>
  <c r="H43" i="2"/>
  <c r="H35" i="2"/>
  <c r="N35" i="2"/>
  <c r="N43" i="2"/>
  <c r="U42" i="2"/>
  <c r="U33" i="2"/>
  <c r="S44" i="2"/>
  <c r="S37" i="2"/>
  <c r="S82" i="2"/>
  <c r="S80" i="2"/>
  <c r="S79" i="2"/>
  <c r="O42" i="2"/>
  <c r="O33" i="2"/>
  <c r="E33" i="2"/>
  <c r="E42" i="2"/>
  <c r="I43" i="2"/>
  <c r="I35" i="2"/>
  <c r="W42" i="2"/>
  <c r="W33" i="2"/>
  <c r="K42" i="2"/>
  <c r="K33" i="2"/>
  <c r="R39" i="2"/>
  <c r="R30" i="2"/>
  <c r="P42" i="2"/>
  <c r="P33" i="2"/>
  <c r="Q33" i="2"/>
  <c r="Q42" i="2"/>
  <c r="T42" i="2"/>
  <c r="T33" i="2"/>
  <c r="D33" i="2"/>
  <c r="D42" i="2"/>
  <c r="J39" i="2"/>
  <c r="J30" i="2"/>
  <c r="F33" i="9"/>
  <c r="F42" i="9"/>
  <c r="W35" i="9"/>
  <c r="W43" i="9"/>
  <c r="U42" i="9"/>
  <c r="U33" i="9"/>
  <c r="Q42" i="9"/>
  <c r="Q33" i="9"/>
  <c r="V39" i="9"/>
  <c r="V30" i="9"/>
  <c r="L44" i="9"/>
  <c r="L82" i="9"/>
  <c r="L37" i="9"/>
  <c r="L79" i="9"/>
  <c r="L80" i="9"/>
  <c r="M42" i="9"/>
  <c r="M33" i="9"/>
  <c r="D44" i="9"/>
  <c r="D82" i="9"/>
  <c r="D37" i="9"/>
  <c r="N39" i="9"/>
  <c r="N30" i="9"/>
  <c r="H42" i="9"/>
  <c r="H33" i="9"/>
  <c r="P42" i="9"/>
  <c r="P33" i="9"/>
  <c r="I42" i="9"/>
  <c r="I33" i="9"/>
  <c r="K79" i="9"/>
  <c r="K44" i="9"/>
  <c r="K80" i="9"/>
  <c r="K82" i="9"/>
  <c r="K37" i="9"/>
  <c r="O35" i="9"/>
  <c r="O43" i="9"/>
  <c r="E35" i="9"/>
  <c r="E43" i="9"/>
  <c r="X42" i="9"/>
  <c r="X33" i="9"/>
  <c r="C44" i="9"/>
  <c r="C82" i="9"/>
  <c r="C37" i="9"/>
  <c r="T44" i="9"/>
  <c r="T82" i="9"/>
  <c r="T37" i="9"/>
  <c r="T79" i="9"/>
  <c r="T80" i="9"/>
  <c r="J42" i="9"/>
  <c r="J33" i="9"/>
  <c r="G35" i="9"/>
  <c r="G43" i="9"/>
  <c r="R42" i="9"/>
  <c r="R33" i="9"/>
  <c r="S43" i="9"/>
  <c r="S35" i="9"/>
  <c r="AU11" i="8"/>
  <c r="AV11" i="8" s="1"/>
  <c r="AW11" i="8" s="1"/>
  <c r="AX11" i="8" s="1"/>
  <c r="AY11" i="8" s="1"/>
  <c r="X35" i="8"/>
  <c r="BA58" i="2"/>
  <c r="BA56" i="2"/>
  <c r="BA53" i="2"/>
  <c r="BA56" i="9"/>
  <c r="BA53" i="9"/>
  <c r="BA53" i="8"/>
  <c r="BA56" i="8"/>
  <c r="AD15" i="2"/>
  <c r="AC15" i="2"/>
  <c r="AB15" i="2"/>
  <c r="AA15" i="2"/>
  <c r="AD14" i="2"/>
  <c r="AC14" i="2"/>
  <c r="AB14" i="2"/>
  <c r="AA14" i="2"/>
  <c r="AD20" i="2"/>
  <c r="AC19" i="2"/>
  <c r="AD15" i="9"/>
  <c r="AC15" i="9"/>
  <c r="AB15" i="9"/>
  <c r="AA15" i="9"/>
  <c r="AD14" i="9"/>
  <c r="AC14" i="9"/>
  <c r="AB14" i="9"/>
  <c r="AA14" i="9"/>
  <c r="AB6" i="8"/>
  <c r="AA6" i="8"/>
  <c r="W86" i="8"/>
  <c r="V86" i="8"/>
  <c r="U86" i="8"/>
  <c r="T86" i="8"/>
  <c r="S86" i="8"/>
  <c r="R86" i="8"/>
  <c r="Q86" i="8"/>
  <c r="P86" i="8"/>
  <c r="O86" i="8"/>
  <c r="N86" i="8"/>
  <c r="M86" i="8"/>
  <c r="L86" i="8"/>
  <c r="K86" i="8"/>
  <c r="J86" i="8"/>
  <c r="I86" i="8"/>
  <c r="H86" i="8"/>
  <c r="G86" i="8"/>
  <c r="F86" i="8"/>
  <c r="E86" i="8"/>
  <c r="D86" i="8"/>
  <c r="C86" i="8"/>
  <c r="W85" i="8"/>
  <c r="V85" i="8"/>
  <c r="U85" i="8"/>
  <c r="T85" i="8"/>
  <c r="S85" i="8"/>
  <c r="R85" i="8"/>
  <c r="Q85" i="8"/>
  <c r="P85" i="8"/>
  <c r="O85" i="8"/>
  <c r="N85" i="8"/>
  <c r="M85" i="8"/>
  <c r="L85" i="8"/>
  <c r="K85" i="8"/>
  <c r="J85" i="8"/>
  <c r="I85" i="8"/>
  <c r="H85" i="8"/>
  <c r="G85" i="8"/>
  <c r="F85" i="8"/>
  <c r="E85" i="8"/>
  <c r="D85" i="8"/>
  <c r="C85" i="8"/>
  <c r="AQ84" i="8"/>
  <c r="AP84" i="8"/>
  <c r="AO84" i="8"/>
  <c r="AN84" i="8"/>
  <c r="AM84" i="8"/>
  <c r="AQ83" i="8"/>
  <c r="AP83" i="8"/>
  <c r="AO83" i="8"/>
  <c r="AN83" i="8"/>
  <c r="AM83" i="8"/>
  <c r="AQ71" i="8"/>
  <c r="AP71" i="8"/>
  <c r="AO71" i="8"/>
  <c r="AN71" i="8"/>
  <c r="AM71" i="8"/>
  <c r="W70" i="8"/>
  <c r="W72" i="8" s="1"/>
  <c r="V70" i="8"/>
  <c r="U70" i="8"/>
  <c r="U72" i="8" s="1"/>
  <c r="T70" i="8"/>
  <c r="T72" i="8" s="1"/>
  <c r="S70" i="8"/>
  <c r="S72" i="8" s="1"/>
  <c r="R70" i="8"/>
  <c r="AP70" i="8" s="1"/>
  <c r="Q70" i="8"/>
  <c r="Q72" i="8" s="1"/>
  <c r="P70" i="8"/>
  <c r="P72" i="8" s="1"/>
  <c r="O70" i="8"/>
  <c r="O72" i="8" s="1"/>
  <c r="N70" i="8"/>
  <c r="M70" i="8"/>
  <c r="M72" i="8" s="1"/>
  <c r="L70" i="8"/>
  <c r="L72" i="8" s="1"/>
  <c r="K70" i="8"/>
  <c r="K72" i="8" s="1"/>
  <c r="J70" i="8"/>
  <c r="AN70" i="8" s="1"/>
  <c r="I70" i="8"/>
  <c r="I72" i="8" s="1"/>
  <c r="H70" i="8"/>
  <c r="H72" i="8" s="1"/>
  <c r="G70" i="8"/>
  <c r="G72" i="8" s="1"/>
  <c r="F70" i="8"/>
  <c r="AQ69" i="8"/>
  <c r="AP69" i="8"/>
  <c r="AO69" i="8"/>
  <c r="AN69" i="8"/>
  <c r="AM69" i="8"/>
  <c r="AQ68" i="8"/>
  <c r="AP68" i="8"/>
  <c r="AO68" i="8"/>
  <c r="AN68" i="8"/>
  <c r="AM68" i="8"/>
  <c r="AQ67" i="8"/>
  <c r="AP67" i="8"/>
  <c r="AO67" i="8"/>
  <c r="AN67" i="8"/>
  <c r="AM67" i="8"/>
  <c r="AQ66" i="8"/>
  <c r="AP66" i="8"/>
  <c r="AO66" i="8"/>
  <c r="AN66" i="8"/>
  <c r="AM66" i="8"/>
  <c r="AQ65" i="8"/>
  <c r="AP65" i="8"/>
  <c r="AO65" i="8"/>
  <c r="AN65" i="8"/>
  <c r="AM65" i="8"/>
  <c r="AQ64" i="8"/>
  <c r="AP64" i="8"/>
  <c r="AO64" i="8"/>
  <c r="AN64" i="8"/>
  <c r="AM64" i="8"/>
  <c r="AQ63" i="8"/>
  <c r="AP63" i="8"/>
  <c r="AO63" i="8"/>
  <c r="AN63" i="8"/>
  <c r="AM63" i="8"/>
  <c r="AQ62" i="8"/>
  <c r="AP62" i="8"/>
  <c r="AO62" i="8"/>
  <c r="AN62" i="8"/>
  <c r="AM62" i="8"/>
  <c r="AQ61" i="8"/>
  <c r="AP61" i="8"/>
  <c r="AO61" i="8"/>
  <c r="AN61" i="8"/>
  <c r="AM61" i="8"/>
  <c r="AQ60" i="8"/>
  <c r="AP60" i="8"/>
  <c r="AO60" i="8"/>
  <c r="AN60" i="8"/>
  <c r="AM60" i="8"/>
  <c r="W58" i="8"/>
  <c r="V58" i="8"/>
  <c r="AQ58" i="8" s="1"/>
  <c r="U58" i="8"/>
  <c r="T58" i="8"/>
  <c r="S58" i="8"/>
  <c r="R58" i="8"/>
  <c r="AP58" i="8" s="1"/>
  <c r="Q58" i="8"/>
  <c r="P58" i="8"/>
  <c r="O58" i="8"/>
  <c r="N58" i="8"/>
  <c r="AO58" i="8" s="1"/>
  <c r="M58" i="8"/>
  <c r="L58" i="8"/>
  <c r="K58" i="8"/>
  <c r="J58" i="8"/>
  <c r="AN58" i="8" s="1"/>
  <c r="I58" i="8"/>
  <c r="H58" i="8"/>
  <c r="G58" i="8"/>
  <c r="F58" i="8"/>
  <c r="AM58" i="8" s="1"/>
  <c r="AQ57" i="8"/>
  <c r="AP57" i="8"/>
  <c r="AO57" i="8"/>
  <c r="AN57" i="8"/>
  <c r="AM57" i="8"/>
  <c r="AQ56" i="8"/>
  <c r="AP56" i="8"/>
  <c r="AO56" i="8"/>
  <c r="AN56" i="8"/>
  <c r="AM56" i="8"/>
  <c r="AQ55" i="8"/>
  <c r="AP55" i="8"/>
  <c r="AO55" i="8"/>
  <c r="AN55" i="8"/>
  <c r="AM55" i="8"/>
  <c r="AQ54" i="8"/>
  <c r="AP54" i="8"/>
  <c r="AO54" i="8"/>
  <c r="AN54" i="8"/>
  <c r="AM54" i="8"/>
  <c r="AQ53" i="8"/>
  <c r="AP53" i="8"/>
  <c r="AO53" i="8"/>
  <c r="AN53" i="8"/>
  <c r="AM53" i="8"/>
  <c r="AQ52" i="8"/>
  <c r="AP52" i="8"/>
  <c r="AO52" i="8"/>
  <c r="AN52" i="8"/>
  <c r="AM52" i="8"/>
  <c r="AQ51" i="8"/>
  <c r="AP51" i="8"/>
  <c r="AO51" i="8"/>
  <c r="AN51" i="8"/>
  <c r="AM51" i="8"/>
  <c r="AQ50" i="8"/>
  <c r="AP50" i="8"/>
  <c r="AO50" i="8"/>
  <c r="AN50" i="8"/>
  <c r="AM50" i="8"/>
  <c r="AQ49" i="8"/>
  <c r="AP49" i="8"/>
  <c r="AO49" i="8"/>
  <c r="AN49" i="8"/>
  <c r="AM49" i="8"/>
  <c r="AQ48" i="8"/>
  <c r="AP48" i="8"/>
  <c r="AO48" i="8"/>
  <c r="AN48" i="8"/>
  <c r="AM48" i="8"/>
  <c r="AQ47" i="8"/>
  <c r="AP47" i="8"/>
  <c r="AO47" i="8"/>
  <c r="AN47" i="8"/>
  <c r="AM47" i="8"/>
  <c r="AQ46" i="8"/>
  <c r="AP46" i="8"/>
  <c r="AO46" i="8"/>
  <c r="AN46" i="8"/>
  <c r="AM46" i="8"/>
  <c r="AQ36" i="8"/>
  <c r="AQ86" i="8" s="1"/>
  <c r="AP36" i="8"/>
  <c r="AP86" i="8" s="1"/>
  <c r="AO36" i="8"/>
  <c r="AO86" i="8" s="1"/>
  <c r="AN36" i="8"/>
  <c r="AN86" i="8" s="1"/>
  <c r="AM36" i="8"/>
  <c r="AM86" i="8" s="1"/>
  <c r="V34" i="8"/>
  <c r="R34" i="8"/>
  <c r="N34" i="8"/>
  <c r="J34" i="8"/>
  <c r="AN34" i="8" s="1"/>
  <c r="F34" i="8"/>
  <c r="V32" i="8"/>
  <c r="AQ32" i="8" s="1"/>
  <c r="R32" i="8"/>
  <c r="AP32" i="8" s="1"/>
  <c r="N32" i="8"/>
  <c r="AO32" i="8" s="1"/>
  <c r="J32" i="8"/>
  <c r="AN32" i="8" s="1"/>
  <c r="F32" i="8"/>
  <c r="AM32" i="8" s="1"/>
  <c r="V31" i="8"/>
  <c r="AQ31" i="8" s="1"/>
  <c r="R31" i="8"/>
  <c r="AP31" i="8" s="1"/>
  <c r="M31" i="8"/>
  <c r="J31" i="8"/>
  <c r="AN31" i="8" s="1"/>
  <c r="F31" i="8"/>
  <c r="AM31" i="8" s="1"/>
  <c r="V29" i="8"/>
  <c r="AQ29" i="8" s="1"/>
  <c r="AR29" i="8" s="1"/>
  <c r="AS29" i="8" s="1"/>
  <c r="AT29" i="8" s="1"/>
  <c r="AU29" i="8" s="1"/>
  <c r="AV29" i="8" s="1"/>
  <c r="AW29" i="8" s="1"/>
  <c r="AX29" i="8" s="1"/>
  <c r="AY29" i="8" s="1"/>
  <c r="AZ29" i="8" s="1"/>
  <c r="BA29" i="8" s="1"/>
  <c r="R29" i="8"/>
  <c r="AP29" i="8" s="1"/>
  <c r="N29" i="8"/>
  <c r="AO29" i="8" s="1"/>
  <c r="J29" i="8"/>
  <c r="AN29" i="8" s="1"/>
  <c r="F29" i="8"/>
  <c r="AM29" i="8" s="1"/>
  <c r="N28" i="8"/>
  <c r="AO28" i="8" s="1"/>
  <c r="J28" i="8"/>
  <c r="AN28" i="8" s="1"/>
  <c r="F28" i="8"/>
  <c r="AM28" i="8" s="1"/>
  <c r="V27" i="8"/>
  <c r="AQ27" i="8" s="1"/>
  <c r="R27" i="8"/>
  <c r="N27" i="8"/>
  <c r="AO27" i="8" s="1"/>
  <c r="J27" i="8"/>
  <c r="F27" i="8"/>
  <c r="AM27" i="8" s="1"/>
  <c r="V26" i="8"/>
  <c r="R26" i="8"/>
  <c r="AP26" i="8" s="1"/>
  <c r="N26" i="8"/>
  <c r="AO26" i="8" s="1"/>
  <c r="J26" i="8"/>
  <c r="AN26" i="8" s="1"/>
  <c r="F26" i="8"/>
  <c r="AM26" i="8" s="1"/>
  <c r="V24" i="8"/>
  <c r="V78" i="8" s="1"/>
  <c r="R24" i="8"/>
  <c r="N24" i="8"/>
  <c r="J24" i="8"/>
  <c r="F24" i="8"/>
  <c r="F78" i="8" s="1"/>
  <c r="W15" i="8"/>
  <c r="U15" i="8"/>
  <c r="W14" i="8"/>
  <c r="U14" i="8"/>
  <c r="T14" i="8"/>
  <c r="S14" i="8"/>
  <c r="Q14" i="8"/>
  <c r="P14" i="8"/>
  <c r="O14" i="8"/>
  <c r="M14" i="8"/>
  <c r="L14" i="8"/>
  <c r="K14" i="8"/>
  <c r="I14" i="8"/>
  <c r="H14" i="8"/>
  <c r="G14" i="8"/>
  <c r="W6" i="8"/>
  <c r="W12" i="8" s="1"/>
  <c r="W23" i="8" s="1"/>
  <c r="W77" i="8" s="1"/>
  <c r="U6" i="8"/>
  <c r="U12" i="8" s="1"/>
  <c r="T6" i="8"/>
  <c r="S6" i="8"/>
  <c r="S12" i="8" s="1"/>
  <c r="S23" i="8" s="1"/>
  <c r="Q6" i="8"/>
  <c r="Q12" i="8" s="1"/>
  <c r="Q23" i="8" s="1"/>
  <c r="Q77" i="8" s="1"/>
  <c r="P6" i="8"/>
  <c r="P12" i="8" s="1"/>
  <c r="P23" i="8" s="1"/>
  <c r="P77" i="8" s="1"/>
  <c r="O6" i="8"/>
  <c r="O12" i="8" s="1"/>
  <c r="O23" i="8" s="1"/>
  <c r="O77" i="8" s="1"/>
  <c r="M6" i="8"/>
  <c r="L6" i="8"/>
  <c r="L12" i="8" s="1"/>
  <c r="L23" i="8" s="1"/>
  <c r="K6" i="8"/>
  <c r="K12" i="8" s="1"/>
  <c r="K23" i="8" s="1"/>
  <c r="I6" i="8"/>
  <c r="H6" i="8"/>
  <c r="G6" i="8"/>
  <c r="E6" i="8"/>
  <c r="D6" i="8"/>
  <c r="C6" i="8"/>
  <c r="AO5" i="8"/>
  <c r="AN5" i="8"/>
  <c r="AM5" i="8"/>
  <c r="V5" i="8"/>
  <c r="Z5" i="8" s="1"/>
  <c r="R5" i="8"/>
  <c r="AP5" i="8" s="1"/>
  <c r="V4" i="8"/>
  <c r="Z4" i="8" s="1"/>
  <c r="AD4" i="8" s="1"/>
  <c r="R4" i="8"/>
  <c r="N4" i="8"/>
  <c r="AO4" i="8" s="1"/>
  <c r="J4" i="8"/>
  <c r="AN4" i="8" s="1"/>
  <c r="F4" i="8"/>
  <c r="AN3" i="8"/>
  <c r="AO3" i="8" s="1"/>
  <c r="AP3" i="8" s="1"/>
  <c r="AQ3" i="8" s="1"/>
  <c r="AR3" i="8" s="1"/>
  <c r="AS3" i="8" s="1"/>
  <c r="AT3" i="8" s="1"/>
  <c r="AU3" i="8" s="1"/>
  <c r="AV3" i="8" s="1"/>
  <c r="AW3" i="8" s="1"/>
  <c r="AX3" i="8" s="1"/>
  <c r="AY3" i="8" s="1"/>
  <c r="AZ3" i="8" s="1"/>
  <c r="BA3" i="8" s="1"/>
  <c r="BB3" i="8" s="1"/>
  <c r="BC3" i="8" s="1"/>
  <c r="BD3" i="8" s="1"/>
  <c r="BE3" i="8" s="1"/>
  <c r="BF3" i="8" s="1"/>
  <c r="BG3" i="8" s="1"/>
  <c r="BH3" i="8" s="1"/>
  <c r="BI3" i="8" s="1"/>
  <c r="BJ3" i="8" s="1"/>
  <c r="BK3" i="8" s="1"/>
  <c r="BL3" i="8" s="1"/>
  <c r="BM3" i="8" s="1"/>
  <c r="BN3" i="8" s="1"/>
  <c r="BO3" i="8" s="1"/>
  <c r="BP3" i="8" s="1"/>
  <c r="BQ3" i="8" s="1"/>
  <c r="BR3" i="8" s="1"/>
  <c r="BS3" i="8" s="1"/>
  <c r="BT3" i="8" s="1"/>
  <c r="BU3" i="8" s="1"/>
  <c r="AR3" i="9"/>
  <c r="AS3" i="9" s="1"/>
  <c r="AT3" i="9" s="1"/>
  <c r="AU3" i="9" s="1"/>
  <c r="AV3" i="9" s="1"/>
  <c r="AW3" i="9" s="1"/>
  <c r="AX3" i="9" s="1"/>
  <c r="AY3" i="9" s="1"/>
  <c r="AZ3" i="9" s="1"/>
  <c r="BA3" i="9" s="1"/>
  <c r="BB3" i="9" s="1"/>
  <c r="BC3" i="9" s="1"/>
  <c r="BD3" i="9" s="1"/>
  <c r="BE3" i="9" s="1"/>
  <c r="BF3" i="9" s="1"/>
  <c r="BG3" i="9" s="1"/>
  <c r="BH3" i="9" s="1"/>
  <c r="BI3" i="9" s="1"/>
  <c r="BJ3" i="9" s="1"/>
  <c r="BK3" i="9" s="1"/>
  <c r="BL3" i="9" s="1"/>
  <c r="BM3" i="9" s="1"/>
  <c r="BN3" i="9" s="1"/>
  <c r="BO3" i="9" s="1"/>
  <c r="BP3" i="9" s="1"/>
  <c r="BQ3" i="9" s="1"/>
  <c r="BR3" i="9" s="1"/>
  <c r="BS3" i="9" s="1"/>
  <c r="BT3" i="9" s="1"/>
  <c r="BU3" i="9" s="1"/>
  <c r="BV3" i="9" s="1"/>
  <c r="BW3" i="9" s="1"/>
  <c r="BX3" i="9" s="1"/>
  <c r="BY3" i="9" s="1"/>
  <c r="BZ3" i="9" s="1"/>
  <c r="CA3" i="9" s="1"/>
  <c r="CB3" i="9" s="1"/>
  <c r="CC3" i="9" s="1"/>
  <c r="CD3" i="9" s="1"/>
  <c r="CE3" i="9" s="1"/>
  <c r="CF3" i="9" s="1"/>
  <c r="CG3" i="9" s="1"/>
  <c r="CH3" i="9" s="1"/>
  <c r="CI3" i="9" s="1"/>
  <c r="CJ3" i="9" s="1"/>
  <c r="CK3" i="9" s="1"/>
  <c r="CL3" i="9" s="1"/>
  <c r="CM3" i="9" s="1"/>
  <c r="CN3" i="9" s="1"/>
  <c r="CO3" i="9" s="1"/>
  <c r="CP3" i="9" s="1"/>
  <c r="CQ3" i="9" s="1"/>
  <c r="CR3" i="9" s="1"/>
  <c r="CS3" i="9" s="1"/>
  <c r="CT3" i="9" s="1"/>
  <c r="CU3" i="9" s="1"/>
  <c r="CV3" i="9" s="1"/>
  <c r="CW3" i="9" s="1"/>
  <c r="CX3" i="9" s="1"/>
  <c r="CY3" i="9" s="1"/>
  <c r="AO5" i="2"/>
  <c r="AN5" i="2"/>
  <c r="AM5" i="2"/>
  <c r="AQ5" i="2"/>
  <c r="AD5" i="8" l="1"/>
  <c r="AD6" i="8" s="1"/>
  <c r="Q43" i="2"/>
  <c r="Q35" i="2"/>
  <c r="P43" i="2"/>
  <c r="P35" i="2"/>
  <c r="V80" i="2"/>
  <c r="V82" i="2"/>
  <c r="V79" i="2"/>
  <c r="V44" i="2"/>
  <c r="V37" i="2"/>
  <c r="D43" i="2"/>
  <c r="D35" i="2"/>
  <c r="E35" i="2"/>
  <c r="E43" i="2"/>
  <c r="C44" i="2"/>
  <c r="C37" i="2"/>
  <c r="C82" i="2"/>
  <c r="T35" i="2"/>
  <c r="T43" i="2"/>
  <c r="O35" i="2"/>
  <c r="O43" i="2"/>
  <c r="X43" i="2"/>
  <c r="X35" i="2"/>
  <c r="H82" i="2"/>
  <c r="H37" i="2"/>
  <c r="H79" i="2"/>
  <c r="H44" i="2"/>
  <c r="H80" i="2"/>
  <c r="J42" i="2"/>
  <c r="J33" i="2"/>
  <c r="I79" i="2"/>
  <c r="I37" i="2"/>
  <c r="I82" i="2"/>
  <c r="I44" i="2"/>
  <c r="I80" i="2"/>
  <c r="F80" i="2"/>
  <c r="F82" i="2"/>
  <c r="F44" i="2"/>
  <c r="F37" i="2"/>
  <c r="F79" i="2"/>
  <c r="R42" i="2"/>
  <c r="R33" i="2"/>
  <c r="M35" i="2"/>
  <c r="M43" i="2"/>
  <c r="U35" i="2"/>
  <c r="U43" i="2"/>
  <c r="K43" i="2"/>
  <c r="K35" i="2"/>
  <c r="L43" i="2"/>
  <c r="L35" i="2"/>
  <c r="W43" i="2"/>
  <c r="W35" i="2"/>
  <c r="N80" i="2"/>
  <c r="N82" i="2"/>
  <c r="N44" i="2"/>
  <c r="N79" i="2"/>
  <c r="N37" i="2"/>
  <c r="G79" i="2"/>
  <c r="G82" i="2"/>
  <c r="G37" i="2"/>
  <c r="G80" i="2"/>
  <c r="G44" i="2"/>
  <c r="H35" i="9"/>
  <c r="H43" i="9"/>
  <c r="Q43" i="9"/>
  <c r="Q35" i="9"/>
  <c r="S79" i="9"/>
  <c r="S44" i="9"/>
  <c r="S80" i="9"/>
  <c r="S82" i="9"/>
  <c r="S37" i="9"/>
  <c r="X35" i="9"/>
  <c r="X43" i="9"/>
  <c r="N33" i="9"/>
  <c r="N42" i="9"/>
  <c r="U35" i="9"/>
  <c r="U43" i="9"/>
  <c r="R35" i="9"/>
  <c r="R43" i="9"/>
  <c r="E44" i="9"/>
  <c r="E82" i="9"/>
  <c r="E37" i="9"/>
  <c r="I43" i="9"/>
  <c r="I35" i="9"/>
  <c r="W80" i="9"/>
  <c r="W82" i="9"/>
  <c r="W37" i="9"/>
  <c r="W79" i="9"/>
  <c r="W44" i="9"/>
  <c r="G80" i="9"/>
  <c r="G82" i="9"/>
  <c r="G37" i="9"/>
  <c r="G79" i="9"/>
  <c r="G44" i="9"/>
  <c r="O80" i="9"/>
  <c r="O82" i="9"/>
  <c r="O37" i="9"/>
  <c r="O79" i="9"/>
  <c r="O44" i="9"/>
  <c r="P35" i="9"/>
  <c r="P43" i="9"/>
  <c r="V33" i="9"/>
  <c r="V42" i="9"/>
  <c r="J43" i="9"/>
  <c r="J35" i="9"/>
  <c r="M35" i="9"/>
  <c r="M43" i="9"/>
  <c r="F35" i="9"/>
  <c r="F43" i="9"/>
  <c r="L77" i="8"/>
  <c r="AP34" i="8"/>
  <c r="AB12" i="8"/>
  <c r="AA12" i="8"/>
  <c r="AZ11" i="8"/>
  <c r="S77" i="8"/>
  <c r="Z6" i="8"/>
  <c r="K77" i="8"/>
  <c r="Q41" i="8"/>
  <c r="AQ75" i="8"/>
  <c r="Q40" i="8"/>
  <c r="T12" i="8"/>
  <c r="T23" i="8" s="1"/>
  <c r="T89" i="8" s="1"/>
  <c r="X17" i="8"/>
  <c r="AO24" i="8"/>
  <c r="AO78" i="8" s="1"/>
  <c r="N78" i="8"/>
  <c r="L40" i="8"/>
  <c r="W40" i="8"/>
  <c r="L41" i="8"/>
  <c r="W41" i="8"/>
  <c r="AM75" i="8"/>
  <c r="U23" i="8"/>
  <c r="U89" i="8" s="1"/>
  <c r="AP24" i="8"/>
  <c r="AP78" i="8" s="1"/>
  <c r="R78" i="8"/>
  <c r="K25" i="8"/>
  <c r="K30" i="8" s="1"/>
  <c r="K42" i="8" s="1"/>
  <c r="AM76" i="8"/>
  <c r="AM74" i="8"/>
  <c r="AN75" i="8"/>
  <c r="L25" i="8"/>
  <c r="L39" i="8" s="1"/>
  <c r="W25" i="8"/>
  <c r="W39" i="8" s="1"/>
  <c r="O40" i="8"/>
  <c r="O41" i="8"/>
  <c r="AN76" i="8"/>
  <c r="AN74" i="8"/>
  <c r="AO75" i="8"/>
  <c r="O25" i="8"/>
  <c r="O39" i="8" s="1"/>
  <c r="AP76" i="8"/>
  <c r="AP74" i="8"/>
  <c r="P40" i="8"/>
  <c r="P41" i="8"/>
  <c r="AO76" i="8"/>
  <c r="AO74" i="8"/>
  <c r="AP75" i="8"/>
  <c r="L89" i="8"/>
  <c r="P25" i="8"/>
  <c r="P39" i="8" s="1"/>
  <c r="S40" i="8"/>
  <c r="S41" i="8"/>
  <c r="AQ76" i="8"/>
  <c r="AQ74" i="8"/>
  <c r="Q25" i="8"/>
  <c r="Q39" i="8" s="1"/>
  <c r="W89" i="8"/>
  <c r="AN24" i="8"/>
  <c r="AN78" i="8" s="1"/>
  <c r="J78" i="8"/>
  <c r="S25" i="8"/>
  <c r="K40" i="8"/>
  <c r="K41" i="8"/>
  <c r="P89" i="8"/>
  <c r="X82" i="8"/>
  <c r="X37" i="8"/>
  <c r="X80" i="8"/>
  <c r="X44" i="8"/>
  <c r="X79" i="8"/>
  <c r="AO4" i="2"/>
  <c r="Z14" i="2"/>
  <c r="AN4" i="2"/>
  <c r="AB17" i="2"/>
  <c r="AD19" i="2"/>
  <c r="AM4" i="2"/>
  <c r="AP5" i="2"/>
  <c r="AQ15" i="2" s="1"/>
  <c r="AA17" i="2"/>
  <c r="AP4" i="2"/>
  <c r="AR5" i="2"/>
  <c r="AS5" i="2" s="1"/>
  <c r="AQ4" i="2"/>
  <c r="Z15" i="2"/>
  <c r="Z14" i="9"/>
  <c r="Z15" i="9"/>
  <c r="R14" i="8"/>
  <c r="J6" i="8"/>
  <c r="K17" i="8"/>
  <c r="AA17" i="8"/>
  <c r="N14" i="8"/>
  <c r="AQ5" i="8"/>
  <c r="AR5" i="8" s="1"/>
  <c r="AP4" i="8"/>
  <c r="AP14" i="8" s="1"/>
  <c r="E87" i="8"/>
  <c r="AB17" i="8"/>
  <c r="M87" i="8"/>
  <c r="R6" i="8"/>
  <c r="R12" i="8" s="1"/>
  <c r="AC20" i="2"/>
  <c r="AB20" i="2"/>
  <c r="I17" i="8"/>
  <c r="V87" i="8"/>
  <c r="Q28" i="8"/>
  <c r="R72" i="8"/>
  <c r="AP72" i="8" s="1"/>
  <c r="G87" i="8"/>
  <c r="O87" i="8"/>
  <c r="O89" i="8"/>
  <c r="O17" i="8"/>
  <c r="AQ85" i="8"/>
  <c r="F87" i="8"/>
  <c r="V14" i="8"/>
  <c r="S17" i="8"/>
  <c r="I87" i="8"/>
  <c r="Q87" i="8"/>
  <c r="Q89" i="8"/>
  <c r="H87" i="8"/>
  <c r="W17" i="8"/>
  <c r="N31" i="8"/>
  <c r="AO31" i="8" s="1"/>
  <c r="C87" i="8"/>
  <c r="K87" i="8"/>
  <c r="K89" i="8"/>
  <c r="S87" i="8"/>
  <c r="S89" i="8"/>
  <c r="N87" i="8"/>
  <c r="J72" i="8"/>
  <c r="AN72" i="8" s="1"/>
  <c r="T87" i="8"/>
  <c r="P87" i="8"/>
  <c r="H17" i="8"/>
  <c r="U17" i="8"/>
  <c r="G17" i="8"/>
  <c r="AQ24" i="8"/>
  <c r="AQ78" i="8" s="1"/>
  <c r="P30" i="8"/>
  <c r="P42" i="8" s="1"/>
  <c r="U87" i="8"/>
  <c r="AA19" i="2"/>
  <c r="AB19" i="2"/>
  <c r="BV3" i="8"/>
  <c r="BW3" i="8" s="1"/>
  <c r="BX3" i="8" s="1"/>
  <c r="BY3" i="8" s="1"/>
  <c r="BZ3" i="8" s="1"/>
  <c r="CA3" i="8" s="1"/>
  <c r="CB3" i="8" s="1"/>
  <c r="CC3" i="8" s="1"/>
  <c r="CD3" i="8" s="1"/>
  <c r="CE3" i="8" s="1"/>
  <c r="CF3" i="8" s="1"/>
  <c r="CG3" i="8" s="1"/>
  <c r="CH3" i="8" s="1"/>
  <c r="CI3" i="8" s="1"/>
  <c r="CJ3" i="8" s="1"/>
  <c r="CK3" i="8" s="1"/>
  <c r="CL3" i="8" s="1"/>
  <c r="CM3" i="8" s="1"/>
  <c r="CN3" i="8" s="1"/>
  <c r="CO3" i="8" s="1"/>
  <c r="CP3" i="8" s="1"/>
  <c r="CQ3" i="8" s="1"/>
  <c r="CR3" i="8" s="1"/>
  <c r="CS3" i="8" s="1"/>
  <c r="CT3" i="8" s="1"/>
  <c r="CU3" i="8" s="1"/>
  <c r="CV3" i="8" s="1"/>
  <c r="CW3" i="8" s="1"/>
  <c r="CX3" i="8" s="1"/>
  <c r="CY3" i="8" s="1"/>
  <c r="AC17" i="2"/>
  <c r="AD17" i="2"/>
  <c r="Z20" i="2"/>
  <c r="Z19" i="2"/>
  <c r="AA20" i="2"/>
  <c r="R87" i="8"/>
  <c r="F72" i="8"/>
  <c r="AM72" i="8" s="1"/>
  <c r="AM70" i="8"/>
  <c r="N72" i="8"/>
  <c r="AO72" i="8" s="1"/>
  <c r="AO70" i="8"/>
  <c r="V72" i="8"/>
  <c r="AQ72" i="8" s="1"/>
  <c r="AQ70" i="8"/>
  <c r="AO34" i="8"/>
  <c r="L17" i="8"/>
  <c r="AQ34" i="8"/>
  <c r="AM24" i="8"/>
  <c r="AM78" i="8" s="1"/>
  <c r="J87" i="8"/>
  <c r="D87" i="8"/>
  <c r="AM85" i="8"/>
  <c r="L87" i="8"/>
  <c r="AO85" i="8"/>
  <c r="AM4" i="8"/>
  <c r="AN14" i="8" s="1"/>
  <c r="F6" i="8"/>
  <c r="J14" i="8"/>
  <c r="Q17" i="8"/>
  <c r="AP27" i="8"/>
  <c r="AO14" i="8"/>
  <c r="M17" i="8"/>
  <c r="AM34" i="8"/>
  <c r="W87" i="8"/>
  <c r="T17" i="8"/>
  <c r="AQ26" i="8"/>
  <c r="N6" i="8"/>
  <c r="P17" i="8"/>
  <c r="AN27" i="8"/>
  <c r="AN85" i="8"/>
  <c r="AQ4" i="8"/>
  <c r="V15" i="8"/>
  <c r="O30" i="8"/>
  <c r="S39" i="8"/>
  <c r="AP85" i="8"/>
  <c r="V6" i="8"/>
  <c r="V12" i="8" s="1"/>
  <c r="V23" i="8" s="1"/>
  <c r="V77" i="8" s="1"/>
  <c r="AT5" i="2" l="1"/>
  <c r="AB23" i="8"/>
  <c r="AB19" i="8"/>
  <c r="AB21" i="8"/>
  <c r="AB20" i="8"/>
  <c r="AA23" i="8"/>
  <c r="AA26" i="8" s="1"/>
  <c r="AA21" i="8"/>
  <c r="AA19" i="8"/>
  <c r="AA20" i="8"/>
  <c r="AD17" i="8"/>
  <c r="AD12" i="8"/>
  <c r="AD20" i="8" s="1"/>
  <c r="AD23" i="8"/>
  <c r="AD24" i="8" s="1"/>
  <c r="AD21" i="8"/>
  <c r="AD19" i="8"/>
  <c r="K44" i="2"/>
  <c r="K79" i="2"/>
  <c r="K37" i="2"/>
  <c r="K80" i="2"/>
  <c r="K82" i="2"/>
  <c r="J35" i="2"/>
  <c r="J43" i="2"/>
  <c r="X82" i="2"/>
  <c r="X37" i="2"/>
  <c r="X79" i="2"/>
  <c r="X44" i="2"/>
  <c r="X80" i="2"/>
  <c r="U80" i="2"/>
  <c r="U82" i="2"/>
  <c r="U79" i="2"/>
  <c r="U44" i="2"/>
  <c r="U37" i="2"/>
  <c r="E44" i="2"/>
  <c r="E82" i="2"/>
  <c r="E37" i="2"/>
  <c r="P82" i="2"/>
  <c r="P37" i="2"/>
  <c r="P79" i="2"/>
  <c r="P80" i="2"/>
  <c r="P44" i="2"/>
  <c r="W79" i="2"/>
  <c r="W82" i="2"/>
  <c r="W37" i="2"/>
  <c r="W80" i="2"/>
  <c r="W44" i="2"/>
  <c r="O82" i="2"/>
  <c r="O37" i="2"/>
  <c r="O79" i="2"/>
  <c r="O80" i="2"/>
  <c r="O44" i="2"/>
  <c r="D44" i="2"/>
  <c r="D82" i="2"/>
  <c r="D37" i="2"/>
  <c r="M80" i="2"/>
  <c r="M79" i="2"/>
  <c r="M37" i="2"/>
  <c r="M82" i="2"/>
  <c r="M44" i="2"/>
  <c r="Q79" i="2"/>
  <c r="Q44" i="2"/>
  <c r="Q37" i="2"/>
  <c r="Q80" i="2"/>
  <c r="Q82" i="2"/>
  <c r="L44" i="2"/>
  <c r="L80" i="2"/>
  <c r="L79" i="2"/>
  <c r="L37" i="2"/>
  <c r="L82" i="2"/>
  <c r="R35" i="2"/>
  <c r="R43" i="2"/>
  <c r="T44" i="2"/>
  <c r="T80" i="2"/>
  <c r="T79" i="2"/>
  <c r="T82" i="2"/>
  <c r="T37" i="2"/>
  <c r="M44" i="9"/>
  <c r="M80" i="9"/>
  <c r="M82" i="9"/>
  <c r="M37" i="9"/>
  <c r="M79" i="9"/>
  <c r="P80" i="9"/>
  <c r="P82" i="9"/>
  <c r="P79" i="9"/>
  <c r="P44" i="9"/>
  <c r="P37" i="9"/>
  <c r="J82" i="9"/>
  <c r="J37" i="9"/>
  <c r="J79" i="9"/>
  <c r="J80" i="9"/>
  <c r="J44" i="9"/>
  <c r="R82" i="9"/>
  <c r="R37" i="9"/>
  <c r="R79" i="9"/>
  <c r="R80" i="9"/>
  <c r="R44" i="9"/>
  <c r="Q82" i="9"/>
  <c r="Q37" i="9"/>
  <c r="Q79" i="9"/>
  <c r="Q44" i="9"/>
  <c r="Q80" i="9"/>
  <c r="I82" i="9"/>
  <c r="I37" i="9"/>
  <c r="I79" i="9"/>
  <c r="I44" i="9"/>
  <c r="I80" i="9"/>
  <c r="X80" i="9"/>
  <c r="X82" i="9"/>
  <c r="X37" i="9"/>
  <c r="X79" i="9"/>
  <c r="X44" i="9"/>
  <c r="U44" i="9"/>
  <c r="U80" i="9"/>
  <c r="U82" i="9"/>
  <c r="U37" i="9"/>
  <c r="U79" i="9"/>
  <c r="H80" i="9"/>
  <c r="H82" i="9"/>
  <c r="H37" i="9"/>
  <c r="H79" i="9"/>
  <c r="H44" i="9"/>
  <c r="F44" i="9"/>
  <c r="F80" i="9"/>
  <c r="F79" i="9"/>
  <c r="F37" i="9"/>
  <c r="F82" i="9"/>
  <c r="V35" i="9"/>
  <c r="V43" i="9"/>
  <c r="N35" i="9"/>
  <c r="N43" i="9"/>
  <c r="AP6" i="2"/>
  <c r="AP12" i="2"/>
  <c r="AP19" i="2" s="1"/>
  <c r="AQ6" i="2"/>
  <c r="AQ12" i="2"/>
  <c r="AQ19" i="2" s="1"/>
  <c r="AM6" i="2"/>
  <c r="AM12" i="2"/>
  <c r="AM20" i="2" s="1"/>
  <c r="AO6" i="2"/>
  <c r="AN6" i="2"/>
  <c r="AN12" i="2"/>
  <c r="AN20" i="2" s="1"/>
  <c r="Z12" i="8"/>
  <c r="AD27" i="8"/>
  <c r="AD26" i="8"/>
  <c r="AD25" i="8"/>
  <c r="AB25" i="8"/>
  <c r="AB27" i="8"/>
  <c r="AB24" i="8"/>
  <c r="AB26" i="8"/>
  <c r="AA24" i="8"/>
  <c r="AA27" i="8"/>
  <c r="AA25" i="8"/>
  <c r="BA11" i="8"/>
  <c r="L30" i="8"/>
  <c r="L33" i="8" s="1"/>
  <c r="L35" i="8" s="1"/>
  <c r="L82" i="8" s="1"/>
  <c r="W30" i="8"/>
  <c r="K39" i="8"/>
  <c r="K33" i="8"/>
  <c r="AQ23" i="8"/>
  <c r="AQ40" i="8" s="1"/>
  <c r="V41" i="8"/>
  <c r="AP12" i="8"/>
  <c r="R23" i="8"/>
  <c r="V40" i="8"/>
  <c r="U77" i="8"/>
  <c r="U41" i="8"/>
  <c r="U40" i="8"/>
  <c r="U25" i="8"/>
  <c r="AQ12" i="8"/>
  <c r="T77" i="8"/>
  <c r="T41" i="8"/>
  <c r="T40" i="8"/>
  <c r="T25" i="8"/>
  <c r="T39" i="8" s="1"/>
  <c r="V89" i="8"/>
  <c r="V25" i="8"/>
  <c r="V39" i="8" s="1"/>
  <c r="L37" i="8"/>
  <c r="L80" i="8"/>
  <c r="L79" i="8"/>
  <c r="AO14" i="2"/>
  <c r="AN19" i="2"/>
  <c r="AQ20" i="2"/>
  <c r="AN14" i="2"/>
  <c r="AR4" i="2"/>
  <c r="AQ14" i="2"/>
  <c r="AP14" i="2"/>
  <c r="AP20" i="2"/>
  <c r="Z17" i="2"/>
  <c r="AR4" i="9"/>
  <c r="AR5" i="9"/>
  <c r="AS5" i="9" s="1"/>
  <c r="AT5" i="9" s="1"/>
  <c r="AU5" i="9" s="1"/>
  <c r="AN6" i="8"/>
  <c r="R17" i="8"/>
  <c r="AP6" i="8"/>
  <c r="AP19" i="8" s="1"/>
  <c r="AM87" i="8"/>
  <c r="Z17" i="8"/>
  <c r="AN87" i="8"/>
  <c r="AQ15" i="8"/>
  <c r="AQ87" i="8"/>
  <c r="L42" i="8"/>
  <c r="L43" i="8"/>
  <c r="L44" i="8"/>
  <c r="AQ25" i="8"/>
  <c r="AQ39" i="8" s="1"/>
  <c r="V30" i="8"/>
  <c r="V42" i="8" s="1"/>
  <c r="AP87" i="8"/>
  <c r="Q30" i="8"/>
  <c r="Q42" i="8" s="1"/>
  <c r="AQ14" i="8"/>
  <c r="AR4" i="8"/>
  <c r="P33" i="8"/>
  <c r="P43" i="8" s="1"/>
  <c r="R28" i="8"/>
  <c r="AS5" i="8"/>
  <c r="AT5" i="8" s="1"/>
  <c r="AU5" i="8" s="1"/>
  <c r="AV5" i="8" s="1"/>
  <c r="AW5" i="8" s="1"/>
  <c r="AX5" i="8" s="1"/>
  <c r="AY5" i="8" s="1"/>
  <c r="AZ5" i="8" s="1"/>
  <c r="BA5" i="8" s="1"/>
  <c r="AO87" i="8"/>
  <c r="O42" i="8"/>
  <c r="O33" i="8"/>
  <c r="V17" i="8"/>
  <c r="AQ6" i="8"/>
  <c r="AQ19" i="8" s="1"/>
  <c r="W42" i="8"/>
  <c r="W33" i="8"/>
  <c r="AM6" i="8"/>
  <c r="AM12" i="8" s="1"/>
  <c r="J17" i="8"/>
  <c r="K43" i="8"/>
  <c r="K35" i="8"/>
  <c r="N17" i="8"/>
  <c r="AO6" i="8"/>
  <c r="Z23" i="8" l="1"/>
  <c r="Z21" i="8"/>
  <c r="Z19" i="8"/>
  <c r="Z20" i="8"/>
  <c r="R44" i="2"/>
  <c r="R80" i="2"/>
  <c r="R82" i="2"/>
  <c r="R37" i="2"/>
  <c r="R79" i="2"/>
  <c r="J44" i="2"/>
  <c r="J82" i="2"/>
  <c r="J79" i="2"/>
  <c r="J80" i="2"/>
  <c r="J37" i="2"/>
  <c r="AQ16" i="2"/>
  <c r="AN16" i="2"/>
  <c r="AM19" i="2"/>
  <c r="N44" i="9"/>
  <c r="N80" i="9"/>
  <c r="N79" i="9"/>
  <c r="N37" i="9"/>
  <c r="N82" i="9"/>
  <c r="V44" i="9"/>
  <c r="V80" i="9"/>
  <c r="V79" i="9"/>
  <c r="V37" i="9"/>
  <c r="V82" i="9"/>
  <c r="AO12" i="2"/>
  <c r="AO19" i="2" s="1"/>
  <c r="AQ17" i="8"/>
  <c r="AD30" i="8"/>
  <c r="AD42" i="8" s="1"/>
  <c r="Z24" i="8"/>
  <c r="Z27" i="8"/>
  <c r="Z26" i="8"/>
  <c r="Z25" i="8"/>
  <c r="Z30" i="8" s="1"/>
  <c r="Z42" i="8" s="1"/>
  <c r="AB30" i="8"/>
  <c r="AB42" i="8" s="1"/>
  <c r="AA30" i="8"/>
  <c r="AA42" i="8" s="1"/>
  <c r="AP20" i="8"/>
  <c r="AN20" i="8"/>
  <c r="AN12" i="8"/>
  <c r="AN17" i="8" s="1"/>
  <c r="R77" i="8"/>
  <c r="AP23" i="8"/>
  <c r="R89" i="8"/>
  <c r="R41" i="8"/>
  <c r="R40" i="8"/>
  <c r="R25" i="8"/>
  <c r="AN19" i="8"/>
  <c r="U39" i="8"/>
  <c r="U30" i="8"/>
  <c r="AQ77" i="8"/>
  <c r="AQ41" i="8"/>
  <c r="K80" i="8"/>
  <c r="K79" i="8"/>
  <c r="AR6" i="2"/>
  <c r="AR12" i="2" s="1"/>
  <c r="AR19" i="2" s="1"/>
  <c r="AS4" i="2"/>
  <c r="AS12" i="2" s="1"/>
  <c r="AO16" i="2"/>
  <c r="AO20" i="2"/>
  <c r="AP16" i="2"/>
  <c r="AR6" i="9"/>
  <c r="AS4" i="9"/>
  <c r="AS6" i="9" s="1"/>
  <c r="V33" i="8"/>
  <c r="Q33" i="8"/>
  <c r="Q35" i="8" s="1"/>
  <c r="AS4" i="8"/>
  <c r="AR6" i="8"/>
  <c r="AR12" i="8" s="1"/>
  <c r="AM20" i="8"/>
  <c r="AM19" i="8"/>
  <c r="AO19" i="8"/>
  <c r="AO20" i="8"/>
  <c r="P35" i="8"/>
  <c r="AQ20" i="8"/>
  <c r="AP28" i="8"/>
  <c r="S28" i="8"/>
  <c r="AV5" i="9"/>
  <c r="K82" i="8"/>
  <c r="K44" i="8"/>
  <c r="K37" i="8"/>
  <c r="O43" i="8"/>
  <c r="O35" i="8"/>
  <c r="W43" i="8"/>
  <c r="W35" i="8"/>
  <c r="G1433" i="3"/>
  <c r="G1432" i="3"/>
  <c r="G1431" i="3"/>
  <c r="G1430" i="3"/>
  <c r="G1429" i="3"/>
  <c r="G1428" i="3"/>
  <c r="G1427" i="3"/>
  <c r="G1426" i="3"/>
  <c r="G1425" i="3"/>
  <c r="G1424" i="3"/>
  <c r="G1423" i="3"/>
  <c r="G1422" i="3"/>
  <c r="G1421" i="3"/>
  <c r="G1420" i="3"/>
  <c r="G1419" i="3"/>
  <c r="G1418" i="3"/>
  <c r="G1417" i="3"/>
  <c r="G1416" i="3"/>
  <c r="G1415" i="3"/>
  <c r="G1414" i="3"/>
  <c r="G1413" i="3"/>
  <c r="G1412" i="3"/>
  <c r="G1411" i="3"/>
  <c r="G1410" i="3"/>
  <c r="G1409" i="3"/>
  <c r="G1408" i="3"/>
  <c r="G1407" i="3"/>
  <c r="G1406" i="3"/>
  <c r="G1405" i="3"/>
  <c r="G1404" i="3"/>
  <c r="G1403" i="3"/>
  <c r="G1402" i="3"/>
  <c r="G1401" i="3"/>
  <c r="G1400" i="3"/>
  <c r="G1399" i="3"/>
  <c r="G1398" i="3"/>
  <c r="G1397" i="3"/>
  <c r="G1396" i="3"/>
  <c r="G1395" i="3"/>
  <c r="G1394" i="3"/>
  <c r="G1393" i="3"/>
  <c r="G1392" i="3"/>
  <c r="G1391" i="3"/>
  <c r="G1390" i="3"/>
  <c r="G1389" i="3"/>
  <c r="G1388" i="3"/>
  <c r="G1387" i="3"/>
  <c r="G1386" i="3"/>
  <c r="G1385" i="3"/>
  <c r="G1384" i="3"/>
  <c r="G1383" i="3"/>
  <c r="G1382" i="3"/>
  <c r="G1381" i="3"/>
  <c r="G1380" i="3"/>
  <c r="G1379" i="3"/>
  <c r="G1378" i="3"/>
  <c r="G1377" i="3"/>
  <c r="G1376" i="3"/>
  <c r="G1375" i="3"/>
  <c r="G1374" i="3"/>
  <c r="G1373" i="3"/>
  <c r="G1372" i="3"/>
  <c r="G1371" i="3"/>
  <c r="G1370" i="3"/>
  <c r="G1369" i="3"/>
  <c r="G1368" i="3"/>
  <c r="G1367" i="3"/>
  <c r="G1366" i="3"/>
  <c r="G1365" i="3"/>
  <c r="G1364" i="3"/>
  <c r="G1363" i="3"/>
  <c r="G1362" i="3"/>
  <c r="G1361" i="3"/>
  <c r="G1360" i="3"/>
  <c r="G1359" i="3"/>
  <c r="G1358" i="3"/>
  <c r="G1357" i="3"/>
  <c r="G1356" i="3"/>
  <c r="G1355" i="3"/>
  <c r="G1354" i="3"/>
  <c r="G1353" i="3"/>
  <c r="G1352" i="3"/>
  <c r="G1351" i="3"/>
  <c r="G1350" i="3"/>
  <c r="G1349" i="3"/>
  <c r="G1348" i="3"/>
  <c r="G1347" i="3"/>
  <c r="G1346" i="3"/>
  <c r="G1345" i="3"/>
  <c r="G1344" i="3"/>
  <c r="G1343" i="3"/>
  <c r="G1342" i="3"/>
  <c r="G1341" i="3"/>
  <c r="G1340" i="3"/>
  <c r="G1339" i="3"/>
  <c r="G1338" i="3"/>
  <c r="G1337" i="3"/>
  <c r="G1336" i="3"/>
  <c r="G1335" i="3"/>
  <c r="G1334" i="3"/>
  <c r="G1333" i="3"/>
  <c r="G1332" i="3"/>
  <c r="G1331" i="3"/>
  <c r="G1330" i="3"/>
  <c r="G1329" i="3"/>
  <c r="G1328" i="3"/>
  <c r="G1327" i="3"/>
  <c r="G1326" i="3"/>
  <c r="G1325" i="3"/>
  <c r="G1324" i="3"/>
  <c r="G1323" i="3"/>
  <c r="G1322" i="3"/>
  <c r="G1321" i="3"/>
  <c r="G1320" i="3"/>
  <c r="G1319" i="3"/>
  <c r="G1318" i="3"/>
  <c r="G1317" i="3"/>
  <c r="G1316" i="3"/>
  <c r="G1315" i="3"/>
  <c r="G1314" i="3"/>
  <c r="G1313" i="3"/>
  <c r="G1312" i="3"/>
  <c r="G1311" i="3"/>
  <c r="G1310" i="3"/>
  <c r="G1309" i="3"/>
  <c r="G1308" i="3"/>
  <c r="G1307" i="3"/>
  <c r="G1306" i="3"/>
  <c r="G1305" i="3"/>
  <c r="G1304" i="3"/>
  <c r="G1303" i="3"/>
  <c r="G1302" i="3"/>
  <c r="G1301" i="3"/>
  <c r="G1300" i="3"/>
  <c r="G1299" i="3"/>
  <c r="G1298" i="3"/>
  <c r="G1297" i="3"/>
  <c r="G1296" i="3"/>
  <c r="G1295" i="3"/>
  <c r="G1294" i="3"/>
  <c r="G1293" i="3"/>
  <c r="G1292" i="3"/>
  <c r="G1291" i="3"/>
  <c r="G1290" i="3"/>
  <c r="G1289" i="3"/>
  <c r="G1288" i="3"/>
  <c r="G1287" i="3"/>
  <c r="G1286" i="3"/>
  <c r="G1285" i="3"/>
  <c r="G1284" i="3"/>
  <c r="G1283" i="3"/>
  <c r="G1282" i="3"/>
  <c r="G1281" i="3"/>
  <c r="G1280" i="3"/>
  <c r="G1279" i="3"/>
  <c r="G1278" i="3"/>
  <c r="G1277" i="3"/>
  <c r="G1276" i="3"/>
  <c r="G1275" i="3"/>
  <c r="G1274" i="3"/>
  <c r="G1273" i="3"/>
  <c r="G1272" i="3"/>
  <c r="G1271" i="3"/>
  <c r="G1270" i="3"/>
  <c r="G1269" i="3"/>
  <c r="G1268" i="3"/>
  <c r="G1267" i="3"/>
  <c r="G1266" i="3"/>
  <c r="G1265" i="3"/>
  <c r="G1264" i="3"/>
  <c r="G1263" i="3"/>
  <c r="G1262" i="3"/>
  <c r="G1261" i="3"/>
  <c r="G1260" i="3"/>
  <c r="G1259" i="3"/>
  <c r="G1258" i="3"/>
  <c r="G1257" i="3"/>
  <c r="G1256" i="3"/>
  <c r="G1255" i="3"/>
  <c r="G1254" i="3"/>
  <c r="G1253" i="3"/>
  <c r="G1252" i="3"/>
  <c r="G1251" i="3"/>
  <c r="G1250" i="3"/>
  <c r="G1249" i="3"/>
  <c r="G1248" i="3"/>
  <c r="G1247" i="3"/>
  <c r="G1246" i="3"/>
  <c r="G1245" i="3"/>
  <c r="G1244" i="3"/>
  <c r="G1243" i="3"/>
  <c r="G1242" i="3"/>
  <c r="G1241" i="3"/>
  <c r="G1240" i="3"/>
  <c r="G1239" i="3"/>
  <c r="G1238" i="3"/>
  <c r="G1237" i="3"/>
  <c r="G1236" i="3"/>
  <c r="G1235" i="3"/>
  <c r="G1234" i="3"/>
  <c r="G1233" i="3"/>
  <c r="G1232" i="3"/>
  <c r="G1231" i="3"/>
  <c r="G1230" i="3"/>
  <c r="G1229" i="3"/>
  <c r="G1228" i="3"/>
  <c r="G1227" i="3"/>
  <c r="G1226" i="3"/>
  <c r="G1225" i="3"/>
  <c r="G1224" i="3"/>
  <c r="G1223" i="3"/>
  <c r="G1222" i="3"/>
  <c r="G1221" i="3"/>
  <c r="G1220" i="3"/>
  <c r="G1219" i="3"/>
  <c r="G1218" i="3"/>
  <c r="G1217" i="3"/>
  <c r="G1216" i="3"/>
  <c r="G1215" i="3"/>
  <c r="G1214" i="3"/>
  <c r="G1213" i="3"/>
  <c r="G1212" i="3"/>
  <c r="G1211" i="3"/>
  <c r="G1210" i="3"/>
  <c r="G1209" i="3"/>
  <c r="G1208" i="3"/>
  <c r="G1207" i="3"/>
  <c r="G1206" i="3"/>
  <c r="G1205" i="3"/>
  <c r="G1204" i="3"/>
  <c r="G1203" i="3"/>
  <c r="G1202" i="3"/>
  <c r="G1201" i="3"/>
  <c r="G1200" i="3"/>
  <c r="G1199" i="3"/>
  <c r="G1198" i="3"/>
  <c r="G1197" i="3"/>
  <c r="G1196" i="3"/>
  <c r="G1195" i="3"/>
  <c r="G1194" i="3"/>
  <c r="G1193" i="3"/>
  <c r="G1192" i="3"/>
  <c r="G1191" i="3"/>
  <c r="G1190" i="3"/>
  <c r="G1189" i="3"/>
  <c r="G1188" i="3"/>
  <c r="G1187" i="3"/>
  <c r="G1186" i="3"/>
  <c r="G1185" i="3"/>
  <c r="G1184" i="3"/>
  <c r="G1183" i="3"/>
  <c r="G1182" i="3"/>
  <c r="G1181" i="3"/>
  <c r="G1180" i="3"/>
  <c r="G1179" i="3"/>
  <c r="G1178" i="3"/>
  <c r="G1177" i="3"/>
  <c r="G1176" i="3"/>
  <c r="G1175" i="3"/>
  <c r="G1174" i="3"/>
  <c r="G1173" i="3"/>
  <c r="G1172" i="3"/>
  <c r="G1171" i="3"/>
  <c r="G1170" i="3"/>
  <c r="G1169" i="3"/>
  <c r="G1168" i="3"/>
  <c r="G1167" i="3"/>
  <c r="G1166" i="3"/>
  <c r="G1165" i="3"/>
  <c r="G1164" i="3"/>
  <c r="G1163" i="3"/>
  <c r="G1162" i="3"/>
  <c r="G1161" i="3"/>
  <c r="G1160" i="3"/>
  <c r="G1159" i="3"/>
  <c r="G1158" i="3"/>
  <c r="G1157" i="3"/>
  <c r="G1156" i="3"/>
  <c r="G1155" i="3"/>
  <c r="G1154" i="3"/>
  <c r="G1153" i="3"/>
  <c r="G1152" i="3"/>
  <c r="G1151" i="3"/>
  <c r="G1150" i="3"/>
  <c r="G1149" i="3"/>
  <c r="G1148" i="3"/>
  <c r="G1147" i="3"/>
  <c r="G1146" i="3"/>
  <c r="G1145" i="3"/>
  <c r="G1144" i="3"/>
  <c r="G1143" i="3"/>
  <c r="G1142" i="3"/>
  <c r="G1141" i="3"/>
  <c r="G1140" i="3"/>
  <c r="G1139" i="3"/>
  <c r="G1138" i="3"/>
  <c r="G1137" i="3"/>
  <c r="G1136" i="3"/>
  <c r="G1135" i="3"/>
  <c r="G1134" i="3"/>
  <c r="G1133" i="3"/>
  <c r="G1132" i="3"/>
  <c r="G1131" i="3"/>
  <c r="G1130" i="3"/>
  <c r="G1129" i="3"/>
  <c r="G1128" i="3"/>
  <c r="G1127" i="3"/>
  <c r="G1126" i="3"/>
  <c r="G1125" i="3"/>
  <c r="G1124" i="3"/>
  <c r="G1123" i="3"/>
  <c r="G1122" i="3"/>
  <c r="G1121" i="3"/>
  <c r="G1120" i="3"/>
  <c r="G1119" i="3"/>
  <c r="G1118" i="3"/>
  <c r="G1117" i="3"/>
  <c r="G1116" i="3"/>
  <c r="G1115" i="3"/>
  <c r="G1114" i="3"/>
  <c r="G1113" i="3"/>
  <c r="G1112" i="3"/>
  <c r="G1111" i="3"/>
  <c r="G1110" i="3"/>
  <c r="G1109" i="3"/>
  <c r="G1108" i="3"/>
  <c r="G1107" i="3"/>
  <c r="G1106" i="3"/>
  <c r="G1105" i="3"/>
  <c r="G1104" i="3"/>
  <c r="G1103" i="3"/>
  <c r="G1102" i="3"/>
  <c r="G1101" i="3"/>
  <c r="G1100" i="3"/>
  <c r="G1099" i="3"/>
  <c r="G1098" i="3"/>
  <c r="G1097" i="3"/>
  <c r="G1096" i="3"/>
  <c r="G1095" i="3"/>
  <c r="G1094" i="3"/>
  <c r="G1093" i="3"/>
  <c r="G1092" i="3"/>
  <c r="G1091" i="3"/>
  <c r="G1090" i="3"/>
  <c r="G1089" i="3"/>
  <c r="G1088" i="3"/>
  <c r="G1087" i="3"/>
  <c r="G1086" i="3"/>
  <c r="G1085" i="3"/>
  <c r="G1084" i="3"/>
  <c r="G1083" i="3"/>
  <c r="G1082" i="3"/>
  <c r="G1081" i="3"/>
  <c r="G1080" i="3"/>
  <c r="G1079" i="3"/>
  <c r="G1078" i="3"/>
  <c r="G1077" i="3"/>
  <c r="G1076" i="3"/>
  <c r="G1075" i="3"/>
  <c r="G1074" i="3"/>
  <c r="G1073" i="3"/>
  <c r="G1072" i="3"/>
  <c r="G1071" i="3"/>
  <c r="G1070" i="3"/>
  <c r="G1069" i="3"/>
  <c r="G1068" i="3"/>
  <c r="G1067" i="3"/>
  <c r="G1066" i="3"/>
  <c r="G1065" i="3"/>
  <c r="G1064" i="3"/>
  <c r="G1063" i="3"/>
  <c r="G1062" i="3"/>
  <c r="G1061" i="3"/>
  <c r="G1060" i="3"/>
  <c r="G1059" i="3"/>
  <c r="G1058" i="3"/>
  <c r="G1057" i="3"/>
  <c r="G1056" i="3"/>
  <c r="G1055" i="3"/>
  <c r="G1054" i="3"/>
  <c r="G1053" i="3"/>
  <c r="G1052" i="3"/>
  <c r="G1051" i="3"/>
  <c r="G1050" i="3"/>
  <c r="G1049" i="3"/>
  <c r="G1048" i="3"/>
  <c r="G1047" i="3"/>
  <c r="G1046" i="3"/>
  <c r="G1045" i="3"/>
  <c r="G1044" i="3"/>
  <c r="G1043" i="3"/>
  <c r="G1042" i="3"/>
  <c r="G1041" i="3"/>
  <c r="G1040" i="3"/>
  <c r="G1039" i="3"/>
  <c r="G1038" i="3"/>
  <c r="G1037" i="3"/>
  <c r="G1036" i="3"/>
  <c r="G1035" i="3"/>
  <c r="G1034" i="3"/>
  <c r="G1033" i="3"/>
  <c r="G1032" i="3"/>
  <c r="G1031" i="3"/>
  <c r="G1030" i="3"/>
  <c r="G1029" i="3"/>
  <c r="G1028" i="3"/>
  <c r="G1027" i="3"/>
  <c r="G1026" i="3"/>
  <c r="G1025" i="3"/>
  <c r="G1024" i="3"/>
  <c r="G1023" i="3"/>
  <c r="G1022" i="3"/>
  <c r="G1021" i="3"/>
  <c r="G1020" i="3"/>
  <c r="G1019" i="3"/>
  <c r="G1018" i="3"/>
  <c r="G1017" i="3"/>
  <c r="G1016" i="3"/>
  <c r="G1015" i="3"/>
  <c r="G1014" i="3"/>
  <c r="G1013" i="3"/>
  <c r="G1012" i="3"/>
  <c r="G1011" i="3"/>
  <c r="G1010" i="3"/>
  <c r="G1009" i="3"/>
  <c r="G1008" i="3"/>
  <c r="G1007" i="3"/>
  <c r="G1006" i="3"/>
  <c r="G1005" i="3"/>
  <c r="G1004" i="3"/>
  <c r="G1003" i="3"/>
  <c r="G1002" i="3"/>
  <c r="G1001" i="3"/>
  <c r="G1000" i="3"/>
  <c r="G999" i="3"/>
  <c r="G998" i="3"/>
  <c r="G997" i="3"/>
  <c r="G996" i="3"/>
  <c r="G995" i="3"/>
  <c r="G994" i="3"/>
  <c r="G993" i="3"/>
  <c r="G992" i="3"/>
  <c r="G991" i="3"/>
  <c r="G990" i="3"/>
  <c r="G989" i="3"/>
  <c r="G988" i="3"/>
  <c r="G987" i="3"/>
  <c r="G986" i="3"/>
  <c r="G985" i="3"/>
  <c r="G984" i="3"/>
  <c r="G983" i="3"/>
  <c r="G982" i="3"/>
  <c r="G981" i="3"/>
  <c r="G980" i="3"/>
  <c r="G979" i="3"/>
  <c r="G978" i="3"/>
  <c r="G977" i="3"/>
  <c r="G976" i="3"/>
  <c r="G975" i="3"/>
  <c r="G974" i="3"/>
  <c r="G973" i="3"/>
  <c r="G972" i="3"/>
  <c r="G971" i="3"/>
  <c r="G970" i="3"/>
  <c r="G969" i="3"/>
  <c r="G968" i="3"/>
  <c r="G967" i="3"/>
  <c r="G966" i="3"/>
  <c r="G965" i="3"/>
  <c r="G964" i="3"/>
  <c r="G963" i="3"/>
  <c r="G962" i="3"/>
  <c r="G961" i="3"/>
  <c r="G960" i="3"/>
  <c r="G959" i="3"/>
  <c r="G958" i="3"/>
  <c r="G957" i="3"/>
  <c r="G956" i="3"/>
  <c r="G955" i="3"/>
  <c r="G954" i="3"/>
  <c r="G953" i="3"/>
  <c r="G952" i="3"/>
  <c r="G951" i="3"/>
  <c r="G950" i="3"/>
  <c r="G949" i="3"/>
  <c r="G948" i="3"/>
  <c r="G947" i="3"/>
  <c r="G946" i="3"/>
  <c r="G945" i="3"/>
  <c r="G944" i="3"/>
  <c r="G943" i="3"/>
  <c r="G942" i="3"/>
  <c r="G941" i="3"/>
  <c r="G940" i="3"/>
  <c r="G939" i="3"/>
  <c r="G938" i="3"/>
  <c r="G937" i="3"/>
  <c r="G936" i="3"/>
  <c r="G935" i="3"/>
  <c r="G934" i="3"/>
  <c r="G933" i="3"/>
  <c r="G932" i="3"/>
  <c r="G931" i="3"/>
  <c r="G930" i="3"/>
  <c r="G929" i="3"/>
  <c r="G928" i="3"/>
  <c r="G927" i="3"/>
  <c r="G926" i="3"/>
  <c r="G925" i="3"/>
  <c r="G924" i="3"/>
  <c r="G923" i="3"/>
  <c r="G922" i="3"/>
  <c r="G921" i="3"/>
  <c r="G920" i="3"/>
  <c r="G919" i="3"/>
  <c r="G918" i="3"/>
  <c r="G917" i="3"/>
  <c r="G916" i="3"/>
  <c r="G915" i="3"/>
  <c r="G914" i="3"/>
  <c r="G913" i="3"/>
  <c r="G912" i="3"/>
  <c r="G911" i="3"/>
  <c r="G910" i="3"/>
  <c r="G909" i="3"/>
  <c r="G908" i="3"/>
  <c r="G907" i="3"/>
  <c r="G906" i="3"/>
  <c r="G905" i="3"/>
  <c r="G904" i="3"/>
  <c r="G903" i="3"/>
  <c r="G902" i="3"/>
  <c r="G901" i="3"/>
  <c r="G900" i="3"/>
  <c r="G899" i="3"/>
  <c r="G898" i="3"/>
  <c r="G897" i="3"/>
  <c r="G896" i="3"/>
  <c r="G895" i="3"/>
  <c r="G894" i="3"/>
  <c r="G893" i="3"/>
  <c r="G892" i="3"/>
  <c r="G891" i="3"/>
  <c r="G890" i="3"/>
  <c r="G889" i="3"/>
  <c r="G888" i="3"/>
  <c r="G887" i="3"/>
  <c r="G886" i="3"/>
  <c r="G885" i="3"/>
  <c r="G884" i="3"/>
  <c r="G883" i="3"/>
  <c r="G882" i="3"/>
  <c r="G881" i="3"/>
  <c r="G880" i="3"/>
  <c r="G879" i="3"/>
  <c r="G878" i="3"/>
  <c r="G877" i="3"/>
  <c r="G876" i="3"/>
  <c r="G875" i="3"/>
  <c r="G874" i="3"/>
  <c r="G873" i="3"/>
  <c r="G872" i="3"/>
  <c r="G871" i="3"/>
  <c r="G870" i="3"/>
  <c r="G869" i="3"/>
  <c r="G868" i="3"/>
  <c r="G867" i="3"/>
  <c r="G866" i="3"/>
  <c r="G865" i="3"/>
  <c r="G864" i="3"/>
  <c r="G863" i="3"/>
  <c r="G862" i="3"/>
  <c r="G861" i="3"/>
  <c r="G860" i="3"/>
  <c r="G859" i="3"/>
  <c r="G858" i="3"/>
  <c r="G857" i="3"/>
  <c r="G856" i="3"/>
  <c r="G855" i="3"/>
  <c r="G854" i="3"/>
  <c r="G853" i="3"/>
  <c r="G852" i="3"/>
  <c r="G851" i="3"/>
  <c r="G850" i="3"/>
  <c r="G849" i="3"/>
  <c r="G848" i="3"/>
  <c r="G847" i="3"/>
  <c r="G846" i="3"/>
  <c r="G845" i="3"/>
  <c r="G844" i="3"/>
  <c r="G843" i="3"/>
  <c r="G842" i="3"/>
  <c r="G841" i="3"/>
  <c r="G840" i="3"/>
  <c r="G839" i="3"/>
  <c r="G838" i="3"/>
  <c r="G837" i="3"/>
  <c r="G836" i="3"/>
  <c r="G835" i="3"/>
  <c r="G834" i="3"/>
  <c r="G833" i="3"/>
  <c r="G832" i="3"/>
  <c r="G831" i="3"/>
  <c r="G830" i="3"/>
  <c r="G829" i="3"/>
  <c r="G828" i="3"/>
  <c r="G827" i="3"/>
  <c r="G826" i="3"/>
  <c r="G825" i="3"/>
  <c r="G824" i="3"/>
  <c r="G823" i="3"/>
  <c r="G822" i="3"/>
  <c r="G821" i="3"/>
  <c r="G820" i="3"/>
  <c r="G819" i="3"/>
  <c r="G818" i="3"/>
  <c r="G817" i="3"/>
  <c r="G816" i="3"/>
  <c r="G815" i="3"/>
  <c r="G814" i="3"/>
  <c r="G813" i="3"/>
  <c r="G812" i="3"/>
  <c r="G811" i="3"/>
  <c r="G810" i="3"/>
  <c r="G809" i="3"/>
  <c r="G808" i="3"/>
  <c r="G807" i="3"/>
  <c r="G806" i="3"/>
  <c r="G805" i="3"/>
  <c r="G804" i="3"/>
  <c r="G803" i="3"/>
  <c r="G802" i="3"/>
  <c r="G801" i="3"/>
  <c r="G800" i="3"/>
  <c r="G799" i="3"/>
  <c r="G798" i="3"/>
  <c r="G797" i="3"/>
  <c r="G796" i="3"/>
  <c r="G795" i="3"/>
  <c r="G794" i="3"/>
  <c r="G793" i="3"/>
  <c r="G792" i="3"/>
  <c r="G791" i="3"/>
  <c r="G790" i="3"/>
  <c r="G789" i="3"/>
  <c r="G788" i="3"/>
  <c r="G787" i="3"/>
  <c r="G786" i="3"/>
  <c r="G785" i="3"/>
  <c r="G784" i="3"/>
  <c r="G783" i="3"/>
  <c r="G782" i="3"/>
  <c r="G781" i="3"/>
  <c r="G780" i="3"/>
  <c r="G779" i="3"/>
  <c r="G778" i="3"/>
  <c r="G777" i="3"/>
  <c r="G776" i="3"/>
  <c r="G775" i="3"/>
  <c r="G774" i="3"/>
  <c r="G773" i="3"/>
  <c r="G772" i="3"/>
  <c r="G771" i="3"/>
  <c r="G770" i="3"/>
  <c r="G769" i="3"/>
  <c r="G768" i="3"/>
  <c r="G767" i="3"/>
  <c r="G766" i="3"/>
  <c r="G765" i="3"/>
  <c r="G764" i="3"/>
  <c r="G763" i="3"/>
  <c r="G762" i="3"/>
  <c r="G761" i="3"/>
  <c r="G760" i="3"/>
  <c r="G759" i="3"/>
  <c r="G758" i="3"/>
  <c r="G757" i="3"/>
  <c r="G756" i="3"/>
  <c r="G755" i="3"/>
  <c r="G754" i="3"/>
  <c r="G753" i="3"/>
  <c r="G752" i="3"/>
  <c r="G751" i="3"/>
  <c r="G750" i="3"/>
  <c r="G749" i="3"/>
  <c r="G748" i="3"/>
  <c r="G747" i="3"/>
  <c r="G746" i="3"/>
  <c r="G745" i="3"/>
  <c r="G744" i="3"/>
  <c r="G743" i="3"/>
  <c r="G742" i="3"/>
  <c r="G741" i="3"/>
  <c r="G740" i="3"/>
  <c r="G739" i="3"/>
  <c r="G738" i="3"/>
  <c r="G737" i="3"/>
  <c r="G736" i="3"/>
  <c r="G735" i="3"/>
  <c r="G734" i="3"/>
  <c r="G733" i="3"/>
  <c r="G732" i="3"/>
  <c r="G731" i="3"/>
  <c r="G730" i="3"/>
  <c r="G729" i="3"/>
  <c r="G728" i="3"/>
  <c r="G727" i="3"/>
  <c r="G726" i="3"/>
  <c r="G725" i="3"/>
  <c r="G724" i="3"/>
  <c r="G723" i="3"/>
  <c r="G722" i="3"/>
  <c r="G721" i="3"/>
  <c r="G720" i="3"/>
  <c r="G719" i="3"/>
  <c r="G718" i="3"/>
  <c r="G717" i="3"/>
  <c r="G716" i="3"/>
  <c r="G715" i="3"/>
  <c r="G714" i="3"/>
  <c r="G713" i="3"/>
  <c r="G712" i="3"/>
  <c r="G711" i="3"/>
  <c r="G710" i="3"/>
  <c r="G709" i="3"/>
  <c r="G708" i="3"/>
  <c r="G707" i="3"/>
  <c r="G706" i="3"/>
  <c r="G705" i="3"/>
  <c r="G704" i="3"/>
  <c r="G703" i="3"/>
  <c r="G702" i="3"/>
  <c r="G701" i="3"/>
  <c r="G700" i="3"/>
  <c r="G699" i="3"/>
  <c r="G698" i="3"/>
  <c r="G697" i="3"/>
  <c r="G696" i="3"/>
  <c r="G695" i="3"/>
  <c r="G694" i="3"/>
  <c r="G693" i="3"/>
  <c r="G692" i="3"/>
  <c r="G691" i="3"/>
  <c r="G690" i="3"/>
  <c r="G689" i="3"/>
  <c r="G688" i="3"/>
  <c r="G687" i="3"/>
  <c r="G686" i="3"/>
  <c r="G685" i="3"/>
  <c r="G684" i="3"/>
  <c r="G683" i="3"/>
  <c r="G682" i="3"/>
  <c r="G681" i="3"/>
  <c r="G680" i="3"/>
  <c r="G679" i="3"/>
  <c r="G678" i="3"/>
  <c r="G677" i="3"/>
  <c r="G676" i="3"/>
  <c r="G675" i="3"/>
  <c r="G674" i="3"/>
  <c r="G673" i="3"/>
  <c r="G672" i="3"/>
  <c r="G671" i="3"/>
  <c r="G670" i="3"/>
  <c r="G669" i="3"/>
  <c r="G668" i="3"/>
  <c r="G667" i="3"/>
  <c r="G666" i="3"/>
  <c r="G665" i="3"/>
  <c r="G664" i="3"/>
  <c r="G663" i="3"/>
  <c r="G662" i="3"/>
  <c r="G661" i="3"/>
  <c r="G660" i="3"/>
  <c r="G659" i="3"/>
  <c r="G658" i="3"/>
  <c r="G657" i="3"/>
  <c r="G656" i="3"/>
  <c r="G655" i="3"/>
  <c r="G654" i="3"/>
  <c r="G653" i="3"/>
  <c r="G652" i="3"/>
  <c r="G651" i="3"/>
  <c r="G650" i="3"/>
  <c r="G649" i="3"/>
  <c r="G648" i="3"/>
  <c r="G647" i="3"/>
  <c r="G646" i="3"/>
  <c r="G645" i="3"/>
  <c r="G644" i="3"/>
  <c r="G643" i="3"/>
  <c r="G642" i="3"/>
  <c r="G641" i="3"/>
  <c r="G640" i="3"/>
  <c r="G639" i="3"/>
  <c r="G638" i="3"/>
  <c r="G637" i="3"/>
  <c r="G636" i="3"/>
  <c r="G635" i="3"/>
  <c r="G634" i="3"/>
  <c r="G633" i="3"/>
  <c r="G632" i="3"/>
  <c r="G631" i="3"/>
  <c r="G630" i="3"/>
  <c r="G629" i="3"/>
  <c r="G628" i="3"/>
  <c r="G627" i="3"/>
  <c r="G626" i="3"/>
  <c r="G625" i="3"/>
  <c r="G624" i="3"/>
  <c r="G623" i="3"/>
  <c r="G622" i="3"/>
  <c r="G621" i="3"/>
  <c r="G620" i="3"/>
  <c r="G619" i="3"/>
  <c r="G618" i="3"/>
  <c r="G617" i="3"/>
  <c r="G616" i="3"/>
  <c r="G615" i="3"/>
  <c r="G614" i="3"/>
  <c r="G613" i="3"/>
  <c r="G612" i="3"/>
  <c r="G611" i="3"/>
  <c r="G610" i="3"/>
  <c r="G609" i="3"/>
  <c r="G608" i="3"/>
  <c r="G607" i="3"/>
  <c r="G606" i="3"/>
  <c r="G605" i="3"/>
  <c r="G604" i="3"/>
  <c r="G603" i="3"/>
  <c r="G602" i="3"/>
  <c r="G601" i="3"/>
  <c r="G600" i="3"/>
  <c r="G599" i="3"/>
  <c r="G598" i="3"/>
  <c r="G597" i="3"/>
  <c r="G596" i="3"/>
  <c r="G595" i="3"/>
  <c r="G594" i="3"/>
  <c r="G593" i="3"/>
  <c r="G592" i="3"/>
  <c r="G591" i="3"/>
  <c r="G590" i="3"/>
  <c r="G589" i="3"/>
  <c r="G588" i="3"/>
  <c r="G587" i="3"/>
  <c r="G586" i="3"/>
  <c r="G585" i="3"/>
  <c r="G584" i="3"/>
  <c r="G583" i="3"/>
  <c r="G582" i="3"/>
  <c r="G581" i="3"/>
  <c r="G580" i="3"/>
  <c r="G579" i="3"/>
  <c r="G578" i="3"/>
  <c r="G577" i="3"/>
  <c r="G576" i="3"/>
  <c r="G575" i="3"/>
  <c r="G574" i="3"/>
  <c r="G573" i="3"/>
  <c r="G572" i="3"/>
  <c r="G571" i="3"/>
  <c r="G570" i="3"/>
  <c r="G569" i="3"/>
  <c r="G568" i="3"/>
  <c r="G567" i="3"/>
  <c r="G566" i="3"/>
  <c r="G565" i="3"/>
  <c r="G564" i="3"/>
  <c r="G563" i="3"/>
  <c r="G562" i="3"/>
  <c r="G561" i="3"/>
  <c r="G560" i="3"/>
  <c r="G559" i="3"/>
  <c r="G558" i="3"/>
  <c r="G557" i="3"/>
  <c r="G556" i="3"/>
  <c r="G555" i="3"/>
  <c r="G554" i="3"/>
  <c r="G553" i="3"/>
  <c r="G552" i="3"/>
  <c r="G551" i="3"/>
  <c r="G550" i="3"/>
  <c r="G549" i="3"/>
  <c r="G548" i="3"/>
  <c r="G547" i="3"/>
  <c r="G546" i="3"/>
  <c r="G545" i="3"/>
  <c r="G544" i="3"/>
  <c r="G543" i="3"/>
  <c r="G542" i="3"/>
  <c r="G541" i="3"/>
  <c r="G540" i="3"/>
  <c r="G539" i="3"/>
  <c r="G538" i="3"/>
  <c r="G537" i="3"/>
  <c r="G536" i="3"/>
  <c r="G535" i="3"/>
  <c r="G534" i="3"/>
  <c r="G533" i="3"/>
  <c r="G532" i="3"/>
  <c r="G531" i="3"/>
  <c r="G530" i="3"/>
  <c r="G529" i="3"/>
  <c r="G528" i="3"/>
  <c r="G527" i="3"/>
  <c r="G526" i="3"/>
  <c r="G525" i="3"/>
  <c r="G524" i="3"/>
  <c r="G523" i="3"/>
  <c r="G522" i="3"/>
  <c r="G521" i="3"/>
  <c r="G520" i="3"/>
  <c r="G519" i="3"/>
  <c r="G518" i="3"/>
  <c r="G517" i="3"/>
  <c r="G516" i="3"/>
  <c r="G515" i="3"/>
  <c r="G514" i="3"/>
  <c r="G513" i="3"/>
  <c r="G512" i="3"/>
  <c r="G511" i="3"/>
  <c r="G510" i="3"/>
  <c r="G509" i="3"/>
  <c r="G508" i="3"/>
  <c r="G507" i="3"/>
  <c r="G506" i="3"/>
  <c r="G505" i="3"/>
  <c r="G504" i="3"/>
  <c r="G503" i="3"/>
  <c r="G502" i="3"/>
  <c r="G501" i="3"/>
  <c r="G500" i="3"/>
  <c r="G499" i="3"/>
  <c r="G498" i="3"/>
  <c r="G497" i="3"/>
  <c r="G496" i="3"/>
  <c r="G495" i="3"/>
  <c r="G494" i="3"/>
  <c r="G493" i="3"/>
  <c r="G492" i="3"/>
  <c r="G491" i="3"/>
  <c r="G490" i="3"/>
  <c r="G489" i="3"/>
  <c r="G488" i="3"/>
  <c r="G487" i="3"/>
  <c r="G486" i="3"/>
  <c r="G485" i="3"/>
  <c r="G484" i="3"/>
  <c r="G483" i="3"/>
  <c r="G482" i="3"/>
  <c r="G481" i="3"/>
  <c r="G480" i="3"/>
  <c r="G479" i="3"/>
  <c r="G478" i="3"/>
  <c r="G477" i="3"/>
  <c r="G476" i="3"/>
  <c r="G475" i="3"/>
  <c r="G474" i="3"/>
  <c r="G473" i="3"/>
  <c r="G472" i="3"/>
  <c r="G471" i="3"/>
  <c r="G470" i="3"/>
  <c r="G469" i="3"/>
  <c r="G468" i="3"/>
  <c r="G467" i="3"/>
  <c r="G466" i="3"/>
  <c r="G465" i="3"/>
  <c r="G464" i="3"/>
  <c r="G463" i="3"/>
  <c r="G462" i="3"/>
  <c r="G461" i="3"/>
  <c r="G460" i="3"/>
  <c r="G459" i="3"/>
  <c r="G458" i="3"/>
  <c r="G457" i="3"/>
  <c r="G456" i="3"/>
  <c r="G455" i="3"/>
  <c r="G454" i="3"/>
  <c r="G453" i="3"/>
  <c r="G452" i="3"/>
  <c r="G451" i="3"/>
  <c r="G450" i="3"/>
  <c r="G449" i="3"/>
  <c r="G448" i="3"/>
  <c r="G447" i="3"/>
  <c r="G446" i="3"/>
  <c r="G445" i="3"/>
  <c r="G444" i="3"/>
  <c r="G443" i="3"/>
  <c r="G442" i="3"/>
  <c r="G441" i="3"/>
  <c r="G440" i="3"/>
  <c r="G439" i="3"/>
  <c r="G438" i="3"/>
  <c r="G437" i="3"/>
  <c r="G436" i="3"/>
  <c r="G435" i="3"/>
  <c r="G434" i="3"/>
  <c r="G433" i="3"/>
  <c r="G432" i="3"/>
  <c r="G431" i="3"/>
  <c r="G430" i="3"/>
  <c r="G429" i="3"/>
  <c r="G185" i="3"/>
  <c r="G428" i="3"/>
  <c r="G427" i="3"/>
  <c r="G426" i="3"/>
  <c r="G425" i="3"/>
  <c r="G424" i="3"/>
  <c r="G423" i="3"/>
  <c r="G422" i="3"/>
  <c r="G421" i="3"/>
  <c r="G420" i="3"/>
  <c r="G419" i="3"/>
  <c r="G418" i="3"/>
  <c r="G417" i="3"/>
  <c r="G416" i="3"/>
  <c r="G415" i="3"/>
  <c r="G414" i="3"/>
  <c r="G413" i="3"/>
  <c r="G412" i="3"/>
  <c r="G411" i="3"/>
  <c r="G410" i="3"/>
  <c r="G409" i="3"/>
  <c r="G408" i="3"/>
  <c r="G407" i="3"/>
  <c r="G406" i="3"/>
  <c r="G405" i="3"/>
  <c r="G404" i="3"/>
  <c r="G403" i="3"/>
  <c r="G402" i="3"/>
  <c r="G401" i="3"/>
  <c r="G400" i="3"/>
  <c r="G399" i="3"/>
  <c r="G398" i="3"/>
  <c r="G397" i="3"/>
  <c r="G396" i="3"/>
  <c r="G395" i="3"/>
  <c r="G394" i="3"/>
  <c r="G393" i="3"/>
  <c r="G392" i="3"/>
  <c r="G391" i="3"/>
  <c r="G390" i="3"/>
  <c r="G389" i="3"/>
  <c r="G388" i="3"/>
  <c r="G387" i="3"/>
  <c r="G386" i="3"/>
  <c r="G385" i="3"/>
  <c r="G384" i="3"/>
  <c r="G383" i="3"/>
  <c r="G382" i="3"/>
  <c r="G381" i="3"/>
  <c r="G380" i="3"/>
  <c r="G379" i="3"/>
  <c r="G378" i="3"/>
  <c r="G377" i="3"/>
  <c r="G376" i="3"/>
  <c r="G375" i="3"/>
  <c r="G374" i="3"/>
  <c r="G373" i="3"/>
  <c r="G372" i="3"/>
  <c r="G371" i="3"/>
  <c r="G370" i="3"/>
  <c r="G369" i="3"/>
  <c r="G368" i="3"/>
  <c r="G367" i="3"/>
  <c r="G366" i="3"/>
  <c r="G365" i="3"/>
  <c r="G364" i="3"/>
  <c r="G363" i="3"/>
  <c r="G362" i="3"/>
  <c r="G361" i="3"/>
  <c r="G360" i="3"/>
  <c r="G359" i="3"/>
  <c r="G358" i="3"/>
  <c r="G357" i="3"/>
  <c r="G356" i="3"/>
  <c r="G355" i="3"/>
  <c r="G354" i="3"/>
  <c r="G353" i="3"/>
  <c r="G352" i="3"/>
  <c r="G351" i="3"/>
  <c r="G350" i="3"/>
  <c r="G349" i="3"/>
  <c r="G348" i="3"/>
  <c r="G347" i="3"/>
  <c r="G346" i="3"/>
  <c r="G345" i="3"/>
  <c r="G344" i="3"/>
  <c r="G343" i="3"/>
  <c r="G342" i="3"/>
  <c r="G341" i="3"/>
  <c r="G340" i="3"/>
  <c r="G339" i="3"/>
  <c r="G338" i="3"/>
  <c r="G337" i="3"/>
  <c r="G336" i="3"/>
  <c r="G335" i="3"/>
  <c r="G334" i="3"/>
  <c r="G333" i="3"/>
  <c r="G332" i="3"/>
  <c r="G331" i="3"/>
  <c r="G330" i="3"/>
  <c r="G329" i="3"/>
  <c r="G328" i="3"/>
  <c r="G327" i="3"/>
  <c r="G326" i="3"/>
  <c r="G325" i="3"/>
  <c r="G324" i="3"/>
  <c r="G323" i="3"/>
  <c r="G322" i="3"/>
  <c r="G321" i="3"/>
  <c r="G320" i="3"/>
  <c r="G319" i="3"/>
  <c r="G318" i="3"/>
  <c r="G317" i="3"/>
  <c r="G316" i="3"/>
  <c r="G315" i="3"/>
  <c r="G314" i="3"/>
  <c r="G313" i="3"/>
  <c r="G312" i="3"/>
  <c r="G311" i="3"/>
  <c r="G310" i="3"/>
  <c r="G309" i="3"/>
  <c r="G308" i="3"/>
  <c r="G307" i="3"/>
  <c r="G306" i="3"/>
  <c r="G305" i="3"/>
  <c r="G304" i="3"/>
  <c r="G303" i="3"/>
  <c r="G302" i="3"/>
  <c r="G301" i="3"/>
  <c r="G300" i="3"/>
  <c r="G299" i="3"/>
  <c r="G298" i="3"/>
  <c r="G297" i="3"/>
  <c r="G296" i="3"/>
  <c r="G295" i="3"/>
  <c r="G294" i="3"/>
  <c r="G293" i="3"/>
  <c r="G292" i="3"/>
  <c r="G291" i="3"/>
  <c r="G290" i="3"/>
  <c r="G289" i="3"/>
  <c r="G288" i="3"/>
  <c r="G287" i="3"/>
  <c r="G286" i="3"/>
  <c r="G285" i="3"/>
  <c r="G284" i="3"/>
  <c r="G283" i="3"/>
  <c r="G282" i="3"/>
  <c r="G281" i="3"/>
  <c r="G280" i="3"/>
  <c r="G279" i="3"/>
  <c r="G278" i="3"/>
  <c r="G277" i="3"/>
  <c r="G276" i="3"/>
  <c r="G275" i="3"/>
  <c r="G274" i="3"/>
  <c r="G273" i="3"/>
  <c r="G272" i="3"/>
  <c r="G271" i="3"/>
  <c r="G270" i="3"/>
  <c r="G269" i="3"/>
  <c r="G268" i="3"/>
  <c r="G267" i="3"/>
  <c r="G266" i="3"/>
  <c r="G265" i="3"/>
  <c r="G264" i="3"/>
  <c r="G263" i="3"/>
  <c r="G262" i="3"/>
  <c r="G261" i="3"/>
  <c r="G260" i="3"/>
  <c r="G259" i="3"/>
  <c r="G258" i="3"/>
  <c r="G257" i="3"/>
  <c r="G256" i="3"/>
  <c r="G255" i="3"/>
  <c r="G254" i="3"/>
  <c r="G253" i="3"/>
  <c r="G252" i="3"/>
  <c r="G251" i="3"/>
  <c r="G250" i="3"/>
  <c r="G249" i="3"/>
  <c r="G248" i="3"/>
  <c r="G247" i="3"/>
  <c r="G246" i="3"/>
  <c r="G245" i="3"/>
  <c r="G244" i="3"/>
  <c r="G243" i="3"/>
  <c r="G242" i="3"/>
  <c r="G241" i="3"/>
  <c r="G240" i="3"/>
  <c r="G239" i="3"/>
  <c r="G238" i="3"/>
  <c r="G237" i="3"/>
  <c r="G236" i="3"/>
  <c r="G235" i="3"/>
  <c r="G234" i="3"/>
  <c r="G233" i="3"/>
  <c r="G232" i="3"/>
  <c r="G231" i="3"/>
  <c r="G230" i="3"/>
  <c r="G229" i="3"/>
  <c r="G228" i="3"/>
  <c r="G227" i="3"/>
  <c r="G226" i="3"/>
  <c r="G225" i="3"/>
  <c r="G224" i="3"/>
  <c r="G223" i="3"/>
  <c r="G222" i="3"/>
  <c r="G221" i="3"/>
  <c r="G220" i="3"/>
  <c r="G219" i="3"/>
  <c r="G218" i="3"/>
  <c r="G217" i="3"/>
  <c r="G216" i="3"/>
  <c r="G215" i="3"/>
  <c r="G214" i="3"/>
  <c r="G213" i="3"/>
  <c r="G212" i="3"/>
  <c r="G211" i="3"/>
  <c r="G210" i="3"/>
  <c r="G209" i="3"/>
  <c r="G208" i="3"/>
  <c r="G207" i="3"/>
  <c r="G206" i="3"/>
  <c r="G205" i="3"/>
  <c r="G204" i="3"/>
  <c r="G203" i="3"/>
  <c r="G202" i="3"/>
  <c r="G201" i="3"/>
  <c r="G200" i="3"/>
  <c r="G199" i="3"/>
  <c r="G198" i="3"/>
  <c r="G197" i="3"/>
  <c r="G196" i="3"/>
  <c r="G195" i="3"/>
  <c r="G194" i="3"/>
  <c r="G193" i="3"/>
  <c r="G192" i="3"/>
  <c r="G191" i="3"/>
  <c r="G190" i="3"/>
  <c r="G189" i="3"/>
  <c r="G188" i="3"/>
  <c r="G187" i="3"/>
  <c r="G186" i="3"/>
  <c r="AQ84" i="2"/>
  <c r="AP84" i="2"/>
  <c r="AO84" i="2"/>
  <c r="AN84" i="2"/>
  <c r="AM84" i="2"/>
  <c r="AQ83" i="2"/>
  <c r="AP83" i="2"/>
  <c r="AO83" i="2"/>
  <c r="AN83" i="2"/>
  <c r="AM83" i="2"/>
  <c r="AQ71" i="2"/>
  <c r="AP71" i="2"/>
  <c r="AO71" i="2"/>
  <c r="AN71" i="2"/>
  <c r="AM71" i="2"/>
  <c r="AQ69" i="2"/>
  <c r="AP69" i="2"/>
  <c r="AO69" i="2"/>
  <c r="AN69" i="2"/>
  <c r="AM69" i="2"/>
  <c r="AQ68" i="2"/>
  <c r="AP68" i="2"/>
  <c r="AO68" i="2"/>
  <c r="AN68" i="2"/>
  <c r="AM68" i="2"/>
  <c r="AQ67" i="2"/>
  <c r="AP67" i="2"/>
  <c r="AO67" i="2"/>
  <c r="AN67" i="2"/>
  <c r="AM67" i="2"/>
  <c r="AQ66" i="2"/>
  <c r="AP66" i="2"/>
  <c r="AO66" i="2"/>
  <c r="AN66" i="2"/>
  <c r="AM66" i="2"/>
  <c r="AQ65" i="2"/>
  <c r="AP65" i="2"/>
  <c r="AO65" i="2"/>
  <c r="AN65" i="2"/>
  <c r="AM65" i="2"/>
  <c r="AQ64" i="2"/>
  <c r="AP64" i="2"/>
  <c r="AO64" i="2"/>
  <c r="AN64" i="2"/>
  <c r="AM64" i="2"/>
  <c r="AQ63" i="2"/>
  <c r="AP63" i="2"/>
  <c r="AO63" i="2"/>
  <c r="AN63" i="2"/>
  <c r="AM63" i="2"/>
  <c r="AQ62" i="2"/>
  <c r="AP62" i="2"/>
  <c r="AO62" i="2"/>
  <c r="AN62" i="2"/>
  <c r="AM62" i="2"/>
  <c r="AQ61" i="2"/>
  <c r="AP61" i="2"/>
  <c r="AO61" i="2"/>
  <c r="AN61" i="2"/>
  <c r="AM61" i="2"/>
  <c r="AQ60" i="2"/>
  <c r="AP60" i="2"/>
  <c r="AO60" i="2"/>
  <c r="AN60" i="2"/>
  <c r="AM60" i="2"/>
  <c r="AQ57" i="2"/>
  <c r="AP57" i="2"/>
  <c r="AO57" i="2"/>
  <c r="AN57" i="2"/>
  <c r="AM57" i="2"/>
  <c r="AQ56" i="2"/>
  <c r="AP56" i="2"/>
  <c r="AO56" i="2"/>
  <c r="AN56" i="2"/>
  <c r="AM56" i="2"/>
  <c r="AQ55" i="2"/>
  <c r="AP55" i="2"/>
  <c r="AO55" i="2"/>
  <c r="AN55" i="2"/>
  <c r="AM55" i="2"/>
  <c r="AQ54" i="2"/>
  <c r="AP54" i="2"/>
  <c r="AO54" i="2"/>
  <c r="AN54" i="2"/>
  <c r="AM54" i="2"/>
  <c r="AQ53" i="2"/>
  <c r="AP53" i="2"/>
  <c r="AO53" i="2"/>
  <c r="AN53" i="2"/>
  <c r="AM53" i="2"/>
  <c r="AQ52" i="2"/>
  <c r="AP52" i="2"/>
  <c r="AO52" i="2"/>
  <c r="AN52" i="2"/>
  <c r="AM52" i="2"/>
  <c r="AQ51" i="2"/>
  <c r="AP51" i="2"/>
  <c r="AO51" i="2"/>
  <c r="AN51" i="2"/>
  <c r="AM51" i="2"/>
  <c r="AQ50" i="2"/>
  <c r="AP50" i="2"/>
  <c r="AO50" i="2"/>
  <c r="AN50" i="2"/>
  <c r="AM50" i="2"/>
  <c r="AQ49" i="2"/>
  <c r="AP49" i="2"/>
  <c r="AO49" i="2"/>
  <c r="AN49" i="2"/>
  <c r="AM49" i="2"/>
  <c r="AQ48" i="2"/>
  <c r="AP48" i="2"/>
  <c r="AO48" i="2"/>
  <c r="AN48" i="2"/>
  <c r="AM48" i="2"/>
  <c r="AQ47" i="2"/>
  <c r="AP47" i="2"/>
  <c r="AO47" i="2"/>
  <c r="AN47" i="2"/>
  <c r="AM47" i="2"/>
  <c r="AM46" i="2"/>
  <c r="AN46" i="2"/>
  <c r="AO46" i="2"/>
  <c r="AP46" i="2"/>
  <c r="AQ46" i="2"/>
  <c r="AQ36" i="2"/>
  <c r="AQ86" i="2" s="1"/>
  <c r="AP36" i="2"/>
  <c r="AP86" i="2" s="1"/>
  <c r="AO36" i="2"/>
  <c r="AO86" i="2" s="1"/>
  <c r="AN36" i="2"/>
  <c r="AN86" i="2" s="1"/>
  <c r="AM36" i="2"/>
  <c r="AM86" i="2" s="1"/>
  <c r="AQ58" i="2"/>
  <c r="AQ34" i="2"/>
  <c r="AQ32" i="2"/>
  <c r="AQ31" i="2"/>
  <c r="AQ29" i="2"/>
  <c r="AR29" i="2" s="1"/>
  <c r="AS29" i="2" s="1"/>
  <c r="AT29" i="2" s="1"/>
  <c r="AU29" i="2" s="1"/>
  <c r="AV29" i="2" s="1"/>
  <c r="AW29" i="2" s="1"/>
  <c r="AX29" i="2" s="1"/>
  <c r="AY29" i="2" s="1"/>
  <c r="AZ29" i="2" s="1"/>
  <c r="BA29" i="2" s="1"/>
  <c r="AQ26" i="2"/>
  <c r="AP70" i="2"/>
  <c r="AP34" i="2"/>
  <c r="AP32" i="2"/>
  <c r="AP31" i="2"/>
  <c r="AP29" i="2"/>
  <c r="AP27" i="2"/>
  <c r="AP26" i="2"/>
  <c r="AO34" i="2"/>
  <c r="AO32" i="2"/>
  <c r="AO29" i="2"/>
  <c r="AO27" i="2"/>
  <c r="AO26" i="2"/>
  <c r="AM34" i="2"/>
  <c r="AM32" i="2"/>
  <c r="AM31" i="2"/>
  <c r="AM29" i="2"/>
  <c r="AM28" i="2"/>
  <c r="AM27" i="2"/>
  <c r="AM26" i="2"/>
  <c r="AN32" i="2"/>
  <c r="AN31" i="2"/>
  <c r="AN34" i="2"/>
  <c r="AN29" i="2"/>
  <c r="AN28" i="2"/>
  <c r="AN27" i="2"/>
  <c r="AP58" i="2"/>
  <c r="AO58" i="2"/>
  <c r="AN58" i="2"/>
  <c r="AQ72" i="2"/>
  <c r="AP72" i="2"/>
  <c r="AO72" i="2"/>
  <c r="AN72" i="2"/>
  <c r="AM72" i="2"/>
  <c r="AM58" i="2"/>
  <c r="V35" i="8" l="1"/>
  <c r="V37" i="8" s="1"/>
  <c r="V43" i="8"/>
  <c r="AR23" i="8"/>
  <c r="AR17" i="8"/>
  <c r="Q43" i="8"/>
  <c r="V82" i="8"/>
  <c r="AP25" i="8"/>
  <c r="AP39" i="8" s="1"/>
  <c r="R39" i="8"/>
  <c r="R30" i="8"/>
  <c r="AP77" i="8"/>
  <c r="AP40" i="8"/>
  <c r="AP41" i="8"/>
  <c r="U42" i="8"/>
  <c r="U33" i="8"/>
  <c r="U43" i="8" s="1"/>
  <c r="W80" i="8"/>
  <c r="W79" i="8"/>
  <c r="O80" i="8"/>
  <c r="O79" i="8"/>
  <c r="Q79" i="8"/>
  <c r="Q80" i="8"/>
  <c r="P82" i="8"/>
  <c r="P79" i="8"/>
  <c r="P80" i="8"/>
  <c r="V44" i="8"/>
  <c r="V80" i="8"/>
  <c r="V79" i="8"/>
  <c r="P37" i="8"/>
  <c r="AS6" i="2"/>
  <c r="AP24" i="2"/>
  <c r="AP78" i="2" s="1"/>
  <c r="AM76" i="2"/>
  <c r="AM74" i="2"/>
  <c r="AM75" i="2"/>
  <c r="AQ23" i="2"/>
  <c r="AQ77" i="2" s="1"/>
  <c r="AN75" i="2"/>
  <c r="AN76" i="2"/>
  <c r="AN74" i="2"/>
  <c r="AO24" i="2"/>
  <c r="AO78" i="2" s="1"/>
  <c r="AN23" i="2"/>
  <c r="AN77" i="2" s="1"/>
  <c r="AN24" i="2"/>
  <c r="AN78" i="2" s="1"/>
  <c r="AM23" i="2"/>
  <c r="AM77" i="2" s="1"/>
  <c r="AQ76" i="2"/>
  <c r="AQ75" i="2"/>
  <c r="AQ74" i="2"/>
  <c r="AO23" i="2"/>
  <c r="AO77" i="2" s="1"/>
  <c r="AQ24" i="2"/>
  <c r="AQ78" i="2" s="1"/>
  <c r="AM24" i="2"/>
  <c r="AM78" i="2" s="1"/>
  <c r="AP75" i="2"/>
  <c r="AP74" i="2"/>
  <c r="AP76" i="2"/>
  <c r="AR23" i="2"/>
  <c r="AR20" i="2"/>
  <c r="AP23" i="2"/>
  <c r="AP77" i="2" s="1"/>
  <c r="AO74" i="2"/>
  <c r="AO75" i="2"/>
  <c r="AO76" i="2"/>
  <c r="AT4" i="2"/>
  <c r="AT12" i="2" s="1"/>
  <c r="AT4" i="9"/>
  <c r="AT6" i="9" s="1"/>
  <c r="P44" i="8"/>
  <c r="AR20" i="8"/>
  <c r="S30" i="8"/>
  <c r="AR19" i="8"/>
  <c r="AT4" i="8"/>
  <c r="AS6" i="8"/>
  <c r="T28" i="8"/>
  <c r="T30" i="8" s="1"/>
  <c r="AW5" i="9"/>
  <c r="W37" i="8"/>
  <c r="W82" i="8"/>
  <c r="W44" i="8"/>
  <c r="O37" i="8"/>
  <c r="O82" i="8"/>
  <c r="O44" i="8"/>
  <c r="Q37" i="8"/>
  <c r="Q82" i="8"/>
  <c r="Q44" i="8"/>
  <c r="AM85" i="2"/>
  <c r="AN70" i="2"/>
  <c r="AN85" i="2"/>
  <c r="AO31" i="2"/>
  <c r="AP85" i="2"/>
  <c r="AO85" i="2"/>
  <c r="AQ85" i="2"/>
  <c r="AO28" i="2"/>
  <c r="AO70" i="2"/>
  <c r="AP28" i="2"/>
  <c r="AM70" i="2"/>
  <c r="AN26" i="2"/>
  <c r="AQ27" i="2"/>
  <c r="AQ70" i="2"/>
  <c r="AO25" i="2"/>
  <c r="AP25" i="2"/>
  <c r="AM25" i="2"/>
  <c r="AM39" i="2" s="1"/>
  <c r="AQ40" i="2" l="1"/>
  <c r="AS19" i="8"/>
  <c r="AS12" i="8"/>
  <c r="U35" i="8"/>
  <c r="R42" i="8"/>
  <c r="R33" i="8"/>
  <c r="R43" i="8" s="1"/>
  <c r="AP30" i="8"/>
  <c r="AP42" i="8" s="1"/>
  <c r="AT6" i="2"/>
  <c r="AN41" i="2"/>
  <c r="AO41" i="2"/>
  <c r="AO39" i="2"/>
  <c r="AO40" i="2"/>
  <c r="AQ41" i="2"/>
  <c r="AN40" i="2"/>
  <c r="AP40" i="2"/>
  <c r="AM40" i="2"/>
  <c r="AR26" i="2"/>
  <c r="AR24" i="2"/>
  <c r="AR25" i="2" s="1"/>
  <c r="AR27" i="2"/>
  <c r="AP41" i="2"/>
  <c r="AP39" i="2"/>
  <c r="AU4" i="2"/>
  <c r="AU12" i="2" s="1"/>
  <c r="AM41" i="2"/>
  <c r="AU4" i="9"/>
  <c r="AU6" i="9" s="1"/>
  <c r="T33" i="8"/>
  <c r="T43" i="8" s="1"/>
  <c r="T42" i="8"/>
  <c r="S33" i="8"/>
  <c r="S43" i="8" s="1"/>
  <c r="AQ30" i="8"/>
  <c r="AQ42" i="8" s="1"/>
  <c r="S42" i="8"/>
  <c r="AS20" i="8"/>
  <c r="AQ28" i="8"/>
  <c r="AU4" i="8"/>
  <c r="AT6" i="8"/>
  <c r="AR27" i="8"/>
  <c r="AR26" i="8"/>
  <c r="AR24" i="8"/>
  <c r="AR25" i="8" s="1"/>
  <c r="AX5" i="9"/>
  <c r="AQ25" i="2"/>
  <c r="AQ39" i="2" s="1"/>
  <c r="AQ87" i="2"/>
  <c r="AP87" i="2"/>
  <c r="AQ28" i="2"/>
  <c r="AO87" i="2"/>
  <c r="AN87" i="2"/>
  <c r="AM87" i="2"/>
  <c r="AM30" i="2"/>
  <c r="AM42" i="2" s="1"/>
  <c r="AP30" i="2"/>
  <c r="AP42" i="2" s="1"/>
  <c r="AO30" i="2"/>
  <c r="AO42" i="2" s="1"/>
  <c r="AS17" i="8" l="1"/>
  <c r="AS23" i="8"/>
  <c r="AT19" i="8"/>
  <c r="AT12" i="8"/>
  <c r="AP33" i="8"/>
  <c r="AP43" i="8" s="1"/>
  <c r="R35" i="8"/>
  <c r="U44" i="8"/>
  <c r="U79" i="8"/>
  <c r="U80" i="8"/>
  <c r="U37" i="8"/>
  <c r="U82" i="8"/>
  <c r="AU6" i="2"/>
  <c r="AV4" i="2"/>
  <c r="AV12" i="2" s="1"/>
  <c r="AR30" i="2"/>
  <c r="AS50" i="2" s="1"/>
  <c r="AS51" i="2" s="1"/>
  <c r="AV4" i="9"/>
  <c r="AV6" i="9" s="1"/>
  <c r="AR30" i="8"/>
  <c r="AR42" i="8" s="1"/>
  <c r="AT20" i="8"/>
  <c r="AQ33" i="8"/>
  <c r="AQ43" i="8" s="1"/>
  <c r="S35" i="8"/>
  <c r="AV4" i="8"/>
  <c r="AU6" i="8"/>
  <c r="T35" i="8"/>
  <c r="AY5" i="9"/>
  <c r="AQ30" i="2"/>
  <c r="AQ42" i="2" s="1"/>
  <c r="AO33" i="2"/>
  <c r="AO43" i="2" s="1"/>
  <c r="AP33" i="2"/>
  <c r="AP43" i="2" s="1"/>
  <c r="AM33" i="2"/>
  <c r="AM43" i="2" s="1"/>
  <c r="AS26" i="8" l="1"/>
  <c r="AS27" i="8"/>
  <c r="AS24" i="8"/>
  <c r="AS25" i="8" s="1"/>
  <c r="AS30" i="8" s="1"/>
  <c r="AT23" i="8"/>
  <c r="AT27" i="8" s="1"/>
  <c r="AT17" i="8"/>
  <c r="AU19" i="8"/>
  <c r="AU12" i="8"/>
  <c r="R79" i="8"/>
  <c r="R82" i="8"/>
  <c r="AP82" i="8" s="1"/>
  <c r="R37" i="8"/>
  <c r="AP37" i="8" s="1"/>
  <c r="AP35" i="8"/>
  <c r="R44" i="8"/>
  <c r="R80" i="8"/>
  <c r="T80" i="8"/>
  <c r="T79" i="8"/>
  <c r="S80" i="8"/>
  <c r="S79" i="8"/>
  <c r="AV6" i="2"/>
  <c r="AR33" i="2"/>
  <c r="AR34" i="2" s="1"/>
  <c r="AR35" i="2" s="1"/>
  <c r="AR42" i="2"/>
  <c r="AW4" i="2"/>
  <c r="AW12" i="2" s="1"/>
  <c r="AW4" i="9"/>
  <c r="AW6" i="9" s="1"/>
  <c r="AR33" i="8"/>
  <c r="AR34" i="8" s="1"/>
  <c r="AR35" i="8" s="1"/>
  <c r="AR82" i="8" s="1"/>
  <c r="T82" i="8"/>
  <c r="T44" i="8"/>
  <c r="T37" i="8"/>
  <c r="AT26" i="8"/>
  <c r="AU20" i="8"/>
  <c r="AW4" i="8"/>
  <c r="AV6" i="8"/>
  <c r="AV12" i="8" s="1"/>
  <c r="S82" i="8"/>
  <c r="S44" i="8"/>
  <c r="AQ35" i="8"/>
  <c r="S37" i="8"/>
  <c r="AZ5" i="9"/>
  <c r="AQ33" i="2"/>
  <c r="AQ43" i="2" s="1"/>
  <c r="AT24" i="8" l="1"/>
  <c r="AT25" i="8" s="1"/>
  <c r="AS50" i="8"/>
  <c r="AS51" i="8" s="1"/>
  <c r="AS42" i="8"/>
  <c r="AU23" i="8"/>
  <c r="AU26" i="8" s="1"/>
  <c r="AU17" i="8"/>
  <c r="AV19" i="8"/>
  <c r="AV23" i="8"/>
  <c r="AV17" i="8"/>
  <c r="AR46" i="8"/>
  <c r="AS31" i="8" s="1"/>
  <c r="AS33" i="8" s="1"/>
  <c r="AS34" i="8" s="1"/>
  <c r="AS35" i="8" s="1"/>
  <c r="AS46" i="8" s="1"/>
  <c r="AR44" i="8"/>
  <c r="AP44" i="8"/>
  <c r="AP79" i="8"/>
  <c r="AP80" i="8"/>
  <c r="AT30" i="8"/>
  <c r="AT42" i="8" s="1"/>
  <c r="AQ44" i="8"/>
  <c r="AQ80" i="8"/>
  <c r="AQ79" i="8"/>
  <c r="AQ82" i="8"/>
  <c r="AW6" i="2"/>
  <c r="AP35" i="2"/>
  <c r="AQ35" i="2"/>
  <c r="AM35" i="2"/>
  <c r="AO35" i="2"/>
  <c r="AX4" i="2"/>
  <c r="AX12" i="2" s="1"/>
  <c r="AR46" i="2"/>
  <c r="AS31" i="2" s="1"/>
  <c r="AT31" i="2" s="1"/>
  <c r="AU31" i="2" s="1"/>
  <c r="AV31" i="2" s="1"/>
  <c r="AW31" i="2" s="1"/>
  <c r="AX31" i="2" s="1"/>
  <c r="AY31" i="2" s="1"/>
  <c r="AZ31" i="2" s="1"/>
  <c r="BA31" i="2" s="1"/>
  <c r="AR44" i="2"/>
  <c r="AX4" i="9"/>
  <c r="AX6" i="9" s="1"/>
  <c r="AV20" i="8"/>
  <c r="AX4" i="8"/>
  <c r="AW6" i="8"/>
  <c r="AQ37" i="8"/>
  <c r="BA5" i="9"/>
  <c r="AQ37" i="2"/>
  <c r="AM37" i="2"/>
  <c r="AM82" i="2"/>
  <c r="AP37" i="2"/>
  <c r="AP82" i="2"/>
  <c r="AO37" i="2"/>
  <c r="AO82" i="2"/>
  <c r="AU24" i="8" l="1"/>
  <c r="AU25" i="8" s="1"/>
  <c r="AU27" i="8"/>
  <c r="AW19" i="8"/>
  <c r="AW12" i="8"/>
  <c r="AX6" i="2"/>
  <c r="AQ82" i="2"/>
  <c r="AM44" i="2"/>
  <c r="AM80" i="2"/>
  <c r="AM79" i="2"/>
  <c r="AO44" i="2"/>
  <c r="AO79" i="2"/>
  <c r="AO80" i="2"/>
  <c r="AQ44" i="2"/>
  <c r="AQ80" i="2"/>
  <c r="AQ79" i="2"/>
  <c r="AY4" i="2"/>
  <c r="AY12" i="2" s="1"/>
  <c r="AP44" i="2"/>
  <c r="AP79" i="2"/>
  <c r="AP80" i="2"/>
  <c r="AY4" i="9"/>
  <c r="AY6" i="9" s="1"/>
  <c r="AT31" i="8"/>
  <c r="AT33" i="8" s="1"/>
  <c r="AT34" i="8" s="1"/>
  <c r="AT35" i="8" s="1"/>
  <c r="AT46" i="8" s="1"/>
  <c r="AU31" i="8" s="1"/>
  <c r="AS82" i="8"/>
  <c r="AS44" i="8"/>
  <c r="AV26" i="8"/>
  <c r="AV24" i="8"/>
  <c r="AV25" i="8" s="1"/>
  <c r="AV27" i="8"/>
  <c r="AW20" i="8"/>
  <c r="AY4" i="8"/>
  <c r="AX6" i="8"/>
  <c r="AU30" i="8" l="1"/>
  <c r="AW23" i="8"/>
  <c r="AW26" i="8" s="1"/>
  <c r="AW17" i="8"/>
  <c r="AX19" i="8"/>
  <c r="AX12" i="8"/>
  <c r="AY6" i="2"/>
  <c r="AZ4" i="2"/>
  <c r="AZ12" i="2" s="1"/>
  <c r="AZ4" i="9"/>
  <c r="AZ6" i="9" s="1"/>
  <c r="AW24" i="8"/>
  <c r="AW25" i="8" s="1"/>
  <c r="AW27" i="8"/>
  <c r="AV30" i="8"/>
  <c r="AV42" i="8" s="1"/>
  <c r="AX20" i="8"/>
  <c r="AZ4" i="8"/>
  <c r="AY6" i="8"/>
  <c r="AT44" i="8"/>
  <c r="AT82" i="8"/>
  <c r="AU42" i="8" l="1"/>
  <c r="AU33" i="8"/>
  <c r="AU34" i="8" s="1"/>
  <c r="AU35" i="8" s="1"/>
  <c r="AY19" i="8"/>
  <c r="AY12" i="8"/>
  <c r="AX23" i="8"/>
  <c r="AX24" i="8" s="1"/>
  <c r="AX25" i="8" s="1"/>
  <c r="AX17" i="8"/>
  <c r="AZ6" i="2"/>
  <c r="BA4" i="2"/>
  <c r="BA12" i="2" s="1"/>
  <c r="BA4" i="9"/>
  <c r="BA4" i="8"/>
  <c r="AZ6" i="8"/>
  <c r="AZ12" i="8" s="1"/>
  <c r="AX27" i="8"/>
  <c r="AX26" i="8"/>
  <c r="AW30" i="8"/>
  <c r="AW42" i="8" s="1"/>
  <c r="AY20" i="8"/>
  <c r="AU46" i="8" l="1"/>
  <c r="AV31" i="8" s="1"/>
  <c r="AV33" i="8" s="1"/>
  <c r="AV34" i="8" s="1"/>
  <c r="AV35" i="8" s="1"/>
  <c r="AV44" i="8" s="1"/>
  <c r="AU44" i="8"/>
  <c r="AU82" i="8"/>
  <c r="BA6" i="9"/>
  <c r="AZ23" i="8"/>
  <c r="AZ17" i="8"/>
  <c r="AY23" i="8"/>
  <c r="AY17" i="8"/>
  <c r="AZ19" i="8"/>
  <c r="BA6" i="2"/>
  <c r="AX30" i="8"/>
  <c r="AX42" i="8" s="1"/>
  <c r="AZ20" i="8"/>
  <c r="BA6" i="8"/>
  <c r="AY26" i="8" l="1"/>
  <c r="AY27" i="8"/>
  <c r="AV46" i="8"/>
  <c r="AW31" i="8" s="1"/>
  <c r="AW33" i="8" s="1"/>
  <c r="AW34" i="8" s="1"/>
  <c r="AW35" i="8" s="1"/>
  <c r="AV82" i="8"/>
  <c r="AY24" i="8"/>
  <c r="AY25" i="8" s="1"/>
  <c r="AY30" i="8" s="1"/>
  <c r="AY42" i="8" s="1"/>
  <c r="BA19" i="8"/>
  <c r="BA12" i="8"/>
  <c r="BA20" i="8"/>
  <c r="AZ26" i="8"/>
  <c r="AZ24" i="8"/>
  <c r="AZ25" i="8" s="1"/>
  <c r="AZ27" i="8"/>
  <c r="AW82" i="8" l="1"/>
  <c r="AW44" i="8"/>
  <c r="AW46" i="8"/>
  <c r="AX31" i="8" s="1"/>
  <c r="AX33" i="8" s="1"/>
  <c r="AX34" i="8" s="1"/>
  <c r="AX35" i="8" s="1"/>
  <c r="BA23" i="8"/>
  <c r="BA17" i="8"/>
  <c r="AZ30" i="8"/>
  <c r="AZ42" i="8" s="1"/>
  <c r="AX46" i="8" l="1"/>
  <c r="AY31" i="8" s="1"/>
  <c r="AY33" i="8" s="1"/>
  <c r="AY34" i="8" s="1"/>
  <c r="AY35" i="8" s="1"/>
  <c r="AX82" i="8"/>
  <c r="AX44" i="8"/>
  <c r="BA27" i="8"/>
  <c r="BA24" i="8"/>
  <c r="BA25" i="8" s="1"/>
  <c r="BA26" i="8"/>
  <c r="AY82" i="8" l="1"/>
  <c r="AY46" i="8"/>
  <c r="AZ31" i="8" s="1"/>
  <c r="AZ33" i="8" s="1"/>
  <c r="AZ34" i="8" s="1"/>
  <c r="AZ35" i="8" s="1"/>
  <c r="AY44" i="8"/>
  <c r="BA30" i="8"/>
  <c r="BA42" i="8" s="1"/>
  <c r="AZ46" i="8" l="1"/>
  <c r="BA31" i="8" s="1"/>
  <c r="BA33" i="8" s="1"/>
  <c r="BA34" i="8" s="1"/>
  <c r="BA35" i="8" s="1"/>
  <c r="AZ82" i="8"/>
  <c r="AZ44" i="8"/>
  <c r="BA44" i="8" l="1"/>
  <c r="BB35" i="8"/>
  <c r="BA82" i="8"/>
  <c r="BA46" i="8"/>
  <c r="BC35" i="8" l="1"/>
  <c r="BD35" i="8" s="1"/>
  <c r="BE35" i="8" s="1"/>
  <c r="BF35" i="8" s="1"/>
  <c r="BG35" i="8" s="1"/>
  <c r="BH35" i="8" s="1"/>
  <c r="BI35" i="8" s="1"/>
  <c r="BJ35" i="8" s="1"/>
  <c r="BK35" i="8" s="1"/>
  <c r="BA55" i="8"/>
  <c r="BA57" i="8" s="1"/>
  <c r="BA59" i="8" s="1"/>
  <c r="AZ60" i="8" s="1" a="1"/>
  <c r="AZ60" i="8" s="1"/>
  <c r="BB59" i="8" l="1"/>
  <c r="AN3" i="2"/>
  <c r="AO3" i="2" s="1"/>
  <c r="AP3" i="2" s="1"/>
  <c r="AQ3" i="2" s="1"/>
  <c r="AR3" i="2" s="1"/>
  <c r="C7" i="1"/>
  <c r="C10" i="1" s="1"/>
  <c r="AS3" i="2" l="1"/>
  <c r="K202" i="3"/>
  <c r="K203" i="3" s="1"/>
  <c r="K201" i="3"/>
  <c r="K200" i="3"/>
  <c r="K199" i="3"/>
  <c r="K198" i="3"/>
  <c r="AT3" i="2" l="1"/>
  <c r="P221" i="3"/>
  <c r="P211" i="3"/>
  <c r="P210" i="3"/>
  <c r="P213" i="3"/>
  <c r="P220" i="3"/>
  <c r="P212" i="3"/>
  <c r="P223" i="3"/>
  <c r="P219" i="3"/>
  <c r="P215" i="3"/>
  <c r="P218" i="3"/>
  <c r="P222" i="3"/>
  <c r="P217" i="3"/>
  <c r="P214" i="3"/>
  <c r="P216" i="3"/>
  <c r="AU3" i="2" l="1"/>
  <c r="AV3" i="2" l="1"/>
  <c r="AW3" i="2" l="1"/>
  <c r="AN25" i="2"/>
  <c r="AN39" i="2" s="1"/>
  <c r="AX3" i="2" l="1"/>
  <c r="AN30" i="2"/>
  <c r="AN42" i="2" s="1"/>
  <c r="AY3" i="2" l="1"/>
  <c r="AN33" i="2"/>
  <c r="AN43" i="2" s="1"/>
  <c r="AZ3" i="2" l="1"/>
  <c r="AN35" i="2" l="1"/>
  <c r="BA3" i="2"/>
  <c r="AN82" i="2"/>
  <c r="AN37" i="2"/>
  <c r="N10" i="8"/>
  <c r="M11" i="8"/>
  <c r="D11" i="8"/>
  <c r="D12" i="8" s="1"/>
  <c r="D23" i="8" s="1"/>
  <c r="AM8" i="8"/>
  <c r="F11" i="8"/>
  <c r="F12" i="8" s="1"/>
  <c r="F23" i="8" s="1"/>
  <c r="AM7" i="8"/>
  <c r="C11" i="8"/>
  <c r="C12" i="8" s="1"/>
  <c r="C23" i="8" s="1"/>
  <c r="AM9" i="8"/>
  <c r="E11" i="8"/>
  <c r="E12" i="8" s="1"/>
  <c r="E23" i="8" s="1"/>
  <c r="J11" i="8"/>
  <c r="J12" i="8"/>
  <c r="J23" i="8" s="1"/>
  <c r="AN8" i="8"/>
  <c r="AN9" i="8"/>
  <c r="G11" i="8"/>
  <c r="H11" i="8"/>
  <c r="AN7" i="8"/>
  <c r="I11" i="8"/>
  <c r="G12" i="8" l="1"/>
  <c r="G23" i="8" s="1"/>
  <c r="G16" i="8"/>
  <c r="K16" i="8"/>
  <c r="I12" i="8"/>
  <c r="I23" i="8" s="1"/>
  <c r="I77" i="8" s="1"/>
  <c r="I16" i="8"/>
  <c r="H12" i="8"/>
  <c r="H23" i="8" s="1"/>
  <c r="H77" i="8" s="1"/>
  <c r="H16" i="8"/>
  <c r="L16" i="8"/>
  <c r="J16" i="8"/>
  <c r="M12" i="8"/>
  <c r="M23" i="8" s="1"/>
  <c r="M16" i="8"/>
  <c r="Q16" i="8"/>
  <c r="E25" i="8"/>
  <c r="E41" i="8"/>
  <c r="E40" i="8"/>
  <c r="E89" i="8"/>
  <c r="N11" i="8"/>
  <c r="AO10" i="8"/>
  <c r="G77" i="8"/>
  <c r="G41" i="8"/>
  <c r="G25" i="8"/>
  <c r="G40" i="8"/>
  <c r="G89" i="8"/>
  <c r="J77" i="8"/>
  <c r="J25" i="8"/>
  <c r="J41" i="8"/>
  <c r="J89" i="8"/>
  <c r="J40" i="8"/>
  <c r="C25" i="8"/>
  <c r="AM23" i="8"/>
  <c r="C41" i="8"/>
  <c r="C40" i="8"/>
  <c r="C89" i="8"/>
  <c r="F77" i="8"/>
  <c r="F41" i="8"/>
  <c r="F25" i="8"/>
  <c r="F40" i="8"/>
  <c r="F89" i="8"/>
  <c r="D41" i="8"/>
  <c r="D40" i="8"/>
  <c r="D25" i="8"/>
  <c r="D89" i="8"/>
  <c r="I41" i="8"/>
  <c r="I40" i="8"/>
  <c r="I25" i="8"/>
  <c r="I89" i="8"/>
  <c r="M77" i="8"/>
  <c r="M25" i="8"/>
  <c r="M41" i="8"/>
  <c r="M40" i="8"/>
  <c r="M89" i="8"/>
  <c r="BB3" i="2"/>
  <c r="BC3" i="2" s="1"/>
  <c r="BD3" i="2" s="1"/>
  <c r="BE3" i="2" s="1"/>
  <c r="BF3" i="2" s="1"/>
  <c r="BG3" i="2" s="1"/>
  <c r="BH3" i="2" s="1"/>
  <c r="BI3" i="2" s="1"/>
  <c r="BJ3" i="2" s="1"/>
  <c r="BK3" i="2" s="1"/>
  <c r="BL3" i="2" s="1"/>
  <c r="BM3" i="2" s="1"/>
  <c r="BN3" i="2" s="1"/>
  <c r="BO3" i="2" s="1"/>
  <c r="BP3" i="2" s="1"/>
  <c r="BQ3" i="2" s="1"/>
  <c r="BR3" i="2" s="1"/>
  <c r="BS3" i="2" s="1"/>
  <c r="BT3" i="2" s="1"/>
  <c r="BU3" i="2" s="1"/>
  <c r="BV3" i="2" s="1"/>
  <c r="BW3" i="2" s="1"/>
  <c r="BX3" i="2" s="1"/>
  <c r="BY3" i="2" s="1"/>
  <c r="BZ3" i="2" s="1"/>
  <c r="CA3" i="2" s="1"/>
  <c r="CB3" i="2" s="1"/>
  <c r="CC3" i="2" s="1"/>
  <c r="CD3" i="2" s="1"/>
  <c r="CE3" i="2" s="1"/>
  <c r="CF3" i="2" s="1"/>
  <c r="CG3" i="2" s="1"/>
  <c r="CH3" i="2" s="1"/>
  <c r="CI3" i="2" s="1"/>
  <c r="CJ3" i="2" s="1"/>
  <c r="CK3" i="2" s="1"/>
  <c r="CL3" i="2" s="1"/>
  <c r="CM3" i="2" s="1"/>
  <c r="CN3" i="2" s="1"/>
  <c r="CO3" i="2" s="1"/>
  <c r="CP3" i="2" s="1"/>
  <c r="CQ3" i="2" s="1"/>
  <c r="CR3" i="2" s="1"/>
  <c r="CS3" i="2" s="1"/>
  <c r="CT3" i="2" s="1"/>
  <c r="CU3" i="2" s="1"/>
  <c r="CV3" i="2" s="1"/>
  <c r="CW3" i="2" s="1"/>
  <c r="CX3" i="2" s="1"/>
  <c r="CY3" i="2" s="1"/>
  <c r="AN44" i="2"/>
  <c r="AN79" i="2"/>
  <c r="AN80" i="2"/>
  <c r="N12" i="8"/>
  <c r="AO11" i="8"/>
  <c r="H89" i="8" l="1"/>
  <c r="H40" i="8"/>
  <c r="AO16" i="8"/>
  <c r="AP16" i="8"/>
  <c r="N16" i="8"/>
  <c r="R16" i="8"/>
  <c r="AN23" i="8"/>
  <c r="AN40" i="8" s="1"/>
  <c r="H41" i="8"/>
  <c r="H25" i="8"/>
  <c r="AM77" i="8"/>
  <c r="AM41" i="8"/>
  <c r="AM40" i="8"/>
  <c r="F39" i="8"/>
  <c r="F30" i="8"/>
  <c r="C30" i="8"/>
  <c r="C39" i="8"/>
  <c r="AM25" i="8"/>
  <c r="AM39" i="8" s="1"/>
  <c r="G39" i="8"/>
  <c r="G30" i="8"/>
  <c r="M39" i="8"/>
  <c r="M30" i="8"/>
  <c r="H39" i="8"/>
  <c r="H30" i="8"/>
  <c r="AO12" i="8"/>
  <c r="N23" i="8"/>
  <c r="I30" i="8"/>
  <c r="I39" i="8"/>
  <c r="D30" i="8"/>
  <c r="D39" i="8"/>
  <c r="AN25" i="8"/>
  <c r="J30" i="8"/>
  <c r="J39" i="8"/>
  <c r="E39" i="8"/>
  <c r="E30" i="8"/>
  <c r="AN77" i="8" l="1"/>
  <c r="AN41" i="8"/>
  <c r="AO17" i="8"/>
  <c r="AP17" i="8"/>
  <c r="AN39" i="8"/>
  <c r="M42" i="8"/>
  <c r="M33" i="8"/>
  <c r="C33" i="8"/>
  <c r="C42" i="8"/>
  <c r="AM30" i="8"/>
  <c r="AM42" i="8" s="1"/>
  <c r="I42" i="8"/>
  <c r="I33" i="8"/>
  <c r="N77" i="8"/>
  <c r="N25" i="8"/>
  <c r="N89" i="8"/>
  <c r="N40" i="8"/>
  <c r="N41" i="8"/>
  <c r="AO23" i="8"/>
  <c r="AN30" i="8"/>
  <c r="AN42" i="8" s="1"/>
  <c r="J33" i="8"/>
  <c r="J42" i="8"/>
  <c r="G33" i="8"/>
  <c r="G42" i="8"/>
  <c r="D33" i="8"/>
  <c r="D42" i="8"/>
  <c r="E42" i="8"/>
  <c r="E33" i="8"/>
  <c r="F33" i="8"/>
  <c r="F42" i="8"/>
  <c r="H42" i="8"/>
  <c r="H33" i="8"/>
  <c r="AM33" i="8" l="1"/>
  <c r="AM43" i="8" s="1"/>
  <c r="F35" i="8"/>
  <c r="F43" i="8"/>
  <c r="AN33" i="8"/>
  <c r="AN43" i="8" s="1"/>
  <c r="J43" i="8"/>
  <c r="J35" i="8"/>
  <c r="I35" i="8"/>
  <c r="I43" i="8"/>
  <c r="E43" i="8"/>
  <c r="E35" i="8"/>
  <c r="AO41" i="8"/>
  <c r="AO40" i="8"/>
  <c r="AO77" i="8"/>
  <c r="D35" i="8"/>
  <c r="D43" i="8"/>
  <c r="C35" i="8"/>
  <c r="C43" i="8"/>
  <c r="H43" i="8"/>
  <c r="H35" i="8"/>
  <c r="G35" i="8"/>
  <c r="G43" i="8"/>
  <c r="N30" i="8"/>
  <c r="N39" i="8"/>
  <c r="AO25" i="8"/>
  <c r="AO39" i="8" s="1"/>
  <c r="M43" i="8"/>
  <c r="M35" i="8"/>
  <c r="C82" i="8" l="1"/>
  <c r="C44" i="8"/>
  <c r="C37" i="8"/>
  <c r="AM35" i="8"/>
  <c r="I37" i="8"/>
  <c r="I82" i="8"/>
  <c r="I44" i="8"/>
  <c r="I79" i="8"/>
  <c r="I80" i="8"/>
  <c r="N33" i="8"/>
  <c r="N42" i="8"/>
  <c r="AO30" i="8"/>
  <c r="AO42" i="8" s="1"/>
  <c r="D82" i="8"/>
  <c r="D44" i="8"/>
  <c r="D37" i="8"/>
  <c r="J80" i="8"/>
  <c r="J79" i="8"/>
  <c r="J82" i="8"/>
  <c r="J44" i="8"/>
  <c r="J37" i="8"/>
  <c r="G80" i="8"/>
  <c r="G82" i="8"/>
  <c r="G79" i="8"/>
  <c r="G44" i="8"/>
  <c r="G37" i="8"/>
  <c r="AN35" i="8"/>
  <c r="H44" i="8"/>
  <c r="H82" i="8"/>
  <c r="H79" i="8"/>
  <c r="H80" i="8"/>
  <c r="H37" i="8"/>
  <c r="M44" i="8"/>
  <c r="M80" i="8"/>
  <c r="M79" i="8"/>
  <c r="M37" i="8"/>
  <c r="M82" i="8"/>
  <c r="E44" i="8"/>
  <c r="E37" i="8"/>
  <c r="E82" i="8"/>
  <c r="F37" i="8"/>
  <c r="F44" i="8"/>
  <c r="F82" i="8"/>
  <c r="F80" i="8"/>
  <c r="F79" i="8"/>
  <c r="AN37" i="8" l="1"/>
  <c r="AM44" i="8"/>
  <c r="AM80" i="8"/>
  <c r="AM79" i="8"/>
  <c r="AM82" i="8"/>
  <c r="AM37" i="8"/>
  <c r="AN79" i="8"/>
  <c r="AN80" i="8"/>
  <c r="AN44" i="8"/>
  <c r="AN82" i="8"/>
  <c r="N35" i="8"/>
  <c r="N43" i="8"/>
  <c r="AO33" i="8"/>
  <c r="AO43" i="8" s="1"/>
  <c r="N82" i="8" l="1"/>
  <c r="AO82" i="8" s="1"/>
  <c r="N37" i="8"/>
  <c r="AO37" i="8" s="1"/>
  <c r="N80" i="8"/>
  <c r="N79" i="8"/>
  <c r="N44" i="8"/>
  <c r="AO35" i="8"/>
  <c r="AO44" i="8" l="1"/>
  <c r="AO79" i="8"/>
  <c r="AO80" i="8"/>
  <c r="Y12" i="8" l="1"/>
  <c r="AC4" i="8"/>
  <c r="Y20" i="8" l="1"/>
  <c r="Y19" i="8"/>
  <c r="Y21" i="8"/>
  <c r="AC6" i="8"/>
  <c r="Y17" i="8"/>
  <c r="AC12" i="8" l="1"/>
  <c r="AC19" i="8" s="1"/>
  <c r="AC17" i="8"/>
  <c r="AC21" i="8"/>
  <c r="AC20" i="8"/>
  <c r="AC23" i="8"/>
  <c r="AC26" i="8" l="1"/>
  <c r="AC25" i="8"/>
  <c r="AC30" i="8" s="1"/>
  <c r="AC42" i="8" s="1"/>
  <c r="AC27" i="8"/>
  <c r="AC24" i="8"/>
  <c r="Z31" i="8" l="1"/>
  <c r="Z33" i="8" s="1"/>
  <c r="Z34" i="8" s="1"/>
  <c r="Z35" i="8" s="1"/>
  <c r="Z46" i="8" s="1"/>
  <c r="AA31" i="8" s="1"/>
  <c r="AA33" i="8" s="1"/>
  <c r="AA34" i="8" s="1"/>
  <c r="AA35" i="8" s="1"/>
  <c r="AA46" i="8" s="1"/>
  <c r="AB31" i="8" s="1"/>
  <c r="AB33" i="8" s="1"/>
  <c r="AB34" i="8" s="1"/>
  <c r="AB35" i="8" s="1"/>
  <c r="AB46" i="8" s="1"/>
  <c r="AC31" i="8" s="1"/>
  <c r="AC33" i="8" s="1"/>
  <c r="AC34" i="8" l="1"/>
  <c r="AC35" i="8" s="1"/>
  <c r="AC46" i="8" s="1"/>
  <c r="AD31" i="8" s="1"/>
  <c r="AD33" i="8" s="1"/>
  <c r="AD34" i="8" s="1"/>
  <c r="AD35" i="8" s="1"/>
  <c r="AD46" i="8" s="1"/>
  <c r="AR11" i="9" l="1"/>
  <c r="AR12" i="9" l="1"/>
  <c r="AR17" i="9" l="1"/>
  <c r="AR20" i="9"/>
  <c r="AR19" i="9"/>
  <c r="AR23" i="9"/>
  <c r="AR24" i="9" l="1"/>
  <c r="AR25" i="9" s="1"/>
  <c r="AR26" i="9"/>
  <c r="AR27" i="9"/>
  <c r="AR30" i="9" l="1"/>
  <c r="AR33" i="9" l="1"/>
  <c r="AR42" i="9"/>
  <c r="AR34" i="9" l="1"/>
  <c r="AR35" i="9" s="1"/>
  <c r="AR46" i="9" s="1"/>
  <c r="AS31" i="9" s="1"/>
  <c r="AR44" i="9" l="1"/>
  <c r="AT31" i="9" l="1"/>
  <c r="AU31" i="9" l="1"/>
  <c r="AV31" i="9" l="1"/>
  <c r="AW31" i="9" l="1"/>
  <c r="AX31" i="9" l="1"/>
  <c r="AY31" i="9" l="1"/>
  <c r="AZ31" i="9" l="1"/>
  <c r="BA31" i="9" l="1"/>
  <c r="AS11" i="9" l="1"/>
  <c r="AT11" i="9" l="1"/>
  <c r="AS12" i="9"/>
  <c r="AS20" i="9" l="1"/>
  <c r="AS17" i="9"/>
  <c r="AS19" i="9"/>
  <c r="AS23" i="9"/>
  <c r="AU11" i="9"/>
  <c r="AT12" i="9"/>
  <c r="AT19" i="9" l="1"/>
  <c r="AT20" i="9"/>
  <c r="AT23" i="9"/>
  <c r="AT17" i="9"/>
  <c r="AV11" i="9"/>
  <c r="AU12" i="9"/>
  <c r="AS24" i="9"/>
  <c r="AS25" i="9" s="1"/>
  <c r="AS27" i="9"/>
  <c r="AS26" i="9"/>
  <c r="AS30" i="9" l="1"/>
  <c r="AW11" i="9"/>
  <c r="AV12" i="9"/>
  <c r="AU20" i="9"/>
  <c r="AU19" i="9"/>
  <c r="AU17" i="9"/>
  <c r="AU23" i="9"/>
  <c r="AT26" i="9"/>
  <c r="AT24" i="9"/>
  <c r="AT25" i="9" s="1"/>
  <c r="AT27" i="9"/>
  <c r="AS33" i="9" l="1"/>
  <c r="AS34" i="9" s="1"/>
  <c r="AS35" i="9" s="1"/>
  <c r="AS50" i="9"/>
  <c r="AS51" i="9" s="1"/>
  <c r="AS42" i="9"/>
  <c r="AT30" i="9"/>
  <c r="AT42" i="9" s="1"/>
  <c r="AX11" i="9"/>
  <c r="AW12" i="9"/>
  <c r="AU26" i="9"/>
  <c r="AU24" i="9"/>
  <c r="AU25" i="9" s="1"/>
  <c r="AU27" i="9"/>
  <c r="AV19" i="9"/>
  <c r="AV17" i="9"/>
  <c r="AV20" i="9"/>
  <c r="AV23" i="9"/>
  <c r="AS46" i="9" l="1"/>
  <c r="AS44" i="9"/>
  <c r="AU30" i="9"/>
  <c r="AT33" i="9"/>
  <c r="AT34" i="9" s="1"/>
  <c r="AT35" i="9" s="1"/>
  <c r="AT44" i="9" s="1"/>
  <c r="AW20" i="9"/>
  <c r="AW19" i="9"/>
  <c r="AW17" i="9"/>
  <c r="AW23" i="9"/>
  <c r="AV26" i="9"/>
  <c r="AV27" i="9"/>
  <c r="AV24" i="9"/>
  <c r="AV25" i="9" s="1"/>
  <c r="AY11" i="9"/>
  <c r="AX12" i="9"/>
  <c r="AU42" i="9" l="1"/>
  <c r="AU33" i="9"/>
  <c r="AU34" i="9" s="1"/>
  <c r="AU35" i="9" s="1"/>
  <c r="AU44" i="9" s="1"/>
  <c r="AT46" i="9"/>
  <c r="AX20" i="9"/>
  <c r="AX17" i="9"/>
  <c r="AX23" i="9"/>
  <c r="AX19" i="9"/>
  <c r="AW26" i="9"/>
  <c r="AW27" i="9"/>
  <c r="AW24" i="9"/>
  <c r="AW25" i="9" s="1"/>
  <c r="AZ11" i="9"/>
  <c r="AY12" i="9"/>
  <c r="AV30" i="9"/>
  <c r="AU46" i="9" l="1"/>
  <c r="AW30" i="9"/>
  <c r="AW33" i="9" s="1"/>
  <c r="AW34" i="9" s="1"/>
  <c r="AW35" i="9" s="1"/>
  <c r="AW44" i="9" s="1"/>
  <c r="AV42" i="9"/>
  <c r="AV33" i="9"/>
  <c r="AV34" i="9" s="1"/>
  <c r="AV35" i="9" s="1"/>
  <c r="AV44" i="9" s="1"/>
  <c r="AY17" i="9"/>
  <c r="AY23" i="9"/>
  <c r="AY19" i="9"/>
  <c r="AY20" i="9"/>
  <c r="AX26" i="9"/>
  <c r="AX24" i="9"/>
  <c r="AX25" i="9" s="1"/>
  <c r="AX27" i="9"/>
  <c r="AZ12" i="9"/>
  <c r="BA11" i="9"/>
  <c r="BA12" i="9" s="1"/>
  <c r="AW42" i="9" l="1"/>
  <c r="AV46" i="9"/>
  <c r="AW46" i="9" s="1"/>
  <c r="AX30" i="9"/>
  <c r="AX33" i="9" s="1"/>
  <c r="AX34" i="9" s="1"/>
  <c r="AX35" i="9" s="1"/>
  <c r="AX44" i="9" s="1"/>
  <c r="BA20" i="9"/>
  <c r="BA23" i="9"/>
  <c r="BA17" i="9"/>
  <c r="BA19" i="9"/>
  <c r="AZ20" i="9"/>
  <c r="AZ17" i="9"/>
  <c r="AZ23" i="9"/>
  <c r="AZ19" i="9"/>
  <c r="AY27" i="9"/>
  <c r="AY26" i="9"/>
  <c r="AY24" i="9"/>
  <c r="AY25" i="9" s="1"/>
  <c r="AY30" i="9" l="1"/>
  <c r="AX42" i="9"/>
  <c r="AX46" i="9"/>
  <c r="AZ27" i="9"/>
  <c r="AZ24" i="9"/>
  <c r="AZ25" i="9" s="1"/>
  <c r="AZ26" i="9"/>
  <c r="BA26" i="9"/>
  <c r="BA27" i="9"/>
  <c r="BA24" i="9"/>
  <c r="BA25" i="9" s="1"/>
  <c r="AY42" i="9" l="1"/>
  <c r="AY33" i="9"/>
  <c r="AY34" i="9" s="1"/>
  <c r="AY35" i="9" s="1"/>
  <c r="BA30" i="9"/>
  <c r="BA42" i="9" s="1"/>
  <c r="AZ30" i="9"/>
  <c r="AZ42" i="9" s="1"/>
  <c r="AY46" i="9" l="1"/>
  <c r="AY44" i="9"/>
  <c r="BA33" i="9"/>
  <c r="BA34" i="9" s="1"/>
  <c r="BA35" i="9" s="1"/>
  <c r="BB35" i="9" s="1"/>
  <c r="AZ33" i="9"/>
  <c r="AZ34" i="9" s="1"/>
  <c r="AZ35" i="9" s="1"/>
  <c r="BA44" i="9" l="1"/>
  <c r="AZ44" i="9"/>
  <c r="AZ46" i="9"/>
  <c r="BA46" i="9" s="1"/>
  <c r="BC35" i="9"/>
  <c r="BD35" i="9" s="1"/>
  <c r="BE35" i="9" s="1"/>
  <c r="BA55" i="9" s="1"/>
  <c r="BA57" i="9" s="1"/>
  <c r="BA59" i="9" s="1"/>
  <c r="AZ60" i="9" s="1" a="1"/>
  <c r="AZ60" i="9" s="1"/>
  <c r="BB59" i="9" l="1"/>
  <c r="AT19" i="2" l="1"/>
  <c r="AT20" i="2"/>
  <c r="AT23" i="2"/>
  <c r="AV19" i="2"/>
  <c r="AU19" i="2"/>
  <c r="AU23" i="2"/>
  <c r="AU20" i="2"/>
  <c r="AW19" i="2"/>
  <c r="AV20" i="2"/>
  <c r="AV23" i="2"/>
  <c r="AV24" i="2" s="1"/>
  <c r="AV27" i="2"/>
  <c r="AV26" i="2"/>
  <c r="AW20" i="2"/>
  <c r="AW23" i="2"/>
  <c r="AX19" i="2"/>
  <c r="AX23" i="2"/>
  <c r="AY19" i="2"/>
  <c r="AX20" i="2"/>
  <c r="AZ19" i="2"/>
  <c r="AY23" i="2"/>
  <c r="AY20" i="2"/>
  <c r="AZ20" i="2"/>
  <c r="AZ23" i="2"/>
  <c r="AZ24" i="2" s="1"/>
  <c r="BA20" i="2"/>
  <c r="BA23" i="2"/>
  <c r="BA19" i="2"/>
  <c r="AZ25" i="2" l="1"/>
  <c r="AW24" i="2"/>
  <c r="AW25" i="2"/>
  <c r="AY27" i="2"/>
  <c r="AY26" i="2"/>
  <c r="AV25" i="2"/>
  <c r="AV30" i="2" s="1"/>
  <c r="AU27" i="2"/>
  <c r="AU26" i="2"/>
  <c r="AW26" i="2"/>
  <c r="AW27" i="2"/>
  <c r="BA24" i="2"/>
  <c r="BA25" i="2" s="1"/>
  <c r="BA26" i="2"/>
  <c r="BA27" i="2"/>
  <c r="AT24" i="2"/>
  <c r="AT25" i="2" s="1"/>
  <c r="AT27" i="2"/>
  <c r="AT26" i="2"/>
  <c r="AZ27" i="2"/>
  <c r="AZ26" i="2"/>
  <c r="AU24" i="2"/>
  <c r="AU25" i="2" s="1"/>
  <c r="AX27" i="2"/>
  <c r="AX26" i="2"/>
  <c r="AX24" i="2"/>
  <c r="AX25" i="2" s="1"/>
  <c r="AY24" i="2"/>
  <c r="AY25" i="2" s="1"/>
  <c r="AW30" i="2" l="1"/>
  <c r="BA30" i="2"/>
  <c r="AT30" i="2"/>
  <c r="AU30" i="2"/>
  <c r="AY30" i="2"/>
  <c r="AV33" i="2"/>
  <c r="AV34" i="2" s="1"/>
  <c r="AV35" i="2" s="1"/>
  <c r="AV42" i="2"/>
  <c r="AZ30" i="2"/>
  <c r="AX30" i="2"/>
  <c r="AW33" i="2" l="1"/>
  <c r="AW34" i="2" s="1"/>
  <c r="AW35" i="2" s="1"/>
  <c r="AW44" i="2" s="1"/>
  <c r="AW42" i="2"/>
  <c r="BA42" i="2"/>
  <c r="BA33" i="2"/>
  <c r="BA34" i="2" s="1"/>
  <c r="BA35" i="2" s="1"/>
  <c r="AT33" i="2"/>
  <c r="AT34" i="2" s="1"/>
  <c r="AT35" i="2" s="1"/>
  <c r="AT44" i="2" s="1"/>
  <c r="AT42" i="2"/>
  <c r="AU42" i="2"/>
  <c r="AU33" i="2"/>
  <c r="AU34" i="2" s="1"/>
  <c r="AU35" i="2" s="1"/>
  <c r="AY42" i="2"/>
  <c r="AY33" i="2"/>
  <c r="AY34" i="2" s="1"/>
  <c r="AY35" i="2" s="1"/>
  <c r="AX33" i="2"/>
  <c r="AX34" i="2" s="1"/>
  <c r="AX35" i="2" s="1"/>
  <c r="AX42" i="2"/>
  <c r="AZ42" i="2"/>
  <c r="AZ33" i="2"/>
  <c r="AZ34" i="2" s="1"/>
  <c r="AZ35" i="2" s="1"/>
  <c r="AZ44" i="2" s="1"/>
  <c r="AV44" i="2"/>
  <c r="BA44" i="2" l="1"/>
  <c r="BB35" i="2"/>
  <c r="BC35" i="2" s="1"/>
  <c r="BD35" i="2" s="1"/>
  <c r="BE35" i="2" s="1"/>
  <c r="AU44" i="2"/>
  <c r="AX44" i="2"/>
  <c r="AY44" i="2"/>
  <c r="AS11" i="2" l="1"/>
  <c r="AT11" i="2" s="1"/>
  <c r="AU11" i="2" s="1"/>
  <c r="AV11" i="2" s="1"/>
  <c r="AW11" i="2" s="1"/>
  <c r="AX11" i="2" s="1"/>
  <c r="AY11" i="2" s="1"/>
  <c r="AZ11" i="2" s="1"/>
  <c r="BA11" i="2" s="1"/>
  <c r="AS19" i="2"/>
  <c r="AS23" i="2"/>
  <c r="AS24" i="2" s="1"/>
  <c r="AS20" i="2"/>
  <c r="AS25" i="2" l="1"/>
  <c r="AS26" i="2"/>
  <c r="AS27" i="2"/>
  <c r="AS30" i="2" l="1"/>
  <c r="AS42" i="2" l="1"/>
  <c r="AS33" i="2"/>
  <c r="AS34" i="2" l="1"/>
  <c r="AS35" i="2" s="1"/>
  <c r="AS46" i="2" l="1"/>
  <c r="AT46" i="2" s="1"/>
  <c r="AU46" i="2" s="1"/>
  <c r="AV46" i="2" s="1"/>
  <c r="AW46" i="2" s="1"/>
  <c r="AX46" i="2" s="1"/>
  <c r="AY46" i="2" s="1"/>
  <c r="AZ46" i="2" s="1"/>
  <c r="BA46" i="2" s="1"/>
  <c r="BA55" i="2"/>
  <c r="BA57" i="2" s="1"/>
  <c r="BA59" i="2" s="1"/>
  <c r="AS44" i="2"/>
  <c r="BB59" i="2" l="1"/>
  <c r="AZ60" i="2" a="1"/>
  <c r="AZ60"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<sst xmlns="http://schemas.openxmlformats.org/spreadsheetml/2006/main" count="2019" uniqueCount="1686">
  <si>
    <t>SO</t>
  </si>
  <si>
    <t>Cash</t>
  </si>
  <si>
    <t>Debt</t>
  </si>
  <si>
    <t>EV</t>
  </si>
  <si>
    <t>Investor Relations Contact:</t>
  </si>
  <si>
    <t>Godel Terminal</t>
  </si>
  <si>
    <t>Company Overview:</t>
  </si>
  <si>
    <t>[Bold Title]</t>
  </si>
  <si>
    <t>Line Titles</t>
  </si>
  <si>
    <t>&lt;-- General</t>
  </si>
  <si>
    <t>&lt;-- Info</t>
  </si>
  <si>
    <t>Revenue Breakdown by Segment (Build graph for this section if applicable…. See example below)</t>
  </si>
  <si>
    <t>Notes:</t>
  </si>
  <si>
    <t>[X]</t>
  </si>
  <si>
    <t>[Y]</t>
  </si>
  <si>
    <t>[Z]</t>
  </si>
  <si>
    <t>Close</t>
  </si>
  <si>
    <t>High</t>
  </si>
  <si>
    <t>Low</t>
  </si>
  <si>
    <t>Open</t>
  </si>
  <si>
    <t>Volume</t>
  </si>
  <si>
    <t>UTC Date</t>
  </si>
  <si>
    <t>Change</t>
  </si>
  <si>
    <t>Min</t>
  </si>
  <si>
    <t>Max</t>
  </si>
  <si>
    <t>Mean μ</t>
  </si>
  <si>
    <t>Median</t>
  </si>
  <si>
    <t>SD σ</t>
  </si>
  <si>
    <t xml:space="preserve">  3σ 1-Day Δ: ±</t>
  </si>
  <si>
    <t>β (1-year avg.)</t>
  </si>
  <si>
    <t>&lt;- Sortino Ratio (Downside Risk Adjusted Return)</t>
  </si>
  <si>
    <r>
      <rPr>
        <i/>
        <sz val="11"/>
        <color theme="1"/>
        <rFont val="Calibre"/>
      </rPr>
      <t>n</t>
    </r>
    <r>
      <rPr>
        <sz val="11"/>
        <color theme="1"/>
        <rFont val="Calibre"/>
      </rPr>
      <t xml:space="preserve"> =</t>
    </r>
  </si>
  <si>
    <t>Histogram Data</t>
  </si>
  <si>
    <t>Distribution Overlay</t>
  </si>
  <si>
    <t>SD Lines</t>
  </si>
  <si>
    <t>Bin</t>
  </si>
  <si>
    <t>Frequency</t>
  </si>
  <si>
    <r>
      <t xml:space="preserve"> (X) 1-Day</t>
    </r>
    <r>
      <rPr>
        <b/>
        <i/>
        <sz val="11"/>
        <color theme="1"/>
        <rFont val="Calibri"/>
        <family val="2"/>
        <scheme val="minor"/>
      </rPr>
      <t xml:space="preserve"> Δ </t>
    </r>
    <r>
      <rPr>
        <i/>
        <sz val="11"/>
        <color theme="1"/>
        <rFont val="Calibri"/>
        <family val="2"/>
        <scheme val="minor"/>
      </rPr>
      <t xml:space="preserve"> </t>
    </r>
  </si>
  <si>
    <t xml:space="preserve">(Y) Pop. Density </t>
  </si>
  <si>
    <t>X</t>
  </si>
  <si>
    <t>Y</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</si>
  <si>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</si>
  <si>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</si>
  <si>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</si>
  <si>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</si>
  <si>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</si>
  <si>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</si>
  <si>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</si>
  <si>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</si>
  <si>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</si>
  <si>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</si>
  <si>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</si>
  <si>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</si>
  <si>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</si>
  <si>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</si>
  <si>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</si>
  <si>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</si>
  <si>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</si>
  <si>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</si>
  <si>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Q3 2024</t>
  </si>
  <si>
    <t>Q4 2024</t>
  </si>
  <si>
    <t>Q1 2025</t>
  </si>
  <si>
    <t>Q2 2025</t>
  </si>
  <si>
    <t>Q3 2025</t>
  </si>
  <si>
    <t>Q4 2025</t>
  </si>
  <si>
    <t>Q1 2026</t>
  </si>
  <si>
    <t>Q2 2026</t>
  </si>
  <si>
    <t>Q3 2026</t>
  </si>
  <si>
    <t>Q4 2026</t>
  </si>
  <si>
    <t>Quarterly</t>
  </si>
  <si>
    <t>Revenues</t>
  </si>
  <si>
    <t>Ttl Revenues</t>
  </si>
  <si>
    <t>COGS</t>
  </si>
  <si>
    <t>GP</t>
  </si>
  <si>
    <t>Gross Profit Margin</t>
  </si>
  <si>
    <t>R&amp;D as % of Revenue</t>
  </si>
  <si>
    <t>SG&amp;A as % of Revenue</t>
  </si>
  <si>
    <t>Operating Profit Margin</t>
  </si>
  <si>
    <t>Effective Tax Rate</t>
  </si>
  <si>
    <t>Net Profit Margin</t>
  </si>
  <si>
    <t xml:space="preserve">Cash &amp; CEs </t>
  </si>
  <si>
    <t>ST Investments</t>
  </si>
  <si>
    <t>Current Ratio</t>
  </si>
  <si>
    <t>Quick Ratio</t>
  </si>
  <si>
    <t>Cash Ratio</t>
  </si>
  <si>
    <t>Ttl Asset Turnover</t>
  </si>
  <si>
    <t>Inventory Turnover Ratio</t>
  </si>
  <si>
    <t>Return on Assets</t>
  </si>
  <si>
    <t>Return on Equity</t>
  </si>
  <si>
    <t>Net Income</t>
  </si>
  <si>
    <t>CFFO</t>
  </si>
  <si>
    <t>CapEx, net</t>
  </si>
  <si>
    <t>FCF</t>
  </si>
  <si>
    <t>SC</t>
  </si>
  <si>
    <t>FCF per Share</t>
  </si>
  <si>
    <t>General Notes/Observations (Updated Q1'25)</t>
  </si>
  <si>
    <t>Financial Stmts. Notes/Observations (Updated Q1'25)</t>
  </si>
  <si>
    <t>Revenues:</t>
  </si>
  <si>
    <t>Earnings Scope:</t>
  </si>
  <si>
    <t>Balance Sheet Scope:</t>
  </si>
  <si>
    <t>[Equity Preformance Compared to Peers]</t>
  </si>
  <si>
    <t>Mean</t>
  </si>
  <si>
    <t>-3σ</t>
  </si>
  <si>
    <t>-2σ</t>
  </si>
  <si>
    <t>-1σ</t>
  </si>
  <si>
    <t>1σ</t>
  </si>
  <si>
    <t>2σ</t>
  </si>
  <si>
    <t>3σ</t>
  </si>
  <si>
    <t>Phone:</t>
  </si>
  <si>
    <t xml:space="preserve">Email: </t>
  </si>
  <si>
    <t>&lt;- Sharpe Ratio (Risk Adjusted Return)</t>
  </si>
  <si>
    <t>Earnings Calls</t>
  </si>
  <si>
    <t>Equity Analysis</t>
  </si>
  <si>
    <t>https://app.godelterminal.com/</t>
  </si>
  <si>
    <t>Address:</t>
  </si>
  <si>
    <t>Investors Relation Department</t>
  </si>
  <si>
    <t>Employee Scope:</t>
  </si>
  <si>
    <t>Resources:</t>
  </si>
  <si>
    <t>Capital Structure Snapshot:</t>
  </si>
  <si>
    <t>SRPT</t>
  </si>
  <si>
    <t>Sarepta, Therapeutics Inc. (SRPT)</t>
  </si>
  <si>
    <t>Founded: 1980</t>
  </si>
  <si>
    <t>Headquarters: Cambridge, MA</t>
  </si>
  <si>
    <t>Current CEO: Douglas Ingram</t>
  </si>
  <si>
    <t>Employees: 1,372 (Q4'24)</t>
  </si>
  <si>
    <t>Industry: BioTech</t>
  </si>
  <si>
    <t>Sector: Healthcare</t>
  </si>
  <si>
    <t>https://seekingalpha.com/symbol/SRPT/sec-filings</t>
  </si>
  <si>
    <t>Sarepta Homepage</t>
  </si>
  <si>
    <t>Sarepta IR Page</t>
  </si>
  <si>
    <t>https://www.sarepta.com/</t>
  </si>
  <si>
    <t>https://investorrelations.sarepta.com/</t>
  </si>
  <si>
    <t>https://www.sec.gov/edgar/browse/?CIK=873303&amp;owner=exclude</t>
  </si>
  <si>
    <t>https://stockanalysis.com/stocks/srpt/company/</t>
  </si>
  <si>
    <t>https://www.macrotrends.net/stocks/charts/SRPT/sarepta-therapeutics/income-statement?freq=A</t>
  </si>
  <si>
    <t>MacroTrends</t>
  </si>
  <si>
    <t>https://www.gurufocus.com/term/wacc/SRPT</t>
  </si>
  <si>
    <t>ROIC/WACC</t>
  </si>
  <si>
    <t>Sarepta Therapeutics, Inc., a commercial-stage biopharmaceutical company, focuses on the discovery and development of RNA-targeted therapeutics, gene therapies, and other genetic therapeutic modalities for the treatment of rare diseases</t>
  </si>
  <si>
    <t>It has collaboration and license agreements with:</t>
  </si>
  <si>
    <t>University of Western Australia</t>
  </si>
  <si>
    <t>Catalent Maryland, Inc.</t>
  </si>
  <si>
    <t>Nationwide Children’s Hospital</t>
  </si>
  <si>
    <r>
      <t xml:space="preserve">F. Hoffman-La </t>
    </r>
    <r>
      <rPr>
        <b/>
        <sz val="11"/>
        <color theme="1"/>
        <rFont val="Calibre"/>
      </rPr>
      <t>Roche</t>
    </r>
    <r>
      <rPr>
        <sz val="11"/>
        <color theme="1"/>
        <rFont val="Calibre"/>
      </rPr>
      <t xml:space="preserve"> Ltd</t>
    </r>
  </si>
  <si>
    <r>
      <rPr>
        <b/>
        <sz val="11"/>
        <color theme="1"/>
        <rFont val="Calibre"/>
      </rPr>
      <t>ELEVIDYS</t>
    </r>
    <r>
      <rPr>
        <sz val="11"/>
        <color theme="1"/>
        <rFont val="Calibre"/>
      </rPr>
      <t>, an adeno-associated virus based gene therapy for the treatment of ambulatory pediatric patients with Duchenne with a confirmed mutation in the Duchenne gene</t>
    </r>
  </si>
  <si>
    <r>
      <rPr>
        <b/>
        <sz val="11"/>
        <color theme="1"/>
        <rFont val="Calibre"/>
      </rPr>
      <t>AMONDYS 45</t>
    </r>
    <r>
      <rPr>
        <sz val="11"/>
        <color theme="1"/>
        <rFont val="Calibre"/>
      </rPr>
      <t>, for the treatment of Duchenne in patients with confirmed mutation of the dystrophin gene that is amenable to exon 45 skipping</t>
    </r>
  </si>
  <si>
    <r>
      <rPr>
        <b/>
        <sz val="11"/>
        <color theme="1"/>
        <rFont val="Calibre"/>
      </rPr>
      <t>VYONDYS 53</t>
    </r>
    <r>
      <rPr>
        <sz val="11"/>
        <color theme="1"/>
        <rFont val="Calibre"/>
      </rPr>
      <t xml:space="preserve"> for the treatment of Duchenne in patients with confirmed mutation of the dystrophin gene that is amenable to exon 53 skipping</t>
    </r>
  </si>
  <si>
    <r>
      <t xml:space="preserve">It offers </t>
    </r>
    <r>
      <rPr>
        <b/>
        <sz val="11"/>
        <color theme="1"/>
        <rFont val="Calibre"/>
      </rPr>
      <t>EXONDYS 51</t>
    </r>
    <r>
      <rPr>
        <sz val="11"/>
        <color theme="1"/>
        <rFont val="Calibre"/>
      </rPr>
      <t xml:space="preserve"> injection to treat Duchenne muscular dystrophy (Duchenne) in patients with confirmed mutation of the dystrophin gene that is amenable to exon 51 skipping</t>
    </r>
  </si>
  <si>
    <t xml:space="preserve">Dyno Therapeutics </t>
  </si>
  <si>
    <t>Hansa Biopharma</t>
  </si>
  <si>
    <t>Duke University</t>
  </si>
  <si>
    <t>Genethon</t>
  </si>
  <si>
    <t>(617) 274-4000</t>
  </si>
  <si>
    <t>Registered Exchange: NASDAQ</t>
  </si>
  <si>
    <t>215 First Street, Suite 415, Cambridge, MA 02142</t>
  </si>
  <si>
    <t>IPO: June 3rd, 1997 -- ~$600M valuation</t>
  </si>
  <si>
    <t>A/R</t>
  </si>
  <si>
    <t>Inventories</t>
  </si>
  <si>
    <t>Manufacturing Prepaids</t>
  </si>
  <si>
    <t>Other ST Assets</t>
  </si>
  <si>
    <t>PP&amp;E</t>
  </si>
  <si>
    <t>Right-to-use assets</t>
  </si>
  <si>
    <t>Non-current Inventories</t>
  </si>
  <si>
    <t>LT Investments</t>
  </si>
  <si>
    <t>Other LT Assets</t>
  </si>
  <si>
    <t>A/P</t>
  </si>
  <si>
    <t>Deffered Revenues, current</t>
  </si>
  <si>
    <t>Accrued Expenses, current</t>
  </si>
  <si>
    <t>Other ST Liabilities</t>
  </si>
  <si>
    <t>LT Debt</t>
  </si>
  <si>
    <t>Deffered LT Revenues</t>
  </si>
  <si>
    <t>LT Lease Liabilities</t>
  </si>
  <si>
    <t>Contingent Consideration</t>
  </si>
  <si>
    <t>Other LT Liabilities</t>
  </si>
  <si>
    <t>Ttl Liabilities</t>
  </si>
  <si>
    <t>SE</t>
  </si>
  <si>
    <t>Total L + SE</t>
  </si>
  <si>
    <t>R&amp;D</t>
  </si>
  <si>
    <t>SG&amp;A</t>
  </si>
  <si>
    <t>Amortization of In-Liscensed Rights</t>
  </si>
  <si>
    <t>Operating Income</t>
  </si>
  <si>
    <t>Other Income (Expenses)</t>
  </si>
  <si>
    <t>Pretax Income</t>
  </si>
  <si>
    <t>Taxes</t>
  </si>
  <si>
    <t>EPS</t>
  </si>
  <si>
    <t>Settlement and Liscence</t>
  </si>
  <si>
    <t>Gain on, Income</t>
  </si>
  <si>
    <t>Current Portion of Debt</t>
  </si>
  <si>
    <t>Ttl Assets</t>
  </si>
  <si>
    <t>Strategic Investments</t>
  </si>
  <si>
    <t>Q/q Total Revenues, Net Income, FCF</t>
  </si>
  <si>
    <t>Y/y Total Revenues, Net Income, FCF</t>
  </si>
  <si>
    <t>Mon, 16 Jun 2025 00:00:00 GMT</t>
  </si>
  <si>
    <t>Fri, 13 Jun 2025 00:00:00 GMT</t>
  </si>
  <si>
    <t>Thu, 12 Jun 2025 00:00:00 GMT</t>
  </si>
  <si>
    <t>Wed, 11 Jun 2025 00:00:00 GMT</t>
  </si>
  <si>
    <t>Tue, 10 Jun 2025 00:00:00 GMT</t>
  </si>
  <si>
    <t>Mon, 09 Jun 2025 00:00:00 GMT</t>
  </si>
  <si>
    <t>Fri, 06 Jun 2025 00:00:00 GMT</t>
  </si>
  <si>
    <t>Thu, 05 Jun 2025 00:00:00 GMT</t>
  </si>
  <si>
    <t>Wed, 04 Jun 2025 00:00:00 GMT</t>
  </si>
  <si>
    <t>Tue, 03 Jun 2025 00:00:00 GMT</t>
  </si>
  <si>
    <t>Mon, 02 Jun 2025 00:00:00 GMT</t>
  </si>
  <si>
    <t>Fri, 30 May 2025 00:00:00 GMT</t>
  </si>
  <si>
    <t>Tue, 20 May 2025 00:00:00 GMT</t>
  </si>
  <si>
    <t>Mon, 19 May 2025 00:00:00 GMT</t>
  </si>
  <si>
    <t>Fri, 16 May 2025 00:00:00 GMT</t>
  </si>
  <si>
    <t>Thu, 15 May 2025 00:00:00 GMT</t>
  </si>
  <si>
    <t>Wed, 14 May 2025 00:00:00 GMT</t>
  </si>
  <si>
    <t>Tue, 13 May 2025 00:00:00 GMT</t>
  </si>
  <si>
    <t>Mon, 12 May 2025 00:00:00 GMT</t>
  </si>
  <si>
    <t>Fri, 09 May 2025 00:00:00 GMT</t>
  </si>
  <si>
    <t>Thu, 08 May 2025 00:00:00 GMT</t>
  </si>
  <si>
    <t>Wed, 07 May 2025 00:00:00 GMT</t>
  </si>
  <si>
    <t>Tue, 06 May 2025 00:00:00 GMT</t>
  </si>
  <si>
    <t>Mon, 05 May 2025 00:00:00 GMT</t>
  </si>
  <si>
    <t>Fri, 02 May 2025 00:00:00 GMT</t>
  </si>
  <si>
    <t>Thu, 01 May 2025 00:00:00 GMT</t>
  </si>
  <si>
    <t>Wed, 30 Apr 2025 00:00:00 GMT</t>
  </si>
  <si>
    <t>Tue, 29 Apr 2025 00:00:00 GMT</t>
  </si>
  <si>
    <t>Mon, 28 Apr 2025 00:00:00 GMT</t>
  </si>
  <si>
    <t>Fri, 25 Apr 2025 00:00:00 GMT</t>
  </si>
  <si>
    <t>Thu, 24 Apr 2025 00:00:00 GMT</t>
  </si>
  <si>
    <t>Wed, 23 Apr 2025 00:00:00 GMT</t>
  </si>
  <si>
    <t>Tue, 22 Apr 2025 00:00:00 GMT</t>
  </si>
  <si>
    <t>Mon, 21 Apr 2025 00:00:00 GMT</t>
  </si>
  <si>
    <t>Thu, 17 Apr 2025 00:00:00 GMT</t>
  </si>
  <si>
    <t>Wed, 16 Apr 2025 00:00:00 GMT</t>
  </si>
  <si>
    <t>Tue, 15 Apr 2025 00:00:00 GMT</t>
  </si>
  <si>
    <t>Mon, 14 Apr 2025 00:00:00 GMT</t>
  </si>
  <si>
    <t>Fri, 11 Apr 2025 00:00:00 GMT</t>
  </si>
  <si>
    <t>Thu, 10 Apr 2025 00:00:00 GMT</t>
  </si>
  <si>
    <t>Wed, 09 Apr 2025 00:00:00 GMT</t>
  </si>
  <si>
    <t>Tue, 08 Apr 2025 00:00:00 GMT</t>
  </si>
  <si>
    <t>Mon, 07 Apr 2025 00:00:00 GMT</t>
  </si>
  <si>
    <t>Fri, 04 Apr 2025 00:00:00 GMT</t>
  </si>
  <si>
    <t>Thu, 03 Apr 2025 00:00:00 GMT</t>
  </si>
  <si>
    <t>Wed, 02 Apr 2025 00:00:00 GMT</t>
  </si>
  <si>
    <t>Tue, 01 Apr 2025 00:00:00 GMT</t>
  </si>
  <si>
    <t>Mon, 31 Mar 2025 00:00:00 GMT</t>
  </si>
  <si>
    <t>Fri, 28 Mar 2025 00:00:00 GMT</t>
  </si>
  <si>
    <t>Thu, 27 Mar 2025 00:00:00 GMT</t>
  </si>
  <si>
    <t>Wed, 26 Mar 2025 00:00:00 GMT</t>
  </si>
  <si>
    <t>Tue, 25 Mar 2025 00:00:00 GMT</t>
  </si>
  <si>
    <t>Mon, 24 Mar 2025 00:00:00 GMT</t>
  </si>
  <si>
    <t>Fri, 21 Mar 2025 00:00:00 GMT</t>
  </si>
  <si>
    <t>Thu, 20 Mar 2025 00:00:00 GMT</t>
  </si>
  <si>
    <t>Wed, 19 Mar 2025 00:00:00 GMT</t>
  </si>
  <si>
    <t>Tue, 18 Mar 2025 00:00:00 GMT</t>
  </si>
  <si>
    <t>Mon, 17 Mar 2025 00:00:00 GMT</t>
  </si>
  <si>
    <t>Fri, 14 Mar 2025 00:00:00 GMT</t>
  </si>
  <si>
    <t>Thu, 13 Mar 2025 00:00:00 GMT</t>
  </si>
  <si>
    <t>Wed, 12 Mar 2025 00:00:00 GMT</t>
  </si>
  <si>
    <t>Tue, 11 Mar 2025 00:00:00 GMT</t>
  </si>
  <si>
    <t>Mon, 10 Mar 2025 00:00:00 GMT</t>
  </si>
  <si>
    <t>Fri, 07 Mar 2025 00:00:00 GMT</t>
  </si>
  <si>
    <t>Thu, 06 Mar 2025 00:00:00 GMT</t>
  </si>
  <si>
    <t>Wed, 05 Mar 2025 00:00:00 GMT</t>
  </si>
  <si>
    <t>Tue, 04 Mar 2025 00:00:00 GMT</t>
  </si>
  <si>
    <t>Mon, 03 Mar 2025 00:00:00 GMT</t>
  </si>
  <si>
    <t>Fri, 28 Feb 2025 00:00:00 GMT</t>
  </si>
  <si>
    <t>Thu, 27 Feb 2025 00:00:00 GMT</t>
  </si>
  <si>
    <t>Wed, 26 Feb 2025 00:00:00 GMT</t>
  </si>
  <si>
    <t>Tue, 25 Feb 2025 00:00:00 GMT</t>
  </si>
  <si>
    <t>Mon, 24 Feb 2025 00:00:00 GMT</t>
  </si>
  <si>
    <t>Fri, 21 Feb 2025 00:00:00 GMT</t>
  </si>
  <si>
    <t>Thu, 20 Feb 2025 00:00:00 GMT</t>
  </si>
  <si>
    <t>Wed, 19 Feb 2025 00:00:00 GMT</t>
  </si>
  <si>
    <t>Tue, 18 Feb 2025 00:00:00 GMT</t>
  </si>
  <si>
    <t>Fri, 14 Feb 2025 00:00:00 GMT</t>
  </si>
  <si>
    <t>Thu, 13 Feb 2025 00:00:00 GMT</t>
  </si>
  <si>
    <t>Wed, 12 Feb 2025 00:00:00 GMT</t>
  </si>
  <si>
    <t>Tue, 11 Feb 2025 00:00:00 GMT</t>
  </si>
  <si>
    <t>Mon, 10 Feb 2025 00:00:00 GMT</t>
  </si>
  <si>
    <t>Fri, 07 Feb 2025 00:00:00 GMT</t>
  </si>
  <si>
    <t>Thu, 06 Feb 2025 00:00:00 GMT</t>
  </si>
  <si>
    <t>Wed, 05 Feb 2025 00:00:00 GMT</t>
  </si>
  <si>
    <t>Tue, 04 Feb 2025 00:00:00 GMT</t>
  </si>
  <si>
    <t>Mon, 03 Feb 2025 00:00:00 GMT</t>
  </si>
  <si>
    <t>Fri, 31 Jan 2025 00:00:00 GMT</t>
  </si>
  <si>
    <t>Thu, 30 Jan 2025 00:00:00 GMT</t>
  </si>
  <si>
    <t>Wed, 29 Jan 2025 00:00:00 GMT</t>
  </si>
  <si>
    <t>Tue, 28 Jan 2025 00:00:00 GMT</t>
  </si>
  <si>
    <t>Mon, 27 Jan 2025 00:00:00 GMT</t>
  </si>
  <si>
    <t>Fri, 24 Jan 2025 00:00:00 GMT</t>
  </si>
  <si>
    <t>Thu, 23 Jan 2025 00:00:00 GMT</t>
  </si>
  <si>
    <t>Wed, 22 Jan 2025 00:00:00 GMT</t>
  </si>
  <si>
    <t>Tue, 21 Jan 2025 00:00:00 GMT</t>
  </si>
  <si>
    <t>Fri, 17 Jan 2025 00:00:00 GMT</t>
  </si>
  <si>
    <t>Thu, 16 Jan 2025 00:00:00 GMT</t>
  </si>
  <si>
    <t>Wed, 15 Jan 2025 00:00:00 GMT</t>
  </si>
  <si>
    <t>Tue, 14 Jan 2025 00:00:00 GMT</t>
  </si>
  <si>
    <t>Mon, 13 Jan 2025 00:00:00 GMT</t>
  </si>
  <si>
    <t>Fri, 10 Jan 2025 00:00:00 GMT</t>
  </si>
  <si>
    <t>Wed, 08 Jan 2025 00:00:00 GMT</t>
  </si>
  <si>
    <t>Tue, 07 Jan 2025 00:00:00 GMT</t>
  </si>
  <si>
    <t>Mon, 06 Jan 2025 00:00:00 GMT</t>
  </si>
  <si>
    <t>Fri, 03 Jan 2025 00:00:00 GMT</t>
  </si>
  <si>
    <t>Thu, 02 Jan 2025 00:00:00 GMT</t>
  </si>
  <si>
    <t>Tue, 31 Dec 2024 00:00:00 GMT</t>
  </si>
  <si>
    <t>Mon, 30 Dec 2024 00:00:00 GMT</t>
  </si>
  <si>
    <t>Fri, 27 Dec 2024 00:00:00 GMT</t>
  </si>
  <si>
    <t>Thu, 26 Dec 2024 00:00:00 GMT</t>
  </si>
  <si>
    <t>Tue, 24 Dec 2024 00:00:00 GMT</t>
  </si>
  <si>
    <t>Mon, 23 Dec 2024 00:00:00 GMT</t>
  </si>
  <si>
    <t>Fri, 20 Dec 2024 00:00:00 GMT</t>
  </si>
  <si>
    <t>Thu, 19 Dec 2024 00:00:00 GMT</t>
  </si>
  <si>
    <t>Wed, 18 Dec 2024 00:00:00 GMT</t>
  </si>
  <si>
    <t>Tue, 17 Dec 2024 00:00:00 GMT</t>
  </si>
  <si>
    <t>Mon, 16 Dec 2024 00:00:00 GMT</t>
  </si>
  <si>
    <t>Fri, 13 Dec 2024 00:00:00 GMT</t>
  </si>
  <si>
    <t>Thu, 12 Dec 2024 00:00:00 GMT</t>
  </si>
  <si>
    <t>Wed, 11 Dec 2024 00:00:00 GMT</t>
  </si>
  <si>
    <t>Tue, 10 Dec 2024 00:00:00 GMT</t>
  </si>
  <si>
    <t>Mon, 09 Dec 2024 00:00:00 GMT</t>
  </si>
  <si>
    <t>Fri, 06 Dec 2024 00:00:00 GMT</t>
  </si>
  <si>
    <t>Thu, 05 Dec 2024 00:00:00 GMT</t>
  </si>
  <si>
    <t>Wed, 04 Dec 2024 00:00:00 GMT</t>
  </si>
  <si>
    <t>Tue, 03 Dec 2024 00:00:00 GMT</t>
  </si>
  <si>
    <t>Mon, 02 Dec 2024 00:00:00 GMT</t>
  </si>
  <si>
    <t>Fri, 29 Nov 2024 00:00:00 GMT</t>
  </si>
  <si>
    <t>Wed, 27 Nov 2024 00:00:00 GMT</t>
  </si>
  <si>
    <t>Tue, 26 Nov 2024 00:00:00 GMT</t>
  </si>
  <si>
    <t>Mon, 25 Nov 2024 00:00:00 GMT</t>
  </si>
  <si>
    <t>Fri, 22 Nov 2024 00:00:00 GMT</t>
  </si>
  <si>
    <t>Thu, 21 Nov 2024 00:00:00 GMT</t>
  </si>
  <si>
    <t>Wed, 20 Nov 2024 00:00:00 GMT</t>
  </si>
  <si>
    <t>Tue, 19 Nov 2024 00:00:00 GMT</t>
  </si>
  <si>
    <t>Mon, 18 Nov 2024 00:00:00 GMT</t>
  </si>
  <si>
    <t>Fri, 15 Nov 2024 00:00:00 GMT</t>
  </si>
  <si>
    <t>Thu, 14 Nov 2024 00:00:00 GMT</t>
  </si>
  <si>
    <t>Wed, 13 Nov 2024 00:00:00 GMT</t>
  </si>
  <si>
    <t>Tue, 12 Nov 2024 00:00:00 GMT</t>
  </si>
  <si>
    <t>Mon, 11 Nov 2024 00:00:00 GMT</t>
  </si>
  <si>
    <t>Fri, 08 Nov 2024 00:00:00 GMT</t>
  </si>
  <si>
    <t>Thu, 07 Nov 2024 00:00:00 GMT</t>
  </si>
  <si>
    <t>Wed, 06 Nov 2024 00:00:00 GMT</t>
  </si>
  <si>
    <t>Tue, 05 Nov 2024 00:00:00 GMT</t>
  </si>
  <si>
    <t>Mon, 04 Nov 2024 00:00:00 GMT</t>
  </si>
  <si>
    <t>Fri, 01 Nov 2024 00:00:00 GMT</t>
  </si>
  <si>
    <t>Thu, 31 Oct 2024 00:00:00 GMT</t>
  </si>
  <si>
    <t>Wed, 30 Oct 2024 00:00:00 GMT</t>
  </si>
  <si>
    <t>Tue, 29 Oct 2024 00:00:00 GMT</t>
  </si>
  <si>
    <t>Mon, 28 Oct 2024 00:00:00 GMT</t>
  </si>
  <si>
    <t>Fri, 25 Oct 2024 00:00:00 GMT</t>
  </si>
  <si>
    <t>Thu, 24 Oct 2024 00:00:00 GMT</t>
  </si>
  <si>
    <t>Wed, 23 Oct 2024 00:00:00 GMT</t>
  </si>
  <si>
    <t>Tue, 22 Oct 2024 00:00:00 GMT</t>
  </si>
  <si>
    <t>Mon, 21 Oct 2024 00:00:00 GMT</t>
  </si>
  <si>
    <t>Fri, 18 Oct 2024 00:00:00 GMT</t>
  </si>
  <si>
    <t>Thu, 17 Oct 2024 00:00:00 GMT</t>
  </si>
  <si>
    <t>Wed, 16 Oct 2024 00:00:00 GMT</t>
  </si>
  <si>
    <t>Tue, 15 Oct 2024 00:00:00 GMT</t>
  </si>
  <si>
    <t>Mon, 14 Oct 2024 00:00:00 GMT</t>
  </si>
  <si>
    <t>Fri, 11 Oct 2024 00:00:00 GMT</t>
  </si>
  <si>
    <t>Thu, 10 Oct 2024 00:00:00 GMT</t>
  </si>
  <si>
    <t>Wed, 09 Oct 2024 00:00:00 GMT</t>
  </si>
  <si>
    <t>Tue, 08 Oct 2024 00:00:00 GMT</t>
  </si>
  <si>
    <t>Mon, 07 Oct 2024 00:00:00 GMT</t>
  </si>
  <si>
    <t>Fri, 04 Oct 2024 00:00:00 GMT</t>
  </si>
  <si>
    <t>Thu, 03 Oct 2024 00:00:00 GMT</t>
  </si>
  <si>
    <t>Wed, 02 Oct 2024 00:00:00 GMT</t>
  </si>
  <si>
    <t>Tue, 01 Oct 2024 00:00:00 GMT</t>
  </si>
  <si>
    <t>Mon, 30 Sep 2024 00:00:00 GMT</t>
  </si>
  <si>
    <t>Fri, 27 Sep 2024 00:00:00 GMT</t>
  </si>
  <si>
    <t>Thu, 26 Sep 2024 00:00:00 GMT</t>
  </si>
  <si>
    <t>Wed, 25 Sep 2024 00:00:00 GMT</t>
  </si>
  <si>
    <t>Tue, 24 Sep 2024 00:00:00 GMT</t>
  </si>
  <si>
    <t>Mon, 23 Sep 2024 00:00:00 GMT</t>
  </si>
  <si>
    <t>Fri, 20 Sep 2024 00:00:00 GMT</t>
  </si>
  <si>
    <t>Thu, 19 Sep 2024 00:00:00 GMT</t>
  </si>
  <si>
    <t>Wed, 18 Sep 2024 00:00:00 GMT</t>
  </si>
  <si>
    <t>Tue, 17 Sep 2024 00:00:00 GMT</t>
  </si>
  <si>
    <t>Mon, 16 Sep 2024 00:00:00 GMT</t>
  </si>
  <si>
    <t>Fri, 13 Sep 2024 00:00:00 GMT</t>
  </si>
  <si>
    <t>Thu, 12 Sep 2024 00:00:00 GMT</t>
  </si>
  <si>
    <t>Wed, 11 Sep 2024 00:00:00 GMT</t>
  </si>
  <si>
    <t>Tue, 10 Sep 2024 00:00:00 GMT</t>
  </si>
  <si>
    <t>Mon, 09 Sep 2024 00:00:00 GMT</t>
  </si>
  <si>
    <t>Fri, 06 Sep 2024 00:00:00 GMT</t>
  </si>
  <si>
    <t>Thu, 05 Sep 2024 00:00:00 GMT</t>
  </si>
  <si>
    <t>Wed, 04 Sep 2024 00:00:00 GMT</t>
  </si>
  <si>
    <t>Tue, 03 Sep 2024 00:00:00 GMT</t>
  </si>
  <si>
    <t>Fri, 30 Aug 2024 00:00:00 GMT</t>
  </si>
  <si>
    <t>Thu, 29 Aug 2024 00:00:00 GMT</t>
  </si>
  <si>
    <t>Wed, 28 Aug 2024 00:00:00 GMT</t>
  </si>
  <si>
    <t>Tue, 27 Aug 2024 00:00:00 GMT</t>
  </si>
  <si>
    <t>Mon, 26 Aug 2024 00:00:00 GMT</t>
  </si>
  <si>
    <t>Fri, 23 Aug 2024 00:00:00 GMT</t>
  </si>
  <si>
    <t>Thu, 22 Aug 2024 00:00:00 GMT</t>
  </si>
  <si>
    <t>Wed, 21 Aug 2024 00:00:00 GMT</t>
  </si>
  <si>
    <t>Tue, 20 Aug 2024 00:00:00 GMT</t>
  </si>
  <si>
    <t>Mon, 19 Aug 2024 00:00:00 GMT</t>
  </si>
  <si>
    <t>Fri, 16 Aug 2024 00:00:00 GMT</t>
  </si>
  <si>
    <t>Thu, 15 Aug 2024 00:00:00 GMT</t>
  </si>
  <si>
    <t>Wed, 14 Aug 2024 00:00:00 GMT</t>
  </si>
  <si>
    <t>Tue, 13 Aug 2024 00:00:00 GMT</t>
  </si>
  <si>
    <t>Mon, 12 Aug 2024 00:00:00 GMT</t>
  </si>
  <si>
    <t>Fri, 09 Aug 2024 00:00:00 GMT</t>
  </si>
  <si>
    <t>Thu, 08 Aug 2024 00:00:00 GMT</t>
  </si>
  <si>
    <t>Wed, 07 Aug 2024 00:00:00 GMT</t>
  </si>
  <si>
    <t>Tue, 06 Aug 2024 00:00:00 GMT</t>
  </si>
  <si>
    <t>Mon, 05 Aug 2024 00:00:00 GMT</t>
  </si>
  <si>
    <t>Fri, 02 Aug 2024 00:00:00 GMT</t>
  </si>
  <si>
    <t>Thu, 01 Aug 2024 00:00:00 GMT</t>
  </si>
  <si>
    <t>Wed, 31 Jul 2024 00:00:00 GMT</t>
  </si>
  <si>
    <t>Tue, 30 Jul 2024 00:00:00 GMT</t>
  </si>
  <si>
    <t>Mon, 29 Jul 2024 00:00:00 GMT</t>
  </si>
  <si>
    <t>Fri, 26 Jul 2024 00:00:00 GMT</t>
  </si>
  <si>
    <t>Thu, 25 Jul 2024 00:00:00 GMT</t>
  </si>
  <si>
    <t>Wed, 24 Jul 2024 00:00:00 GMT</t>
  </si>
  <si>
    <t>Tue, 23 Jul 2024 00:00:00 GMT</t>
  </si>
  <si>
    <t>Mon, 22 Jul 2024 00:00:00 GMT</t>
  </si>
  <si>
    <t>Fri, 19 Jul 2024 00:00:00 GMT</t>
  </si>
  <si>
    <t>Thu, 18 Jul 2024 00:00:00 GMT</t>
  </si>
  <si>
    <t>Wed, 17 Jul 2024 00:00:00 GMT</t>
  </si>
  <si>
    <t>Tue, 16 Jul 2024 00:00:00 GMT</t>
  </si>
  <si>
    <t>Mon, 15 Jul 2024 00:00:00 GMT</t>
  </si>
  <si>
    <t>Fri, 12 Jul 2024 00:00:00 GMT</t>
  </si>
  <si>
    <t>Thu, 11 Jul 2024 00:00:00 GMT</t>
  </si>
  <si>
    <t>Wed, 10 Jul 2024 00:00:00 GMT</t>
  </si>
  <si>
    <t>Tue, 09 Jul 2024 00:00:00 GMT</t>
  </si>
  <si>
    <t>Mon, 08 Jul 2024 00:00:00 GMT</t>
  </si>
  <si>
    <t>Fri, 05 Jul 2024 00:00:00 GMT</t>
  </si>
  <si>
    <t>Wed, 03 Jul 2024 00:00:00 GMT</t>
  </si>
  <si>
    <t>Tue, 02 Jul 2024 00:00:00 GMT</t>
  </si>
  <si>
    <t>Mon, 01 Jul 2024 00:00:00 GMT</t>
  </si>
  <si>
    <t>Fri, 28 Jun 2024 00:00:00 GMT</t>
  </si>
  <si>
    <t>Thu, 27 Jun 2024 00:00:00 GMT</t>
  </si>
  <si>
    <t>Wed, 26 Jun 2024 00:00:00 GMT</t>
  </si>
  <si>
    <t>Tue, 25 Jun 2024 00:00:00 GMT</t>
  </si>
  <si>
    <t>Mon, 24 Jun 2024 00:00:00 GMT</t>
  </si>
  <si>
    <t>Fri, 21 Jun 2024 00:00:00 GMT</t>
  </si>
  <si>
    <t>Thu, 20 Jun 2024 00:00:00 GMT</t>
  </si>
  <si>
    <t>Tue, 18 Jun 2024 00:00:00 GMT</t>
  </si>
  <si>
    <t>Mon, 17 Jun 2024 00:00:00 GMT</t>
  </si>
  <si>
    <t>Fri, 14 Jun 2024 00:00:00 GMT</t>
  </si>
  <si>
    <t>Thu, 13 Jun 2024 00:00:00 GMT</t>
  </si>
  <si>
    <t>Wed, 12 Jun 2024 00:00:00 GMT</t>
  </si>
  <si>
    <t>Tue, 11 Jun 2024 00:00:00 GMT</t>
  </si>
  <si>
    <t>Mon, 10 Jun 2024 00:00:00 GMT</t>
  </si>
  <si>
    <t>Fri, 07 Jun 2024 00:00:00 GMT</t>
  </si>
  <si>
    <t>Thu, 06 Jun 2024 00:00:00 GMT</t>
  </si>
  <si>
    <t>Wed, 05 Jun 2024 00:00:00 GMT</t>
  </si>
  <si>
    <t>Tue, 04 Jun 2024 00:00:00 GMT</t>
  </si>
  <si>
    <t>Mon, 03 Jun 2024 00:00:00 GMT</t>
  </si>
  <si>
    <t>Fri, 31 May 2024 00:00:00 GMT</t>
  </si>
  <si>
    <t>Thu, 30 May 2024 00:00:00 GMT</t>
  </si>
  <si>
    <t>Wed, 29 May 2024 00:00:00 GMT</t>
  </si>
  <si>
    <t>Tue, 28 May 2024 00:00:00 GMT</t>
  </si>
  <si>
    <t>Fri, 24 May 2024 00:00:00 GMT</t>
  </si>
  <si>
    <t>Thu, 23 May 2024 00:00:00 GMT</t>
  </si>
  <si>
    <t>Wed, 22 May 2024 00:00:00 GMT</t>
  </si>
  <si>
    <t>Tue, 21 May 2024 00:00:00 GMT</t>
  </si>
  <si>
    <t>Mon, 20 May 2024 00:00:00 GMT</t>
  </si>
  <si>
    <t>Fri, 17 May 2024 00:00:00 GMT</t>
  </si>
  <si>
    <t>Thu, 16 May 2024 00:00:00 GMT</t>
  </si>
  <si>
    <t>Wed, 15 May 2024 00:00:00 GMT</t>
  </si>
  <si>
    <t>Tue, 14 May 2024 00:00:00 GMT</t>
  </si>
  <si>
    <t>Mon, 13 May 2024 00:00:00 GMT</t>
  </si>
  <si>
    <t>Fri, 10 May 2024 00:00:00 GMT</t>
  </si>
  <si>
    <t>Thu, 09 May 2024 00:00:00 GMT</t>
  </si>
  <si>
    <t>Wed, 08 May 2024 00:00:00 GMT</t>
  </si>
  <si>
    <t>Tue, 07 May 2024 00:00:00 GMT</t>
  </si>
  <si>
    <t>Mon, 06 May 2024 00:00:00 GMT</t>
  </si>
  <si>
    <t>Fri, 03 May 2024 00:00:00 GMT</t>
  </si>
  <si>
    <t>Thu, 02 May 2024 00:00:00 GMT</t>
  </si>
  <si>
    <t>Wed, 01 May 2024 00:00:00 GMT</t>
  </si>
  <si>
    <t>Tue, 30 Apr 2024 00:00:00 GMT</t>
  </si>
  <si>
    <t>Mon, 29 Apr 2024 00:00:00 GMT</t>
  </si>
  <si>
    <t>Fri, 26 Apr 2024 00:00:00 GMT</t>
  </si>
  <si>
    <t>Thu, 25 Apr 2024 00:00:00 GMT</t>
  </si>
  <si>
    <t>Wed, 24 Apr 2024 00:00:00 GMT</t>
  </si>
  <si>
    <t>Tue, 23 Apr 2024 00:00:00 GMT</t>
  </si>
  <si>
    <t>Mon, 22 Apr 2024 00:00:00 GMT</t>
  </si>
  <si>
    <t>Fri, 19 Apr 2024 00:00:00 GMT</t>
  </si>
  <si>
    <t>Thu, 18 Apr 2024 00:00:00 GMT</t>
  </si>
  <si>
    <t>Wed, 17 Apr 2024 00:00:00 GMT</t>
  </si>
  <si>
    <t>Tue, 16 Apr 2024 00:00:00 GMT</t>
  </si>
  <si>
    <t>Mon, 15 Apr 2024 00:00:00 GMT</t>
  </si>
  <si>
    <t>Fri, 12 Apr 2024 00:00:00 GMT</t>
  </si>
  <si>
    <t>Thu, 11 Apr 2024 00:00:00 GMT</t>
  </si>
  <si>
    <t>Wed, 10 Apr 2024 00:00:00 GMT</t>
  </si>
  <si>
    <t>Tue, 09 Apr 2024 00:00:00 GMT</t>
  </si>
  <si>
    <t>Mon, 08 Apr 2024 00:00:00 GMT</t>
  </si>
  <si>
    <t>Fri, 05 Apr 2024 00:00:00 GMT</t>
  </si>
  <si>
    <t>Thu, 04 Apr 2024 00:00:00 GMT</t>
  </si>
  <si>
    <t>Wed, 03 Apr 2024 00:00:00 GMT</t>
  </si>
  <si>
    <t>Tue, 02 Apr 2024 00:00:00 GMT</t>
  </si>
  <si>
    <t>Mon, 01 Apr 2024 00:00:00 GMT</t>
  </si>
  <si>
    <t>Thu, 28 Mar 2024 00:00:00 GMT</t>
  </si>
  <si>
    <t>Wed, 27 Mar 2024 00:00:00 GMT</t>
  </si>
  <si>
    <t>Tue, 26 Mar 2024 00:00:00 GMT</t>
  </si>
  <si>
    <t>Mon, 25 Mar 2024 00:00:00 GMT</t>
  </si>
  <si>
    <t>Fri, 22 Mar 2024 00:00:00 GMT</t>
  </si>
  <si>
    <t>Thu, 21 Mar 2024 00:00:00 GMT</t>
  </si>
  <si>
    <t>Wed, 20 Mar 2024 00:00:00 GMT</t>
  </si>
  <si>
    <t>Tue, 19 Mar 2024 00:00:00 GMT</t>
  </si>
  <si>
    <t>Mon, 18 Mar 2024 00:00:00 GMT</t>
  </si>
  <si>
    <t>Fri, 15 Mar 2024 00:00:00 GMT</t>
  </si>
  <si>
    <t>Thu, 14 Mar 2024 00:00:00 GMT</t>
  </si>
  <si>
    <t>Wed, 13 Mar 2024 00:00:00 GMT</t>
  </si>
  <si>
    <t>Tue, 12 Mar 2024 00:00:00 GMT</t>
  </si>
  <si>
    <t>Mon, 11 Mar 2024 00:00:00 GMT</t>
  </si>
  <si>
    <t>Fri, 08 Mar 2024 00:00:00 GMT</t>
  </si>
  <si>
    <t>Thu, 07 Mar 2024 00:00:00 GMT</t>
  </si>
  <si>
    <t>Wed, 06 Mar 2024 00:00:00 GMT</t>
  </si>
  <si>
    <t>Tue, 05 Mar 2024 00:00:00 GMT</t>
  </si>
  <si>
    <t>Mon, 04 Mar 2024 00:00:00 GMT</t>
  </si>
  <si>
    <t>Fri, 01 Mar 2024 00:00:00 GMT</t>
  </si>
  <si>
    <t>Thu, 29 Feb 2024 00:00:00 GMT</t>
  </si>
  <si>
    <t>Wed, 28 Feb 2024 00:00:00 GMT</t>
  </si>
  <si>
    <t>Tue, 27 Feb 2024 00:00:00 GMT</t>
  </si>
  <si>
    <t>Mon, 26 Feb 2024 00:00:00 GMT</t>
  </si>
  <si>
    <t>Fri, 23 Feb 2024 00:00:00 GMT</t>
  </si>
  <si>
    <t>Thu, 22 Feb 2024 00:00:00 GMT</t>
  </si>
  <si>
    <t>Wed, 21 Feb 2024 00:00:00 GMT</t>
  </si>
  <si>
    <t>Tue, 20 Feb 2024 00:00:00 GMT</t>
  </si>
  <si>
    <t>Fri, 16 Feb 2024 00:00:00 GMT</t>
  </si>
  <si>
    <t>Thu, 15 Feb 2024 00:00:00 GMT</t>
  </si>
  <si>
    <t>Wed, 14 Feb 2024 00:00:00 GMT</t>
  </si>
  <si>
    <t>Tue, 13 Feb 2024 00:00:00 GMT</t>
  </si>
  <si>
    <t>Mon, 12 Feb 2024 00:00:00 GMT</t>
  </si>
  <si>
    <t>Fri, 09 Feb 2024 00:00:00 GMT</t>
  </si>
  <si>
    <t>Thu, 08 Feb 2024 00:00:00 GMT</t>
  </si>
  <si>
    <t>Wed, 07 Feb 2024 00:00:00 GMT</t>
  </si>
  <si>
    <t>Tue, 06 Feb 2024 00:00:00 GMT</t>
  </si>
  <si>
    <t>Mon, 05 Feb 2024 00:00:00 GMT</t>
  </si>
  <si>
    <t>Fri, 02 Feb 2024 00:00:00 GMT</t>
  </si>
  <si>
    <t>Thu, 01 Feb 2024 00:00:00 GMT</t>
  </si>
  <si>
    <t>Wed, 31 Jan 2024 00:00:00 GMT</t>
  </si>
  <si>
    <t>Tue, 30 Jan 2024 00:00:00 GMT</t>
  </si>
  <si>
    <t>Mon, 29 Jan 2024 00:00:00 GMT</t>
  </si>
  <si>
    <t>Fri, 26 Jan 2024 00:00:00 GMT</t>
  </si>
  <si>
    <t>Thu, 25 Jan 2024 00:00:00 GMT</t>
  </si>
  <si>
    <t>Wed, 24 Jan 2024 00:00:00 GMT</t>
  </si>
  <si>
    <t>Tue, 23 Jan 2024 00:00:00 GMT</t>
  </si>
  <si>
    <t>Mon, 22 Jan 2024 00:00:00 GMT</t>
  </si>
  <si>
    <t>Fri, 19 Jan 2024 00:00:00 GMT</t>
  </si>
  <si>
    <t>Thu, 18 Jan 2024 00:00:00 GMT</t>
  </si>
  <si>
    <t>Wed, 17 Jan 2024 00:00:00 GMT</t>
  </si>
  <si>
    <t>Tue, 16 Jan 2024 00:00:00 GMT</t>
  </si>
  <si>
    <t>Fri, 12 Jan 2024 00:00:00 GMT</t>
  </si>
  <si>
    <t>Thu, 11 Jan 2024 00:00:00 GMT</t>
  </si>
  <si>
    <t>Wed, 10 Jan 2024 00:00:00 GMT</t>
  </si>
  <si>
    <t>Tue, 09 Jan 2024 00:00:00 GMT</t>
  </si>
  <si>
    <t>Mon, 08 Jan 2024 00:00:00 GMT</t>
  </si>
  <si>
    <t>Fri, 05 Jan 2024 00:00:00 GMT</t>
  </si>
  <si>
    <t>Thu, 04 Jan 2024 00:00:00 GMT</t>
  </si>
  <si>
    <t>Wed, 03 Jan 2024 00:00:00 GMT</t>
  </si>
  <si>
    <t>Tue, 02 Jan 2024 00:00:00 GMT</t>
  </si>
  <si>
    <t>Fri, 29 Dec 2023 00:00:00 GMT</t>
  </si>
  <si>
    <t>Thu, 28 Dec 2023 00:00:00 GMT</t>
  </si>
  <si>
    <t>Wed, 27 Dec 2023 00:00:00 GMT</t>
  </si>
  <si>
    <t>Tue, 26 Dec 2023 00:00:00 GMT</t>
  </si>
  <si>
    <t>Fri, 22 Dec 2023 00:00:00 GMT</t>
  </si>
  <si>
    <t>Thu, 21 Dec 2023 00:00:00 GMT</t>
  </si>
  <si>
    <t>Wed, 20 Dec 2023 00:00:00 GMT</t>
  </si>
  <si>
    <t>Tue, 19 Dec 2023 00:00:00 GMT</t>
  </si>
  <si>
    <t>Mon, 18 Dec 2023 00:00:00 GMT</t>
  </si>
  <si>
    <t>Fri, 15 Dec 2023 00:00:00 GMT</t>
  </si>
  <si>
    <t>Thu, 14 Dec 2023 00:00:00 GMT</t>
  </si>
  <si>
    <t>Wed, 13 Dec 2023 00:00:00 GMT</t>
  </si>
  <si>
    <t>Tue, 12 Dec 2023 00:00:00 GMT</t>
  </si>
  <si>
    <t>Mon, 11 Dec 2023 00:00:00 GMT</t>
  </si>
  <si>
    <t>Fri, 08 Dec 2023 00:00:00 GMT</t>
  </si>
  <si>
    <t>Thu, 07 Dec 2023 00:00:00 GMT</t>
  </si>
  <si>
    <t>Wed, 06 Dec 2023 00:00:00 GMT</t>
  </si>
  <si>
    <t>Tue, 05 Dec 2023 00:00:00 GMT</t>
  </si>
  <si>
    <t>Mon, 04 Dec 2023 00:00:00 GMT</t>
  </si>
  <si>
    <t>Fri, 01 Dec 2023 00:00:00 GMT</t>
  </si>
  <si>
    <t>Thu, 30 Nov 2023 00:00:00 GMT</t>
  </si>
  <si>
    <t>Wed, 29 Nov 2023 00:00:00 GMT</t>
  </si>
  <si>
    <t>Tue, 28 Nov 2023 00:00:00 GMT</t>
  </si>
  <si>
    <t>Mon, 27 Nov 2023 00:00:00 GMT</t>
  </si>
  <si>
    <t>Fri, 24 Nov 2023 00:00:00 GMT</t>
  </si>
  <si>
    <t>Wed, 22 Nov 2023 00:00:00 GMT</t>
  </si>
  <si>
    <t>Tue, 21 Nov 2023 00:00:00 GMT</t>
  </si>
  <si>
    <t>Mon, 20 Nov 2023 00:00:00 GMT</t>
  </si>
  <si>
    <t>Fri, 17 Nov 2023 00:00:00 GMT</t>
  </si>
  <si>
    <t>Thu, 16 Nov 2023 00:00:00 GMT</t>
  </si>
  <si>
    <t>Wed, 15 Nov 2023 00:00:00 GMT</t>
  </si>
  <si>
    <t>Tue, 14 Nov 2023 00:00:00 GMT</t>
  </si>
  <si>
    <t>Mon, 13 Nov 2023 00:00:00 GMT</t>
  </si>
  <si>
    <t>Fri, 10 Nov 2023 00:00:00 GMT</t>
  </si>
  <si>
    <t>Thu, 09 Nov 2023 00:00:00 GMT</t>
  </si>
  <si>
    <t>Wed, 08 Nov 2023 00:00:00 GMT</t>
  </si>
  <si>
    <t>Tue, 07 Nov 2023 00:00:00 GMT</t>
  </si>
  <si>
    <t>Mon, 06 Nov 2023 00:00:00 GMT</t>
  </si>
  <si>
    <t>Fri, 03 Nov 2023 00:00:00 GMT</t>
  </si>
  <si>
    <t>Thu, 02 Nov 2023 00:00:00 GMT</t>
  </si>
  <si>
    <t>Wed, 01 Nov 2023 00:00:00 GMT</t>
  </si>
  <si>
    <t>Tue, 31 Oct 2023 00:00:00 GMT</t>
  </si>
  <si>
    <t>Mon, 30 Oct 2023 00:00:00 GMT</t>
  </si>
  <si>
    <t>Fri, 27 Oct 2023 00:00:00 GMT</t>
  </si>
  <si>
    <t>Thu, 26 Oct 2023 00:00:00 GMT</t>
  </si>
  <si>
    <t>Wed, 25 Oct 2023 00:00:00 GMT</t>
  </si>
  <si>
    <t>Tue, 24 Oct 2023 00:00:00 GMT</t>
  </si>
  <si>
    <t>Mon, 23 Oct 2023 00:00:00 GMT</t>
  </si>
  <si>
    <t>Fri, 20 Oct 2023 00:00:00 GMT</t>
  </si>
  <si>
    <t>Thu, 19 Oct 2023 00:00:00 GMT</t>
  </si>
  <si>
    <t>Wed, 18 Oct 2023 00:00:00 GMT</t>
  </si>
  <si>
    <t>Tue, 17 Oct 2023 00:00:00 GMT</t>
  </si>
  <si>
    <t>Mon, 16 Oct 2023 00:00:00 GMT</t>
  </si>
  <si>
    <t>Fri, 13 Oct 2023 00:00:00 GMT</t>
  </si>
  <si>
    <t>Thu, 12 Oct 2023 00:00:00 GMT</t>
  </si>
  <si>
    <t>Wed, 11 Oct 2023 00:00:00 GMT</t>
  </si>
  <si>
    <t>Tue, 10 Oct 2023 00:00:00 GMT</t>
  </si>
  <si>
    <t>Mon, 09 Oct 2023 00:00:00 GMT</t>
  </si>
  <si>
    <t>Fri, 06 Oct 2023 00:00:00 GMT</t>
  </si>
  <si>
    <t>Thu, 05 Oct 2023 00:00:00 GMT</t>
  </si>
  <si>
    <t>Wed, 04 Oct 2023 00:00:00 GMT</t>
  </si>
  <si>
    <t>Tue, 03 Oct 2023 00:00:00 GMT</t>
  </si>
  <si>
    <t>Mon, 02 Oct 2023 00:00:00 GMT</t>
  </si>
  <si>
    <t>Fri, 29 Sep 2023 00:00:00 GMT</t>
  </si>
  <si>
    <t>Thu, 28 Sep 2023 00:00:00 GMT</t>
  </si>
  <si>
    <t>Wed, 27 Sep 2023 00:00:00 GMT</t>
  </si>
  <si>
    <t>Tue, 26 Sep 2023 00:00:00 GMT</t>
  </si>
  <si>
    <t>Mon, 25 Sep 2023 00:00:00 GMT</t>
  </si>
  <si>
    <t>Fri, 22 Sep 2023 00:00:00 GMT</t>
  </si>
  <si>
    <t>Thu, 21 Sep 2023 00:00:00 GMT</t>
  </si>
  <si>
    <t>Wed, 20 Sep 2023 00:00:00 GMT</t>
  </si>
  <si>
    <t>Tue, 19 Sep 2023 00:00:00 GMT</t>
  </si>
  <si>
    <t>Mon, 18 Sep 2023 00:00:00 GMT</t>
  </si>
  <si>
    <t>Fri, 15 Sep 2023 00:00:00 GMT</t>
  </si>
  <si>
    <t>Thu, 14 Sep 2023 00:00:00 GMT</t>
  </si>
  <si>
    <t>Wed, 13 Sep 2023 00:00:00 GMT</t>
  </si>
  <si>
    <t>Tue, 12 Sep 2023 00:00:00 GMT</t>
  </si>
  <si>
    <t>Mon, 11 Sep 2023 00:00:00 GMT</t>
  </si>
  <si>
    <t>Fri, 08 Sep 2023 00:00:00 GMT</t>
  </si>
  <si>
    <t>Thu, 07 Sep 2023 00:00:00 GMT</t>
  </si>
  <si>
    <t>Wed, 06 Sep 2023 00:00:00 GMT</t>
  </si>
  <si>
    <t>Tue, 05 Sep 2023 00:00:00 GMT</t>
  </si>
  <si>
    <t>Fri, 01 Sep 2023 00:00:00 GMT</t>
  </si>
  <si>
    <t>Thu, 31 Aug 2023 00:00:00 GMT</t>
  </si>
  <si>
    <t>Wed, 30 Aug 2023 00:00:00 GMT</t>
  </si>
  <si>
    <t>Tue, 29 Aug 2023 00:00:00 GMT</t>
  </si>
  <si>
    <t>Mon, 28 Aug 2023 00:00:00 GMT</t>
  </si>
  <si>
    <t>Fri, 25 Aug 2023 00:00:00 GMT</t>
  </si>
  <si>
    <t>Thu, 24 Aug 2023 00:00:00 GMT</t>
  </si>
  <si>
    <t>Wed, 23 Aug 2023 00:00:00 GMT</t>
  </si>
  <si>
    <t>Tue, 22 Aug 2023 00:00:00 GMT</t>
  </si>
  <si>
    <t>Mon, 21 Aug 2023 00:00:00 GMT</t>
  </si>
  <si>
    <t>Fri, 18 Aug 2023 00:00:00 GMT</t>
  </si>
  <si>
    <t>Thu, 17 Aug 2023 00:00:00 GMT</t>
  </si>
  <si>
    <t>Wed, 16 Aug 2023 00:00:00 GMT</t>
  </si>
  <si>
    <t>Tue, 15 Aug 2023 00:00:00 GMT</t>
  </si>
  <si>
    <t>Mon, 14 Aug 2023 00:00:00 GMT</t>
  </si>
  <si>
    <t>Fri, 11 Aug 2023 00:00:00 GMT</t>
  </si>
  <si>
    <t>Thu, 10 Aug 2023 00:00:00 GMT</t>
  </si>
  <si>
    <t>Wed, 09 Aug 2023 00:00:00 GMT</t>
  </si>
  <si>
    <t>Tue, 08 Aug 2023 00:00:00 GMT</t>
  </si>
  <si>
    <t>Mon, 07 Aug 2023 00:00:00 GMT</t>
  </si>
  <si>
    <t>Fri, 04 Aug 2023 00:00:00 GMT</t>
  </si>
  <si>
    <t>Thu, 03 Aug 2023 00:00:00 GMT</t>
  </si>
  <si>
    <t>Wed, 02 Aug 2023 00:00:00 GMT</t>
  </si>
  <si>
    <t>Tue, 01 Aug 2023 00:00:00 GMT</t>
  </si>
  <si>
    <t>Mon, 31 Jul 2023 00:00:00 GMT</t>
  </si>
  <si>
    <t>Fri, 28 Jul 2023 00:00:00 GMT</t>
  </si>
  <si>
    <t>Thu, 27 Jul 2023 00:00:00 GMT</t>
  </si>
  <si>
    <t>Wed, 26 Jul 2023 00:00:00 GMT</t>
  </si>
  <si>
    <t>Tue, 25 Jul 2023 00:00:00 GMT</t>
  </si>
  <si>
    <t>Mon, 24 Jul 2023 00:00:00 GMT</t>
  </si>
  <si>
    <t>Fri, 21 Jul 2023 00:00:00 GMT</t>
  </si>
  <si>
    <t>Thu, 20 Jul 2023 00:00:00 GMT</t>
  </si>
  <si>
    <t>Wed, 19 Jul 2023 00:00:00 GMT</t>
  </si>
  <si>
    <t>Tue, 18 Jul 2023 00:00:00 GMT</t>
  </si>
  <si>
    <t>Mon, 17 Jul 2023 00:00:00 GMT</t>
  </si>
  <si>
    <t>Fri, 14 Jul 2023 00:00:00 GMT</t>
  </si>
  <si>
    <t>Thu, 13 Jul 2023 00:00:00 GMT</t>
  </si>
  <si>
    <t>Wed, 12 Jul 2023 00:00:00 GMT</t>
  </si>
  <si>
    <t>Tue, 11 Jul 2023 00:00:00 GMT</t>
  </si>
  <si>
    <t>Mon, 10 Jul 2023 00:00:00 GMT</t>
  </si>
  <si>
    <t>Fri, 07 Jul 2023 00:00:00 GMT</t>
  </si>
  <si>
    <t>Thu, 06 Jul 2023 00:00:00 GMT</t>
  </si>
  <si>
    <t>Wed, 05 Jul 2023 00:00:00 GMT</t>
  </si>
  <si>
    <t>Mon, 03 Jul 2023 00:00:00 GMT</t>
  </si>
  <si>
    <t>Fri, 30 Jun 2023 00:00:00 GMT</t>
  </si>
  <si>
    <t>Thu, 29 Jun 2023 00:00:00 GMT</t>
  </si>
  <si>
    <t>Wed, 28 Jun 2023 00:00:00 GMT</t>
  </si>
  <si>
    <t>Tue, 27 Jun 2023 00:00:00 GMT</t>
  </si>
  <si>
    <t>Mon, 26 Jun 2023 00:00:00 GMT</t>
  </si>
  <si>
    <t>Fri, 23 Jun 2023 00:00:00 GMT</t>
  </si>
  <si>
    <t>Thu, 22 Jun 2023 00:00:00 GMT</t>
  </si>
  <si>
    <t>Wed, 21 Jun 2023 00:00:00 GMT</t>
  </si>
  <si>
    <t>Tue, 20 Jun 2023 00:00:00 GMT</t>
  </si>
  <si>
    <t>Fri, 16 Jun 2023 00:00:00 GMT</t>
  </si>
  <si>
    <t>Thu, 15 Jun 2023 00:00:00 GMT</t>
  </si>
  <si>
    <t>Wed, 14 Jun 2023 00:00:00 GMT</t>
  </si>
  <si>
    <t>Tue, 13 Jun 2023 00:00:00 GMT</t>
  </si>
  <si>
    <t>Mon, 12 Jun 2023 00:00:00 GMT</t>
  </si>
  <si>
    <t>Fri, 09 Jun 2023 00:00:00 GMT</t>
  </si>
  <si>
    <t>Thu, 08 Jun 2023 00:00:00 GMT</t>
  </si>
  <si>
    <t>Wed, 07 Jun 2023 00:00:00 GMT</t>
  </si>
  <si>
    <t>Tue, 06 Jun 2023 00:00:00 GMT</t>
  </si>
  <si>
    <t>Mon, 05 Jun 2023 00:00:00 GMT</t>
  </si>
  <si>
    <t>Fri, 02 Jun 2023 00:00:00 GMT</t>
  </si>
  <si>
    <t>Thu, 01 Jun 2023 00:00:00 GMT</t>
  </si>
  <si>
    <t>Wed, 31 May 2023 00:00:00 GMT</t>
  </si>
  <si>
    <t>Tue, 30 May 2023 00:00:00 GMT</t>
  </si>
  <si>
    <t>Fri, 26 May 2023 00:00:00 GMT</t>
  </si>
  <si>
    <t>Thu, 25 May 2023 00:00:00 GMT</t>
  </si>
  <si>
    <t>Wed, 24 May 2023 00:00:00 GMT</t>
  </si>
  <si>
    <t>Tue, 23 May 2023 00:00:00 GMT</t>
  </si>
  <si>
    <t>Mon, 22 May 2023 00:00:00 GMT</t>
  </si>
  <si>
    <t>Fri, 19 May 2023 00:00:00 GMT</t>
  </si>
  <si>
    <t>Thu, 18 May 2023 00:00:00 GMT</t>
  </si>
  <si>
    <t>Wed, 17 May 2023 00:00:00 GMT</t>
  </si>
  <si>
    <t>Tue, 16 May 2023 00:00:00 GMT</t>
  </si>
  <si>
    <t>Mon, 15 May 2023 00:00:00 GMT</t>
  </si>
  <si>
    <t>Thu, 11 May 2023 00:00:00 GMT</t>
  </si>
  <si>
    <t>Wed, 10 May 2023 00:00:00 GMT</t>
  </si>
  <si>
    <t>Tue, 09 May 2023 00:00:00 GMT</t>
  </si>
  <si>
    <t>Mon, 08 May 2023 00:00:00 GMT</t>
  </si>
  <si>
    <t>Fri, 05 May 2023 00:00:00 GMT</t>
  </si>
  <si>
    <t>Thu, 04 May 2023 00:00:00 GMT</t>
  </si>
  <si>
    <t>Wed, 03 May 2023 00:00:00 GMT</t>
  </si>
  <si>
    <t>Tue, 02 May 2023 00:00:00 GMT</t>
  </si>
  <si>
    <t>Mon, 01 May 2023 00:00:00 GMT</t>
  </si>
  <si>
    <t>Fri, 28 Apr 2023 00:00:00 GMT</t>
  </si>
  <si>
    <t>Thu, 27 Apr 2023 00:00:00 GMT</t>
  </si>
  <si>
    <t>Wed, 26 Apr 2023 00:00:00 GMT</t>
  </si>
  <si>
    <t>Tue, 25 Apr 2023 00:00:00 GMT</t>
  </si>
  <si>
    <t>Mon, 24 Apr 2023 00:00:00 GMT</t>
  </si>
  <si>
    <t>Fri, 21 Apr 2023 00:00:00 GMT</t>
  </si>
  <si>
    <t>Thu, 20 Apr 2023 00:00:00 GMT</t>
  </si>
  <si>
    <t>Wed, 19 Apr 2023 00:00:00 GMT</t>
  </si>
  <si>
    <t>Tue, 18 Apr 2023 00:00:00 GMT</t>
  </si>
  <si>
    <t>Mon, 17 Apr 2023 00:00:00 GMT</t>
  </si>
  <si>
    <t>Fri, 14 Apr 2023 00:00:00 GMT</t>
  </si>
  <si>
    <t>Thu, 13 Apr 2023 00:00:00 GMT</t>
  </si>
  <si>
    <t>Wed, 12 Apr 2023 00:00:00 GMT</t>
  </si>
  <si>
    <t>Tue, 11 Apr 2023 00:00:00 GMT</t>
  </si>
  <si>
    <t>Mon, 10 Apr 2023 00:00:00 GMT</t>
  </si>
  <si>
    <t>Thu, 06 Apr 2023 00:00:00 GMT</t>
  </si>
  <si>
    <t>Wed, 05 Apr 2023 00:00:00 GMT</t>
  </si>
  <si>
    <t>Tue, 04 Apr 2023 00:00:00 GMT</t>
  </si>
  <si>
    <t>Mon, 03 Apr 2023 00:00:00 GMT</t>
  </si>
  <si>
    <t>Fri, 31 Mar 2023 00:00:00 GMT</t>
  </si>
  <si>
    <t>Thu, 30 Mar 2023 00:00:00 GMT</t>
  </si>
  <si>
    <t>Wed, 29 Mar 2023 00:00:00 GMT</t>
  </si>
  <si>
    <t>Tue, 28 Mar 2023 00:00:00 GMT</t>
  </si>
  <si>
    <t>Mon, 27 Mar 2023 00:00:00 GMT</t>
  </si>
  <si>
    <t>Fri, 24 Mar 2023 00:00:00 GMT</t>
  </si>
  <si>
    <t>Thu, 23 Mar 2023 00:00:00 GMT</t>
  </si>
  <si>
    <t>Wed, 22 Mar 2023 00:00:00 GMT</t>
  </si>
  <si>
    <t>Tue, 21 Mar 2023 00:00:00 GMT</t>
  </si>
  <si>
    <t>Mon, 20 Mar 2023 00:00:00 GMT</t>
  </si>
  <si>
    <t>Fri, 17 Mar 2023 00:00:00 GMT</t>
  </si>
  <si>
    <t>Thu, 16 Mar 2023 00:00:00 GMT</t>
  </si>
  <si>
    <t>Wed, 15 Mar 2023 00:00:00 GMT</t>
  </si>
  <si>
    <t>Tue, 14 Mar 2023 00:00:00 GMT</t>
  </si>
  <si>
    <t>Mon, 13 Mar 2023 00:00:00 GMT</t>
  </si>
  <si>
    <t>Fri, 10 Mar 2023 00:00:00 GMT</t>
  </si>
  <si>
    <t>Thu, 09 Mar 2023 00:00:00 GMT</t>
  </si>
  <si>
    <t>Wed, 08 Mar 2023 00:00:00 GMT</t>
  </si>
  <si>
    <t>Tue, 07 Mar 2023 00:00:00 GMT</t>
  </si>
  <si>
    <t>Mon, 06 Mar 2023 00:00:00 GMT</t>
  </si>
  <si>
    <t>Fri, 03 Mar 2023 00:00:00 GMT</t>
  </si>
  <si>
    <t>Thu, 02 Mar 2023 00:00:00 GMT</t>
  </si>
  <si>
    <t>Wed, 01 Mar 2023 00:00:00 GMT</t>
  </si>
  <si>
    <t>Tue, 28 Feb 2023 00:00:00 GMT</t>
  </si>
  <si>
    <t>Mon, 27 Feb 2023 00:00:00 GMT</t>
  </si>
  <si>
    <t>Fri, 24 Feb 2023 00:00:00 GMT</t>
  </si>
  <si>
    <t>Thu, 23 Feb 2023 00:00:00 GMT</t>
  </si>
  <si>
    <t>Wed, 22 Feb 2023 00:00:00 GMT</t>
  </si>
  <si>
    <t>Tue, 21 Feb 2023 00:00:00 GMT</t>
  </si>
  <si>
    <t>Fri, 17 Feb 2023 00:00:00 GMT</t>
  </si>
  <si>
    <t>Thu, 16 Feb 2023 00:00:00 GMT</t>
  </si>
  <si>
    <t>Wed, 15 Feb 2023 00:00:00 GMT</t>
  </si>
  <si>
    <t>Tue, 14 Feb 2023 00:00:00 GMT</t>
  </si>
  <si>
    <t>Mon, 13 Feb 2023 00:00:00 GMT</t>
  </si>
  <si>
    <t>Fri, 10 Feb 2023 00:00:00 GMT</t>
  </si>
  <si>
    <t>Thu, 09 Feb 2023 00:00:00 GMT</t>
  </si>
  <si>
    <t>Wed, 08 Feb 2023 00:00:00 GMT</t>
  </si>
  <si>
    <t>Tue, 07 Feb 2023 00:00:00 GMT</t>
  </si>
  <si>
    <t>Mon, 06 Feb 2023 00:00:00 GMT</t>
  </si>
  <si>
    <t>Fri, 03 Feb 2023 00:00:00 GMT</t>
  </si>
  <si>
    <t>Thu, 02 Feb 2023 00:00:00 GMT</t>
  </si>
  <si>
    <t>Wed, 01 Feb 2023 00:00:00 GMT</t>
  </si>
  <si>
    <t>Tue, 31 Jan 2023 00:00:00 GMT</t>
  </si>
  <si>
    <t>Mon, 30 Jan 2023 00:00:00 GMT</t>
  </si>
  <si>
    <t>Fri, 27 Jan 2023 00:00:00 GMT</t>
  </si>
  <si>
    <t>Thu, 26 Jan 2023 00:00:00 GMT</t>
  </si>
  <si>
    <t>Wed, 25 Jan 2023 00:00:00 GMT</t>
  </si>
  <si>
    <t>Tue, 24 Jan 2023 00:00:00 GMT</t>
  </si>
  <si>
    <t>Mon, 23 Jan 2023 00:00:00 GMT</t>
  </si>
  <si>
    <t>Fri, 20 Jan 2023 00:00:00 GMT</t>
  </si>
  <si>
    <t>Thu, 19 Jan 2023 00:00:00 GMT</t>
  </si>
  <si>
    <t>Wed, 18 Jan 2023 00:00:00 GMT</t>
  </si>
  <si>
    <t>Tue, 17 Jan 2023 00:00:00 GMT</t>
  </si>
  <si>
    <t>Fri, 13 Jan 2023 00:00:00 GMT</t>
  </si>
  <si>
    <t>Thu, 12 Jan 2023 00:00:00 GMT</t>
  </si>
  <si>
    <t>Wed, 11 Jan 2023 00:00:00 GMT</t>
  </si>
  <si>
    <t>Tue, 10 Jan 2023 00:00:00 GMT</t>
  </si>
  <si>
    <t>Mon, 09 Jan 2023 00:00:00 GMT</t>
  </si>
  <si>
    <t>Fri, 06 Jan 2023 00:00:00 GMT</t>
  </si>
  <si>
    <t>Thu, 05 Jan 2023 00:00:00 GMT</t>
  </si>
  <si>
    <t>Wed, 04 Jan 2023 00:00:00 GMT</t>
  </si>
  <si>
    <t>Tue, 03 Jan 2023 00:00:00 GMT</t>
  </si>
  <si>
    <t>Fri, 30 Dec 2022 00:00:00 GMT</t>
  </si>
  <si>
    <t>Thu, 29 Dec 2022 00:00:00 GMT</t>
  </si>
  <si>
    <t>Wed, 28 Dec 2022 00:00:00 GMT</t>
  </si>
  <si>
    <t>Tue, 27 Dec 2022 00:00:00 GMT</t>
  </si>
  <si>
    <t>Fri, 23 Dec 2022 00:00:00 GMT</t>
  </si>
  <si>
    <t>Thu, 22 Dec 2022 00:00:00 GMT</t>
  </si>
  <si>
    <t>Wed, 21 Dec 2022 00:00:00 GMT</t>
  </si>
  <si>
    <t>Tue, 20 Dec 2022 00:00:00 GMT</t>
  </si>
  <si>
    <t>Mon, 19 Dec 2022 00:00:00 GMT</t>
  </si>
  <si>
    <t>Fri, 16 Dec 2022 00:00:00 GMT</t>
  </si>
  <si>
    <t>Thu, 15 Dec 2022 00:00:00 GMT</t>
  </si>
  <si>
    <t>Wed, 14 Dec 2022 00:00:00 GMT</t>
  </si>
  <si>
    <t>Tue, 13 Dec 2022 00:00:00 GMT</t>
  </si>
  <si>
    <t>Mon, 12 Dec 2022 00:00:00 GMT</t>
  </si>
  <si>
    <t>Fri, 09 Dec 2022 00:00:00 GMT</t>
  </si>
  <si>
    <t>Thu, 08 Dec 2022 00:00:00 GMT</t>
  </si>
  <si>
    <t>Wed, 07 Dec 2022 00:00:00 GMT</t>
  </si>
  <si>
    <t>Tue, 06 Dec 2022 00:00:00 GMT</t>
  </si>
  <si>
    <t>Mon, 05 Dec 2022 00:00:00 GMT</t>
  </si>
  <si>
    <t>Fri, 02 Dec 2022 00:00:00 GMT</t>
  </si>
  <si>
    <t>Thu, 01 Dec 2022 00:00:00 GMT</t>
  </si>
  <si>
    <t>Wed, 30 Nov 2022 00:00:00 GMT</t>
  </si>
  <si>
    <t>Tue, 29 Nov 2022 00:00:00 GMT</t>
  </si>
  <si>
    <t>Mon, 28 Nov 2022 00:00:00 GMT</t>
  </si>
  <si>
    <t>Fri, 25 Nov 2022 00:00:00 GMT</t>
  </si>
  <si>
    <t>Wed, 23 Nov 2022 00:00:00 GMT</t>
  </si>
  <si>
    <t>Tue, 22 Nov 2022 00:00:00 GMT</t>
  </si>
  <si>
    <t>Mon, 21 Nov 2022 00:00:00 GMT</t>
  </si>
  <si>
    <t>Fri, 18 Nov 2022 00:00:00 GMT</t>
  </si>
  <si>
    <t>Thu, 17 Nov 2022 00:00:00 GMT</t>
  </si>
  <si>
    <t>Wed, 16 Nov 2022 00:00:00 GMT</t>
  </si>
  <si>
    <t>Tue, 15 Nov 2022 00:00:00 GMT</t>
  </si>
  <si>
    <t>Mon, 14 Nov 2022 00:00:00 GMT</t>
  </si>
  <si>
    <t>Fri, 11 Nov 2022 00:00:00 GMT</t>
  </si>
  <si>
    <t>Thu, 10 Nov 2022 00:00:00 GMT</t>
  </si>
  <si>
    <t>Wed, 09 Nov 2022 00:00:00 GMT</t>
  </si>
  <si>
    <t>Tue, 08 Nov 2022 00:00:00 GMT</t>
  </si>
  <si>
    <t>Mon, 07 Nov 2022 00:00:00 GMT</t>
  </si>
  <si>
    <t>Fri, 04 Nov 2022 00:00:00 GMT</t>
  </si>
  <si>
    <t>Thu, 03 Nov 2022 00:00:00 GMT</t>
  </si>
  <si>
    <t>Wed, 02 Nov 2022 00:00:00 GMT</t>
  </si>
  <si>
    <t>Tue, 01 Nov 2022 00:00:00 GMT</t>
  </si>
  <si>
    <t>Mon, 31 Oct 2022 00:00:00 GMT</t>
  </si>
  <si>
    <t>Fri, 28 Oct 2022 00:00:00 GMT</t>
  </si>
  <si>
    <t>Thu, 27 Oct 2022 00:00:00 GMT</t>
  </si>
  <si>
    <t>Wed, 26 Oct 2022 00:00:00 GMT</t>
  </si>
  <si>
    <t>Tue, 25 Oct 2022 00:00:00 GMT</t>
  </si>
  <si>
    <t>Mon, 24 Oct 2022 00:00:00 GMT</t>
  </si>
  <si>
    <t>Fri, 21 Oct 2022 00:00:00 GMT</t>
  </si>
  <si>
    <t>Thu, 20 Oct 2022 00:00:00 GMT</t>
  </si>
  <si>
    <t>Wed, 19 Oct 2022 00:00:00 GMT</t>
  </si>
  <si>
    <t>Tue, 18 Oct 2022 00:00:00 GMT</t>
  </si>
  <si>
    <t>Mon, 17 Oct 2022 00:00:00 GMT</t>
  </si>
  <si>
    <t>Fri, 14 Oct 2022 00:00:00 GMT</t>
  </si>
  <si>
    <t>Thu, 13 Oct 2022 00:00:00 GMT</t>
  </si>
  <si>
    <t>Wed, 12 Oct 2022 00:00:00 GMT</t>
  </si>
  <si>
    <t>Tue, 11 Oct 2022 00:00:00 GMT</t>
  </si>
  <si>
    <t>Mon, 10 Oct 2022 00:00:00 GMT</t>
  </si>
  <si>
    <t>Fri, 07 Oct 2022 00:00:00 GMT</t>
  </si>
  <si>
    <t>Thu, 06 Oct 2022 00:00:00 GMT</t>
  </si>
  <si>
    <t>Wed, 05 Oct 2022 00:00:00 GMT</t>
  </si>
  <si>
    <t>Tue, 04 Oct 2022 00:00:00 GMT</t>
  </si>
  <si>
    <t>Mon, 03 Oct 2022 00:00:00 GMT</t>
  </si>
  <si>
    <t>Fri, 30 Sep 2022 00:00:00 GMT</t>
  </si>
  <si>
    <t>Thu, 29 Sep 2022 00:00:00 GMT</t>
  </si>
  <si>
    <t>Wed, 28 Sep 2022 00:00:00 GMT</t>
  </si>
  <si>
    <t>Tue, 27 Sep 2022 00:00:00 GMT</t>
  </si>
  <si>
    <t>Mon, 26 Sep 2022 00:00:00 GMT</t>
  </si>
  <si>
    <t>Fri, 23 Sep 2022 00:00:00 GMT</t>
  </si>
  <si>
    <t>Thu, 22 Sep 2022 00:00:00 GMT</t>
  </si>
  <si>
    <t>Wed, 21 Sep 2022 00:00:00 GMT</t>
  </si>
  <si>
    <t>Tue, 20 Sep 2022 00:00:00 GMT</t>
  </si>
  <si>
    <t>Mon, 19 Sep 2022 00:00:00 GMT</t>
  </si>
  <si>
    <t>Fri, 16 Sep 2022 00:00:00 GMT</t>
  </si>
  <si>
    <t>Thu, 15 Sep 2022 00:00:00 GMT</t>
  </si>
  <si>
    <t>Wed, 14 Sep 2022 00:00:00 GMT</t>
  </si>
  <si>
    <t>Tue, 13 Sep 2022 00:00:00 GMT</t>
  </si>
  <si>
    <t>Mon, 12 Sep 2022 00:00:00 GMT</t>
  </si>
  <si>
    <t>Fri, 09 Sep 2022 00:00:00 GMT</t>
  </si>
  <si>
    <t>Thu, 08 Sep 2022 00:00:00 GMT</t>
  </si>
  <si>
    <t>Wed, 07 Sep 2022 00:00:00 GMT</t>
  </si>
  <si>
    <t>Tue, 06 Sep 2022 00:00:00 GMT</t>
  </si>
  <si>
    <t>Fri, 02 Sep 2022 00:00:00 GMT</t>
  </si>
  <si>
    <t>Thu, 01 Sep 2022 00:00:00 GMT</t>
  </si>
  <si>
    <t>Wed, 31 Aug 2022 00:00:00 GMT</t>
  </si>
  <si>
    <t>Tue, 30 Aug 2022 00:00:00 GMT</t>
  </si>
  <si>
    <t>Mon, 29 Aug 2022 00:00:00 GMT</t>
  </si>
  <si>
    <t>Fri, 26 Aug 2022 00:00:00 GMT</t>
  </si>
  <si>
    <t>Thu, 25 Aug 2022 00:00:00 GMT</t>
  </si>
  <si>
    <t>Wed, 24 Aug 2022 00:00:00 GMT</t>
  </si>
  <si>
    <t>Tue, 23 Aug 2022 00:00:00 GMT</t>
  </si>
  <si>
    <t>Mon, 22 Aug 2022 00:00:00 GMT</t>
  </si>
  <si>
    <t>Fri, 19 Aug 2022 00:00:00 GMT</t>
  </si>
  <si>
    <t>Thu, 18 Aug 2022 00:00:00 GMT</t>
  </si>
  <si>
    <t>Wed, 17 Aug 2022 00:00:00 GMT</t>
  </si>
  <si>
    <t>Tue, 16 Aug 2022 00:00:00 GMT</t>
  </si>
  <si>
    <t>Mon, 15 Aug 2022 00:00:00 GMT</t>
  </si>
  <si>
    <t>Fri, 12 Aug 2022 00:00:00 GMT</t>
  </si>
  <si>
    <t>Thu, 11 Aug 2022 00:00:00 GMT</t>
  </si>
  <si>
    <t>Wed, 10 Aug 2022 00:00:00 GMT</t>
  </si>
  <si>
    <t>Tue, 09 Aug 2022 00:00:00 GMT</t>
  </si>
  <si>
    <t>Mon, 08 Aug 2022 00:00:00 GMT</t>
  </si>
  <si>
    <t>Fri, 05 Aug 2022 00:00:00 GMT</t>
  </si>
  <si>
    <t>Thu, 04 Aug 2022 00:00:00 GMT</t>
  </si>
  <si>
    <t>Wed, 03 Aug 2022 00:00:00 GMT</t>
  </si>
  <si>
    <t>Tue, 02 Aug 2022 00:00:00 GMT</t>
  </si>
  <si>
    <t>Mon, 01 Aug 2022 00:00:00 GMT</t>
  </si>
  <si>
    <t>Fri, 29 Jul 2022 00:00:00 GMT</t>
  </si>
  <si>
    <t>Thu, 28 Jul 2022 00:00:00 GMT</t>
  </si>
  <si>
    <t>Wed, 27 Jul 2022 00:00:00 GMT</t>
  </si>
  <si>
    <t>Tue, 26 Jul 2022 00:00:00 GMT</t>
  </si>
  <si>
    <t>Mon, 25 Jul 2022 00:00:00 GMT</t>
  </si>
  <si>
    <t>Fri, 22 Jul 2022 00:00:00 GMT</t>
  </si>
  <si>
    <t>Thu, 21 Jul 2022 00:00:00 GMT</t>
  </si>
  <si>
    <t>Wed, 20 Jul 2022 00:00:00 GMT</t>
  </si>
  <si>
    <t>Tue, 19 Jul 2022 00:00:00 GMT</t>
  </si>
  <si>
    <t>Mon, 18 Jul 2022 00:00:00 GMT</t>
  </si>
  <si>
    <t>Fri, 15 Jul 2022 00:00:00 GMT</t>
  </si>
  <si>
    <t>Thu, 14 Jul 2022 00:00:00 GMT</t>
  </si>
  <si>
    <t>Wed, 13 Jul 2022 00:00:00 GMT</t>
  </si>
  <si>
    <t>Tue, 12 Jul 2022 00:00:00 GMT</t>
  </si>
  <si>
    <t>Mon, 11 Jul 2022 00:00:00 GMT</t>
  </si>
  <si>
    <t>Fri, 08 Jul 2022 00:00:00 GMT</t>
  </si>
  <si>
    <t>Thu, 07 Jul 2022 00:00:00 GMT</t>
  </si>
  <si>
    <t>Wed, 06 Jul 2022 00:00:00 GMT</t>
  </si>
  <si>
    <t>Tue, 05 Jul 2022 00:00:00 GMT</t>
  </si>
  <si>
    <t>Fri, 01 Jul 2022 00:00:00 GMT</t>
  </si>
  <si>
    <t>Thu, 30 Jun 2022 00:00:00 GMT</t>
  </si>
  <si>
    <t>Wed, 29 Jun 2022 00:00:00 GMT</t>
  </si>
  <si>
    <t>Tue, 28 Jun 2022 00:00:00 GMT</t>
  </si>
  <si>
    <t>Mon, 27 Jun 2022 00:00:00 GMT</t>
  </si>
  <si>
    <t>Fri, 24 Jun 2022 00:00:00 GMT</t>
  </si>
  <si>
    <t>Thu, 23 Jun 2022 00:00:00 GMT</t>
  </si>
  <si>
    <t>Wed, 22 Jun 2022 00:00:00 GMT</t>
  </si>
  <si>
    <t>Tue, 21 Jun 2022 00:00:00 GMT</t>
  </si>
  <si>
    <t>Fri, 17 Jun 2022 00:00:00 GMT</t>
  </si>
  <si>
    <t>Thu, 16 Jun 2022 00:00:00 GMT</t>
  </si>
  <si>
    <t>Wed, 15 Jun 2022 00:00:00 GMT</t>
  </si>
  <si>
    <t>Tue, 14 Jun 2022 00:00:00 GMT</t>
  </si>
  <si>
    <t>Mon, 13 Jun 2022 00:00:00 GMT</t>
  </si>
  <si>
    <t>Fri, 10 Jun 2022 00:00:00 GMT</t>
  </si>
  <si>
    <t>Thu, 09 Jun 2022 00:00:00 GMT</t>
  </si>
  <si>
    <t>Wed, 08 Jun 2022 00:00:00 GMT</t>
  </si>
  <si>
    <t>Tue, 07 Jun 2022 00:00:00 GMT</t>
  </si>
  <si>
    <t>Mon, 06 Jun 2022 00:00:00 GMT</t>
  </si>
  <si>
    <t>Fri, 03 Jun 2022 00:00:00 GMT</t>
  </si>
  <si>
    <t>Thu, 02 Jun 2022 00:00:00 GMT</t>
  </si>
  <si>
    <t>Wed, 01 Jun 2022 00:00:00 GMT</t>
  </si>
  <si>
    <t>Tue, 31 May 2022 00:00:00 GMT</t>
  </si>
  <si>
    <t>Fri, 27 May 2022 00:00:00 GMT</t>
  </si>
  <si>
    <t>Thu, 26 May 2022 00:00:00 GMT</t>
  </si>
  <si>
    <t>Wed, 25 May 2022 00:00:00 GMT</t>
  </si>
  <si>
    <t>Tue, 24 May 2022 00:00:00 GMT</t>
  </si>
  <si>
    <t>Mon, 23 May 2022 00:00:00 GMT</t>
  </si>
  <si>
    <t>Fri, 20 May 2022 00:00:00 GMT</t>
  </si>
  <si>
    <t>Thu, 19 May 2022 00:00:00 GMT</t>
  </si>
  <si>
    <t>Wed, 18 May 2022 00:00:00 GMT</t>
  </si>
  <si>
    <t>Tue, 17 May 2022 00:00:00 GMT</t>
  </si>
  <si>
    <t>Mon, 16 May 2022 00:00:00 GMT</t>
  </si>
  <si>
    <t>Fri, 13 May 2022 00:00:00 GMT</t>
  </si>
  <si>
    <t>Thu, 12 May 2022 00:00:00 GMT</t>
  </si>
  <si>
    <t>Wed, 11 May 2022 00:00:00 GMT</t>
  </si>
  <si>
    <t>Tue, 10 May 2022 00:00:00 GMT</t>
  </si>
  <si>
    <t>Mon, 09 May 2022 00:00:00 GMT</t>
  </si>
  <si>
    <t>Fri, 06 May 2022 00:00:00 GMT</t>
  </si>
  <si>
    <t>Thu, 05 May 2022 00:00:00 GMT</t>
  </si>
  <si>
    <t>Wed, 04 May 2022 00:00:00 GMT</t>
  </si>
  <si>
    <t>Tue, 03 May 2022 00:00:00 GMT</t>
  </si>
  <si>
    <t>Mon, 02 May 2022 00:00:00 GMT</t>
  </si>
  <si>
    <t>Fri, 29 Apr 2022 00:00:00 GMT</t>
  </si>
  <si>
    <t>Thu, 28 Apr 2022 00:00:00 GMT</t>
  </si>
  <si>
    <t>Wed, 27 Apr 2022 00:00:00 GMT</t>
  </si>
  <si>
    <t>Tue, 26 Apr 2022 00:00:00 GMT</t>
  </si>
  <si>
    <t>Mon, 25 Apr 2022 00:00:00 GMT</t>
  </si>
  <si>
    <t>Fri, 22 Apr 2022 00:00:00 GMT</t>
  </si>
  <si>
    <t>Thu, 21 Apr 2022 00:00:00 GMT</t>
  </si>
  <si>
    <t>Wed, 20 Apr 2022 00:00:00 GMT</t>
  </si>
  <si>
    <t>Tue, 19 Apr 2022 00:00:00 GMT</t>
  </si>
  <si>
    <t>Mon, 18 Apr 2022 00:00:00 GMT</t>
  </si>
  <si>
    <t>Thu, 14 Apr 2022 00:00:00 GMT</t>
  </si>
  <si>
    <t>Wed, 13 Apr 2022 00:00:00 GMT</t>
  </si>
  <si>
    <t>Tue, 12 Apr 2022 00:00:00 GMT</t>
  </si>
  <si>
    <t>Mon, 11 Apr 2022 00:00:00 GMT</t>
  </si>
  <si>
    <t>Fri, 08 Apr 2022 00:00:00 GMT</t>
  </si>
  <si>
    <t>Thu, 07 Apr 2022 00:00:00 GMT</t>
  </si>
  <si>
    <t>Wed, 06 Apr 2022 00:00:00 GMT</t>
  </si>
  <si>
    <t>Tue, 05 Apr 2022 00:00:00 GMT</t>
  </si>
  <si>
    <t>Mon, 04 Apr 2022 00:00:00 GMT</t>
  </si>
  <si>
    <t>Fri, 01 Apr 2022 00:00:00 GMT</t>
  </si>
  <si>
    <t>Thu, 31 Mar 2022 00:00:00 GMT</t>
  </si>
  <si>
    <t>Wed, 30 Mar 2022 00:00:00 GMT</t>
  </si>
  <si>
    <t>Tue, 29 Mar 2022 00:00:00 GMT</t>
  </si>
  <si>
    <t>Mon, 28 Mar 2022 00:00:00 GMT</t>
  </si>
  <si>
    <t>Fri, 25 Mar 2022 00:00:00 GMT</t>
  </si>
  <si>
    <t>Thu, 24 Mar 2022 00:00:00 GMT</t>
  </si>
  <si>
    <t>Wed, 23 Mar 2022 00:00:00 GMT</t>
  </si>
  <si>
    <t>Tue, 22 Mar 2022 00:00:00 GMT</t>
  </si>
  <si>
    <t>Mon, 21 Mar 2022 00:00:00 GMT</t>
  </si>
  <si>
    <t>Fri, 18 Mar 2022 00:00:00 GMT</t>
  </si>
  <si>
    <t>Thu, 17 Mar 2022 00:00:00 GMT</t>
  </si>
  <si>
    <t>Wed, 16 Mar 2022 00:00:00 GMT</t>
  </si>
  <si>
    <t>Tue, 15 Mar 2022 00:00:00 GMT</t>
  </si>
  <si>
    <t>Mon, 14 Mar 2022 00:00:00 GMT</t>
  </si>
  <si>
    <t>Fri, 11 Mar 2022 00:00:00 GMT</t>
  </si>
  <si>
    <t>Thu, 10 Mar 2022 00:00:00 GMT</t>
  </si>
  <si>
    <t>Wed, 09 Mar 2022 00:00:00 GMT</t>
  </si>
  <si>
    <t>Tue, 08 Mar 2022 00:00:00 GMT</t>
  </si>
  <si>
    <t>Mon, 07 Mar 2022 00:00:00 GMT</t>
  </si>
  <si>
    <t>Fri, 04 Mar 2022 00:00:00 GMT</t>
  </si>
  <si>
    <t>Thu, 03 Mar 2022 00:00:00 GMT</t>
  </si>
  <si>
    <t>Wed, 02 Mar 2022 00:00:00 GMT</t>
  </si>
  <si>
    <t>Tue, 01 Mar 2022 00:00:00 GMT</t>
  </si>
  <si>
    <t>Mon, 28 Feb 2022 00:00:00 GMT</t>
  </si>
  <si>
    <t>Fri, 25 Feb 2022 00:00:00 GMT</t>
  </si>
  <si>
    <t>Thu, 24 Feb 2022 00:00:00 GMT</t>
  </si>
  <si>
    <t>Wed, 23 Feb 2022 00:00:00 GMT</t>
  </si>
  <si>
    <t>Tue, 22 Feb 2022 00:00:00 GMT</t>
  </si>
  <si>
    <t>Fri, 18 Feb 2022 00:00:00 GMT</t>
  </si>
  <si>
    <t>Thu, 17 Feb 2022 00:00:00 GMT</t>
  </si>
  <si>
    <t>Wed, 16 Feb 2022 00:00:00 GMT</t>
  </si>
  <si>
    <t>Tue, 15 Feb 2022 00:00:00 GMT</t>
  </si>
  <si>
    <t>Mon, 14 Feb 2022 00:00:00 GMT</t>
  </si>
  <si>
    <t>Fri, 11 Feb 2022 00:00:00 GMT</t>
  </si>
  <si>
    <t>Thu, 10 Feb 2022 00:00:00 GMT</t>
  </si>
  <si>
    <t>Wed, 09 Feb 2022 00:00:00 GMT</t>
  </si>
  <si>
    <t>Tue, 08 Feb 2022 00:00:00 GMT</t>
  </si>
  <si>
    <t>Mon, 07 Feb 2022 00:00:00 GMT</t>
  </si>
  <si>
    <t>Fri, 04 Feb 2022 00:00:00 GMT</t>
  </si>
  <si>
    <t>Thu, 03 Feb 2022 00:00:00 GMT</t>
  </si>
  <si>
    <t>Wed, 02 Feb 2022 00:00:00 GMT</t>
  </si>
  <si>
    <t>Tue, 01 Feb 2022 00:00:00 GMT</t>
  </si>
  <si>
    <t>Mon, 31 Jan 2022 00:00:00 GMT</t>
  </si>
  <si>
    <t>Fri, 28 Jan 2022 00:00:00 GMT</t>
  </si>
  <si>
    <t>Thu, 27 Jan 2022 00:00:00 GMT</t>
  </si>
  <si>
    <t>Wed, 26 Jan 2022 00:00:00 GMT</t>
  </si>
  <si>
    <t>Tue, 25 Jan 2022 00:00:00 GMT</t>
  </si>
  <si>
    <t>Mon, 24 Jan 2022 00:00:00 GMT</t>
  </si>
  <si>
    <t>Fri, 21 Jan 2022 00:00:00 GMT</t>
  </si>
  <si>
    <t>Thu, 20 Jan 2022 00:00:00 GMT</t>
  </si>
  <si>
    <t>Wed, 19 Jan 2022 00:00:00 GMT</t>
  </si>
  <si>
    <t>Tue, 18 Jan 2022 00:00:00 GMT</t>
  </si>
  <si>
    <t>Fri, 14 Jan 2022 00:00:00 GMT</t>
  </si>
  <si>
    <t>Thu, 13 Jan 2022 00:00:00 GMT</t>
  </si>
  <si>
    <t>Wed, 12 Jan 2022 00:00:00 GMT</t>
  </si>
  <si>
    <t>Tue, 11 Jan 2022 00:00:00 GMT</t>
  </si>
  <si>
    <t>Mon, 10 Jan 2022 00:00:00 GMT</t>
  </si>
  <si>
    <t>Fri, 07 Jan 2022 00:00:00 GMT</t>
  </si>
  <si>
    <t>Thu, 06 Jan 2022 00:00:00 GMT</t>
  </si>
  <si>
    <t>Wed, 05 Jan 2022 00:00:00 GMT</t>
  </si>
  <si>
    <t>Tue, 04 Jan 2022 00:00:00 GMT</t>
  </si>
  <si>
    <t>Mon, 03 Jan 2022 00:00:00 GMT</t>
  </si>
  <si>
    <t>Fri, 31 Dec 2021 00:00:00 GMT</t>
  </si>
  <si>
    <t>Thu, 30 Dec 2021 00:00:00 GMT</t>
  </si>
  <si>
    <t>Wed, 29 Dec 2021 00:00:00 GMT</t>
  </si>
  <si>
    <t>Tue, 28 Dec 2021 00:00:00 GMT</t>
  </si>
  <si>
    <t>Mon, 27 Dec 2021 00:00:00 GMT</t>
  </si>
  <si>
    <t>Thu, 23 Dec 2021 00:00:00 GMT</t>
  </si>
  <si>
    <t>Wed, 22 Dec 2021 00:00:00 GMT</t>
  </si>
  <si>
    <t>Tue, 21 Dec 2021 00:00:00 GMT</t>
  </si>
  <si>
    <t>Mon, 20 Dec 2021 00:00:00 GMT</t>
  </si>
  <si>
    <t>Fri, 17 Dec 2021 00:00:00 GMT</t>
  </si>
  <si>
    <t>Thu, 16 Dec 2021 00:00:00 GMT</t>
  </si>
  <si>
    <t>Wed, 15 Dec 2021 00:00:00 GMT</t>
  </si>
  <si>
    <t>Tue, 14 Dec 2021 00:00:00 GMT</t>
  </si>
  <si>
    <t>Mon, 13 Dec 2021 00:00:00 GMT</t>
  </si>
  <si>
    <t>Fri, 10 Dec 2021 00:00:00 GMT</t>
  </si>
  <si>
    <t>Thu, 09 Dec 2021 00:00:00 GMT</t>
  </si>
  <si>
    <t>Wed, 08 Dec 2021 00:00:00 GMT</t>
  </si>
  <si>
    <t>Tue, 07 Dec 2021 00:00:00 GMT</t>
  </si>
  <si>
    <t>Mon, 06 Dec 2021 00:00:00 GMT</t>
  </si>
  <si>
    <t>Fri, 03 Dec 2021 00:00:00 GMT</t>
  </si>
  <si>
    <t>Thu, 02 Dec 2021 00:00:00 GMT</t>
  </si>
  <si>
    <t>Wed, 01 Dec 2021 00:00:00 GMT</t>
  </si>
  <si>
    <t>Tue, 30 Nov 2021 00:00:00 GMT</t>
  </si>
  <si>
    <t>Mon, 29 Nov 2021 00:00:00 GMT</t>
  </si>
  <si>
    <t>Fri, 26 Nov 2021 00:00:00 GMT</t>
  </si>
  <si>
    <t>Wed, 24 Nov 2021 00:00:00 GMT</t>
  </si>
  <si>
    <t>Tue, 23 Nov 2021 00:00:00 GMT</t>
  </si>
  <si>
    <t>Mon, 22 Nov 2021 00:00:00 GMT</t>
  </si>
  <si>
    <t>Fri, 19 Nov 2021 00:00:00 GMT</t>
  </si>
  <si>
    <t>Thu, 18 Nov 2021 00:00:00 GMT</t>
  </si>
  <si>
    <t>Wed, 17 Nov 2021 00:00:00 GMT</t>
  </si>
  <si>
    <t>Tue, 16 Nov 2021 00:00:00 GMT</t>
  </si>
  <si>
    <t>Mon, 15 Nov 2021 00:00:00 GMT</t>
  </si>
  <si>
    <t>Fri, 12 Nov 2021 00:00:00 GMT</t>
  </si>
  <si>
    <t>Thu, 11 Nov 2021 00:00:00 GMT</t>
  </si>
  <si>
    <t>Wed, 10 Nov 2021 00:00:00 GMT</t>
  </si>
  <si>
    <t>Tue, 09 Nov 2021 00:00:00 GMT</t>
  </si>
  <si>
    <t>Mon, 08 Nov 2021 00:00:00 GMT</t>
  </si>
  <si>
    <t>Fri, 05 Nov 2021 00:00:00 GMT</t>
  </si>
  <si>
    <t>Thu, 04 Nov 2021 00:00:00 GMT</t>
  </si>
  <si>
    <t>Wed, 03 Nov 2021 00:00:00 GMT</t>
  </si>
  <si>
    <t>Tue, 02 Nov 2021 00:00:00 GMT</t>
  </si>
  <si>
    <t>Mon, 01 Nov 2021 00:00:00 GMT</t>
  </si>
  <si>
    <t>Fri, 29 Oct 2021 00:00:00 GMT</t>
  </si>
  <si>
    <t>Thu, 28 Oct 2021 00:00:00 GMT</t>
  </si>
  <si>
    <t>Wed, 27 Oct 2021 00:00:00 GMT</t>
  </si>
  <si>
    <t>Tue, 26 Oct 2021 00:00:00 GMT</t>
  </si>
  <si>
    <t>Mon, 25 Oct 2021 00:00:00 GMT</t>
  </si>
  <si>
    <t>Fri, 22 Oct 2021 00:00:00 GMT</t>
  </si>
  <si>
    <t>Thu, 21 Oct 2021 00:00:00 GMT</t>
  </si>
  <si>
    <t>Wed, 20 Oct 2021 00:00:00 GMT</t>
  </si>
  <si>
    <t>Tue, 19 Oct 2021 00:00:00 GMT</t>
  </si>
  <si>
    <t>Mon, 18 Oct 2021 00:00:00 GMT</t>
  </si>
  <si>
    <t>Fri, 15 Oct 2021 00:00:00 GMT</t>
  </si>
  <si>
    <t>Thu, 14 Oct 2021 00:00:00 GMT</t>
  </si>
  <si>
    <t>Wed, 13 Oct 2021 00:00:00 GMT</t>
  </si>
  <si>
    <t>Tue, 12 Oct 2021 00:00:00 GMT</t>
  </si>
  <si>
    <t>Mon, 11 Oct 2021 00:00:00 GMT</t>
  </si>
  <si>
    <t>Fri, 08 Oct 2021 00:00:00 GMT</t>
  </si>
  <si>
    <t>Thu, 07 Oct 2021 00:00:00 GMT</t>
  </si>
  <si>
    <t>Wed, 06 Oct 2021 00:00:00 GMT</t>
  </si>
  <si>
    <t>Tue, 05 Oct 2021 00:00:00 GMT</t>
  </si>
  <si>
    <t>Mon, 04 Oct 2021 00:00:00 GMT</t>
  </si>
  <si>
    <t>Fri, 01 Oct 2021 00:00:00 GMT</t>
  </si>
  <si>
    <t>Thu, 30 Sep 2021 00:00:00 GMT</t>
  </si>
  <si>
    <t>Wed, 29 Sep 2021 00:00:00 GMT</t>
  </si>
  <si>
    <t>Tue, 28 Sep 2021 00:00:00 GMT</t>
  </si>
  <si>
    <t>Mon, 27 Sep 2021 00:00:00 GMT</t>
  </si>
  <si>
    <t>Fri, 24 Sep 2021 00:00:00 GMT</t>
  </si>
  <si>
    <t>Thu, 23 Sep 2021 00:00:00 GMT</t>
  </si>
  <si>
    <t>Wed, 22 Sep 2021 00:00:00 GMT</t>
  </si>
  <si>
    <t>Tue, 21 Sep 2021 00:00:00 GMT</t>
  </si>
  <si>
    <t>Mon, 20 Sep 2021 00:00:00 GMT</t>
  </si>
  <si>
    <t>Fri, 17 Sep 2021 00:00:00 GMT</t>
  </si>
  <si>
    <t>Thu, 16 Sep 2021 00:00:00 GMT</t>
  </si>
  <si>
    <t>Wed, 15 Sep 2021 00:00:00 GMT</t>
  </si>
  <si>
    <t>Tue, 14 Sep 2021 00:00:00 GMT</t>
  </si>
  <si>
    <t>Mon, 13 Sep 2021 00:00:00 GMT</t>
  </si>
  <si>
    <t>Fri, 10 Sep 2021 00:00:00 GMT</t>
  </si>
  <si>
    <t>Thu, 09 Sep 2021 00:00:00 GMT</t>
  </si>
  <si>
    <t>Wed, 08 Sep 2021 00:00:00 GMT</t>
  </si>
  <si>
    <t>Tue, 07 Sep 2021 00:00:00 GMT</t>
  </si>
  <si>
    <t>Fri, 03 Sep 2021 00:00:00 GMT</t>
  </si>
  <si>
    <t>Thu, 02 Sep 2021 00:00:00 GMT</t>
  </si>
  <si>
    <t>Wed, 01 Sep 2021 00:00:00 GMT</t>
  </si>
  <si>
    <t>Tue, 31 Aug 2021 00:00:00 GMT</t>
  </si>
  <si>
    <t>Mon, 30 Aug 2021 00:00:00 GMT</t>
  </si>
  <si>
    <t>Fri, 27 Aug 2021 00:00:00 GMT</t>
  </si>
  <si>
    <t>Thu, 26 Aug 2021 00:00:00 GMT</t>
  </si>
  <si>
    <t>Wed, 25 Aug 2021 00:00:00 GMT</t>
  </si>
  <si>
    <t>Tue, 24 Aug 2021 00:00:00 GMT</t>
  </si>
  <si>
    <t>Mon, 23 Aug 2021 00:00:00 GMT</t>
  </si>
  <si>
    <t>Fri, 20 Aug 2021 00:00:00 GMT</t>
  </si>
  <si>
    <t>Thu, 19 Aug 2021 00:00:00 GMT</t>
  </si>
  <si>
    <t>Wed, 18 Aug 2021 00:00:00 GMT</t>
  </si>
  <si>
    <t>Tue, 17 Aug 2021 00:00:00 GMT</t>
  </si>
  <si>
    <t>Mon, 16 Aug 2021 00:00:00 GMT</t>
  </si>
  <si>
    <t>Fri, 13 Aug 2021 00:00:00 GMT</t>
  </si>
  <si>
    <t>Thu, 12 Aug 2021 00:00:00 GMT</t>
  </si>
  <si>
    <t>Wed, 11 Aug 2021 00:00:00 GMT</t>
  </si>
  <si>
    <t>Tue, 10 Aug 2021 00:00:00 GMT</t>
  </si>
  <si>
    <t>Mon, 09 Aug 2021 00:00:00 GMT</t>
  </si>
  <si>
    <t>Fri, 06 Aug 2021 00:00:00 GMT</t>
  </si>
  <si>
    <t>Thu, 05 Aug 2021 00:00:00 GMT</t>
  </si>
  <si>
    <t>Wed, 04 Aug 2021 00:00:00 GMT</t>
  </si>
  <si>
    <t>Tue, 03 Aug 2021 00:00:00 GMT</t>
  </si>
  <si>
    <t>Mon, 02 Aug 2021 00:00:00 GMT</t>
  </si>
  <si>
    <t>Fri, 30 Jul 2021 00:00:00 GMT</t>
  </si>
  <si>
    <t>Thu, 29 Jul 2021 00:00:00 GMT</t>
  </si>
  <si>
    <t>Wed, 28 Jul 2021 00:00:00 GMT</t>
  </si>
  <si>
    <t>Tue, 27 Jul 2021 00:00:00 GMT</t>
  </si>
  <si>
    <t>Mon, 26 Jul 2021 00:00:00 GMT</t>
  </si>
  <si>
    <t>Fri, 23 Jul 2021 00:00:00 GMT</t>
  </si>
  <si>
    <t>Thu, 22 Jul 2021 00:00:00 GMT</t>
  </si>
  <si>
    <t>Wed, 21 Jul 2021 00:00:00 GMT</t>
  </si>
  <si>
    <t>Tue, 20 Jul 2021 00:00:00 GMT</t>
  </si>
  <si>
    <t>Mon, 19 Jul 2021 00:00:00 GMT</t>
  </si>
  <si>
    <t>Fri, 16 Jul 2021 00:00:00 GMT</t>
  </si>
  <si>
    <t>Thu, 15 Jul 2021 00:00:00 GMT</t>
  </si>
  <si>
    <t>Wed, 14 Jul 2021 00:00:00 GMT</t>
  </si>
  <si>
    <t>Tue, 13 Jul 2021 00:00:00 GMT</t>
  </si>
  <si>
    <t>Mon, 12 Jul 2021 00:00:00 GMT</t>
  </si>
  <si>
    <t>Fri, 09 Jul 2021 00:00:00 GMT</t>
  </si>
  <si>
    <t>Thu, 08 Jul 2021 00:00:00 GMT</t>
  </si>
  <si>
    <t>Wed, 07 Jul 2021 00:00:00 GMT</t>
  </si>
  <si>
    <t>Tue, 06 Jul 2021 00:00:00 GMT</t>
  </si>
  <si>
    <t>Fri, 02 Jul 2021 00:00:00 GMT</t>
  </si>
  <si>
    <t>Thu, 01 Jul 2021 00:00:00 GMT</t>
  </si>
  <si>
    <t>Wed, 30 Jun 2021 00:00:00 GMT</t>
  </si>
  <si>
    <t>Tue, 29 Jun 2021 00:00:00 GMT</t>
  </si>
  <si>
    <t>Mon, 28 Jun 2021 00:00:00 GMT</t>
  </si>
  <si>
    <t>Fri, 25 Jun 2021 00:00:00 GMT</t>
  </si>
  <si>
    <t>Thu, 24 Jun 2021 00:00:00 GMT</t>
  </si>
  <si>
    <t>Wed, 23 Jun 2021 00:00:00 GMT</t>
  </si>
  <si>
    <t>Tue, 22 Jun 2021 00:00:00 GMT</t>
  </si>
  <si>
    <t>Mon, 21 Jun 2021 00:00:00 GMT</t>
  </si>
  <si>
    <t>Fri, 18 Jun 2021 00:00:00 GMT</t>
  </si>
  <si>
    <t>Thu, 17 Jun 2021 00:00:00 GMT</t>
  </si>
  <si>
    <t>Wed, 16 Jun 2021 00:00:00 GMT</t>
  </si>
  <si>
    <t>Tue, 15 Jun 2021 00:00:00 GMT</t>
  </si>
  <si>
    <t>Mon, 14 Jun 2021 00:00:00 GMT</t>
  </si>
  <si>
    <t>Fri, 11 Jun 2021 00:00:00 GMT</t>
  </si>
  <si>
    <t>Thu, 10 Jun 2021 00:00:00 GMT</t>
  </si>
  <si>
    <t>Wed, 09 Jun 2021 00:00:00 GMT</t>
  </si>
  <si>
    <t>Tue, 08 Jun 2021 00:00:00 GMT</t>
  </si>
  <si>
    <t>Mon, 07 Jun 2021 00:00:00 GMT</t>
  </si>
  <si>
    <t>Fri, 04 Jun 2021 00:00:00 GMT</t>
  </si>
  <si>
    <t>Thu, 03 Jun 2021 00:00:00 GMT</t>
  </si>
  <si>
    <t>Wed, 02 Jun 2021 00:00:00 GMT</t>
  </si>
  <si>
    <t>Tue, 01 Jun 2021 00:00:00 GMT</t>
  </si>
  <si>
    <t>Fri, 28 May 2021 00:00:00 GMT</t>
  </si>
  <si>
    <t>Thu, 27 May 2021 00:00:00 GMT</t>
  </si>
  <si>
    <t>Wed, 26 May 2021 00:00:00 GMT</t>
  </si>
  <si>
    <t>Tue, 25 May 2021 00:00:00 GMT</t>
  </si>
  <si>
    <t>Mon, 24 May 2021 00:00:00 GMT</t>
  </si>
  <si>
    <t>Fri, 21 May 2021 00:00:00 GMT</t>
  </si>
  <si>
    <t>Thu, 20 May 2021 00:00:00 GMT</t>
  </si>
  <si>
    <t>Wed, 19 May 2021 00:00:00 GMT</t>
  </si>
  <si>
    <t>Tue, 18 May 2021 00:00:00 GMT</t>
  </si>
  <si>
    <t>Mon, 17 May 2021 00:00:00 GMT</t>
  </si>
  <si>
    <t>Fri, 14 May 2021 00:00:00 GMT</t>
  </si>
  <si>
    <t>Thu, 13 May 2021 00:00:00 GMT</t>
  </si>
  <si>
    <t>Wed, 12 May 2021 00:00:00 GMT</t>
  </si>
  <si>
    <t>Tue, 11 May 2021 00:00:00 GMT</t>
  </si>
  <si>
    <t>Mon, 10 May 2021 00:00:00 GMT</t>
  </si>
  <si>
    <t>Fri, 07 May 2021 00:00:00 GMT</t>
  </si>
  <si>
    <t>Thu, 06 May 2021 00:00:00 GMT</t>
  </si>
  <si>
    <t>Wed, 05 May 2021 00:00:00 GMT</t>
  </si>
  <si>
    <t>Tue, 04 May 2021 00:00:00 GMT</t>
  </si>
  <si>
    <t>Mon, 03 May 2021 00:00:00 GMT</t>
  </si>
  <si>
    <t>Fri, 30 Apr 2021 00:00:00 GMT</t>
  </si>
  <si>
    <t>Thu, 29 Apr 2021 00:00:00 GMT</t>
  </si>
  <si>
    <t>Wed, 28 Apr 2021 00:00:00 GMT</t>
  </si>
  <si>
    <t>Tue, 27 Apr 2021 00:00:00 GMT</t>
  </si>
  <si>
    <t>Mon, 26 Apr 2021 00:00:00 GMT</t>
  </si>
  <si>
    <t>Fri, 23 Apr 2021 00:00:00 GMT</t>
  </si>
  <si>
    <t>Thu, 22 Apr 2021 00:00:00 GMT</t>
  </si>
  <si>
    <t>Wed, 21 Apr 2021 00:00:00 GMT</t>
  </si>
  <si>
    <t>Tue, 20 Apr 2021 00:00:00 GMT</t>
  </si>
  <si>
    <t>Mon, 19 Apr 2021 00:00:00 GMT</t>
  </si>
  <si>
    <t>Fri, 16 Apr 2021 00:00:00 GMT</t>
  </si>
  <si>
    <t>Thu, 15 Apr 2021 00:00:00 GMT</t>
  </si>
  <si>
    <t>Wed, 14 Apr 2021 00:00:00 GMT</t>
  </si>
  <si>
    <t>Tue, 13 Apr 2021 00:00:00 GMT</t>
  </si>
  <si>
    <t>Mon, 12 Apr 2021 00:00:00 GMT</t>
  </si>
  <si>
    <t>Fri, 09 Apr 2021 00:00:00 GMT</t>
  </si>
  <si>
    <t>Thu, 08 Apr 2021 00:00:00 GMT</t>
  </si>
  <si>
    <t>Wed, 07 Apr 2021 00:00:00 GMT</t>
  </si>
  <si>
    <t>Tue, 06 Apr 2021 00:00:00 GMT</t>
  </si>
  <si>
    <t>Mon, 05 Apr 2021 00:00:00 GMT</t>
  </si>
  <si>
    <t>Thu, 01 Apr 2021 00:00:00 GMT</t>
  </si>
  <si>
    <t>Wed, 31 Mar 2021 00:00:00 GMT</t>
  </si>
  <si>
    <t>Tue, 30 Mar 2021 00:00:00 GMT</t>
  </si>
  <si>
    <t>Mon, 29 Mar 2021 00:00:00 GMT</t>
  </si>
  <si>
    <t>Fri, 26 Mar 2021 00:00:00 GMT</t>
  </si>
  <si>
    <t>Thu, 25 Mar 2021 00:00:00 GMT</t>
  </si>
  <si>
    <t>Wed, 24 Mar 2021 00:00:00 GMT</t>
  </si>
  <si>
    <t>Tue, 23 Mar 2021 00:00:00 GMT</t>
  </si>
  <si>
    <t>Mon, 22 Mar 2021 00:00:00 GMT</t>
  </si>
  <si>
    <t>Fri, 19 Mar 2021 00:00:00 GMT</t>
  </si>
  <si>
    <t>Thu, 18 Mar 2021 00:00:00 GMT</t>
  </si>
  <si>
    <t>Wed, 17 Mar 2021 00:00:00 GMT</t>
  </si>
  <si>
    <t>Tue, 16 Mar 2021 00:00:00 GMT</t>
  </si>
  <si>
    <t>Mon, 15 Mar 2021 00:00:00 GMT</t>
  </si>
  <si>
    <t>Fri, 12 Mar 2021 00:00:00 GMT</t>
  </si>
  <si>
    <t>Thu, 11 Mar 2021 00:00:00 GMT</t>
  </si>
  <si>
    <t>Wed, 10 Mar 2021 00:00:00 GMT</t>
  </si>
  <si>
    <t>Tue, 09 Mar 2021 00:00:00 GMT</t>
  </si>
  <si>
    <t>Mon, 08 Mar 2021 00:00:00 GMT</t>
  </si>
  <si>
    <t>Fri, 05 Mar 2021 00:00:00 GMT</t>
  </si>
  <si>
    <t>Thu, 04 Mar 2021 00:00:00 GMT</t>
  </si>
  <si>
    <t>Wed, 03 Mar 2021 00:00:00 GMT</t>
  </si>
  <si>
    <t>Tue, 02 Mar 2021 00:00:00 GMT</t>
  </si>
  <si>
    <t>Mon, 01 Mar 2021 00:00:00 GMT</t>
  </si>
  <si>
    <t>Fri, 26 Feb 2021 00:00:00 GMT</t>
  </si>
  <si>
    <t>Thu, 25 Feb 2021 00:00:00 GMT</t>
  </si>
  <si>
    <t>Wed, 24 Feb 2021 00:00:00 GMT</t>
  </si>
  <si>
    <t>Tue, 23 Feb 2021 00:00:00 GMT</t>
  </si>
  <si>
    <t>Mon, 22 Feb 2021 00:00:00 GMT</t>
  </si>
  <si>
    <t>Fri, 19 Feb 2021 00:00:00 GMT</t>
  </si>
  <si>
    <t>Thu, 18 Feb 2021 00:00:00 GMT</t>
  </si>
  <si>
    <t>Wed, 17 Feb 2021 00:00:00 GMT</t>
  </si>
  <si>
    <t>Tue, 16 Feb 2021 00:00:00 GMT</t>
  </si>
  <si>
    <t>Fri, 12 Feb 2021 00:00:00 GMT</t>
  </si>
  <si>
    <t>Thu, 11 Feb 2021 00:00:00 GMT</t>
  </si>
  <si>
    <t>Wed, 10 Feb 2021 00:00:00 GMT</t>
  </si>
  <si>
    <t>Tue, 09 Feb 2021 00:00:00 GMT</t>
  </si>
  <si>
    <t>Mon, 08 Feb 2021 00:00:00 GMT</t>
  </si>
  <si>
    <t>Fri, 05 Feb 2021 00:00:00 GMT</t>
  </si>
  <si>
    <t>Thu, 04 Feb 2021 00:00:00 GMT</t>
  </si>
  <si>
    <t>Wed, 03 Feb 2021 00:00:00 GMT</t>
  </si>
  <si>
    <t>Tue, 02 Feb 2021 00:00:00 GMT</t>
  </si>
  <si>
    <t>Mon, 01 Feb 2021 00:00:00 GMT</t>
  </si>
  <si>
    <t>Fri, 29 Jan 2021 00:00:00 GMT</t>
  </si>
  <si>
    <t>Thu, 28 Jan 2021 00:00:00 GMT</t>
  </si>
  <si>
    <t>Wed, 27 Jan 2021 00:00:00 GMT</t>
  </si>
  <si>
    <t>Tue, 26 Jan 2021 00:00:00 GMT</t>
  </si>
  <si>
    <t>Mon, 25 Jan 2021 00:00:00 GMT</t>
  </si>
  <si>
    <t>Fri, 22 Jan 2021 00:00:00 GMT</t>
  </si>
  <si>
    <t>Thu, 21 Jan 2021 00:00:00 GMT</t>
  </si>
  <si>
    <t>Wed, 20 Jan 2021 00:00:00 GMT</t>
  </si>
  <si>
    <t>Tue, 19 Jan 2021 00:00:00 GMT</t>
  </si>
  <si>
    <t>Fri, 15 Jan 2021 00:00:00 GMT</t>
  </si>
  <si>
    <t>Thu, 14 Jan 2021 00:00:00 GMT</t>
  </si>
  <si>
    <t>Wed, 13 Jan 2021 00:00:00 GMT</t>
  </si>
  <si>
    <t>Tue, 12 Jan 2021 00:00:00 GMT</t>
  </si>
  <si>
    <t>Mon, 11 Jan 2021 00:00:00 GMT</t>
  </si>
  <si>
    <t>Fri, 08 Jan 2021 00:00:00 GMT</t>
  </si>
  <si>
    <t>Thu, 07 Jan 2021 00:00:00 GMT</t>
  </si>
  <si>
    <t>Wed, 06 Jan 2021 00:00:00 GMT</t>
  </si>
  <si>
    <t>Tue, 05 Jan 2021 00:00:00 GMT</t>
  </si>
  <si>
    <t>Mon, 04 Jan 2021 00:00:00 GMT</t>
  </si>
  <si>
    <t>Thu, 31 Dec 2020 00:00:00 GMT</t>
  </si>
  <si>
    <t>Wed, 30 Dec 2020 00:00:00 GMT</t>
  </si>
  <si>
    <t>Tue, 29 Dec 2020 00:00:00 GMT</t>
  </si>
  <si>
    <t>Mon, 28 Dec 2020 00:00:00 GMT</t>
  </si>
  <si>
    <t>Thu, 24 Dec 2020 00:00:00 GMT</t>
  </si>
  <si>
    <t>Wed, 23 Dec 2020 00:00:00 GMT</t>
  </si>
  <si>
    <t>Tue, 22 Dec 2020 00:00:00 GMT</t>
  </si>
  <si>
    <t>Mon, 21 Dec 2020 00:00:00 GMT</t>
  </si>
  <si>
    <t>Fri, 18 Dec 2020 00:00:00 GMT</t>
  </si>
  <si>
    <t>Thu, 17 Dec 2020 00:00:00 GMT</t>
  </si>
  <si>
    <t>Wed, 16 Dec 2020 00:00:00 GMT</t>
  </si>
  <si>
    <t>Tue, 15 Dec 2020 00:00:00 GMT</t>
  </si>
  <si>
    <t>Mon, 14 Dec 2020 00:00:00 GMT</t>
  </si>
  <si>
    <t>Fri, 11 Dec 2020 00:00:00 GMT</t>
  </si>
  <si>
    <t>Thu, 10 Dec 2020 00:00:00 GMT</t>
  </si>
  <si>
    <t>Wed, 09 Dec 2020 00:00:00 GMT</t>
  </si>
  <si>
    <t>Tue, 08 Dec 2020 00:00:00 GMT</t>
  </si>
  <si>
    <t>Mon, 07 Dec 2020 00:00:00 GMT</t>
  </si>
  <si>
    <t>Fri, 04 Dec 2020 00:00:00 GMT</t>
  </si>
  <si>
    <t>Thu, 03 Dec 2020 00:00:00 GMT</t>
  </si>
  <si>
    <t>Wed, 02 Dec 2020 00:00:00 GMT</t>
  </si>
  <si>
    <t>Tue, 01 Dec 2020 00:00:00 GMT</t>
  </si>
  <si>
    <t>Mon, 30 Nov 2020 00:00:00 GMT</t>
  </si>
  <si>
    <t>Fri, 27 Nov 2020 00:00:00 GMT</t>
  </si>
  <si>
    <t>Wed, 25 Nov 2020 00:00:00 GMT</t>
  </si>
  <si>
    <t>Tue, 24 Nov 2020 00:00:00 GMT</t>
  </si>
  <si>
    <t>Mon, 23 Nov 2020 00:00:00 GMT</t>
  </si>
  <si>
    <t>Fri, 20 Nov 2020 00:00:00 GMT</t>
  </si>
  <si>
    <t>Thu, 19 Nov 2020 00:00:00 GMT</t>
  </si>
  <si>
    <t>Wed, 18 Nov 2020 00:00:00 GMT</t>
  </si>
  <si>
    <t>Tue, 17 Nov 2020 00:00:00 GMT</t>
  </si>
  <si>
    <t>Mon, 16 Nov 2020 00:00:00 GMT</t>
  </si>
  <si>
    <t>Fri, 13 Nov 2020 00:00:00 GMT</t>
  </si>
  <si>
    <t>Thu, 12 Nov 2020 00:00:00 GMT</t>
  </si>
  <si>
    <t>Wed, 11 Nov 2020 00:00:00 GMT</t>
  </si>
  <si>
    <t>Tue, 10 Nov 2020 00:00:00 GMT</t>
  </si>
  <si>
    <t>Mon, 09 Nov 2020 00:00:00 GMT</t>
  </si>
  <si>
    <t>Fri, 06 Nov 2020 00:00:00 GMT</t>
  </si>
  <si>
    <t>Thu, 05 Nov 2020 00:00:00 GMT</t>
  </si>
  <si>
    <t>Wed, 04 Nov 2020 00:00:00 GMT</t>
  </si>
  <si>
    <t>Tue, 03 Nov 2020 00:00:00 GMT</t>
  </si>
  <si>
    <t>Mon, 02 Nov 2020 00:00:00 GMT</t>
  </si>
  <si>
    <t>Fri, 30 Oct 2020 00:00:00 GMT</t>
  </si>
  <si>
    <t>Thu, 29 Oct 2020 00:00:00 GMT</t>
  </si>
  <si>
    <t>Wed, 28 Oct 2020 00:00:00 GMT</t>
  </si>
  <si>
    <t>Tue, 27 Oct 2020 00:00:00 GMT</t>
  </si>
  <si>
    <t>Mon, 26 Oct 2020 00:00:00 GMT</t>
  </si>
  <si>
    <t>Fri, 23 Oct 2020 00:00:00 GMT</t>
  </si>
  <si>
    <t>Thu, 22 Oct 2020 00:00:00 GMT</t>
  </si>
  <si>
    <t>Wed, 21 Oct 2020 00:00:00 GMT</t>
  </si>
  <si>
    <t>Tue, 20 Oct 2020 00:00:00 GMT</t>
  </si>
  <si>
    <t>Mon, 19 Oct 2020 00:00:00 GMT</t>
  </si>
  <si>
    <t>Fri, 16 Oct 2020 00:00:00 GMT</t>
  </si>
  <si>
    <t>Thu, 15 Oct 2020 00:00:00 GMT</t>
  </si>
  <si>
    <t>Wed, 14 Oct 2020 00:00:00 GMT</t>
  </si>
  <si>
    <t>Tue, 13 Oct 2020 00:00:00 GMT</t>
  </si>
  <si>
    <t>Mon, 12 Oct 2020 00:00:00 GMT</t>
  </si>
  <si>
    <t>Fri, 09 Oct 2020 00:00:00 GMT</t>
  </si>
  <si>
    <t>Thu, 08 Oct 2020 00:00:00 GMT</t>
  </si>
  <si>
    <t>Wed, 07 Oct 2020 00:00:00 GMT</t>
  </si>
  <si>
    <t>Tue, 06 Oct 2020 00:00:00 GMT</t>
  </si>
  <si>
    <t>Mon, 05 Oct 2020 00:00:00 GMT</t>
  </si>
  <si>
    <t>Fri, 02 Oct 2020 00:00:00 GMT</t>
  </si>
  <si>
    <t>Thu, 01 Oct 2020 00:00:00 GMT</t>
  </si>
  <si>
    <t>Wed, 30 Sep 2020 00:00:00 GMT</t>
  </si>
  <si>
    <t>Tue, 29 Sep 2020 00:00:00 GMT</t>
  </si>
  <si>
    <t>Mon, 28 Sep 2020 00:00:00 GMT</t>
  </si>
  <si>
    <t>Fri, 25 Sep 2020 00:00:00 GMT</t>
  </si>
  <si>
    <t>Thu, 24 Sep 2020 00:00:00 GMT</t>
  </si>
  <si>
    <t>Wed, 23 Sep 2020 00:00:00 GMT</t>
  </si>
  <si>
    <t>Tue, 22 Sep 2020 00:00:00 GMT</t>
  </si>
  <si>
    <t>Mon, 21 Sep 2020 00:00:00 GMT</t>
  </si>
  <si>
    <t>Fri, 18 Sep 2020 00:00:00 GMT</t>
  </si>
  <si>
    <t>Thu, 17 Sep 2020 00:00:00 GMT</t>
  </si>
  <si>
    <t>Wed, 16 Sep 2020 00:00:00 GMT</t>
  </si>
  <si>
    <t>Tue, 15 Sep 2020 00:00:00 GMT</t>
  </si>
  <si>
    <t>Mon, 14 Sep 2020 00:00:00 GMT</t>
  </si>
  <si>
    <t>Fri, 11 Sep 2020 00:00:00 GMT</t>
  </si>
  <si>
    <t>Thu, 10 Sep 2020 00:00:00 GMT</t>
  </si>
  <si>
    <t>Wed, 09 Sep 2020 00:00:00 GMT</t>
  </si>
  <si>
    <t>Tue, 08 Sep 2020 00:00:00 GMT</t>
  </si>
  <si>
    <t>Fri, 04 Sep 2020 00:00:00 GMT</t>
  </si>
  <si>
    <t>Thu, 03 Sep 2020 00:00:00 GMT</t>
  </si>
  <si>
    <t>Wed, 02 Sep 2020 00:00:00 GMT</t>
  </si>
  <si>
    <t>Tue, 01 Sep 2020 00:00:00 GMT</t>
  </si>
  <si>
    <t>Mon, 31 Aug 2020 00:00:00 GMT</t>
  </si>
  <si>
    <t>Fri, 28 Aug 2020 00:00:00 GMT</t>
  </si>
  <si>
    <t>Thu, 27 Aug 2020 00:00:00 GMT</t>
  </si>
  <si>
    <t>Wed, 26 Aug 2020 00:00:00 GMT</t>
  </si>
  <si>
    <t>Tue, 25 Aug 2020 00:00:00 GMT</t>
  </si>
  <si>
    <t>Mon, 24 Aug 2020 00:00:00 GMT</t>
  </si>
  <si>
    <t>Fri, 21 Aug 2020 00:00:00 GMT</t>
  </si>
  <si>
    <t>Thu, 20 Aug 2020 00:00:00 GMT</t>
  </si>
  <si>
    <t>Wed, 19 Aug 2020 00:00:00 GMT</t>
  </si>
  <si>
    <t>Tue, 18 Aug 2020 00:00:00 GMT</t>
  </si>
  <si>
    <t>Mon, 17 Aug 2020 00:00:00 GMT</t>
  </si>
  <si>
    <t>Fri, 14 Aug 2020 00:00:00 GMT</t>
  </si>
  <si>
    <t>Thu, 13 Aug 2020 00:00:00 GMT</t>
  </si>
  <si>
    <t>Wed, 12 Aug 2020 00:00:00 GMT</t>
  </si>
  <si>
    <t>Tue, 11 Aug 2020 00:00:00 GMT</t>
  </si>
  <si>
    <t>Mon, 10 Aug 2020 00:00:00 GMT</t>
  </si>
  <si>
    <t>Fri, 07 Aug 2020 00:00:00 GMT</t>
  </si>
  <si>
    <t>Thu, 06 Aug 2020 00:00:00 GMT</t>
  </si>
  <si>
    <t>Wed, 05 Aug 2020 00:00:00 GMT</t>
  </si>
  <si>
    <t>Tue, 04 Aug 2020 00:00:00 GMT</t>
  </si>
  <si>
    <t>Mon, 03 Aug 2020 00:00:00 GMT</t>
  </si>
  <si>
    <t>Fri, 31 Jul 2020 00:00:00 GMT</t>
  </si>
  <si>
    <t>Thu, 30 Jul 2020 00:00:00 GMT</t>
  </si>
  <si>
    <t>Wed, 29 Jul 2020 00:00:00 GMT</t>
  </si>
  <si>
    <t>Tue, 28 Jul 2020 00:00:00 GMT</t>
  </si>
  <si>
    <t>Mon, 27 Jul 2020 00:00:00 GMT</t>
  </si>
  <si>
    <t>Fri, 24 Jul 2020 00:00:00 GMT</t>
  </si>
  <si>
    <t>Thu, 23 Jul 2020 00:00:00 GMT</t>
  </si>
  <si>
    <t>Wed, 22 Jul 2020 00:00:00 GMT</t>
  </si>
  <si>
    <t>Tue, 21 Jul 2020 00:00:00 GMT</t>
  </si>
  <si>
    <t>Mon, 20 Jul 2020 00:00:00 GMT</t>
  </si>
  <si>
    <t>Fri, 17 Jul 2020 00:00:00 GMT</t>
  </si>
  <si>
    <t>Thu, 16 Jul 2020 00:00:00 GMT</t>
  </si>
  <si>
    <t>Wed, 15 Jul 2020 00:00:00 GMT</t>
  </si>
  <si>
    <t>Tue, 14 Jul 2020 00:00:00 GMT</t>
  </si>
  <si>
    <t>Mon, 13 Jul 2020 00:00:00 GMT</t>
  </si>
  <si>
    <t>Fri, 10 Jul 2020 00:00:00 GMT</t>
  </si>
  <si>
    <t>Thu, 09 Jul 2020 00:00:00 GMT</t>
  </si>
  <si>
    <t>Wed, 08 Jul 2020 00:00:00 GMT</t>
  </si>
  <si>
    <t>Tue, 07 Jul 2020 00:00:00 GMT</t>
  </si>
  <si>
    <t>Mon, 06 Jul 2020 00:00:00 GMT</t>
  </si>
  <si>
    <t>Thu, 02 Jul 2020 00:00:00 GMT</t>
  </si>
  <si>
    <t>Wed, 01 Jul 2020 00:00:00 GMT</t>
  </si>
  <si>
    <t>Tue, 30 Jun 2020 00:00:00 GMT</t>
  </si>
  <si>
    <t>Mon, 29 Jun 2020 00:00:00 GMT</t>
  </si>
  <si>
    <t>Fri, 26 Jun 2020 00:00:00 GMT</t>
  </si>
  <si>
    <t>Thu, 25 Jun 2020 00:00:00 GMT</t>
  </si>
  <si>
    <t>Wed, 24 Jun 2020 00:00:00 GMT</t>
  </si>
  <si>
    <t>Tue, 23 Jun 2020 00:00:00 GMT</t>
  </si>
  <si>
    <t>Mon, 22 Jun 2020 00:00:00 GMT</t>
  </si>
  <si>
    <t>Fri, 19 Jun 2020 00:00:00 GMT</t>
  </si>
  <si>
    <t>Thu, 18 Jun 2020 00:00:00 GMT</t>
  </si>
  <si>
    <t>Wed, 17 Jun 2020 00:00:00 GMT</t>
  </si>
  <si>
    <r>
      <rPr>
        <i/>
        <sz val="11"/>
        <color theme="1"/>
        <rFont val="Calibre"/>
      </rPr>
      <t xml:space="preserve">1255 </t>
    </r>
    <r>
      <rPr>
        <sz val="11"/>
        <color theme="1"/>
        <rFont val="Calibre"/>
      </rPr>
      <t>Trading Days? (From: 6/17/20 - 6/17/25)</t>
    </r>
  </si>
  <si>
    <t>Institutional Ownership Snapshot (6/16/2025)</t>
  </si>
  <si>
    <t>Ttl Revenue Growth Y/y</t>
  </si>
  <si>
    <t>PMO Products</t>
  </si>
  <si>
    <t>ELEVIDYS</t>
  </si>
  <si>
    <t>PMO (phosphorodiamidate morpholino oligomer) are a type of synthetic molecule where the natural ribose sugar in DNA/RNA is replaced with a morpholine ring, and the phosphate linkage is replaced with a phosphorodiamidate linkage</t>
  </si>
  <si>
    <t>This structure makes PMOs uncharged and highly resistant to degradation, allowing them to bind to RNA and modulate gene expression</t>
  </si>
  <si>
    <t>Generic Name:</t>
  </si>
  <si>
    <t>Eteplirsen</t>
  </si>
  <si>
    <t>Golodirsen</t>
  </si>
  <si>
    <t>Casimersen</t>
  </si>
  <si>
    <t>Mechanism:</t>
  </si>
  <si>
    <t xml:space="preserve">Exon 51 skipping	</t>
  </si>
  <si>
    <t>Exon 53 skipping</t>
  </si>
  <si>
    <t>Exon 45 skipping</t>
  </si>
  <si>
    <t>AMONDYS 45</t>
  </si>
  <si>
    <t>VYONDYS 53</t>
  </si>
  <si>
    <t>EXONDYS 51</t>
  </si>
  <si>
    <t>https://pharsight.greyb.com/company/sarepta-theraps-inc-drug-patent-portfolio</t>
  </si>
  <si>
    <t>2/25/2021</t>
  </si>
  <si>
    <t>NCE-1 date:</t>
  </si>
  <si>
    <t>https://pharsight.greyb.com/drug/exondys-51-patent-expiration</t>
  </si>
  <si>
    <t>Pharsight Patent Search</t>
  </si>
  <si>
    <t>12/12/2019</t>
  </si>
  <si>
    <t>NCE-1 is the earliest point when generic competition might begin, provided a challenge to the patent is successful</t>
  </si>
  <si>
    <t>Since the approval date for Exondys 51 is 19 September, 2016, its NCE-1 date is estimated to be 19 September, 2020</t>
  </si>
  <si>
    <t>Since the approval date for Vyondys 53 is 12 December, 2019, its NCE-1 date is estimated to be 13 December, 2023</t>
  </si>
  <si>
    <t>Since the approval date for Amondys 45 is 25 February, 2021, its NCE-1 date is estimated to be 25 February, 2025</t>
  </si>
  <si>
    <t>ELEVIDYS Growth Y/y</t>
  </si>
  <si>
    <t>PMO Products Growth Y/y</t>
  </si>
  <si>
    <t>PMO % of Ttl Revenues</t>
  </si>
  <si>
    <t>ELEVIDYS % of Ttl Revenues</t>
  </si>
  <si>
    <t xml:space="preserve">SRPT Historical Return Histogram (Date Built) </t>
  </si>
  <si>
    <t>ROIC</t>
  </si>
  <si>
    <t>Terminal</t>
  </si>
  <si>
    <t>RFR (10-year yield)</t>
  </si>
  <si>
    <t>ERP 
(Avg. market return - (less) RFR)</t>
  </si>
  <si>
    <t>Equity β (1-year avg.)</t>
  </si>
  <si>
    <t>Discount (Cost of Equity)</t>
  </si>
  <si>
    <t>NPV</t>
  </si>
  <si>
    <t>FV</t>
  </si>
  <si>
    <t>CP</t>
  </si>
  <si>
    <t>Change Δ</t>
  </si>
  <si>
    <t>RNA-based therapies are a class of medicines that use synthetic nucleic acids to modify disease pathways at the RNA level</t>
  </si>
  <si>
    <t>Gene therapies (in the traditional sense) typically introduce, replace, or edit genes within a patient's cells, often using viral vectors, to achieve a lasting or permanent effect on disease … These therapies can:</t>
  </si>
  <si>
    <t xml:space="preserve">Silence or reduce the production of disease-causing proteins </t>
  </si>
  <si>
    <t>Replace or supplement missing or faulty proteins by delivering synthetic mRNA</t>
  </si>
  <si>
    <t>Modulate gene expression without permanently altering DNA</t>
  </si>
  <si>
    <t>How RNA Therapies Work (According To Perplexity):</t>
  </si>
  <si>
    <t>The Company's current portfolio seeks to address Duchenne muscular dystrophy (DMD), a rare, progressive genetic disorder that primarily affects boys</t>
  </si>
  <si>
    <t>The Company was incorporated in 1980 and is headquartered in Cambridge, Massachusetts</t>
  </si>
  <si>
    <t>By the age of 12, many are reliant on wheelchairs due to muscle degeneration and also encounter social isolation</t>
  </si>
  <si>
    <t>The condition complicates even the simplest daily activities and, as it progresses, critically affects the heart and respiratory muscles</t>
  </si>
  <si>
    <t>Duchenne is classified under muscular dystrophies, genetic diseases marked by muscle weakness, with Duchenne being notably the most severe due to the absence of dystrophin, a protein essential for muscle integrity</t>
  </si>
  <si>
    <t>Research into the genetic underpinnings of Duchenne has been ongoing since the dystrophin gene’s identification in 1986</t>
  </si>
  <si>
    <t>CureDuchenne is committed to improving the lives of everyone affected through accelerating research to find a cure, improving care and empowering the our community</t>
  </si>
  <si>
    <t>https://cureduchenne.org/about/what-is-duchenne/</t>
  </si>
  <si>
    <t>Prevalence:</t>
  </si>
  <si>
    <t>United States:</t>
  </si>
  <si>
    <t>Globally:</t>
  </si>
  <si>
    <t>Cases</t>
  </si>
  <si>
    <t>The Company's research and therapies are focused on exon skipping approaches (Denoted in the drugs name)</t>
  </si>
  <si>
    <t>Antisense Oligonucleotides (ASOs) &amp; PMOs: Bind to specific mRNA sequences, blocking translation or altering splicing (e.g., exon skipping in Duchenne muscular dystrophy)</t>
  </si>
  <si>
    <t>RNA Interference (RNAi): Uses small RNA molecules to degrade target mRNA, silencing gene expression</t>
  </si>
  <si>
    <t>mRNA Therapies: Deliver functional mRNA to cells, allowing them to produce a missing or defective protein</t>
  </si>
  <si>
    <t>EXONDYS 51 (eteplirsen), VYONDYS 53 (golodirsen), and AMONDYS 45 (casimersen) are all protected by patents and regulatory exclusivities, which delay the entry of generic versions into the market</t>
  </si>
  <si>
    <t>Amondys 45 Scope</t>
  </si>
  <si>
    <t>Vyondys 53</t>
  </si>
  <si>
    <t>https://pharsight.greyb.com/drug/vyondys-53-patent-expiration</t>
  </si>
  <si>
    <t>Exondys 51</t>
  </si>
  <si>
    <t>https://pharsight.greyb.com/drug/amondys-45-patent-expiration</t>
  </si>
  <si>
    <t>Duchenne Info</t>
  </si>
  <si>
    <t>FDA 510(k) Approval Date</t>
  </si>
  <si>
    <t>9/19/2016</t>
  </si>
  <si>
    <t xml:space="preserve">Price  </t>
  </si>
  <si>
    <t xml:space="preserve">MC </t>
  </si>
  <si>
    <t>Potential Barriers to Enter Gene Therapy Market:</t>
  </si>
  <si>
    <t xml:space="preserve">Technical Complexity: </t>
  </si>
  <si>
    <t>RNA and gene therapies require specialized expertise, advanced manufacturing, and complex delivery systems</t>
  </si>
  <si>
    <t>Regulatory Pathways:</t>
  </si>
  <si>
    <t>Approval processes are more complex, often requiring demonstration of long-term safety and efficacy</t>
  </si>
  <si>
    <t>Market Size:</t>
  </si>
  <si>
    <t>Many RNA/gene therapies target rare diseases, so the commercial opportunity is smaller, but pricing is higher to offset R&amp;D costs</t>
  </si>
  <si>
    <t>Competition:</t>
  </si>
  <si>
    <t>Fewer direct competitors due to high specialization; fewer generics/biosimilars after patent expiry compared to small molecules</t>
  </si>
  <si>
    <t>Gene Therapies are targeted, complex, and expensive to develop and manufacture, face higher regulatory and technical barriers, and serve smaller patient populations with less generic competition</t>
  </si>
  <si>
    <t>This leads to distinct business models focused on high-value, low-volume markets, and a need for specialized expertise throughout the product lifecycle</t>
  </si>
  <si>
    <t>Drug:</t>
  </si>
  <si>
    <t>These factors, along with first mover advantages have alloted The Company dominant position in the Duchenne muscular dystrophy (DMD) gene therapy market</t>
  </si>
  <si>
    <t>Business Segments:</t>
  </si>
  <si>
    <t>EXONDYS 51 (eteplirsen), VYONDYS 53 (golodirsen), and AMONDYS 45 (casimersen) are synthetic antisense oligonucleotide therapies offered by The Company, which use PMO (phosphorodiamidate morpholino oligomer) technology to treat Duchenne muscular dystrophy (DMD)</t>
  </si>
  <si>
    <t>These drugs work by binding to specific exons in the dystrophin gene’s pre-mRNA and promoting exon skipping during RNA splicing</t>
  </si>
  <si>
    <t>This process enables the production of a shorter, but partially functional, dystrophin protein in patients with certain genetic mutations, helping to slow disease progression and improve muscle function</t>
  </si>
  <si>
    <t>While IP protection will fall away, entry into the DMD space is constrained by several other barriers that are not typically present in small molecule drug businesses</t>
  </si>
  <si>
    <t>The Company currently leads the market for PMO-based exon-skipping therapies, but several companies are developing or advancing competing antisense oligonucleotide (PMO and next-generation) therapies targeting Duchenne muscular dystrophy</t>
  </si>
  <si>
    <t>Key Potential and Emerging Competitors:</t>
  </si>
  <si>
    <t>Avidity Biosciences</t>
  </si>
  <si>
    <t>Lead candidate: Delpacibart zotadirsen (del-zota), an antibody-PMO conjugate targeting exon 44 skipping</t>
  </si>
  <si>
    <t>Technology: Combines a PMO with an antibody to enhance delivery to muscle, aiming for improved efficacy over traditional PMOs</t>
  </si>
  <si>
    <t>Status: In phase 1/2 clinical trials; has shown promising early results, including increased dystrophin production and exon skipping</t>
  </si>
  <si>
    <t>Dyne Therapeutics</t>
  </si>
  <si>
    <t>Lead candidate: DYNE-251, designed for exon 51 skipping (the same target as EXONDYS 51)</t>
  </si>
  <si>
    <t>Technology: Uses proprietary delivery technology to improve PMO uptake in muscle</t>
  </si>
  <si>
    <t>Status: Ongoing clinical trials with new long-term data reported in 2025</t>
  </si>
  <si>
    <t>Other Notable Programs:</t>
  </si>
  <si>
    <t>Wave Life Sciences</t>
  </si>
  <si>
    <t>Pipeline: Developing next-generation stereopure oligonucleotides for DMD, aiming to improve potency and durability over current PMO drugs</t>
  </si>
  <si>
    <t>NS Pharma</t>
  </si>
  <si>
    <t>Nippon Shinyaku</t>
  </si>
  <si>
    <t>Offering: Also markets viltolarsen in the US</t>
  </si>
  <si>
    <t>Offering: Viltepso (viltolarsen), an exon 53-skipping PMO, is approved in Japan and the US, directly competing with Sarepta’s VYONDYS 53</t>
  </si>
  <si>
    <t>Dyne Therapeutics and others:</t>
  </si>
  <si>
    <t>Several firms are developing preclinical or early clinical exon-skipping therapies using novel delivery systems or modifications to the PMO backbone</t>
  </si>
  <si>
    <t>Pricing:</t>
  </si>
  <si>
    <t>The price for EXONDYS 51 is weight-based and can exceed $1 million per patient per year … a typical pediatric dose (based on 20 kg body weight) is estimated at around $300,000 per year, but for heavier patients, the annual cost can be much higher, often cited in the range of $1.3 million per year on average</t>
  </si>
  <si>
    <t>Like EXONDYS 51, VYONDYS 53 is also dosed by weight and has a similar annual cost structure, with payer costs averaging around $1.3 million per year</t>
  </si>
  <si>
    <t>AMONDYS 45 follows the same pricing model as the other two drugs, with treatment for a 20 kg child costing about $300,000 per year, and average costs for older/heavier patients reaching $1.3 million per year</t>
  </si>
  <si>
    <t>All three drugs are among the most expensive therapies on the market, reflecting their complexity, rarity of the disease, and lack of generic alternatives</t>
  </si>
  <si>
    <t>Actual patient cost may vary based on weight, insurance coverage, and negotiated discounts</t>
  </si>
  <si>
    <t>PMOs Offerings</t>
  </si>
  <si>
    <t>Elevidys</t>
  </si>
  <si>
    <t>Unlike PMO therapies that modify RNA splicing to partially restore dystrophin production, Elevidys delivers a new gene directly to muscle cells, enabling them to produce micro-dystrophin—a shortened but functional version of the dystrophin protein that DMD patients lack</t>
  </si>
  <si>
    <t>Elevidys is administered as a single intravenous infusion, offering the potential for long-lasting or even permanent benefit, compared to the ongoing, regular dosing required for PMO therapies</t>
  </si>
  <si>
    <t>Elevidys uses an engineered adeno-associated virus (AAV) to carry the micro-dystrophin gene into muscle cells throughout the body</t>
  </si>
  <si>
    <t>Once inside, the new gene is expressed, allowing muscle cells to produce micro-dystrophin, which helps stabilize and protect muscle fibers from damage</t>
  </si>
  <si>
    <t>The therapy includes a muscle-specific promoter to ensure the gene is active in both skeletal and cardiac muscle, addressing two key areas affected by DMD</t>
  </si>
  <si>
    <t>Because the gene is delivered directly to cells, the effect can last for years, with the potential for a single dose to provide ongoing benefit</t>
  </si>
  <si>
    <t>Whereas PMO Therapies alter mRNA splicing to skip exons, Gene Therapies Deliver an entirely new gene to make needed proteins</t>
  </si>
  <si>
    <t>PMOs are mutation-specific and only help patients with certain exon deletions</t>
  </si>
  <si>
    <t>Elevidys can potentially benefit a much wider range of DMD patients, regardless of their specific mutation, as long as they do not have contraindicated deletions</t>
  </si>
  <si>
    <t>By introducing a gene that enables the body to make a functional dystrophin protein, Elevidys may offer more robust and sustained muscle protection and function than PMOs, which only partially restore dystrophin and require ongoing treatment</t>
  </si>
  <si>
    <t>Elevidys addresses the underlying genetic defect, while PMOs provide a workaround at the RNA level without changing the genetic code itself</t>
  </si>
  <si>
    <t>Elevidys represents a major technological advancement over PMO therapies for DMD</t>
  </si>
  <si>
    <t>By directly delivering a functional gene to muscle cells, it offers the promise of a one-time, long-lasting treatment that addresses the root cause of DMD, rather than providing temporary or partial relief through repeated RNA modification</t>
  </si>
  <si>
    <t>This leap in technology could redefine standards of care for DMD and sets a new benchmark for gene therapy in rare genetic diseases</t>
  </si>
  <si>
    <t>Rare Disease Drugs and the businesses built around them differ fundamentally from the traditional small molecule, mass market drug offerings</t>
  </si>
  <si>
    <t>Seeks to treat DMD in all patients 4 years or older</t>
  </si>
  <si>
    <t>investors@sarepta.com</t>
  </si>
  <si>
    <t>Founder(s): James Summerton &amp; Dwight Weller</t>
  </si>
  <si>
    <t>Business Risks:</t>
  </si>
  <si>
    <t>The Company is highly dependent on the commercial success of our products in the U.S. The Company may not be able to meet expectations with respect to sales of products or maintain profitability and positive cash-flow from operations</t>
  </si>
  <si>
    <t>Even though EXONDYS 51, VYONDYS 53, AMONDYS 45 and ELEVIDYS (with respect to non-ambulatory patients) have received accelerated approval from the FDA, they face future post-approval development and regulatory requirements, which present additional challenges for us to successfully navigate</t>
  </si>
  <si>
    <t>Historical revenues from eteplirsen, golodirsen and casimersen through our early access program (“EAP”) outside the U.S. may not continue and we may not be able to continue to distribute our products through our EAP</t>
  </si>
  <si>
    <t>Future sales of ELEVIDYS may decrease sales growth, or reduce sales, of EXONDYS 51, AMONDYS 45 and VYONDYS 53 (collectively, the “PMO Products”), which could negatively impact our operating results, including through potential inventory write-offs</t>
  </si>
  <si>
    <t>Failures or delays in the commencement or completion of ongoing and planned clinical trials of our product candidates could negatively impact commercialization efforts; result in increased costs; and delay, prevent or limit our ability to gain regulatory approval of product candidates and to generate revenues and continue our business</t>
  </si>
  <si>
    <t>Clinical development is lengthy and uncertain. Clinical trials of our product candidates may be delayed and certain programs may never advance in the clinic or may be more costly to conduct than we anticipate, any of which could have a material adverse impact on our business</t>
  </si>
  <si>
    <t>Results from pre-clinical and early‑stage clinical trials may not be indicative of efficacy in late‑stage clinical trials, and pre-clinical and clinical trials may fail to demonstrate acceptable levels of safety, efficacy, and quality of our product candidates, which could prevent or significantly delay their regulatory approval</t>
  </si>
  <si>
    <t>Our product candidates may cause undesirable side effects or have other properties that could delay or prevent regulatory approval of product candidates, limit the commercial potential or result in significant negative consequences following any potential marketing approval</t>
  </si>
  <si>
    <t>If there are significant delays in obtaining, or if we are unable to obtain or maintain required regulatory approvals, we will not be able to commercialize our product candidates in a timely manner or at all</t>
  </si>
  <si>
    <t>We may not be able to advance all of our programs, and we may use our financial and human resources to pursue particular programs and fail to capitalize on programs that may be more profitable or for which there is a greater likelihood of success</t>
  </si>
  <si>
    <t>If we are unable to maintain our agreements with third parties to distribute our products to patients, our results of operations and business could be adversely affected</t>
  </si>
  <si>
    <t>Products intended for use in gene therapies are novel, complex and difficult to manufacture. We could experience production problems or inaccurately forecast demand for any of our product candidates, which could result in delays in our development or commercialization, limit supply or otherwise harm our business</t>
  </si>
  <si>
    <t>Our success, competitive position and future revenue depend in part on our ability and the abilities of our licensors and other collaborators to obtain, maintain and defend the patent protection for our products, product candidates, and platform technologies, to preserve our trade secrets, and to prevent third parties from infringing on our proprietary rights</t>
  </si>
  <si>
    <t>Our stock price is volatile and may fluctuate due to factors beyond our control</t>
  </si>
  <si>
    <t>Our existing and any future indebtedness could adversely affect our ability to operate our business</t>
  </si>
  <si>
    <t>Our revenues and operating results could fluctuate significantly, which may adversely affect our stock price and our ability to maintain profitability</t>
  </si>
  <si>
    <t xml:space="preserve">The Company has entered into multiple collaborations and strategic transactions, including collaboration with F. Hoffman-La Roche Ltd (“Roche”) and, collaboration and license agreement with Arrowhead Pharmaceuticals, Inc. (“Arrowhead”), and may seek or engage in future collaborations, strategic alliances, acquisitions or licensing agreements that complement or expand the business </t>
  </si>
  <si>
    <t>The Company may not be able to complete such transactions, and such transactions, if executed, may increase capital requirements for The Company, which may dilute stockholders, cause The Company to incur debt or assume contingent liabilities and subject The Company to other risks</t>
  </si>
  <si>
    <t>The Company faces intense competition and rapid technological change, which may result in other companies discovering, developing or commercializing competitive products</t>
  </si>
  <si>
    <t>The Company's products may not be widely adopted by patients, payors or healthcare providers, which would adversely impact our potential profitability and future business prospects</t>
  </si>
  <si>
    <t>The Company is subject to uncertainty relating to reimbursement policies which, if not favorable, could hinder or prevent the commercial success of our products and/or product candidates</t>
  </si>
  <si>
    <t>Failure to obtain or maintain regulatory exclusivity for products could result in an inability for The Company to protect its products from competition and the business may be adversely impacted</t>
  </si>
  <si>
    <t>The Company may find it difficult to enroll patients in clinical trials, which could delay or prevent clinical trials of product candidates</t>
  </si>
  <si>
    <t>Bull Case:</t>
  </si>
  <si>
    <r>
      <t xml:space="preserve">Pricing for these drugs is weight-based … </t>
    </r>
    <r>
      <rPr>
        <b/>
        <sz val="11"/>
        <color theme="1"/>
        <rFont val="Calibre"/>
      </rPr>
      <t>treatment costs can be anywhere between $300K - $1.3M annually</t>
    </r>
  </si>
  <si>
    <t>We are investing significant resources in the development of novel gene therapy product candidates</t>
  </si>
  <si>
    <t>Only a few gene therapy products have been approved in the U.S. and the European Union (“EU”)</t>
  </si>
  <si>
    <t>Base Case:</t>
  </si>
  <si>
    <t>Bear Case:</t>
  </si>
  <si>
    <t>Total Sales</t>
  </si>
  <si>
    <t>17,500 Patients</t>
  </si>
  <si>
    <t>Elevidys (delandistrogene moxeparvovec-rokl) is currently approved for use in both ambulatory and non-ambulatory individuals with Duchenne muscular dystrophy (DMD) who are at least 4 years old and have a confirmed DMD gene mutation</t>
  </si>
  <si>
    <t>The FDA’s expanded approval in June 2024 removed the upper age limit, meaning adult patients with DMD are now eligible for Elevidys if they meet the genetic and clinical criteria</t>
  </si>
  <si>
    <t>More than 900 patients globally have received Elevidys for Duchenne muscular dystrophy as of June 2025, including both clinical trial participants and commercial recipients</t>
  </si>
  <si>
    <t>Price: $3.2M for single infusion treatment</t>
  </si>
  <si>
    <t>Even with strong demand, the total addressable market is small, and uptake is constrained by payer coverage, regulatory approvals, and the ability of healthcare systems to absorb such high-cost therapies</t>
  </si>
  <si>
    <t>12,000 Patients</t>
  </si>
  <si>
    <t>5,000 Patients</t>
  </si>
  <si>
    <t>Because we are developing product candidates for the treatment of certain diseases in which there is little clinical experience and we are using new endpoints or methodologies, there is increased risk that the FDA, the European Medicines Agency (the “EMA”) or other regulatory authorities may not consider the endpoints of our clinical trials to provide clinically meaningful results and that these results may be difficult to analyze</t>
  </si>
  <si>
    <t xml:space="preserve"> Accordingly, the FDA or foreign regulatory authorities could interpret these data in different ways from us or our partners, which could delay, limit or prevent full or accelerated regulatory approval</t>
  </si>
  <si>
    <t>We rely on third parties to conduct some aspects of our early stage research and pre-clinical and clinical development. The inadequate performance by or loss of any of these third parties could affect the development and commercialization of our product candidate development</t>
  </si>
  <si>
    <t>The third parties we use in the manufacturing process for our products and product candidates may fail to comply with current good manufacturing practices (“cGMP”) regulations</t>
  </si>
  <si>
    <t>We currently rely on third parties to manufacture our products and to produce our product candidates</t>
  </si>
  <si>
    <t>Our dependence on these parties, including failure on our part to accurately anticipate product demand and timely secure manufacturing capacity to meet commercial, EAP, clinical and pre-clinical product demand may impair the availability of product to successfully support various programs, including research and development and the potential commercialization of additional product candidates in our pipeline</t>
  </si>
  <si>
    <t>FCF/Revenue</t>
  </si>
  <si>
    <t>-</t>
  </si>
  <si>
    <r>
      <t xml:space="preserve">The company is also developing </t>
    </r>
    <r>
      <rPr>
        <b/>
        <sz val="11"/>
        <color theme="1"/>
        <rFont val="Calibre"/>
      </rPr>
      <t>SRP-9003</t>
    </r>
    <r>
      <rPr>
        <sz val="11"/>
        <color theme="1"/>
        <rFont val="Calibre"/>
      </rPr>
      <t>, a limb-girdle muscular dystrophies gene therapy program</t>
    </r>
  </si>
  <si>
    <r>
      <rPr>
        <b/>
        <sz val="11"/>
        <color theme="1"/>
        <rFont val="Calibre"/>
      </rPr>
      <t>Arrowhead</t>
    </r>
    <r>
      <rPr>
        <sz val="11"/>
        <color theme="1"/>
        <rFont val="Calibre"/>
      </rPr>
      <t xml:space="preserve"> Pharmaceuticals, Inc.</t>
    </r>
  </si>
  <si>
    <t>More</t>
  </si>
  <si>
    <t>FDA 510(k) Approval: 6/20/2024</t>
  </si>
  <si>
    <t>Product Revenues</t>
  </si>
  <si>
    <t>Collaboration Revenues</t>
  </si>
  <si>
    <t>Contract Manufacturing</t>
  </si>
  <si>
    <t>Royalty Revenues</t>
  </si>
  <si>
    <t>Collaboration and Other Revenues</t>
  </si>
  <si>
    <t>Elevidys goes through short term hiccups with second patient death and pause on non-ambulatory patients until Q1'26</t>
  </si>
  <si>
    <t>PMO business remains stable for the next two years as Elevidys gets into the market and health care providers are able to collect higher quality patient outcome data</t>
  </si>
  <si>
    <t xml:space="preserve">High R&amp;D spend on clinical trails and research in the short term, but efficacy is ultimately proven, and patient outcomes are positive … take dominant share of DMD market </t>
  </si>
  <si>
    <t xml:space="preserve">PMO business phases out in the LT as HCP's and insurance companies feel comfortable providing Elevidys … Elevydis maintains dominance in the gene therapy space </t>
  </si>
  <si>
    <t>Amortization of PO</t>
  </si>
  <si>
    <t>Elevidys (delandistrogene moxeparvovec-rokl) is the first (and as of 2025, only) gene therapy approved to treat Duchenne muscular dystrophy (DMD) in both ambulatory and non-ambulatory patients aged 4 and older, marking a historic milestone in DMD treatment</t>
  </si>
  <si>
    <t>Risks associated with Elevidys:</t>
  </si>
  <si>
    <t>Infusion-related reactions caused by Elevidys treatment have been reported</t>
  </si>
  <si>
    <t>Infusion-related reactions, including hypersensitivity reactions and anaphylaxis, have occurred during or up to several hours following ELEVIDYS administration</t>
  </si>
  <si>
    <t>Closely monitor patients during administration and for at least 3 hours after the end of infusion</t>
  </si>
  <si>
    <t>If symptoms of infusion-related reactions occur, slow, or stop the infusion and give appropriate treatment</t>
  </si>
  <si>
    <t>Once symptoms resolve, the infusion may be restarted at a lower rate</t>
  </si>
  <si>
    <t>ELEVIDYS should be administered in a setting where treatment for infusion-related reactions is immediately available</t>
  </si>
  <si>
    <t>Discontinue infusion for anaphylaxis</t>
  </si>
  <si>
    <t>Acute serious liver injury has been observed with ELEVIDYS, and administration may result in elevations of liver enzymes (such as GGT, GLDH, ALT, AST) or total bilirubin, typically seen within 8 weeks</t>
  </si>
  <si>
    <t>Patients with preexisting liver impairment, chronic hepatic condition, or acute liver disease (e.g., acute hepatic viral infection) may be at higher risk of acute serious liver injury</t>
  </si>
  <si>
    <t>Postpone ELEVIDYS administration in patients with acute liver disease until resolved or controlled</t>
  </si>
  <si>
    <t>Prior to ELEVIDYS administration, perform liver enzyme test and monitor liver function (clinical exam, GGT, and total bilirubin) weekly for the first 3 months following ELEVIDYS infusion. Continue monitoring if clinically indicated, until results are unremarkable (normal clinical exam, GGT, and total bilirubin levels return to near baseline levels)</t>
  </si>
  <si>
    <t>Systemic corticosteroid treatment is recommended for patients before and after ELEVIDYS infusion</t>
  </si>
  <si>
    <t>Adjust corticosteroid regimen when indicated. If acute serious liver injury is suspected, consultation with a specialist is recommended</t>
  </si>
  <si>
    <t>Immune-mediated Myositis</t>
  </si>
  <si>
    <t>In clinical trials, immune-mediated myositis has been observed approximately 1 month following ELEVIDYS infusion in patients with deletion mutations involving exon 8 and/or exon 9 in the DMD gene</t>
  </si>
  <si>
    <t>Symptoms of severe muscle weakness, including dysphagia, dyspnea, and hypophonia, were observed</t>
  </si>
  <si>
    <t>Limited data are available for ELEVIDYS treatment in patients with mutations in the DMD gene in exons 1 to 17 and/or exons 59 to 71. Patients with deletions in these regions may be at risk for a severe immune-mediated myositis reaction</t>
  </si>
  <si>
    <t>Advise patients to contact a physician immediately if they experience any unexplained increased muscle pain, tenderness, or weakness, including dysphagia, dyspnea, or hypophonia, as these may be symptoms of myositis</t>
  </si>
  <si>
    <t>Consider additional immunomodulatory treatment (immunosuppressants [e.g., calcineurin-inhibitor] in addition to corticosteroids) based on patient’s clinical presentation and medical history if these symptoms occur</t>
  </si>
  <si>
    <t>Myocarditis</t>
  </si>
  <si>
    <t>Acute serious myocarditis and troponin-I elevations have been observed following ELEVIDYS infusion in clinical trials</t>
  </si>
  <si>
    <t>If a patient experiences myocarditis, those with pre-existing left ventricle ejection fraction (LVEF) impairment may be at higher risk of adverse outcomes</t>
  </si>
  <si>
    <t>Monitor troponin-I before ELEVIDYS infusion and weekly for the first month following infusion and continue monitoring if clinically indicated</t>
  </si>
  <si>
    <t>More frequent monitoring may be warranted in the presence of cardiac symptoms, such as chest pain or shortness of breath</t>
  </si>
  <si>
    <t>Advise patients to contact a physician immediately if they experience cardiac symptoms</t>
  </si>
  <si>
    <t>Preexisting Immunity against AAVrh74</t>
  </si>
  <si>
    <t>In AAV-vector based gene therapies, preexisting anti-AAV antibodies may impede transgene expression at desired therapeutic levels</t>
  </si>
  <si>
    <t>Following treatment with ELEVIDYS, all patients developed anti-AAVrh74 antibodies</t>
  </si>
  <si>
    <t>Perform baseline testing for presence of anti-AAVrh74 total binding antibodies prior to ELEVIDYS administration</t>
  </si>
  <si>
    <t>ELEVIDYS administration is not recommended in patients with elevated anti-AAVrh74 total binding antibody titers greater than or equal to 1:400</t>
  </si>
  <si>
    <t>The most common adverse reactions (incidence ≥5%) reported in clinical studies were vomiting, nausea, liver injury, pyrexia, and thrombocytopenia</t>
  </si>
  <si>
    <t>Other Growth Y/y</t>
  </si>
  <si>
    <t>Other % of Ttl Revenues</t>
  </si>
  <si>
    <t>SEC Filings</t>
  </si>
  <si>
    <t>Projected ROIC:</t>
  </si>
  <si>
    <t>Invested Capital</t>
  </si>
  <si>
    <t>AVG Invested Capital</t>
  </si>
  <si>
    <t>2023-2024</t>
  </si>
  <si>
    <t>$38B (Elevidys + PMOs by 2044)</t>
  </si>
  <si>
    <t>$22B (Elevidys + PMOs by 2038)</t>
  </si>
  <si>
    <t>$16B (Elevidys + PMOs (by 2038)</t>
  </si>
  <si>
    <t>1/10/2026</t>
  </si>
  <si>
    <t>Q3'25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</si>
</sst>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
    <numFmt numFmtId="165" formatCode="0.0%"/>
    <numFmt numFmtId="166" formatCode="_(&quot;$&quot;* #,##0_);_(&quot;$&quot;* \(#,##0\);_(&quot;$&quot;* &quot;-&quot;??_);_(@_)"/>
  </numFmts>
  <fonts count="22">
    <font>
      <sz val="11"/>
      <color theme="1"/>
      <name val="Calibri"/>
      <family val="2"/>
      <scheme val="minor"/>
    </font>
    <font>
      <sz val="11"/>
      <color theme="1"/>
      <name val="Calibri"/>
      <family val="2"/>
      <scheme val="minor"/>
    </font>
    <font>
      <sz val="11"/>
      <color theme="1"/>
      <name val="Calibre"/>
    </font>
    <font>
      <b/>
      <sz val="11"/>
      <color theme="1"/>
      <name val="Calibre"/>
    </font>
    <font>
      <b/>
      <sz val="11"/>
      <color theme="0"/>
      <name val="Calibre"/>
    </font>
    <font>
      <sz val="11"/>
      <color theme="0"/>
      <name val="Calibre"/>
    </font>
    <font>
      <b/>
      <sz val="10"/>
      <name val="Arial"/>
      <family val="2"/>
    </font>
    <font>
      <i/>
      <sz val="11"/>
      <color theme="1"/>
      <name val="Calibre"/>
    </font>
    <font>
      <b/>
      <sz val="10"/>
      <name val="Calibre"/>
    </font>
    <font>
      <i/>
      <sz val="11"/>
      <color theme="1"/>
      <name val="Calibri"/>
      <family val="2"/>
      <scheme val="minor"/>
    </font>
    <font>
      <b/>
      <i/>
      <sz val="11"/>
      <color theme="1"/>
      <name val="Calibri"/>
      <family val="2"/>
      <scheme val="minor"/>
    </font>
    <font>
      <b/>
      <sz val="11"/>
      <name val="Calibre"/>
    </font>
    <font>
      <b/>
      <sz val="11"/>
      <color rgb="FF0070C0"/>
      <name val="Calibre"/>
    </font>
    <font>
      <sz val="11"/>
      <color rgb="FF0070C0"/>
      <name val="Calibre"/>
    </font>
    <font>
      <sz val="11"/>
      <name val="Calibre"/>
    </font>
    <font>
      <u/>
      <sz val="11"/>
      <color theme="10"/>
      <name val="Calibri"/>
      <family val="2"/>
      <scheme val="minor"/>
    </font>
    <font>
      <u/>
      <sz val="11"/>
      <color rgb="FF00B0F0"/>
      <name val="Calibre"/>
    </font>
    <font>
      <sz val="10"/>
      <name val="Arial"/>
      <family val="2"/>
    </font>
    <font>
      <sz val="11"/>
      <color theme="8" tint="-0.249977111117893"/>
      <name val="Calibre"/>
    </font>
    <font>
      <b/>
      <sz val="11"/>
      <color theme="8" tint="-0.249977111117893"/>
      <name val="Calibre"/>
    </font>
    <font>
      <b/>
      <u/>
      <sz val="11"/>
      <color theme="1"/>
      <name val="Calibre"/>
    </font>
    <font>
      <sz val="11"/>
      <color theme="4" tint="-0.249977111117893"/>
      <name val="Calibre"/>
    </font>
  </fonts>
  <fills count="6">
    <fill>
      <patternFill patternType="none"/>
    </fill>
    <fill>
      <patternFill patternType="gray125"/>
    </fill>
    <fill>
      <patternFill patternType="solid">
        <fgColor rgb="FF002060"/>
        <bgColor indexed="64"/>
      </patternFill>
    </fill>
    <fill>
      <patternFill patternType="solid">
        <fgColor theme="8" tint="-0.249977111117893"/>
        <bgColor indexed="64"/>
      </patternFill>
    </fill>
    <fill>
      <patternFill patternType="solid">
        <fgColor theme="4" tint="0.79998168889431442"/>
        <bgColor theme="4" tint="0.79998168889431442"/>
      </patternFill>
    </fill>
    <fill>
      <patternFill patternType="solid">
        <fgColor rgb="FFF5F5F5"/>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theme="4" tint="0.39997558519241921"/>
      </bottom>
      <diagonal/>
    </border>
    <border>
      <left/>
      <right style="thin">
        <color indexed="64"/>
      </right>
      <top style="thin">
        <color indexed="64"/>
      </top>
      <bottom style="thin">
        <color theme="4" tint="0.39997558519241921"/>
      </bottom>
      <diagonal/>
    </border>
    <border>
      <left style="thin">
        <color indexed="64"/>
      </left>
      <right/>
      <top/>
      <bottom/>
      <diagonal/>
    </border>
    <border>
      <left/>
      <right style="thin">
        <color indexed="64"/>
      </right>
      <top/>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int="0.39997558519241921"/>
      </top>
      <bottom style="thin">
        <color indexed="64"/>
      </bottom>
      <diagonal/>
    </border>
    <border>
      <left/>
      <right style="thin">
        <color indexed="64"/>
      </right>
      <top style="thin">
        <color theme="4" tint="0.39997558519241921"/>
      </top>
      <bottom style="thin">
        <color indexed="64"/>
      </bottom>
      <diagonal/>
    </border>
    <border>
      <left/>
      <right/>
      <top style="medium">
        <color indexed="64"/>
      </top>
      <bottom style="thin">
        <color indexed="64"/>
      </bottom>
      <diagonal/>
    </border>
    <border>
      <left/>
      <right/>
      <top/>
      <bottom style="medium">
        <color indexed="64"/>
      </bottom>
      <diagonal/>
    </border>
  </borders>
  <cellStyleXfs count="5">
    <xf numFmtId="0" fontId="0" fillId="0" borderId="0"/>
    <xf numFmtId="9" fontId="1" fillId="0" borderId="0" applyFont="0" applyFill="0" applyBorder="0" applyAlignment="0" applyProtection="0"/>
    <xf numFmtId="0" fontId="15" fillId="0" borderId="0" applyNumberFormat="0" applyFill="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92">
    <xf numFmtId="0" fontId="0" fillId="0" borderId="0" xfId="0"/>
    <xf numFmtId="0" fontId="2" fillId="0" borderId="0" xfId="0" applyFont="1"/>
    <xf numFmtId="0" fontId="3" fillId="0" borderId="0" xfId="0" applyFont="1"/>
    <xf numFmtId="0" fontId="4" fillId="2" borderId="1" xfId="0" applyFont="1" applyFill="1" applyBorder="1"/>
    <xf numFmtId="0" fontId="5" fillId="2" borderId="2" xfId="0" applyFont="1" applyFill="1" applyBorder="1"/>
    <xf numFmtId="0" fontId="5" fillId="2" borderId="3" xfId="0" applyFont="1" applyFill="1" applyBorder="1"/>
    <xf numFmtId="0" fontId="5" fillId="2" borderId="4" xfId="0" applyFont="1" applyFill="1" applyBorder="1"/>
    <xf numFmtId="0" fontId="4" fillId="3" borderId="1" xfId="0" applyFont="1" applyFill="1" applyBorder="1" applyAlignment="1">
      <alignment horizontal="left"/>
    </xf>
    <xf numFmtId="0" fontId="5" fillId="3" borderId="2" xfId="0" applyFont="1" applyFill="1" applyBorder="1" applyAlignment="1">
      <alignment horizontal="center"/>
    </xf>
    <xf numFmtId="0" fontId="5" fillId="3" borderId="5" xfId="0" applyFont="1" applyFill="1" applyBorder="1" applyAlignment="1">
      <alignment horizontal="center"/>
    </xf>
    <xf numFmtId="10" fontId="2" fillId="4" borderId="6" xfId="0" applyNumberFormat="1" applyFont="1" applyFill="1" applyBorder="1"/>
    <xf numFmtId="10" fontId="2" fillId="4" borderId="7" xfId="0" applyNumberFormat="1" applyFont="1" applyFill="1" applyBorder="1"/>
    <xf numFmtId="0" fontId="4" fillId="3" borderId="8" xfId="0" applyFont="1" applyFill="1" applyBorder="1" applyAlignment="1">
      <alignment horizontal="left"/>
    </xf>
    <xf numFmtId="0" fontId="5" fillId="3" borderId="0" xfId="0" applyFont="1" applyFill="1" applyAlignment="1">
      <alignment horizontal="center"/>
    </xf>
    <xf numFmtId="0" fontId="5" fillId="3" borderId="9" xfId="0" applyFont="1" applyFill="1" applyBorder="1" applyAlignment="1">
      <alignment horizontal="center"/>
    </xf>
    <xf numFmtId="10" fontId="2" fillId="0" borderId="10" xfId="0" applyNumberFormat="1" applyFont="1" applyBorder="1"/>
    <xf numFmtId="10" fontId="2" fillId="0" borderId="11" xfId="0" applyNumberFormat="1" applyFont="1" applyBorder="1"/>
    <xf numFmtId="10" fontId="2" fillId="4" borderId="10" xfId="0" applyNumberFormat="1" applyFont="1" applyFill="1" applyBorder="1"/>
    <xf numFmtId="10" fontId="2" fillId="4" borderId="11" xfId="0" applyNumberFormat="1" applyFont="1" applyFill="1" applyBorder="1"/>
    <xf numFmtId="0" fontId="4" fillId="3" borderId="12" xfId="0" applyFont="1" applyFill="1" applyBorder="1" applyAlignment="1">
      <alignment horizontal="left"/>
    </xf>
    <xf numFmtId="0" fontId="5" fillId="3" borderId="13" xfId="0" applyFont="1" applyFill="1" applyBorder="1" applyAlignment="1">
      <alignment horizontal="center"/>
    </xf>
    <xf numFmtId="0" fontId="5" fillId="3" borderId="14" xfId="0" applyFont="1" applyFill="1" applyBorder="1" applyAlignment="1">
      <alignment horizontal="center"/>
    </xf>
    <xf numFmtId="10" fontId="2" fillId="0" borderId="15" xfId="0" applyNumberFormat="1" applyFont="1" applyBorder="1"/>
    <xf numFmtId="10" fontId="2" fillId="0" borderId="16" xfId="0" applyNumberFormat="1" applyFont="1" applyBorder="1"/>
    <xf numFmtId="0" fontId="6" fillId="5" borderId="0" xfId="0" applyFont="1" applyFill="1" applyAlignment="1">
      <alignment horizontal="center" vertical="center"/>
    </xf>
    <xf numFmtId="10" fontId="2" fillId="0" borderId="0" xfId="0" applyNumberFormat="1" applyFont="1"/>
    <xf numFmtId="0" fontId="8" fillId="5" borderId="0" xfId="0" applyFont="1" applyFill="1" applyAlignment="1">
      <alignment horizontal="center" vertical="center"/>
    </xf>
    <xf numFmtId="10" fontId="8" fillId="5" borderId="0" xfId="0" applyNumberFormat="1" applyFont="1" applyFill="1" applyAlignment="1">
      <alignment horizontal="center" vertical="center"/>
    </xf>
    <xf numFmtId="0" fontId="8" fillId="5" borderId="0" xfId="0" applyFont="1" applyFill="1" applyAlignment="1">
      <alignment horizontal="right" vertical="center"/>
    </xf>
    <xf numFmtId="0" fontId="2" fillId="0" borderId="0" xfId="0" applyFont="1" applyAlignment="1">
      <alignment horizontal="right"/>
    </xf>
    <xf numFmtId="3" fontId="2" fillId="0" borderId="0" xfId="0" applyNumberFormat="1" applyFont="1" applyAlignment="1">
      <alignment horizontal="left"/>
    </xf>
    <xf numFmtId="0" fontId="9" fillId="0" borderId="17" xfId="0" applyFont="1" applyBorder="1" applyAlignment="1">
      <alignment horizontal="left"/>
    </xf>
    <xf numFmtId="0" fontId="9" fillId="0" borderId="17" xfId="0" applyFont="1" applyBorder="1" applyAlignment="1">
      <alignment horizontal="center" wrapText="1"/>
    </xf>
    <xf numFmtId="0" fontId="11" fillId="0" borderId="0" xfId="0" applyFont="1"/>
    <xf numFmtId="0" fontId="12" fillId="0" borderId="0" xfId="0" applyFont="1"/>
    <xf numFmtId="0" fontId="13" fillId="0" borderId="0" xfId="0" applyFont="1"/>
    <xf numFmtId="0" fontId="14" fillId="0" borderId="0" xfId="0" applyFont="1" applyAlignment="1">
      <alignment horizontal="left" indent="1"/>
    </xf>
    <xf numFmtId="0" fontId="14" fillId="0" borderId="0" xfId="0" applyFont="1"/>
    <xf numFmtId="2" fontId="2" fillId="0" borderId="0" xfId="1" quotePrefix="1" applyNumberFormat="1" applyFont="1"/>
    <xf numFmtId="2" fontId="2" fillId="0" borderId="0" xfId="0" applyNumberFormat="1" applyFont="1"/>
    <xf numFmtId="2" fontId="2" fillId="0" borderId="0" xfId="0" quotePrefix="1" applyNumberFormat="1" applyFont="1"/>
    <xf numFmtId="0" fontId="2" fillId="0" borderId="0" xfId="1" applyNumberFormat="1" applyFont="1"/>
    <xf numFmtId="49" fontId="2" fillId="0" borderId="0" xfId="0" applyNumberFormat="1" applyFont="1"/>
    <xf numFmtId="0" fontId="16" fillId="0" borderId="0" xfId="2" applyFont="1"/>
    <xf numFmtId="0" fontId="15" fillId="0" borderId="0" xfId="2"/>
    <xf numFmtId="2" fontId="13" fillId="0" borderId="0" xfId="0" applyNumberFormat="1" applyFont="1"/>
    <xf numFmtId="164" fontId="3" fillId="0" borderId="0" xfId="0" applyNumberFormat="1" applyFont="1"/>
    <xf numFmtId="164" fontId="12" fillId="0" borderId="0" xfId="0" applyNumberFormat="1" applyFont="1"/>
    <xf numFmtId="164" fontId="2" fillId="0" borderId="0" xfId="0" applyNumberFormat="1" applyFont="1"/>
    <xf numFmtId="164" fontId="13" fillId="0" borderId="0" xfId="0" applyNumberFormat="1" applyFont="1"/>
    <xf numFmtId="165" fontId="2" fillId="0" borderId="0" xfId="0" applyNumberFormat="1" applyFont="1"/>
    <xf numFmtId="2" fontId="8" fillId="5" borderId="0" xfId="0" applyNumberFormat="1" applyFont="1" applyFill="1" applyAlignment="1">
      <alignment horizontal="center" vertical="center"/>
    </xf>
    <xf numFmtId="0" fontId="17" fillId="0" borderId="0" xfId="0" applyFont="1"/>
    <xf numFmtId="49" fontId="2" fillId="0" borderId="0" xfId="0" applyNumberFormat="1" applyFont="1" applyAlignment="1">
      <alignment horizontal="right" vertical="top"/>
    </xf>
    <xf numFmtId="44" fontId="2" fillId="0" borderId="0" xfId="0" applyNumberFormat="1" applyFont="1"/>
    <xf numFmtId="9" fontId="2" fillId="0" borderId="0" xfId="1" applyFont="1"/>
    <xf numFmtId="165" fontId="2" fillId="0" borderId="0" xfId="1" applyNumberFormat="1" applyFont="1"/>
    <xf numFmtId="0" fontId="18" fillId="0" borderId="0" xfId="0" applyFont="1"/>
    <xf numFmtId="0" fontId="19" fillId="0" borderId="0" xfId="0" applyFont="1"/>
    <xf numFmtId="165" fontId="13" fillId="0" borderId="0" xfId="1" applyNumberFormat="1" applyFont="1"/>
    <xf numFmtId="165" fontId="13" fillId="0" borderId="0" xfId="0" applyNumberFormat="1" applyFont="1"/>
    <xf numFmtId="0" fontId="13" fillId="0" borderId="0" xfId="0" applyFont="1" applyAlignment="1">
      <alignment vertical="top" wrapText="1"/>
    </xf>
    <xf numFmtId="10" fontId="13" fillId="0" borderId="0" xfId="0" applyNumberFormat="1" applyFont="1"/>
    <xf numFmtId="14" fontId="13" fillId="0" borderId="0" xfId="0" applyNumberFormat="1" applyFont="1" applyAlignment="1">
      <alignment horizontal="right"/>
    </xf>
    <xf numFmtId="0" fontId="13" fillId="0" borderId="0" xfId="0" applyFont="1" applyAlignment="1">
      <alignment horizontal="right"/>
    </xf>
    <xf numFmtId="49" fontId="13" fillId="0" borderId="0" xfId="0" applyNumberFormat="1" applyFont="1" applyAlignment="1">
      <alignment horizontal="right"/>
    </xf>
    <xf numFmtId="49" fontId="13" fillId="0" borderId="0" xfId="0" applyNumberFormat="1" applyFont="1" applyAlignment="1">
      <alignment horizontal="left"/>
    </xf>
    <xf numFmtId="3" fontId="2" fillId="0" borderId="0" xfId="0" applyNumberFormat="1" applyFont="1"/>
    <xf numFmtId="0" fontId="2" fillId="0" borderId="0" xfId="0" applyFont="1" applyAlignment="1">
      <alignment horizontal="left"/>
    </xf>
    <xf numFmtId="43" fontId="13" fillId="0" borderId="0" xfId="3" applyFont="1"/>
    <xf numFmtId="43" fontId="2" fillId="0" borderId="0" xfId="0" applyNumberFormat="1" applyFont="1"/>
    <xf numFmtId="0" fontId="20" fillId="0" borderId="0" xfId="0" applyFont="1"/>
    <xf numFmtId="10" fontId="2" fillId="0" borderId="0" xfId="1" applyNumberFormat="1" applyFont="1"/>
    <xf numFmtId="0" fontId="0" fillId="0" borderId="18" xfId="0" applyBorder="1"/>
    <xf numFmtId="0" fontId="9" fillId="0" borderId="17" xfId="0" applyFont="1" applyBorder="1" applyAlignment="1">
      <alignment horizontal="center"/>
    </xf>
    <xf numFmtId="0" fontId="2" fillId="0" borderId="18" xfId="0" applyFont="1" applyBorder="1"/>
    <xf numFmtId="165" fontId="3" fillId="0" borderId="0" xfId="1" applyNumberFormat="1" applyFont="1"/>
    <xf numFmtId="165" fontId="12" fillId="0" borderId="0" xfId="1" applyNumberFormat="1" applyFont="1"/>
    <xf numFmtId="14" fontId="2" fillId="0" borderId="0" xfId="0" applyNumberFormat="1" applyFont="1" applyAlignment="1">
      <alignment horizontal="left"/>
    </xf>
    <xf numFmtId="9" fontId="13" fillId="0" borderId="0" xfId="1" applyFont="1"/>
    <xf numFmtId="0" fontId="13" fillId="0" borderId="0" xfId="0" applyFont="1" applyAlignment="1">
      <alignment horizontal="right" vertical="top"/>
    </xf>
    <xf numFmtId="0" fontId="13" fillId="0" borderId="0" xfId="0" applyFont="1" applyAlignment="1">
      <alignment vertical="top"/>
    </xf>
    <xf numFmtId="0" fontId="13" fillId="0" borderId="0" xfId="0" applyFont="1" applyAlignment="1">
      <alignment horizontal="center" vertical="top"/>
    </xf>
    <xf numFmtId="1" fontId="13" fillId="0" borderId="0" xfId="0" applyNumberFormat="1" applyFont="1" applyAlignment="1">
      <alignment vertical="top"/>
    </xf>
    <xf numFmtId="164" fontId="13" fillId="0" borderId="0" xfId="0" applyNumberFormat="1" applyFont="1" applyAlignment="1">
      <alignment vertical="top"/>
    </xf>
    <xf numFmtId="165" fontId="13" fillId="0" borderId="0" xfId="1" applyNumberFormat="1" applyFont="1" applyAlignment="1">
      <alignment vertical="top"/>
    </xf>
    <xf numFmtId="44" fontId="2" fillId="0" borderId="0" xfId="0" applyNumberFormat="1" applyFont="1" applyAlignment="1">
      <alignment horizontal="right" indent="1"/>
    </xf>
    <xf numFmtId="166" fontId="2" fillId="0" borderId="0" xfId="4" applyNumberFormat="1" applyFont="1" applyAlignment="1">
      <alignment horizontal="right" indent="1"/>
    </xf>
    <xf numFmtId="166" fontId="2" fillId="0" borderId="0" xfId="0" applyNumberFormat="1" applyFont="1" applyAlignment="1">
      <alignment horizontal="right" indent="1"/>
    </xf>
    <xf numFmtId="0" fontId="13" fillId="0" borderId="0" xfId="0" applyFont="1" applyAlignment="1">
      <alignment horizontal="left"/>
    </xf>
    <xf numFmtId="0" fontId="21" fillId="0" borderId="0" xfId="0" applyFont="1" applyAlignment="1">
      <alignment horizontal="center"/>
    </xf>
    <xf numFmtId="1" fontId="2" fillId="0" borderId="0" xfId="0" applyNumberFormat="1" applyFont="1" applyAlignment="1">
      <alignment horizontal="left" indent="4"/>
    </xf>
  </cellXfs>
  <cellStyles count="5">
    <cellStyle name="Comma" xfId="3" builtinId="3"/>
    <cellStyle name="Currency" xfId="4" builtinId="4"/>
    <cellStyle name="Hyperlink" xfId="2" builtinId="8"/>
    <cellStyle name="Normal" xfId="0" builtinId="0"/>
    <cellStyle name="Percent" xfId="1" builtinId="5"/>
  </cellStyles>
  <dxfs count="15">
    <dxf>
      <font>
        <b/>
        <i val="0"/>
        <color theme="0"/>
      </font>
      <fill>
        <patternFill>
          <bgColor rgb="FF5A8C38"/>
        </patternFill>
      </fill>
    </dxf>
    <dxf>
      <font>
        <b/>
        <i val="0"/>
        <color theme="0"/>
      </font>
      <fill>
        <patternFill>
          <bgColor rgb="FF00CC66"/>
        </patternFill>
      </fill>
    </dxf>
    <dxf>
      <font>
        <b/>
        <i val="0"/>
        <color theme="1"/>
      </font>
      <fill>
        <patternFill>
          <bgColor theme="7" tint="0.39994506668294322"/>
        </patternFill>
      </fill>
    </dxf>
    <dxf>
      <font>
        <b/>
        <i val="0"/>
        <color theme="0"/>
      </font>
      <fill>
        <patternFill>
          <bgColor rgb="FFFF6D6D"/>
        </patternFill>
      </fill>
    </dxf>
    <dxf>
      <font>
        <b/>
        <i val="0"/>
        <color theme="0"/>
      </font>
      <fill>
        <patternFill>
          <bgColor rgb="FFF20000"/>
        </patternFill>
      </fill>
    </dxf>
    <dxf>
      <font>
        <b/>
        <i val="0"/>
        <color theme="0"/>
      </font>
      <fill>
        <patternFill>
          <bgColor rgb="FF5A8C38"/>
        </patternFill>
      </fill>
    </dxf>
    <dxf>
      <font>
        <b/>
        <i val="0"/>
        <color theme="0"/>
      </font>
      <fill>
        <patternFill>
          <bgColor rgb="FF00CC66"/>
        </patternFill>
      </fill>
    </dxf>
    <dxf>
      <font>
        <b/>
        <i val="0"/>
        <color theme="1"/>
      </font>
      <fill>
        <patternFill>
          <bgColor theme="7" tint="0.39994506668294322"/>
        </patternFill>
      </fill>
    </dxf>
    <dxf>
      <font>
        <b/>
        <i val="0"/>
        <color theme="0"/>
      </font>
      <fill>
        <patternFill>
          <bgColor rgb="FFFF6D6D"/>
        </patternFill>
      </fill>
    </dxf>
    <dxf>
      <font>
        <b/>
        <i val="0"/>
        <color theme="0"/>
      </font>
      <fill>
        <patternFill>
          <bgColor rgb="FFF20000"/>
        </patternFill>
      </fill>
    </dxf>
    <dxf>
      <font>
        <b/>
        <i val="0"/>
        <color theme="0"/>
      </font>
      <fill>
        <patternFill>
          <bgColor rgb="FF5A8C38"/>
        </patternFill>
      </fill>
    </dxf>
    <dxf>
      <font>
        <b/>
        <i val="0"/>
        <color theme="0"/>
      </font>
      <fill>
        <patternFill>
          <bgColor rgb="FF00CC66"/>
        </patternFill>
      </fill>
    </dxf>
    <dxf>
      <font>
        <b/>
        <i val="0"/>
        <color theme="1"/>
      </font>
      <fill>
        <patternFill>
          <bgColor theme="7" tint="0.39994506668294322"/>
        </patternFill>
      </fill>
    </dxf>
    <dxf>
      <font>
        <b/>
        <i val="0"/>
        <color theme="0"/>
      </font>
      <fill>
        <patternFill>
          <bgColor rgb="FFFF6D6D"/>
        </patternFill>
      </fill>
    </dxf>
    <dxf>
      <font>
        <b/>
        <i val="0"/>
        <color theme="0"/>
      </font>
      <fill>
        <patternFill>
          <bgColor rgb="FFF20000"/>
        </patternFill>
      </fill>
    </dxf>
  </dxfs>
  <tableStyles count="0" defaultTableStyle="TableStyleMedium2" defaultPivotStyle="PivotStyleLight16"/>
  <colors>
    <mruColors>
      <color rgb="FFFF7171"/>
      <color rgb="FFFF6565"/>
      <color rgb="FFFF9B9B"/>
      <color rgb="FFD00000"/>
      <color rgb="FFFF4B4B"/>
      <color rgb="FFFF7979"/>
      <color rgb="FFFF0D0D"/>
      <color rgb="FFFF373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t>(SRPT) Historical Return Histogram + Normal Distribution Overlay</a:t>
            </a:r>
          </a:p>
        </c:rich>
      </c:tx>
      <c:layout>
        <c:manualLayout>
          <c:xMode val="edge"/>
          <c:yMode val="edge"/>
          <c:x val="0.26993827160493827"/>
          <c:y val="9.084836817195378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3.5764362787984838E-2"/>
          <c:y val="6.1527057344455703E-2"/>
          <c:w val="0.93313376105764534"/>
          <c:h val="0.87215756826816704"/>
        </c:manualLayout>
      </c:layout>
      <c:scatterChart>
        <c:scatterStyle val="smoothMarker"/>
        <c:varyColors val="0"/>
        <c:ser>
          <c:idx val="0"/>
          <c:order val="0"/>
          <c:tx>
            <c:strRef>
              <c:f>'Notes | Quant Analysis'!$I$208</c:f>
              <c:strCache>
                <c:ptCount val="1"/>
                <c:pt idx="0">
                  <c:v>Histogram Data</c:v>
                </c:pt>
              </c:strCache>
            </c:strRef>
          </c:tx>
          <c:spPr>
            <a:ln w="38100" cap="rnd">
              <a:noFill/>
              <a:round/>
            </a:ln>
            <a:effectLst/>
          </c:spPr>
          <c:marker>
            <c:symbol val="none"/>
          </c:marker>
          <c:errBars>
            <c:errDir val="y"/>
            <c:errBarType val="minus"/>
            <c:errValType val="percentage"/>
            <c:noEndCap val="1"/>
            <c:val val="100"/>
            <c:spPr>
              <a:noFill/>
              <a:ln w="127000" cap="flat" cmpd="sng" algn="ctr">
                <a:solidFill>
                  <a:srgbClr val="00B0F0"/>
                </a:solidFill>
                <a:round/>
              </a:ln>
              <a:effectLst/>
            </c:spPr>
          </c:errBars>
          <c:xVal>
            <c:numRef>
              <c:f>'Notes | Quant Analysis'!$I$210:$I$290</c:f>
              <c:numCache>
                <c:formatCode>0.00%</c:formatCode>
                <c:ptCount val="81"/>
                <c:pt idx="0">
                  <c:v>-0.1</c:v>
                </c:pt>
                <c:pt idx="1">
                  <c:v>-9.7500000000000003E-2</c:v>
                </c:pt>
                <c:pt idx="2">
                  <c:v>-9.5000000000000001E-2</c:v>
                </c:pt>
                <c:pt idx="3">
                  <c:v>-9.2499999999999999E-2</c:v>
                </c:pt>
                <c:pt idx="4">
                  <c:v>-0.09</c:v>
                </c:pt>
                <c:pt idx="5">
                  <c:v>-8.7499999999999994E-2</c:v>
                </c:pt>
                <c:pt idx="6">
                  <c:v>-8.5000000000000006E-2</c:v>
                </c:pt>
                <c:pt idx="7">
                  <c:v>-8.2500000000000004E-2</c:v>
                </c:pt>
                <c:pt idx="8">
                  <c:v>-0.08</c:v>
                </c:pt>
                <c:pt idx="9">
                  <c:v>-7.7499999999999999E-2</c:v>
                </c:pt>
                <c:pt idx="10">
                  <c:v>-7.4999999999999997E-2</c:v>
                </c:pt>
                <c:pt idx="11">
                  <c:v>-7.2499999999999995E-2</c:v>
                </c:pt>
                <c:pt idx="12">
                  <c:v>-6.9999999999999993E-2</c:v>
                </c:pt>
                <c:pt idx="13">
                  <c:v>-6.7499999999999991E-2</c:v>
                </c:pt>
                <c:pt idx="14">
                  <c:v>-6.4999999999999988E-2</c:v>
                </c:pt>
                <c:pt idx="15">
                  <c:v>-6.2499999999999986E-2</c:v>
                </c:pt>
                <c:pt idx="16">
                  <c:v>-5.9999999999999984E-2</c:v>
                </c:pt>
                <c:pt idx="17">
                  <c:v>-5.7499999999999982E-2</c:v>
                </c:pt>
                <c:pt idx="18">
                  <c:v>-5.4999999999999979E-2</c:v>
                </c:pt>
                <c:pt idx="19">
                  <c:v>-5.2499999999999977E-2</c:v>
                </c:pt>
                <c:pt idx="20">
                  <c:v>-4.9999999999999975E-2</c:v>
                </c:pt>
                <c:pt idx="21">
                  <c:v>-4.7499999999999973E-2</c:v>
                </c:pt>
                <c:pt idx="22">
                  <c:v>-4.4999999999999971E-2</c:v>
                </c:pt>
                <c:pt idx="23">
                  <c:v>-4.2499999999999968E-2</c:v>
                </c:pt>
                <c:pt idx="24">
                  <c:v>-3.9999999999999966E-2</c:v>
                </c:pt>
                <c:pt idx="25">
                  <c:v>-3.7499999999999964E-2</c:v>
                </c:pt>
                <c:pt idx="26">
                  <c:v>-3.4999999999999962E-2</c:v>
                </c:pt>
                <c:pt idx="27">
                  <c:v>-3.2499999999999959E-2</c:v>
                </c:pt>
                <c:pt idx="28">
                  <c:v>-2.9999999999999961E-2</c:v>
                </c:pt>
                <c:pt idx="29">
                  <c:v>-2.7499999999999962E-2</c:v>
                </c:pt>
                <c:pt idx="30">
                  <c:v>-2.4999999999999963E-2</c:v>
                </c:pt>
                <c:pt idx="31">
                  <c:v>-2.2499999999999964E-2</c:v>
                </c:pt>
                <c:pt idx="32">
                  <c:v>-1.9999999999999966E-2</c:v>
                </c:pt>
                <c:pt idx="33">
                  <c:v>-1.7499999999999967E-2</c:v>
                </c:pt>
                <c:pt idx="34">
                  <c:v>-1.4999999999999966E-2</c:v>
                </c:pt>
                <c:pt idx="35">
                  <c:v>-1.2499999999999966E-2</c:v>
                </c:pt>
                <c:pt idx="36">
                  <c:v>-9.9999999999999655E-3</c:v>
                </c:pt>
                <c:pt idx="37">
                  <c:v>-7.499999999999965E-3</c:v>
                </c:pt>
                <c:pt idx="38">
                  <c:v>-4.9999999999999645E-3</c:v>
                </c:pt>
                <c:pt idx="39">
                  <c:v>-2.4999999999999645E-3</c:v>
                </c:pt>
                <c:pt idx="40">
                  <c:v>3.5561831257524545E-17</c:v>
                </c:pt>
                <c:pt idx="41">
                  <c:v>2.5000000000000356E-3</c:v>
                </c:pt>
                <c:pt idx="42">
                  <c:v>5.0000000000000357E-3</c:v>
                </c:pt>
                <c:pt idx="43">
                  <c:v>7.5000000000000362E-3</c:v>
                </c:pt>
                <c:pt idx="44">
                  <c:v>1.0000000000000037E-2</c:v>
                </c:pt>
                <c:pt idx="45">
                  <c:v>1.2500000000000037E-2</c:v>
                </c:pt>
                <c:pt idx="46">
                  <c:v>1.5000000000000038E-2</c:v>
                </c:pt>
                <c:pt idx="47">
                  <c:v>1.7500000000000036E-2</c:v>
                </c:pt>
                <c:pt idx="48">
                  <c:v>2.0000000000000035E-2</c:v>
                </c:pt>
                <c:pt idx="49">
                  <c:v>2.2500000000000034E-2</c:v>
                </c:pt>
                <c:pt idx="50">
                  <c:v>2.5000000000000033E-2</c:v>
                </c:pt>
                <c:pt idx="51">
                  <c:v>2.7500000000000031E-2</c:v>
                </c:pt>
                <c:pt idx="52">
                  <c:v>3.000000000000003E-2</c:v>
                </c:pt>
                <c:pt idx="53">
                  <c:v>3.2500000000000029E-2</c:v>
                </c:pt>
                <c:pt idx="54">
                  <c:v>3.5000000000000031E-2</c:v>
                </c:pt>
                <c:pt idx="55">
                  <c:v>3.7500000000000033E-2</c:v>
                </c:pt>
                <c:pt idx="56">
                  <c:v>4.0000000000000036E-2</c:v>
                </c:pt>
                <c:pt idx="57">
                  <c:v>4.2500000000000038E-2</c:v>
                </c:pt>
                <c:pt idx="58">
                  <c:v>4.500000000000004E-2</c:v>
                </c:pt>
                <c:pt idx="59">
                  <c:v>4.7500000000000042E-2</c:v>
                </c:pt>
                <c:pt idx="60">
                  <c:v>5.0000000000000044E-2</c:v>
                </c:pt>
                <c:pt idx="61">
                  <c:v>5.2500000000000047E-2</c:v>
                </c:pt>
                <c:pt idx="62">
                  <c:v>5.5000000000000049E-2</c:v>
                </c:pt>
                <c:pt idx="63">
                  <c:v>5.7500000000000051E-2</c:v>
                </c:pt>
                <c:pt idx="64">
                  <c:v>6.0000000000000053E-2</c:v>
                </c:pt>
                <c:pt idx="65">
                  <c:v>6.2500000000000056E-2</c:v>
                </c:pt>
                <c:pt idx="66">
                  <c:v>6.5000000000000058E-2</c:v>
                </c:pt>
                <c:pt idx="67">
                  <c:v>6.750000000000006E-2</c:v>
                </c:pt>
                <c:pt idx="68">
                  <c:v>7.0000000000000062E-2</c:v>
                </c:pt>
                <c:pt idx="69">
                  <c:v>7.2500000000000064E-2</c:v>
                </c:pt>
                <c:pt idx="70">
                  <c:v>7.5000000000000067E-2</c:v>
                </c:pt>
                <c:pt idx="71">
                  <c:v>7.7499999999999999E-2</c:v>
                </c:pt>
                <c:pt idx="72">
                  <c:v>0.08</c:v>
                </c:pt>
                <c:pt idx="73">
                  <c:v>8.2500000000000004E-2</c:v>
                </c:pt>
                <c:pt idx="74">
                  <c:v>8.5000000000000006E-2</c:v>
                </c:pt>
                <c:pt idx="75">
                  <c:v>8.7499999999999994E-2</c:v>
                </c:pt>
                <c:pt idx="76">
                  <c:v>0.09</c:v>
                </c:pt>
                <c:pt idx="77">
                  <c:v>9.2499999999999999E-2</c:v>
                </c:pt>
                <c:pt idx="78">
                  <c:v>9.5000000000000001E-2</c:v>
                </c:pt>
                <c:pt idx="79">
                  <c:v>9.7500000000000003E-2</c:v>
                </c:pt>
                <c:pt idx="80">
                  <c:v>0.1</c:v>
                </c:pt>
              </c:numCache>
            </c:numRef>
          </c:xVal>
          <c:yVal>
            <c:numRef>
              <c:f>'Notes | Quant Analysis'!$J$210:$J$290</c:f>
              <c:numCache>
                <c:formatCode>General</c:formatCode>
                <c:ptCount val="81"/>
                <c:pt idx="0">
                  <c:v>0</c:v>
                </c:pt>
                <c:pt idx="1">
                  <c:v>1</c:v>
                </c:pt>
                <c:pt idx="2">
                  <c:v>0</c:v>
                </c:pt>
                <c:pt idx="3">
                  <c:v>2</c:v>
                </c:pt>
                <c:pt idx="4">
                  <c:v>1</c:v>
                </c:pt>
                <c:pt idx="5">
                  <c:v>0</c:v>
                </c:pt>
                <c:pt idx="6">
                  <c:v>1</c:v>
                </c:pt>
                <c:pt idx="7">
                  <c:v>1</c:v>
                </c:pt>
                <c:pt idx="8">
                  <c:v>2</c:v>
                </c:pt>
                <c:pt idx="9">
                  <c:v>1</c:v>
                </c:pt>
                <c:pt idx="10">
                  <c:v>0</c:v>
                </c:pt>
                <c:pt idx="11">
                  <c:v>0</c:v>
                </c:pt>
                <c:pt idx="12">
                  <c:v>0</c:v>
                </c:pt>
                <c:pt idx="13">
                  <c:v>0</c:v>
                </c:pt>
                <c:pt idx="14">
                  <c:v>1</c:v>
                </c:pt>
                <c:pt idx="15">
                  <c:v>3</c:v>
                </c:pt>
                <c:pt idx="16">
                  <c:v>4</c:v>
                </c:pt>
                <c:pt idx="17">
                  <c:v>5</c:v>
                </c:pt>
                <c:pt idx="18">
                  <c:v>2</c:v>
                </c:pt>
                <c:pt idx="19">
                  <c:v>4</c:v>
                </c:pt>
                <c:pt idx="20">
                  <c:v>6</c:v>
                </c:pt>
                <c:pt idx="21">
                  <c:v>4</c:v>
                </c:pt>
                <c:pt idx="22">
                  <c:v>8</c:v>
                </c:pt>
                <c:pt idx="23">
                  <c:v>9</c:v>
                </c:pt>
                <c:pt idx="24">
                  <c:v>4</c:v>
                </c:pt>
                <c:pt idx="25">
                  <c:v>11</c:v>
                </c:pt>
                <c:pt idx="26">
                  <c:v>12</c:v>
                </c:pt>
                <c:pt idx="27">
                  <c:v>21</c:v>
                </c:pt>
                <c:pt idx="28">
                  <c:v>19</c:v>
                </c:pt>
                <c:pt idx="29">
                  <c:v>19</c:v>
                </c:pt>
                <c:pt idx="30">
                  <c:v>21</c:v>
                </c:pt>
                <c:pt idx="31">
                  <c:v>21</c:v>
                </c:pt>
                <c:pt idx="32">
                  <c:v>32</c:v>
                </c:pt>
                <c:pt idx="33">
                  <c:v>30</c:v>
                </c:pt>
                <c:pt idx="34">
                  <c:v>40</c:v>
                </c:pt>
                <c:pt idx="35">
                  <c:v>54</c:v>
                </c:pt>
                <c:pt idx="36">
                  <c:v>60</c:v>
                </c:pt>
                <c:pt idx="37">
                  <c:v>75</c:v>
                </c:pt>
                <c:pt idx="38">
                  <c:v>59</c:v>
                </c:pt>
                <c:pt idx="39">
                  <c:v>71</c:v>
                </c:pt>
                <c:pt idx="40">
                  <c:v>59</c:v>
                </c:pt>
                <c:pt idx="41">
                  <c:v>66</c:v>
                </c:pt>
                <c:pt idx="42">
                  <c:v>50</c:v>
                </c:pt>
                <c:pt idx="43">
                  <c:v>47</c:v>
                </c:pt>
                <c:pt idx="44">
                  <c:v>49</c:v>
                </c:pt>
                <c:pt idx="45">
                  <c:v>36</c:v>
                </c:pt>
                <c:pt idx="46">
                  <c:v>43</c:v>
                </c:pt>
                <c:pt idx="47">
                  <c:v>39</c:v>
                </c:pt>
                <c:pt idx="48">
                  <c:v>29</c:v>
                </c:pt>
                <c:pt idx="49">
                  <c:v>28</c:v>
                </c:pt>
                <c:pt idx="50">
                  <c:v>22</c:v>
                </c:pt>
                <c:pt idx="51">
                  <c:v>26</c:v>
                </c:pt>
                <c:pt idx="52">
                  <c:v>20</c:v>
                </c:pt>
                <c:pt idx="53">
                  <c:v>12</c:v>
                </c:pt>
                <c:pt idx="54">
                  <c:v>17</c:v>
                </c:pt>
                <c:pt idx="55">
                  <c:v>16</c:v>
                </c:pt>
                <c:pt idx="56">
                  <c:v>15</c:v>
                </c:pt>
                <c:pt idx="57">
                  <c:v>14</c:v>
                </c:pt>
                <c:pt idx="58">
                  <c:v>4</c:v>
                </c:pt>
                <c:pt idx="59">
                  <c:v>8</c:v>
                </c:pt>
                <c:pt idx="60">
                  <c:v>6</c:v>
                </c:pt>
                <c:pt idx="61">
                  <c:v>8</c:v>
                </c:pt>
                <c:pt idx="62">
                  <c:v>6</c:v>
                </c:pt>
                <c:pt idx="63">
                  <c:v>6</c:v>
                </c:pt>
                <c:pt idx="64">
                  <c:v>2</c:v>
                </c:pt>
                <c:pt idx="65">
                  <c:v>2</c:v>
                </c:pt>
                <c:pt idx="66">
                  <c:v>2</c:v>
                </c:pt>
                <c:pt idx="67">
                  <c:v>2</c:v>
                </c:pt>
                <c:pt idx="68">
                  <c:v>0</c:v>
                </c:pt>
                <c:pt idx="69">
                  <c:v>1</c:v>
                </c:pt>
                <c:pt idx="70">
                  <c:v>0</c:v>
                </c:pt>
                <c:pt idx="71">
                  <c:v>0</c:v>
                </c:pt>
                <c:pt idx="72">
                  <c:v>0</c:v>
                </c:pt>
                <c:pt idx="73">
                  <c:v>1</c:v>
                </c:pt>
                <c:pt idx="74">
                  <c:v>0</c:v>
                </c:pt>
                <c:pt idx="75">
                  <c:v>0</c:v>
                </c:pt>
                <c:pt idx="76">
                  <c:v>1</c:v>
                </c:pt>
                <c:pt idx="77">
                  <c:v>1</c:v>
                </c:pt>
                <c:pt idx="78">
                  <c:v>1</c:v>
                </c:pt>
                <c:pt idx="79">
                  <c:v>1</c:v>
                </c:pt>
                <c:pt idx="80">
                  <c:v>0</c:v>
                </c:pt>
              </c:numCache>
            </c:numRef>
          </c:yVal>
          <c:smooth val="1"/>
          <c:extLst>
            <c:ext xmlns:c16="http://schemas.microsoft.com/office/drawing/2014/chart" uri="{C3380CC4-5D6E-409C-BE32-E72D297353CC}">
              <c16:uniqueId val="{00000000-28C7-4862-86E9-AF862A5BA0AD}"/>
            </c:ext>
          </c:extLst>
        </c:ser>
        <c:ser>
          <c:idx val="1"/>
          <c:order val="1"/>
          <c:tx>
            <c:strRef>
              <c:f>'Notes | Quant Analysis'!$L$208</c:f>
              <c:strCache>
                <c:ptCount val="1"/>
                <c:pt idx="0">
                  <c:v>Distribution Overlay</c:v>
                </c:pt>
              </c:strCache>
            </c:strRef>
          </c:tx>
          <c:spPr>
            <a:ln w="19050" cap="rnd">
              <a:solidFill>
                <a:srgbClr val="FFC000"/>
              </a:solidFill>
              <a:round/>
            </a:ln>
            <a:effectLst/>
          </c:spPr>
          <c:marker>
            <c:symbol val="none"/>
          </c:marker>
          <c:errBars>
            <c:errDir val="y"/>
            <c:errBarType val="minus"/>
            <c:errValType val="percentage"/>
            <c:noEndCap val="1"/>
            <c:val val="100"/>
            <c:spPr>
              <a:noFill/>
              <a:ln w="114300" cap="flat" cmpd="sng" algn="ctr">
                <a:solidFill>
                  <a:srgbClr val="00B0F0"/>
                </a:solidFill>
                <a:round/>
              </a:ln>
              <a:effectLst/>
            </c:spPr>
          </c:errBars>
          <c:xVal>
            <c:numRef>
              <c:f>'Notes | Quant Analysis'!$L$210:$L$292</c:f>
              <c:numCache>
                <c:formatCode>0.00%</c:formatCode>
                <c:ptCount val="83"/>
                <c:pt idx="0">
                  <c:v>-0.10249999999999999</c:v>
                </c:pt>
                <c:pt idx="1">
                  <c:v>-0.1</c:v>
                </c:pt>
                <c:pt idx="2">
                  <c:v>-9.7500000000000003E-2</c:v>
                </c:pt>
                <c:pt idx="3">
                  <c:v>-9.5000000000000001E-2</c:v>
                </c:pt>
                <c:pt idx="4">
                  <c:v>-9.2499999999999999E-2</c:v>
                </c:pt>
                <c:pt idx="5">
                  <c:v>-0.09</c:v>
                </c:pt>
                <c:pt idx="6">
                  <c:v>-8.7499999999999994E-2</c:v>
                </c:pt>
                <c:pt idx="7">
                  <c:v>-8.5000000000000006E-2</c:v>
                </c:pt>
                <c:pt idx="8">
                  <c:v>-8.2500000000000004E-2</c:v>
                </c:pt>
                <c:pt idx="9">
                  <c:v>-0.08</c:v>
                </c:pt>
                <c:pt idx="10">
                  <c:v>-7.7499999999999999E-2</c:v>
                </c:pt>
                <c:pt idx="11">
                  <c:v>-7.4999999999999997E-2</c:v>
                </c:pt>
                <c:pt idx="12">
                  <c:v>-7.2499999999999995E-2</c:v>
                </c:pt>
                <c:pt idx="13">
                  <c:v>-6.9999999999999993E-2</c:v>
                </c:pt>
                <c:pt idx="14">
                  <c:v>-6.7499999999999991E-2</c:v>
                </c:pt>
                <c:pt idx="15">
                  <c:v>-6.4999999999999988E-2</c:v>
                </c:pt>
                <c:pt idx="16">
                  <c:v>-6.2499999999999986E-2</c:v>
                </c:pt>
                <c:pt idx="17">
                  <c:v>-5.9999999999999984E-2</c:v>
                </c:pt>
                <c:pt idx="18">
                  <c:v>-5.7499999999999982E-2</c:v>
                </c:pt>
                <c:pt idx="19">
                  <c:v>-5.4999999999999979E-2</c:v>
                </c:pt>
                <c:pt idx="20">
                  <c:v>-5.2499999999999977E-2</c:v>
                </c:pt>
                <c:pt idx="21">
                  <c:v>-4.9999999999999975E-2</c:v>
                </c:pt>
                <c:pt idx="22">
                  <c:v>-4.7499999999999973E-2</c:v>
                </c:pt>
                <c:pt idx="23">
                  <c:v>-4.4999999999999971E-2</c:v>
                </c:pt>
                <c:pt idx="24">
                  <c:v>-4.2499999999999968E-2</c:v>
                </c:pt>
                <c:pt idx="25">
                  <c:v>-3.9999999999999966E-2</c:v>
                </c:pt>
                <c:pt idx="26">
                  <c:v>-3.7499999999999964E-2</c:v>
                </c:pt>
                <c:pt idx="27">
                  <c:v>-3.4999999999999962E-2</c:v>
                </c:pt>
                <c:pt idx="28">
                  <c:v>-3.2499999999999959E-2</c:v>
                </c:pt>
                <c:pt idx="29">
                  <c:v>-2.9999999999999961E-2</c:v>
                </c:pt>
                <c:pt idx="30">
                  <c:v>-2.7499999999999962E-2</c:v>
                </c:pt>
                <c:pt idx="31">
                  <c:v>-2.4999999999999963E-2</c:v>
                </c:pt>
                <c:pt idx="32">
                  <c:v>-2.2499999999999964E-2</c:v>
                </c:pt>
                <c:pt idx="33">
                  <c:v>-1.9999999999999966E-2</c:v>
                </c:pt>
                <c:pt idx="34">
                  <c:v>-1.7499999999999967E-2</c:v>
                </c:pt>
                <c:pt idx="35">
                  <c:v>-1.4999999999999966E-2</c:v>
                </c:pt>
                <c:pt idx="36">
                  <c:v>-1.2499999999999966E-2</c:v>
                </c:pt>
                <c:pt idx="37">
                  <c:v>-9.9999999999999655E-3</c:v>
                </c:pt>
                <c:pt idx="38">
                  <c:v>-7.499999999999965E-3</c:v>
                </c:pt>
                <c:pt idx="39">
                  <c:v>-4.9999999999999645E-3</c:v>
                </c:pt>
                <c:pt idx="40">
                  <c:v>-2.4999999999999645E-3</c:v>
                </c:pt>
                <c:pt idx="41">
                  <c:v>3.5561831257524545E-17</c:v>
                </c:pt>
                <c:pt idx="42">
                  <c:v>2.5000000000000356E-3</c:v>
                </c:pt>
                <c:pt idx="43">
                  <c:v>5.0000000000000357E-3</c:v>
                </c:pt>
                <c:pt idx="44">
                  <c:v>7.5000000000000362E-3</c:v>
                </c:pt>
                <c:pt idx="45">
                  <c:v>1.0000000000000037E-2</c:v>
                </c:pt>
                <c:pt idx="46">
                  <c:v>1.2500000000000037E-2</c:v>
                </c:pt>
                <c:pt idx="47">
                  <c:v>1.5000000000000038E-2</c:v>
                </c:pt>
                <c:pt idx="48">
                  <c:v>1.7500000000000036E-2</c:v>
                </c:pt>
                <c:pt idx="49">
                  <c:v>2.0000000000000035E-2</c:v>
                </c:pt>
                <c:pt idx="50">
                  <c:v>2.2500000000000034E-2</c:v>
                </c:pt>
                <c:pt idx="51">
                  <c:v>2.5000000000000033E-2</c:v>
                </c:pt>
                <c:pt idx="52">
                  <c:v>2.7500000000000031E-2</c:v>
                </c:pt>
                <c:pt idx="53">
                  <c:v>3.000000000000003E-2</c:v>
                </c:pt>
                <c:pt idx="54">
                  <c:v>3.2500000000000029E-2</c:v>
                </c:pt>
                <c:pt idx="55">
                  <c:v>3.5000000000000031E-2</c:v>
                </c:pt>
                <c:pt idx="56">
                  <c:v>3.7500000000000033E-2</c:v>
                </c:pt>
                <c:pt idx="57">
                  <c:v>4.0000000000000036E-2</c:v>
                </c:pt>
                <c:pt idx="58">
                  <c:v>4.2500000000000038E-2</c:v>
                </c:pt>
                <c:pt idx="59">
                  <c:v>4.500000000000004E-2</c:v>
                </c:pt>
                <c:pt idx="60">
                  <c:v>4.7500000000000042E-2</c:v>
                </c:pt>
                <c:pt idx="61">
                  <c:v>5.0000000000000044E-2</c:v>
                </c:pt>
                <c:pt idx="62">
                  <c:v>5.2500000000000047E-2</c:v>
                </c:pt>
                <c:pt idx="63">
                  <c:v>5.5000000000000049E-2</c:v>
                </c:pt>
                <c:pt idx="64">
                  <c:v>5.7500000000000051E-2</c:v>
                </c:pt>
                <c:pt idx="65">
                  <c:v>6.0000000000000053E-2</c:v>
                </c:pt>
                <c:pt idx="66">
                  <c:v>6.2500000000000056E-2</c:v>
                </c:pt>
                <c:pt idx="67">
                  <c:v>6.5000000000000058E-2</c:v>
                </c:pt>
                <c:pt idx="68">
                  <c:v>6.750000000000006E-2</c:v>
                </c:pt>
                <c:pt idx="69">
                  <c:v>7.0000000000000062E-2</c:v>
                </c:pt>
                <c:pt idx="70">
                  <c:v>7.2500000000000064E-2</c:v>
                </c:pt>
                <c:pt idx="71">
                  <c:v>7.5000000000000067E-2</c:v>
                </c:pt>
                <c:pt idx="72">
                  <c:v>7.7499999999999999E-2</c:v>
                </c:pt>
                <c:pt idx="73">
                  <c:v>0.08</c:v>
                </c:pt>
                <c:pt idx="74">
                  <c:v>8.2500000000000004E-2</c:v>
                </c:pt>
                <c:pt idx="75">
                  <c:v>8.5000000000000006E-2</c:v>
                </c:pt>
                <c:pt idx="76">
                  <c:v>8.7499999999999994E-2</c:v>
                </c:pt>
                <c:pt idx="77">
                  <c:v>0.09</c:v>
                </c:pt>
                <c:pt idx="78">
                  <c:v>9.2499999999999999E-2</c:v>
                </c:pt>
                <c:pt idx="79">
                  <c:v>9.5000000000000001E-2</c:v>
                </c:pt>
                <c:pt idx="80">
                  <c:v>9.7500000000000003E-2</c:v>
                </c:pt>
                <c:pt idx="81">
                  <c:v>0.1</c:v>
                </c:pt>
                <c:pt idx="82">
                  <c:v>0.10249999999999999</c:v>
                </c:pt>
              </c:numCache>
            </c:numRef>
          </c:xVal>
          <c:yVal>
            <c:numRef>
              <c:f>'Notes | Quant Analysis'!$M$210:$M$292</c:f>
              <c:numCache>
                <c:formatCode>General</c:formatCode>
                <c:ptCount val="83"/>
                <c:pt idx="0">
                  <c:v>0.12011649383551139</c:v>
                </c:pt>
                <c:pt idx="1">
                  <c:v>0.15117537501492906</c:v>
                </c:pt>
                <c:pt idx="2">
                  <c:v>0.18915210760711276</c:v>
                </c:pt>
                <c:pt idx="3">
                  <c:v>0.23528434795000719</c:v>
                </c:pt>
                <c:pt idx="4">
                  <c:v>0.29095552723921025</c:v>
                </c:pt>
                <c:pt idx="5">
                  <c:v>0.35769420879866709</c:v>
                </c:pt>
                <c:pt idx="6">
                  <c:v>0.4371685670369746</c:v>
                </c:pt>
                <c:pt idx="7">
                  <c:v>0.53117505268641463</c:v>
                </c:pt>
                <c:pt idx="8">
                  <c:v>0.64162035541010454</c:v>
                </c:pt>
                <c:pt idx="9">
                  <c:v>0.77049587791407026</c:v>
                </c:pt>
                <c:pt idx="10">
                  <c:v>0.91984410204724198</c:v>
                </c:pt>
                <c:pt idx="11">
                  <c:v>1.0917164611637316</c:v>
                </c:pt>
                <c:pt idx="12">
                  <c:v>1.2881226349739385</c:v>
                </c:pt>
                <c:pt idx="13">
                  <c:v>1.5109715497323066</c:v>
                </c:pt>
                <c:pt idx="14">
                  <c:v>1.7620047895911095</c:v>
                </c:pt>
                <c:pt idx="15">
                  <c:v>2.0427235908007897</c:v>
                </c:pt>
                <c:pt idx="16">
                  <c:v>2.3543110804456195</c:v>
                </c:pt>
                <c:pt idx="17">
                  <c:v>2.6975519119825675</c:v>
                </c:pt>
                <c:pt idx="18">
                  <c:v>3.0727519133198138</c:v>
                </c:pt>
                <c:pt idx="19">
                  <c:v>3.4796607689748269</c:v>
                </c:pt>
                <c:pt idx="20">
                  <c:v>3.9174010742011753</c:v>
                </c:pt>
                <c:pt idx="21">
                  <c:v>4.3844072948358281</c:v>
                </c:pt>
                <c:pt idx="22">
                  <c:v>4.8783782139553278</c:v>
                </c:pt>
                <c:pt idx="23">
                  <c:v>5.3962463225307875</c:v>
                </c:pt>
                <c:pt idx="24">
                  <c:v>5.9341673010242841</c:v>
                </c:pt>
                <c:pt idx="25">
                  <c:v>6.4875322367541504</c:v>
                </c:pt>
                <c:pt idx="26">
                  <c:v>7.0510045334928213</c:v>
                </c:pt>
                <c:pt idx="27">
                  <c:v>7.6185826128090444</c:v>
                </c:pt>
                <c:pt idx="28">
                  <c:v>8.1836885109528055</c:v>
                </c:pt>
                <c:pt idx="29">
                  <c:v>8.7392813818424138</c:v>
                </c:pt>
                <c:pt idx="30">
                  <c:v>9.2779937769342027</c:v>
                </c:pt>
                <c:pt idx="31">
                  <c:v>9.7922874446451953</c:v>
                </c:pt>
                <c:pt idx="32">
                  <c:v>10.274624337724566</c:v>
                </c:pt>
                <c:pt idx="33">
                  <c:v>10.717647598840312</c:v>
                </c:pt>
                <c:pt idx="34">
                  <c:v>11.114366571010773</c:v>
                </c:pt>
                <c:pt idx="35">
                  <c:v>11.458339400653683</c:v>
                </c:pt>
                <c:pt idx="36">
                  <c:v>11.743846605403938</c:v>
                </c:pt>
                <c:pt idx="37">
                  <c:v>11.966049089956003</c:v>
                </c:pt>
                <c:pt idx="38">
                  <c:v>12.121124517322682</c:v>
                </c:pt>
                <c:pt idx="39">
                  <c:v>12.206376668092446</c:v>
                </c:pt>
                <c:pt idx="40">
                  <c:v>12.220313416415525</c:v>
                </c:pt>
                <c:pt idx="41">
                  <c:v>12.162690171778912</c:v>
                </c:pt>
                <c:pt idx="42">
                  <c:v>12.034517019344927</c:v>
                </c:pt>
                <c:pt idx="43">
                  <c:v>11.838029267594321</c:v>
                </c:pt>
                <c:pt idx="44">
                  <c:v>11.576622603226795</c:v>
                </c:pt>
                <c:pt idx="45">
                  <c:v>11.254755481748839</c:v>
                </c:pt>
                <c:pt idx="46">
                  <c:v>10.877822673942147</c:v>
                </c:pt>
                <c:pt idx="47">
                  <c:v>10.452004978150201</c:v>
                </c:pt>
                <c:pt idx="48">
                  <c:v>9.9841009434398362</c:v>
                </c:pt>
                <c:pt idx="49">
                  <c:v>9.4813469923631608</c:v>
                </c:pt>
                <c:pt idx="50">
                  <c:v>8.9512325651488034</c:v>
                </c:pt>
                <c:pt idx="51">
                  <c:v>8.4013168289471469</c:v>
                </c:pt>
                <c:pt idx="52">
                  <c:v>7.8390531232545602</c:v>
                </c:pt>
                <c:pt idx="53">
                  <c:v>7.2716266788089037</c:v>
                </c:pt>
                <c:pt idx="54">
                  <c:v>6.7058102981882728</c:v>
                </c:pt>
                <c:pt idx="55">
                  <c:v>6.1478416777452063</c:v>
                </c:pt>
                <c:pt idx="56">
                  <c:v>5.6033249436326686</c:v>
                </c:pt>
                <c:pt idx="57">
                  <c:v>5.0771578322234818</c:v>
                </c:pt>
                <c:pt idx="58">
                  <c:v>4.5734848273635178</c:v>
                </c:pt>
                <c:pt idx="59">
                  <c:v>4.0956755277698766</c:v>
                </c:pt>
                <c:pt idx="60">
                  <c:v>3.6463266027635663</c:v>
                </c:pt>
                <c:pt idx="61">
                  <c:v>3.2272849378156598</c:v>
                </c:pt>
                <c:pt idx="62">
                  <c:v>2.8396889955113718</c:v>
                </c:pt>
                <c:pt idx="63">
                  <c:v>2.4840250327332631</c:v>
                </c:pt>
                <c:pt idx="64">
                  <c:v>2.1601946197943636</c:v>
                </c:pt>
                <c:pt idx="65">
                  <c:v>1.8675898903156516</c:v>
                </c:pt>
                <c:pt idx="66">
                  <c:v>1.6051730918262681</c:v>
                </c:pt>
                <c:pt idx="67">
                  <c:v>1.37155728012522</c:v>
                </c:pt>
                <c:pt idx="68">
                  <c:v>1.1650853752367221</c:v>
                </c:pt>
                <c:pt idx="69">
                  <c:v>0.98390524157039017</c:v>
                </c:pt>
                <c:pt idx="70">
                  <c:v>0.82603893841116949</c:v>
                </c:pt>
                <c:pt idx="71">
                  <c:v>0.68944478014425958</c:v>
                </c:pt>
                <c:pt idx="72">
                  <c:v>0.57207132337141053</c:v>
                </c:pt>
                <c:pt idx="73">
                  <c:v>0.47190283962397855</c:v>
                </c:pt>
                <c:pt idx="74">
                  <c:v>0.38699622218836244</c:v>
                </c:pt>
                <c:pt idx="75">
                  <c:v>0.31550960333326605</c:v>
                </c:pt>
                <c:pt idx="76">
                  <c:v>0.25572321866153797</c:v>
                </c:pt>
                <c:pt idx="77">
                  <c:v>0.20605324756564938</c:v>
                </c:pt>
                <c:pt idx="78">
                  <c:v>0.165059485758628</c:v>
                </c:pt>
                <c:pt idx="79">
                  <c:v>0.13144777341236272</c:v>
                </c:pt>
                <c:pt idx="80">
                  <c:v>0.10406811844514584</c:v>
                </c:pt>
                <c:pt idx="81">
                  <c:v>8.1909428056944941E-2</c:v>
                </c:pt>
                <c:pt idx="82">
                  <c:v>6.4091702270767575E-2</c:v>
                </c:pt>
              </c:numCache>
            </c:numRef>
          </c:yVal>
          <c:smooth val="1"/>
          <c:extLst>
            <c:ext xmlns:c16="http://schemas.microsoft.com/office/drawing/2014/chart" uri="{C3380CC4-5D6E-409C-BE32-E72D297353CC}">
              <c16:uniqueId val="{00000001-28C7-4862-86E9-AF862A5BA0AD}"/>
            </c:ext>
          </c:extLst>
        </c:ser>
        <c:ser>
          <c:idx val="2"/>
          <c:order val="2"/>
          <c:tx>
            <c:strRef>
              <c:f>'Notes | Quant Analysis'!$O$210</c:f>
              <c:strCache>
                <c:ptCount val="1"/>
                <c:pt idx="0">
                  <c:v>Mean</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2-28C7-4862-86E9-AF862A5BA0AD}"/>
                </c:ext>
              </c:extLst>
            </c:dLbl>
            <c:dLbl>
              <c:idx val="1"/>
              <c:layout>
                <c:manualLayout>
                  <c:x val="-6.1468492515614648E-2"/>
                  <c:y val="-2.7103269222475232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0.11751478831001885"/>
                      <c:h val="7.7448389040038423E-2"/>
                    </c:manualLayout>
                  </c15:layout>
                </c:ext>
                <c:ext xmlns:c16="http://schemas.microsoft.com/office/drawing/2014/chart" uri="{C3380CC4-5D6E-409C-BE32-E72D297353CC}">
                  <c16:uniqueId val="{00000003-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Analysis'!$P$210:$P$211</c:f>
              <c:numCache>
                <c:formatCode>0.00%</c:formatCode>
                <c:ptCount val="2"/>
                <c:pt idx="0">
                  <c:v>-3.2638117687302437E-3</c:v>
                </c:pt>
                <c:pt idx="1">
                  <c:v>-3.2638117687302437E-3</c:v>
                </c:pt>
              </c:numCache>
            </c:numRef>
          </c:xVal>
          <c:yVal>
            <c:numRef>
              <c:f>'Notes | Quant Analysis'!$Q$210:$Q$211</c:f>
              <c:numCache>
                <c:formatCode>General</c:formatCode>
                <c:ptCount val="2"/>
                <c:pt idx="0">
                  <c:v>0</c:v>
                </c:pt>
                <c:pt idx="1">
                  <c:v>20</c:v>
                </c:pt>
              </c:numCache>
            </c:numRef>
          </c:yVal>
          <c:smooth val="1"/>
          <c:extLst>
            <c:ext xmlns:c16="http://schemas.microsoft.com/office/drawing/2014/chart" uri="{C3380CC4-5D6E-409C-BE32-E72D297353CC}">
              <c16:uniqueId val="{00000004-28C7-4862-86E9-AF862A5BA0AD}"/>
            </c:ext>
          </c:extLst>
        </c:ser>
        <c:ser>
          <c:idx val="3"/>
          <c:order val="3"/>
          <c:tx>
            <c:strRef>
              <c:f>'Notes | Quant Analysis'!$O$212</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5-28C7-4862-86E9-AF862A5BA0AD}"/>
                </c:ext>
              </c:extLst>
            </c:dLbl>
            <c:dLbl>
              <c:idx val="1"/>
              <c:layout>
                <c:manualLayout>
                  <c:x val="-4.2278393489133349E-2"/>
                  <c:y val="-3.1901000130976395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6-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Analysis'!$P$212:$P$213</c:f>
              <c:numCache>
                <c:formatCode>0.00%</c:formatCode>
                <c:ptCount val="2"/>
                <c:pt idx="0">
                  <c:v>-0.1011744859827973</c:v>
                </c:pt>
                <c:pt idx="1">
                  <c:v>-0.1011744859827973</c:v>
                </c:pt>
              </c:numCache>
            </c:numRef>
          </c:xVal>
          <c:yVal>
            <c:numRef>
              <c:f>'Notes | Quant Analysis'!$Q$212:$Q$213</c:f>
              <c:numCache>
                <c:formatCode>General</c:formatCode>
                <c:ptCount val="2"/>
                <c:pt idx="0">
                  <c:v>0</c:v>
                </c:pt>
                <c:pt idx="1">
                  <c:v>2</c:v>
                </c:pt>
              </c:numCache>
            </c:numRef>
          </c:yVal>
          <c:smooth val="1"/>
          <c:extLst>
            <c:ext xmlns:c16="http://schemas.microsoft.com/office/drawing/2014/chart" uri="{C3380CC4-5D6E-409C-BE32-E72D297353CC}">
              <c16:uniqueId val="{00000007-28C7-4862-86E9-AF862A5BA0AD}"/>
            </c:ext>
          </c:extLst>
        </c:ser>
        <c:ser>
          <c:idx val="4"/>
          <c:order val="4"/>
          <c:tx>
            <c:strRef>
              <c:f>'Notes | Quant Analysis'!$O$214</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8-28C7-4862-86E9-AF862A5BA0AD}"/>
                </c:ext>
              </c:extLst>
            </c:dLbl>
            <c:dLbl>
              <c:idx val="1"/>
              <c:layout>
                <c:manualLayout>
                  <c:x val="-4.7192479610574899E-2"/>
                  <c:y val="-3.0913410293393177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9-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Analysis'!$P$214:$P$215</c:f>
              <c:numCache>
                <c:formatCode>0.00%</c:formatCode>
                <c:ptCount val="2"/>
                <c:pt idx="0">
                  <c:v>-6.8537594578108277E-2</c:v>
                </c:pt>
                <c:pt idx="1">
                  <c:v>-6.8537594578108277E-2</c:v>
                </c:pt>
              </c:numCache>
            </c:numRef>
          </c:xVal>
          <c:yVal>
            <c:numRef>
              <c:f>'Notes | Quant Analysis'!$Q$214:$Q$215</c:f>
              <c:numCache>
                <c:formatCode>General</c:formatCode>
                <c:ptCount val="2"/>
                <c:pt idx="0">
                  <c:v>0</c:v>
                </c:pt>
                <c:pt idx="1">
                  <c:v>5</c:v>
                </c:pt>
              </c:numCache>
            </c:numRef>
          </c:yVal>
          <c:smooth val="1"/>
          <c:extLst>
            <c:ext xmlns:c16="http://schemas.microsoft.com/office/drawing/2014/chart" uri="{C3380CC4-5D6E-409C-BE32-E72D297353CC}">
              <c16:uniqueId val="{0000000A-28C7-4862-86E9-AF862A5BA0AD}"/>
            </c:ext>
          </c:extLst>
        </c:ser>
        <c:ser>
          <c:idx val="5"/>
          <c:order val="5"/>
          <c:tx>
            <c:strRef>
              <c:f>'Notes | Quant Analysis'!$O$216</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B-28C7-4862-86E9-AF862A5BA0AD}"/>
                </c:ext>
              </c:extLst>
            </c:dLbl>
            <c:dLbl>
              <c:idx val="1"/>
              <c:layout>
                <c:manualLayout>
                  <c:x val="-3.6917121564469454E-2"/>
                  <c:y val="-4.0055522861144548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C-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Analysis'!$P$216:$P$217</c:f>
              <c:numCache>
                <c:formatCode>0.00%</c:formatCode>
                <c:ptCount val="2"/>
                <c:pt idx="0">
                  <c:v>-3.5900703173419264E-2</c:v>
                </c:pt>
                <c:pt idx="1">
                  <c:v>-3.5900703173419264E-2</c:v>
                </c:pt>
              </c:numCache>
            </c:numRef>
          </c:xVal>
          <c:yVal>
            <c:numRef>
              <c:f>'Notes | Quant Analysis'!$Q$216:$Q$217</c:f>
              <c:numCache>
                <c:formatCode>General</c:formatCode>
                <c:ptCount val="2"/>
                <c:pt idx="0">
                  <c:v>0</c:v>
                </c:pt>
                <c:pt idx="1">
                  <c:v>10</c:v>
                </c:pt>
              </c:numCache>
            </c:numRef>
          </c:yVal>
          <c:smooth val="1"/>
          <c:extLst>
            <c:ext xmlns:c16="http://schemas.microsoft.com/office/drawing/2014/chart" uri="{C3380CC4-5D6E-409C-BE32-E72D297353CC}">
              <c16:uniqueId val="{0000000D-28C7-4862-86E9-AF862A5BA0AD}"/>
            </c:ext>
          </c:extLst>
        </c:ser>
        <c:ser>
          <c:idx val="6"/>
          <c:order val="6"/>
          <c:tx>
            <c:strRef>
              <c:f>'Notes | Quant Analysis'!$O$218</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E-28C7-4862-86E9-AF862A5BA0AD}"/>
                </c:ext>
              </c:extLst>
            </c:dLbl>
            <c:dLbl>
              <c:idx val="1"/>
              <c:layout>
                <c:manualLayout>
                  <c:x val="-5.7951710543537427E-2"/>
                  <c:y val="-4.0055522861144548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0-EE2D-40A7-A22D-BAD8FA8D64D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Analysis'!$P$218:$P$219</c:f>
              <c:numCache>
                <c:formatCode>0.00%</c:formatCode>
                <c:ptCount val="2"/>
                <c:pt idx="0">
                  <c:v>2.9373079635958775E-2</c:v>
                </c:pt>
                <c:pt idx="1">
                  <c:v>2.9373079635958775E-2</c:v>
                </c:pt>
              </c:numCache>
            </c:numRef>
          </c:xVal>
          <c:yVal>
            <c:numRef>
              <c:f>'Notes | Quant Analysis'!$Q$218:$Q$219</c:f>
              <c:numCache>
                <c:formatCode>General</c:formatCode>
                <c:ptCount val="2"/>
                <c:pt idx="0">
                  <c:v>0</c:v>
                </c:pt>
                <c:pt idx="1">
                  <c:v>10</c:v>
                </c:pt>
              </c:numCache>
            </c:numRef>
          </c:yVal>
          <c:smooth val="1"/>
          <c:extLst>
            <c:ext xmlns:c16="http://schemas.microsoft.com/office/drawing/2014/chart" uri="{C3380CC4-5D6E-409C-BE32-E72D297353CC}">
              <c16:uniqueId val="{0000000F-28C7-4862-86E9-AF862A5BA0AD}"/>
            </c:ext>
          </c:extLst>
        </c:ser>
        <c:ser>
          <c:idx val="7"/>
          <c:order val="7"/>
          <c:tx>
            <c:strRef>
              <c:f>'Notes | Quant Analysis'!$O$220</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0-28C7-4862-86E9-AF862A5BA0AD}"/>
                </c:ext>
              </c:extLst>
            </c:dLbl>
            <c:dLbl>
              <c:idx val="1"/>
              <c:layout>
                <c:manualLayout>
                  <c:x val="-4.3627001869829485E-2"/>
                  <c:y val="-3.1060485455359606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1-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Analysis'!$P$220:$P$221</c:f>
              <c:numCache>
                <c:formatCode>0.00%</c:formatCode>
                <c:ptCount val="2"/>
                <c:pt idx="0">
                  <c:v>6.2009971040647795E-2</c:v>
                </c:pt>
                <c:pt idx="1">
                  <c:v>6.2009971040647795E-2</c:v>
                </c:pt>
              </c:numCache>
            </c:numRef>
          </c:xVal>
          <c:yVal>
            <c:numRef>
              <c:f>'Notes | Quant Analysis'!$Q$220:$Q$221</c:f>
              <c:numCache>
                <c:formatCode>General</c:formatCode>
                <c:ptCount val="2"/>
                <c:pt idx="0">
                  <c:v>0</c:v>
                </c:pt>
                <c:pt idx="1">
                  <c:v>5</c:v>
                </c:pt>
              </c:numCache>
            </c:numRef>
          </c:yVal>
          <c:smooth val="1"/>
          <c:extLst>
            <c:ext xmlns:c16="http://schemas.microsoft.com/office/drawing/2014/chart" uri="{C3380CC4-5D6E-409C-BE32-E72D297353CC}">
              <c16:uniqueId val="{00000012-28C7-4862-86E9-AF862A5BA0AD}"/>
            </c:ext>
          </c:extLst>
        </c:ser>
        <c:ser>
          <c:idx val="8"/>
          <c:order val="8"/>
          <c:tx>
            <c:strRef>
              <c:f>'Notes | Quant Analysis'!$O$222</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3-28C7-4862-86E9-AF862A5BA0AD}"/>
                </c:ext>
              </c:extLst>
            </c:dLbl>
            <c:dLbl>
              <c:idx val="1"/>
              <c:layout>
                <c:manualLayout>
                  <c:x val="-2.8868863129629385E-2"/>
                  <c:y val="-2.665773659886865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4-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Analysis'!$P$222:$P$223</c:f>
              <c:numCache>
                <c:formatCode>0.00%</c:formatCode>
                <c:ptCount val="2"/>
                <c:pt idx="0">
                  <c:v>9.4646862445336821E-2</c:v>
                </c:pt>
                <c:pt idx="1">
                  <c:v>9.4646862445336821E-2</c:v>
                </c:pt>
              </c:numCache>
            </c:numRef>
          </c:xVal>
          <c:yVal>
            <c:numRef>
              <c:f>'Notes | Quant Analysis'!$Q$222:$Q$223</c:f>
              <c:numCache>
                <c:formatCode>General</c:formatCode>
                <c:ptCount val="2"/>
                <c:pt idx="0">
                  <c:v>0</c:v>
                </c:pt>
                <c:pt idx="1">
                  <c:v>2</c:v>
                </c:pt>
              </c:numCache>
            </c:numRef>
          </c:yVal>
          <c:smooth val="1"/>
          <c:extLst>
            <c:ext xmlns:c16="http://schemas.microsoft.com/office/drawing/2014/chart" uri="{C3380CC4-5D6E-409C-BE32-E72D297353CC}">
              <c16:uniqueId val="{00000015-28C7-4862-86E9-AF862A5BA0AD}"/>
            </c:ext>
          </c:extLst>
        </c:ser>
        <c:dLbls>
          <c:showLegendKey val="0"/>
          <c:showVal val="0"/>
          <c:showCatName val="0"/>
          <c:showSerName val="0"/>
          <c:showPercent val="0"/>
          <c:showBubbleSize val="0"/>
        </c:dLbls>
        <c:axId val="1274098191"/>
        <c:axId val="1274092911"/>
      </c:scatterChart>
      <c:valAx>
        <c:axId val="1274098191"/>
        <c:scaling>
          <c:orientation val="minMax"/>
          <c:max val="0.11000000000000001"/>
          <c:min val="-0.11000000000000001"/>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92911"/>
        <c:crossesAt val="0"/>
        <c:crossBetween val="midCat"/>
        <c:majorUnit val="1.0000000000000002E-2"/>
      </c:valAx>
      <c:valAx>
        <c:axId val="127409291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98191"/>
        <c:crossesAt val="-1000"/>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(SRPT) Quarterly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91955772237E-2"/>
          <c:y val="0.12503815869170201"/>
          <c:w val="0.88242614721237911"/>
          <c:h val="0.75563698768423182"/>
        </c:manualLayout>
      </c:layout>
      <c:barChart>
        <c:barDir val="col"/>
        <c:grouping val="clustered"/>
        <c:varyColors val="0"/>
        <c:ser>
          <c:idx val="1"/>
          <c:order val="1"/>
          <c:tx>
            <c:v>Income</c:v>
          </c:tx>
          <c:spPr>
            <a:solidFill>
              <a:srgbClr val="00B050"/>
            </a:solidFill>
            <a:ln>
              <a:solidFill>
                <a:srgbClr val="00B050"/>
              </a:solidFill>
            </a:ln>
            <a:effectLst/>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'Bear Case (30%)'!$C$35:$Y$35</c:f>
              <c:numCache>
                <c:formatCode>0.0</c:formatCode>
                <c:ptCount val="23"/>
                <c:pt idx="0">
                  <c:v>-17.492000000000008</c:v>
                </c:pt>
                <c:pt idx="1">
                  <c:v>-151.00399999999996</c:v>
                </c:pt>
                <c:pt idx="2">
                  <c:v>-196.499</c:v>
                </c:pt>
                <c:pt idx="3">
                  <c:v>-189.10199999999989</c:v>
                </c:pt>
                <c:pt idx="4">
                  <c:v>-167.24999999999997</c:v>
                </c:pt>
                <c:pt idx="5">
                  <c:v>-81.408999999999963</c:v>
                </c:pt>
                <c:pt idx="6">
                  <c:v>-48.176000000000009</c:v>
                </c:pt>
                <c:pt idx="7">
                  <c:v>-121.97900000000001</c:v>
                </c:pt>
                <c:pt idx="8">
                  <c:v>-105.02000000000007</c:v>
                </c:pt>
                <c:pt idx="9">
                  <c:v>-233.63099999999994</c:v>
                </c:pt>
                <c:pt idx="10">
                  <c:v>-258.45299999999997</c:v>
                </c:pt>
                <c:pt idx="11">
                  <c:v>-109.30000000000011</c:v>
                </c:pt>
                <c:pt idx="12">
                  <c:v>-516.75799999999992</c:v>
                </c:pt>
                <c:pt idx="13">
                  <c:v>-23.935999999999961</c:v>
                </c:pt>
                <c:pt idx="14">
                  <c:v>-40.943999999999996</c:v>
                </c:pt>
                <c:pt idx="15">
                  <c:v>45.66100000000003</c:v>
                </c:pt>
                <c:pt idx="16">
                  <c:v>34.509000000000022</c:v>
                </c:pt>
                <c:pt idx="17">
                  <c:v>6.4610000000000118</c:v>
                </c:pt>
                <c:pt idx="18">
                  <c:v>33.612000000000002</c:v>
                </c:pt>
                <c:pt idx="19">
                  <c:v>159.05899999999988</c:v>
                </c:pt>
                <c:pt idx="20">
                  <c:v>-447.49700000000013</c:v>
                </c:pt>
                <c:pt idx="21">
                  <c:v>196.88400000000013</c:v>
                </c:pt>
                <c:pt idx="22">
                  <c:v>-179.95900000000003</c:v>
                </c:pt>
              </c:numCache>
            </c:numRef>
          </c:val>
          <c:extLst>
            <c:ext xmlns:c16="http://schemas.microsoft.com/office/drawing/2014/chart" uri="{C3380CC4-5D6E-409C-BE32-E72D297353CC}">
              <c16:uniqueId val="{00000000-7E53-46DC-B4F3-00297F81DD22}"/>
            </c:ext>
          </c:extLst>
        </c:ser>
        <c:ser>
          <c:idx val="2"/>
          <c:order val="2"/>
          <c:tx>
            <c:v>FCF</c:v>
          </c:tx>
          <c:spPr>
            <a:solidFill>
              <a:srgbClr val="FFC000"/>
            </a:solidFill>
            <a:ln>
              <a:noFill/>
            </a:ln>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'Bear Case (30%)'!$C$85:$Y$85</c:f>
              <c:numCache>
                <c:formatCode>0.0</c:formatCode>
                <c:ptCount val="23"/>
                <c:pt idx="0">
                  <c:v>618.69999999999993</c:v>
                </c:pt>
                <c:pt idx="1">
                  <c:v>-126.8</c:v>
                </c:pt>
                <c:pt idx="2">
                  <c:v>-308.5</c:v>
                </c:pt>
                <c:pt idx="3">
                  <c:v>-158.1</c:v>
                </c:pt>
                <c:pt idx="4">
                  <c:v>-201.5</c:v>
                </c:pt>
                <c:pt idx="5">
                  <c:v>-115.4</c:v>
                </c:pt>
                <c:pt idx="6">
                  <c:v>-133.19999999999999</c:v>
                </c:pt>
                <c:pt idx="7">
                  <c:v>-31.5</c:v>
                </c:pt>
                <c:pt idx="8">
                  <c:v>-106.8</c:v>
                </c:pt>
                <c:pt idx="9">
                  <c:v>-75.899999999999991</c:v>
                </c:pt>
                <c:pt idx="10">
                  <c:v>-73.2</c:v>
                </c:pt>
                <c:pt idx="11">
                  <c:v>-100.4</c:v>
                </c:pt>
                <c:pt idx="12">
                  <c:v>-218.9</c:v>
                </c:pt>
                <c:pt idx="13">
                  <c:v>-140.1</c:v>
                </c:pt>
                <c:pt idx="14">
                  <c:v>-145.6</c:v>
                </c:pt>
                <c:pt idx="15">
                  <c:v>-72.5</c:v>
                </c:pt>
                <c:pt idx="16">
                  <c:v>-273.5</c:v>
                </c:pt>
                <c:pt idx="17">
                  <c:v>-14.299999999999999</c:v>
                </c:pt>
                <c:pt idx="18">
                  <c:v>-108</c:v>
                </c:pt>
                <c:pt idx="19">
                  <c:v>53.9</c:v>
                </c:pt>
                <c:pt idx="20">
                  <c:v>-627.1</c:v>
                </c:pt>
                <c:pt idx="21">
                  <c:v>229.55999999999995</c:v>
                </c:pt>
                <c:pt idx="22">
                  <c:v>-37.5</c:v>
                </c:pt>
              </c:numCache>
            </c:numRef>
          </c:val>
          <c:extLst>
            <c:ext xmlns:c16="http://schemas.microsoft.com/office/drawing/2014/chart" uri="{C3380CC4-5D6E-409C-BE32-E72D297353CC}">
              <c16:uniqueId val="{00000001-7E53-46DC-B4F3-00297F81DD22}"/>
            </c:ext>
          </c:extLst>
        </c:ser>
        <c:dLbls>
          <c:showLegendKey val="0"/>
          <c:showVal val="0"/>
          <c:showCatName val="0"/>
          <c:showSerName val="0"/>
          <c:showPercent val="0"/>
          <c:showBubbleSize val="0"/>
        </c:dLbls>
        <c:gapWidth val="57"/>
        <c:overlap val="-1"/>
        <c:axId val="1243124976"/>
        <c:axId val="1243123056"/>
      </c:barChart>
      <c:lineChart>
        <c:grouping val="standard"/>
        <c:varyColors val="0"/>
        <c:ser>
          <c:idx val="0"/>
          <c:order val="0"/>
          <c:tx>
            <c:v>Revenues</c:v>
          </c:tx>
          <c:spPr>
            <a:ln w="28575" cap="rnd">
              <a:solidFill>
                <a:srgbClr val="00B0F0"/>
              </a:solidFill>
              <a:round/>
            </a:ln>
            <a:effectLst/>
          </c:spPr>
          <c:marker>
            <c:symbol val="none"/>
          </c:marker>
          <c:cat>
            <c:strRef>
              <c:f>'Bear Case (30%)'!$C$1:$W$1</c:f>
              <c:strCache>
                <c:ptCount val="21"/>
                <c:pt idx="0">
                  <c:v>Q1 2020</c:v>
                </c:pt>
                <c:pt idx="4">
                  <c:v>Q1 2021</c:v>
                </c:pt>
                <c:pt idx="8">
                  <c:v>Q1 2022</c:v>
                </c:pt>
                <c:pt idx="12">
                  <c:v>Q1 2023</c:v>
                </c:pt>
                <c:pt idx="16">
                  <c:v>Q1 2024</c:v>
                </c:pt>
                <c:pt idx="20">
                  <c:v>Q1 2025</c:v>
                </c:pt>
              </c:strCache>
            </c:strRef>
          </c:cat>
          <c:val>
            <c:numRef>
              <c:f>'Bear Case (30%)'!$C$23:$Y$23</c:f>
              <c:numCache>
                <c:formatCode>0.0</c:formatCode>
                <c:ptCount val="23"/>
                <c:pt idx="0">
                  <c:v>113.67399999999999</c:v>
                </c:pt>
                <c:pt idx="1">
                  <c:v>137.35900000000001</c:v>
                </c:pt>
                <c:pt idx="2">
                  <c:v>143.92400000000001</c:v>
                </c:pt>
                <c:pt idx="3">
                  <c:v>145.14200000000002</c:v>
                </c:pt>
                <c:pt idx="4">
                  <c:v>146.93100000000001</c:v>
                </c:pt>
                <c:pt idx="5">
                  <c:v>164.089</c:v>
                </c:pt>
                <c:pt idx="6">
                  <c:v>189.37</c:v>
                </c:pt>
                <c:pt idx="7">
                  <c:v>201.45499999999998</c:v>
                </c:pt>
                <c:pt idx="8">
                  <c:v>210.82999999999998</c:v>
                </c:pt>
                <c:pt idx="9">
                  <c:v>233.53700000000001</c:v>
                </c:pt>
                <c:pt idx="10">
                  <c:v>230.274</c:v>
                </c:pt>
                <c:pt idx="11">
                  <c:v>258.37199999999996</c:v>
                </c:pt>
                <c:pt idx="12">
                  <c:v>253.495</c:v>
                </c:pt>
                <c:pt idx="13">
                  <c:v>261.238</c:v>
                </c:pt>
                <c:pt idx="14">
                  <c:v>331.80799999999999</c:v>
                </c:pt>
                <c:pt idx="15">
                  <c:v>396.79500000000002</c:v>
                </c:pt>
                <c:pt idx="16">
                  <c:v>413.45700000000005</c:v>
                </c:pt>
                <c:pt idx="17">
                  <c:v>362.92700000000002</c:v>
                </c:pt>
                <c:pt idx="18">
                  <c:v>467.17099999999999</c:v>
                </c:pt>
                <c:pt idx="19">
                  <c:v>658.42399999999998</c:v>
                </c:pt>
                <c:pt idx="20">
                  <c:v>744.86199999999997</c:v>
                </c:pt>
                <c:pt idx="21">
                  <c:v>611.08800000000008</c:v>
                </c:pt>
                <c:pt idx="22">
                  <c:v>399.34299999999996</c:v>
                </c:pt>
              </c:numCache>
            </c:numRef>
          </c:val>
          <c:smooth val="0"/>
          <c:extLst>
            <c:ext xmlns:c16="http://schemas.microsoft.com/office/drawing/2014/chart" uri="{C3380CC4-5D6E-409C-BE32-E72D297353CC}">
              <c16:uniqueId val="{00000002-7E53-46DC-B4F3-00297F81DD22}"/>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7416627127"/>
          <c:y val="7.5919038966283062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(SRPT) Annualized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v>Income</c:v>
          </c:tx>
          <c:spPr>
            <a:solidFill>
              <a:srgbClr val="00B050"/>
            </a:solidFill>
            <a:ln>
              <a:solidFill>
                <a:srgbClr val="00B050"/>
              </a:solidFill>
            </a:ln>
            <a:effectLst/>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extLst xmlns:c15="http://schemas.microsoft.com/office/drawing/2012/chart"/>
            </c:strRef>
          </c:cat>
          <c:val>
            <c:numRef>
              <c:f>'Bear Case (30%)'!$AM$35:$AQ$35</c:f>
              <c:numCache>
                <c:formatCode>0.0</c:formatCode>
                <c:ptCount val="5"/>
                <c:pt idx="0">
                  <c:v>-554.09699999999987</c:v>
                </c:pt>
                <c:pt idx="1">
                  <c:v>-418.81399999999996</c:v>
                </c:pt>
                <c:pt idx="2">
                  <c:v>-706.40400000000011</c:v>
                </c:pt>
                <c:pt idx="3">
                  <c:v>-535.97699999999975</c:v>
                </c:pt>
                <c:pt idx="4">
                  <c:v>233.64099999999991</c:v>
                </c:pt>
              </c:numCache>
            </c:numRef>
          </c:val>
          <c:extLst>
            <c:ext xmlns:c16="http://schemas.microsoft.com/office/drawing/2014/chart" uri="{C3380CC4-5D6E-409C-BE32-E72D297353CC}">
              <c16:uniqueId val="{00000000-08ED-4D8D-983A-02E6B011438C}"/>
            </c:ext>
          </c:extLst>
        </c:ser>
        <c:ser>
          <c:idx val="2"/>
          <c:order val="2"/>
          <c:tx>
            <c:v>FCF</c:v>
          </c:tx>
          <c:spPr>
            <a:solidFill>
              <a:srgbClr val="FFC000"/>
            </a:solidFill>
            <a:ln>
              <a:solidFill>
                <a:srgbClr val="FFC000"/>
              </a:solidFill>
            </a:ln>
            <a:effectLst/>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extLst xmlns:c15="http://schemas.microsoft.com/office/drawing/2012/chart"/>
            </c:strRef>
          </c:cat>
          <c:val>
            <c:numRef>
              <c:f>'Bear Case (30%)'!$AM$85:$AQ$85</c:f>
              <c:numCache>
                <c:formatCode>0.0</c:formatCode>
                <c:ptCount val="5"/>
                <c:pt idx="0">
                  <c:v>25.299999999999926</c:v>
                </c:pt>
                <c:pt idx="1">
                  <c:v>-481.59999999999997</c:v>
                </c:pt>
                <c:pt idx="2">
                  <c:v>-356.29999999999995</c:v>
                </c:pt>
                <c:pt idx="3">
                  <c:v>-577.1</c:v>
                </c:pt>
                <c:pt idx="4">
                  <c:v>-341.90000000000003</c:v>
                </c:pt>
              </c:numCache>
            </c:numRef>
          </c:val>
          <c:extLst>
            <c:ext xmlns:c16="http://schemas.microsoft.com/office/drawing/2014/chart" uri="{C3380CC4-5D6E-409C-BE32-E72D297353CC}">
              <c16:uniqueId val="{00000001-08ED-4D8D-983A-02E6B011438C}"/>
            </c:ext>
          </c:extLst>
        </c:ser>
        <c:dLbls>
          <c:showLegendKey val="0"/>
          <c:showVal val="0"/>
          <c:showCatName val="0"/>
          <c:showSerName val="0"/>
          <c:showPercent val="0"/>
          <c:showBubbleSize val="0"/>
        </c:dLbls>
        <c:gapWidth val="57"/>
        <c:overlap val="-2"/>
        <c:axId val="1243124976"/>
        <c:axId val="1243123056"/>
      </c:barChart>
      <c:lineChart>
        <c:grouping val="standard"/>
        <c:varyColors val="0"/>
        <c:ser>
          <c:idx val="0"/>
          <c:order val="0"/>
          <c:tx>
            <c:v>Revenues</c:v>
          </c:tx>
          <c:spPr>
            <a:ln w="28575" cap="rnd">
              <a:solidFill>
                <a:srgbClr val="00B0F0"/>
              </a:solidFill>
              <a:round/>
            </a:ln>
            <a:effectLst/>
          </c:spPr>
          <c:marker>
            <c:symbol val="none"/>
          </c:marker>
          <c:cat>
            <c:numRef>
              <c:f>'Bear Case (30%)'!$AM$3:$AQ$3</c:f>
              <c:numCache>
                <c:formatCode>General</c:formatCode>
                <c:ptCount val="5"/>
                <c:pt idx="0">
                  <c:v>2020</c:v>
                </c:pt>
                <c:pt idx="1">
                  <c:v>2021</c:v>
                </c:pt>
                <c:pt idx="2">
                  <c:v>2022</c:v>
                </c:pt>
                <c:pt idx="3">
                  <c:v>2023</c:v>
                </c:pt>
                <c:pt idx="4">
                  <c:v>2024</c:v>
                </c:pt>
              </c:numCache>
            </c:numRef>
          </c:cat>
          <c:val>
            <c:numRef>
              <c:f>'Bear Case (30%)'!$AM$23:$AQ$23</c:f>
              <c:numCache>
                <c:formatCode>0.0</c:formatCode>
                <c:ptCount val="5"/>
                <c:pt idx="0">
                  <c:v>540.09900000000005</c:v>
                </c:pt>
                <c:pt idx="1">
                  <c:v>701.84500000000003</c:v>
                </c:pt>
                <c:pt idx="2">
                  <c:v>933.01299999999992</c:v>
                </c:pt>
                <c:pt idx="3">
                  <c:v>1243.336</c:v>
                </c:pt>
                <c:pt idx="4">
                  <c:v>1901.979</c:v>
                </c:pt>
              </c:numCache>
            </c:numRef>
          </c:val>
          <c:smooth val="0"/>
          <c:extLst>
            <c:ext xmlns:c16="http://schemas.microsoft.com/office/drawing/2014/chart" uri="{C3380CC4-5D6E-409C-BE32-E72D297353CC}">
              <c16:uniqueId val="{00000002-08ED-4D8D-983A-02E6B011438C}"/>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(SRPT) Revenue by Segment (in $ millions)</a:t>
            </a:r>
          </a:p>
        </c:rich>
      </c:tx>
      <c:layout>
        <c:manualLayout>
          <c:xMode val="edge"/>
          <c:yMode val="edge"/>
          <c:x val="0.31200656974225616"/>
          <c:y val="1.367207054357784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109587501048507E-2"/>
          <c:y val="0.145794510573965"/>
          <c:w val="0.91227104725869268"/>
          <c:h val="0.76968715360050932"/>
        </c:manualLayout>
      </c:layout>
      <c:barChart>
        <c:barDir val="col"/>
        <c:grouping val="stacked"/>
        <c:varyColors val="0"/>
        <c:ser>
          <c:idx val="3"/>
          <c:order val="0"/>
          <c:tx>
            <c:strRef>
              <c:f>'Bear Case (30%)'!$B$4</c:f>
              <c:strCache>
                <c:ptCount val="1"/>
                <c:pt idx="0">
                  <c:v>PMO Products</c:v>
                </c:pt>
              </c:strCache>
            </c:strRef>
          </c:tx>
          <c:spPr>
            <a:solidFill>
              <a:srgbClr val="FFC000"/>
            </a:solidFill>
            <a:ln>
              <a:noFill/>
            </a:ln>
            <a:effectLst/>
          </c:spPr>
          <c:invertIfNegative val="0"/>
          <c:cat>
            <c:strRef>
              <c:f>'Bear Case (30%)'!$C$1:$W$1</c:f>
              <c:strCache>
                <c:ptCount val="21"/>
                <c:pt idx="0">
                  <c:v>Q1 2020</c:v>
                </c:pt>
                <c:pt idx="4">
                  <c:v>Q1 2021</c:v>
                </c:pt>
                <c:pt idx="8">
                  <c:v>Q1 2022</c:v>
                </c:pt>
                <c:pt idx="12">
                  <c:v>Q1 2023</c:v>
                </c:pt>
                <c:pt idx="16">
                  <c:v>Q1 2024</c:v>
                </c:pt>
                <c:pt idx="20">
                  <c:v>Q1 2025</c:v>
                </c:pt>
              </c:strCache>
            </c:strRef>
          </c:cat>
          <c:val>
            <c:numRef>
              <c:f>'Bear Case (30%)'!$C$4:$Y$4</c:f>
              <c:numCache>
                <c:formatCode>0.0</c:formatCode>
                <c:ptCount val="23"/>
                <c:pt idx="0">
                  <c:v>100.44799999999999</c:v>
                </c:pt>
                <c:pt idx="1">
                  <c:v>111.34</c:v>
                </c:pt>
                <c:pt idx="2">
                  <c:v>121.429</c:v>
                </c:pt>
                <c:pt idx="3">
                  <c:v>122.64800000000002</c:v>
                </c:pt>
                <c:pt idx="4">
                  <c:v>124.926</c:v>
                </c:pt>
                <c:pt idx="5">
                  <c:v>141.839</c:v>
                </c:pt>
                <c:pt idx="6">
                  <c:v>166.911</c:v>
                </c:pt>
                <c:pt idx="7">
                  <c:v>178.72499999999997</c:v>
                </c:pt>
                <c:pt idx="8">
                  <c:v>188.82499999999999</c:v>
                </c:pt>
                <c:pt idx="9">
                  <c:v>211.23699999999999</c:v>
                </c:pt>
                <c:pt idx="10">
                  <c:v>207.774</c:v>
                </c:pt>
                <c:pt idx="11">
                  <c:v>235.93299999999999</c:v>
                </c:pt>
                <c:pt idx="12">
                  <c:v>231.495</c:v>
                </c:pt>
                <c:pt idx="13">
                  <c:v>238.988</c:v>
                </c:pt>
                <c:pt idx="14">
                  <c:v>240.21</c:v>
                </c:pt>
                <c:pt idx="15">
                  <c:v>233.827</c:v>
                </c:pt>
                <c:pt idx="16">
                  <c:v>225.548</c:v>
                </c:pt>
                <c:pt idx="17">
                  <c:v>238.827</c:v>
                </c:pt>
                <c:pt idx="18">
                  <c:v>248.78800000000001</c:v>
                </c:pt>
                <c:pt idx="19">
                  <c:v>254.00599999999997</c:v>
                </c:pt>
                <c:pt idx="20">
                  <c:v>236.53800000000001</c:v>
                </c:pt>
                <c:pt idx="21">
                  <c:v>231.27199999999999</c:v>
                </c:pt>
                <c:pt idx="22">
                  <c:v>238.54499999999999</c:v>
                </c:pt>
              </c:numCache>
            </c:numRef>
          </c:val>
          <c:extLst>
            <c:ext xmlns:c16="http://schemas.microsoft.com/office/drawing/2014/chart" uri="{C3380CC4-5D6E-409C-BE32-E72D297353CC}">
              <c16:uniqueId val="{00000000-6B86-41F0-B7C0-0B82DF697635}"/>
            </c:ext>
          </c:extLst>
        </c:ser>
        <c:ser>
          <c:idx val="9"/>
          <c:order val="1"/>
          <c:tx>
            <c:strRef>
              <c:f>'Bear Case (30%)'!$B$5</c:f>
              <c:strCache>
                <c:ptCount val="1"/>
                <c:pt idx="0">
                  <c:v>ELEVIDYS</c:v>
                </c:pt>
              </c:strCache>
            </c:strRef>
          </c:tx>
          <c:spPr>
            <a:solidFill>
              <a:srgbClr val="FF7171"/>
            </a:solidFill>
            <a:ln>
              <a:noFill/>
            </a:ln>
            <a:effectLst/>
          </c:spPr>
          <c:invertIfNegative val="0"/>
          <c:cat>
            <c:strRef>
              <c:f>'Bear Case (30%)'!$C$1:$W$1</c:f>
              <c:strCache>
                <c:ptCount val="21"/>
                <c:pt idx="0">
                  <c:v>Q1 2020</c:v>
                </c:pt>
                <c:pt idx="4">
                  <c:v>Q1 2021</c:v>
                </c:pt>
                <c:pt idx="8">
                  <c:v>Q1 2022</c:v>
                </c:pt>
                <c:pt idx="12">
                  <c:v>Q1 2023</c:v>
                </c:pt>
                <c:pt idx="16">
                  <c:v>Q1 2024</c:v>
                </c:pt>
                <c:pt idx="20">
                  <c:v>Q1 2025</c:v>
                </c:pt>
              </c:strCache>
            </c:strRef>
          </c:cat>
          <c:val>
            <c:numRef>
              <c:f>'Bear Case (30%)'!$C$5:$Y$5</c:f>
              <c:numCache>
                <c:formatCode>0.0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69.108000000000004</c:v>
                </c:pt>
                <c:pt idx="15">
                  <c:v>131.24799999999999</c:v>
                </c:pt>
                <c:pt idx="16">
                  <c:v>133.93600000000001</c:v>
                </c:pt>
                <c:pt idx="17">
                  <c:v>121.72</c:v>
                </c:pt>
                <c:pt idx="18">
                  <c:v>180.983</c:v>
                </c:pt>
                <c:pt idx="19">
                  <c:v>384.15200000000004</c:v>
                </c:pt>
                <c:pt idx="20">
                  <c:v>374.89499999999998</c:v>
                </c:pt>
                <c:pt idx="21">
                  <c:v>281.851</c:v>
                </c:pt>
                <c:pt idx="22">
                  <c:v>131.49</c:v>
                </c:pt>
              </c:numCache>
            </c:numRef>
          </c:val>
          <c:extLst>
            <c:ext xmlns:c16="http://schemas.microsoft.com/office/drawing/2014/chart" uri="{C3380CC4-5D6E-409C-BE32-E72D297353CC}">
              <c16:uniqueId val="{00000001-6B86-41F0-B7C0-0B82DF697635}"/>
            </c:ext>
          </c:extLst>
        </c:ser>
        <c:ser>
          <c:idx val="0"/>
          <c:order val="2"/>
          <c:tx>
            <c:strRef>
              <c:f>'Bull Case (20%)'!$B$11</c:f>
              <c:strCache>
                <c:ptCount val="1"/>
                <c:pt idx="0">
                  <c:v>Collaboration and Other Revenues</c:v>
                </c:pt>
              </c:strCache>
            </c:strRef>
          </c:tx>
          <c:spPr>
            <a:solidFill>
              <a:srgbClr val="00B0F0"/>
            </a:solidFill>
            <a:ln>
              <a:noFill/>
            </a:ln>
            <a:effectLst/>
          </c:spPr>
          <c:invertIfNegative val="0"/>
          <c:val>
            <c:numRef>
              <c:f>'Bull Case (20%)'!$C$11:$Y$11</c:f>
              <c:numCache>
                <c:formatCode>0.0</c:formatCode>
                <c:ptCount val="23"/>
                <c:pt idx="0">
                  <c:v>13.226000000000001</c:v>
                </c:pt>
                <c:pt idx="1">
                  <c:v>26.018999999999998</c:v>
                </c:pt>
                <c:pt idx="2">
                  <c:v>22.495000000000001</c:v>
                </c:pt>
                <c:pt idx="3">
                  <c:v>22.494</c:v>
                </c:pt>
                <c:pt idx="4">
                  <c:v>22.004999999999999</c:v>
                </c:pt>
                <c:pt idx="5">
                  <c:v>22.25</c:v>
                </c:pt>
                <c:pt idx="6">
                  <c:v>22.459</c:v>
                </c:pt>
                <c:pt idx="7">
                  <c:v>22.730000000000004</c:v>
                </c:pt>
                <c:pt idx="8">
                  <c:v>22.004999999999999</c:v>
                </c:pt>
                <c:pt idx="9">
                  <c:v>22.3</c:v>
                </c:pt>
                <c:pt idx="10">
                  <c:v>22.5</c:v>
                </c:pt>
                <c:pt idx="11">
                  <c:v>22.438999999999993</c:v>
                </c:pt>
                <c:pt idx="12">
                  <c:v>22</c:v>
                </c:pt>
                <c:pt idx="13">
                  <c:v>22.25</c:v>
                </c:pt>
                <c:pt idx="14">
                  <c:v>22.49</c:v>
                </c:pt>
                <c:pt idx="15">
                  <c:v>31.720000000000006</c:v>
                </c:pt>
                <c:pt idx="16">
                  <c:v>53.972999999999999</c:v>
                </c:pt>
                <c:pt idx="17">
                  <c:v>2.38</c:v>
                </c:pt>
                <c:pt idx="18">
                  <c:v>37.4</c:v>
                </c:pt>
                <c:pt idx="19">
                  <c:v>20.265999999999998</c:v>
                </c:pt>
                <c:pt idx="20">
                  <c:v>133.429</c:v>
                </c:pt>
                <c:pt idx="21">
                  <c:v>97.965000000000003</c:v>
                </c:pt>
                <c:pt idx="22">
                  <c:v>29.308</c:v>
                </c:pt>
              </c:numCache>
            </c:numRef>
          </c:val>
          <c:extLst>
            <c:ext xmlns:c16="http://schemas.microsoft.com/office/drawing/2014/chart" uri="{C3380CC4-5D6E-409C-BE32-E72D297353CC}">
              <c16:uniqueId val="{0000000B-6B86-41F0-B7C0-0B82DF697635}"/>
            </c:ext>
          </c:extLst>
        </c:ser>
        <c:dLbls>
          <c:showLegendKey val="0"/>
          <c:showVal val="0"/>
          <c:showCatName val="0"/>
          <c:showSerName val="0"/>
          <c:showPercent val="0"/>
          <c:showBubbleSize val="0"/>
        </c:dLbls>
        <c:gapWidth val="46"/>
        <c:overlap val="100"/>
        <c:axId val="826587039"/>
        <c:axId val="826586079"/>
      </c:barChart>
      <c:catAx>
        <c:axId val="82658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6079"/>
        <c:crossesAt val="-10000"/>
        <c:auto val="1"/>
        <c:lblAlgn val="ctr"/>
        <c:lblOffset val="100"/>
        <c:noMultiLvlLbl val="0"/>
      </c:catAx>
      <c:valAx>
        <c:axId val="826586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7039"/>
        <c:crosses val="autoZero"/>
        <c:crossBetween val="between"/>
      </c:valAx>
      <c:spPr>
        <a:noFill/>
        <a:ln>
          <a:noFill/>
        </a:ln>
        <a:effectLst/>
      </c:spPr>
    </c:plotArea>
    <c:legend>
      <c:legendPos val="t"/>
      <c:layout>
        <c:manualLayout>
          <c:xMode val="edge"/>
          <c:yMode val="edge"/>
          <c:x val="0.11520581564090461"/>
          <c:y val="5.2058292541401076E-2"/>
          <c:w val="0.78130102313996475"/>
          <c:h val="9.5527941083064824E-2"/>
        </c:manualLayout>
      </c:layout>
      <c:overlay val="0"/>
      <c:spPr>
        <a:noFill/>
        <a:ln>
          <a:noFill/>
        </a:ln>
        <a:effectLst/>
      </c:spPr>
      <c:txPr>
        <a:bodyPr rot="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11.png"/><Relationship Id="rId3" Type="http://schemas.openxmlformats.org/officeDocument/2006/relationships/chart" Target="../charts/chart3.xml"/><Relationship Id="rId7" Type="http://schemas.openxmlformats.org/officeDocument/2006/relationships/image" Target="../media/image5.png"/><Relationship Id="rId12" Type="http://schemas.openxmlformats.org/officeDocument/2006/relationships/image" Target="../media/image10.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png"/><Relationship Id="rId11" Type="http://schemas.openxmlformats.org/officeDocument/2006/relationships/image" Target="../media/image9.png"/><Relationship Id="rId5" Type="http://schemas.openxmlformats.org/officeDocument/2006/relationships/image" Target="../media/image3.png"/><Relationship Id="rId15" Type="http://schemas.openxmlformats.org/officeDocument/2006/relationships/chart" Target="../charts/chart4.xml"/><Relationship Id="rId10" Type="http://schemas.openxmlformats.org/officeDocument/2006/relationships/image" Target="../media/image8.png"/><Relationship Id="rId4" Type="http://schemas.openxmlformats.org/officeDocument/2006/relationships/image" Target="../media/image2.png"/><Relationship Id="rId9" Type="http://schemas.openxmlformats.org/officeDocument/2006/relationships/image" Target="../media/image7.png"/><Relationship Id="rId14" Type="http://schemas.openxmlformats.org/officeDocument/2006/relationships/image" Target="../media/image1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9525</xdr:colOff>
      <xdr:row>4</xdr:row>
      <xdr:rowOff>9525</xdr:rowOff>
    </xdr:from>
    <xdr:to>
      <xdr:col>10</xdr:col>
      <xdr:colOff>680</xdr:colOff>
      <xdr:row>10</xdr:row>
      <xdr:rowOff>0</xdr:rowOff>
    </xdr:to>
    <xdr:pic>
      <xdr:nvPicPr>
        <xdr:cNvPr id="2" name="Picture 1">
          <a:extLst>
            <a:ext uri="{FF2B5EF4-FFF2-40B4-BE49-F238E27FC236}">
              <a16:creationId xmlns:a16="http://schemas.microsoft.com/office/drawing/2014/main" id="{941BD801-62BA-6478-0950-BF7801356BE9}"/>
            </a:ext>
          </a:extLst>
        </xdr:cNvPr>
        <xdr:cNvPicPr>
          <a:picLocks noChangeAspect="1"/>
        </xdr:cNvPicPr>
      </xdr:nvPicPr>
      <xdr:blipFill>
        <a:blip xmlns:r="http://schemas.openxmlformats.org/officeDocument/2006/relationships" r:embed="rId1"/>
        <a:stretch>
          <a:fillRect/>
        </a:stretch>
      </xdr:blipFill>
      <xdr:spPr>
        <a:xfrm>
          <a:off x="3943350" y="752475"/>
          <a:ext cx="1819955" cy="10858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24</xdr:col>
      <xdr:colOff>605117</xdr:colOff>
      <xdr:row>0</xdr:row>
      <xdr:rowOff>0</xdr:rowOff>
    </xdr:from>
    <xdr:to>
      <xdr:col>24</xdr:col>
      <xdr:colOff>605117</xdr:colOff>
      <xdr:row>98</xdr:row>
      <xdr:rowOff>152400</xdr:rowOff>
    </xdr:to>
    <xdr:cxnSp macro="">
      <xdr:nvCxnSpPr>
        <xdr:cNvPr id="2" name="Straight Connector 1">
          <a:extLst>
            <a:ext uri="{FF2B5EF4-FFF2-40B4-BE49-F238E27FC236}">
              <a16:creationId xmlns:a16="http://schemas.microsoft.com/office/drawing/2014/main" id="{85794716-8795-480A-991A-7B40FE24C574}"/>
            </a:ext>
          </a:extLst>
        </xdr:cNvPr>
        <xdr:cNvCxnSpPr/>
      </xdr:nvCxnSpPr>
      <xdr:spPr>
        <a:xfrm>
          <a:off x="16562293" y="0"/>
          <a:ext cx="0" cy="1792492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0</xdr:colOff>
      <xdr:row>0</xdr:row>
      <xdr:rowOff>0</xdr:rowOff>
    </xdr:from>
    <xdr:to>
      <xdr:col>43</xdr:col>
      <xdr:colOff>0</xdr:colOff>
      <xdr:row>97</xdr:row>
      <xdr:rowOff>76200</xdr:rowOff>
    </xdr:to>
    <xdr:cxnSp macro="">
      <xdr:nvCxnSpPr>
        <xdr:cNvPr id="3" name="Straight Connector 2">
          <a:extLst>
            <a:ext uri="{FF2B5EF4-FFF2-40B4-BE49-F238E27FC236}">
              <a16:creationId xmlns:a16="http://schemas.microsoft.com/office/drawing/2014/main" id="{F19C470F-3CE8-42C6-86E9-4B3844046F56}"/>
            </a:ext>
          </a:extLst>
        </xdr:cNvPr>
        <xdr:cNvCxnSpPr/>
      </xdr:nvCxnSpPr>
      <xdr:spPr>
        <a:xfrm>
          <a:off x="27632025" y="0"/>
          <a:ext cx="0" cy="175641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0</xdr:colOff>
      <xdr:row>0</xdr:row>
      <xdr:rowOff>0</xdr:rowOff>
    </xdr:from>
    <xdr:to>
      <xdr:col>43</xdr:col>
      <xdr:colOff>0</xdr:colOff>
      <xdr:row>102</xdr:row>
      <xdr:rowOff>76200</xdr:rowOff>
    </xdr:to>
    <xdr:cxnSp macro="">
      <xdr:nvCxnSpPr>
        <xdr:cNvPr id="3" name="Straight Connector 2">
          <a:extLst>
            <a:ext uri="{FF2B5EF4-FFF2-40B4-BE49-F238E27FC236}">
              <a16:creationId xmlns:a16="http://schemas.microsoft.com/office/drawing/2014/main" id="{9220196F-F999-4759-BCA1-E3DC5E22F28D}"/>
            </a:ext>
          </a:extLst>
        </xdr:cNvPr>
        <xdr:cNvCxnSpPr/>
      </xdr:nvCxnSpPr>
      <xdr:spPr>
        <a:xfrm>
          <a:off x="27632025" y="0"/>
          <a:ext cx="0" cy="175641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605117</xdr:colOff>
      <xdr:row>0</xdr:row>
      <xdr:rowOff>0</xdr:rowOff>
    </xdr:from>
    <xdr:to>
      <xdr:col>24</xdr:col>
      <xdr:colOff>605117</xdr:colOff>
      <xdr:row>98</xdr:row>
      <xdr:rowOff>152400</xdr:rowOff>
    </xdr:to>
    <xdr:cxnSp macro="">
      <xdr:nvCxnSpPr>
        <xdr:cNvPr id="4" name="Straight Connector 3">
          <a:extLst>
            <a:ext uri="{FF2B5EF4-FFF2-40B4-BE49-F238E27FC236}">
              <a16:creationId xmlns:a16="http://schemas.microsoft.com/office/drawing/2014/main" id="{5AC51E7B-931A-4E9D-844C-CF632DD9653D}"/>
            </a:ext>
          </a:extLst>
        </xdr:cNvPr>
        <xdr:cNvCxnSpPr/>
      </xdr:nvCxnSpPr>
      <xdr:spPr>
        <a:xfrm>
          <a:off x="16654742" y="0"/>
          <a:ext cx="0" cy="180594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0</xdr:colOff>
      <xdr:row>0</xdr:row>
      <xdr:rowOff>0</xdr:rowOff>
    </xdr:from>
    <xdr:to>
      <xdr:col>43</xdr:col>
      <xdr:colOff>0</xdr:colOff>
      <xdr:row>104</xdr:row>
      <xdr:rowOff>76200</xdr:rowOff>
    </xdr:to>
    <xdr:cxnSp macro="">
      <xdr:nvCxnSpPr>
        <xdr:cNvPr id="3" name="Straight Connector 2">
          <a:extLst>
            <a:ext uri="{FF2B5EF4-FFF2-40B4-BE49-F238E27FC236}">
              <a16:creationId xmlns:a16="http://schemas.microsoft.com/office/drawing/2014/main" id="{1001E5F4-1B9E-487D-83F1-747CF5EB542B}"/>
            </a:ext>
          </a:extLst>
        </xdr:cNvPr>
        <xdr:cNvCxnSpPr/>
      </xdr:nvCxnSpPr>
      <xdr:spPr>
        <a:xfrm>
          <a:off x="64208025" y="0"/>
          <a:ext cx="0" cy="235172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605117</xdr:colOff>
      <xdr:row>0</xdr:row>
      <xdr:rowOff>0</xdr:rowOff>
    </xdr:from>
    <xdr:to>
      <xdr:col>24</xdr:col>
      <xdr:colOff>605117</xdr:colOff>
      <xdr:row>98</xdr:row>
      <xdr:rowOff>152400</xdr:rowOff>
    </xdr:to>
    <xdr:cxnSp macro="">
      <xdr:nvCxnSpPr>
        <xdr:cNvPr id="4" name="Straight Connector 3">
          <a:extLst>
            <a:ext uri="{FF2B5EF4-FFF2-40B4-BE49-F238E27FC236}">
              <a16:creationId xmlns:a16="http://schemas.microsoft.com/office/drawing/2014/main" id="{663E0610-3B4C-42D5-AB13-A69CF44153C3}"/>
            </a:ext>
          </a:extLst>
        </xdr:cNvPr>
        <xdr:cNvCxnSpPr/>
      </xdr:nvCxnSpPr>
      <xdr:spPr>
        <a:xfrm>
          <a:off x="16654742" y="0"/>
          <a:ext cx="0" cy="181641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0</xdr:colOff>
      <xdr:row>165</xdr:row>
      <xdr:rowOff>0</xdr:rowOff>
    </xdr:from>
    <xdr:to>
      <xdr:col>23</xdr:col>
      <xdr:colOff>0</xdr:colOff>
      <xdr:row>193</xdr:row>
      <xdr:rowOff>0</xdr:rowOff>
    </xdr:to>
    <xdr:graphicFrame macro="">
      <xdr:nvGraphicFramePr>
        <xdr:cNvPr id="4" name="Chart 3">
          <a:extLst>
            <a:ext uri="{FF2B5EF4-FFF2-40B4-BE49-F238E27FC236}">
              <a16:creationId xmlns:a16="http://schemas.microsoft.com/office/drawing/2014/main" id="{DD74BBAA-4B76-40FC-A8E5-A62056E8DD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99</xdr:row>
      <xdr:rowOff>0</xdr:rowOff>
    </xdr:from>
    <xdr:to>
      <xdr:col>23</xdr:col>
      <xdr:colOff>0</xdr:colOff>
      <xdr:row>127</xdr:row>
      <xdr:rowOff>0</xdr:rowOff>
    </xdr:to>
    <xdr:graphicFrame macro="">
      <xdr:nvGraphicFramePr>
        <xdr:cNvPr id="7" name="Chart 6">
          <a:extLst>
            <a:ext uri="{FF2B5EF4-FFF2-40B4-BE49-F238E27FC236}">
              <a16:creationId xmlns:a16="http://schemas.microsoft.com/office/drawing/2014/main" id="{321D70E3-BDDF-4C59-8954-854A8E0409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132</xdr:row>
      <xdr:rowOff>0</xdr:rowOff>
    </xdr:from>
    <xdr:to>
      <xdr:col>23</xdr:col>
      <xdr:colOff>0</xdr:colOff>
      <xdr:row>160</xdr:row>
      <xdr:rowOff>0</xdr:rowOff>
    </xdr:to>
    <xdr:graphicFrame macro="">
      <xdr:nvGraphicFramePr>
        <xdr:cNvPr id="8" name="Chart 7">
          <a:extLst>
            <a:ext uri="{FF2B5EF4-FFF2-40B4-BE49-F238E27FC236}">
              <a16:creationId xmlns:a16="http://schemas.microsoft.com/office/drawing/2014/main" id="{9A806127-BB09-4EF2-9CB1-42CC35F1C6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2</xdr:colOff>
      <xdr:row>2</xdr:row>
      <xdr:rowOff>19049</xdr:rowOff>
    </xdr:from>
    <xdr:to>
      <xdr:col>25</xdr:col>
      <xdr:colOff>0</xdr:colOff>
      <xdr:row>26</xdr:row>
      <xdr:rowOff>0</xdr:rowOff>
    </xdr:to>
    <xdr:pic>
      <xdr:nvPicPr>
        <xdr:cNvPr id="9" name="Picture 8">
          <a:extLst>
            <a:ext uri="{FF2B5EF4-FFF2-40B4-BE49-F238E27FC236}">
              <a16:creationId xmlns:a16="http://schemas.microsoft.com/office/drawing/2014/main" id="{71FEFFC6-2FFF-4ED8-B20F-FB0ED6E951FA}"/>
            </a:ext>
          </a:extLst>
        </xdr:cNvPr>
        <xdr:cNvPicPr>
          <a:picLocks noChangeAspect="1"/>
        </xdr:cNvPicPr>
      </xdr:nvPicPr>
      <xdr:blipFill>
        <a:blip xmlns:r="http://schemas.openxmlformats.org/officeDocument/2006/relationships" r:embed="rId4"/>
        <a:stretch>
          <a:fillRect/>
        </a:stretch>
      </xdr:blipFill>
      <xdr:spPr>
        <a:xfrm>
          <a:off x="5658973" y="388843"/>
          <a:ext cx="4840939" cy="4284010"/>
        </a:xfrm>
        <a:prstGeom prst="rect">
          <a:avLst/>
        </a:prstGeom>
      </xdr:spPr>
    </xdr:pic>
    <xdr:clientData/>
  </xdr:twoCellAnchor>
  <xdr:twoCellAnchor editAs="oneCell">
    <xdr:from>
      <xdr:col>8</xdr:col>
      <xdr:colOff>9526</xdr:colOff>
      <xdr:row>2</xdr:row>
      <xdr:rowOff>9525</xdr:rowOff>
    </xdr:from>
    <xdr:to>
      <xdr:col>17</xdr:col>
      <xdr:colOff>46400</xdr:colOff>
      <xdr:row>26</xdr:row>
      <xdr:rowOff>0</xdr:rowOff>
    </xdr:to>
    <xdr:pic>
      <xdr:nvPicPr>
        <xdr:cNvPr id="10" name="Picture 9">
          <a:extLst>
            <a:ext uri="{FF2B5EF4-FFF2-40B4-BE49-F238E27FC236}">
              <a16:creationId xmlns:a16="http://schemas.microsoft.com/office/drawing/2014/main" id="{59AE5CC6-95CF-353C-38EE-3C7FE88C3F36}"/>
            </a:ext>
          </a:extLst>
        </xdr:cNvPr>
        <xdr:cNvPicPr>
          <a:picLocks noChangeAspect="1"/>
        </xdr:cNvPicPr>
      </xdr:nvPicPr>
      <xdr:blipFill>
        <a:blip xmlns:r="http://schemas.openxmlformats.org/officeDocument/2006/relationships" r:embed="rId5"/>
        <a:stretch>
          <a:fillRect/>
        </a:stretch>
      </xdr:blipFill>
      <xdr:spPr>
        <a:xfrm>
          <a:off x="219076" y="381000"/>
          <a:ext cx="5523274" cy="4333875"/>
        </a:xfrm>
        <a:prstGeom prst="rect">
          <a:avLst/>
        </a:prstGeom>
      </xdr:spPr>
    </xdr:pic>
    <xdr:clientData/>
  </xdr:twoCellAnchor>
  <xdr:twoCellAnchor editAs="oneCell">
    <xdr:from>
      <xdr:col>7</xdr:col>
      <xdr:colOff>209549</xdr:colOff>
      <xdr:row>31</xdr:row>
      <xdr:rowOff>0</xdr:rowOff>
    </xdr:from>
    <xdr:to>
      <xdr:col>18</xdr:col>
      <xdr:colOff>9524</xdr:colOff>
      <xdr:row>58</xdr:row>
      <xdr:rowOff>0</xdr:rowOff>
    </xdr:to>
    <xdr:pic>
      <xdr:nvPicPr>
        <xdr:cNvPr id="11" name="Picture 10">
          <a:extLst>
            <a:ext uri="{FF2B5EF4-FFF2-40B4-BE49-F238E27FC236}">
              <a16:creationId xmlns:a16="http://schemas.microsoft.com/office/drawing/2014/main" id="{8B460EA3-425A-D818-837D-ACD061A1F352}"/>
            </a:ext>
          </a:extLst>
        </xdr:cNvPr>
        <xdr:cNvPicPr>
          <a:picLocks noChangeAspect="1"/>
        </xdr:cNvPicPr>
      </xdr:nvPicPr>
      <xdr:blipFill>
        <a:blip xmlns:r="http://schemas.openxmlformats.org/officeDocument/2006/relationships" r:embed="rId6"/>
        <a:stretch>
          <a:fillRect/>
        </a:stretch>
      </xdr:blipFill>
      <xdr:spPr>
        <a:xfrm>
          <a:off x="209549" y="6534150"/>
          <a:ext cx="6105525" cy="4905375"/>
        </a:xfrm>
        <a:prstGeom prst="rect">
          <a:avLst/>
        </a:prstGeom>
      </xdr:spPr>
    </xdr:pic>
    <xdr:clientData/>
  </xdr:twoCellAnchor>
  <xdr:twoCellAnchor editAs="oneCell">
    <xdr:from>
      <xdr:col>29</xdr:col>
      <xdr:colOff>0</xdr:colOff>
      <xdr:row>79</xdr:row>
      <xdr:rowOff>0</xdr:rowOff>
    </xdr:from>
    <xdr:to>
      <xdr:col>41</xdr:col>
      <xdr:colOff>9525</xdr:colOff>
      <xdr:row>107</xdr:row>
      <xdr:rowOff>0</xdr:rowOff>
    </xdr:to>
    <xdr:pic>
      <xdr:nvPicPr>
        <xdr:cNvPr id="14" name="Picture 13">
          <a:extLst>
            <a:ext uri="{FF2B5EF4-FFF2-40B4-BE49-F238E27FC236}">
              <a16:creationId xmlns:a16="http://schemas.microsoft.com/office/drawing/2014/main" id="{043A86FD-96F0-4F4A-9AB3-9A4135068DDA}"/>
            </a:ext>
          </a:extLst>
        </xdr:cNvPr>
        <xdr:cNvPicPr>
          <a:picLocks noChangeAspect="1"/>
        </xdr:cNvPicPr>
      </xdr:nvPicPr>
      <xdr:blipFill>
        <a:blip xmlns:r="http://schemas.openxmlformats.org/officeDocument/2006/relationships" r:embed="rId7"/>
        <a:stretch>
          <a:fillRect/>
        </a:stretch>
      </xdr:blipFill>
      <xdr:spPr>
        <a:xfrm>
          <a:off x="12592050" y="14354175"/>
          <a:ext cx="7324725" cy="5076825"/>
        </a:xfrm>
        <a:prstGeom prst="rect">
          <a:avLst/>
        </a:prstGeom>
      </xdr:spPr>
    </xdr:pic>
    <xdr:clientData/>
  </xdr:twoCellAnchor>
  <xdr:twoCellAnchor editAs="oneCell">
    <xdr:from>
      <xdr:col>41</xdr:col>
      <xdr:colOff>1</xdr:colOff>
      <xdr:row>79</xdr:row>
      <xdr:rowOff>0</xdr:rowOff>
    </xdr:from>
    <xdr:to>
      <xdr:col>53</xdr:col>
      <xdr:colOff>1</xdr:colOff>
      <xdr:row>107</xdr:row>
      <xdr:rowOff>0</xdr:rowOff>
    </xdr:to>
    <xdr:pic>
      <xdr:nvPicPr>
        <xdr:cNvPr id="15" name="Picture 14">
          <a:extLst>
            <a:ext uri="{FF2B5EF4-FFF2-40B4-BE49-F238E27FC236}">
              <a16:creationId xmlns:a16="http://schemas.microsoft.com/office/drawing/2014/main" id="{AF17FB0D-6073-2395-320C-B1A801997F6A}"/>
            </a:ext>
          </a:extLst>
        </xdr:cNvPr>
        <xdr:cNvPicPr>
          <a:picLocks noChangeAspect="1"/>
        </xdr:cNvPicPr>
      </xdr:nvPicPr>
      <xdr:blipFill>
        <a:blip xmlns:r="http://schemas.openxmlformats.org/officeDocument/2006/relationships" r:embed="rId8"/>
        <a:stretch>
          <a:fillRect/>
        </a:stretch>
      </xdr:blipFill>
      <xdr:spPr>
        <a:xfrm>
          <a:off x="19907251" y="14354175"/>
          <a:ext cx="7315200" cy="5076825"/>
        </a:xfrm>
        <a:prstGeom prst="rect">
          <a:avLst/>
        </a:prstGeom>
      </xdr:spPr>
    </xdr:pic>
    <xdr:clientData/>
  </xdr:twoCellAnchor>
  <xdr:twoCellAnchor editAs="oneCell">
    <xdr:from>
      <xdr:col>53</xdr:col>
      <xdr:colOff>0</xdr:colOff>
      <xdr:row>79</xdr:row>
      <xdr:rowOff>0</xdr:rowOff>
    </xdr:from>
    <xdr:to>
      <xdr:col>65</xdr:col>
      <xdr:colOff>0</xdr:colOff>
      <xdr:row>107</xdr:row>
      <xdr:rowOff>0</xdr:rowOff>
    </xdr:to>
    <xdr:pic>
      <xdr:nvPicPr>
        <xdr:cNvPr id="16" name="Picture 15">
          <a:extLst>
            <a:ext uri="{FF2B5EF4-FFF2-40B4-BE49-F238E27FC236}">
              <a16:creationId xmlns:a16="http://schemas.microsoft.com/office/drawing/2014/main" id="{89539E90-B460-FBCB-E821-5ABD2A66CB3B}"/>
            </a:ext>
          </a:extLst>
        </xdr:cNvPr>
        <xdr:cNvPicPr>
          <a:picLocks noChangeAspect="1"/>
        </xdr:cNvPicPr>
      </xdr:nvPicPr>
      <xdr:blipFill>
        <a:blip xmlns:r="http://schemas.openxmlformats.org/officeDocument/2006/relationships" r:embed="rId9"/>
        <a:stretch>
          <a:fillRect/>
        </a:stretch>
      </xdr:blipFill>
      <xdr:spPr>
        <a:xfrm>
          <a:off x="27222450" y="14354175"/>
          <a:ext cx="7315200" cy="5076825"/>
        </a:xfrm>
        <a:prstGeom prst="rect">
          <a:avLst/>
        </a:prstGeom>
      </xdr:spPr>
    </xdr:pic>
    <xdr:clientData/>
  </xdr:twoCellAnchor>
  <xdr:twoCellAnchor editAs="oneCell">
    <xdr:from>
      <xdr:col>29</xdr:col>
      <xdr:colOff>0</xdr:colOff>
      <xdr:row>132</xdr:row>
      <xdr:rowOff>0</xdr:rowOff>
    </xdr:from>
    <xdr:to>
      <xdr:col>41</xdr:col>
      <xdr:colOff>4482</xdr:colOff>
      <xdr:row>160</xdr:row>
      <xdr:rowOff>0</xdr:rowOff>
    </xdr:to>
    <xdr:pic>
      <xdr:nvPicPr>
        <xdr:cNvPr id="17" name="Picture 16">
          <a:extLst>
            <a:ext uri="{FF2B5EF4-FFF2-40B4-BE49-F238E27FC236}">
              <a16:creationId xmlns:a16="http://schemas.microsoft.com/office/drawing/2014/main" id="{14C2D4C1-E586-6B64-4DDD-0EDA19B5EE6B}"/>
            </a:ext>
          </a:extLst>
        </xdr:cNvPr>
        <xdr:cNvPicPr>
          <a:picLocks noChangeAspect="1"/>
        </xdr:cNvPicPr>
      </xdr:nvPicPr>
      <xdr:blipFill>
        <a:blip xmlns:r="http://schemas.openxmlformats.org/officeDocument/2006/relationships" r:embed="rId10"/>
        <a:stretch>
          <a:fillRect/>
        </a:stretch>
      </xdr:blipFill>
      <xdr:spPr>
        <a:xfrm>
          <a:off x="12641036" y="23826107"/>
          <a:ext cx="7352339" cy="4966607"/>
        </a:xfrm>
        <a:prstGeom prst="rect">
          <a:avLst/>
        </a:prstGeom>
      </xdr:spPr>
    </xdr:pic>
    <xdr:clientData/>
  </xdr:twoCellAnchor>
  <xdr:twoCellAnchor editAs="oneCell">
    <xdr:from>
      <xdr:col>52</xdr:col>
      <xdr:colOff>590499</xdr:colOff>
      <xdr:row>132</xdr:row>
      <xdr:rowOff>0</xdr:rowOff>
    </xdr:from>
    <xdr:to>
      <xdr:col>65</xdr:col>
      <xdr:colOff>11205</xdr:colOff>
      <xdr:row>160</xdr:row>
      <xdr:rowOff>0</xdr:rowOff>
    </xdr:to>
    <xdr:pic>
      <xdr:nvPicPr>
        <xdr:cNvPr id="19" name="Picture 18">
          <a:extLst>
            <a:ext uri="{FF2B5EF4-FFF2-40B4-BE49-F238E27FC236}">
              <a16:creationId xmlns:a16="http://schemas.microsoft.com/office/drawing/2014/main" id="{0C349421-0546-AC40-5C26-91ABAD23D55D}"/>
            </a:ext>
          </a:extLst>
        </xdr:cNvPr>
        <xdr:cNvPicPr>
          <a:picLocks noChangeAspect="1"/>
        </xdr:cNvPicPr>
      </xdr:nvPicPr>
      <xdr:blipFill>
        <a:blip xmlns:r="http://schemas.openxmlformats.org/officeDocument/2006/relationships" r:embed="rId11"/>
        <a:stretch>
          <a:fillRect/>
        </a:stretch>
      </xdr:blipFill>
      <xdr:spPr>
        <a:xfrm>
          <a:off x="27013970" y="24126265"/>
          <a:ext cx="7287235" cy="5031441"/>
        </a:xfrm>
        <a:prstGeom prst="rect">
          <a:avLst/>
        </a:prstGeom>
      </xdr:spPr>
    </xdr:pic>
    <xdr:clientData/>
  </xdr:twoCellAnchor>
  <xdr:twoCellAnchor editAs="oneCell">
    <xdr:from>
      <xdr:col>65</xdr:col>
      <xdr:colOff>1</xdr:colOff>
      <xdr:row>131</xdr:row>
      <xdr:rowOff>190499</xdr:rowOff>
    </xdr:from>
    <xdr:to>
      <xdr:col>77</xdr:col>
      <xdr:colOff>11207</xdr:colOff>
      <xdr:row>160</xdr:row>
      <xdr:rowOff>2400</xdr:rowOff>
    </xdr:to>
    <xdr:pic>
      <xdr:nvPicPr>
        <xdr:cNvPr id="20" name="Picture 19">
          <a:extLst>
            <a:ext uri="{FF2B5EF4-FFF2-40B4-BE49-F238E27FC236}">
              <a16:creationId xmlns:a16="http://schemas.microsoft.com/office/drawing/2014/main" id="{32D7ABDE-D7C8-7AA1-0F6B-36838056FFFC}"/>
            </a:ext>
          </a:extLst>
        </xdr:cNvPr>
        <xdr:cNvPicPr>
          <a:picLocks noChangeAspect="1"/>
        </xdr:cNvPicPr>
      </xdr:nvPicPr>
      <xdr:blipFill>
        <a:blip xmlns:r="http://schemas.openxmlformats.org/officeDocument/2006/relationships" r:embed="rId12"/>
        <a:stretch>
          <a:fillRect/>
        </a:stretch>
      </xdr:blipFill>
      <xdr:spPr>
        <a:xfrm>
          <a:off x="34290001" y="24126264"/>
          <a:ext cx="7272618" cy="5031441"/>
        </a:xfrm>
        <a:prstGeom prst="rect">
          <a:avLst/>
        </a:prstGeom>
      </xdr:spPr>
    </xdr:pic>
    <xdr:clientData/>
  </xdr:twoCellAnchor>
  <xdr:twoCellAnchor editAs="oneCell">
    <xdr:from>
      <xdr:col>40</xdr:col>
      <xdr:colOff>608134</xdr:colOff>
      <xdr:row>132</xdr:row>
      <xdr:rowOff>7326</xdr:rowOff>
    </xdr:from>
    <xdr:to>
      <xdr:col>53</xdr:col>
      <xdr:colOff>34637</xdr:colOff>
      <xdr:row>160</xdr:row>
      <xdr:rowOff>3614</xdr:rowOff>
    </xdr:to>
    <xdr:pic>
      <xdr:nvPicPr>
        <xdr:cNvPr id="21" name="Picture 20">
          <a:extLst>
            <a:ext uri="{FF2B5EF4-FFF2-40B4-BE49-F238E27FC236}">
              <a16:creationId xmlns:a16="http://schemas.microsoft.com/office/drawing/2014/main" id="{B2D1452C-DA1A-EE96-A45E-D5727BA9683F}"/>
            </a:ext>
          </a:extLst>
        </xdr:cNvPr>
        <xdr:cNvPicPr>
          <a:picLocks noChangeAspect="1"/>
        </xdr:cNvPicPr>
      </xdr:nvPicPr>
      <xdr:blipFill>
        <a:blip xmlns:r="http://schemas.openxmlformats.org/officeDocument/2006/relationships" r:embed="rId13"/>
        <a:stretch>
          <a:fillRect/>
        </a:stretch>
      </xdr:blipFill>
      <xdr:spPr>
        <a:xfrm>
          <a:off x="19863288" y="24618461"/>
          <a:ext cx="7332253" cy="5126181"/>
        </a:xfrm>
        <a:prstGeom prst="rect">
          <a:avLst/>
        </a:prstGeom>
      </xdr:spPr>
    </xdr:pic>
    <xdr:clientData/>
  </xdr:twoCellAnchor>
  <xdr:twoCellAnchor editAs="oneCell">
    <xdr:from>
      <xdr:col>29</xdr:col>
      <xdr:colOff>0</xdr:colOff>
      <xdr:row>33</xdr:row>
      <xdr:rowOff>0</xdr:rowOff>
    </xdr:from>
    <xdr:to>
      <xdr:col>41</xdr:col>
      <xdr:colOff>11206</xdr:colOff>
      <xdr:row>61</xdr:row>
      <xdr:rowOff>11206</xdr:rowOff>
    </xdr:to>
    <xdr:pic>
      <xdr:nvPicPr>
        <xdr:cNvPr id="23" name="Picture 22">
          <a:extLst>
            <a:ext uri="{FF2B5EF4-FFF2-40B4-BE49-F238E27FC236}">
              <a16:creationId xmlns:a16="http://schemas.microsoft.com/office/drawing/2014/main" id="{A97AEA59-5931-C7FF-078C-B83F34D84F42}"/>
            </a:ext>
          </a:extLst>
        </xdr:cNvPr>
        <xdr:cNvPicPr>
          <a:picLocks noChangeAspect="1"/>
        </xdr:cNvPicPr>
      </xdr:nvPicPr>
      <xdr:blipFill>
        <a:blip xmlns:r="http://schemas.openxmlformats.org/officeDocument/2006/relationships" r:embed="rId14"/>
        <a:stretch>
          <a:fillRect/>
        </a:stretch>
      </xdr:blipFill>
      <xdr:spPr>
        <a:xfrm>
          <a:off x="12505765" y="5961529"/>
          <a:ext cx="7272617" cy="5031442"/>
        </a:xfrm>
        <a:prstGeom prst="rect">
          <a:avLst/>
        </a:prstGeom>
      </xdr:spPr>
    </xdr:pic>
    <xdr:clientData/>
  </xdr:twoCellAnchor>
  <xdr:twoCellAnchor>
    <xdr:from>
      <xdr:col>8</xdr:col>
      <xdr:colOff>0</xdr:colOff>
      <xdr:row>63</xdr:row>
      <xdr:rowOff>0</xdr:rowOff>
    </xdr:from>
    <xdr:to>
      <xdr:col>23</xdr:col>
      <xdr:colOff>0</xdr:colOff>
      <xdr:row>94</xdr:row>
      <xdr:rowOff>4083</xdr:rowOff>
    </xdr:to>
    <xdr:graphicFrame macro="">
      <xdr:nvGraphicFramePr>
        <xdr:cNvPr id="24" name="Chart 23">
          <a:extLst>
            <a:ext uri="{FF2B5EF4-FFF2-40B4-BE49-F238E27FC236}">
              <a16:creationId xmlns:a16="http://schemas.microsoft.com/office/drawing/2014/main" id="{24F74A8B-A4E3-4F36-96B0-75915CC17C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9524</xdr:colOff>
      <xdr:row>1</xdr:row>
      <xdr:rowOff>19050</xdr:rowOff>
    </xdr:from>
    <xdr:to>
      <xdr:col>11</xdr:col>
      <xdr:colOff>609599</xdr:colOff>
      <xdr:row>33</xdr:row>
      <xdr:rowOff>171450</xdr:rowOff>
    </xdr:to>
    <xdr:pic>
      <xdr:nvPicPr>
        <xdr:cNvPr id="2" name="Picture 1">
          <a:extLst>
            <a:ext uri="{FF2B5EF4-FFF2-40B4-BE49-F238E27FC236}">
              <a16:creationId xmlns:a16="http://schemas.microsoft.com/office/drawing/2014/main" id="{9617A2E3-6F4D-F784-D57F-EDC36122C6B6}"/>
            </a:ext>
          </a:extLst>
        </xdr:cNvPr>
        <xdr:cNvPicPr>
          <a:picLocks noChangeAspect="1"/>
        </xdr:cNvPicPr>
      </xdr:nvPicPr>
      <xdr:blipFill>
        <a:blip xmlns:r="http://schemas.openxmlformats.org/officeDocument/2006/relationships" r:embed="rId1"/>
        <a:stretch>
          <a:fillRect/>
        </a:stretch>
      </xdr:blipFill>
      <xdr:spPr>
        <a:xfrm>
          <a:off x="209549" y="200025"/>
          <a:ext cx="6696075" cy="59436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OneDrive\Desktop\Equity%20Research\Models\Health%20Care\MedTech\BSX_Model.xlsx" TargetMode="External"/><Relationship Id="rId1" Type="http://schemas.openxmlformats.org/officeDocument/2006/relationships/externalLinkPath" Target="file:///C:\Users\User\OneDrive\Desktop\Equity%20Research\Models\Health%20Care\MedTech\BSX_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 val="Notes | Quant Analysis"/>
      <sheetName val="Interventional Cardiology"/>
      <sheetName val="Watchman"/>
      <sheetName val="M&amp;A Scope"/>
      <sheetName val="Management"/>
      <sheetName val="Debt Schedule"/>
      <sheetName val="Clinical Trial Channel"/>
      <sheetName val="Main | Overview"/>
      <sheetName val="Markets | Product Lines"/>
    </sheetNames>
    <sheetDataSet>
      <sheetData sheetId="0">
        <row r="3">
          <cell r="C3">
            <v>98.22</v>
          </cell>
        </row>
      </sheetData>
      <sheetData sheetId="1">
        <row r="3">
          <cell r="AW3" t="str">
            <v>Q1 2020</v>
          </cell>
          <cell r="AX3" t="str">
            <v>Q2 2020</v>
          </cell>
          <cell r="AY3" t="str">
            <v>Q3 2020</v>
          </cell>
          <cell r="AZ3" t="str">
            <v>Q4 2020</v>
          </cell>
          <cell r="BA3" t="str">
            <v>Q1 2021</v>
          </cell>
          <cell r="BB3" t="str">
            <v>Q2 2021</v>
          </cell>
          <cell r="BC3" t="str">
            <v>Q3 2021</v>
          </cell>
          <cell r="BD3" t="str">
            <v>Q4 2021</v>
          </cell>
          <cell r="BE3" t="str">
            <v>Q1 2022</v>
          </cell>
          <cell r="BF3" t="str">
            <v>Q2 2022</v>
          </cell>
          <cell r="BG3" t="str">
            <v>Q3 2022</v>
          </cell>
          <cell r="BH3" t="str">
            <v>Q4 2022</v>
          </cell>
          <cell r="BI3" t="str">
            <v>Q1 2023</v>
          </cell>
          <cell r="BJ3" t="str">
            <v>Q2 2023</v>
          </cell>
          <cell r="BK3" t="str">
            <v>Q3 2023</v>
          </cell>
          <cell r="BL3" t="str">
            <v>Q4 2023</v>
          </cell>
          <cell r="BM3" t="str">
            <v>Q1 2024</v>
          </cell>
          <cell r="BN3" t="str">
            <v>Q2 2024</v>
          </cell>
          <cell r="BO3" t="str">
            <v>Q3 2024</v>
          </cell>
          <cell r="BP3" t="str">
            <v>Q4 2024</v>
          </cell>
          <cell r="BQ3" t="str">
            <v>Q1 2025</v>
          </cell>
        </row>
      </sheetData>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hyperlink" Target="https://www.gurufocus.com/term/wacc/SRPT" TargetMode="External"/><Relationship Id="rId13" Type="http://schemas.openxmlformats.org/officeDocument/2006/relationships/hyperlink" Target="https://cureduchenne.org/about/what-is-duchenne/" TargetMode="External"/><Relationship Id="rId3" Type="http://schemas.openxmlformats.org/officeDocument/2006/relationships/hyperlink" Target="https://stockanalysis.com/stocks/srpt/company/" TargetMode="External"/><Relationship Id="rId7" Type="http://schemas.openxmlformats.org/officeDocument/2006/relationships/hyperlink" Target="https://www.macrotrends.net/stocks/charts/SRPT/sarepta-therapeutics/income-statement?freq=A" TargetMode="External"/><Relationship Id="rId12" Type="http://schemas.openxmlformats.org/officeDocument/2006/relationships/hyperlink" Target="https://pharsight.greyb.com/drug/amondys-45-patent-expiration" TargetMode="External"/><Relationship Id="rId2" Type="http://schemas.openxmlformats.org/officeDocument/2006/relationships/hyperlink" Target="https://www.sarepta.com/" TargetMode="External"/><Relationship Id="rId1" Type="http://schemas.openxmlformats.org/officeDocument/2006/relationships/hyperlink" Target="https://seekingalpha.com/symbol/SRPT/sec-filings" TargetMode="External"/><Relationship Id="rId6" Type="http://schemas.openxmlformats.org/officeDocument/2006/relationships/hyperlink" Target="https://www.sec.gov/edgar/browse/?CIK=873303&amp;owner=exclude" TargetMode="External"/><Relationship Id="rId11" Type="http://schemas.openxmlformats.org/officeDocument/2006/relationships/hyperlink" Target="https://pharsight.greyb.com/drug/exondys-51-patent-expiration" TargetMode="External"/><Relationship Id="rId5" Type="http://schemas.openxmlformats.org/officeDocument/2006/relationships/hyperlink" Target="https://investorrelations.sarepta.com/" TargetMode="External"/><Relationship Id="rId15" Type="http://schemas.openxmlformats.org/officeDocument/2006/relationships/drawing" Target="../drawings/drawing1.xml"/><Relationship Id="rId10" Type="http://schemas.openxmlformats.org/officeDocument/2006/relationships/hyperlink" Target="https://pharsight.greyb.com/drug/vyondys-53-patent-expiration" TargetMode="External"/><Relationship Id="rId4" Type="http://schemas.openxmlformats.org/officeDocument/2006/relationships/hyperlink" Target="https://app.godelterminal.com/" TargetMode="External"/><Relationship Id="rId9" Type="http://schemas.openxmlformats.org/officeDocument/2006/relationships/hyperlink" Target="https://pharsight.greyb.com/drug/exondys-51-patent-expiration" TargetMode="External"/><Relationship Id="rId14" Type="http://schemas.openxmlformats.org/officeDocument/2006/relationships/hyperlink" Target="mailto:investors@sarepta.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hyperlink" Target="https://pharsight.greyb.com/company/sarepta-theraps-inc-drug-patent-portfolio"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S205"/>
  <sheetViews>
    <sheetView zoomScaleNormal="100" workbookViewId="0">
      <selection activeCell="D10" sqref="D10"/>
    </sheetView>
  </sheetViews>
  <sheetFormatPr defaultRowHeight="14.25"/>
  <cols>
    <col min="1" max="1" width="3.42578125" style="1" customWidth="1"/>
    <col min="2" max="2" width="9.140625" style="1" customWidth="1"/>
    <col min="3" max="3" width="10.5703125" style="1" customWidth="1"/>
    <col min="4" max="4" width="9.140625" style="1" customWidth="1"/>
    <col min="5" max="6" width="9.140625" style="1"/>
    <col min="7" max="8" width="9.140625" style="1" customWidth="1"/>
    <col min="9" max="16384" width="9.140625" style="1"/>
  </cols>
  <sheetData>
    <row r="2" spans="1:19" ht="15">
      <c r="A2" s="2" t="s">
        <v>118</v>
      </c>
    </row>
    <row r="4" spans="1:19" ht="15">
      <c r="B4" s="2" t="s">
        <v>119</v>
      </c>
    </row>
    <row r="5" spans="1:19">
      <c r="B5" s="1" t="s">
        <v>1515</v>
      </c>
      <c r="C5" s="86">
        <v>23.73</v>
      </c>
      <c r="D5" s="42" t="s">
        <v>1684</v>
      </c>
      <c r="E5" s="70"/>
    </row>
    <row r="6" spans="1:19">
      <c r="B6" s="1" t="s">
        <v>0</v>
      </c>
      <c r="C6" s="91">
        <v>104.78700000000001</v>
      </c>
      <c r="D6" s="78" t="s">
        <v>1685</v>
      </c>
    </row>
    <row r="7" spans="1:19">
      <c r="B7" s="1" t="s">
        <v>1516</v>
      </c>
      <c r="C7" s="87">
        <f>C5*C6</f>
        <v>2486.5955100000001</v>
      </c>
      <c r="D7" s="68"/>
    </row>
    <row r="8" spans="1:19" ht="15">
      <c r="B8" s="1" t="s">
        <v>1</v>
      </c>
      <c r="C8" s="88">
        <f>510.59+289.54+195.52</f>
        <v>995.65</v>
      </c>
      <c r="D8" s="78" t="s">
        <v>1685</v>
      </c>
      <c r="O8" s="1" t="s">
        <v>117</v>
      </c>
      <c r="R8" s="2"/>
    </row>
    <row r="9" spans="1:19">
      <c r="B9" s="1" t="s">
        <v>2</v>
      </c>
      <c r="C9" s="88">
        <f>'Bull Case (20%)'!X65</f>
        <v>1139.4580000000001</v>
      </c>
      <c r="D9" s="78" t="s">
        <v>1685</v>
      </c>
      <c r="O9" s="1" t="s">
        <v>1676</v>
      </c>
      <c r="R9" s="43" t="s">
        <v>132</v>
      </c>
    </row>
    <row r="10" spans="1:19">
      <c r="B10" s="1" t="s">
        <v>3</v>
      </c>
      <c r="C10" s="88">
        <f>C7-C8+C9</f>
        <v>2630.4035100000001</v>
      </c>
      <c r="D10" s="78"/>
      <c r="O10" s="1" t="s">
        <v>128</v>
      </c>
      <c r="R10" s="43" t="s">
        <v>130</v>
      </c>
    </row>
    <row r="11" spans="1:19">
      <c r="C11" s="54"/>
      <c r="P11" s="1" t="s">
        <v>129</v>
      </c>
      <c r="S11" s="43" t="s">
        <v>131</v>
      </c>
    </row>
    <row r="12" spans="1:19" ht="15">
      <c r="B12" s="2" t="s">
        <v>120</v>
      </c>
      <c r="O12" s="1" t="s">
        <v>111</v>
      </c>
      <c r="R12" s="43" t="s">
        <v>127</v>
      </c>
    </row>
    <row r="13" spans="1:19">
      <c r="O13" s="1" t="s">
        <v>112</v>
      </c>
      <c r="R13" s="43" t="s">
        <v>133</v>
      </c>
    </row>
    <row r="14" spans="1:19">
      <c r="B14" s="1" t="s">
        <v>1579</v>
      </c>
      <c r="H14" s="1" t="s">
        <v>153</v>
      </c>
      <c r="O14" s="1" t="s">
        <v>135</v>
      </c>
      <c r="R14" s="43" t="s">
        <v>134</v>
      </c>
    </row>
    <row r="15" spans="1:19">
      <c r="B15" s="1" t="s">
        <v>121</v>
      </c>
      <c r="H15" s="1" t="s">
        <v>114</v>
      </c>
      <c r="I15" s="1" t="s">
        <v>154</v>
      </c>
      <c r="O15" s="1" t="s">
        <v>137</v>
      </c>
      <c r="R15" s="43" t="s">
        <v>136</v>
      </c>
    </row>
    <row r="16" spans="1:19">
      <c r="B16" s="1" t="s">
        <v>122</v>
      </c>
      <c r="H16" s="1" t="s">
        <v>4</v>
      </c>
      <c r="O16" s="1" t="s">
        <v>5</v>
      </c>
      <c r="R16" s="43" t="s">
        <v>113</v>
      </c>
    </row>
    <row r="17" spans="1:19">
      <c r="B17" s="1" t="s">
        <v>123</v>
      </c>
      <c r="H17" s="1" t="s">
        <v>115</v>
      </c>
      <c r="O17" s="1" t="s">
        <v>1463</v>
      </c>
      <c r="R17" s="43" t="s">
        <v>1462</v>
      </c>
    </row>
    <row r="18" spans="1:19">
      <c r="B18" s="1" t="s">
        <v>124</v>
      </c>
      <c r="H18" s="1" t="s">
        <v>108</v>
      </c>
      <c r="I18" s="1" t="s">
        <v>152</v>
      </c>
      <c r="K18" s="1" t="s">
        <v>109</v>
      </c>
      <c r="L18" s="43" t="s">
        <v>1578</v>
      </c>
      <c r="P18" s="1" t="s">
        <v>1508</v>
      </c>
      <c r="S18" s="43" t="s">
        <v>1509</v>
      </c>
    </row>
    <row r="19" spans="1:19">
      <c r="B19" s="1" t="s">
        <v>125</v>
      </c>
      <c r="P19" s="1" t="s">
        <v>1507</v>
      </c>
      <c r="S19" s="43" t="s">
        <v>1511</v>
      </c>
    </row>
    <row r="20" spans="1:19">
      <c r="B20" s="1" t="s">
        <v>126</v>
      </c>
      <c r="P20" s="1" t="s">
        <v>1510</v>
      </c>
      <c r="S20" s="43" t="s">
        <v>1462</v>
      </c>
    </row>
    <row r="21" spans="1:19">
      <c r="B21" s="1" t="s">
        <v>155</v>
      </c>
      <c r="O21" s="1" t="s">
        <v>1512</v>
      </c>
      <c r="R21" s="43" t="s">
        <v>1497</v>
      </c>
    </row>
    <row r="23" spans="1:19" ht="15">
      <c r="A23" s="2" t="s">
        <v>6</v>
      </c>
    </row>
    <row r="24" spans="1:19">
      <c r="B24" s="1" t="s">
        <v>138</v>
      </c>
    </row>
    <row r="25" spans="1:19" ht="15">
      <c r="C25" s="1" t="s">
        <v>147</v>
      </c>
    </row>
    <row r="26" spans="1:19" ht="15">
      <c r="C26" s="1" t="s">
        <v>146</v>
      </c>
    </row>
    <row r="27" spans="1:19" ht="15">
      <c r="C27" s="1" t="s">
        <v>145</v>
      </c>
    </row>
    <row r="28" spans="1:19" ht="15">
      <c r="C28" s="1" t="s">
        <v>144</v>
      </c>
    </row>
    <row r="29" spans="1:19" ht="15">
      <c r="C29" s="1" t="s">
        <v>1627</v>
      </c>
    </row>
    <row r="30" spans="1:19">
      <c r="B30" s="1" t="s">
        <v>139</v>
      </c>
    </row>
    <row r="31" spans="1:19" ht="15">
      <c r="C31" s="1" t="s">
        <v>143</v>
      </c>
    </row>
    <row r="32" spans="1:19" ht="15">
      <c r="C32" s="1" t="s">
        <v>1628</v>
      </c>
    </row>
    <row r="33" spans="2:4">
      <c r="C33" s="1" t="s">
        <v>140</v>
      </c>
    </row>
    <row r="34" spans="2:4">
      <c r="C34" s="1" t="s">
        <v>141</v>
      </c>
    </row>
    <row r="35" spans="2:4">
      <c r="C35" s="1" t="s">
        <v>142</v>
      </c>
    </row>
    <row r="36" spans="2:4">
      <c r="C36" s="1" t="s">
        <v>148</v>
      </c>
    </row>
    <row r="37" spans="2:4">
      <c r="C37" s="1" t="s">
        <v>149</v>
      </c>
    </row>
    <row r="38" spans="2:4">
      <c r="C38" s="1" t="s">
        <v>150</v>
      </c>
    </row>
    <row r="39" spans="2:4">
      <c r="C39" s="1" t="s">
        <v>151</v>
      </c>
    </row>
    <row r="40" spans="2:4">
      <c r="B40" s="1" t="s">
        <v>1491</v>
      </c>
    </row>
    <row r="41" spans="2:4">
      <c r="B41" s="1" t="s">
        <v>1490</v>
      </c>
    </row>
    <row r="42" spans="2:4">
      <c r="C42" s="1" t="s">
        <v>1492</v>
      </c>
    </row>
    <row r="43" spans="2:4">
      <c r="C43" s="1" t="s">
        <v>1493</v>
      </c>
    </row>
    <row r="44" spans="2:4">
      <c r="C44" s="1" t="s">
        <v>1494</v>
      </c>
    </row>
    <row r="45" spans="2:4">
      <c r="C45" s="1" t="s">
        <v>1495</v>
      </c>
    </row>
    <row r="46" spans="2:4">
      <c r="C46" s="1" t="s">
        <v>1496</v>
      </c>
    </row>
    <row r="47" spans="2:4">
      <c r="B47" s="1" t="s">
        <v>1502</v>
      </c>
    </row>
    <row r="48" spans="2:4">
      <c r="B48" s="1" t="s">
        <v>1498</v>
      </c>
      <c r="D48" s="43"/>
    </row>
    <row r="49" spans="1:17">
      <c r="B49" s="1" t="s">
        <v>1614</v>
      </c>
      <c r="D49" s="43"/>
    </row>
    <row r="51" spans="1:17" ht="15">
      <c r="G51" s="1" t="s">
        <v>1610</v>
      </c>
      <c r="I51" s="71" t="s">
        <v>1604</v>
      </c>
      <c r="J51" s="71"/>
      <c r="K51" s="71"/>
      <c r="L51" s="71"/>
      <c r="M51" s="71" t="s">
        <v>1608</v>
      </c>
      <c r="N51" s="71"/>
      <c r="O51" s="71"/>
      <c r="P51" s="71"/>
      <c r="Q51" s="71" t="s">
        <v>1609</v>
      </c>
    </row>
    <row r="52" spans="1:17">
      <c r="B52" s="1" t="s">
        <v>1499</v>
      </c>
      <c r="D52" s="67">
        <v>15000</v>
      </c>
      <c r="E52" s="1" t="s">
        <v>1501</v>
      </c>
      <c r="I52" s="1" t="s">
        <v>1611</v>
      </c>
      <c r="M52" s="67" t="s">
        <v>1617</v>
      </c>
      <c r="Q52" s="67" t="s">
        <v>1618</v>
      </c>
    </row>
    <row r="53" spans="1:17">
      <c r="B53" s="1" t="s">
        <v>1500</v>
      </c>
      <c r="D53" s="67">
        <v>300000</v>
      </c>
      <c r="E53" s="1" t="s">
        <v>1501</v>
      </c>
      <c r="I53" s="1" t="s">
        <v>1681</v>
      </c>
      <c r="M53" s="1" t="s">
        <v>1682</v>
      </c>
      <c r="Q53" s="1" t="s">
        <v>1683</v>
      </c>
    </row>
    <row r="54" spans="1:17">
      <c r="B54" s="1" t="s">
        <v>1616</v>
      </c>
      <c r="D54" s="67"/>
    </row>
    <row r="55" spans="1:17">
      <c r="D55" s="67"/>
    </row>
    <row r="56" spans="1:17" ht="15">
      <c r="A56" s="2" t="s">
        <v>1530</v>
      </c>
    </row>
    <row r="57" spans="1:17" ht="15">
      <c r="B57" s="2" t="s">
        <v>1560</v>
      </c>
    </row>
    <row r="58" spans="1:17">
      <c r="B58" s="1" t="s">
        <v>1531</v>
      </c>
    </row>
    <row r="59" spans="1:17">
      <c r="C59" s="1" t="s">
        <v>1532</v>
      </c>
    </row>
    <row r="60" spans="1:17">
      <c r="C60" s="1" t="s">
        <v>1533</v>
      </c>
    </row>
    <row r="61" spans="1:17">
      <c r="B61" s="1" t="s">
        <v>1446</v>
      </c>
    </row>
    <row r="62" spans="1:17">
      <c r="C62" s="1" t="s">
        <v>1447</v>
      </c>
    </row>
    <row r="63" spans="1:17">
      <c r="B63" s="1" t="s">
        <v>1528</v>
      </c>
      <c r="G63" s="1" t="s">
        <v>1513</v>
      </c>
      <c r="K63" s="1" t="s">
        <v>1448</v>
      </c>
      <c r="N63" s="1" t="s">
        <v>1452</v>
      </c>
    </row>
    <row r="64" spans="1:17" ht="15">
      <c r="C64" s="2" t="s">
        <v>1458</v>
      </c>
      <c r="H64" s="53" t="s">
        <v>1514</v>
      </c>
      <c r="K64" s="1" t="s">
        <v>1449</v>
      </c>
      <c r="N64" s="1" t="s">
        <v>1453</v>
      </c>
    </row>
    <row r="65" spans="2:14" ht="15">
      <c r="C65" s="2" t="s">
        <v>1457</v>
      </c>
      <c r="H65" s="53" t="s">
        <v>1464</v>
      </c>
      <c r="J65"/>
      <c r="K65" s="1" t="s">
        <v>1450</v>
      </c>
      <c r="N65" s="1" t="s">
        <v>1454</v>
      </c>
    </row>
    <row r="66" spans="2:14" ht="15">
      <c r="C66" s="2" t="s">
        <v>1456</v>
      </c>
      <c r="H66" s="53" t="s">
        <v>1460</v>
      </c>
      <c r="J66"/>
      <c r="K66" s="1" t="s">
        <v>1451</v>
      </c>
      <c r="N66" s="1" t="s">
        <v>1455</v>
      </c>
    </row>
    <row r="67" spans="2:14">
      <c r="B67" s="1" t="s">
        <v>1461</v>
      </c>
    </row>
    <row r="68" spans="2:14">
      <c r="C68" s="1" t="s">
        <v>1465</v>
      </c>
    </row>
    <row r="69" spans="2:14" ht="15">
      <c r="C69" s="2" t="s">
        <v>1458</v>
      </c>
      <c r="F69" s="1" t="s">
        <v>1466</v>
      </c>
    </row>
    <row r="70" spans="2:14" ht="15">
      <c r="C70" s="2" t="s">
        <v>1457</v>
      </c>
      <c r="F70" s="1" t="s">
        <v>1467</v>
      </c>
    </row>
    <row r="71" spans="2:14" ht="15">
      <c r="C71" s="2" t="s">
        <v>1456</v>
      </c>
      <c r="F71" s="1" t="s">
        <v>1468</v>
      </c>
    </row>
    <row r="72" spans="2:14">
      <c r="B72" s="1" t="s">
        <v>1506</v>
      </c>
    </row>
    <row r="73" spans="2:14">
      <c r="C73" s="1" t="s">
        <v>1534</v>
      </c>
    </row>
    <row r="74" spans="2:14">
      <c r="B74" s="1" t="s">
        <v>1535</v>
      </c>
    </row>
    <row r="75" spans="2:14">
      <c r="B75" s="1" t="s">
        <v>1554</v>
      </c>
    </row>
    <row r="76" spans="2:14" ht="15">
      <c r="C76" s="2" t="s">
        <v>1458</v>
      </c>
      <c r="F76" s="1" t="s">
        <v>1555</v>
      </c>
    </row>
    <row r="77" spans="2:14" ht="15">
      <c r="C77" s="2" t="s">
        <v>1457</v>
      </c>
      <c r="F77" s="1" t="s">
        <v>1556</v>
      </c>
    </row>
    <row r="78" spans="2:14" ht="15">
      <c r="C78" s="2" t="s">
        <v>1456</v>
      </c>
      <c r="F78" s="1" t="s">
        <v>1557</v>
      </c>
    </row>
    <row r="79" spans="2:14" ht="15">
      <c r="C79" s="1" t="s">
        <v>1605</v>
      </c>
    </row>
    <row r="80" spans="2:14">
      <c r="D80" s="1" t="s">
        <v>1558</v>
      </c>
    </row>
    <row r="81" spans="2:4">
      <c r="D81" s="1" t="s">
        <v>1559</v>
      </c>
    </row>
    <row r="82" spans="2:4">
      <c r="B82" s="1" t="s">
        <v>1536</v>
      </c>
    </row>
    <row r="83" spans="2:4">
      <c r="C83" s="1" t="s">
        <v>1537</v>
      </c>
    </row>
    <row r="84" spans="2:4">
      <c r="D84" s="1" t="s">
        <v>1538</v>
      </c>
    </row>
    <row r="85" spans="2:4">
      <c r="D85" s="1" t="s">
        <v>1539</v>
      </c>
    </row>
    <row r="86" spans="2:4">
      <c r="D86" s="1" t="s">
        <v>1540</v>
      </c>
    </row>
    <row r="87" spans="2:4">
      <c r="C87" s="1" t="s">
        <v>1541</v>
      </c>
    </row>
    <row r="88" spans="2:4">
      <c r="D88" s="1" t="s">
        <v>1542</v>
      </c>
    </row>
    <row r="89" spans="2:4">
      <c r="D89" s="1" t="s">
        <v>1543</v>
      </c>
    </row>
    <row r="90" spans="2:4">
      <c r="D90" s="1" t="s">
        <v>1544</v>
      </c>
    </row>
    <row r="91" spans="2:4">
      <c r="B91" s="1" t="s">
        <v>1545</v>
      </c>
    </row>
    <row r="92" spans="2:4">
      <c r="C92" s="1" t="s">
        <v>1546</v>
      </c>
    </row>
    <row r="93" spans="2:4">
      <c r="D93" s="1" t="s">
        <v>1547</v>
      </c>
    </row>
    <row r="94" spans="2:4">
      <c r="C94" s="1" t="s">
        <v>1549</v>
      </c>
    </row>
    <row r="95" spans="2:4">
      <c r="D95" s="1" t="s">
        <v>1551</v>
      </c>
    </row>
    <row r="96" spans="2:4">
      <c r="C96" s="1" t="s">
        <v>1548</v>
      </c>
    </row>
    <row r="97" spans="2:14">
      <c r="D97" s="1" t="s">
        <v>1550</v>
      </c>
    </row>
    <row r="98" spans="2:14">
      <c r="C98" s="1" t="s">
        <v>1552</v>
      </c>
    </row>
    <row r="99" spans="2:14">
      <c r="D99" s="1" t="s">
        <v>1553</v>
      </c>
    </row>
    <row r="101" spans="2:14" ht="15">
      <c r="B101" s="2" t="s">
        <v>1561</v>
      </c>
      <c r="D101" s="1" t="s">
        <v>1630</v>
      </c>
      <c r="H101" s="2" t="s">
        <v>1577</v>
      </c>
      <c r="N101" s="2" t="s">
        <v>1615</v>
      </c>
    </row>
    <row r="102" spans="2:14">
      <c r="B102" s="1" t="s">
        <v>1641</v>
      </c>
    </row>
    <row r="103" spans="2:14">
      <c r="C103" s="1" t="s">
        <v>1562</v>
      </c>
    </row>
    <row r="104" spans="2:14">
      <c r="C104" s="1" t="s">
        <v>1563</v>
      </c>
    </row>
    <row r="105" spans="2:14">
      <c r="B105" s="1" t="s">
        <v>1564</v>
      </c>
    </row>
    <row r="106" spans="2:14">
      <c r="C106" s="1" t="s">
        <v>1565</v>
      </c>
    </row>
    <row r="107" spans="2:14">
      <c r="C107" s="1" t="s">
        <v>1566</v>
      </c>
    </row>
    <row r="108" spans="2:14">
      <c r="C108" s="1" t="s">
        <v>1567</v>
      </c>
    </row>
    <row r="109" spans="2:14">
      <c r="B109" s="1" t="s">
        <v>1568</v>
      </c>
    </row>
    <row r="110" spans="2:14">
      <c r="C110" s="1" t="s">
        <v>1569</v>
      </c>
    </row>
    <row r="111" spans="2:14">
      <c r="C111" s="1" t="s">
        <v>1570</v>
      </c>
    </row>
    <row r="112" spans="2:14">
      <c r="C112" s="1" t="s">
        <v>1571</v>
      </c>
    </row>
    <row r="113" spans="2:5" ht="15">
      <c r="B113" s="2" t="s">
        <v>1572</v>
      </c>
    </row>
    <row r="114" spans="2:5">
      <c r="C114" s="1" t="s">
        <v>1573</v>
      </c>
    </row>
    <row r="115" spans="2:5">
      <c r="C115" s="1" t="s">
        <v>1574</v>
      </c>
    </row>
    <row r="116" spans="2:5">
      <c r="C116" s="1" t="s">
        <v>1575</v>
      </c>
    </row>
    <row r="117" spans="2:5">
      <c r="B117" s="1" t="s">
        <v>1612</v>
      </c>
    </row>
    <row r="118" spans="2:5">
      <c r="C118" s="1" t="s">
        <v>1613</v>
      </c>
    </row>
    <row r="119" spans="2:5" ht="15">
      <c r="B119" s="2" t="s">
        <v>1642</v>
      </c>
    </row>
    <row r="120" spans="2:5">
      <c r="C120" s="1" t="s">
        <v>1643</v>
      </c>
    </row>
    <row r="121" spans="2:5">
      <c r="D121" s="1" t="s">
        <v>1644</v>
      </c>
    </row>
    <row r="122" spans="2:5">
      <c r="D122" s="1" t="s">
        <v>1645</v>
      </c>
    </row>
    <row r="123" spans="2:5">
      <c r="D123" s="1" t="s">
        <v>1646</v>
      </c>
    </row>
    <row r="124" spans="2:5">
      <c r="E124" s="1" t="s">
        <v>1647</v>
      </c>
    </row>
    <row r="125" spans="2:5">
      <c r="D125" s="1" t="s">
        <v>1648</v>
      </c>
    </row>
    <row r="126" spans="2:5">
      <c r="E126" s="1" t="s">
        <v>1649</v>
      </c>
    </row>
    <row r="127" spans="2:5">
      <c r="C127" s="1" t="s">
        <v>1650</v>
      </c>
    </row>
    <row r="128" spans="2:5">
      <c r="D128" s="1" t="s">
        <v>1651</v>
      </c>
    </row>
    <row r="129" spans="3:6">
      <c r="D129" s="1" t="s">
        <v>1652</v>
      </c>
    </row>
    <row r="130" spans="3:6">
      <c r="D130" s="1" t="s">
        <v>1653</v>
      </c>
    </row>
    <row r="131" spans="3:6">
      <c r="E131" s="1" t="s">
        <v>1654</v>
      </c>
    </row>
    <row r="132" spans="3:6">
      <c r="E132" s="1" t="s">
        <v>1655</v>
      </c>
    </row>
    <row r="133" spans="3:6">
      <c r="C133" s="1" t="s">
        <v>1656</v>
      </c>
    </row>
    <row r="134" spans="3:6">
      <c r="D134" s="1" t="s">
        <v>1657</v>
      </c>
    </row>
    <row r="135" spans="3:6">
      <c r="D135" s="1" t="s">
        <v>1658</v>
      </c>
    </row>
    <row r="136" spans="3:6">
      <c r="D136" s="1" t="s">
        <v>1659</v>
      </c>
    </row>
    <row r="137" spans="3:6">
      <c r="E137" s="1" t="s">
        <v>1660</v>
      </c>
    </row>
    <row r="138" spans="3:6">
      <c r="E138" s="1" t="s">
        <v>1661</v>
      </c>
    </row>
    <row r="139" spans="3:6">
      <c r="C139" s="1" t="s">
        <v>1662</v>
      </c>
    </row>
    <row r="140" spans="3:6">
      <c r="D140" s="1" t="s">
        <v>1663</v>
      </c>
    </row>
    <row r="141" spans="3:6">
      <c r="D141" s="1" t="s">
        <v>1664</v>
      </c>
    </row>
    <row r="142" spans="3:6">
      <c r="E142" s="1" t="s">
        <v>1665</v>
      </c>
    </row>
    <row r="143" spans="3:6">
      <c r="E143" s="1" t="s">
        <v>1666</v>
      </c>
    </row>
    <row r="144" spans="3:6">
      <c r="F144" s="1" t="s">
        <v>1667</v>
      </c>
    </row>
    <row r="145" spans="2:5">
      <c r="C145" s="1" t="s">
        <v>1668</v>
      </c>
    </row>
    <row r="146" spans="2:5">
      <c r="D146" s="1" t="s">
        <v>1669</v>
      </c>
    </row>
    <row r="147" spans="2:5">
      <c r="E147" s="1" t="s">
        <v>1670</v>
      </c>
    </row>
    <row r="148" spans="2:5">
      <c r="D148" s="1" t="s">
        <v>1671</v>
      </c>
    </row>
    <row r="149" spans="2:5">
      <c r="D149" s="1" t="s">
        <v>1672</v>
      </c>
    </row>
    <row r="150" spans="2:5">
      <c r="C150" s="1" t="s">
        <v>1673</v>
      </c>
    </row>
    <row r="151" spans="2:5">
      <c r="B151" s="1" t="s">
        <v>1576</v>
      </c>
    </row>
    <row r="152" spans="2:5">
      <c r="C152" s="1" t="s">
        <v>1526</v>
      </c>
    </row>
    <row r="153" spans="2:5">
      <c r="C153" s="1" t="s">
        <v>1527</v>
      </c>
    </row>
    <row r="154" spans="2:5">
      <c r="B154" s="1" t="s">
        <v>1484</v>
      </c>
    </row>
    <row r="155" spans="2:5">
      <c r="B155" s="1" t="s">
        <v>1485</v>
      </c>
    </row>
    <row r="156" spans="2:5">
      <c r="C156" s="1" t="s">
        <v>1486</v>
      </c>
    </row>
    <row r="157" spans="2:5">
      <c r="C157" s="1" t="s">
        <v>1487</v>
      </c>
    </row>
    <row r="158" spans="2:5">
      <c r="C158" s="1" t="s">
        <v>1488</v>
      </c>
    </row>
    <row r="159" spans="2:5">
      <c r="B159" s="1" t="s">
        <v>1489</v>
      </c>
    </row>
    <row r="160" spans="2:5">
      <c r="C160" s="1" t="s">
        <v>1503</v>
      </c>
    </row>
    <row r="161" spans="1:4">
      <c r="C161" s="1" t="s">
        <v>1504</v>
      </c>
    </row>
    <row r="162" spans="1:4">
      <c r="C162" s="1" t="s">
        <v>1505</v>
      </c>
    </row>
    <row r="163" spans="1:4">
      <c r="B163" s="1" t="s">
        <v>1517</v>
      </c>
    </row>
    <row r="164" spans="1:4">
      <c r="C164" s="1" t="s">
        <v>1518</v>
      </c>
    </row>
    <row r="165" spans="1:4">
      <c r="D165" s="1" t="s">
        <v>1519</v>
      </c>
    </row>
    <row r="166" spans="1:4">
      <c r="C166" s="1" t="s">
        <v>1520</v>
      </c>
    </row>
    <row r="167" spans="1:4">
      <c r="D167" s="68" t="s">
        <v>1521</v>
      </c>
    </row>
    <row r="168" spans="1:4">
      <c r="C168" s="1" t="s">
        <v>1522</v>
      </c>
    </row>
    <row r="169" spans="1:4">
      <c r="D169" s="1" t="s">
        <v>1523</v>
      </c>
    </row>
    <row r="170" spans="1:4">
      <c r="C170" s="1" t="s">
        <v>1524</v>
      </c>
    </row>
    <row r="171" spans="1:4">
      <c r="D171" s="1" t="s">
        <v>1525</v>
      </c>
    </row>
    <row r="172" spans="1:4">
      <c r="C172" s="1" t="s">
        <v>1529</v>
      </c>
    </row>
    <row r="174" spans="1:4" ht="15">
      <c r="A174" s="2" t="s">
        <v>1580</v>
      </c>
    </row>
    <row r="175" spans="1:4">
      <c r="A175" s="29" t="s">
        <v>1626</v>
      </c>
      <c r="B175" s="1" t="s">
        <v>1581</v>
      </c>
    </row>
    <row r="176" spans="1:4">
      <c r="A176" s="29" t="s">
        <v>1626</v>
      </c>
      <c r="B176" s="1" t="s">
        <v>1582</v>
      </c>
    </row>
    <row r="177" spans="1:3">
      <c r="A177" s="29" t="s">
        <v>1626</v>
      </c>
      <c r="B177" s="1" t="s">
        <v>1602</v>
      </c>
    </row>
    <row r="178" spans="1:3">
      <c r="A178" s="29" t="s">
        <v>1626</v>
      </c>
      <c r="B178" s="1" t="s">
        <v>1601</v>
      </c>
    </row>
    <row r="179" spans="1:3">
      <c r="A179" s="29" t="s">
        <v>1626</v>
      </c>
      <c r="B179" s="1" t="s">
        <v>1600</v>
      </c>
    </row>
    <row r="180" spans="1:3">
      <c r="A180" s="29" t="s">
        <v>1626</v>
      </c>
      <c r="B180" s="1" t="s">
        <v>1583</v>
      </c>
    </row>
    <row r="181" spans="1:3">
      <c r="A181" s="29" t="s">
        <v>1626</v>
      </c>
      <c r="B181" s="1" t="s">
        <v>1599</v>
      </c>
    </row>
    <row r="182" spans="1:3">
      <c r="A182" s="29" t="s">
        <v>1626</v>
      </c>
      <c r="B182" s="1" t="s">
        <v>1597</v>
      </c>
    </row>
    <row r="183" spans="1:3">
      <c r="C183" s="1" t="s">
        <v>1598</v>
      </c>
    </row>
    <row r="184" spans="1:3">
      <c r="A184" s="29" t="s">
        <v>1626</v>
      </c>
      <c r="B184" s="1" t="s">
        <v>1603</v>
      </c>
    </row>
    <row r="185" spans="1:3">
      <c r="A185" s="29" t="s">
        <v>1626</v>
      </c>
      <c r="B185" s="1" t="s">
        <v>1584</v>
      </c>
    </row>
    <row r="186" spans="1:3">
      <c r="A186" s="29" t="s">
        <v>1626</v>
      </c>
      <c r="B186" s="1" t="s">
        <v>1585</v>
      </c>
    </row>
    <row r="187" spans="1:3">
      <c r="A187" s="29" t="s">
        <v>1626</v>
      </c>
      <c r="B187" s="1" t="s">
        <v>1586</v>
      </c>
    </row>
    <row r="188" spans="1:3">
      <c r="A188" s="29" t="s">
        <v>1626</v>
      </c>
      <c r="B188" s="1" t="s">
        <v>1587</v>
      </c>
    </row>
    <row r="189" spans="1:3">
      <c r="A189" s="29" t="s">
        <v>1626</v>
      </c>
      <c r="B189" s="1" t="s">
        <v>1588</v>
      </c>
    </row>
    <row r="190" spans="1:3">
      <c r="A190" s="29" t="s">
        <v>1626</v>
      </c>
      <c r="B190" s="1" t="s">
        <v>1589</v>
      </c>
    </row>
    <row r="191" spans="1:3">
      <c r="A191" s="29" t="s">
        <v>1626</v>
      </c>
      <c r="B191" s="1" t="s">
        <v>1606</v>
      </c>
    </row>
    <row r="192" spans="1:3">
      <c r="C192" s="1" t="s">
        <v>1607</v>
      </c>
    </row>
    <row r="193" spans="1:3">
      <c r="A193" s="29" t="s">
        <v>1626</v>
      </c>
      <c r="B193" s="1" t="s">
        <v>1619</v>
      </c>
    </row>
    <row r="194" spans="1:3">
      <c r="C194" s="1" t="s">
        <v>1620</v>
      </c>
    </row>
    <row r="195" spans="1:3">
      <c r="A195" s="29" t="s">
        <v>1626</v>
      </c>
      <c r="B195" s="1" t="s">
        <v>1590</v>
      </c>
    </row>
    <row r="196" spans="1:3">
      <c r="A196" s="29" t="s">
        <v>1626</v>
      </c>
      <c r="B196" s="1" t="s">
        <v>1591</v>
      </c>
    </row>
    <row r="197" spans="1:3">
      <c r="A197" s="29" t="s">
        <v>1626</v>
      </c>
      <c r="B197" s="1" t="s">
        <v>1621</v>
      </c>
    </row>
    <row r="198" spans="1:3">
      <c r="C198" s="1" t="s">
        <v>1622</v>
      </c>
    </row>
    <row r="199" spans="1:3">
      <c r="A199" s="29" t="s">
        <v>1626</v>
      </c>
      <c r="B199" s="1" t="s">
        <v>1623</v>
      </c>
    </row>
    <row r="200" spans="1:3">
      <c r="C200" s="1" t="s">
        <v>1624</v>
      </c>
    </row>
    <row r="201" spans="1:3">
      <c r="A201" s="29" t="s">
        <v>1626</v>
      </c>
      <c r="B201" s="1" t="s">
        <v>1592</v>
      </c>
    </row>
    <row r="202" spans="1:3">
      <c r="A202" s="29" t="s">
        <v>1626</v>
      </c>
      <c r="B202" s="1" t="s">
        <v>1593</v>
      </c>
    </row>
    <row r="203" spans="1:3">
      <c r="A203" s="29" t="s">
        <v>1626</v>
      </c>
      <c r="B203" s="1" t="s">
        <v>1594</v>
      </c>
    </row>
    <row r="204" spans="1:3">
      <c r="A204" s="29" t="s">
        <v>1626</v>
      </c>
      <c r="B204" s="1" t="s">
        <v>1595</v>
      </c>
    </row>
    <row r="205" spans="1:3">
      <c r="A205" s="29" t="s">
        <v>1626</v>
      </c>
      <c r="B205" s="1" t="s">
        <v>1596</v>
      </c>
    </row>
  </sheetData>
  <hyperlinks>
    <hyperlink ref="R12" r:id="rId1" xr:uid="{739BC0F6-DDEA-409E-BAA0-CED0EC3FAC10}"/>
    <hyperlink ref="R10" r:id="rId2" xr:uid="{3A32E811-E794-46FB-A010-EBB0450F323B}"/>
    <hyperlink ref="R13" r:id="rId3" xr:uid="{02ECFE4E-0865-458E-9F04-951EDF61DD89}"/>
    <hyperlink ref="R16" r:id="rId4" xr:uid="{14375537-5C3D-4253-9650-337AB6789785}"/>
    <hyperlink ref="S11" r:id="rId5" xr:uid="{CDCA4465-F30D-4A96-800A-BBEF39A3C0AD}"/>
    <hyperlink ref="R9" r:id="rId6" xr:uid="{638D98F0-0B48-4F7C-AA5D-D6726CD3117F}"/>
    <hyperlink ref="R14" r:id="rId7" xr:uid="{20AA8BF8-ECEC-4F37-A5F1-EEDEC80E6CBA}"/>
    <hyperlink ref="R15" r:id="rId8" xr:uid="{521F1DCF-8008-4425-9A68-6A1A63AB2CCA}"/>
    <hyperlink ref="R17" r:id="rId9" xr:uid="{0B0360B4-ACE1-41C9-9BAE-89C95FED3F1B}"/>
    <hyperlink ref="S18" r:id="rId10" xr:uid="{369CC5A2-9D12-47A1-AC9F-940205648484}"/>
    <hyperlink ref="S20" r:id="rId11" xr:uid="{99D00523-18A0-4036-BA4A-7CDD054C5ACB}"/>
    <hyperlink ref="S19" r:id="rId12" xr:uid="{33BB8D71-57D4-482B-9ED2-BC854EFAC0EF}"/>
    <hyperlink ref="R21" r:id="rId13" xr:uid="{34AC2520-4514-4378-BB87-9224C4F42F00}"/>
    <hyperlink ref="L18" r:id="rId14" xr:uid="{B9ECCCBE-413D-4930-B9FF-6548C6E1AF49}"/>
  </hyperlinks>
  <pageMargins left="0.7" right="0.7" top="0.75" bottom="0.75" header="0.3" footer="0.3"/>
  <drawing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72C8C-2BB7-4E98-A669-491DA25DDF3C}">
  <sheetPr>
    <tabColor rgb="FF92D050"/>
  </sheetPr>
  <dimension ref="B1:DB89"/>
  <sheetViews>
    <sheetView zoomScale="85" zoomScaleNormal="85" workbookViewId="0">
      <pane xSplit="2" ySplit="3" topLeftCell="AK27" activePane="bottomRight" state="frozen"/>
      <selection pane="topRight" activeCell="C1" sqref="C1"/>
      <selection pane="bottomLeft" activeCell="A4" sqref="A4"/>
      <selection pane="bottomRight" activeCell="BE71" sqref="BE71"/>
    </sheetView>
  </sheetViews>
  <sheetFormatPr defaultRowHeight="14.25"/>
  <cols>
    <col min="1" max="1" width="3.140625" style="1" customWidth="1"/>
    <col min="2" max="2" width="36.42578125" style="1" customWidth="1"/>
    <col min="3" max="25" width="9.140625" style="1"/>
    <col min="26" max="30" width="9.140625" style="35"/>
    <col min="31" max="43" width="9.140625" style="1"/>
    <col min="44" max="57" width="9.140625" style="35"/>
    <col min="58" max="58" width="8.85546875" style="35" customWidth="1"/>
    <col min="59" max="98" width="9.140625" style="35"/>
    <col min="99" max="104" width="9.140625" style="57"/>
    <col min="105" max="16384" width="9.140625" style="1"/>
  </cols>
  <sheetData>
    <row r="1" spans="2:106" ht="15">
      <c r="C1" s="33" t="s">
        <v>41</v>
      </c>
      <c r="G1" s="33" t="s">
        <v>45</v>
      </c>
      <c r="K1" s="33" t="s">
        <v>49</v>
      </c>
      <c r="O1" s="33" t="s">
        <v>53</v>
      </c>
      <c r="S1" s="33" t="s">
        <v>57</v>
      </c>
      <c r="W1" s="33" t="s">
        <v>61</v>
      </c>
      <c r="X1" s="33"/>
      <c r="AA1" s="34" t="s">
        <v>65</v>
      </c>
    </row>
    <row r="2" spans="2:106">
      <c r="B2" s="1" t="s">
        <v>69</v>
      </c>
    </row>
    <row r="3" spans="2:106" ht="15">
      <c r="B3" s="2" t="s">
        <v>70</v>
      </c>
      <c r="C3" s="33" t="s">
        <v>41</v>
      </c>
      <c r="D3" s="33" t="s">
        <v>42</v>
      </c>
      <c r="E3" s="33" t="s">
        <v>43</v>
      </c>
      <c r="F3" s="33" t="s">
        <v>44</v>
      </c>
      <c r="G3" s="33" t="s">
        <v>45</v>
      </c>
      <c r="H3" s="33" t="s">
        <v>46</v>
      </c>
      <c r="I3" s="33" t="s">
        <v>47</v>
      </c>
      <c r="J3" s="33" t="s">
        <v>48</v>
      </c>
      <c r="K3" s="33" t="s">
        <v>49</v>
      </c>
      <c r="L3" s="33" t="s">
        <v>50</v>
      </c>
      <c r="M3" s="33" t="s">
        <v>51</v>
      </c>
      <c r="N3" s="33" t="s">
        <v>52</v>
      </c>
      <c r="O3" s="33" t="s">
        <v>53</v>
      </c>
      <c r="P3" s="33" t="s">
        <v>54</v>
      </c>
      <c r="Q3" s="33" t="s">
        <v>55</v>
      </c>
      <c r="R3" s="33" t="s">
        <v>56</v>
      </c>
      <c r="S3" s="33" t="s">
        <v>57</v>
      </c>
      <c r="T3" s="33" t="s">
        <v>58</v>
      </c>
      <c r="U3" s="33" t="s">
        <v>59</v>
      </c>
      <c r="V3" s="33" t="s">
        <v>60</v>
      </c>
      <c r="W3" s="33" t="s">
        <v>61</v>
      </c>
      <c r="X3" s="33" t="s">
        <v>62</v>
      </c>
      <c r="Y3" s="2" t="s">
        <v>63</v>
      </c>
      <c r="Z3" s="34" t="s">
        <v>64</v>
      </c>
      <c r="AA3" s="34" t="s">
        <v>65</v>
      </c>
      <c r="AB3" s="34" t="s">
        <v>66</v>
      </c>
      <c r="AC3" s="34" t="s">
        <v>67</v>
      </c>
      <c r="AD3" s="34" t="s">
        <v>68</v>
      </c>
      <c r="AM3" s="2">
        <v>2020</v>
      </c>
      <c r="AN3" s="2">
        <f t="shared" ref="AN3:CY3" si="0">AM3+1</f>
        <v>2021</v>
      </c>
      <c r="AO3" s="2">
        <f t="shared" si="0"/>
        <v>2022</v>
      </c>
      <c r="AP3" s="2">
        <f t="shared" si="0"/>
        <v>2023</v>
      </c>
      <c r="AQ3" s="2">
        <f t="shared" si="0"/>
        <v>2024</v>
      </c>
      <c r="AR3" s="34">
        <f t="shared" si="0"/>
        <v>2025</v>
      </c>
      <c r="AS3" s="34">
        <f t="shared" si="0"/>
        <v>2026</v>
      </c>
      <c r="AT3" s="34">
        <f t="shared" si="0"/>
        <v>2027</v>
      </c>
      <c r="AU3" s="34">
        <f t="shared" si="0"/>
        <v>2028</v>
      </c>
      <c r="AV3" s="34">
        <f t="shared" si="0"/>
        <v>2029</v>
      </c>
      <c r="AW3" s="34">
        <f t="shared" si="0"/>
        <v>2030</v>
      </c>
      <c r="AX3" s="34">
        <f t="shared" si="0"/>
        <v>2031</v>
      </c>
      <c r="AY3" s="34">
        <f t="shared" si="0"/>
        <v>2032</v>
      </c>
      <c r="AZ3" s="34">
        <f t="shared" si="0"/>
        <v>2033</v>
      </c>
      <c r="BA3" s="34">
        <f t="shared" si="0"/>
        <v>2034</v>
      </c>
      <c r="BB3" s="34">
        <f t="shared" si="0"/>
        <v>2035</v>
      </c>
      <c r="BC3" s="34">
        <f t="shared" si="0"/>
        <v>2036</v>
      </c>
      <c r="BD3" s="34">
        <f t="shared" si="0"/>
        <v>2037</v>
      </c>
      <c r="BE3" s="34">
        <f t="shared" si="0"/>
        <v>2038</v>
      </c>
      <c r="BF3" s="34">
        <f t="shared" si="0"/>
        <v>2039</v>
      </c>
      <c r="BG3" s="34">
        <f t="shared" si="0"/>
        <v>2040</v>
      </c>
      <c r="BH3" s="34">
        <f t="shared" si="0"/>
        <v>2041</v>
      </c>
      <c r="BI3" s="34">
        <f t="shared" si="0"/>
        <v>2042</v>
      </c>
      <c r="BJ3" s="34">
        <f t="shared" si="0"/>
        <v>2043</v>
      </c>
      <c r="BK3" s="34">
        <f t="shared" si="0"/>
        <v>2044</v>
      </c>
      <c r="BL3" s="34">
        <f t="shared" si="0"/>
        <v>2045</v>
      </c>
      <c r="BM3" s="34">
        <f t="shared" si="0"/>
        <v>2046</v>
      </c>
      <c r="BN3" s="34">
        <f t="shared" si="0"/>
        <v>2047</v>
      </c>
      <c r="BO3" s="34">
        <f t="shared" si="0"/>
        <v>2048</v>
      </c>
      <c r="BP3" s="34">
        <f t="shared" si="0"/>
        <v>2049</v>
      </c>
      <c r="BQ3" s="34">
        <f t="shared" si="0"/>
        <v>2050</v>
      </c>
      <c r="BR3" s="34">
        <f t="shared" si="0"/>
        <v>2051</v>
      </c>
      <c r="BS3" s="34">
        <f t="shared" si="0"/>
        <v>2052</v>
      </c>
      <c r="BT3" s="34">
        <f t="shared" si="0"/>
        <v>2053</v>
      </c>
      <c r="BU3" s="34">
        <f t="shared" si="0"/>
        <v>2054</v>
      </c>
      <c r="BV3" s="34">
        <f t="shared" si="0"/>
        <v>2055</v>
      </c>
      <c r="BW3" s="34">
        <f t="shared" si="0"/>
        <v>2056</v>
      </c>
      <c r="BX3" s="34">
        <f t="shared" si="0"/>
        <v>2057</v>
      </c>
      <c r="BY3" s="34">
        <f t="shared" si="0"/>
        <v>2058</v>
      </c>
      <c r="BZ3" s="34">
        <f t="shared" si="0"/>
        <v>2059</v>
      </c>
      <c r="CA3" s="34">
        <f t="shared" si="0"/>
        <v>2060</v>
      </c>
      <c r="CB3" s="34">
        <f t="shared" si="0"/>
        <v>2061</v>
      </c>
      <c r="CC3" s="34">
        <f t="shared" si="0"/>
        <v>2062</v>
      </c>
      <c r="CD3" s="34">
        <f t="shared" si="0"/>
        <v>2063</v>
      </c>
      <c r="CE3" s="34">
        <f t="shared" si="0"/>
        <v>2064</v>
      </c>
      <c r="CF3" s="34">
        <f t="shared" si="0"/>
        <v>2065</v>
      </c>
      <c r="CG3" s="34">
        <f t="shared" si="0"/>
        <v>2066</v>
      </c>
      <c r="CH3" s="34">
        <f t="shared" si="0"/>
        <v>2067</v>
      </c>
      <c r="CI3" s="34">
        <f t="shared" si="0"/>
        <v>2068</v>
      </c>
      <c r="CJ3" s="34">
        <f t="shared" si="0"/>
        <v>2069</v>
      </c>
      <c r="CK3" s="34">
        <f t="shared" si="0"/>
        <v>2070</v>
      </c>
      <c r="CL3" s="34">
        <f t="shared" si="0"/>
        <v>2071</v>
      </c>
      <c r="CM3" s="34">
        <f t="shared" si="0"/>
        <v>2072</v>
      </c>
      <c r="CN3" s="34">
        <f t="shared" si="0"/>
        <v>2073</v>
      </c>
      <c r="CO3" s="34">
        <f t="shared" si="0"/>
        <v>2074</v>
      </c>
      <c r="CP3" s="34">
        <f t="shared" si="0"/>
        <v>2075</v>
      </c>
      <c r="CQ3" s="34">
        <f t="shared" si="0"/>
        <v>2076</v>
      </c>
      <c r="CR3" s="34">
        <f t="shared" si="0"/>
        <v>2077</v>
      </c>
      <c r="CS3" s="34">
        <f t="shared" si="0"/>
        <v>2078</v>
      </c>
      <c r="CT3" s="34">
        <f t="shared" si="0"/>
        <v>2079</v>
      </c>
      <c r="CU3" s="58">
        <f t="shared" si="0"/>
        <v>2080</v>
      </c>
      <c r="CV3" s="58">
        <f t="shared" si="0"/>
        <v>2081</v>
      </c>
      <c r="CW3" s="58">
        <f t="shared" si="0"/>
        <v>2082</v>
      </c>
      <c r="CX3" s="58">
        <f t="shared" si="0"/>
        <v>2083</v>
      </c>
      <c r="CY3" s="58">
        <f t="shared" si="0"/>
        <v>2084</v>
      </c>
      <c r="CZ3" s="58"/>
      <c r="DA3" s="2"/>
      <c r="DB3" s="2"/>
    </row>
    <row r="4" spans="2:106">
      <c r="B4" s="36" t="s">
        <v>1444</v>
      </c>
      <c r="C4" s="48">
        <v>100.44799999999999</v>
      </c>
      <c r="D4" s="48">
        <v>111.34</v>
      </c>
      <c r="E4" s="48">
        <v>121.429</v>
      </c>
      <c r="F4" s="48">
        <f>455.865-SUM(C4:E4)</f>
        <v>122.64800000000002</v>
      </c>
      <c r="G4" s="48">
        <v>124.926</v>
      </c>
      <c r="H4" s="48">
        <v>141.839</v>
      </c>
      <c r="I4" s="48">
        <v>166.911</v>
      </c>
      <c r="J4" s="48">
        <f>612.401-SUM(G4:I4)</f>
        <v>178.72499999999997</v>
      </c>
      <c r="K4" s="48">
        <v>188.82499999999999</v>
      </c>
      <c r="L4" s="48">
        <v>211.23699999999999</v>
      </c>
      <c r="M4" s="48">
        <v>207.774</v>
      </c>
      <c r="N4" s="48">
        <f>843.769-SUM(K4:M4)</f>
        <v>235.93299999999999</v>
      </c>
      <c r="O4" s="48">
        <v>231.495</v>
      </c>
      <c r="P4" s="48">
        <v>238.988</v>
      </c>
      <c r="Q4" s="48">
        <v>240.21</v>
      </c>
      <c r="R4" s="48">
        <f>944.52-SUM(O4:Q4)</f>
        <v>233.827</v>
      </c>
      <c r="S4" s="48">
        <v>225.548</v>
      </c>
      <c r="T4" s="48">
        <v>238.827</v>
      </c>
      <c r="U4" s="48">
        <v>248.78800000000001</v>
      </c>
      <c r="V4" s="48">
        <f>967.169-SUM(S4:U4)</f>
        <v>254.00599999999997</v>
      </c>
      <c r="W4" s="48">
        <v>236.53800000000001</v>
      </c>
      <c r="X4" s="48">
        <v>231.27199999999999</v>
      </c>
      <c r="Y4" s="48">
        <v>238.54499999999999</v>
      </c>
      <c r="Z4" s="49">
        <f t="shared" ref="Z4:AD4" si="1">V4*(1+Z14)</f>
        <v>266.7063</v>
      </c>
      <c r="AA4" s="49">
        <f t="shared" si="1"/>
        <v>275.09369400000003</v>
      </c>
      <c r="AB4" s="49">
        <f t="shared" si="1"/>
        <v>280.07039200000003</v>
      </c>
      <c r="AC4" s="49">
        <f t="shared" si="1"/>
        <v>218.50721999999999</v>
      </c>
      <c r="AD4" s="49">
        <f t="shared" si="1"/>
        <v>283.50879689999999</v>
      </c>
      <c r="AM4" s="48">
        <f t="shared" ref="AM4:AM5" si="2">SUM(C4:F4)</f>
        <v>455.86500000000001</v>
      </c>
      <c r="AN4" s="48">
        <f t="shared" ref="AN4:AN5" si="3">SUM(G4:J4)</f>
        <v>612.40099999999995</v>
      </c>
      <c r="AO4" s="48">
        <f t="shared" ref="AO4:AO5" si="4">SUM(K4:N4)</f>
        <v>843.76900000000001</v>
      </c>
      <c r="AP4" s="48">
        <f t="shared" ref="AP4:AP5" si="5">SUM(O4:R4)</f>
        <v>944.52</v>
      </c>
      <c r="AQ4" s="48">
        <f t="shared" ref="AQ4:AQ5" si="6">SUM(S4:V4)</f>
        <v>967.16899999999998</v>
      </c>
      <c r="AR4" s="49">
        <f t="shared" ref="AR4:BA4" si="7">AQ4*(1+AR14)</f>
        <v>1010.6916049999999</v>
      </c>
      <c r="AS4" s="49">
        <f t="shared" si="7"/>
        <v>1041.0123531499999</v>
      </c>
      <c r="AT4" s="49">
        <f t="shared" si="7"/>
        <v>1061.832600213</v>
      </c>
      <c r="AU4" s="49">
        <f t="shared" si="7"/>
        <v>1008.7409702023499</v>
      </c>
      <c r="AV4" s="49">
        <f t="shared" si="7"/>
        <v>933.0853974371737</v>
      </c>
      <c r="AW4" s="49">
        <f t="shared" si="7"/>
        <v>839.77685769345635</v>
      </c>
      <c r="AX4" s="49">
        <f t="shared" si="7"/>
        <v>671.82148615476513</v>
      </c>
      <c r="AY4" s="49">
        <f t="shared" si="7"/>
        <v>537.45718892381217</v>
      </c>
      <c r="AZ4" s="49">
        <f t="shared" si="7"/>
        <v>429.96575113904976</v>
      </c>
      <c r="BA4" s="49">
        <f t="shared" si="7"/>
        <v>343.97260091123985</v>
      </c>
    </row>
    <row r="5" spans="2:106">
      <c r="B5" s="36" t="s">
        <v>1445</v>
      </c>
      <c r="C5" s="48">
        <v>0</v>
      </c>
      <c r="D5" s="48">
        <v>0</v>
      </c>
      <c r="E5" s="48">
        <v>0</v>
      </c>
      <c r="F5" s="48">
        <v>0</v>
      </c>
      <c r="G5" s="48">
        <v>0</v>
      </c>
      <c r="H5" s="48">
        <v>0</v>
      </c>
      <c r="I5" s="48">
        <v>0</v>
      </c>
      <c r="J5" s="48">
        <v>0</v>
      </c>
      <c r="K5" s="48">
        <v>0</v>
      </c>
      <c r="L5" s="48">
        <v>0</v>
      </c>
      <c r="M5" s="48">
        <v>0</v>
      </c>
      <c r="N5" s="48">
        <v>0</v>
      </c>
      <c r="O5" s="48">
        <v>0</v>
      </c>
      <c r="P5" s="48">
        <v>0</v>
      </c>
      <c r="Q5" s="48">
        <v>69.108000000000004</v>
      </c>
      <c r="R5" s="48">
        <f>200.356-SUM(O5:Q5)</f>
        <v>131.24799999999999</v>
      </c>
      <c r="S5" s="48">
        <v>133.93600000000001</v>
      </c>
      <c r="T5" s="48">
        <v>121.72</v>
      </c>
      <c r="U5" s="48">
        <v>180.983</v>
      </c>
      <c r="V5" s="48">
        <f>820.791-SUM(S5:U5)</f>
        <v>384.15200000000004</v>
      </c>
      <c r="W5" s="48">
        <v>374.89499999999998</v>
      </c>
      <c r="X5" s="48">
        <v>281.851</v>
      </c>
      <c r="Y5" s="48">
        <v>131.49</v>
      </c>
      <c r="Z5" s="49">
        <f t="shared" ref="Z5:AD5" si="8">V5*(1+Z15)</f>
        <v>111.40408000000002</v>
      </c>
      <c r="AA5" s="49">
        <f t="shared" si="8"/>
        <v>104.9706</v>
      </c>
      <c r="AB5" s="49">
        <f t="shared" si="8"/>
        <v>98.647849999999991</v>
      </c>
      <c r="AC5" s="49">
        <f t="shared" si="8"/>
        <v>89.413200000000003</v>
      </c>
      <c r="AD5" s="49">
        <f t="shared" si="8"/>
        <v>77.982856000000012</v>
      </c>
      <c r="AM5" s="48">
        <f t="shared" si="2"/>
        <v>0</v>
      </c>
      <c r="AN5" s="48">
        <f t="shared" si="3"/>
        <v>0</v>
      </c>
      <c r="AO5" s="48">
        <f t="shared" si="4"/>
        <v>0</v>
      </c>
      <c r="AP5" s="48">
        <f t="shared" si="5"/>
        <v>200.35599999999999</v>
      </c>
      <c r="AQ5" s="48">
        <f t="shared" si="6"/>
        <v>820.79100000000005</v>
      </c>
      <c r="AR5" s="49">
        <f t="shared" ref="AR5:BA5" si="9">AQ5*(1+AR15)</f>
        <v>906.97405500000002</v>
      </c>
      <c r="AS5" s="49">
        <f t="shared" si="9"/>
        <v>634.88183849999996</v>
      </c>
      <c r="AT5" s="49">
        <f t="shared" si="9"/>
        <v>571.39365465000003</v>
      </c>
      <c r="AU5" s="49">
        <f t="shared" si="9"/>
        <v>514.25428918500006</v>
      </c>
      <c r="AV5" s="49">
        <f t="shared" si="9"/>
        <v>462.82886026650004</v>
      </c>
      <c r="AW5" s="49">
        <f t="shared" si="9"/>
        <v>416.54597423985007</v>
      </c>
      <c r="AX5" s="49">
        <f t="shared" si="9"/>
        <v>374.89137681586504</v>
      </c>
      <c r="AY5" s="49">
        <f t="shared" si="9"/>
        <v>356.14680797507179</v>
      </c>
      <c r="AZ5" s="49">
        <f t="shared" si="9"/>
        <v>338.33946757631821</v>
      </c>
      <c r="BA5" s="49">
        <f t="shared" si="9"/>
        <v>321.42249419750226</v>
      </c>
    </row>
    <row r="6" spans="2:106" s="2" customFormat="1" ht="15">
      <c r="B6" s="33" t="s">
        <v>1631</v>
      </c>
      <c r="C6" s="46">
        <f t="shared" ref="C6:V6" si="10">SUM(C4:C5)</f>
        <v>100.44799999999999</v>
      </c>
      <c r="D6" s="46">
        <f t="shared" si="10"/>
        <v>111.34</v>
      </c>
      <c r="E6" s="46">
        <f t="shared" si="10"/>
        <v>121.429</v>
      </c>
      <c r="F6" s="46">
        <f t="shared" si="10"/>
        <v>122.64800000000002</v>
      </c>
      <c r="G6" s="46">
        <f t="shared" si="10"/>
        <v>124.926</v>
      </c>
      <c r="H6" s="46">
        <f t="shared" si="10"/>
        <v>141.839</v>
      </c>
      <c r="I6" s="46">
        <f t="shared" si="10"/>
        <v>166.911</v>
      </c>
      <c r="J6" s="46">
        <f t="shared" si="10"/>
        <v>178.72499999999997</v>
      </c>
      <c r="K6" s="46">
        <f t="shared" si="10"/>
        <v>188.82499999999999</v>
      </c>
      <c r="L6" s="46">
        <f t="shared" si="10"/>
        <v>211.23699999999999</v>
      </c>
      <c r="M6" s="46">
        <f t="shared" si="10"/>
        <v>207.774</v>
      </c>
      <c r="N6" s="46">
        <f t="shared" si="10"/>
        <v>235.93299999999999</v>
      </c>
      <c r="O6" s="46">
        <f t="shared" si="10"/>
        <v>231.495</v>
      </c>
      <c r="P6" s="46">
        <f t="shared" si="10"/>
        <v>238.988</v>
      </c>
      <c r="Q6" s="46">
        <f t="shared" si="10"/>
        <v>309.31799999999998</v>
      </c>
      <c r="R6" s="46">
        <f t="shared" si="10"/>
        <v>365.07499999999999</v>
      </c>
      <c r="S6" s="46">
        <f t="shared" si="10"/>
        <v>359.48400000000004</v>
      </c>
      <c r="T6" s="46">
        <f t="shared" si="10"/>
        <v>360.54700000000003</v>
      </c>
      <c r="U6" s="46">
        <f t="shared" si="10"/>
        <v>429.77100000000002</v>
      </c>
      <c r="V6" s="46">
        <f t="shared" si="10"/>
        <v>638.15800000000002</v>
      </c>
      <c r="W6" s="46">
        <f>SUM(W4:W5)</f>
        <v>611.43299999999999</v>
      </c>
      <c r="X6" s="46">
        <f>SUM(X4:X5)</f>
        <v>513.12300000000005</v>
      </c>
      <c r="Y6" s="46">
        <f>SUM(Y4:Y5)</f>
        <v>370.03499999999997</v>
      </c>
      <c r="Z6" s="47">
        <f>SUM(Z4:Z5)</f>
        <v>378.11038000000002</v>
      </c>
      <c r="AA6" s="47">
        <f t="shared" ref="AA6:AD6" si="11">SUM(AA4:AA5)</f>
        <v>380.06429400000002</v>
      </c>
      <c r="AB6" s="47">
        <f t="shared" si="11"/>
        <v>378.71824200000003</v>
      </c>
      <c r="AC6" s="47">
        <f t="shared" si="11"/>
        <v>307.92041999999998</v>
      </c>
      <c r="AD6" s="47">
        <f t="shared" si="11"/>
        <v>361.49165290000002</v>
      </c>
      <c r="AM6" s="46">
        <f>SUM(C6:F6)</f>
        <v>455.86500000000001</v>
      </c>
      <c r="AN6" s="46">
        <f>SUM(G6:J6)</f>
        <v>612.40099999999995</v>
      </c>
      <c r="AO6" s="46">
        <f>SUM(K6:N6)</f>
        <v>843.76900000000001</v>
      </c>
      <c r="AP6" s="46">
        <f>SUM(O6:R6)</f>
        <v>1144.876</v>
      </c>
      <c r="AQ6" s="46">
        <f>SUM(S6:V6)</f>
        <v>1787.96</v>
      </c>
      <c r="AR6" s="47">
        <f>SUM(AR4:AR5)</f>
        <v>1917.6656599999999</v>
      </c>
      <c r="AS6" s="47">
        <f t="shared" ref="AS6:BA6" si="12">SUM(AS4:AS5)</f>
        <v>1675.8941916499998</v>
      </c>
      <c r="AT6" s="47">
        <f t="shared" si="12"/>
        <v>1633.2262548630001</v>
      </c>
      <c r="AU6" s="47">
        <f t="shared" si="12"/>
        <v>1522.99525938735</v>
      </c>
      <c r="AV6" s="47">
        <f t="shared" si="12"/>
        <v>1395.9142577036737</v>
      </c>
      <c r="AW6" s="47">
        <f t="shared" si="12"/>
        <v>1256.3228319333064</v>
      </c>
      <c r="AX6" s="47">
        <f t="shared" si="12"/>
        <v>1046.7128629706301</v>
      </c>
      <c r="AY6" s="47">
        <f t="shared" si="12"/>
        <v>893.60399689888391</v>
      </c>
      <c r="AZ6" s="47">
        <f t="shared" si="12"/>
        <v>768.30521871536803</v>
      </c>
      <c r="BA6" s="47">
        <f t="shared" si="12"/>
        <v>665.39509510874211</v>
      </c>
      <c r="BB6" s="34"/>
      <c r="BC6" s="34"/>
      <c r="BD6" s="34"/>
      <c r="BE6" s="34"/>
      <c r="BF6" s="34"/>
      <c r="BG6" s="34"/>
      <c r="BH6" s="34"/>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c r="CI6" s="34"/>
      <c r="CJ6" s="34"/>
      <c r="CK6" s="34"/>
      <c r="CL6" s="34"/>
      <c r="CM6" s="34"/>
      <c r="CN6" s="34"/>
      <c r="CO6" s="34"/>
      <c r="CP6" s="34"/>
      <c r="CQ6" s="34"/>
      <c r="CR6" s="34"/>
      <c r="CS6" s="34"/>
      <c r="CT6" s="34"/>
      <c r="CU6" s="58"/>
      <c r="CV6" s="58"/>
      <c r="CW6" s="58"/>
      <c r="CX6" s="58"/>
      <c r="CY6" s="58"/>
      <c r="CZ6" s="58"/>
    </row>
    <row r="7" spans="2:106">
      <c r="B7" s="36" t="s">
        <v>1632</v>
      </c>
      <c r="C7" s="48">
        <v>0</v>
      </c>
      <c r="D7" s="48">
        <v>0</v>
      </c>
      <c r="E7" s="48">
        <v>0</v>
      </c>
      <c r="F7" s="48">
        <v>0</v>
      </c>
      <c r="G7" s="48">
        <v>0</v>
      </c>
      <c r="H7" s="48">
        <v>0</v>
      </c>
      <c r="I7" s="48">
        <v>0</v>
      </c>
      <c r="J7" s="48">
        <v>0</v>
      </c>
      <c r="K7" s="48">
        <v>0</v>
      </c>
      <c r="L7" s="48">
        <v>0</v>
      </c>
      <c r="M7" s="48">
        <v>0</v>
      </c>
      <c r="N7" s="48">
        <v>0</v>
      </c>
      <c r="O7" s="48">
        <v>0</v>
      </c>
      <c r="P7" s="48">
        <v>0</v>
      </c>
      <c r="Q7" s="48">
        <v>0</v>
      </c>
      <c r="R7" s="48">
        <v>0</v>
      </c>
      <c r="S7" s="48">
        <v>48</v>
      </c>
      <c r="T7" s="48">
        <v>0</v>
      </c>
      <c r="U7" s="48">
        <v>0</v>
      </c>
      <c r="V7" s="48">
        <f>48-SUM(S7:U7)</f>
        <v>0</v>
      </c>
      <c r="W7" s="48">
        <v>112</v>
      </c>
      <c r="X7" s="48">
        <v>63.5</v>
      </c>
      <c r="Y7" s="48">
        <v>0</v>
      </c>
      <c r="AM7" s="48">
        <f t="shared" ref="AM7:AM10" si="13">SUM(C7:F7)</f>
        <v>0</v>
      </c>
      <c r="AN7" s="48">
        <f t="shared" ref="AN7:AN10" si="14">SUM(G7:J7)</f>
        <v>0</v>
      </c>
      <c r="AO7" s="48">
        <f t="shared" ref="AO7:AO12" si="15">SUM(K7:N7)</f>
        <v>0</v>
      </c>
      <c r="AP7" s="48">
        <f t="shared" ref="AP7:AP12" si="16">SUM(O7:R7)</f>
        <v>0</v>
      </c>
      <c r="AQ7" s="48">
        <f t="shared" ref="AQ7:AQ12" si="17">SUM(S7:V7)</f>
        <v>48</v>
      </c>
    </row>
    <row r="8" spans="2:106">
      <c r="B8" s="36" t="s">
        <v>1633</v>
      </c>
      <c r="C8" s="48">
        <v>0</v>
      </c>
      <c r="D8" s="48">
        <v>0</v>
      </c>
      <c r="E8" s="48">
        <v>0</v>
      </c>
      <c r="F8" s="48">
        <v>0</v>
      </c>
      <c r="G8" s="48">
        <v>0</v>
      </c>
      <c r="H8" s="48">
        <v>0</v>
      </c>
      <c r="I8" s="48">
        <v>0</v>
      </c>
      <c r="J8" s="48">
        <v>0</v>
      </c>
      <c r="K8" s="48">
        <v>0</v>
      </c>
      <c r="L8" s="48">
        <v>0</v>
      </c>
      <c r="M8" s="48">
        <v>0</v>
      </c>
      <c r="N8" s="48">
        <v>0</v>
      </c>
      <c r="O8" s="48">
        <v>0</v>
      </c>
      <c r="P8" s="48">
        <v>0</v>
      </c>
      <c r="Q8" s="48">
        <v>0</v>
      </c>
      <c r="R8" s="48">
        <f>9.216-SUM(O8:Q8)</f>
        <v>9.2159999999999993</v>
      </c>
      <c r="S8" s="48">
        <v>5.8</v>
      </c>
      <c r="T8" s="48">
        <v>2.38</v>
      </c>
      <c r="U8" s="48">
        <v>27.89</v>
      </c>
      <c r="V8" s="48">
        <f>49.038-SUM(S8:U8)</f>
        <v>12.967999999999996</v>
      </c>
      <c r="W8" s="48">
        <v>17.379000000000001</v>
      </c>
      <c r="X8" s="48">
        <v>27.02</v>
      </c>
      <c r="Y8" s="48">
        <v>18.7</v>
      </c>
      <c r="AM8" s="48">
        <f t="shared" si="13"/>
        <v>0</v>
      </c>
      <c r="AN8" s="48">
        <f t="shared" si="14"/>
        <v>0</v>
      </c>
      <c r="AO8" s="48">
        <f t="shared" si="15"/>
        <v>0</v>
      </c>
      <c r="AP8" s="48">
        <f t="shared" si="16"/>
        <v>9.2159999999999993</v>
      </c>
      <c r="AQ8" s="48">
        <f t="shared" si="17"/>
        <v>49.037999999999997</v>
      </c>
    </row>
    <row r="9" spans="2:106">
      <c r="B9" s="36" t="s">
        <v>1634</v>
      </c>
      <c r="C9" s="48">
        <v>0</v>
      </c>
      <c r="D9" s="48">
        <v>0</v>
      </c>
      <c r="E9" s="48">
        <v>0</v>
      </c>
      <c r="F9" s="48">
        <v>0</v>
      </c>
      <c r="G9" s="48">
        <v>0</v>
      </c>
      <c r="H9" s="48">
        <v>0</v>
      </c>
      <c r="I9" s="48">
        <v>0</v>
      </c>
      <c r="J9" s="48">
        <v>0</v>
      </c>
      <c r="K9" s="48">
        <v>0</v>
      </c>
      <c r="L9" s="48">
        <v>0</v>
      </c>
      <c r="M9" s="48">
        <v>0</v>
      </c>
      <c r="N9" s="48">
        <v>0</v>
      </c>
      <c r="O9" s="48">
        <v>0</v>
      </c>
      <c r="P9" s="48">
        <v>0</v>
      </c>
      <c r="Q9" s="48">
        <v>0</v>
      </c>
      <c r="R9" s="48">
        <v>0</v>
      </c>
      <c r="S9" s="48">
        <v>0.17299999999999999</v>
      </c>
      <c r="T9" s="48">
        <v>0</v>
      </c>
      <c r="U9" s="48">
        <v>9.51</v>
      </c>
      <c r="V9" s="48">
        <f>16.981-SUM(S9:U9)</f>
        <v>7.2980000000000018</v>
      </c>
      <c r="W9" s="48">
        <v>4.05</v>
      </c>
      <c r="X9" s="48">
        <v>7.4450000000000003</v>
      </c>
      <c r="Y9" s="48">
        <v>10.608000000000001</v>
      </c>
      <c r="AM9" s="48">
        <f t="shared" si="13"/>
        <v>0</v>
      </c>
      <c r="AN9" s="48">
        <f t="shared" si="14"/>
        <v>0</v>
      </c>
      <c r="AO9" s="48">
        <f t="shared" si="15"/>
        <v>0</v>
      </c>
      <c r="AP9" s="48">
        <f t="shared" si="16"/>
        <v>0</v>
      </c>
      <c r="AQ9" s="48">
        <f t="shared" si="17"/>
        <v>16.981000000000002</v>
      </c>
    </row>
    <row r="10" spans="2:106">
      <c r="B10" s="36" t="s">
        <v>1640</v>
      </c>
      <c r="C10" s="48">
        <v>13.226000000000001</v>
      </c>
      <c r="D10" s="48">
        <v>26.018999999999998</v>
      </c>
      <c r="E10" s="48">
        <v>22.495000000000001</v>
      </c>
      <c r="F10" s="48">
        <f>84.234-SUM(C10:E10)</f>
        <v>22.494</v>
      </c>
      <c r="G10" s="48">
        <v>22.004999999999999</v>
      </c>
      <c r="H10" s="48">
        <v>22.25</v>
      </c>
      <c r="I10" s="48">
        <v>22.459</v>
      </c>
      <c r="J10" s="48">
        <f>89.444-SUM(G10:I10)</f>
        <v>22.730000000000004</v>
      </c>
      <c r="K10" s="48">
        <v>22.004999999999999</v>
      </c>
      <c r="L10" s="48">
        <v>22.3</v>
      </c>
      <c r="M10" s="48">
        <v>22.5</v>
      </c>
      <c r="N10" s="48">
        <f>89.244-SUM(K10:M10)</f>
        <v>22.438999999999993</v>
      </c>
      <c r="O10" s="48">
        <v>22</v>
      </c>
      <c r="P10" s="48">
        <v>22.25</v>
      </c>
      <c r="Q10" s="48">
        <v>22.49</v>
      </c>
      <c r="R10" s="48">
        <f>89.244-SUM(O10:Q10)</f>
        <v>22.504000000000005</v>
      </c>
      <c r="S10" s="48">
        <v>0</v>
      </c>
      <c r="T10" s="48">
        <v>0</v>
      </c>
      <c r="U10" s="48">
        <v>0</v>
      </c>
      <c r="V10" s="48">
        <f>0-SUM(S10:U10)</f>
        <v>0</v>
      </c>
      <c r="W10" s="48">
        <v>0</v>
      </c>
      <c r="X10" s="48">
        <v>0</v>
      </c>
      <c r="Y10" s="48">
        <v>0</v>
      </c>
      <c r="AM10" s="48">
        <f t="shared" si="13"/>
        <v>84.233999999999995</v>
      </c>
      <c r="AN10" s="48">
        <f t="shared" si="14"/>
        <v>89.444000000000003</v>
      </c>
      <c r="AO10" s="48">
        <f t="shared" si="15"/>
        <v>89.244</v>
      </c>
      <c r="AP10" s="48">
        <f t="shared" si="16"/>
        <v>89.244</v>
      </c>
      <c r="AQ10" s="48">
        <f t="shared" si="17"/>
        <v>0</v>
      </c>
    </row>
    <row r="11" spans="2:106" s="2" customFormat="1" ht="15">
      <c r="B11" s="2" t="s">
        <v>1635</v>
      </c>
      <c r="C11" s="46">
        <f t="shared" ref="C11:V11" si="18">SUM(C7:C10)</f>
        <v>13.226000000000001</v>
      </c>
      <c r="D11" s="46">
        <f t="shared" si="18"/>
        <v>26.018999999999998</v>
      </c>
      <c r="E11" s="46">
        <f t="shared" si="18"/>
        <v>22.495000000000001</v>
      </c>
      <c r="F11" s="46">
        <f t="shared" si="18"/>
        <v>22.494</v>
      </c>
      <c r="G11" s="46">
        <f>SUM(G7:G10)</f>
        <v>22.004999999999999</v>
      </c>
      <c r="H11" s="46">
        <f t="shared" si="18"/>
        <v>22.25</v>
      </c>
      <c r="I11" s="46">
        <f t="shared" si="18"/>
        <v>22.459</v>
      </c>
      <c r="J11" s="46">
        <f t="shared" si="18"/>
        <v>22.730000000000004</v>
      </c>
      <c r="K11" s="46">
        <f t="shared" si="18"/>
        <v>22.004999999999999</v>
      </c>
      <c r="L11" s="46">
        <f t="shared" si="18"/>
        <v>22.3</v>
      </c>
      <c r="M11" s="46">
        <f t="shared" si="18"/>
        <v>22.5</v>
      </c>
      <c r="N11" s="46">
        <f t="shared" si="18"/>
        <v>22.438999999999993</v>
      </c>
      <c r="O11" s="46">
        <f t="shared" si="18"/>
        <v>22</v>
      </c>
      <c r="P11" s="46">
        <f t="shared" si="18"/>
        <v>22.25</v>
      </c>
      <c r="Q11" s="46">
        <f t="shared" si="18"/>
        <v>22.49</v>
      </c>
      <c r="R11" s="46">
        <f t="shared" si="18"/>
        <v>31.720000000000006</v>
      </c>
      <c r="S11" s="46">
        <f t="shared" si="18"/>
        <v>53.972999999999999</v>
      </c>
      <c r="T11" s="46">
        <f t="shared" si="18"/>
        <v>2.38</v>
      </c>
      <c r="U11" s="46">
        <f t="shared" si="18"/>
        <v>37.4</v>
      </c>
      <c r="V11" s="46">
        <f t="shared" si="18"/>
        <v>20.265999999999998</v>
      </c>
      <c r="W11" s="46">
        <f>SUM(W7:W10)</f>
        <v>133.429</v>
      </c>
      <c r="X11" s="46">
        <f>SUM(X7:X10)</f>
        <v>97.965000000000003</v>
      </c>
      <c r="Y11" s="46">
        <f>SUM(Y7:Y10)</f>
        <v>29.308</v>
      </c>
      <c r="Z11" s="47">
        <f t="shared" ref="Z11:AD11" si="19">V11*(1+Z16)</f>
        <v>35.465499999999999</v>
      </c>
      <c r="AA11" s="47">
        <f t="shared" si="19"/>
        <v>30.688669999999998</v>
      </c>
      <c r="AB11" s="47">
        <f t="shared" si="19"/>
        <v>24.491250000000001</v>
      </c>
      <c r="AC11" s="47">
        <f t="shared" si="19"/>
        <v>8.2062400000000011</v>
      </c>
      <c r="AD11" s="47">
        <f t="shared" si="19"/>
        <v>21.279299999999999</v>
      </c>
      <c r="AM11" s="46">
        <f>AM10</f>
        <v>84.233999999999995</v>
      </c>
      <c r="AN11" s="46">
        <f>AN10</f>
        <v>89.444000000000003</v>
      </c>
      <c r="AO11" s="46">
        <f t="shared" si="15"/>
        <v>89.244</v>
      </c>
      <c r="AP11" s="46">
        <f t="shared" si="16"/>
        <v>98.460000000000008</v>
      </c>
      <c r="AQ11" s="46">
        <f t="shared" si="17"/>
        <v>114.01900000000001</v>
      </c>
      <c r="AR11" s="47">
        <f>AQ11*(1+AR16)</f>
        <v>293.02883000000003</v>
      </c>
      <c r="AS11" s="47">
        <f t="shared" ref="AS11:BA11" si="20">AR11*(1+AS16)</f>
        <v>84.978360700000025</v>
      </c>
      <c r="AT11" s="47">
        <f t="shared" si="20"/>
        <v>89.227278735000027</v>
      </c>
      <c r="AU11" s="47">
        <f t="shared" si="20"/>
        <v>93.688642671750031</v>
      </c>
      <c r="AV11" s="47">
        <f t="shared" si="20"/>
        <v>97.436188378620031</v>
      </c>
      <c r="AW11" s="47">
        <f t="shared" si="20"/>
        <v>101.33363591376484</v>
      </c>
      <c r="AX11" s="47">
        <f t="shared" si="20"/>
        <v>104.37364499117778</v>
      </c>
      <c r="AY11" s="47">
        <f t="shared" si="20"/>
        <v>107.50485434091313</v>
      </c>
      <c r="AZ11" s="47">
        <f t="shared" si="20"/>
        <v>109.65495142773139</v>
      </c>
      <c r="BA11" s="47">
        <f t="shared" si="20"/>
        <v>111.84805045628602</v>
      </c>
      <c r="BB11" s="34"/>
      <c r="BC11" s="34"/>
      <c r="BD11" s="34"/>
      <c r="BE11" s="34"/>
      <c r="BF11" s="34"/>
      <c r="BG11" s="34"/>
      <c r="BH11" s="34"/>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c r="CJ11" s="34"/>
      <c r="CK11" s="34"/>
      <c r="CL11" s="34"/>
      <c r="CM11" s="34"/>
      <c r="CN11" s="34"/>
      <c r="CO11" s="34"/>
      <c r="CP11" s="34"/>
      <c r="CQ11" s="34"/>
      <c r="CR11" s="34"/>
      <c r="CS11" s="34"/>
      <c r="CT11" s="34"/>
      <c r="CU11" s="58"/>
      <c r="CV11" s="58"/>
      <c r="CW11" s="58"/>
      <c r="CX11" s="58"/>
      <c r="CY11" s="58"/>
      <c r="CZ11" s="58"/>
    </row>
    <row r="12" spans="2:106" s="2" customFormat="1" ht="15">
      <c r="B12" s="2" t="s">
        <v>71</v>
      </c>
      <c r="C12" s="46">
        <f>C6+C11</f>
        <v>113.67399999999999</v>
      </c>
      <c r="D12" s="46">
        <f>D11+D6</f>
        <v>137.35900000000001</v>
      </c>
      <c r="E12" s="46">
        <f>E6+E11</f>
        <v>143.92400000000001</v>
      </c>
      <c r="F12" s="46">
        <f t="shared" ref="F12:W12" si="21">F6+F11</f>
        <v>145.14200000000002</v>
      </c>
      <c r="G12" s="46">
        <f t="shared" si="21"/>
        <v>146.93100000000001</v>
      </c>
      <c r="H12" s="46">
        <f t="shared" si="21"/>
        <v>164.089</v>
      </c>
      <c r="I12" s="46">
        <f t="shared" si="21"/>
        <v>189.37</v>
      </c>
      <c r="J12" s="46">
        <f t="shared" si="21"/>
        <v>201.45499999999998</v>
      </c>
      <c r="K12" s="46">
        <f t="shared" si="21"/>
        <v>210.82999999999998</v>
      </c>
      <c r="L12" s="46">
        <f t="shared" si="21"/>
        <v>233.53700000000001</v>
      </c>
      <c r="M12" s="46">
        <f t="shared" si="21"/>
        <v>230.274</v>
      </c>
      <c r="N12" s="46">
        <f t="shared" si="21"/>
        <v>258.37199999999996</v>
      </c>
      <c r="O12" s="46">
        <f t="shared" si="21"/>
        <v>253.495</v>
      </c>
      <c r="P12" s="46">
        <f t="shared" si="21"/>
        <v>261.238</v>
      </c>
      <c r="Q12" s="46">
        <f t="shared" si="21"/>
        <v>331.80799999999999</v>
      </c>
      <c r="R12" s="46">
        <f t="shared" si="21"/>
        <v>396.79500000000002</v>
      </c>
      <c r="S12" s="46">
        <f t="shared" si="21"/>
        <v>413.45700000000005</v>
      </c>
      <c r="T12" s="46">
        <f t="shared" si="21"/>
        <v>362.92700000000002</v>
      </c>
      <c r="U12" s="46">
        <f t="shared" si="21"/>
        <v>467.17099999999999</v>
      </c>
      <c r="V12" s="46">
        <f t="shared" si="21"/>
        <v>658.42399999999998</v>
      </c>
      <c r="W12" s="46">
        <f t="shared" si="21"/>
        <v>744.86199999999997</v>
      </c>
      <c r="X12" s="46">
        <f t="shared" ref="X12" si="22">X6+X11</f>
        <v>611.08800000000008</v>
      </c>
      <c r="Y12" s="46">
        <f>Y6+Y11</f>
        <v>399.34299999999996</v>
      </c>
      <c r="Z12" s="47">
        <f t="shared" ref="Z12:AD12" si="23">Z6+Z11</f>
        <v>413.57588000000004</v>
      </c>
      <c r="AA12" s="47">
        <f t="shared" si="23"/>
        <v>410.75296400000002</v>
      </c>
      <c r="AB12" s="47">
        <f t="shared" si="23"/>
        <v>403.20949200000001</v>
      </c>
      <c r="AC12" s="47">
        <f t="shared" si="23"/>
        <v>316.12665999999996</v>
      </c>
      <c r="AD12" s="47">
        <f t="shared" si="23"/>
        <v>382.7709529</v>
      </c>
      <c r="AM12" s="46">
        <f>AM6+AM11</f>
        <v>540.09900000000005</v>
      </c>
      <c r="AN12" s="46">
        <f>AN6+AN11</f>
        <v>701.84499999999991</v>
      </c>
      <c r="AO12" s="46">
        <f t="shared" si="15"/>
        <v>933.01299999999992</v>
      </c>
      <c r="AP12" s="46">
        <f t="shared" si="16"/>
        <v>1243.336</v>
      </c>
      <c r="AQ12" s="46">
        <f t="shared" si="17"/>
        <v>1901.979</v>
      </c>
      <c r="AR12" s="47">
        <f>AR6+AR11</f>
        <v>2210.6944899999999</v>
      </c>
      <c r="AS12" s="47">
        <f t="shared" ref="AS12:BA12" si="24">AS6+AS11</f>
        <v>1760.8725523499998</v>
      </c>
      <c r="AT12" s="47">
        <f t="shared" si="24"/>
        <v>1722.4535335980001</v>
      </c>
      <c r="AU12" s="47">
        <f t="shared" si="24"/>
        <v>1616.6839020591001</v>
      </c>
      <c r="AV12" s="47">
        <f t="shared" si="24"/>
        <v>1493.3504460822937</v>
      </c>
      <c r="AW12" s="47">
        <f t="shared" si="24"/>
        <v>1357.6564678470711</v>
      </c>
      <c r="AX12" s="47">
        <f t="shared" si="24"/>
        <v>1151.0865079618079</v>
      </c>
      <c r="AY12" s="47">
        <f t="shared" si="24"/>
        <v>1001.108851239797</v>
      </c>
      <c r="AZ12" s="47">
        <f t="shared" si="24"/>
        <v>877.96017014309939</v>
      </c>
      <c r="BA12" s="47">
        <f t="shared" si="24"/>
        <v>777.24314556502816</v>
      </c>
      <c r="BB12" s="34"/>
      <c r="BC12" s="34"/>
      <c r="BD12" s="34"/>
      <c r="BE12" s="34"/>
      <c r="BF12" s="34"/>
      <c r="BG12" s="34"/>
      <c r="BH12" s="34"/>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c r="CJ12" s="34"/>
      <c r="CK12" s="34"/>
      <c r="CL12" s="34"/>
      <c r="CM12" s="34"/>
      <c r="CN12" s="34"/>
      <c r="CO12" s="34"/>
      <c r="CP12" s="34"/>
      <c r="CQ12" s="34"/>
      <c r="CR12" s="34"/>
      <c r="CS12" s="34"/>
      <c r="CT12" s="34"/>
      <c r="CU12" s="58"/>
      <c r="CV12" s="58"/>
      <c r="CW12" s="58"/>
      <c r="CX12" s="58"/>
      <c r="CY12" s="58"/>
      <c r="CZ12" s="58"/>
    </row>
    <row r="14" spans="2:106">
      <c r="B14" s="37" t="s">
        <v>1470</v>
      </c>
      <c r="G14" s="56">
        <f t="shared" ref="G14:X14" si="25">G4/C4-1</f>
        <v>0.24368827652118519</v>
      </c>
      <c r="H14" s="56">
        <f t="shared" si="25"/>
        <v>0.27392671097539067</v>
      </c>
      <c r="I14" s="56">
        <f t="shared" si="25"/>
        <v>0.37455632509532322</v>
      </c>
      <c r="J14" s="56">
        <f t="shared" si="25"/>
        <v>0.45721903333115854</v>
      </c>
      <c r="K14" s="56">
        <f t="shared" si="25"/>
        <v>0.51149480492451516</v>
      </c>
      <c r="L14" s="56">
        <f t="shared" si="25"/>
        <v>0.48927304902036806</v>
      </c>
      <c r="M14" s="56">
        <f t="shared" si="25"/>
        <v>0.24481909520642731</v>
      </c>
      <c r="N14" s="56">
        <f t="shared" si="25"/>
        <v>0.32008952301021143</v>
      </c>
      <c r="O14" s="56">
        <f t="shared" si="25"/>
        <v>0.22597643320534888</v>
      </c>
      <c r="P14" s="56">
        <f t="shared" si="25"/>
        <v>0.13137376501275821</v>
      </c>
      <c r="Q14" s="56">
        <f t="shared" si="25"/>
        <v>0.15611192930780571</v>
      </c>
      <c r="R14" s="56">
        <f t="shared" si="25"/>
        <v>-8.9262629644856206E-3</v>
      </c>
      <c r="S14" s="56">
        <f t="shared" si="25"/>
        <v>-2.5689539730879729E-2</v>
      </c>
      <c r="T14" s="56">
        <f t="shared" si="25"/>
        <v>-6.7367399199957934E-4</v>
      </c>
      <c r="U14" s="56">
        <f t="shared" si="25"/>
        <v>3.5710420049123615E-2</v>
      </c>
      <c r="V14" s="56">
        <f t="shared" si="25"/>
        <v>8.6298844872491065E-2</v>
      </c>
      <c r="W14" s="56">
        <f t="shared" si="25"/>
        <v>4.8725770124319556E-2</v>
      </c>
      <c r="X14" s="56">
        <f t="shared" si="25"/>
        <v>-3.1633776750534914E-2</v>
      </c>
      <c r="Y14" s="56">
        <v>0.04</v>
      </c>
      <c r="Z14" s="59">
        <v>0.05</v>
      </c>
      <c r="AA14" s="59">
        <v>0.16300000000000001</v>
      </c>
      <c r="AB14" s="59">
        <v>0.21099999999999999</v>
      </c>
      <c r="AC14" s="59">
        <v>-8.4000000000000005E-2</v>
      </c>
      <c r="AD14" s="59">
        <v>6.3E-2</v>
      </c>
      <c r="AN14" s="56">
        <f>AN4/AM4-1</f>
        <v>0.34338236100599939</v>
      </c>
      <c r="AO14" s="56">
        <f>AO4/AN4-1</f>
        <v>0.37780473905169987</v>
      </c>
      <c r="AP14" s="56">
        <f>AP4/AO4-1</f>
        <v>0.11940590374853777</v>
      </c>
      <c r="AQ14" s="56">
        <f>AQ4/AP4-1</f>
        <v>2.3979375767585687E-2</v>
      </c>
      <c r="AR14" s="59">
        <v>4.4999999999999998E-2</v>
      </c>
      <c r="AS14" s="59">
        <v>0.03</v>
      </c>
      <c r="AT14" s="59">
        <v>0.02</v>
      </c>
      <c r="AU14" s="59">
        <v>-0.05</v>
      </c>
      <c r="AV14" s="59">
        <v>-7.4999999999999997E-2</v>
      </c>
      <c r="AW14" s="59">
        <v>-0.1</v>
      </c>
      <c r="AX14" s="59">
        <v>-0.2</v>
      </c>
      <c r="AY14" s="59">
        <v>-0.2</v>
      </c>
      <c r="AZ14" s="59">
        <v>-0.2</v>
      </c>
      <c r="BA14" s="59">
        <v>-0.2</v>
      </c>
    </row>
    <row r="15" spans="2:106">
      <c r="B15" s="37" t="s">
        <v>1469</v>
      </c>
      <c r="G15" s="56"/>
      <c r="H15" s="56"/>
      <c r="I15" s="56"/>
      <c r="J15" s="56"/>
      <c r="K15" s="56"/>
      <c r="L15" s="56"/>
      <c r="M15" s="56"/>
      <c r="N15" s="56"/>
      <c r="O15" s="56"/>
      <c r="P15" s="56"/>
      <c r="Q15" s="56"/>
      <c r="R15" s="56"/>
      <c r="S15" s="56"/>
      <c r="T15" s="56"/>
      <c r="U15" s="56">
        <f t="shared" ref="U15:X15" si="26">U5/Q5-1</f>
        <v>1.6188429704231058</v>
      </c>
      <c r="V15" s="56">
        <f t="shared" si="26"/>
        <v>1.9269169815921008</v>
      </c>
      <c r="W15" s="56">
        <f t="shared" si="26"/>
        <v>1.7990607454306531</v>
      </c>
      <c r="X15" s="56">
        <f t="shared" si="26"/>
        <v>1.3155685179099574</v>
      </c>
      <c r="Y15" s="56">
        <v>0.48</v>
      </c>
      <c r="Z15" s="59">
        <v>-0.71</v>
      </c>
      <c r="AA15" s="59">
        <v>-0.72</v>
      </c>
      <c r="AB15" s="59">
        <v>-0.65</v>
      </c>
      <c r="AC15" s="59">
        <v>-0.32</v>
      </c>
      <c r="AD15" s="59">
        <v>-0.3</v>
      </c>
      <c r="AN15" s="56"/>
      <c r="AO15" s="56"/>
      <c r="AP15" s="56"/>
      <c r="AQ15" s="56">
        <f>AQ5/AP5-1</f>
        <v>3.0966629399668593</v>
      </c>
      <c r="AR15" s="59">
        <v>0.105</v>
      </c>
      <c r="AS15" s="59">
        <v>-0.3</v>
      </c>
      <c r="AT15" s="59">
        <v>-0.1</v>
      </c>
      <c r="AU15" s="59">
        <v>-0.1</v>
      </c>
      <c r="AV15" s="59">
        <v>-0.1</v>
      </c>
      <c r="AW15" s="59">
        <v>-0.1</v>
      </c>
      <c r="AX15" s="59">
        <v>-0.1</v>
      </c>
      <c r="AY15" s="59">
        <v>-0.05</v>
      </c>
      <c r="AZ15" s="59">
        <v>-0.05</v>
      </c>
      <c r="BA15" s="59">
        <v>-0.05</v>
      </c>
    </row>
    <row r="16" spans="2:106">
      <c r="B16" s="37" t="s">
        <v>1674</v>
      </c>
      <c r="G16" s="56">
        <f t="shared" ref="G16:W16" si="27">G11/C11-1</f>
        <v>0.66376833509753497</v>
      </c>
      <c r="H16" s="56">
        <f t="shared" si="27"/>
        <v>-0.1448556823859487</v>
      </c>
      <c r="I16" s="56">
        <f t="shared" si="27"/>
        <v>-1.600355634585493E-3</v>
      </c>
      <c r="J16" s="56">
        <f t="shared" si="27"/>
        <v>1.049168667200151E-2</v>
      </c>
      <c r="K16" s="56">
        <f t="shared" si="27"/>
        <v>0</v>
      </c>
      <c r="L16" s="56">
        <f t="shared" si="27"/>
        <v>2.2471910112360494E-3</v>
      </c>
      <c r="M16" s="56">
        <f t="shared" si="27"/>
        <v>1.8255487777727453E-3</v>
      </c>
      <c r="N16" s="56">
        <f t="shared" si="27"/>
        <v>-1.2802463704356004E-2</v>
      </c>
      <c r="O16" s="56">
        <f t="shared" si="27"/>
        <v>-2.2722108611672454E-4</v>
      </c>
      <c r="P16" s="56">
        <f t="shared" si="27"/>
        <v>-2.2421524663677195E-3</v>
      </c>
      <c r="Q16" s="56">
        <f t="shared" si="27"/>
        <v>-4.4444444444446951E-4</v>
      </c>
      <c r="R16" s="56">
        <f t="shared" si="27"/>
        <v>0.41361023218503568</v>
      </c>
      <c r="S16" s="56">
        <f t="shared" si="27"/>
        <v>1.4533181818181817</v>
      </c>
      <c r="T16" s="56">
        <f t="shared" si="27"/>
        <v>-0.89303370786516856</v>
      </c>
      <c r="U16" s="56">
        <f t="shared" si="27"/>
        <v>0.66296131614050702</v>
      </c>
      <c r="V16" s="56">
        <f t="shared" si="27"/>
        <v>-0.36109709962169001</v>
      </c>
      <c r="W16" s="56">
        <f t="shared" si="27"/>
        <v>1.4721434791469812</v>
      </c>
      <c r="X16" s="56">
        <f>X11/T11-1</f>
        <v>40.161764705882355</v>
      </c>
      <c r="Y16" s="56">
        <v>1.1499999999999999</v>
      </c>
      <c r="Z16" s="59">
        <v>0.75</v>
      </c>
      <c r="AA16" s="59">
        <v>-0.77</v>
      </c>
      <c r="AB16" s="59">
        <v>-0.75</v>
      </c>
      <c r="AC16" s="59">
        <v>-0.72</v>
      </c>
      <c r="AD16" s="59">
        <v>-0.4</v>
      </c>
      <c r="AN16" s="56">
        <f t="shared" ref="AN16:AP17" si="28">AN11/AM11-1</f>
        <v>6.1851508891896501E-2</v>
      </c>
      <c r="AO16" s="56">
        <f t="shared" si="28"/>
        <v>-2.2360359554581821E-3</v>
      </c>
      <c r="AP16" s="56">
        <f t="shared" si="28"/>
        <v>0.10326744655102882</v>
      </c>
      <c r="AQ16" s="56">
        <f>AQ11/AP11-1</f>
        <v>0.15802356286816988</v>
      </c>
      <c r="AR16" s="59">
        <v>1.57</v>
      </c>
      <c r="AS16" s="59">
        <v>-0.71</v>
      </c>
      <c r="AT16" s="59">
        <v>0.05</v>
      </c>
      <c r="AU16" s="59">
        <v>0.05</v>
      </c>
      <c r="AV16" s="59">
        <v>0.04</v>
      </c>
      <c r="AW16" s="59">
        <v>0.04</v>
      </c>
      <c r="AX16" s="59">
        <v>0.03</v>
      </c>
      <c r="AY16" s="59">
        <v>0.03</v>
      </c>
      <c r="AZ16" s="59">
        <v>0.02</v>
      </c>
      <c r="BA16" s="59">
        <v>0.02</v>
      </c>
    </row>
    <row r="17" spans="2:104" s="2" customFormat="1" ht="15">
      <c r="B17" s="33" t="s">
        <v>1443</v>
      </c>
      <c r="G17" s="76">
        <f t="shared" ref="G17:T17" si="29">G6/C6-1</f>
        <v>0.24368827652118519</v>
      </c>
      <c r="H17" s="76">
        <f t="shared" si="29"/>
        <v>0.27392671097539067</v>
      </c>
      <c r="I17" s="76">
        <f t="shared" si="29"/>
        <v>0.37455632509532322</v>
      </c>
      <c r="J17" s="76">
        <f t="shared" si="29"/>
        <v>0.45721903333115854</v>
      </c>
      <c r="K17" s="76">
        <f t="shared" si="29"/>
        <v>0.51149480492451516</v>
      </c>
      <c r="L17" s="76">
        <f t="shared" si="29"/>
        <v>0.48927304902036806</v>
      </c>
      <c r="M17" s="76">
        <f t="shared" si="29"/>
        <v>0.24481909520642731</v>
      </c>
      <c r="N17" s="76">
        <f t="shared" si="29"/>
        <v>0.32008952301021143</v>
      </c>
      <c r="O17" s="76">
        <f t="shared" si="29"/>
        <v>0.22597643320534888</v>
      </c>
      <c r="P17" s="76">
        <f t="shared" si="29"/>
        <v>0.13137376501275821</v>
      </c>
      <c r="Q17" s="76">
        <f t="shared" si="29"/>
        <v>0.48872332438129873</v>
      </c>
      <c r="R17" s="76">
        <f t="shared" si="29"/>
        <v>0.5473672610444491</v>
      </c>
      <c r="S17" s="76">
        <f t="shared" si="29"/>
        <v>0.55288019179679915</v>
      </c>
      <c r="T17" s="76">
        <f t="shared" si="29"/>
        <v>0.50864060120173415</v>
      </c>
      <c r="U17" s="76">
        <f t="shared" ref="U17:AD17" si="30">U6/Q6-1</f>
        <v>0.38941477702558536</v>
      </c>
      <c r="V17" s="76">
        <f t="shared" si="30"/>
        <v>0.74801890022598116</v>
      </c>
      <c r="W17" s="76">
        <f t="shared" si="30"/>
        <v>0.70086290349500935</v>
      </c>
      <c r="X17" s="76">
        <f t="shared" si="30"/>
        <v>0.42317922489994375</v>
      </c>
      <c r="Y17" s="76">
        <f t="shared" si="30"/>
        <v>-0.13899495312619992</v>
      </c>
      <c r="Z17" s="77">
        <f t="shared" si="30"/>
        <v>-0.40749723422726036</v>
      </c>
      <c r="AA17" s="77">
        <f t="shared" si="30"/>
        <v>-0.37840402137274232</v>
      </c>
      <c r="AB17" s="77">
        <f t="shared" si="30"/>
        <v>-0.26193477587245162</v>
      </c>
      <c r="AC17" s="77">
        <f t="shared" si="30"/>
        <v>-0.16786136446552347</v>
      </c>
      <c r="AD17" s="77">
        <f t="shared" si="30"/>
        <v>-4.3952052043638723E-2</v>
      </c>
      <c r="AN17" s="76">
        <f t="shared" si="28"/>
        <v>0.29947472592987556</v>
      </c>
      <c r="AO17" s="76">
        <f t="shared" si="28"/>
        <v>0.32937186985730471</v>
      </c>
      <c r="AP17" s="76">
        <f t="shared" si="28"/>
        <v>0.33260308270088434</v>
      </c>
      <c r="AQ17" s="76">
        <f>AQ12/AP12-1</f>
        <v>0.52973854211572746</v>
      </c>
      <c r="AR17" s="77">
        <f t="shared" ref="AR17:AZ17" si="31">AR12/AQ12-1</f>
        <v>0.16231277527249244</v>
      </c>
      <c r="AS17" s="77">
        <f t="shared" si="31"/>
        <v>-0.20347539639002765</v>
      </c>
      <c r="AT17" s="77">
        <f t="shared" si="31"/>
        <v>-2.1818171167883205E-2</v>
      </c>
      <c r="AU17" s="77">
        <f t="shared" si="31"/>
        <v>-6.1406377284361269E-2</v>
      </c>
      <c r="AV17" s="77">
        <f t="shared" si="31"/>
        <v>-7.6287922345068093E-2</v>
      </c>
      <c r="AW17" s="77">
        <f t="shared" si="31"/>
        <v>-9.0865462016104015E-2</v>
      </c>
      <c r="AX17" s="77">
        <f t="shared" si="31"/>
        <v>-0.15215186225484223</v>
      </c>
      <c r="AY17" s="77">
        <f t="shared" si="31"/>
        <v>-0.13029225491277063</v>
      </c>
      <c r="AZ17" s="77">
        <f t="shared" si="31"/>
        <v>-0.12301227877886345</v>
      </c>
      <c r="BA17" s="77">
        <f>BA12/AZ12-1</f>
        <v>-0.11471707715585244</v>
      </c>
      <c r="BB17" s="34"/>
      <c r="BC17" s="34"/>
      <c r="BD17" s="34"/>
      <c r="BE17" s="34"/>
      <c r="BF17" s="34"/>
      <c r="BG17" s="34"/>
      <c r="BH17" s="34"/>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4"/>
      <c r="CG17" s="34"/>
      <c r="CH17" s="34"/>
      <c r="CI17" s="34"/>
      <c r="CJ17" s="34"/>
      <c r="CK17" s="34"/>
      <c r="CL17" s="34"/>
      <c r="CM17" s="34"/>
      <c r="CN17" s="34"/>
      <c r="CO17" s="34"/>
      <c r="CP17" s="34"/>
      <c r="CQ17" s="34"/>
      <c r="CR17" s="34"/>
      <c r="CS17" s="34"/>
      <c r="CT17" s="34"/>
      <c r="CU17" s="58"/>
      <c r="CV17" s="58"/>
      <c r="CW17" s="58"/>
      <c r="CX17" s="58"/>
      <c r="CY17" s="58"/>
      <c r="CZ17" s="58"/>
    </row>
    <row r="19" spans="2:104">
      <c r="B19" s="37" t="s">
        <v>1471</v>
      </c>
      <c r="C19" s="55">
        <f>C4/C12</f>
        <v>0.88364973520769918</v>
      </c>
      <c r="D19" s="55">
        <f t="shared" ref="D19:X19" si="32">D4/D12</f>
        <v>0.81057666407006457</v>
      </c>
      <c r="E19" s="55">
        <f t="shared" si="32"/>
        <v>0.84370223173341485</v>
      </c>
      <c r="F19" s="55">
        <f t="shared" si="32"/>
        <v>0.84502073831144675</v>
      </c>
      <c r="G19" s="55">
        <f t="shared" si="32"/>
        <v>0.8502358249790718</v>
      </c>
      <c r="H19" s="55">
        <f t="shared" si="32"/>
        <v>0.86440285454844623</v>
      </c>
      <c r="I19" s="55">
        <f t="shared" si="32"/>
        <v>0.88140148914822836</v>
      </c>
      <c r="J19" s="55">
        <f t="shared" si="32"/>
        <v>0.88717083219577564</v>
      </c>
      <c r="K19" s="55">
        <f t="shared" si="32"/>
        <v>0.89562680832898545</v>
      </c>
      <c r="L19" s="55">
        <f t="shared" si="32"/>
        <v>0.9045119188822327</v>
      </c>
      <c r="M19" s="55">
        <f t="shared" si="32"/>
        <v>0.90229031501602441</v>
      </c>
      <c r="N19" s="55">
        <f t="shared" si="32"/>
        <v>0.91315235397024452</v>
      </c>
      <c r="O19" s="55">
        <f t="shared" si="32"/>
        <v>0.9132132783684096</v>
      </c>
      <c r="P19" s="55">
        <f t="shared" si="32"/>
        <v>0.91482862370711759</v>
      </c>
      <c r="Q19" s="55">
        <f t="shared" si="32"/>
        <v>0.72394276207927477</v>
      </c>
      <c r="R19" s="55">
        <f t="shared" si="32"/>
        <v>0.58928917955115356</v>
      </c>
      <c r="S19" s="55">
        <f t="shared" si="32"/>
        <v>0.5455174298657417</v>
      </c>
      <c r="T19" s="55">
        <f t="shared" si="32"/>
        <v>0.65805795655875698</v>
      </c>
      <c r="U19" s="55">
        <f t="shared" si="32"/>
        <v>0.53254161752334805</v>
      </c>
      <c r="V19" s="55">
        <f t="shared" si="32"/>
        <v>0.38577876869615929</v>
      </c>
      <c r="W19" s="55">
        <f t="shared" si="32"/>
        <v>0.31755949424188645</v>
      </c>
      <c r="X19" s="55">
        <f t="shared" si="32"/>
        <v>0.3784594035556253</v>
      </c>
      <c r="Y19" s="55">
        <f>Y4/Y12</f>
        <v>0.59734363692364711</v>
      </c>
      <c r="Z19" s="79">
        <f t="shared" ref="Z19:AD19" si="33">Z4/Z12</f>
        <v>0.64487875840341558</v>
      </c>
      <c r="AA19" s="79">
        <f t="shared" si="33"/>
        <v>0.66973027125861473</v>
      </c>
      <c r="AB19" s="79">
        <f t="shared" si="33"/>
        <v>0.69460267567312139</v>
      </c>
      <c r="AC19" s="79">
        <f t="shared" si="33"/>
        <v>0.69120149499570838</v>
      </c>
      <c r="AD19" s="79">
        <f t="shared" si="33"/>
        <v>0.74067479455283403</v>
      </c>
      <c r="AM19" s="55">
        <f t="shared" ref="AM19:BA19" si="34">AM4/AM6</f>
        <v>1</v>
      </c>
      <c r="AN19" s="55">
        <f t="shared" si="34"/>
        <v>1</v>
      </c>
      <c r="AO19" s="55">
        <f t="shared" si="34"/>
        <v>1</v>
      </c>
      <c r="AP19" s="55">
        <f t="shared" si="34"/>
        <v>0.82499764166599698</v>
      </c>
      <c r="AQ19" s="55">
        <f t="shared" si="34"/>
        <v>0.54093436094767222</v>
      </c>
      <c r="AR19" s="59">
        <f t="shared" si="34"/>
        <v>0.52704265716475307</v>
      </c>
      <c r="AS19" s="59">
        <f t="shared" si="34"/>
        <v>0.62116830426213976</v>
      </c>
      <c r="AT19" s="59">
        <f t="shared" si="34"/>
        <v>0.65014421428222124</v>
      </c>
      <c r="AU19" s="59">
        <f t="shared" si="34"/>
        <v>0.66234019047973447</v>
      </c>
      <c r="AV19" s="59">
        <f t="shared" si="34"/>
        <v>0.66844033742597542</v>
      </c>
      <c r="AW19" s="59">
        <f t="shared" si="34"/>
        <v>0.66844033742597542</v>
      </c>
      <c r="AX19" s="59">
        <f t="shared" si="34"/>
        <v>0.64183933332786025</v>
      </c>
      <c r="AY19" s="59">
        <f t="shared" si="34"/>
        <v>0.6014489536628923</v>
      </c>
      <c r="AZ19" s="59">
        <f t="shared" si="34"/>
        <v>0.55962883065920965</v>
      </c>
      <c r="BA19" s="59">
        <f t="shared" si="34"/>
        <v>0.51694490001466897</v>
      </c>
    </row>
    <row r="20" spans="2:104">
      <c r="B20" s="37" t="s">
        <v>1472</v>
      </c>
      <c r="C20" s="55"/>
      <c r="D20" s="55"/>
      <c r="E20" s="55"/>
      <c r="F20" s="55"/>
      <c r="G20" s="55"/>
      <c r="H20" s="55"/>
      <c r="I20" s="55"/>
      <c r="J20" s="55"/>
      <c r="K20" s="55"/>
      <c r="L20" s="55"/>
      <c r="M20" s="55"/>
      <c r="N20" s="55"/>
      <c r="O20" s="55"/>
      <c r="P20" s="55"/>
      <c r="Q20" s="55">
        <f t="shared" ref="Q20:V20" si="35">Q5/Q12</f>
        <v>0.20827707589931529</v>
      </c>
      <c r="R20" s="55">
        <f t="shared" si="35"/>
        <v>0.33077029700475052</v>
      </c>
      <c r="S20" s="55">
        <f t="shared" si="35"/>
        <v>0.32394178838428178</v>
      </c>
      <c r="T20" s="55">
        <f t="shared" si="35"/>
        <v>0.33538425082730133</v>
      </c>
      <c r="U20" s="55">
        <f t="shared" si="35"/>
        <v>0.38740204336313683</v>
      </c>
      <c r="V20" s="55">
        <f t="shared" si="35"/>
        <v>0.58344167284303128</v>
      </c>
      <c r="W20" s="55">
        <f>W5/W12</f>
        <v>0.50330799530651316</v>
      </c>
      <c r="X20" s="55">
        <f t="shared" ref="X20" si="36">X5/X12</f>
        <v>0.46122817008352307</v>
      </c>
      <c r="Y20" s="55">
        <f>Y5/Y12</f>
        <v>0.32926581910788477</v>
      </c>
      <c r="Z20" s="79">
        <f t="shared" ref="Z20:AD20" si="37">Z5/Z12</f>
        <v>0.26936793315896473</v>
      </c>
      <c r="AA20" s="79">
        <f t="shared" si="37"/>
        <v>0.25555652472418922</v>
      </c>
      <c r="AB20" s="79">
        <f t="shared" si="37"/>
        <v>0.24465656676554626</v>
      </c>
      <c r="AC20" s="79">
        <f t="shared" si="37"/>
        <v>0.28283979592230535</v>
      </c>
      <c r="AD20" s="79">
        <f t="shared" si="37"/>
        <v>0.20373242903928829</v>
      </c>
      <c r="AM20" s="55">
        <f t="shared" ref="AM20:BA20" si="38">AM5/AM6</f>
        <v>0</v>
      </c>
      <c r="AN20" s="55">
        <f t="shared" si="38"/>
        <v>0</v>
      </c>
      <c r="AO20" s="55">
        <f t="shared" si="38"/>
        <v>0</v>
      </c>
      <c r="AP20" s="55">
        <f t="shared" si="38"/>
        <v>0.17500235833400299</v>
      </c>
      <c r="AQ20" s="55">
        <f t="shared" si="38"/>
        <v>0.45906563905232783</v>
      </c>
      <c r="AR20" s="59">
        <f t="shared" si="38"/>
        <v>0.47295734283524693</v>
      </c>
      <c r="AS20" s="59">
        <f t="shared" si="38"/>
        <v>0.37883169573786024</v>
      </c>
      <c r="AT20" s="59">
        <f t="shared" si="38"/>
        <v>0.3498557857177787</v>
      </c>
      <c r="AU20" s="59">
        <f t="shared" si="38"/>
        <v>0.33765980952026559</v>
      </c>
      <c r="AV20" s="59">
        <f t="shared" si="38"/>
        <v>0.33155966257402458</v>
      </c>
      <c r="AW20" s="59">
        <f t="shared" si="38"/>
        <v>0.33155966257402458</v>
      </c>
      <c r="AX20" s="59">
        <f t="shared" si="38"/>
        <v>0.35816066667213986</v>
      </c>
      <c r="AY20" s="59">
        <f t="shared" si="38"/>
        <v>0.39855104633710775</v>
      </c>
      <c r="AZ20" s="59">
        <f t="shared" si="38"/>
        <v>0.44037116934079024</v>
      </c>
      <c r="BA20" s="59">
        <f t="shared" si="38"/>
        <v>0.48305509998533103</v>
      </c>
      <c r="BF20" s="69"/>
    </row>
    <row r="21" spans="2:104">
      <c r="B21" s="37" t="s">
        <v>1675</v>
      </c>
      <c r="C21" s="55">
        <f>C11/C12</f>
        <v>0.1163502647923008</v>
      </c>
      <c r="D21" s="55">
        <f t="shared" ref="D21:AD21" si="39">D11/D12</f>
        <v>0.1894233359299354</v>
      </c>
      <c r="E21" s="55">
        <f t="shared" si="39"/>
        <v>0.15629776826658515</v>
      </c>
      <c r="F21" s="55">
        <f t="shared" si="39"/>
        <v>0.15497926168855325</v>
      </c>
      <c r="G21" s="55">
        <f t="shared" si="39"/>
        <v>0.14976417502092818</v>
      </c>
      <c r="H21" s="55">
        <f t="shared" si="39"/>
        <v>0.13559714545155374</v>
      </c>
      <c r="I21" s="55">
        <f t="shared" si="39"/>
        <v>0.11859851085177166</v>
      </c>
      <c r="J21" s="55">
        <f t="shared" si="39"/>
        <v>0.11282916780422429</v>
      </c>
      <c r="K21" s="55">
        <f t="shared" si="39"/>
        <v>0.10437319167101457</v>
      </c>
      <c r="L21" s="55">
        <f t="shared" si="39"/>
        <v>9.5488081117767201E-2</v>
      </c>
      <c r="M21" s="55">
        <f t="shared" si="39"/>
        <v>9.7709684983975614E-2</v>
      </c>
      <c r="N21" s="55">
        <f t="shared" si="39"/>
        <v>8.6847646029755532E-2</v>
      </c>
      <c r="O21" s="55">
        <f t="shared" si="39"/>
        <v>8.6786721631590361E-2</v>
      </c>
      <c r="P21" s="55">
        <f t="shared" si="39"/>
        <v>8.517137629288235E-2</v>
      </c>
      <c r="Q21" s="55">
        <f t="shared" si="39"/>
        <v>6.7780162021409962E-2</v>
      </c>
      <c r="R21" s="55">
        <f t="shared" si="39"/>
        <v>7.9940523444095829E-2</v>
      </c>
      <c r="S21" s="55">
        <f t="shared" si="39"/>
        <v>0.13054078174997641</v>
      </c>
      <c r="T21" s="55">
        <f t="shared" si="39"/>
        <v>6.5577926139416456E-3</v>
      </c>
      <c r="U21" s="55">
        <f t="shared" si="39"/>
        <v>8.0056339113515174E-2</v>
      </c>
      <c r="V21" s="55">
        <f t="shared" si="39"/>
        <v>3.0779558460809445E-2</v>
      </c>
      <c r="W21" s="55">
        <f t="shared" si="39"/>
        <v>0.17913251045160045</v>
      </c>
      <c r="X21" s="55">
        <f t="shared" si="39"/>
        <v>0.16031242636085144</v>
      </c>
      <c r="Y21" s="55">
        <f>Y11/Y12</f>
        <v>7.3390543968468211E-2</v>
      </c>
      <c r="Z21" s="79">
        <f t="shared" si="39"/>
        <v>8.5753308437619705E-2</v>
      </c>
      <c r="AA21" s="79">
        <f t="shared" si="39"/>
        <v>7.4713204017196083E-2</v>
      </c>
      <c r="AB21" s="79">
        <f t="shared" si="39"/>
        <v>6.074075756133241E-2</v>
      </c>
      <c r="AC21" s="79">
        <f t="shared" si="39"/>
        <v>2.595870908198632E-2</v>
      </c>
      <c r="AD21" s="79">
        <f t="shared" si="39"/>
        <v>5.5592776407877735E-2</v>
      </c>
      <c r="AM21" s="55"/>
      <c r="AN21" s="55"/>
      <c r="AO21" s="55"/>
      <c r="AP21" s="55"/>
      <c r="AQ21" s="55"/>
      <c r="AR21" s="59"/>
      <c r="AS21" s="59"/>
      <c r="AT21" s="59"/>
      <c r="AU21" s="59"/>
      <c r="AV21" s="59"/>
      <c r="AW21" s="59"/>
      <c r="AX21" s="59"/>
      <c r="AY21" s="59"/>
      <c r="AZ21" s="59"/>
      <c r="BA21" s="59"/>
      <c r="BF21" s="69"/>
    </row>
    <row r="23" spans="2:104" s="2" customFormat="1" ht="15">
      <c r="B23" s="2" t="s">
        <v>70</v>
      </c>
      <c r="C23" s="46">
        <f t="shared" ref="C23:W23" si="40">C12</f>
        <v>113.67399999999999</v>
      </c>
      <c r="D23" s="46">
        <f t="shared" si="40"/>
        <v>137.35900000000001</v>
      </c>
      <c r="E23" s="46">
        <f t="shared" si="40"/>
        <v>143.92400000000001</v>
      </c>
      <c r="F23" s="46">
        <f t="shared" si="40"/>
        <v>145.14200000000002</v>
      </c>
      <c r="G23" s="46">
        <f t="shared" si="40"/>
        <v>146.93100000000001</v>
      </c>
      <c r="H23" s="46">
        <f t="shared" si="40"/>
        <v>164.089</v>
      </c>
      <c r="I23" s="46">
        <f t="shared" si="40"/>
        <v>189.37</v>
      </c>
      <c r="J23" s="46">
        <f t="shared" si="40"/>
        <v>201.45499999999998</v>
      </c>
      <c r="K23" s="46">
        <f t="shared" si="40"/>
        <v>210.82999999999998</v>
      </c>
      <c r="L23" s="46">
        <f t="shared" si="40"/>
        <v>233.53700000000001</v>
      </c>
      <c r="M23" s="46">
        <f t="shared" si="40"/>
        <v>230.274</v>
      </c>
      <c r="N23" s="46">
        <f t="shared" si="40"/>
        <v>258.37199999999996</v>
      </c>
      <c r="O23" s="46">
        <f t="shared" si="40"/>
        <v>253.495</v>
      </c>
      <c r="P23" s="46">
        <f t="shared" si="40"/>
        <v>261.238</v>
      </c>
      <c r="Q23" s="46">
        <f t="shared" si="40"/>
        <v>331.80799999999999</v>
      </c>
      <c r="R23" s="46">
        <f t="shared" si="40"/>
        <v>396.79500000000002</v>
      </c>
      <c r="S23" s="46">
        <f t="shared" si="40"/>
        <v>413.45700000000005</v>
      </c>
      <c r="T23" s="46">
        <f t="shared" si="40"/>
        <v>362.92700000000002</v>
      </c>
      <c r="U23" s="46">
        <f t="shared" si="40"/>
        <v>467.17099999999999</v>
      </c>
      <c r="V23" s="46">
        <f t="shared" si="40"/>
        <v>658.42399999999998</v>
      </c>
      <c r="W23" s="46">
        <f t="shared" si="40"/>
        <v>744.86199999999997</v>
      </c>
      <c r="X23" s="46">
        <f>X12</f>
        <v>611.08800000000008</v>
      </c>
      <c r="Y23" s="46">
        <f>Y12</f>
        <v>399.34299999999996</v>
      </c>
      <c r="Z23" s="47">
        <f t="shared" ref="Z23:AD23" si="41">Z12</f>
        <v>413.57588000000004</v>
      </c>
      <c r="AA23" s="47">
        <f t="shared" si="41"/>
        <v>410.75296400000002</v>
      </c>
      <c r="AB23" s="47">
        <f t="shared" si="41"/>
        <v>403.20949200000001</v>
      </c>
      <c r="AC23" s="47">
        <f t="shared" si="41"/>
        <v>316.12665999999996</v>
      </c>
      <c r="AD23" s="47">
        <f t="shared" si="41"/>
        <v>382.7709529</v>
      </c>
      <c r="AM23" s="46">
        <f>SUM(C23:F23)</f>
        <v>540.09900000000005</v>
      </c>
      <c r="AN23" s="46">
        <f>SUM(G23:J23)</f>
        <v>701.84500000000003</v>
      </c>
      <c r="AO23" s="46">
        <f>SUM(K23:N23)</f>
        <v>933.01299999999992</v>
      </c>
      <c r="AP23" s="46">
        <f>SUM(O23:R23)</f>
        <v>1243.336</v>
      </c>
      <c r="AQ23" s="46">
        <f>SUM(S23:V23)</f>
        <v>1901.979</v>
      </c>
      <c r="AR23" s="47">
        <f>AR12</f>
        <v>2210.6944899999999</v>
      </c>
      <c r="AS23" s="47">
        <f t="shared" ref="AS23:BA23" si="42">AS12</f>
        <v>1760.8725523499998</v>
      </c>
      <c r="AT23" s="47">
        <f t="shared" si="42"/>
        <v>1722.4535335980001</v>
      </c>
      <c r="AU23" s="47">
        <f t="shared" si="42"/>
        <v>1616.6839020591001</v>
      </c>
      <c r="AV23" s="47">
        <f t="shared" si="42"/>
        <v>1493.3504460822937</v>
      </c>
      <c r="AW23" s="47">
        <f t="shared" si="42"/>
        <v>1357.6564678470711</v>
      </c>
      <c r="AX23" s="47">
        <f t="shared" si="42"/>
        <v>1151.0865079618079</v>
      </c>
      <c r="AY23" s="47">
        <f t="shared" si="42"/>
        <v>1001.108851239797</v>
      </c>
      <c r="AZ23" s="47">
        <f t="shared" si="42"/>
        <v>877.96017014309939</v>
      </c>
      <c r="BA23" s="47">
        <f t="shared" si="42"/>
        <v>777.24314556502816</v>
      </c>
      <c r="BB23" s="47"/>
      <c r="BC23" s="47"/>
      <c r="BD23" s="47"/>
      <c r="BE23" s="47"/>
      <c r="BF23" s="47"/>
      <c r="BG23" s="47"/>
      <c r="BH23" s="47"/>
      <c r="BI23" s="47"/>
      <c r="BJ23" s="47"/>
      <c r="BK23" s="47"/>
      <c r="BL23" s="34"/>
      <c r="BM23" s="34"/>
      <c r="BN23" s="34"/>
      <c r="BO23" s="34"/>
      <c r="BP23" s="34"/>
      <c r="BQ23" s="34"/>
      <c r="BR23" s="34"/>
      <c r="BS23" s="34"/>
      <c r="BT23" s="34"/>
      <c r="BU23" s="34"/>
      <c r="BV23" s="34"/>
      <c r="BW23" s="34"/>
      <c r="BX23" s="34"/>
      <c r="BY23" s="34"/>
      <c r="BZ23" s="34"/>
      <c r="CA23" s="34"/>
      <c r="CB23" s="34"/>
      <c r="CC23" s="34"/>
      <c r="CD23" s="34"/>
      <c r="CE23" s="34"/>
      <c r="CF23" s="34"/>
      <c r="CG23" s="34"/>
      <c r="CH23" s="34"/>
      <c r="CI23" s="34"/>
      <c r="CJ23" s="34"/>
      <c r="CK23" s="34"/>
      <c r="CL23" s="34"/>
      <c r="CM23" s="34"/>
      <c r="CN23" s="34"/>
      <c r="CO23" s="34"/>
      <c r="CP23" s="34"/>
      <c r="CQ23" s="34"/>
      <c r="CR23" s="34"/>
      <c r="CS23" s="34"/>
      <c r="CT23" s="34"/>
      <c r="CU23" s="58"/>
      <c r="CV23" s="58"/>
      <c r="CW23" s="58"/>
      <c r="CX23" s="58"/>
      <c r="CY23" s="58"/>
      <c r="CZ23" s="58"/>
    </row>
    <row r="24" spans="2:104">
      <c r="B24" s="1" t="s">
        <v>72</v>
      </c>
      <c r="C24" s="48">
        <v>12.622</v>
      </c>
      <c r="D24" s="48">
        <v>13.340999999999999</v>
      </c>
      <c r="E24" s="48">
        <v>15.015000000000001</v>
      </c>
      <c r="F24" s="48">
        <f>63.382-SUM(C24:E24)</f>
        <v>22.403999999999996</v>
      </c>
      <c r="G24" s="48">
        <v>22.346</v>
      </c>
      <c r="H24" s="48">
        <v>19.515000000000001</v>
      </c>
      <c r="I24" s="48">
        <v>23.44</v>
      </c>
      <c r="J24" s="48">
        <f>97.049-SUM(G24:I24)</f>
        <v>31.748000000000005</v>
      </c>
      <c r="K24" s="48">
        <v>31.443000000000001</v>
      </c>
      <c r="L24" s="48">
        <v>37.795000000000002</v>
      </c>
      <c r="M24" s="48">
        <v>39.951999999999998</v>
      </c>
      <c r="N24" s="48">
        <f>139.989-SUM(K24:M24)</f>
        <v>30.799000000000007</v>
      </c>
      <c r="O24" s="48">
        <v>35.017000000000003</v>
      </c>
      <c r="P24" s="48">
        <v>34.124000000000002</v>
      </c>
      <c r="Q24" s="48">
        <v>37.026000000000003</v>
      </c>
      <c r="R24" s="48">
        <f>150.343-SUM(O24:Q24)</f>
        <v>44.175999999999988</v>
      </c>
      <c r="S24" s="48">
        <v>50.558999999999997</v>
      </c>
      <c r="T24" s="48">
        <v>44.54</v>
      </c>
      <c r="U24" s="48">
        <v>91.691000000000003</v>
      </c>
      <c r="V24" s="48">
        <f>319.099-SUM(S24:U24)</f>
        <v>132.309</v>
      </c>
      <c r="W24" s="48">
        <v>137.56</v>
      </c>
      <c r="X24" s="48">
        <v>152.55799999999999</v>
      </c>
      <c r="Y24" s="48">
        <v>150.77500000000001</v>
      </c>
      <c r="Z24" s="49">
        <f t="shared" ref="Z24:AD24" si="43">Z23*(1-Z39)</f>
        <v>82.715175999999985</v>
      </c>
      <c r="AA24" s="49">
        <f t="shared" si="43"/>
        <v>78.043063159999988</v>
      </c>
      <c r="AB24" s="49">
        <f t="shared" si="43"/>
        <v>72.577708560000019</v>
      </c>
      <c r="AC24" s="49">
        <f t="shared" si="43"/>
        <v>53.741532200000009</v>
      </c>
      <c r="AD24" s="49">
        <f t="shared" si="43"/>
        <v>65.071061993000015</v>
      </c>
      <c r="AM24" s="48">
        <f t="shared" ref="AM24:AM35" si="44">SUM(C24:F24)</f>
        <v>63.381999999999998</v>
      </c>
      <c r="AN24" s="48">
        <f t="shared" ref="AN24:AN35" si="45">SUM(G24:J24)</f>
        <v>97.049000000000007</v>
      </c>
      <c r="AO24" s="48">
        <f t="shared" ref="AO24:AO35" si="46">SUM(K24:N24)</f>
        <v>139.989</v>
      </c>
      <c r="AP24" s="48">
        <f t="shared" ref="AP24:AP35" si="47">SUM(O24:R24)</f>
        <v>150.34299999999999</v>
      </c>
      <c r="AQ24" s="48">
        <f t="shared" ref="AQ24:AQ35" si="48">SUM(S24:V24)</f>
        <v>319.09899999999999</v>
      </c>
      <c r="AR24" s="49">
        <f>AR23*(1-AR39)</f>
        <v>530.56667759999993</v>
      </c>
      <c r="AS24" s="49">
        <f t="shared" ref="AS24:BA24" si="49">AS23*(1-AS39)</f>
        <v>334.56578494649983</v>
      </c>
      <c r="AT24" s="49">
        <f t="shared" si="49"/>
        <v>249.75576237171006</v>
      </c>
      <c r="AU24" s="49">
        <f t="shared" si="49"/>
        <v>226.33574628827404</v>
      </c>
      <c r="AV24" s="49">
        <f t="shared" si="49"/>
        <v>209.06906245152115</v>
      </c>
      <c r="AW24" s="49">
        <f t="shared" si="49"/>
        <v>190.07190549858998</v>
      </c>
      <c r="AX24" s="49">
        <f t="shared" si="49"/>
        <v>161.15211111465311</v>
      </c>
      <c r="AY24" s="49">
        <f t="shared" si="49"/>
        <v>140.1552391735716</v>
      </c>
      <c r="AZ24" s="49">
        <f t="shared" si="49"/>
        <v>122.91442382003393</v>
      </c>
      <c r="BA24" s="49">
        <f t="shared" si="49"/>
        <v>108.81404037910396</v>
      </c>
    </row>
    <row r="25" spans="2:104">
      <c r="B25" s="1" t="s">
        <v>73</v>
      </c>
      <c r="C25" s="48">
        <f t="shared" ref="C25:F25" si="50">C23-C24</f>
        <v>101.05199999999999</v>
      </c>
      <c r="D25" s="48">
        <f t="shared" si="50"/>
        <v>124.01800000000001</v>
      </c>
      <c r="E25" s="48">
        <f t="shared" si="50"/>
        <v>128.90899999999999</v>
      </c>
      <c r="F25" s="48">
        <f t="shared" si="50"/>
        <v>122.73800000000003</v>
      </c>
      <c r="G25" s="48">
        <f>G23-G24</f>
        <v>124.58500000000001</v>
      </c>
      <c r="H25" s="48">
        <f t="shared" ref="H25:W25" si="51">H23-H24</f>
        <v>144.57400000000001</v>
      </c>
      <c r="I25" s="48">
        <f t="shared" si="51"/>
        <v>165.93</v>
      </c>
      <c r="J25" s="48">
        <f t="shared" si="51"/>
        <v>169.70699999999999</v>
      </c>
      <c r="K25" s="48">
        <f t="shared" si="51"/>
        <v>179.38699999999997</v>
      </c>
      <c r="L25" s="48">
        <f t="shared" si="51"/>
        <v>195.74200000000002</v>
      </c>
      <c r="M25" s="48">
        <f t="shared" si="51"/>
        <v>190.322</v>
      </c>
      <c r="N25" s="48">
        <f t="shared" si="51"/>
        <v>227.57299999999995</v>
      </c>
      <c r="O25" s="48">
        <f t="shared" si="51"/>
        <v>218.47800000000001</v>
      </c>
      <c r="P25" s="48">
        <f t="shared" si="51"/>
        <v>227.114</v>
      </c>
      <c r="Q25" s="48">
        <f t="shared" si="51"/>
        <v>294.78199999999998</v>
      </c>
      <c r="R25" s="48">
        <f t="shared" si="51"/>
        <v>352.61900000000003</v>
      </c>
      <c r="S25" s="48">
        <f t="shared" si="51"/>
        <v>362.89800000000002</v>
      </c>
      <c r="T25" s="48">
        <f t="shared" si="51"/>
        <v>318.387</v>
      </c>
      <c r="U25" s="48">
        <f t="shared" si="51"/>
        <v>375.48</v>
      </c>
      <c r="V25" s="48">
        <f t="shared" si="51"/>
        <v>526.11500000000001</v>
      </c>
      <c r="W25" s="48">
        <f t="shared" si="51"/>
        <v>607.30199999999991</v>
      </c>
      <c r="X25" s="48">
        <f t="shared" ref="X25:Y25" si="52">X23-X24</f>
        <v>458.53000000000009</v>
      </c>
      <c r="Y25" s="48">
        <f t="shared" si="52"/>
        <v>248.56799999999996</v>
      </c>
      <c r="Z25" s="49">
        <f t="shared" ref="Z25:AD25" si="53">Z23*Z39</f>
        <v>330.86070400000006</v>
      </c>
      <c r="AA25" s="49">
        <f t="shared" si="53"/>
        <v>332.70990084000005</v>
      </c>
      <c r="AB25" s="49">
        <f t="shared" si="53"/>
        <v>330.63178343999999</v>
      </c>
      <c r="AC25" s="49">
        <f t="shared" si="53"/>
        <v>262.38512779999996</v>
      </c>
      <c r="AD25" s="49">
        <f t="shared" si="53"/>
        <v>317.699890907</v>
      </c>
      <c r="AM25" s="48">
        <f t="shared" si="44"/>
        <v>476.71699999999998</v>
      </c>
      <c r="AN25" s="48">
        <f t="shared" si="45"/>
        <v>604.79600000000005</v>
      </c>
      <c r="AO25" s="48">
        <f t="shared" si="46"/>
        <v>793.024</v>
      </c>
      <c r="AP25" s="48">
        <f t="shared" si="47"/>
        <v>1092.9929999999999</v>
      </c>
      <c r="AQ25" s="48">
        <f t="shared" si="48"/>
        <v>1582.88</v>
      </c>
      <c r="AR25" s="49">
        <f>AR23-AR24</f>
        <v>1680.1278124</v>
      </c>
      <c r="AS25" s="49">
        <f t="shared" ref="AS25:BA25" si="54">AS23-AS24</f>
        <v>1426.3067674034999</v>
      </c>
      <c r="AT25" s="49">
        <f t="shared" si="54"/>
        <v>1472.6977712262901</v>
      </c>
      <c r="AU25" s="49">
        <f t="shared" si="54"/>
        <v>1390.348155770826</v>
      </c>
      <c r="AV25" s="49">
        <f t="shared" si="54"/>
        <v>1284.2813836307726</v>
      </c>
      <c r="AW25" s="49">
        <f t="shared" si="54"/>
        <v>1167.5845623484811</v>
      </c>
      <c r="AX25" s="49">
        <f t="shared" si="54"/>
        <v>989.93439684715486</v>
      </c>
      <c r="AY25" s="49">
        <f t="shared" si="54"/>
        <v>860.95361206622533</v>
      </c>
      <c r="AZ25" s="49">
        <f t="shared" si="54"/>
        <v>755.04574632306549</v>
      </c>
      <c r="BA25" s="49">
        <f t="shared" si="54"/>
        <v>668.42910518592419</v>
      </c>
    </row>
    <row r="26" spans="2:104">
      <c r="B26" s="1" t="s">
        <v>177</v>
      </c>
      <c r="C26" s="48">
        <v>136.14400000000001</v>
      </c>
      <c r="D26" s="48">
        <v>188.52199999999999</v>
      </c>
      <c r="E26" s="48">
        <v>190.43799999999999</v>
      </c>
      <c r="F26" s="48">
        <f>722.343-SUM(C26:E26)</f>
        <v>207.23899999999992</v>
      </c>
      <c r="G26" s="48">
        <v>195.149</v>
      </c>
      <c r="H26" s="48">
        <v>239.62200000000001</v>
      </c>
      <c r="I26" s="48">
        <v>139.11500000000001</v>
      </c>
      <c r="J26" s="48">
        <f>771.182-SUM(G26:I26)</f>
        <v>197.29600000000005</v>
      </c>
      <c r="K26" s="48">
        <v>194.25</v>
      </c>
      <c r="L26" s="48">
        <v>252.32900000000001</v>
      </c>
      <c r="M26" s="48">
        <v>216.7</v>
      </c>
      <c r="N26" s="48">
        <f>877.09-SUM(K26:M26)</f>
        <v>213.81100000000004</v>
      </c>
      <c r="O26" s="48">
        <v>245.679</v>
      </c>
      <c r="P26" s="48">
        <v>241.89</v>
      </c>
      <c r="Q26" s="48">
        <v>194.30099999999999</v>
      </c>
      <c r="R26" s="48">
        <f>877.387-SUM(O26:Q26)</f>
        <v>195.51700000000005</v>
      </c>
      <c r="S26" s="48">
        <v>200.39599999999999</v>
      </c>
      <c r="T26" s="48">
        <v>179.69</v>
      </c>
      <c r="U26" s="48">
        <v>224.483</v>
      </c>
      <c r="V26" s="48">
        <f>804.522-SUM(S26:U26)</f>
        <v>199.95300000000009</v>
      </c>
      <c r="W26" s="48">
        <v>773.44799999999998</v>
      </c>
      <c r="X26" s="48">
        <v>204.392</v>
      </c>
      <c r="Y26" s="48">
        <v>218.89</v>
      </c>
      <c r="Z26" s="49">
        <f t="shared" ref="Z26:AD26" si="55">Z23*Z40</f>
        <v>138.32966981017464</v>
      </c>
      <c r="AA26" s="49">
        <f t="shared" si="55"/>
        <v>137.3854826438876</v>
      </c>
      <c r="AB26" s="49">
        <f t="shared" si="55"/>
        <v>134.8624003234624</v>
      </c>
      <c r="AC26" s="49">
        <f t="shared" si="55"/>
        <v>105.73560647684127</v>
      </c>
      <c r="AD26" s="49">
        <f t="shared" si="55"/>
        <v>128.02627543845858</v>
      </c>
      <c r="AM26" s="48">
        <f t="shared" si="44"/>
        <v>722.34299999999996</v>
      </c>
      <c r="AN26" s="48">
        <f t="shared" si="45"/>
        <v>771.18200000000002</v>
      </c>
      <c r="AO26" s="48">
        <f t="shared" si="46"/>
        <v>877.09</v>
      </c>
      <c r="AP26" s="48">
        <f t="shared" si="47"/>
        <v>877.38699999999994</v>
      </c>
      <c r="AQ26" s="48">
        <f t="shared" si="48"/>
        <v>804.52200000000005</v>
      </c>
      <c r="AR26" s="49">
        <f>AR23*AR40</f>
        <v>1348.5236388999999</v>
      </c>
      <c r="AS26" s="49">
        <f t="shared" ref="AS26:BA26" si="56">AS23*AS40</f>
        <v>968.47990379249995</v>
      </c>
      <c r="AT26" s="49">
        <f t="shared" si="56"/>
        <v>723.43048411116001</v>
      </c>
      <c r="AU26" s="49">
        <f t="shared" si="56"/>
        <v>517.33884865891207</v>
      </c>
      <c r="AV26" s="49">
        <f t="shared" si="56"/>
        <v>418.1381249030423</v>
      </c>
      <c r="AW26" s="49">
        <f t="shared" si="56"/>
        <v>339.41411696176777</v>
      </c>
      <c r="AX26" s="49">
        <f t="shared" si="56"/>
        <v>276.26076191083388</v>
      </c>
      <c r="AY26" s="49">
        <f t="shared" si="56"/>
        <v>240.26612429755127</v>
      </c>
      <c r="AZ26" s="49">
        <f t="shared" si="56"/>
        <v>210.71044083434384</v>
      </c>
      <c r="BA26" s="49">
        <f t="shared" si="56"/>
        <v>186.53835493560675</v>
      </c>
    </row>
    <row r="27" spans="2:104">
      <c r="B27" s="1" t="s">
        <v>178</v>
      </c>
      <c r="C27" s="48">
        <v>82.768000000000001</v>
      </c>
      <c r="D27" s="48">
        <v>73.688000000000002</v>
      </c>
      <c r="E27" s="48">
        <v>75.373000000000005</v>
      </c>
      <c r="F27" s="48">
        <f>317.875-SUM(C27:E27)</f>
        <v>86.045999999999992</v>
      </c>
      <c r="G27" s="48">
        <v>71.131</v>
      </c>
      <c r="H27" s="48">
        <v>72.346999999999994</v>
      </c>
      <c r="I27" s="48">
        <v>61.127000000000002</v>
      </c>
      <c r="J27" s="48">
        <f>282.66-SUM(G27:I27)</f>
        <v>78.055000000000007</v>
      </c>
      <c r="K27" s="48">
        <v>71.84</v>
      </c>
      <c r="L27" s="48">
        <v>154.316</v>
      </c>
      <c r="M27" s="48">
        <v>104.78700000000001</v>
      </c>
      <c r="N27" s="48">
        <f>451.421-SUM(K27:M27)</f>
        <v>120.47800000000001</v>
      </c>
      <c r="O27" s="48">
        <v>110.714</v>
      </c>
      <c r="P27" s="48">
        <v>118.56</v>
      </c>
      <c r="Q27" s="48">
        <v>120.893</v>
      </c>
      <c r="R27" s="48">
        <f>481.871-SUM(O27:Q27)</f>
        <v>131.70399999999995</v>
      </c>
      <c r="S27" s="48">
        <v>127.003</v>
      </c>
      <c r="T27" s="48">
        <v>138.79599999999999</v>
      </c>
      <c r="U27" s="48">
        <v>128.19999999999999</v>
      </c>
      <c r="V27" s="48">
        <f>557.87-SUM(S27:U27)</f>
        <v>163.87100000000004</v>
      </c>
      <c r="W27" s="48">
        <v>133.62899999999999</v>
      </c>
      <c r="X27" s="48">
        <v>137.89699999999999</v>
      </c>
      <c r="Y27" s="48">
        <v>91.89</v>
      </c>
      <c r="Z27" s="49">
        <f t="shared" ref="Z27:AD27" si="57">Z23*Z41</f>
        <v>93.326776379768546</v>
      </c>
      <c r="AA27" s="49">
        <f t="shared" si="57"/>
        <v>92.689762320169919</v>
      </c>
      <c r="AB27" s="49">
        <f t="shared" si="57"/>
        <v>90.98751623059853</v>
      </c>
      <c r="AC27" s="49">
        <f t="shared" si="57"/>
        <v>71.336563692986914</v>
      </c>
      <c r="AD27" s="49">
        <f t="shared" si="57"/>
        <v>86.375392892760601</v>
      </c>
      <c r="AM27" s="48">
        <f t="shared" si="44"/>
        <v>317.875</v>
      </c>
      <c r="AN27" s="48">
        <f t="shared" si="45"/>
        <v>282.66000000000003</v>
      </c>
      <c r="AO27" s="48">
        <f t="shared" si="46"/>
        <v>451.42099999999999</v>
      </c>
      <c r="AP27" s="48">
        <f t="shared" si="47"/>
        <v>481.87099999999998</v>
      </c>
      <c r="AQ27" s="48">
        <f t="shared" si="48"/>
        <v>557.87</v>
      </c>
      <c r="AR27" s="49">
        <f>AR23*AR41</f>
        <v>541.62015005000001</v>
      </c>
      <c r="AS27" s="49">
        <f t="shared" ref="AS27:BA27" si="58">AS23*AS41</f>
        <v>343.37014770824999</v>
      </c>
      <c r="AT27" s="49">
        <f t="shared" si="58"/>
        <v>331.57230521761505</v>
      </c>
      <c r="AU27" s="49">
        <f t="shared" si="58"/>
        <v>307.16994139122903</v>
      </c>
      <c r="AV27" s="49">
        <f t="shared" si="58"/>
        <v>276.26983252522433</v>
      </c>
      <c r="AW27" s="49">
        <f t="shared" si="58"/>
        <v>247.77230538209048</v>
      </c>
      <c r="AX27" s="49">
        <f t="shared" si="58"/>
        <v>207.19557143312542</v>
      </c>
      <c r="AY27" s="49">
        <f t="shared" si="58"/>
        <v>180.19959322316345</v>
      </c>
      <c r="AZ27" s="49">
        <f t="shared" si="58"/>
        <v>158.0328306257579</v>
      </c>
      <c r="BA27" s="49">
        <f t="shared" si="58"/>
        <v>139.90376620170505</v>
      </c>
    </row>
    <row r="28" spans="2:104">
      <c r="B28" s="1" t="s">
        <v>185</v>
      </c>
      <c r="C28" s="48">
        <v>0</v>
      </c>
      <c r="D28" s="48">
        <v>0</v>
      </c>
      <c r="E28" s="48">
        <v>0</v>
      </c>
      <c r="F28" s="48">
        <f>0-SUM(C28:E28)</f>
        <v>0</v>
      </c>
      <c r="G28" s="48">
        <v>10</v>
      </c>
      <c r="H28" s="48">
        <v>0</v>
      </c>
      <c r="I28" s="48">
        <v>0</v>
      </c>
      <c r="J28" s="48">
        <f>10-SUM(G28:I28)</f>
        <v>0</v>
      </c>
      <c r="K28" s="48">
        <v>0</v>
      </c>
      <c r="L28" s="48">
        <v>0</v>
      </c>
      <c r="M28" s="48">
        <v>0</v>
      </c>
      <c r="N28" s="48">
        <f>0-SUM(K28:M28)</f>
        <v>0</v>
      </c>
      <c r="O28" s="48">
        <v>0</v>
      </c>
      <c r="P28" s="48">
        <v>0</v>
      </c>
      <c r="Q28" s="48">
        <f>0-SUM(N28:P28)</f>
        <v>0</v>
      </c>
      <c r="R28" s="48">
        <f>0-SUM(O28:Q28)</f>
        <v>0</v>
      </c>
      <c r="S28" s="48">
        <f>0-SUM(P28:R28)</f>
        <v>0</v>
      </c>
      <c r="T28" s="48">
        <f>0-SUM(Q28:S28)</f>
        <v>0</v>
      </c>
      <c r="U28" s="48">
        <v>0</v>
      </c>
      <c r="V28" s="48">
        <v>0</v>
      </c>
      <c r="W28" s="48">
        <v>0</v>
      </c>
      <c r="X28" s="48">
        <v>0</v>
      </c>
      <c r="Y28" s="48">
        <v>40.51</v>
      </c>
      <c r="Z28" s="49">
        <v>0</v>
      </c>
      <c r="AA28" s="49">
        <v>0</v>
      </c>
      <c r="AB28" s="49">
        <v>0</v>
      </c>
      <c r="AC28" s="49">
        <v>0</v>
      </c>
      <c r="AD28" s="49">
        <v>0</v>
      </c>
      <c r="AM28" s="48">
        <f t="shared" si="44"/>
        <v>0</v>
      </c>
      <c r="AN28" s="48">
        <f t="shared" si="45"/>
        <v>10</v>
      </c>
      <c r="AO28" s="48">
        <f t="shared" si="46"/>
        <v>0</v>
      </c>
      <c r="AP28" s="48">
        <f t="shared" si="47"/>
        <v>0</v>
      </c>
      <c r="AQ28" s="48">
        <f t="shared" si="48"/>
        <v>0</v>
      </c>
      <c r="AR28" s="49">
        <v>0</v>
      </c>
      <c r="AS28" s="49">
        <v>0</v>
      </c>
      <c r="AT28" s="49">
        <v>0</v>
      </c>
      <c r="AU28" s="49">
        <v>0</v>
      </c>
      <c r="AV28" s="49">
        <v>0</v>
      </c>
      <c r="AW28" s="49">
        <v>0</v>
      </c>
      <c r="AX28" s="49">
        <v>0</v>
      </c>
      <c r="AY28" s="49">
        <v>0</v>
      </c>
      <c r="AZ28" s="49">
        <v>0</v>
      </c>
      <c r="BA28" s="49">
        <v>0</v>
      </c>
    </row>
    <row r="29" spans="2:104">
      <c r="B29" s="1" t="s">
        <v>179</v>
      </c>
      <c r="C29" s="48">
        <v>0.16600000000000001</v>
      </c>
      <c r="D29" s="48">
        <v>0.16500000000000001</v>
      </c>
      <c r="E29" s="48">
        <v>0.16600000000000001</v>
      </c>
      <c r="F29" s="48">
        <f>0.662-SUM(C29:E29)</f>
        <v>0.16500000000000004</v>
      </c>
      <c r="G29" s="48">
        <v>0.17</v>
      </c>
      <c r="H29" s="48">
        <v>0.17899999999999999</v>
      </c>
      <c r="I29" s="48">
        <v>0.17799999999999999</v>
      </c>
      <c r="J29" s="48">
        <f>0.706-SUM(G29:I29)</f>
        <v>0.17900000000000005</v>
      </c>
      <c r="K29" s="48">
        <v>0.17799999999999999</v>
      </c>
      <c r="L29" s="48">
        <v>0.17899999999999999</v>
      </c>
      <c r="M29" s="48">
        <v>0.17799999999999999</v>
      </c>
      <c r="N29" s="48">
        <f>0.71-SUM(K29:M29)</f>
        <v>0.17500000000000004</v>
      </c>
      <c r="O29" s="48">
        <v>0.17799999999999999</v>
      </c>
      <c r="P29" s="48">
        <v>0.17899999999999999</v>
      </c>
      <c r="Q29" s="48">
        <v>0.439</v>
      </c>
      <c r="R29" s="48">
        <f>1.559-SUM(O29:Q29)</f>
        <v>0.7629999999999999</v>
      </c>
      <c r="S29" s="48">
        <v>0.60099999999999998</v>
      </c>
      <c r="T29" s="48">
        <v>0.60099999999999998</v>
      </c>
      <c r="U29" s="48">
        <v>0.6</v>
      </c>
      <c r="V29" s="48">
        <f>2.405-SUM(S29:U29)</f>
        <v>0.60299999999999976</v>
      </c>
      <c r="W29" s="48">
        <v>0.6</v>
      </c>
      <c r="X29" s="48">
        <v>0.66700000000000004</v>
      </c>
      <c r="Y29" s="48">
        <v>0.67700000000000005</v>
      </c>
      <c r="Z29" s="49">
        <v>0</v>
      </c>
      <c r="AA29" s="49">
        <v>0</v>
      </c>
      <c r="AB29" s="49">
        <v>0</v>
      </c>
      <c r="AC29" s="49">
        <v>0</v>
      </c>
      <c r="AD29" s="49">
        <v>0</v>
      </c>
      <c r="AM29" s="48">
        <f t="shared" si="44"/>
        <v>0.66200000000000003</v>
      </c>
      <c r="AN29" s="48">
        <f t="shared" si="45"/>
        <v>0.70599999999999996</v>
      </c>
      <c r="AO29" s="48">
        <f t="shared" si="46"/>
        <v>0.71</v>
      </c>
      <c r="AP29" s="48">
        <f t="shared" si="47"/>
        <v>1.5589999999999999</v>
      </c>
      <c r="AQ29" s="48">
        <f t="shared" si="48"/>
        <v>2.4049999999999998</v>
      </c>
      <c r="AR29" s="49">
        <f>AQ29*1</f>
        <v>2.4049999999999998</v>
      </c>
      <c r="AS29" s="49">
        <f>AR29*1.05</f>
        <v>2.5252499999999998</v>
      </c>
      <c r="AT29" s="49">
        <f t="shared" ref="AT29:BA29" si="59">AS29*1.05</f>
        <v>2.6515124999999999</v>
      </c>
      <c r="AU29" s="49">
        <f t="shared" si="59"/>
        <v>2.7840881250000002</v>
      </c>
      <c r="AV29" s="49">
        <f t="shared" si="59"/>
        <v>2.9232925312500004</v>
      </c>
      <c r="AW29" s="49">
        <f t="shared" si="59"/>
        <v>3.0694571578125007</v>
      </c>
      <c r="AX29" s="49">
        <f t="shared" si="59"/>
        <v>3.2229300157031258</v>
      </c>
      <c r="AY29" s="49">
        <f t="shared" si="59"/>
        <v>3.3840765164882822</v>
      </c>
      <c r="AZ29" s="49">
        <f t="shared" si="59"/>
        <v>3.5532803423126964</v>
      </c>
      <c r="BA29" s="49">
        <f t="shared" si="59"/>
        <v>3.7309443594283316</v>
      </c>
    </row>
    <row r="30" spans="2:104">
      <c r="B30" s="1" t="s">
        <v>180</v>
      </c>
      <c r="C30" s="48">
        <f>C25-SUM(C26:C29)</f>
        <v>-118.02600000000001</v>
      </c>
      <c r="D30" s="48">
        <f t="shared" ref="D30:W30" si="60">D25-SUM(D26:D29)</f>
        <v>-138.35699999999997</v>
      </c>
      <c r="E30" s="48">
        <f t="shared" si="60"/>
        <v>-137.06799999999998</v>
      </c>
      <c r="F30" s="48">
        <f t="shared" si="60"/>
        <v>-170.7119999999999</v>
      </c>
      <c r="G30" s="48">
        <f t="shared" si="60"/>
        <v>-151.86499999999998</v>
      </c>
      <c r="H30" s="48">
        <f t="shared" si="60"/>
        <v>-167.57399999999996</v>
      </c>
      <c r="I30" s="48">
        <f t="shared" si="60"/>
        <v>-34.490000000000009</v>
      </c>
      <c r="J30" s="48">
        <f t="shared" si="60"/>
        <v>-105.82300000000004</v>
      </c>
      <c r="K30" s="48">
        <f t="shared" si="60"/>
        <v>-86.881000000000057</v>
      </c>
      <c r="L30" s="48">
        <f t="shared" si="60"/>
        <v>-211.08199999999994</v>
      </c>
      <c r="M30" s="48">
        <f t="shared" si="60"/>
        <v>-131.34299999999996</v>
      </c>
      <c r="N30" s="48">
        <f t="shared" si="60"/>
        <v>-106.8910000000001</v>
      </c>
      <c r="O30" s="48">
        <f t="shared" si="60"/>
        <v>-138.09300000000002</v>
      </c>
      <c r="P30" s="48">
        <f t="shared" si="60"/>
        <v>-133.51499999999996</v>
      </c>
      <c r="Q30" s="48">
        <f>Q25-SUM(Q26:Q29)</f>
        <v>-20.850999999999999</v>
      </c>
      <c r="R30" s="48">
        <f t="shared" si="60"/>
        <v>24.635000000000048</v>
      </c>
      <c r="S30" s="48">
        <f>S25-SUM(S26:S29)</f>
        <v>34.898000000000025</v>
      </c>
      <c r="T30" s="48">
        <f>T25-SUM(T26:T29)</f>
        <v>-0.69999999999998863</v>
      </c>
      <c r="U30" s="48">
        <f t="shared" si="60"/>
        <v>22.197000000000003</v>
      </c>
      <c r="V30" s="48">
        <f t="shared" si="60"/>
        <v>161.68799999999987</v>
      </c>
      <c r="W30" s="48">
        <f t="shared" si="60"/>
        <v>-300.37500000000011</v>
      </c>
      <c r="X30" s="48">
        <f t="shared" ref="X30:Y30" si="61">X25-SUM(X26:X29)</f>
        <v>115.57400000000013</v>
      </c>
      <c r="Y30" s="48">
        <f t="shared" si="61"/>
        <v>-103.39900000000003</v>
      </c>
      <c r="Z30" s="49">
        <f t="shared" ref="Z30:AD30" si="62">Z25-SUM(Z26:Z29)</f>
        <v>99.204257810056873</v>
      </c>
      <c r="AA30" s="49">
        <f t="shared" si="62"/>
        <v>102.63465587594254</v>
      </c>
      <c r="AB30" s="49">
        <f t="shared" si="62"/>
        <v>104.78186688593905</v>
      </c>
      <c r="AC30" s="49">
        <f t="shared" si="62"/>
        <v>85.31295763017178</v>
      </c>
      <c r="AD30" s="49">
        <f t="shared" si="62"/>
        <v>103.29822257578081</v>
      </c>
      <c r="AM30" s="48">
        <f t="shared" si="44"/>
        <v>-564.1629999999999</v>
      </c>
      <c r="AN30" s="48">
        <f t="shared" si="45"/>
        <v>-459.75200000000001</v>
      </c>
      <c r="AO30" s="48">
        <f t="shared" si="46"/>
        <v>-536.197</v>
      </c>
      <c r="AP30" s="48">
        <f t="shared" si="47"/>
        <v>-267.8239999999999</v>
      </c>
      <c r="AQ30" s="48">
        <f t="shared" si="48"/>
        <v>218.08299999999991</v>
      </c>
      <c r="AR30" s="49">
        <f>AR25-SUM(AR26:AR29)</f>
        <v>-212.42097654999975</v>
      </c>
      <c r="AS30" s="49">
        <f t="shared" ref="AS30:BA30" si="63">AS25-SUM(AS26:AS29)</f>
        <v>111.93146590275001</v>
      </c>
      <c r="AT30" s="49">
        <f t="shared" si="63"/>
        <v>415.04346939751485</v>
      </c>
      <c r="AU30" s="49">
        <f t="shared" si="63"/>
        <v>563.05527759568486</v>
      </c>
      <c r="AV30" s="49">
        <f t="shared" si="63"/>
        <v>586.95013367125591</v>
      </c>
      <c r="AW30" s="49">
        <f t="shared" si="63"/>
        <v>577.32868284681035</v>
      </c>
      <c r="AX30" s="49">
        <f t="shared" si="63"/>
        <v>503.25513348749246</v>
      </c>
      <c r="AY30" s="49">
        <f t="shared" si="63"/>
        <v>437.10381802902231</v>
      </c>
      <c r="AZ30" s="49">
        <f t="shared" si="63"/>
        <v>382.74919452065109</v>
      </c>
      <c r="BA30" s="49">
        <f t="shared" si="63"/>
        <v>338.25603968918404</v>
      </c>
    </row>
    <row r="31" spans="2:104">
      <c r="B31" s="1" t="s">
        <v>181</v>
      </c>
      <c r="C31" s="48">
        <v>-7.42</v>
      </c>
      <c r="D31" s="48">
        <v>0</v>
      </c>
      <c r="E31" s="48">
        <v>-45</v>
      </c>
      <c r="F31" s="48">
        <f>-51.971-SUM(C31:E31)</f>
        <v>0.44900000000000517</v>
      </c>
      <c r="G31" s="48">
        <v>-15.528</v>
      </c>
      <c r="H31" s="48">
        <v>102</v>
      </c>
      <c r="I31" s="48">
        <v>-20.649000000000001</v>
      </c>
      <c r="J31" s="48">
        <f>-68.43-SUM(G31:I31)</f>
        <v>-134.25299999999999</v>
      </c>
      <c r="K31" s="48">
        <v>-17.260000000000002</v>
      </c>
      <c r="L31" s="48">
        <v>0</v>
      </c>
      <c r="M31" s="48">
        <f>6.7-125.44</f>
        <v>-118.74</v>
      </c>
      <c r="N31" s="48">
        <f>-125.441+6.7-SUM(K31:M31)</f>
        <v>17.259</v>
      </c>
      <c r="O31" s="48">
        <v>12.7</v>
      </c>
      <c r="P31" s="48">
        <v>16.934000000000001</v>
      </c>
      <c r="Q31" s="48">
        <v>-12.33</v>
      </c>
      <c r="R31" s="48">
        <f>33.055-SUM(O31:Q31)</f>
        <v>15.750999999999998</v>
      </c>
      <c r="S31" s="48">
        <v>6.54</v>
      </c>
      <c r="T31" s="48">
        <v>14.278</v>
      </c>
      <c r="U31" s="48">
        <v>11.81</v>
      </c>
      <c r="V31" s="48">
        <f>42.693-SUM(S31:U31)</f>
        <v>10.064999999999998</v>
      </c>
      <c r="W31" s="48">
        <v>-83.132000000000005</v>
      </c>
      <c r="X31" s="48">
        <v>38.06</v>
      </c>
      <c r="Y31" s="48">
        <v>-138.61000000000001</v>
      </c>
      <c r="Z31" s="49">
        <f t="shared" ref="Z31:AD31" si="64">Y46*(0.06)</f>
        <v>36.784199999999998</v>
      </c>
      <c r="AA31" s="49">
        <f t="shared" si="64"/>
        <v>43.474832124254803</v>
      </c>
      <c r="AB31" s="49">
        <f t="shared" si="64"/>
        <v>50.663418933864513</v>
      </c>
      <c r="AC31" s="49">
        <f t="shared" si="64"/>
        <v>58.311326996198844</v>
      </c>
      <c r="AD31" s="49">
        <f t="shared" si="64"/>
        <v>65.377641799816288</v>
      </c>
      <c r="AM31" s="48">
        <f t="shared" si="44"/>
        <v>-51.970999999999997</v>
      </c>
      <c r="AN31" s="48">
        <f t="shared" si="45"/>
        <v>-68.429999999999993</v>
      </c>
      <c r="AO31" s="48">
        <f t="shared" si="46"/>
        <v>-118.741</v>
      </c>
      <c r="AP31" s="48">
        <f t="shared" si="47"/>
        <v>33.055</v>
      </c>
      <c r="AQ31" s="48">
        <f t="shared" si="48"/>
        <v>42.692999999999998</v>
      </c>
      <c r="AR31" s="49">
        <v>-35</v>
      </c>
      <c r="AS31" s="49">
        <f t="shared" ref="AS31:BA31" si="65">AR46*($BA$48)</f>
        <v>87.986156774006275</v>
      </c>
      <c r="AT31" s="49">
        <f t="shared" si="65"/>
        <v>106.8983638792274</v>
      </c>
      <c r="AU31" s="49">
        <f t="shared" si="65"/>
        <v>155.15188636566225</v>
      </c>
      <c r="AV31" s="49">
        <f t="shared" si="65"/>
        <v>220.77806597263032</v>
      </c>
      <c r="AW31" s="49">
        <f t="shared" si="65"/>
        <v>294.58423021509037</v>
      </c>
      <c r="AX31" s="49">
        <f t="shared" si="65"/>
        <v>374.25527264612157</v>
      </c>
      <c r="AY31" s="49">
        <f t="shared" si="65"/>
        <v>454.43778600658055</v>
      </c>
      <c r="AZ31" s="49">
        <f t="shared" si="65"/>
        <v>535.90240007533373</v>
      </c>
      <c r="BA31" s="49">
        <f t="shared" si="65"/>
        <v>619.84418953154182</v>
      </c>
    </row>
    <row r="32" spans="2:104">
      <c r="B32" s="1" t="s">
        <v>186</v>
      </c>
      <c r="C32" s="48">
        <v>108.069</v>
      </c>
      <c r="D32" s="48">
        <v>-12.446999999999999</v>
      </c>
      <c r="E32" s="48">
        <v>-14.335000000000001</v>
      </c>
      <c r="F32" s="48">
        <f>108.1-45-SUM(C32:E32)</f>
        <v>-18.187000000000012</v>
      </c>
      <c r="G32" s="48">
        <v>0</v>
      </c>
      <c r="H32" s="48">
        <v>-16.184999999999999</v>
      </c>
      <c r="I32" s="48">
        <v>7.2</v>
      </c>
      <c r="J32" s="48">
        <f>102+7.2-SUM(G32:I32)</f>
        <v>118.185</v>
      </c>
      <c r="K32" s="48">
        <v>0</v>
      </c>
      <c r="L32" s="48">
        <v>-16.960999999999999</v>
      </c>
      <c r="M32" s="48">
        <v>-6.33</v>
      </c>
      <c r="N32" s="48">
        <f>-35.021-SUM(K32:M32)</f>
        <v>-11.730000000000004</v>
      </c>
      <c r="O32" s="48">
        <v>-387.32</v>
      </c>
      <c r="P32" s="48">
        <v>102</v>
      </c>
      <c r="Q32" s="48">
        <v>0</v>
      </c>
      <c r="R32" s="48">
        <f>-387.329+102-SUM(O32:Q32)</f>
        <v>-9.0000000000145519E-3</v>
      </c>
      <c r="S32" s="48">
        <v>0</v>
      </c>
      <c r="T32" s="48">
        <v>0</v>
      </c>
      <c r="U32" s="48">
        <v>0</v>
      </c>
      <c r="V32" s="48">
        <f>0-SUM(S32:U32)</f>
        <v>0</v>
      </c>
      <c r="W32" s="48">
        <v>0</v>
      </c>
      <c r="X32" s="48">
        <v>0</v>
      </c>
      <c r="Y32" s="48">
        <v>47.95</v>
      </c>
      <c r="Z32" s="49">
        <v>0</v>
      </c>
      <c r="AA32" s="49">
        <v>0</v>
      </c>
      <c r="AB32" s="49">
        <v>0</v>
      </c>
      <c r="AC32" s="49">
        <v>0</v>
      </c>
      <c r="AD32" s="49">
        <v>0</v>
      </c>
      <c r="AM32" s="48">
        <f t="shared" si="44"/>
        <v>63.099999999999994</v>
      </c>
      <c r="AN32" s="48">
        <f t="shared" si="45"/>
        <v>109.2</v>
      </c>
      <c r="AO32" s="48">
        <f t="shared" si="46"/>
        <v>-35.021000000000001</v>
      </c>
      <c r="AP32" s="48">
        <f t="shared" si="47"/>
        <v>-285.32900000000001</v>
      </c>
      <c r="AQ32" s="48">
        <f t="shared" si="48"/>
        <v>0</v>
      </c>
      <c r="AR32" s="49">
        <v>0</v>
      </c>
      <c r="AS32" s="49">
        <v>0</v>
      </c>
      <c r="AT32" s="49">
        <v>0</v>
      </c>
      <c r="AU32" s="49">
        <v>0</v>
      </c>
      <c r="AV32" s="49">
        <v>0</v>
      </c>
      <c r="AW32" s="49">
        <v>0</v>
      </c>
      <c r="AX32" s="49">
        <v>0</v>
      </c>
      <c r="AY32" s="49">
        <v>0</v>
      </c>
      <c r="AZ32" s="49">
        <v>0</v>
      </c>
      <c r="BA32" s="49">
        <v>0</v>
      </c>
    </row>
    <row r="33" spans="2:104">
      <c r="B33" s="1" t="s">
        <v>182</v>
      </c>
      <c r="C33" s="48">
        <f t="shared" ref="C33:F33" si="66">C30+SUM(C31:C32)</f>
        <v>-17.37700000000001</v>
      </c>
      <c r="D33" s="48">
        <f t="shared" si="66"/>
        <v>-150.80399999999997</v>
      </c>
      <c r="E33" s="48">
        <f t="shared" si="66"/>
        <v>-196.40299999999999</v>
      </c>
      <c r="F33" s="48">
        <f t="shared" si="66"/>
        <v>-188.4499999999999</v>
      </c>
      <c r="G33" s="48">
        <f>G30+SUM(G31:G32)</f>
        <v>-167.39299999999997</v>
      </c>
      <c r="H33" s="48">
        <f t="shared" ref="H33:W33" si="67">H30+SUM(H31:H32)</f>
        <v>-81.758999999999958</v>
      </c>
      <c r="I33" s="48">
        <f t="shared" si="67"/>
        <v>-47.939000000000007</v>
      </c>
      <c r="J33" s="48">
        <f t="shared" si="67"/>
        <v>-121.89100000000002</v>
      </c>
      <c r="K33" s="48">
        <f t="shared" si="67"/>
        <v>-104.14100000000006</v>
      </c>
      <c r="L33" s="48">
        <f t="shared" si="67"/>
        <v>-228.04299999999995</v>
      </c>
      <c r="M33" s="48">
        <f t="shared" si="67"/>
        <v>-256.41299999999995</v>
      </c>
      <c r="N33" s="48">
        <f t="shared" si="67"/>
        <v>-101.36200000000011</v>
      </c>
      <c r="O33" s="48">
        <f t="shared" si="67"/>
        <v>-512.71299999999997</v>
      </c>
      <c r="P33" s="48">
        <f t="shared" si="67"/>
        <v>-14.58099999999996</v>
      </c>
      <c r="Q33" s="48">
        <f t="shared" si="67"/>
        <v>-33.180999999999997</v>
      </c>
      <c r="R33" s="48">
        <f t="shared" si="67"/>
        <v>40.377000000000031</v>
      </c>
      <c r="S33" s="48">
        <f t="shared" si="67"/>
        <v>41.438000000000024</v>
      </c>
      <c r="T33" s="48">
        <f t="shared" si="67"/>
        <v>13.578000000000012</v>
      </c>
      <c r="U33" s="48">
        <f t="shared" si="67"/>
        <v>34.007000000000005</v>
      </c>
      <c r="V33" s="48">
        <f t="shared" si="67"/>
        <v>171.75299999999987</v>
      </c>
      <c r="W33" s="48">
        <f t="shared" si="67"/>
        <v>-383.50700000000012</v>
      </c>
      <c r="X33" s="48">
        <f t="shared" ref="X33:Y33" si="68">X30+SUM(X31:X32)</f>
        <v>153.63400000000013</v>
      </c>
      <c r="Y33" s="48">
        <f t="shared" si="68"/>
        <v>-194.05900000000003</v>
      </c>
      <c r="Z33" s="49">
        <f t="shared" ref="Z33:AD33" si="69">Z30+SUM(Z31:Z32)</f>
        <v>135.98845781005687</v>
      </c>
      <c r="AA33" s="49">
        <f t="shared" si="69"/>
        <v>146.10948800019736</v>
      </c>
      <c r="AB33" s="49">
        <f t="shared" si="69"/>
        <v>155.44528581980356</v>
      </c>
      <c r="AC33" s="49">
        <f t="shared" si="69"/>
        <v>143.62428462637064</v>
      </c>
      <c r="AD33" s="49">
        <f t="shared" si="69"/>
        <v>168.67586437559709</v>
      </c>
      <c r="AM33" s="48">
        <f t="shared" si="44"/>
        <v>-553.03399999999988</v>
      </c>
      <c r="AN33" s="48">
        <f t="shared" si="45"/>
        <v>-418.98199999999997</v>
      </c>
      <c r="AO33" s="48">
        <f t="shared" si="46"/>
        <v>-689.95900000000006</v>
      </c>
      <c r="AP33" s="48">
        <f t="shared" si="47"/>
        <v>-520.09799999999984</v>
      </c>
      <c r="AQ33" s="48">
        <f t="shared" si="48"/>
        <v>260.7759999999999</v>
      </c>
      <c r="AR33" s="49">
        <f>AR30+SUM(AR31:AR32)</f>
        <v>-247.42097654999975</v>
      </c>
      <c r="AS33" s="49">
        <f t="shared" ref="AS33:BA33" si="70">AS30+SUM(AS31:AS32)</f>
        <v>199.91762267675628</v>
      </c>
      <c r="AT33" s="49">
        <f t="shared" si="70"/>
        <v>521.94183327674227</v>
      </c>
      <c r="AU33" s="49">
        <f t="shared" si="70"/>
        <v>718.20716396134708</v>
      </c>
      <c r="AV33" s="49">
        <f t="shared" si="70"/>
        <v>807.72819964388623</v>
      </c>
      <c r="AW33" s="49">
        <f t="shared" si="70"/>
        <v>871.91291306190078</v>
      </c>
      <c r="AX33" s="49">
        <f t="shared" si="70"/>
        <v>877.51040613361397</v>
      </c>
      <c r="AY33" s="49">
        <f t="shared" si="70"/>
        <v>891.54160403560286</v>
      </c>
      <c r="AZ33" s="49">
        <f t="shared" si="70"/>
        <v>918.65159459598476</v>
      </c>
      <c r="BA33" s="49">
        <f t="shared" si="70"/>
        <v>958.10022922072585</v>
      </c>
    </row>
    <row r="34" spans="2:104">
      <c r="B34" s="1" t="s">
        <v>183</v>
      </c>
      <c r="C34" s="48">
        <v>0.115</v>
      </c>
      <c r="D34" s="48">
        <v>0.2</v>
      </c>
      <c r="E34" s="48">
        <v>9.6000000000000002E-2</v>
      </c>
      <c r="F34" s="48">
        <f>1.063-SUM(C34:E34)</f>
        <v>0.65199999999999991</v>
      </c>
      <c r="G34" s="48">
        <v>-0.14299999999999999</v>
      </c>
      <c r="H34" s="48">
        <v>-0.35</v>
      </c>
      <c r="I34" s="48">
        <v>0.23699999999999999</v>
      </c>
      <c r="J34" s="48">
        <f>-0.168-SUM(G34:I34)</f>
        <v>8.7999999999999995E-2</v>
      </c>
      <c r="K34" s="48">
        <v>0.879</v>
      </c>
      <c r="L34" s="48">
        <v>3.3879999999999999</v>
      </c>
      <c r="M34" s="48">
        <v>1.32</v>
      </c>
      <c r="N34" s="48">
        <f>13.525-SUM(K34:M34)</f>
        <v>7.9380000000000006</v>
      </c>
      <c r="O34" s="48">
        <v>4.0449999999999999</v>
      </c>
      <c r="P34" s="48">
        <v>9.3550000000000004</v>
      </c>
      <c r="Q34" s="48">
        <v>7.7629999999999999</v>
      </c>
      <c r="R34" s="48">
        <f>15.879-SUM(O34:Q34)</f>
        <v>-5.2840000000000007</v>
      </c>
      <c r="S34" s="48">
        <v>5.3289999999999997</v>
      </c>
      <c r="T34" s="48">
        <v>7.117</v>
      </c>
      <c r="U34" s="48">
        <v>0.39500000000000002</v>
      </c>
      <c r="V34" s="48">
        <f>25.535-SUM(S34:U34)</f>
        <v>12.694000000000001</v>
      </c>
      <c r="W34" s="48">
        <v>63.99</v>
      </c>
      <c r="X34" s="48">
        <v>-43.25</v>
      </c>
      <c r="Y34" s="48">
        <v>-14.1</v>
      </c>
      <c r="Z34" s="49">
        <f t="shared" ref="Z34:AD34" si="71">Z33*Z43</f>
        <v>24.477922405810236</v>
      </c>
      <c r="AA34" s="49">
        <f t="shared" si="71"/>
        <v>26.299707840035524</v>
      </c>
      <c r="AB34" s="49">
        <f t="shared" si="71"/>
        <v>27.980151447564641</v>
      </c>
      <c r="AC34" s="49">
        <f t="shared" si="71"/>
        <v>25.852371232746712</v>
      </c>
      <c r="AD34" s="49">
        <f t="shared" si="71"/>
        <v>30.361655587607473</v>
      </c>
      <c r="AM34" s="48">
        <f t="shared" si="44"/>
        <v>1.0629999999999999</v>
      </c>
      <c r="AN34" s="48">
        <f t="shared" si="45"/>
        <v>-0.16800000000000001</v>
      </c>
      <c r="AO34" s="48">
        <f t="shared" si="46"/>
        <v>13.525</v>
      </c>
      <c r="AP34" s="48">
        <f t="shared" si="47"/>
        <v>15.879</v>
      </c>
      <c r="AQ34" s="48">
        <f t="shared" si="48"/>
        <v>25.535</v>
      </c>
      <c r="AR34" s="49">
        <f>AR33*AR43</f>
        <v>37.113146482499964</v>
      </c>
      <c r="AS34" s="49">
        <f t="shared" ref="AS34:BA34" si="72">AS33*AS43</f>
        <v>23.990114721210752</v>
      </c>
      <c r="AT34" s="49">
        <f t="shared" si="72"/>
        <v>73.071856658743926</v>
      </c>
      <c r="AU34" s="49">
        <f t="shared" si="72"/>
        <v>107.73107459420206</v>
      </c>
      <c r="AV34" s="49">
        <f t="shared" si="72"/>
        <v>121.15922994658293</v>
      </c>
      <c r="AW34" s="49">
        <f t="shared" si="72"/>
        <v>130.7869369592851</v>
      </c>
      <c r="AX34" s="49">
        <f t="shared" si="72"/>
        <v>131.6265609200421</v>
      </c>
      <c r="AY34" s="49">
        <f t="shared" si="72"/>
        <v>133.73124060534042</v>
      </c>
      <c r="AZ34" s="49">
        <f t="shared" si="72"/>
        <v>137.7977391893977</v>
      </c>
      <c r="BA34" s="49">
        <f t="shared" si="72"/>
        <v>143.71503438310887</v>
      </c>
    </row>
    <row r="35" spans="2:104" s="2" customFormat="1" ht="15">
      <c r="B35" s="2" t="s">
        <v>89</v>
      </c>
      <c r="C35" s="46">
        <f t="shared" ref="C35:F35" si="73">C33-C34</f>
        <v>-17.492000000000008</v>
      </c>
      <c r="D35" s="46">
        <f t="shared" si="73"/>
        <v>-151.00399999999996</v>
      </c>
      <c r="E35" s="46">
        <f t="shared" si="73"/>
        <v>-196.499</v>
      </c>
      <c r="F35" s="46">
        <f t="shared" si="73"/>
        <v>-189.10199999999989</v>
      </c>
      <c r="G35" s="46">
        <f>G33-G34</f>
        <v>-167.24999999999997</v>
      </c>
      <c r="H35" s="46">
        <f t="shared" ref="H35:W35" si="74">H33-H34</f>
        <v>-81.408999999999963</v>
      </c>
      <c r="I35" s="46">
        <f t="shared" si="74"/>
        <v>-48.176000000000009</v>
      </c>
      <c r="J35" s="46">
        <f t="shared" si="74"/>
        <v>-121.97900000000001</v>
      </c>
      <c r="K35" s="46">
        <f t="shared" si="74"/>
        <v>-105.02000000000007</v>
      </c>
      <c r="L35" s="46">
        <f>L33-L34+-2.2</f>
        <v>-233.63099999999994</v>
      </c>
      <c r="M35" s="46">
        <f>M33-M34-0.72</f>
        <v>-258.45299999999997</v>
      </c>
      <c r="N35" s="46">
        <f t="shared" si="74"/>
        <v>-109.30000000000011</v>
      </c>
      <c r="O35" s="46">
        <f t="shared" si="74"/>
        <v>-516.75799999999992</v>
      </c>
      <c r="P35" s="46">
        <f t="shared" si="74"/>
        <v>-23.935999999999961</v>
      </c>
      <c r="Q35" s="46">
        <f t="shared" si="74"/>
        <v>-40.943999999999996</v>
      </c>
      <c r="R35" s="46">
        <f t="shared" si="74"/>
        <v>45.66100000000003</v>
      </c>
      <c r="S35" s="46">
        <f>S33-S34-1.6</f>
        <v>34.509000000000022</v>
      </c>
      <c r="T35" s="46">
        <f>T33-T34</f>
        <v>6.4610000000000118</v>
      </c>
      <c r="U35" s="46">
        <f t="shared" si="74"/>
        <v>33.612000000000002</v>
      </c>
      <c r="V35" s="46">
        <f>V33-V34</f>
        <v>159.05899999999988</v>
      </c>
      <c r="W35" s="46">
        <f t="shared" si="74"/>
        <v>-447.49700000000013</v>
      </c>
      <c r="X35" s="46">
        <f t="shared" ref="X35:Y35" si="75">X33-X34</f>
        <v>196.88400000000013</v>
      </c>
      <c r="Y35" s="46">
        <f t="shared" si="75"/>
        <v>-179.95900000000003</v>
      </c>
      <c r="Z35" s="47">
        <f t="shared" ref="Z35:AD35" si="76">Z33-Z34</f>
        <v>111.51053540424664</v>
      </c>
      <c r="AA35" s="47">
        <f t="shared" si="76"/>
        <v>119.80978016016184</v>
      </c>
      <c r="AB35" s="47">
        <f t="shared" si="76"/>
        <v>127.46513437223892</v>
      </c>
      <c r="AC35" s="47">
        <f t="shared" si="76"/>
        <v>117.77191339362392</v>
      </c>
      <c r="AD35" s="47">
        <f t="shared" si="76"/>
        <v>138.31420878798963</v>
      </c>
      <c r="AM35" s="46">
        <f t="shared" si="44"/>
        <v>-554.09699999999987</v>
      </c>
      <c r="AN35" s="46">
        <f t="shared" si="45"/>
        <v>-418.81399999999996</v>
      </c>
      <c r="AO35" s="46">
        <f t="shared" si="46"/>
        <v>-706.40400000000011</v>
      </c>
      <c r="AP35" s="46">
        <f t="shared" si="47"/>
        <v>-535.97699999999975</v>
      </c>
      <c r="AQ35" s="46">
        <f t="shared" si="48"/>
        <v>233.64099999999991</v>
      </c>
      <c r="AR35" s="47">
        <f>AR33-AR34</f>
        <v>-284.53412303249974</v>
      </c>
      <c r="AS35" s="47">
        <f t="shared" ref="AS35:BA35" si="77">AS33-AS34</f>
        <v>175.92750795554554</v>
      </c>
      <c r="AT35" s="47">
        <f t="shared" si="77"/>
        <v>448.86997661799836</v>
      </c>
      <c r="AU35" s="47">
        <f t="shared" si="77"/>
        <v>610.47608936714505</v>
      </c>
      <c r="AV35" s="47">
        <f t="shared" si="77"/>
        <v>686.56896969730326</v>
      </c>
      <c r="AW35" s="47">
        <f t="shared" si="77"/>
        <v>741.12597610261571</v>
      </c>
      <c r="AX35" s="47">
        <f t="shared" si="77"/>
        <v>745.88384521357193</v>
      </c>
      <c r="AY35" s="47">
        <f t="shared" si="77"/>
        <v>757.81036343026244</v>
      </c>
      <c r="AZ35" s="47">
        <f t="shared" si="77"/>
        <v>780.85385540658706</v>
      </c>
      <c r="BA35" s="47">
        <f t="shared" si="77"/>
        <v>814.38519483761695</v>
      </c>
      <c r="BB35" s="47">
        <f t="shared" ref="BB35:BK35" si="78">BA35*(1+$BA$49)</f>
        <v>749.23437925060762</v>
      </c>
      <c r="BC35" s="47">
        <f t="shared" si="78"/>
        <v>689.295628910559</v>
      </c>
      <c r="BD35" s="47">
        <f t="shared" si="78"/>
        <v>634.15197859771433</v>
      </c>
      <c r="BE35" s="47">
        <f t="shared" si="78"/>
        <v>583.4198203098972</v>
      </c>
      <c r="BF35" s="47">
        <f t="shared" si="78"/>
        <v>536.74623468510549</v>
      </c>
      <c r="BG35" s="47">
        <f t="shared" si="78"/>
        <v>493.8065359102971</v>
      </c>
      <c r="BH35" s="47">
        <f t="shared" si="78"/>
        <v>454.30201303747333</v>
      </c>
      <c r="BI35" s="47">
        <f t="shared" si="78"/>
        <v>417.9578519944755</v>
      </c>
      <c r="BJ35" s="47">
        <f t="shared" si="78"/>
        <v>384.52122383491746</v>
      </c>
      <c r="BK35" s="47">
        <f t="shared" si="78"/>
        <v>353.75952592812411</v>
      </c>
      <c r="BL35" s="47"/>
      <c r="BM35" s="47"/>
      <c r="BN35" s="47"/>
      <c r="BO35" s="47"/>
      <c r="BP35" s="47"/>
      <c r="BQ35" s="47"/>
      <c r="BR35" s="47"/>
      <c r="BS35" s="47"/>
      <c r="BT35" s="47"/>
      <c r="BU35" s="47"/>
      <c r="BV35" s="34"/>
      <c r="BW35" s="34"/>
      <c r="BX35" s="34"/>
      <c r="BY35" s="34"/>
      <c r="BZ35" s="34"/>
      <c r="CA35" s="34"/>
      <c r="CB35" s="34"/>
      <c r="CC35" s="34"/>
      <c r="CD35" s="34"/>
      <c r="CE35" s="34"/>
      <c r="CF35" s="34"/>
      <c r="CG35" s="34"/>
      <c r="CH35" s="34"/>
      <c r="CI35" s="34"/>
      <c r="CJ35" s="34"/>
      <c r="CK35" s="34"/>
      <c r="CL35" s="34"/>
      <c r="CM35" s="34"/>
      <c r="CN35" s="34"/>
      <c r="CO35" s="34"/>
      <c r="CP35" s="34"/>
      <c r="CQ35" s="34"/>
      <c r="CR35" s="34"/>
      <c r="CS35" s="34"/>
      <c r="CT35" s="34"/>
      <c r="CU35" s="58"/>
      <c r="CV35" s="58"/>
      <c r="CW35" s="58"/>
      <c r="CX35" s="58"/>
      <c r="CY35" s="58"/>
      <c r="CZ35" s="58"/>
    </row>
    <row r="36" spans="2:104">
      <c r="B36" s="1" t="s">
        <v>93</v>
      </c>
      <c r="C36" s="48">
        <v>76.432000000000002</v>
      </c>
      <c r="D36" s="48">
        <v>77.968000000000004</v>
      </c>
      <c r="E36" s="48">
        <v>78.501000000000005</v>
      </c>
      <c r="F36" s="48">
        <v>77.77</v>
      </c>
      <c r="G36" s="48">
        <v>79.453999999999994</v>
      </c>
      <c r="H36" s="48">
        <v>79.745999999999995</v>
      </c>
      <c r="I36" s="48">
        <v>79.88</v>
      </c>
      <c r="J36" s="48">
        <v>87.12</v>
      </c>
      <c r="K36" s="48">
        <v>87.253</v>
      </c>
      <c r="L36" s="48">
        <v>87.510999999999996</v>
      </c>
      <c r="M36" s="48">
        <v>87.62</v>
      </c>
      <c r="N36" s="48">
        <v>87.980999999999995</v>
      </c>
      <c r="O36" s="48">
        <v>88.186000000000007</v>
      </c>
      <c r="P36" s="48">
        <v>88.742999999999995</v>
      </c>
      <c r="Q36" s="48">
        <v>88.888999999999996</v>
      </c>
      <c r="R36" s="48">
        <v>92.397999999999996</v>
      </c>
      <c r="S36" s="48">
        <v>93.99</v>
      </c>
      <c r="T36" s="48">
        <v>94.617999999999995</v>
      </c>
      <c r="U36" s="48">
        <v>95.39</v>
      </c>
      <c r="V36" s="48">
        <v>97.031999999999996</v>
      </c>
      <c r="W36" s="48">
        <v>97.361999999999995</v>
      </c>
      <c r="X36" s="48">
        <v>98.004999999999995</v>
      </c>
      <c r="Y36" s="48">
        <v>100.23</v>
      </c>
      <c r="Z36" s="49"/>
      <c r="AA36" s="49"/>
      <c r="AB36" s="49"/>
      <c r="AC36" s="49"/>
      <c r="AD36" s="49"/>
      <c r="AM36" s="48">
        <f>AVERAGE(C36:F36)</f>
        <v>77.667749999999998</v>
      </c>
      <c r="AN36" s="48">
        <f>AVERAGE(G36:J36)</f>
        <v>81.55</v>
      </c>
      <c r="AO36" s="48">
        <f>AVERAGE(K36:N36)</f>
        <v>87.591250000000002</v>
      </c>
      <c r="AP36" s="48">
        <f>AVERAGE(O36:R36)</f>
        <v>89.554000000000002</v>
      </c>
      <c r="AQ36" s="48">
        <f>AVERAGE(S36:V36)</f>
        <v>95.257499999999993</v>
      </c>
      <c r="AR36" s="49"/>
      <c r="AS36" s="49"/>
      <c r="AT36" s="49"/>
      <c r="AU36" s="49"/>
      <c r="AV36" s="49"/>
      <c r="AW36" s="49"/>
      <c r="AX36" s="49"/>
      <c r="AY36" s="49"/>
      <c r="AZ36" s="49"/>
      <c r="BA36" s="49"/>
    </row>
    <row r="37" spans="2:104">
      <c r="B37" s="1" t="s">
        <v>184</v>
      </c>
      <c r="C37" s="39">
        <f>C35/C36</f>
        <v>-0.22885702323634088</v>
      </c>
      <c r="D37" s="39">
        <f t="shared" ref="D37:W37" si="79">D35/D36</f>
        <v>-1.9367432792940689</v>
      </c>
      <c r="E37" s="39">
        <f t="shared" si="79"/>
        <v>-2.5031400873874214</v>
      </c>
      <c r="F37" s="39">
        <f t="shared" si="79"/>
        <v>-2.43155458402983</v>
      </c>
      <c r="G37" s="39">
        <f t="shared" si="79"/>
        <v>-2.1049915674478314</v>
      </c>
      <c r="H37" s="39">
        <f t="shared" si="79"/>
        <v>-1.0208537105309354</v>
      </c>
      <c r="I37" s="39">
        <f t="shared" si="79"/>
        <v>-0.60310465698547833</v>
      </c>
      <c r="J37" s="39">
        <f>(J35/J36)</f>
        <v>-1.4001262626262627</v>
      </c>
      <c r="K37" s="39">
        <f t="shared" si="79"/>
        <v>-1.203626236347175</v>
      </c>
      <c r="L37" s="39">
        <f t="shared" si="79"/>
        <v>-2.669732947857983</v>
      </c>
      <c r="M37" s="39">
        <f t="shared" si="79"/>
        <v>-2.9497032640949552</v>
      </c>
      <c r="N37" s="39">
        <f t="shared" si="79"/>
        <v>-1.2423136813630229</v>
      </c>
      <c r="O37" s="39">
        <f t="shared" si="79"/>
        <v>-5.8598643775655983</v>
      </c>
      <c r="P37" s="39">
        <f t="shared" si="79"/>
        <v>-0.26972268235241048</v>
      </c>
      <c r="Q37" s="39">
        <f t="shared" si="79"/>
        <v>-0.46061942422571966</v>
      </c>
      <c r="R37" s="39">
        <f t="shared" si="79"/>
        <v>0.49417736314638877</v>
      </c>
      <c r="S37" s="39">
        <f t="shared" si="79"/>
        <v>0.36715608043408898</v>
      </c>
      <c r="T37" s="39">
        <f t="shared" si="79"/>
        <v>6.8285104314189812E-2</v>
      </c>
      <c r="U37" s="39">
        <f t="shared" si="79"/>
        <v>0.35236397945277287</v>
      </c>
      <c r="V37" s="39">
        <f t="shared" si="79"/>
        <v>1.6392427240497969</v>
      </c>
      <c r="W37" s="39">
        <f t="shared" si="79"/>
        <v>-4.5962182370945559</v>
      </c>
      <c r="X37" s="39">
        <f t="shared" ref="X37:Y37" si="80">X35/X36</f>
        <v>2.008917912351412</v>
      </c>
      <c r="Y37" s="39">
        <f t="shared" si="80"/>
        <v>-1.7954604409857331</v>
      </c>
      <c r="AM37" s="39">
        <f t="shared" ref="AM37" si="81">SUM(C37:F37)</f>
        <v>-7.1002949739476611</v>
      </c>
      <c r="AN37" s="39">
        <f t="shared" ref="AN37" si="82">SUM(G37:J37)</f>
        <v>-5.1290761975905088</v>
      </c>
      <c r="AO37" s="39">
        <f t="shared" ref="AO37" si="83">SUM(K37:N37)</f>
        <v>-8.0653761296631359</v>
      </c>
      <c r="AP37" s="39">
        <f t="shared" ref="AP37" si="84">SUM(O37:R37)</f>
        <v>-6.0960291209973398</v>
      </c>
      <c r="AQ37" s="39">
        <f t="shared" ref="AQ37" si="85">SUM(S37:V37)</f>
        <v>2.4270478882508488</v>
      </c>
    </row>
    <row r="39" spans="2:104">
      <c r="B39" s="37" t="s">
        <v>74</v>
      </c>
      <c r="C39" s="50">
        <f t="shared" ref="C39:V39" si="86">C25/C23</f>
        <v>0.88896317539630876</v>
      </c>
      <c r="D39" s="50">
        <f t="shared" si="86"/>
        <v>0.90287494812862645</v>
      </c>
      <c r="E39" s="50">
        <f t="shared" si="86"/>
        <v>0.8956741057780494</v>
      </c>
      <c r="F39" s="50">
        <f t="shared" si="86"/>
        <v>0.84564082071350821</v>
      </c>
      <c r="G39" s="50">
        <f t="shared" si="86"/>
        <v>0.84791500772471429</v>
      </c>
      <c r="H39" s="50">
        <f t="shared" si="86"/>
        <v>0.88107063849496314</v>
      </c>
      <c r="I39" s="50">
        <f t="shared" si="86"/>
        <v>0.87622115435391035</v>
      </c>
      <c r="J39" s="50">
        <f t="shared" si="86"/>
        <v>0.84240649276513369</v>
      </c>
      <c r="K39" s="50">
        <f t="shared" si="86"/>
        <v>0.85086088317601849</v>
      </c>
      <c r="L39" s="50">
        <f t="shared" si="86"/>
        <v>0.83816268942394567</v>
      </c>
      <c r="M39" s="50">
        <f t="shared" si="86"/>
        <v>0.82650234068978701</v>
      </c>
      <c r="N39" s="50">
        <f t="shared" si="86"/>
        <v>0.8807959066771941</v>
      </c>
      <c r="O39" s="50">
        <f t="shared" si="86"/>
        <v>0.86186315311939088</v>
      </c>
      <c r="P39" s="50">
        <f t="shared" si="86"/>
        <v>0.86937581821940146</v>
      </c>
      <c r="Q39" s="50">
        <f t="shared" si="86"/>
        <v>0.88841137043109264</v>
      </c>
      <c r="R39" s="50">
        <f t="shared" si="86"/>
        <v>0.88866795196512061</v>
      </c>
      <c r="S39" s="50">
        <f t="shared" si="86"/>
        <v>0.8777164251663413</v>
      </c>
      <c r="T39" s="50">
        <f t="shared" si="86"/>
        <v>0.87727559536766342</v>
      </c>
      <c r="U39" s="50">
        <f t="shared" si="86"/>
        <v>0.80373139599846743</v>
      </c>
      <c r="V39" s="50">
        <f t="shared" si="86"/>
        <v>0.7990519786642043</v>
      </c>
      <c r="W39" s="50">
        <f>W25/W23</f>
        <v>0.81532149579385171</v>
      </c>
      <c r="X39" s="50">
        <f>X25/X23</f>
        <v>0.75035019506192235</v>
      </c>
      <c r="Y39" s="50">
        <f>Y25/Y23</f>
        <v>0.62244236157889332</v>
      </c>
      <c r="Z39" s="60">
        <v>0.8</v>
      </c>
      <c r="AA39" s="60">
        <v>0.81</v>
      </c>
      <c r="AB39" s="60">
        <v>0.82</v>
      </c>
      <c r="AC39" s="60">
        <v>0.83</v>
      </c>
      <c r="AD39" s="60">
        <v>0.83</v>
      </c>
      <c r="AM39" s="50">
        <f t="shared" ref="AM39:AQ39" si="87">AM25/AM23</f>
        <v>0.88264744056182287</v>
      </c>
      <c r="AN39" s="50">
        <f t="shared" si="87"/>
        <v>0.8617230300137495</v>
      </c>
      <c r="AO39" s="50">
        <f t="shared" si="87"/>
        <v>0.84996028994236961</v>
      </c>
      <c r="AP39" s="50">
        <f t="shared" si="87"/>
        <v>0.87908095639473149</v>
      </c>
      <c r="AQ39" s="50">
        <f t="shared" si="87"/>
        <v>0.83222790577603645</v>
      </c>
      <c r="AR39" s="60">
        <v>0.76</v>
      </c>
      <c r="AS39" s="60">
        <v>0.81</v>
      </c>
      <c r="AT39" s="60">
        <v>0.85499999999999998</v>
      </c>
      <c r="AU39" s="60">
        <v>0.86</v>
      </c>
      <c r="AV39" s="60">
        <v>0.86</v>
      </c>
      <c r="AW39" s="60">
        <v>0.86</v>
      </c>
      <c r="AX39" s="60">
        <v>0.86</v>
      </c>
      <c r="AY39" s="60">
        <v>0.86</v>
      </c>
      <c r="AZ39" s="60">
        <v>0.86</v>
      </c>
      <c r="BA39" s="60">
        <v>0.86</v>
      </c>
    </row>
    <row r="40" spans="2:104">
      <c r="B40" s="37" t="s">
        <v>75</v>
      </c>
      <c r="C40" s="50">
        <f t="shared" ref="C40:V40" si="88">C26/C23</f>
        <v>1.1976705315199607</v>
      </c>
      <c r="D40" s="50">
        <f t="shared" si="88"/>
        <v>1.3724765031778039</v>
      </c>
      <c r="E40" s="50">
        <f t="shared" si="88"/>
        <v>1.3231844584641892</v>
      </c>
      <c r="F40" s="50">
        <f t="shared" si="88"/>
        <v>1.4278361880089836</v>
      </c>
      <c r="G40" s="50">
        <f t="shared" si="88"/>
        <v>1.3281676433155698</v>
      </c>
      <c r="H40" s="50">
        <f t="shared" si="88"/>
        <v>1.460317266849088</v>
      </c>
      <c r="I40" s="50">
        <f t="shared" si="88"/>
        <v>0.73462005597507529</v>
      </c>
      <c r="J40" s="50">
        <f t="shared" si="88"/>
        <v>0.97935519098558022</v>
      </c>
      <c r="K40" s="50">
        <f t="shared" si="88"/>
        <v>0.92135844044965143</v>
      </c>
      <c r="L40" s="50">
        <f t="shared" si="88"/>
        <v>1.0804669067428287</v>
      </c>
      <c r="M40" s="50">
        <f t="shared" si="88"/>
        <v>0.94105283271233398</v>
      </c>
      <c r="N40" s="50">
        <f t="shared" si="88"/>
        <v>0.82753162107349121</v>
      </c>
      <c r="O40" s="50">
        <f t="shared" si="88"/>
        <v>0.96916704471488591</v>
      </c>
      <c r="P40" s="50">
        <f t="shared" si="88"/>
        <v>0.9259372679319241</v>
      </c>
      <c r="Q40" s="50">
        <f t="shared" si="88"/>
        <v>0.58558262609701994</v>
      </c>
      <c r="R40" s="50">
        <f t="shared" si="88"/>
        <v>0.49274058392872905</v>
      </c>
      <c r="S40" s="50">
        <f t="shared" si="88"/>
        <v>0.48468401792689436</v>
      </c>
      <c r="T40" s="50">
        <f t="shared" si="88"/>
        <v>0.4951133423525943</v>
      </c>
      <c r="U40" s="50">
        <f t="shared" si="88"/>
        <v>0.48051569981869596</v>
      </c>
      <c r="V40" s="50">
        <f t="shared" si="88"/>
        <v>0.30368425209287647</v>
      </c>
      <c r="W40" s="50">
        <f>W26/W23</f>
        <v>1.0383775786655784</v>
      </c>
      <c r="X40" s="50">
        <f>X26/X23</f>
        <v>0.33447228549734237</v>
      </c>
      <c r="Y40" s="50">
        <f>Y26/Y23</f>
        <v>0.54812529579834879</v>
      </c>
      <c r="Z40" s="60">
        <v>0.33447228549734237</v>
      </c>
      <c r="AA40" s="60">
        <v>0.33447228549734237</v>
      </c>
      <c r="AB40" s="60">
        <v>0.33447228549734237</v>
      </c>
      <c r="AC40" s="60">
        <v>0.33447228549734237</v>
      </c>
      <c r="AD40" s="60">
        <v>0.33447228549734237</v>
      </c>
      <c r="AM40" s="50">
        <f t="shared" ref="AM40:AQ40" si="89">AM26/AM23</f>
        <v>1.3374270272672231</v>
      </c>
      <c r="AN40" s="50">
        <f t="shared" si="89"/>
        <v>1.098792468422515</v>
      </c>
      <c r="AO40" s="50">
        <f t="shared" si="89"/>
        <v>0.94006192839756797</v>
      </c>
      <c r="AP40" s="50">
        <f t="shared" si="89"/>
        <v>0.70567167684358845</v>
      </c>
      <c r="AQ40" s="50">
        <f t="shared" si="89"/>
        <v>0.42299205196271883</v>
      </c>
      <c r="AR40" s="60">
        <v>0.61</v>
      </c>
      <c r="AS40" s="60">
        <v>0.55000000000000004</v>
      </c>
      <c r="AT40" s="60">
        <v>0.42</v>
      </c>
      <c r="AU40" s="60">
        <v>0.32</v>
      </c>
      <c r="AV40" s="60">
        <v>0.28000000000000003</v>
      </c>
      <c r="AW40" s="60">
        <v>0.25</v>
      </c>
      <c r="AX40" s="60">
        <v>0.24</v>
      </c>
      <c r="AY40" s="60">
        <v>0.24</v>
      </c>
      <c r="AZ40" s="60">
        <v>0.24</v>
      </c>
      <c r="BA40" s="60">
        <v>0.24</v>
      </c>
    </row>
    <row r="41" spans="2:104">
      <c r="B41" s="37" t="s">
        <v>76</v>
      </c>
      <c r="C41" s="50">
        <f t="shared" ref="C41:V41" si="90">C27/C23</f>
        <v>0.72811724756760565</v>
      </c>
      <c r="D41" s="50">
        <f t="shared" si="90"/>
        <v>0.53646284553614976</v>
      </c>
      <c r="E41" s="50">
        <f t="shared" si="90"/>
        <v>0.52370000833773378</v>
      </c>
      <c r="F41" s="50">
        <f t="shared" si="90"/>
        <v>0.59284011519753055</v>
      </c>
      <c r="G41" s="50">
        <f t="shared" si="90"/>
        <v>0.48411158979384877</v>
      </c>
      <c r="H41" s="50">
        <f t="shared" si="90"/>
        <v>0.4409009744711711</v>
      </c>
      <c r="I41" s="50">
        <f t="shared" si="90"/>
        <v>0.32279136082800869</v>
      </c>
      <c r="J41" s="50">
        <f t="shared" si="90"/>
        <v>0.38745625573949521</v>
      </c>
      <c r="K41" s="50">
        <f t="shared" si="90"/>
        <v>0.34074847033154676</v>
      </c>
      <c r="L41" s="50">
        <f t="shared" si="90"/>
        <v>0.66077752133494905</v>
      </c>
      <c r="M41" s="50">
        <f t="shared" si="90"/>
        <v>0.45505354490737127</v>
      </c>
      <c r="N41" s="50">
        <f t="shared" si="90"/>
        <v>0.46629665753255006</v>
      </c>
      <c r="O41" s="50">
        <f t="shared" si="90"/>
        <v>0.43675023175999528</v>
      </c>
      <c r="P41" s="50">
        <f t="shared" si="90"/>
        <v>0.45383902801276998</v>
      </c>
      <c r="Q41" s="50">
        <f t="shared" si="90"/>
        <v>0.36434624843282865</v>
      </c>
      <c r="R41" s="50">
        <f t="shared" si="90"/>
        <v>0.33191950503408546</v>
      </c>
      <c r="S41" s="50">
        <f t="shared" si="90"/>
        <v>0.30717341827566103</v>
      </c>
      <c r="T41" s="50">
        <f t="shared" si="90"/>
        <v>0.3824350351448087</v>
      </c>
      <c r="U41" s="50">
        <f t="shared" si="90"/>
        <v>0.27441771856557873</v>
      </c>
      <c r="V41" s="50">
        <f t="shared" si="90"/>
        <v>0.24888369804259874</v>
      </c>
      <c r="W41" s="50">
        <f>W27/W23</f>
        <v>0.17940101656414209</v>
      </c>
      <c r="X41" s="50">
        <f>X27/X23</f>
        <v>0.22565817034535121</v>
      </c>
      <c r="Y41" s="50">
        <f>Y27/Y23</f>
        <v>0.23010294408566073</v>
      </c>
      <c r="Z41" s="60">
        <v>0.22565817034535121</v>
      </c>
      <c r="AA41" s="60">
        <v>0.22565817034535121</v>
      </c>
      <c r="AB41" s="60">
        <v>0.22565817034535121</v>
      </c>
      <c r="AC41" s="60">
        <v>0.22565817034535121</v>
      </c>
      <c r="AD41" s="60">
        <v>0.22565817034535121</v>
      </c>
      <c r="AM41" s="50">
        <f t="shared" ref="AM41:AQ41" si="91">AM27/AM23</f>
        <v>0.58854950666451888</v>
      </c>
      <c r="AN41" s="50">
        <f t="shared" si="91"/>
        <v>0.40273849639165343</v>
      </c>
      <c r="AO41" s="50">
        <f t="shared" si="91"/>
        <v>0.48383141499636129</v>
      </c>
      <c r="AP41" s="50">
        <f t="shared" si="91"/>
        <v>0.38756297573624504</v>
      </c>
      <c r="AQ41" s="50">
        <f t="shared" si="91"/>
        <v>0.2933102836571802</v>
      </c>
      <c r="AR41" s="60">
        <v>0.245</v>
      </c>
      <c r="AS41" s="60">
        <v>0.19500000000000001</v>
      </c>
      <c r="AT41" s="60">
        <v>0.1925</v>
      </c>
      <c r="AU41" s="60">
        <v>0.19</v>
      </c>
      <c r="AV41" s="60">
        <v>0.185</v>
      </c>
      <c r="AW41" s="60">
        <v>0.1825</v>
      </c>
      <c r="AX41" s="60">
        <v>0.18</v>
      </c>
      <c r="AY41" s="60">
        <v>0.18</v>
      </c>
      <c r="AZ41" s="60">
        <v>0.18</v>
      </c>
      <c r="BA41" s="60">
        <v>0.18</v>
      </c>
    </row>
    <row r="42" spans="2:104">
      <c r="B42" s="37" t="s">
        <v>77</v>
      </c>
      <c r="C42" s="50">
        <f t="shared" ref="C42:V42" si="92">C30/C23</f>
        <v>-1.0382849200344848</v>
      </c>
      <c r="D42" s="50">
        <f t="shared" si="92"/>
        <v>-1.0072656323939455</v>
      </c>
      <c r="E42" s="50">
        <f t="shared" si="92"/>
        <v>-0.95236374753342024</v>
      </c>
      <c r="F42" s="50">
        <f t="shared" si="92"/>
        <v>-1.1761723002301185</v>
      </c>
      <c r="G42" s="50">
        <f t="shared" si="92"/>
        <v>-1.0335803880733132</v>
      </c>
      <c r="H42" s="50">
        <f t="shared" si="92"/>
        <v>-1.0212384742426364</v>
      </c>
      <c r="I42" s="50">
        <f t="shared" si="92"/>
        <v>-0.18213022125996731</v>
      </c>
      <c r="J42" s="50">
        <f t="shared" si="92"/>
        <v>-0.52529348986125957</v>
      </c>
      <c r="K42" s="50">
        <f t="shared" si="92"/>
        <v>-0.41209030972821736</v>
      </c>
      <c r="L42" s="50">
        <f t="shared" si="92"/>
        <v>-0.90384821248881309</v>
      </c>
      <c r="M42" s="50">
        <f t="shared" si="92"/>
        <v>-0.57037702910445798</v>
      </c>
      <c r="N42" s="50">
        <f t="shared" si="92"/>
        <v>-0.41370968990447926</v>
      </c>
      <c r="O42" s="50">
        <f t="shared" si="92"/>
        <v>-0.54475630683050957</v>
      </c>
      <c r="P42" s="50">
        <f t="shared" si="92"/>
        <v>-0.51108567666265992</v>
      </c>
      <c r="Q42" s="50">
        <f t="shared" si="92"/>
        <v>-6.2840558395216503E-2</v>
      </c>
      <c r="R42" s="50">
        <f t="shared" si="92"/>
        <v>6.2084955707607317E-2</v>
      </c>
      <c r="S42" s="50">
        <f t="shared" si="92"/>
        <v>8.4405391612670772E-2</v>
      </c>
      <c r="T42" s="50">
        <f t="shared" si="92"/>
        <v>-1.9287625335122176E-3</v>
      </c>
      <c r="U42" s="50">
        <f t="shared" si="92"/>
        <v>4.751365131825392E-2</v>
      </c>
      <c r="V42" s="50">
        <f t="shared" si="92"/>
        <v>0.24556820529020795</v>
      </c>
      <c r="W42" s="50">
        <f>W30/W23</f>
        <v>-0.40326261777349376</v>
      </c>
      <c r="X42" s="50">
        <f>X30/X23</f>
        <v>0.18912824339538678</v>
      </c>
      <c r="Y42" s="50">
        <f>Y30/Y23</f>
        <v>-0.25892278066724606</v>
      </c>
      <c r="Z42" s="60">
        <f t="shared" ref="Z42:AD42" si="93">Z30/Z23</f>
        <v>0.23986954415730644</v>
      </c>
      <c r="AA42" s="60">
        <f t="shared" si="93"/>
        <v>0.24986954415730653</v>
      </c>
      <c r="AB42" s="60">
        <f t="shared" si="93"/>
        <v>0.25986954415730634</v>
      </c>
      <c r="AC42" s="60">
        <f t="shared" si="93"/>
        <v>0.26986954415730641</v>
      </c>
      <c r="AD42" s="60">
        <f t="shared" si="93"/>
        <v>0.26986954415730646</v>
      </c>
      <c r="AM42" s="50">
        <f t="shared" ref="AM42:AQ42" si="94">AM30/AM23</f>
        <v>-1.0445547945839557</v>
      </c>
      <c r="AN42" s="50">
        <f t="shared" si="94"/>
        <v>-0.655062015117298</v>
      </c>
      <c r="AO42" s="50">
        <f t="shared" si="94"/>
        <v>-0.57469402891492405</v>
      </c>
      <c r="AP42" s="50">
        <f t="shared" si="94"/>
        <v>-0.21540758089526876</v>
      </c>
      <c r="AQ42" s="50">
        <f t="shared" si="94"/>
        <v>0.11466109773031138</v>
      </c>
      <c r="AR42" s="60">
        <f>AR30/AR23</f>
        <v>-9.6087893424839435E-2</v>
      </c>
      <c r="AS42" s="60">
        <f t="shared" ref="AS42:BA42" si="95">AS30/AS23</f>
        <v>6.3565909840192655E-2</v>
      </c>
      <c r="AT42" s="60">
        <f t="shared" si="95"/>
        <v>0.24096061885079623</v>
      </c>
      <c r="AU42" s="60">
        <f t="shared" si="95"/>
        <v>0.34827790199342357</v>
      </c>
      <c r="AV42" s="60">
        <f t="shared" si="95"/>
        <v>0.39304246046939673</v>
      </c>
      <c r="AW42" s="60">
        <f t="shared" si="95"/>
        <v>0.42523915034435772</v>
      </c>
      <c r="AX42" s="60">
        <f t="shared" si="95"/>
        <v>0.43720009747885086</v>
      </c>
      <c r="AY42" s="60">
        <f t="shared" si="95"/>
        <v>0.43661967176466632</v>
      </c>
      <c r="AZ42" s="60">
        <f t="shared" si="95"/>
        <v>0.43595280006639309</v>
      </c>
      <c r="BA42" s="60">
        <f t="shared" si="95"/>
        <v>0.43519977193659765</v>
      </c>
    </row>
    <row r="43" spans="2:104">
      <c r="B43" s="37" t="s">
        <v>78</v>
      </c>
      <c r="C43" s="50">
        <f t="shared" ref="C43:Q43" si="96">-C34/C33</f>
        <v>6.6179432583299731E-3</v>
      </c>
      <c r="D43" s="50">
        <f t="shared" si="96"/>
        <v>1.3262247685737782E-3</v>
      </c>
      <c r="E43" s="50">
        <f t="shared" si="96"/>
        <v>4.8879090441592032E-4</v>
      </c>
      <c r="F43" s="50">
        <f t="shared" si="96"/>
        <v>3.4598036614486615E-3</v>
      </c>
      <c r="G43" s="50">
        <f t="shared" si="96"/>
        <v>-8.5427706057003582E-4</v>
      </c>
      <c r="H43" s="50">
        <f t="shared" si="96"/>
        <v>-4.2808742768380261E-3</v>
      </c>
      <c r="I43" s="50">
        <f t="shared" si="96"/>
        <v>4.943782723878261E-3</v>
      </c>
      <c r="J43" s="50">
        <f t="shared" si="96"/>
        <v>7.2195650212074705E-4</v>
      </c>
      <c r="K43" s="50">
        <f t="shared" si="96"/>
        <v>8.4404797342065036E-3</v>
      </c>
      <c r="L43" s="50">
        <f t="shared" si="96"/>
        <v>1.4856847173559375E-2</v>
      </c>
      <c r="M43" s="50">
        <f t="shared" si="96"/>
        <v>5.1479449169893896E-3</v>
      </c>
      <c r="N43" s="50">
        <f t="shared" si="96"/>
        <v>7.8313371875061585E-2</v>
      </c>
      <c r="O43" s="50">
        <f t="shared" si="96"/>
        <v>7.8894040135514421E-3</v>
      </c>
      <c r="P43" s="50">
        <f t="shared" si="96"/>
        <v>0.64158836842466405</v>
      </c>
      <c r="Q43" s="50">
        <f t="shared" si="96"/>
        <v>0.23395919351436065</v>
      </c>
      <c r="R43" s="50">
        <f>R34/R33</f>
        <v>-0.13086658246031149</v>
      </c>
      <c r="S43" s="50">
        <f t="shared" ref="S43:U43" si="97">S34/S33</f>
        <v>0.12860176649452185</v>
      </c>
      <c r="T43" s="50">
        <f t="shared" si="97"/>
        <v>0.52415672411253456</v>
      </c>
      <c r="U43" s="50">
        <f t="shared" si="97"/>
        <v>1.1615255682653571E-2</v>
      </c>
      <c r="V43" s="50">
        <f>V34/V33</f>
        <v>7.3908461569812525E-2</v>
      </c>
      <c r="W43" s="50">
        <f>-W34/W33</f>
        <v>0.1668548422844954</v>
      </c>
      <c r="X43" s="50">
        <f>X34/X33</f>
        <v>-0.28151320671205571</v>
      </c>
      <c r="Y43" s="50">
        <f>Y34/Y33</f>
        <v>7.2658315254639047E-2</v>
      </c>
      <c r="Z43" s="60">
        <v>0.18</v>
      </c>
      <c r="AA43" s="60">
        <v>0.18</v>
      </c>
      <c r="AB43" s="60">
        <v>0.18</v>
      </c>
      <c r="AC43" s="60">
        <v>0.18</v>
      </c>
      <c r="AD43" s="60">
        <v>0.18</v>
      </c>
      <c r="AM43" s="50">
        <f t="shared" ref="AM43:AQ43" si="98">-AM34/AM33</f>
        <v>1.9221241370331664E-3</v>
      </c>
      <c r="AN43" s="50">
        <f t="shared" si="98"/>
        <v>-4.009718794602155E-4</v>
      </c>
      <c r="AO43" s="50">
        <f t="shared" si="98"/>
        <v>1.9602614068372177E-2</v>
      </c>
      <c r="AP43" s="50">
        <f t="shared" si="98"/>
        <v>3.0530784582905538E-2</v>
      </c>
      <c r="AQ43" s="50">
        <f t="shared" si="98"/>
        <v>-9.791928705095565E-2</v>
      </c>
      <c r="AR43" s="60">
        <v>-0.15</v>
      </c>
      <c r="AS43" s="60">
        <v>0.12</v>
      </c>
      <c r="AT43" s="60">
        <v>0.14000000000000001</v>
      </c>
      <c r="AU43" s="60">
        <v>0.15</v>
      </c>
      <c r="AV43" s="60">
        <v>0.15</v>
      </c>
      <c r="AW43" s="60">
        <v>0.15</v>
      </c>
      <c r="AX43" s="60">
        <v>0.15</v>
      </c>
      <c r="AY43" s="60">
        <v>0.15</v>
      </c>
      <c r="AZ43" s="60">
        <v>0.15</v>
      </c>
      <c r="BA43" s="60">
        <v>0.15</v>
      </c>
    </row>
    <row r="44" spans="2:104">
      <c r="B44" s="37" t="s">
        <v>79</v>
      </c>
      <c r="C44" s="50">
        <f t="shared" ref="C44:V44" si="99">C35/C23</f>
        <v>-0.15387863539595695</v>
      </c>
      <c r="D44" s="50">
        <f t="shared" si="99"/>
        <v>-1.0993382304763426</v>
      </c>
      <c r="E44" s="50">
        <f t="shared" si="99"/>
        <v>-1.3652969622856506</v>
      </c>
      <c r="F44" s="50">
        <f t="shared" si="99"/>
        <v>-1.3028758043846707</v>
      </c>
      <c r="G44" s="50">
        <f t="shared" si="99"/>
        <v>-1.1382894011474771</v>
      </c>
      <c r="H44" s="50">
        <f t="shared" si="99"/>
        <v>-0.49612710175575431</v>
      </c>
      <c r="I44" s="50">
        <f t="shared" si="99"/>
        <v>-0.2544014363415536</v>
      </c>
      <c r="J44" s="50">
        <f t="shared" si="99"/>
        <v>-0.60549005981484705</v>
      </c>
      <c r="K44" s="50">
        <f t="shared" si="99"/>
        <v>-0.49812645259213623</v>
      </c>
      <c r="L44" s="50">
        <f t="shared" si="99"/>
        <v>-1.0004025058127832</v>
      </c>
      <c r="M44" s="50">
        <f t="shared" si="99"/>
        <v>-1.1223716094739309</v>
      </c>
      <c r="N44" s="50">
        <f t="shared" si="99"/>
        <v>-0.4230334556376083</v>
      </c>
      <c r="O44" s="50">
        <f t="shared" si="99"/>
        <v>-2.0385333044044258</v>
      </c>
      <c r="P44" s="50">
        <f t="shared" si="99"/>
        <v>-9.1625261256019261E-2</v>
      </c>
      <c r="Q44" s="50">
        <f t="shared" si="99"/>
        <v>-0.12339666313048508</v>
      </c>
      <c r="R44" s="50">
        <f t="shared" si="99"/>
        <v>0.11507453470935881</v>
      </c>
      <c r="S44" s="50">
        <f t="shared" si="99"/>
        <v>8.3464544075925712E-2</v>
      </c>
      <c r="T44" s="50">
        <f t="shared" si="99"/>
        <v>1.7802478184318089E-2</v>
      </c>
      <c r="U44" s="50">
        <f t="shared" si="99"/>
        <v>7.194795909848857E-2</v>
      </c>
      <c r="V44" s="50">
        <f t="shared" si="99"/>
        <v>0.24157533747250995</v>
      </c>
      <c r="W44" s="50">
        <f>W35/W23</f>
        <v>-0.60077839922025844</v>
      </c>
      <c r="X44" s="50">
        <f>X35/X23</f>
        <v>0.32218600267064662</v>
      </c>
      <c r="Y44" s="50">
        <f>Y35/Y23</f>
        <v>-0.45063767237687913</v>
      </c>
      <c r="Z44" s="60">
        <v>0.32218600267064662</v>
      </c>
      <c r="AA44" s="60">
        <v>0.32218600267064662</v>
      </c>
      <c r="AB44" s="60">
        <v>0.32218600267064662</v>
      </c>
      <c r="AC44" s="60">
        <v>0.32218600267064662</v>
      </c>
      <c r="AD44" s="60">
        <v>0.32218600267064662</v>
      </c>
      <c r="AM44" s="50">
        <f t="shared" ref="AM44:AQ44" si="100">AM35/AM23</f>
        <v>-1.0259174706859295</v>
      </c>
      <c r="AN44" s="50">
        <f t="shared" si="100"/>
        <v>-0.59673289686469222</v>
      </c>
      <c r="AO44" s="50">
        <f t="shared" si="100"/>
        <v>-0.75712128341191409</v>
      </c>
      <c r="AP44" s="50">
        <f t="shared" si="100"/>
        <v>-0.43107977248306151</v>
      </c>
      <c r="AQ44" s="50">
        <f t="shared" si="100"/>
        <v>0.12284099877022822</v>
      </c>
      <c r="AR44" s="60">
        <f>AR35/AR23</f>
        <v>-0.12870802560895683</v>
      </c>
      <c r="AS44" s="60">
        <f t="shared" ref="AS44:BA44" si="101">AS35/AS23</f>
        <v>9.9909279476676924E-2</v>
      </c>
      <c r="AT44" s="60">
        <f t="shared" si="101"/>
        <v>0.26059917894003359</v>
      </c>
      <c r="AU44" s="60">
        <f t="shared" si="101"/>
        <v>0.37761005017097538</v>
      </c>
      <c r="AV44" s="60">
        <f t="shared" si="101"/>
        <v>0.45975073801228078</v>
      </c>
      <c r="AW44" s="60">
        <f t="shared" si="101"/>
        <v>0.54588623385551283</v>
      </c>
      <c r="AX44" s="60">
        <f t="shared" si="101"/>
        <v>0.64798244098463509</v>
      </c>
      <c r="AY44" s="60">
        <f t="shared" si="101"/>
        <v>0.75697099520374045</v>
      </c>
      <c r="AZ44" s="60">
        <f t="shared" si="101"/>
        <v>0.88939553519758774</v>
      </c>
      <c r="BA44" s="60">
        <f t="shared" si="101"/>
        <v>1.0477869113217948</v>
      </c>
    </row>
    <row r="46" spans="2:104">
      <c r="B46" s="1" t="s">
        <v>80</v>
      </c>
      <c r="C46" s="48"/>
      <c r="D46" s="48"/>
      <c r="E46" s="48"/>
      <c r="F46" s="48">
        <v>1502.64</v>
      </c>
      <c r="G46" s="48">
        <v>1481.83</v>
      </c>
      <c r="H46" s="48">
        <v>1697.27</v>
      </c>
      <c r="I46" s="48">
        <v>1599.1130000000001</v>
      </c>
      <c r="J46" s="48">
        <v>2115.8690000000001</v>
      </c>
      <c r="K46" s="48">
        <v>1233.877</v>
      </c>
      <c r="L46" s="48">
        <v>868.56500000000005</v>
      </c>
      <c r="M46" s="48">
        <v>1038.6199999999999</v>
      </c>
      <c r="N46" s="48">
        <v>966.77</v>
      </c>
      <c r="O46" s="48">
        <v>871.66800000000001</v>
      </c>
      <c r="P46" s="48">
        <v>851.92899999999997</v>
      </c>
      <c r="Q46" s="48">
        <v>541.93200000000002</v>
      </c>
      <c r="R46" s="48">
        <v>428.43</v>
      </c>
      <c r="S46" s="48">
        <v>427.29</v>
      </c>
      <c r="T46" s="48">
        <v>383.62200000000001</v>
      </c>
      <c r="U46" s="48">
        <v>197.85499999999999</v>
      </c>
      <c r="V46" s="48">
        <v>1103.01</v>
      </c>
      <c r="W46" s="48">
        <v>240.86699999999999</v>
      </c>
      <c r="X46" s="48">
        <v>510.59800000000001</v>
      </c>
      <c r="Y46" s="48">
        <v>613.07000000000005</v>
      </c>
      <c r="Z46" s="49">
        <f t="shared" ref="Z46:AD46" si="102">Y46+Z35</f>
        <v>724.58053540424669</v>
      </c>
      <c r="AA46" s="49">
        <f t="shared" si="102"/>
        <v>844.39031556440852</v>
      </c>
      <c r="AB46" s="49">
        <f t="shared" si="102"/>
        <v>971.85544993664746</v>
      </c>
      <c r="AC46" s="49">
        <f t="shared" si="102"/>
        <v>1089.6273633302715</v>
      </c>
      <c r="AD46" s="49">
        <f t="shared" si="102"/>
        <v>1227.9415721182611</v>
      </c>
      <c r="AM46" s="48">
        <f>F46</f>
        <v>1502.64</v>
      </c>
      <c r="AN46" s="48">
        <f>J46</f>
        <v>2115.8690000000001</v>
      </c>
      <c r="AO46" s="48">
        <f>N46</f>
        <v>966.77</v>
      </c>
      <c r="AP46" s="48">
        <f>R46</f>
        <v>428.43</v>
      </c>
      <c r="AQ46" s="48">
        <f>V46</f>
        <v>1103.01</v>
      </c>
      <c r="AR46" s="49">
        <f>AQ46+AR35</f>
        <v>818.4758769675002</v>
      </c>
      <c r="AS46" s="49">
        <f t="shared" ref="AS46:BA46" si="103">AR46+AS35</f>
        <v>994.40338492304568</v>
      </c>
      <c r="AT46" s="49">
        <f t="shared" si="103"/>
        <v>1443.2733615410441</v>
      </c>
      <c r="AU46" s="49">
        <f t="shared" si="103"/>
        <v>2053.7494509081889</v>
      </c>
      <c r="AV46" s="49">
        <f t="shared" si="103"/>
        <v>2740.3184206054921</v>
      </c>
      <c r="AW46" s="49">
        <f t="shared" si="103"/>
        <v>3481.4443967081079</v>
      </c>
      <c r="AX46" s="49">
        <f t="shared" si="103"/>
        <v>4227.3282419216794</v>
      </c>
      <c r="AY46" s="49">
        <f t="shared" si="103"/>
        <v>4985.1386053519418</v>
      </c>
      <c r="AZ46" s="49">
        <f t="shared" si="103"/>
        <v>5765.992460758529</v>
      </c>
      <c r="BA46" s="49">
        <f t="shared" si="103"/>
        <v>6580.3776555961458</v>
      </c>
    </row>
    <row r="47" spans="2:104">
      <c r="B47" s="1" t="s">
        <v>81</v>
      </c>
      <c r="C47" s="48"/>
      <c r="D47" s="48"/>
      <c r="E47" s="48"/>
      <c r="F47" s="48">
        <v>435.923</v>
      </c>
      <c r="G47" s="48">
        <v>255.99700000000001</v>
      </c>
      <c r="H47" s="48">
        <v>30</v>
      </c>
      <c r="I47" s="48">
        <v>0</v>
      </c>
      <c r="J47" s="48">
        <v>0</v>
      </c>
      <c r="K47" s="48">
        <v>779.548</v>
      </c>
      <c r="L47" s="48">
        <v>1059.454</v>
      </c>
      <c r="M47" s="48">
        <v>1033.8599999999999</v>
      </c>
      <c r="N47" s="48">
        <v>1022.597</v>
      </c>
      <c r="O47" s="48">
        <v>1010.42</v>
      </c>
      <c r="P47" s="48">
        <v>1008.7859999999999</v>
      </c>
      <c r="Q47" s="48">
        <v>1191.6099999999999</v>
      </c>
      <c r="R47" s="48">
        <v>1247.82</v>
      </c>
      <c r="S47" s="48">
        <v>963.45299999999997</v>
      </c>
      <c r="T47" s="48">
        <v>1076.8499999999999</v>
      </c>
      <c r="U47" s="48">
        <v>1000.534</v>
      </c>
      <c r="V47" s="48">
        <v>251.78200000000001</v>
      </c>
      <c r="W47" s="48">
        <v>281.89499999999998</v>
      </c>
      <c r="X47" s="48">
        <v>289.541</v>
      </c>
      <c r="Y47" s="48">
        <v>237.916</v>
      </c>
      <c r="AM47" s="48">
        <f t="shared" ref="AM47:AM58" si="104">F47</f>
        <v>435.923</v>
      </c>
      <c r="AN47" s="48">
        <f t="shared" ref="AN47:AN58" si="105">J47</f>
        <v>0</v>
      </c>
      <c r="AO47" s="48">
        <f t="shared" ref="AO47:AO58" si="106">N47</f>
        <v>1022.597</v>
      </c>
      <c r="AP47" s="48">
        <f t="shared" ref="AP47:AP58" si="107">R47</f>
        <v>1247.82</v>
      </c>
      <c r="AQ47" s="48">
        <f t="shared" ref="AQ47:AQ58" si="108">V47</f>
        <v>251.78200000000001</v>
      </c>
    </row>
    <row r="48" spans="2:104">
      <c r="B48" s="1" t="s">
        <v>156</v>
      </c>
      <c r="C48" s="48"/>
      <c r="D48" s="48"/>
      <c r="E48" s="48"/>
      <c r="F48" s="48">
        <v>101.34</v>
      </c>
      <c r="G48" s="48">
        <v>118.203</v>
      </c>
      <c r="H48" s="48">
        <v>127.52</v>
      </c>
      <c r="I48" s="48">
        <v>149.78700000000001</v>
      </c>
      <c r="J48" s="48">
        <v>152.99</v>
      </c>
      <c r="K48" s="48">
        <v>178.19399999999999</v>
      </c>
      <c r="L48" s="48">
        <v>203.85400000000001</v>
      </c>
      <c r="M48" s="48">
        <v>201.50899999999999</v>
      </c>
      <c r="N48" s="48">
        <v>214.62799999999999</v>
      </c>
      <c r="O48" s="48">
        <v>223.83600000000001</v>
      </c>
      <c r="P48" s="48">
        <v>236.80799999999999</v>
      </c>
      <c r="Q48" s="48">
        <v>318.85500000000002</v>
      </c>
      <c r="R48" s="48">
        <v>400.32</v>
      </c>
      <c r="S48" s="48">
        <v>378.80599999999998</v>
      </c>
      <c r="T48" s="48">
        <v>359.99700000000001</v>
      </c>
      <c r="U48" s="48">
        <v>434.524</v>
      </c>
      <c r="V48" s="48">
        <v>601.98800000000006</v>
      </c>
      <c r="W48" s="48">
        <v>659.37099999999998</v>
      </c>
      <c r="X48" s="48">
        <v>527.29499999999996</v>
      </c>
      <c r="Y48" s="48">
        <v>395.73</v>
      </c>
      <c r="AM48" s="48">
        <f t="shared" si="104"/>
        <v>101.34</v>
      </c>
      <c r="AN48" s="48">
        <f t="shared" si="105"/>
        <v>152.99</v>
      </c>
      <c r="AO48" s="48">
        <f t="shared" si="106"/>
        <v>214.62799999999999</v>
      </c>
      <c r="AP48" s="48">
        <f t="shared" si="107"/>
        <v>400.32</v>
      </c>
      <c r="AQ48" s="48">
        <f t="shared" si="108"/>
        <v>601.98800000000006</v>
      </c>
      <c r="AS48" s="80" t="s">
        <v>1677</v>
      </c>
      <c r="AT48" s="81"/>
      <c r="AU48" s="81"/>
      <c r="AV48" s="80" t="s">
        <v>1678</v>
      </c>
      <c r="AW48" s="81"/>
      <c r="AX48" s="82" t="s">
        <v>1679</v>
      </c>
      <c r="AZ48" s="61" t="s">
        <v>1474</v>
      </c>
      <c r="BA48" s="62">
        <v>0.1075</v>
      </c>
    </row>
    <row r="49" spans="2:104">
      <c r="B49" s="1" t="s">
        <v>157</v>
      </c>
      <c r="C49" s="48"/>
      <c r="D49" s="48"/>
      <c r="E49" s="48"/>
      <c r="F49" s="48">
        <v>231.96100000000001</v>
      </c>
      <c r="G49" s="48">
        <v>240.333</v>
      </c>
      <c r="H49" s="48">
        <v>268.75599999999997</v>
      </c>
      <c r="I49" s="48">
        <v>288.46899999999999</v>
      </c>
      <c r="J49" s="48">
        <v>186.21199999999999</v>
      </c>
      <c r="K49" s="48">
        <v>198.99700000000001</v>
      </c>
      <c r="L49" s="48">
        <v>208.095</v>
      </c>
      <c r="M49" s="48">
        <v>221.19200000000001</v>
      </c>
      <c r="N49" s="48">
        <v>203.96799999999999</v>
      </c>
      <c r="O49" s="48">
        <v>202.67</v>
      </c>
      <c r="P49" s="48">
        <v>226.876</v>
      </c>
      <c r="Q49" s="48">
        <v>244.011</v>
      </c>
      <c r="R49" s="48">
        <v>322.85000000000002</v>
      </c>
      <c r="S49" s="48">
        <v>373.53</v>
      </c>
      <c r="T49" s="48">
        <v>485.79500000000002</v>
      </c>
      <c r="U49" s="48">
        <v>565.92399999999998</v>
      </c>
      <c r="V49" s="48">
        <v>749.96</v>
      </c>
      <c r="W49" s="48">
        <v>941.43200000000002</v>
      </c>
      <c r="X49" s="48">
        <v>994</v>
      </c>
      <c r="Y49" s="48">
        <v>1077.1600000000001</v>
      </c>
      <c r="AM49" s="48">
        <f t="shared" si="104"/>
        <v>231.96100000000001</v>
      </c>
      <c r="AN49" s="48">
        <f t="shared" si="105"/>
        <v>186.21199999999999</v>
      </c>
      <c r="AO49" s="48">
        <f t="shared" si="106"/>
        <v>203.96799999999999</v>
      </c>
      <c r="AP49" s="48">
        <f t="shared" si="107"/>
        <v>322.85000000000002</v>
      </c>
      <c r="AQ49" s="48">
        <f t="shared" si="108"/>
        <v>749.96</v>
      </c>
      <c r="AS49" s="81">
        <v>2026</v>
      </c>
      <c r="AT49" s="81"/>
      <c r="AU49" s="81">
        <v>2023</v>
      </c>
      <c r="AV49" s="81">
        <v>2024</v>
      </c>
      <c r="AW49" s="81"/>
      <c r="AX49" s="82" t="s">
        <v>1680</v>
      </c>
      <c r="AZ49" s="61" t="s">
        <v>1475</v>
      </c>
      <c r="BA49" s="62">
        <v>-0.08</v>
      </c>
    </row>
    <row r="50" spans="2:104" ht="15" customHeight="1">
      <c r="B50" s="1" t="s">
        <v>158</v>
      </c>
      <c r="C50" s="48"/>
      <c r="D50" s="48"/>
      <c r="E50" s="48"/>
      <c r="F50" s="48">
        <v>0</v>
      </c>
      <c r="G50" s="48">
        <v>0</v>
      </c>
      <c r="H50" s="48">
        <v>0</v>
      </c>
      <c r="I50" s="48">
        <v>0</v>
      </c>
      <c r="J50" s="48">
        <v>0</v>
      </c>
      <c r="K50" s="48">
        <v>0</v>
      </c>
      <c r="L50" s="48">
        <v>0</v>
      </c>
      <c r="M50" s="48">
        <v>0</v>
      </c>
      <c r="N50" s="48">
        <v>0</v>
      </c>
      <c r="O50" s="48">
        <v>0</v>
      </c>
      <c r="P50" s="48">
        <v>0</v>
      </c>
      <c r="Q50" s="48">
        <v>0</v>
      </c>
      <c r="R50" s="48">
        <v>0</v>
      </c>
      <c r="S50" s="48">
        <v>238.821</v>
      </c>
      <c r="T50" s="48">
        <v>302.62700000000001</v>
      </c>
      <c r="U50" s="48">
        <v>321.05500000000001</v>
      </c>
      <c r="V50" s="48">
        <v>276.62</v>
      </c>
      <c r="W50" s="48">
        <v>203.49</v>
      </c>
      <c r="X50" s="48">
        <v>207.92</v>
      </c>
      <c r="Y50" s="48">
        <v>206.06</v>
      </c>
      <c r="AM50" s="48">
        <f t="shared" si="104"/>
        <v>0</v>
      </c>
      <c r="AN50" s="48">
        <f t="shared" si="105"/>
        <v>0</v>
      </c>
      <c r="AO50" s="48">
        <f t="shared" si="106"/>
        <v>0</v>
      </c>
      <c r="AP50" s="48">
        <f t="shared" si="107"/>
        <v>0</v>
      </c>
      <c r="AQ50" s="48">
        <f t="shared" si="108"/>
        <v>276.62</v>
      </c>
      <c r="AS50" s="83">
        <f>AVERAGE(AS30)*(1-AS43)</f>
        <v>98.499689994420009</v>
      </c>
      <c r="AT50" s="81"/>
      <c r="AU50" s="84">
        <f>SUM(AP46:AP49)-AP60+AP52</f>
        <v>2461.652</v>
      </c>
      <c r="AV50" s="84">
        <f>SUM(AQ46:AQ49)-AQ60+AQ52</f>
        <v>2832.634</v>
      </c>
      <c r="AW50" s="81"/>
      <c r="AX50" s="84">
        <f>AVERAGE(AU50:AV50)</f>
        <v>2647.143</v>
      </c>
      <c r="AZ50" s="61" t="s">
        <v>1476</v>
      </c>
      <c r="BA50" s="62">
        <v>4.1599999999999998E-2</v>
      </c>
    </row>
    <row r="51" spans="2:104" ht="15" customHeight="1">
      <c r="B51" s="1" t="s">
        <v>159</v>
      </c>
      <c r="C51" s="48"/>
      <c r="D51" s="48"/>
      <c r="E51" s="48"/>
      <c r="F51" s="48">
        <v>213.32400000000001</v>
      </c>
      <c r="G51" s="48">
        <v>174.98</v>
      </c>
      <c r="H51" s="48">
        <v>141.666</v>
      </c>
      <c r="I51" s="48">
        <v>147.941</v>
      </c>
      <c r="J51" s="48">
        <v>149.02799999999999</v>
      </c>
      <c r="K51" s="48">
        <v>140.33000000000001</v>
      </c>
      <c r="L51" s="48">
        <v>129.33199999999999</v>
      </c>
      <c r="M51" s="48">
        <v>130.744</v>
      </c>
      <c r="N51" s="48">
        <v>149.89099999999999</v>
      </c>
      <c r="O51" s="48">
        <v>179.76900000000001</v>
      </c>
      <c r="P51" s="48">
        <v>148.215</v>
      </c>
      <c r="Q51" s="48">
        <v>154.441</v>
      </c>
      <c r="R51" s="48">
        <v>179.89</v>
      </c>
      <c r="S51" s="48">
        <v>82.965000000000003</v>
      </c>
      <c r="T51" s="48">
        <v>74.739999999999995</v>
      </c>
      <c r="U51" s="48">
        <v>165.477</v>
      </c>
      <c r="V51" s="48">
        <v>90.460999999999999</v>
      </c>
      <c r="W51" s="48">
        <v>105.47799999999999</v>
      </c>
      <c r="X51" s="48">
        <v>127.59</v>
      </c>
      <c r="Y51" s="48">
        <v>192.34</v>
      </c>
      <c r="AM51" s="48">
        <f t="shared" si="104"/>
        <v>213.32400000000001</v>
      </c>
      <c r="AN51" s="48">
        <f t="shared" si="105"/>
        <v>149.02799999999999</v>
      </c>
      <c r="AO51" s="48">
        <f t="shared" si="106"/>
        <v>149.89099999999999</v>
      </c>
      <c r="AP51" s="48">
        <f t="shared" si="107"/>
        <v>179.89</v>
      </c>
      <c r="AQ51" s="48">
        <f t="shared" si="108"/>
        <v>90.460999999999999</v>
      </c>
      <c r="AS51" s="85">
        <f>AS50/AX50</f>
        <v>3.7209810725910918E-2</v>
      </c>
      <c r="AT51" s="81"/>
      <c r="AU51" s="81"/>
      <c r="AV51" s="81"/>
      <c r="AW51" s="81"/>
      <c r="AX51" s="81"/>
      <c r="AZ51" s="61" t="s">
        <v>1477</v>
      </c>
      <c r="BA51" s="62">
        <f>9.5%-BA50</f>
        <v>5.3400000000000003E-2</v>
      </c>
    </row>
    <row r="52" spans="2:104" ht="15" customHeight="1">
      <c r="B52" s="1" t="s">
        <v>160</v>
      </c>
      <c r="C52" s="48"/>
      <c r="D52" s="48"/>
      <c r="E52" s="48"/>
      <c r="F52" s="48">
        <v>190.43</v>
      </c>
      <c r="G52" s="48">
        <v>203.107</v>
      </c>
      <c r="H52" s="48">
        <v>203.33</v>
      </c>
      <c r="I52" s="48">
        <v>199.249</v>
      </c>
      <c r="J52" s="48">
        <v>191.15600000000001</v>
      </c>
      <c r="K52" s="48">
        <v>187.24799999999999</v>
      </c>
      <c r="L52" s="48">
        <v>183.292</v>
      </c>
      <c r="M52" s="48">
        <v>181.005</v>
      </c>
      <c r="N52" s="48">
        <v>180.03700000000001</v>
      </c>
      <c r="O52" s="48">
        <v>182.86</v>
      </c>
      <c r="P52" s="48">
        <v>188.874</v>
      </c>
      <c r="Q52" s="48">
        <v>212.36699999999999</v>
      </c>
      <c r="R52" s="48">
        <v>227.15</v>
      </c>
      <c r="S52" s="48">
        <v>249.30199999999999</v>
      </c>
      <c r="T52" s="48">
        <v>276.2</v>
      </c>
      <c r="U52" s="48">
        <v>305.78800000000001</v>
      </c>
      <c r="V52" s="48">
        <v>340.33600000000001</v>
      </c>
      <c r="W52" s="48">
        <v>360.58699999999999</v>
      </c>
      <c r="X52" s="48">
        <v>371.85700000000003</v>
      </c>
      <c r="Y52" s="48">
        <v>358.93</v>
      </c>
      <c r="AM52" s="48">
        <f t="shared" si="104"/>
        <v>190.43</v>
      </c>
      <c r="AN52" s="48">
        <f t="shared" si="105"/>
        <v>191.15600000000001</v>
      </c>
      <c r="AO52" s="48">
        <f t="shared" si="106"/>
        <v>180.03700000000001</v>
      </c>
      <c r="AP52" s="48">
        <f t="shared" si="107"/>
        <v>227.15</v>
      </c>
      <c r="AQ52" s="48">
        <f t="shared" si="108"/>
        <v>340.33600000000001</v>
      </c>
      <c r="AZ52" s="61" t="s">
        <v>1478</v>
      </c>
      <c r="BA52" s="35">
        <v>0.56000000000000005</v>
      </c>
    </row>
    <row r="53" spans="2:104" ht="15" customHeight="1">
      <c r="B53" s="1" t="s">
        <v>161</v>
      </c>
      <c r="C53" s="48"/>
      <c r="D53" s="48"/>
      <c r="E53" s="48"/>
      <c r="F53" s="48">
        <v>13.628</v>
      </c>
      <c r="G53" s="48">
        <v>14.124000000000001</v>
      </c>
      <c r="H53" s="48">
        <v>14.105</v>
      </c>
      <c r="I53" s="48">
        <v>14.204000000000001</v>
      </c>
      <c r="J53" s="48">
        <v>14.239000000000001</v>
      </c>
      <c r="K53" s="48">
        <v>13.327999999999999</v>
      </c>
      <c r="L53" s="48">
        <v>13.061999999999999</v>
      </c>
      <c r="M53" s="48">
        <v>13.057</v>
      </c>
      <c r="N53" s="48">
        <v>7.5780000000000003</v>
      </c>
      <c r="O53" s="48">
        <v>62.015999999999998</v>
      </c>
      <c r="P53" s="48">
        <v>134.72800000000001</v>
      </c>
      <c r="Q53" s="48">
        <v>133.45400000000001</v>
      </c>
      <c r="R53" s="48">
        <v>129.94999999999999</v>
      </c>
      <c r="S53" s="48">
        <v>126.26900000000001</v>
      </c>
      <c r="T53" s="48">
        <v>124</v>
      </c>
      <c r="U53" s="48">
        <v>140.898</v>
      </c>
      <c r="V53" s="48">
        <v>148.31</v>
      </c>
      <c r="W53" s="48">
        <v>147.06299999999999</v>
      </c>
      <c r="X53" s="48">
        <v>143.041</v>
      </c>
      <c r="Y53" s="48">
        <v>139.16</v>
      </c>
      <c r="AM53" s="48">
        <f t="shared" si="104"/>
        <v>13.628</v>
      </c>
      <c r="AN53" s="48">
        <f t="shared" si="105"/>
        <v>14.239000000000001</v>
      </c>
      <c r="AO53" s="48">
        <f t="shared" si="106"/>
        <v>7.5780000000000003</v>
      </c>
      <c r="AP53" s="48">
        <f t="shared" si="107"/>
        <v>129.94999999999999</v>
      </c>
      <c r="AQ53" s="48">
        <f t="shared" si="108"/>
        <v>148.31</v>
      </c>
      <c r="AZ53" s="61" t="s">
        <v>1479</v>
      </c>
      <c r="BA53" s="62">
        <f>+BA50+(BA51*BA52)</f>
        <v>7.1503999999999998E-2</v>
      </c>
    </row>
    <row r="54" spans="2:104">
      <c r="B54" s="1" t="s">
        <v>162</v>
      </c>
      <c r="C54" s="48"/>
      <c r="D54" s="48"/>
      <c r="E54" s="48"/>
      <c r="F54" s="48">
        <v>91.760999999999996</v>
      </c>
      <c r="G54" s="48">
        <v>65.067999999999998</v>
      </c>
      <c r="H54" s="48">
        <v>72.867999999999995</v>
      </c>
      <c r="I54" s="48">
        <v>72.662999999999997</v>
      </c>
      <c r="J54" s="48">
        <v>45.530999999999999</v>
      </c>
      <c r="K54" s="48">
        <v>45.981999999999999</v>
      </c>
      <c r="L54" s="48">
        <v>46.999000000000002</v>
      </c>
      <c r="M54" s="48">
        <v>43.033999999999999</v>
      </c>
      <c r="N54" s="48">
        <v>64.953999999999994</v>
      </c>
      <c r="O54" s="48">
        <v>164.14400000000001</v>
      </c>
      <c r="P54" s="48">
        <v>166.63499999999999</v>
      </c>
      <c r="Q54" s="48">
        <v>176.11199999999999</v>
      </c>
      <c r="R54" s="48">
        <v>191.36</v>
      </c>
      <c r="S54" s="48">
        <v>207.542</v>
      </c>
      <c r="T54" s="48">
        <v>204.69</v>
      </c>
      <c r="U54" s="48">
        <v>202.55</v>
      </c>
      <c r="V54" s="48">
        <v>187.98599999999999</v>
      </c>
      <c r="W54" s="48">
        <v>181.15799999999999</v>
      </c>
      <c r="X54" s="48">
        <v>194.66800000000001</v>
      </c>
      <c r="Y54" s="48">
        <v>198.6</v>
      </c>
      <c r="AM54" s="48">
        <f t="shared" si="104"/>
        <v>91.760999999999996</v>
      </c>
      <c r="AN54" s="48">
        <f t="shared" si="105"/>
        <v>45.530999999999999</v>
      </c>
      <c r="AO54" s="48">
        <f t="shared" si="106"/>
        <v>64.953999999999994</v>
      </c>
      <c r="AP54" s="48">
        <f t="shared" si="107"/>
        <v>191.36</v>
      </c>
      <c r="AQ54" s="48">
        <f t="shared" si="108"/>
        <v>187.98599999999999</v>
      </c>
      <c r="AZ54" s="61"/>
    </row>
    <row r="55" spans="2:104">
      <c r="B55" s="1" t="s">
        <v>189</v>
      </c>
      <c r="C55" s="48"/>
      <c r="D55" s="48"/>
      <c r="E55" s="48"/>
      <c r="F55" s="48">
        <v>0</v>
      </c>
      <c r="G55" s="48">
        <v>0</v>
      </c>
      <c r="H55" s="48">
        <v>0</v>
      </c>
      <c r="I55" s="48">
        <v>0</v>
      </c>
      <c r="J55" s="48">
        <v>0</v>
      </c>
      <c r="K55" s="48">
        <v>0</v>
      </c>
      <c r="L55" s="48">
        <v>0</v>
      </c>
      <c r="M55" s="48">
        <v>0</v>
      </c>
      <c r="N55" s="48">
        <v>0</v>
      </c>
      <c r="O55" s="48">
        <v>0</v>
      </c>
      <c r="P55" s="48">
        <v>0</v>
      </c>
      <c r="Q55" s="48">
        <v>0</v>
      </c>
      <c r="R55" s="48">
        <v>0</v>
      </c>
      <c r="S55" s="48">
        <v>0</v>
      </c>
      <c r="T55" s="48">
        <v>0</v>
      </c>
      <c r="U55" s="48">
        <v>0</v>
      </c>
      <c r="V55" s="48">
        <v>0</v>
      </c>
      <c r="W55" s="48">
        <v>154.37</v>
      </c>
      <c r="X55" s="48">
        <v>195.52199999999999</v>
      </c>
      <c r="Y55" s="48">
        <v>0</v>
      </c>
      <c r="AM55" s="48">
        <f t="shared" si="104"/>
        <v>0</v>
      </c>
      <c r="AN55" s="48">
        <f t="shared" si="105"/>
        <v>0</v>
      </c>
      <c r="AO55" s="48">
        <f t="shared" si="106"/>
        <v>0</v>
      </c>
      <c r="AP55" s="48">
        <f t="shared" si="107"/>
        <v>0</v>
      </c>
      <c r="AQ55" s="48">
        <f t="shared" si="108"/>
        <v>0</v>
      </c>
      <c r="AZ55" s="61" t="s">
        <v>1480</v>
      </c>
      <c r="BA55" s="49">
        <f>NPV(BA53,AR35:CO35)</f>
        <v>5354.2825827923616</v>
      </c>
    </row>
    <row r="56" spans="2:104">
      <c r="B56" s="1" t="s">
        <v>163</v>
      </c>
      <c r="C56" s="48"/>
      <c r="D56" s="48"/>
      <c r="E56" s="48"/>
      <c r="F56" s="48">
        <v>0</v>
      </c>
      <c r="G56" s="48">
        <v>0</v>
      </c>
      <c r="H56" s="48">
        <v>0</v>
      </c>
      <c r="I56" s="48">
        <v>0</v>
      </c>
      <c r="J56" s="48">
        <v>0</v>
      </c>
      <c r="K56" s="48">
        <v>0</v>
      </c>
      <c r="L56" s="48">
        <v>0</v>
      </c>
      <c r="M56" s="48">
        <v>0</v>
      </c>
      <c r="N56" s="48">
        <v>0</v>
      </c>
      <c r="O56" s="48">
        <v>0</v>
      </c>
      <c r="P56" s="48">
        <v>0</v>
      </c>
      <c r="Q56" s="48">
        <v>0</v>
      </c>
      <c r="R56" s="48">
        <v>0</v>
      </c>
      <c r="S56" s="48">
        <v>0</v>
      </c>
      <c r="T56" s="48">
        <v>0</v>
      </c>
      <c r="U56" s="48">
        <v>181.77</v>
      </c>
      <c r="V56" s="48">
        <v>133.16300000000001</v>
      </c>
      <c r="W56" s="48">
        <v>109.125</v>
      </c>
      <c r="X56" s="48">
        <v>34.603999999999999</v>
      </c>
      <c r="Y56" s="48">
        <v>1.04</v>
      </c>
      <c r="AM56" s="48">
        <f t="shared" si="104"/>
        <v>0</v>
      </c>
      <c r="AN56" s="48">
        <f t="shared" si="105"/>
        <v>0</v>
      </c>
      <c r="AO56" s="48">
        <f t="shared" si="106"/>
        <v>0</v>
      </c>
      <c r="AP56" s="48">
        <f t="shared" si="107"/>
        <v>0</v>
      </c>
      <c r="AQ56" s="48">
        <f t="shared" si="108"/>
        <v>133.16300000000001</v>
      </c>
      <c r="AZ56" s="61" t="s">
        <v>93</v>
      </c>
      <c r="BA56" s="49">
        <f>Main!C6</f>
        <v>104.78700000000001</v>
      </c>
      <c r="BB56" s="63"/>
    </row>
    <row r="57" spans="2:104">
      <c r="B57" s="1" t="s">
        <v>164</v>
      </c>
      <c r="C57" s="48"/>
      <c r="D57" s="48"/>
      <c r="E57" s="48"/>
      <c r="F57" s="48">
        <v>203.703</v>
      </c>
      <c r="G57" s="48">
        <v>211.584</v>
      </c>
      <c r="H57" s="48">
        <v>203.553</v>
      </c>
      <c r="I57" s="48">
        <v>190.792</v>
      </c>
      <c r="J57" s="48">
        <v>292.94900000000001</v>
      </c>
      <c r="K57" s="48">
        <v>278.649</v>
      </c>
      <c r="L57" s="48">
        <v>284.2</v>
      </c>
      <c r="M57" s="48">
        <v>293.12400000000002</v>
      </c>
      <c r="N57" s="48">
        <v>317.93599999999998</v>
      </c>
      <c r="O57" s="48">
        <v>162.387</v>
      </c>
      <c r="P57" s="48">
        <v>163.03899999999999</v>
      </c>
      <c r="Q57" s="48">
        <v>136.92500000000001</v>
      </c>
      <c r="R57" s="48">
        <v>136.87</v>
      </c>
      <c r="S57" s="48">
        <v>176.40700000000001</v>
      </c>
      <c r="T57" s="48">
        <v>135.72</v>
      </c>
      <c r="U57" s="48">
        <v>83.558999999999997</v>
      </c>
      <c r="V57" s="48">
        <v>79.915000000000006</v>
      </c>
      <c r="W57" s="1">
        <v>80.551000000000002</v>
      </c>
      <c r="X57" s="1">
        <v>83.137</v>
      </c>
      <c r="Y57" s="1">
        <v>73.38</v>
      </c>
      <c r="AM57" s="48">
        <f t="shared" si="104"/>
        <v>203.703</v>
      </c>
      <c r="AN57" s="48">
        <f t="shared" si="105"/>
        <v>292.94900000000001</v>
      </c>
      <c r="AO57" s="48">
        <f t="shared" si="106"/>
        <v>317.93599999999998</v>
      </c>
      <c r="AP57" s="48">
        <f t="shared" si="107"/>
        <v>136.87</v>
      </c>
      <c r="AQ57" s="48">
        <f t="shared" si="108"/>
        <v>79.915000000000006</v>
      </c>
      <c r="AZ57" s="61" t="s">
        <v>1481</v>
      </c>
      <c r="BA57" s="45">
        <f>BA55/BA56</f>
        <v>51.096821006349657</v>
      </c>
      <c r="BB57" s="64"/>
    </row>
    <row r="58" spans="2:104" s="2" customFormat="1" ht="15">
      <c r="B58" s="2" t="s">
        <v>188</v>
      </c>
      <c r="C58" s="46"/>
      <c r="D58" s="46"/>
      <c r="E58" s="46"/>
      <c r="F58" s="46">
        <f t="shared" ref="F58:W58" si="109">SUM(F46:F57)</f>
        <v>2984.71</v>
      </c>
      <c r="G58" s="46">
        <f t="shared" si="109"/>
        <v>2765.2259999999997</v>
      </c>
      <c r="H58" s="46">
        <f t="shared" si="109"/>
        <v>2759.0679999999998</v>
      </c>
      <c r="I58" s="46">
        <f t="shared" si="109"/>
        <v>2662.2179999999998</v>
      </c>
      <c r="J58" s="46">
        <f t="shared" si="109"/>
        <v>3147.9740000000002</v>
      </c>
      <c r="K58" s="46">
        <f t="shared" si="109"/>
        <v>3056.1529999999998</v>
      </c>
      <c r="L58" s="46">
        <f t="shared" si="109"/>
        <v>2996.8529999999992</v>
      </c>
      <c r="M58" s="46">
        <f t="shared" si="109"/>
        <v>3156.1449999999995</v>
      </c>
      <c r="N58" s="46">
        <f t="shared" si="109"/>
        <v>3128.3589999999999</v>
      </c>
      <c r="O58" s="46">
        <f t="shared" si="109"/>
        <v>3059.7700000000009</v>
      </c>
      <c r="P58" s="46">
        <f t="shared" si="109"/>
        <v>3125.8900000000003</v>
      </c>
      <c r="Q58" s="46">
        <f t="shared" si="109"/>
        <v>3109.7070000000003</v>
      </c>
      <c r="R58" s="46">
        <f t="shared" si="109"/>
        <v>3264.64</v>
      </c>
      <c r="S58" s="46">
        <f t="shared" si="109"/>
        <v>3224.3849999999998</v>
      </c>
      <c r="T58" s="46">
        <f t="shared" si="109"/>
        <v>3424.2409999999995</v>
      </c>
      <c r="U58" s="46">
        <f t="shared" si="109"/>
        <v>3599.9340000000002</v>
      </c>
      <c r="V58" s="46">
        <f t="shared" si="109"/>
        <v>3963.530999999999</v>
      </c>
      <c r="W58" s="46">
        <f t="shared" si="109"/>
        <v>3465.3869999999993</v>
      </c>
      <c r="X58" s="46">
        <f t="shared" ref="X58:Y58" si="110">SUM(X46:X57)</f>
        <v>3679.7730000000006</v>
      </c>
      <c r="Y58" s="46">
        <f t="shared" si="110"/>
        <v>3493.386</v>
      </c>
      <c r="Z58" s="34"/>
      <c r="AA58" s="34"/>
      <c r="AB58" s="34"/>
      <c r="AC58" s="34"/>
      <c r="AD58" s="34"/>
      <c r="AM58" s="46">
        <f t="shared" si="104"/>
        <v>2984.71</v>
      </c>
      <c r="AN58" s="46">
        <f t="shared" si="105"/>
        <v>3147.9740000000002</v>
      </c>
      <c r="AO58" s="46">
        <f t="shared" si="106"/>
        <v>3128.3589999999999</v>
      </c>
      <c r="AP58" s="46">
        <f t="shared" si="107"/>
        <v>3264.64</v>
      </c>
      <c r="AQ58" s="46">
        <f t="shared" si="108"/>
        <v>3963.530999999999</v>
      </c>
      <c r="AR58" s="34"/>
      <c r="AS58" s="34"/>
      <c r="AT58" s="34"/>
      <c r="AU58" s="34"/>
      <c r="AV58" s="34"/>
      <c r="AW58" s="34"/>
      <c r="AX58" s="34"/>
      <c r="AY58" s="34"/>
      <c r="AZ58" s="61" t="s">
        <v>1482</v>
      </c>
      <c r="BA58" s="45">
        <f>Main!C5</f>
        <v>23.73</v>
      </c>
      <c r="BB58" s="66"/>
      <c r="BD58" s="34"/>
      <c r="BE58" s="34"/>
      <c r="BF58" s="34"/>
      <c r="BG58" s="34"/>
      <c r="BH58" s="34"/>
      <c r="BI58" s="34"/>
      <c r="BJ58" s="34"/>
      <c r="BK58" s="34"/>
      <c r="BL58" s="34"/>
      <c r="BM58" s="34"/>
      <c r="BN58" s="34"/>
      <c r="BO58" s="34"/>
      <c r="BP58" s="34"/>
      <c r="BQ58" s="34"/>
      <c r="BR58" s="34"/>
      <c r="BS58" s="34"/>
      <c r="BT58" s="34"/>
      <c r="BU58" s="34"/>
      <c r="BV58" s="34"/>
      <c r="BW58" s="34"/>
      <c r="BX58" s="34"/>
      <c r="BY58" s="34"/>
      <c r="BZ58" s="34"/>
      <c r="CA58" s="34"/>
      <c r="CB58" s="34"/>
      <c r="CC58" s="34"/>
      <c r="CD58" s="34"/>
      <c r="CE58" s="34"/>
      <c r="CF58" s="34"/>
      <c r="CG58" s="34"/>
      <c r="CH58" s="34"/>
      <c r="CI58" s="34"/>
      <c r="CJ58" s="34"/>
      <c r="CK58" s="34"/>
      <c r="CL58" s="34"/>
      <c r="CM58" s="34"/>
      <c r="CN58" s="34"/>
      <c r="CO58" s="34"/>
      <c r="CP58" s="34"/>
      <c r="CQ58" s="34"/>
      <c r="CR58" s="34"/>
      <c r="CS58" s="34"/>
      <c r="CT58" s="34"/>
      <c r="CU58" s="58"/>
      <c r="CV58" s="58"/>
      <c r="CW58" s="58"/>
      <c r="CX58" s="58"/>
      <c r="CY58" s="58"/>
      <c r="CZ58" s="58"/>
    </row>
    <row r="59" spans="2:104" ht="15" customHeight="1">
      <c r="AZ59" s="61" t="s">
        <v>1483</v>
      </c>
      <c r="BA59" s="62">
        <f>BA57/BA58-1</f>
        <v>1.1532583652064754</v>
      </c>
      <c r="BB59" s="64" t="str">
        <f>IF(BA59&gt;0,"Upside","Downside")</f>
        <v>Upside</v>
      </c>
    </row>
    <row r="60" spans="2:104">
      <c r="B60" s="1" t="s">
        <v>165</v>
      </c>
      <c r="C60" s="48"/>
      <c r="D60" s="48"/>
      <c r="E60" s="48"/>
      <c r="F60" s="48">
        <v>111.09</v>
      </c>
      <c r="G60" s="48">
        <v>76.650999999999996</v>
      </c>
      <c r="H60" s="48">
        <v>76.680000000000007</v>
      </c>
      <c r="I60" s="48">
        <v>44.162999999999997</v>
      </c>
      <c r="J60" s="48">
        <v>76.741</v>
      </c>
      <c r="K60" s="48">
        <v>54.006999999999998</v>
      </c>
      <c r="L60" s="48">
        <v>56.207000000000001</v>
      </c>
      <c r="M60" s="48">
        <v>118.461</v>
      </c>
      <c r="N60" s="48">
        <v>95.875</v>
      </c>
      <c r="O60" s="48">
        <v>106.71</v>
      </c>
      <c r="P60" s="48">
        <v>109.79600000000001</v>
      </c>
      <c r="Q60" s="48">
        <v>87.947999999999993</v>
      </c>
      <c r="R60" s="48">
        <v>164.91800000000001</v>
      </c>
      <c r="S60" s="48">
        <v>91.536000000000001</v>
      </c>
      <c r="T60" s="48">
        <v>107.417</v>
      </c>
      <c r="U60" s="48">
        <v>118.774</v>
      </c>
      <c r="V60" s="48">
        <v>214.44200000000001</v>
      </c>
      <c r="W60" s="48">
        <v>156.10499999999999</v>
      </c>
      <c r="X60" s="48">
        <v>136.702</v>
      </c>
      <c r="Y60" s="48">
        <v>94.015000000000001</v>
      </c>
      <c r="AM60" s="48">
        <f t="shared" ref="AM60:AM72" si="111">F60</f>
        <v>111.09</v>
      </c>
      <c r="AN60" s="48">
        <f t="shared" ref="AN60:AN72" si="112">J60</f>
        <v>76.741</v>
      </c>
      <c r="AO60" s="48">
        <f t="shared" ref="AO60:AO72" si="113">N60</f>
        <v>95.875</v>
      </c>
      <c r="AP60" s="48">
        <f t="shared" ref="AP60:AP72" si="114">R60</f>
        <v>164.91800000000001</v>
      </c>
      <c r="AQ60" s="48">
        <f t="shared" ref="AQ60:AQ72" si="115">V60</f>
        <v>214.44200000000001</v>
      </c>
      <c r="AZ60" s="90" t="str" cm="1">
        <f t="array" ref="AZ60">_xlfn.IFS(BA59&gt;=25%,"Strong Buy",BA59&gt;=10.00001%,"Buy",AND(BA59&lt;=10%,BA59&gt;=-4.9999%),"Hold",AND(BA59&lt;=-5%,BA59&gt;=-14.999999%),"Sell",BA59&lt;=-15%,"Strong Sell")</f>
        <v>Strong Buy</v>
      </c>
      <c r="BA60" s="90"/>
    </row>
    <row r="61" spans="2:104">
      <c r="B61" s="1" t="s">
        <v>167</v>
      </c>
      <c r="C61" s="48"/>
      <c r="D61" s="48"/>
      <c r="E61" s="48"/>
      <c r="F61" s="48">
        <v>193.55</v>
      </c>
      <c r="G61" s="48">
        <v>180.636</v>
      </c>
      <c r="H61" s="48">
        <v>240.14099999999999</v>
      </c>
      <c r="I61" s="48">
        <v>221.00899999999999</v>
      </c>
      <c r="J61" s="48">
        <v>271.697</v>
      </c>
      <c r="K61" s="48">
        <v>293.90800000000002</v>
      </c>
      <c r="L61" s="48">
        <v>383.69900000000001</v>
      </c>
      <c r="M61" s="48">
        <v>368.99799999999999</v>
      </c>
      <c r="N61" s="48">
        <v>418.99</v>
      </c>
      <c r="O61" s="48">
        <v>345.55</v>
      </c>
      <c r="P61" s="48">
        <v>326.87700000000001</v>
      </c>
      <c r="Q61" s="48">
        <v>322.35000000000002</v>
      </c>
      <c r="R61" s="48">
        <v>314.99700000000001</v>
      </c>
      <c r="S61" s="48">
        <v>283.31700000000001</v>
      </c>
      <c r="T61" s="48">
        <v>350.404</v>
      </c>
      <c r="U61" s="48">
        <v>344.83</v>
      </c>
      <c r="V61" s="48">
        <v>373.5</v>
      </c>
      <c r="W61" s="48">
        <v>391.65</v>
      </c>
      <c r="X61" s="48">
        <v>377.399</v>
      </c>
      <c r="Y61" s="48">
        <v>295.79000000000002</v>
      </c>
      <c r="AM61" s="48">
        <f t="shared" si="111"/>
        <v>193.55</v>
      </c>
      <c r="AN61" s="48">
        <f t="shared" si="112"/>
        <v>271.697</v>
      </c>
      <c r="AO61" s="48">
        <f t="shared" si="113"/>
        <v>418.99</v>
      </c>
      <c r="AP61" s="48">
        <f t="shared" si="114"/>
        <v>314.99700000000001</v>
      </c>
      <c r="AQ61" s="48">
        <f t="shared" si="115"/>
        <v>373.5</v>
      </c>
    </row>
    <row r="62" spans="2:104">
      <c r="B62" s="1" t="s">
        <v>166</v>
      </c>
      <c r="C62" s="48"/>
      <c r="D62" s="48"/>
      <c r="E62" s="48"/>
      <c r="F62" s="48">
        <v>89.244</v>
      </c>
      <c r="G62" s="48">
        <v>89.244</v>
      </c>
      <c r="H62" s="48">
        <v>89.244</v>
      </c>
      <c r="I62" s="48">
        <v>89.244</v>
      </c>
      <c r="J62" s="48">
        <v>89.244</v>
      </c>
      <c r="K62" s="48">
        <v>89.244</v>
      </c>
      <c r="L62" s="48">
        <v>89.244</v>
      </c>
      <c r="M62" s="48">
        <v>89.244</v>
      </c>
      <c r="N62" s="48">
        <v>89.244</v>
      </c>
      <c r="O62" s="48">
        <v>67.239000000000004</v>
      </c>
      <c r="P62" s="48">
        <v>44.988999999999997</v>
      </c>
      <c r="Q62" s="48">
        <v>22.494</v>
      </c>
      <c r="R62" s="48">
        <v>50.415999999999997</v>
      </c>
      <c r="S62" s="48">
        <v>112</v>
      </c>
      <c r="T62" s="48">
        <v>122.036</v>
      </c>
      <c r="U62" s="48">
        <v>127</v>
      </c>
      <c r="V62" s="48">
        <v>130.256</v>
      </c>
      <c r="W62" s="48">
        <v>44.859000000000002</v>
      </c>
      <c r="X62" s="48">
        <v>395.43099999999998</v>
      </c>
      <c r="Y62" s="48">
        <v>485.44900000000001</v>
      </c>
      <c r="AM62" s="48">
        <f t="shared" si="111"/>
        <v>89.244</v>
      </c>
      <c r="AN62" s="48">
        <f t="shared" si="112"/>
        <v>89.244</v>
      </c>
      <c r="AO62" s="48">
        <f t="shared" si="113"/>
        <v>89.244</v>
      </c>
      <c r="AP62" s="48">
        <f t="shared" si="114"/>
        <v>50.415999999999997</v>
      </c>
      <c r="AQ62" s="48">
        <f t="shared" si="115"/>
        <v>130.256</v>
      </c>
    </row>
    <row r="63" spans="2:104">
      <c r="B63" s="1" t="s">
        <v>168</v>
      </c>
      <c r="C63" s="48"/>
      <c r="D63" s="48"/>
      <c r="E63" s="48"/>
      <c r="F63" s="48">
        <v>22.138999999999999</v>
      </c>
      <c r="G63" s="48">
        <v>18.204999999999998</v>
      </c>
      <c r="H63" s="48">
        <v>18.956</v>
      </c>
      <c r="I63" s="48">
        <v>19.02</v>
      </c>
      <c r="J63" s="48">
        <v>15.051</v>
      </c>
      <c r="K63" s="48">
        <v>17.803000000000001</v>
      </c>
      <c r="L63" s="48">
        <v>16.416</v>
      </c>
      <c r="M63" s="48">
        <v>26.213000000000001</v>
      </c>
      <c r="N63" s="48">
        <v>15.489000000000001</v>
      </c>
      <c r="O63" s="48">
        <v>17.381</v>
      </c>
      <c r="P63" s="48">
        <v>16.992000000000001</v>
      </c>
      <c r="Q63" s="48">
        <v>17.951000000000001</v>
      </c>
      <c r="R63" s="48">
        <v>17.844999999999999</v>
      </c>
      <c r="S63" s="48">
        <v>16.27</v>
      </c>
      <c r="T63" s="48">
        <v>17.12</v>
      </c>
      <c r="U63" s="48">
        <v>17.289000000000001</v>
      </c>
      <c r="V63" s="48">
        <v>13.473000000000001</v>
      </c>
      <c r="W63" s="48">
        <v>12.974</v>
      </c>
      <c r="X63" s="48">
        <v>10.416</v>
      </c>
      <c r="Y63" s="48">
        <f>36+10.16</f>
        <v>46.16</v>
      </c>
      <c r="AM63" s="48">
        <f t="shared" si="111"/>
        <v>22.138999999999999</v>
      </c>
      <c r="AN63" s="48">
        <f t="shared" si="112"/>
        <v>15.051</v>
      </c>
      <c r="AO63" s="48">
        <f t="shared" si="113"/>
        <v>15.489000000000001</v>
      </c>
      <c r="AP63" s="48">
        <f t="shared" si="114"/>
        <v>17.844999999999999</v>
      </c>
      <c r="AQ63" s="48">
        <f t="shared" si="115"/>
        <v>13.473000000000001</v>
      </c>
    </row>
    <row r="64" spans="2:104">
      <c r="B64" s="1" t="s">
        <v>187</v>
      </c>
      <c r="C64" s="48"/>
      <c r="D64" s="48"/>
      <c r="E64" s="48"/>
      <c r="F64" s="48">
        <v>0</v>
      </c>
      <c r="G64" s="48">
        <v>0</v>
      </c>
      <c r="H64" s="48">
        <v>0</v>
      </c>
      <c r="I64" s="48">
        <v>0</v>
      </c>
      <c r="J64" s="48">
        <v>0</v>
      </c>
      <c r="K64" s="48">
        <v>0</v>
      </c>
      <c r="L64" s="48">
        <v>0</v>
      </c>
      <c r="M64" s="48">
        <v>0</v>
      </c>
      <c r="N64" s="48">
        <v>0</v>
      </c>
      <c r="O64" s="48">
        <v>0</v>
      </c>
      <c r="P64" s="48">
        <v>0</v>
      </c>
      <c r="Q64" s="48">
        <v>0</v>
      </c>
      <c r="R64" s="48">
        <v>105.483</v>
      </c>
      <c r="S64" s="48">
        <v>105.586</v>
      </c>
      <c r="T64" s="48">
        <v>91.504999999999995</v>
      </c>
      <c r="U64" s="48">
        <v>91.594999999999999</v>
      </c>
      <c r="V64" s="48">
        <v>0</v>
      </c>
      <c r="W64" s="48">
        <v>0</v>
      </c>
      <c r="X64" s="48">
        <v>0</v>
      </c>
      <c r="Y64" s="48">
        <v>0</v>
      </c>
      <c r="AM64" s="48">
        <f t="shared" si="111"/>
        <v>0</v>
      </c>
      <c r="AN64" s="48">
        <f t="shared" si="112"/>
        <v>0</v>
      </c>
      <c r="AO64" s="48">
        <f t="shared" si="113"/>
        <v>0</v>
      </c>
      <c r="AP64" s="48">
        <f t="shared" si="114"/>
        <v>105.483</v>
      </c>
      <c r="AQ64" s="48">
        <f t="shared" si="115"/>
        <v>0</v>
      </c>
    </row>
    <row r="65" spans="2:104">
      <c r="B65" s="1" t="s">
        <v>169</v>
      </c>
      <c r="C65" s="48"/>
      <c r="D65" s="48"/>
      <c r="E65" s="48"/>
      <c r="F65" s="48">
        <v>992.49300000000005</v>
      </c>
      <c r="G65" s="48">
        <v>1091.1099999999999</v>
      </c>
      <c r="H65" s="48">
        <v>1092.9849999999999</v>
      </c>
      <c r="I65" s="48">
        <v>1094.912</v>
      </c>
      <c r="J65" s="48">
        <v>1096.876</v>
      </c>
      <c r="K65" s="48">
        <v>1098.8399999999999</v>
      </c>
      <c r="L65" s="48">
        <v>1100.873</v>
      </c>
      <c r="M65" s="48">
        <v>1542.77</v>
      </c>
      <c r="N65" s="48">
        <v>1544.29</v>
      </c>
      <c r="O65" s="48">
        <v>1234.2840000000001</v>
      </c>
      <c r="P65" s="48">
        <v>1235.51</v>
      </c>
      <c r="Q65" s="48">
        <v>1236.7550000000001</v>
      </c>
      <c r="R65" s="48">
        <v>1132.5150000000001</v>
      </c>
      <c r="S65" s="48">
        <v>1133.6600000000001</v>
      </c>
      <c r="T65" s="48">
        <v>1134.81</v>
      </c>
      <c r="U65" s="48">
        <v>1135.9649999999999</v>
      </c>
      <c r="V65" s="48">
        <v>1137.1199999999999</v>
      </c>
      <c r="W65" s="48">
        <v>1138.28</v>
      </c>
      <c r="X65" s="48">
        <v>1139.4580000000001</v>
      </c>
      <c r="Y65" s="48">
        <v>1035.146</v>
      </c>
      <c r="AM65" s="48">
        <f t="shared" si="111"/>
        <v>992.49300000000005</v>
      </c>
      <c r="AN65" s="48">
        <f t="shared" si="112"/>
        <v>1096.876</v>
      </c>
      <c r="AO65" s="48">
        <f t="shared" si="113"/>
        <v>1544.29</v>
      </c>
      <c r="AP65" s="48">
        <f t="shared" si="114"/>
        <v>1132.5150000000001</v>
      </c>
      <c r="AQ65" s="48">
        <f t="shared" si="115"/>
        <v>1137.1199999999999</v>
      </c>
    </row>
    <row r="66" spans="2:104">
      <c r="B66" s="1" t="s">
        <v>171</v>
      </c>
      <c r="C66" s="48"/>
      <c r="D66" s="48"/>
      <c r="E66" s="48"/>
      <c r="F66" s="48">
        <v>80.36</v>
      </c>
      <c r="G66" s="48">
        <v>60.674999999999997</v>
      </c>
      <c r="H66" s="48">
        <v>65.284999999999997</v>
      </c>
      <c r="I66" s="48">
        <v>63.42</v>
      </c>
      <c r="J66" s="48">
        <v>41.512</v>
      </c>
      <c r="K66" s="48">
        <v>38.619999999999997</v>
      </c>
      <c r="L66" s="48">
        <v>39.368000000000002</v>
      </c>
      <c r="M66" s="48">
        <v>35.228999999999999</v>
      </c>
      <c r="N66" s="48">
        <v>57.578000000000003</v>
      </c>
      <c r="O66" s="48">
        <v>53.930999999999997</v>
      </c>
      <c r="P66" s="48">
        <v>129.16999999999999</v>
      </c>
      <c r="Q66" s="48">
        <v>134.75200000000001</v>
      </c>
      <c r="R66" s="48">
        <v>140.96</v>
      </c>
      <c r="S66" s="48">
        <v>140.1</v>
      </c>
      <c r="T66" s="48">
        <v>143.601</v>
      </c>
      <c r="U66" s="48">
        <v>170</v>
      </c>
      <c r="V66" s="48">
        <v>192.47300000000001</v>
      </c>
      <c r="W66" s="48">
        <v>205.46</v>
      </c>
      <c r="X66" s="48">
        <v>214.41900000000001</v>
      </c>
      <c r="Y66" s="48">
        <v>215.042</v>
      </c>
      <c r="AM66" s="48">
        <f t="shared" si="111"/>
        <v>80.36</v>
      </c>
      <c r="AN66" s="48">
        <f t="shared" si="112"/>
        <v>41.512</v>
      </c>
      <c r="AO66" s="48">
        <f t="shared" si="113"/>
        <v>57.578000000000003</v>
      </c>
      <c r="AP66" s="48">
        <f t="shared" si="114"/>
        <v>140.96</v>
      </c>
      <c r="AQ66" s="48">
        <f t="shared" si="115"/>
        <v>192.47300000000001</v>
      </c>
    </row>
    <row r="67" spans="2:104">
      <c r="B67" s="1" t="s">
        <v>170</v>
      </c>
      <c r="C67" s="48"/>
      <c r="D67" s="48"/>
      <c r="E67" s="48"/>
      <c r="F67" s="48">
        <v>663.48800000000006</v>
      </c>
      <c r="G67" s="48">
        <v>641.48299999999995</v>
      </c>
      <c r="H67" s="48">
        <v>619.23299999999995</v>
      </c>
      <c r="I67" s="48">
        <v>596.73</v>
      </c>
      <c r="J67" s="48">
        <v>574.24400000000003</v>
      </c>
      <c r="K67" s="48">
        <v>552.23900000000003</v>
      </c>
      <c r="L67" s="48">
        <v>529.98900000000003</v>
      </c>
      <c r="M67" s="48">
        <v>507.49400000000003</v>
      </c>
      <c r="N67" s="48">
        <v>485</v>
      </c>
      <c r="O67" s="48">
        <v>485</v>
      </c>
      <c r="P67" s="48">
        <v>485</v>
      </c>
      <c r="Q67" s="48">
        <v>485</v>
      </c>
      <c r="R67" s="48">
        <v>437</v>
      </c>
      <c r="S67" s="48">
        <v>325</v>
      </c>
      <c r="T67" s="48">
        <v>325</v>
      </c>
      <c r="U67" s="48">
        <v>325</v>
      </c>
      <c r="V67" s="48">
        <v>325</v>
      </c>
      <c r="W67" s="48">
        <v>325</v>
      </c>
      <c r="X67" s="48">
        <v>0</v>
      </c>
      <c r="Y67" s="48">
        <v>0</v>
      </c>
      <c r="AM67" s="48">
        <f t="shared" si="111"/>
        <v>663.48800000000006</v>
      </c>
      <c r="AN67" s="48">
        <f t="shared" si="112"/>
        <v>574.24400000000003</v>
      </c>
      <c r="AO67" s="48">
        <f t="shared" si="113"/>
        <v>485</v>
      </c>
      <c r="AP67" s="48">
        <f t="shared" si="114"/>
        <v>437</v>
      </c>
      <c r="AQ67" s="48">
        <f t="shared" si="115"/>
        <v>325</v>
      </c>
    </row>
    <row r="68" spans="2:104">
      <c r="B68" s="1" t="s">
        <v>172</v>
      </c>
      <c r="C68" s="48"/>
      <c r="D68" s="48"/>
      <c r="E68" s="48"/>
      <c r="F68" s="48">
        <v>50.8</v>
      </c>
      <c r="G68" s="48">
        <v>50.8</v>
      </c>
      <c r="H68" s="48">
        <v>50.8</v>
      </c>
      <c r="I68" s="48">
        <v>43.6</v>
      </c>
      <c r="J68" s="48">
        <v>43.6</v>
      </c>
      <c r="K68" s="48">
        <v>43.6</v>
      </c>
      <c r="L68" s="48">
        <v>43.6</v>
      </c>
      <c r="M68" s="48">
        <v>36.9</v>
      </c>
      <c r="N68" s="48">
        <v>36.9</v>
      </c>
      <c r="O68" s="48">
        <v>36.9</v>
      </c>
      <c r="P68" s="48">
        <v>36.1</v>
      </c>
      <c r="Q68" s="48">
        <v>38.1</v>
      </c>
      <c r="R68" s="48">
        <v>38.1</v>
      </c>
      <c r="S68" s="48">
        <v>48.2</v>
      </c>
      <c r="T68" s="48">
        <v>48.2</v>
      </c>
      <c r="U68" s="48">
        <v>47.4</v>
      </c>
      <c r="V68" s="48">
        <v>47.4</v>
      </c>
      <c r="W68" s="48">
        <v>47.4</v>
      </c>
      <c r="X68" s="48">
        <v>47.4</v>
      </c>
      <c r="Y68" s="48">
        <v>0.3</v>
      </c>
      <c r="AM68" s="48">
        <f t="shared" si="111"/>
        <v>50.8</v>
      </c>
      <c r="AN68" s="48">
        <f t="shared" si="112"/>
        <v>43.6</v>
      </c>
      <c r="AO68" s="48">
        <f t="shared" si="113"/>
        <v>36.9</v>
      </c>
      <c r="AP68" s="48">
        <f t="shared" si="114"/>
        <v>38.1</v>
      </c>
      <c r="AQ68" s="48">
        <f t="shared" si="115"/>
        <v>47.4</v>
      </c>
    </row>
    <row r="69" spans="2:104">
      <c r="B69" s="1" t="s">
        <v>173</v>
      </c>
      <c r="C69" s="48"/>
      <c r="D69" s="48"/>
      <c r="E69" s="48"/>
      <c r="F69" s="48">
        <v>19.785</v>
      </c>
      <c r="G69" s="48">
        <v>20.984000000000002</v>
      </c>
      <c r="H69" s="48">
        <v>20.64</v>
      </c>
      <c r="I69" s="48">
        <v>20.568999999999999</v>
      </c>
      <c r="J69" s="48">
        <v>11</v>
      </c>
      <c r="K69" s="48">
        <v>11</v>
      </c>
      <c r="L69" s="48">
        <v>11</v>
      </c>
      <c r="M69" s="48">
        <v>0</v>
      </c>
      <c r="N69" s="48">
        <v>4.2000000000000003E-2</v>
      </c>
      <c r="O69" s="48">
        <v>3.7999999999999999E-2</v>
      </c>
      <c r="P69" s="48">
        <v>3.7999999999999999E-2</v>
      </c>
      <c r="Q69" s="48">
        <v>0</v>
      </c>
      <c r="R69" s="1">
        <v>3</v>
      </c>
      <c r="S69" s="48">
        <v>7.5220000000000002</v>
      </c>
      <c r="T69" s="48">
        <v>7.0869999999999997</v>
      </c>
      <c r="U69" s="48">
        <v>1</v>
      </c>
      <c r="V69" s="48">
        <v>1.75</v>
      </c>
      <c r="W69" s="48">
        <v>0.92700000000000005</v>
      </c>
      <c r="X69" s="48">
        <v>1.2</v>
      </c>
      <c r="Y69" s="48">
        <v>1.4039999999999999</v>
      </c>
      <c r="AM69" s="48">
        <f t="shared" si="111"/>
        <v>19.785</v>
      </c>
      <c r="AN69" s="48">
        <f t="shared" si="112"/>
        <v>11</v>
      </c>
      <c r="AO69" s="48">
        <f t="shared" si="113"/>
        <v>4.2000000000000003E-2</v>
      </c>
      <c r="AP69" s="48">
        <f t="shared" si="114"/>
        <v>3</v>
      </c>
      <c r="AQ69" s="48">
        <f t="shared" si="115"/>
        <v>1.75</v>
      </c>
    </row>
    <row r="70" spans="2:104" s="2" customFormat="1" ht="15">
      <c r="B70" s="2" t="s">
        <v>174</v>
      </c>
      <c r="C70" s="46"/>
      <c r="D70" s="46"/>
      <c r="E70" s="46"/>
      <c r="F70" s="46">
        <f>SUM(F60:F69)</f>
        <v>2222.9490000000001</v>
      </c>
      <c r="G70" s="46">
        <f>SUM(G60:G69)</f>
        <v>2229.788</v>
      </c>
      <c r="H70" s="46">
        <f t="shared" ref="H70:W70" si="116">SUM(H60:H69)</f>
        <v>2273.9639999999999</v>
      </c>
      <c r="I70" s="46">
        <f t="shared" si="116"/>
        <v>2192.6669999999999</v>
      </c>
      <c r="J70" s="46">
        <f t="shared" si="116"/>
        <v>2219.9649999999997</v>
      </c>
      <c r="K70" s="46">
        <f t="shared" si="116"/>
        <v>2199.261</v>
      </c>
      <c r="L70" s="46">
        <f t="shared" si="116"/>
        <v>2270.3960000000002</v>
      </c>
      <c r="M70" s="46">
        <f t="shared" si="116"/>
        <v>2725.3089999999997</v>
      </c>
      <c r="N70" s="46">
        <f t="shared" si="116"/>
        <v>2743.4079999999999</v>
      </c>
      <c r="O70" s="46">
        <f t="shared" si="116"/>
        <v>2347.0330000000004</v>
      </c>
      <c r="P70" s="46">
        <f t="shared" si="116"/>
        <v>2384.4719999999998</v>
      </c>
      <c r="Q70" s="46">
        <f t="shared" si="116"/>
        <v>2345.35</v>
      </c>
      <c r="R70" s="46">
        <f>SUM(R60:R69)</f>
        <v>2405.2339999999999</v>
      </c>
      <c r="S70" s="46">
        <f t="shared" si="116"/>
        <v>2263.1909999999998</v>
      </c>
      <c r="T70" s="46">
        <f t="shared" si="116"/>
        <v>2347.1799999999998</v>
      </c>
      <c r="U70" s="46">
        <f t="shared" si="116"/>
        <v>2378.8530000000001</v>
      </c>
      <c r="V70" s="46">
        <f t="shared" si="116"/>
        <v>2435.4139999999998</v>
      </c>
      <c r="W70" s="46">
        <f t="shared" si="116"/>
        <v>2322.6550000000002</v>
      </c>
      <c r="X70" s="46">
        <f t="shared" ref="X70:Y70" si="117">SUM(X60:X69)</f>
        <v>2322.4249999999997</v>
      </c>
      <c r="Y70" s="46">
        <f t="shared" si="117"/>
        <v>2173.306</v>
      </c>
      <c r="Z70" s="34"/>
      <c r="AA70" s="34"/>
      <c r="AB70" s="34"/>
      <c r="AC70" s="34"/>
      <c r="AD70" s="34"/>
      <c r="AM70" s="46">
        <f t="shared" si="111"/>
        <v>2222.9490000000001</v>
      </c>
      <c r="AN70" s="46">
        <f t="shared" si="112"/>
        <v>2219.9649999999997</v>
      </c>
      <c r="AO70" s="46">
        <f t="shared" si="113"/>
        <v>2743.4079999999999</v>
      </c>
      <c r="AP70" s="46">
        <f t="shared" si="114"/>
        <v>2405.2339999999999</v>
      </c>
      <c r="AQ70" s="46">
        <f t="shared" si="115"/>
        <v>2435.4139999999998</v>
      </c>
      <c r="AR70" s="34"/>
      <c r="AS70" s="34"/>
      <c r="AT70" s="34"/>
      <c r="AU70" s="34"/>
      <c r="AV70" s="34"/>
      <c r="AW70" s="34"/>
      <c r="AX70" s="34"/>
      <c r="AY70" s="34"/>
      <c r="AZ70" s="34"/>
      <c r="BA70" s="34"/>
      <c r="BB70" s="34"/>
      <c r="BC70" s="34"/>
      <c r="BD70" s="34"/>
      <c r="BE70" s="34"/>
      <c r="BF70" s="34"/>
      <c r="BG70" s="34"/>
      <c r="BH70" s="34"/>
      <c r="BI70" s="34"/>
      <c r="BJ70" s="34"/>
      <c r="BK70" s="34"/>
      <c r="BL70" s="34"/>
      <c r="BM70" s="34"/>
      <c r="BN70" s="34"/>
      <c r="BO70" s="34"/>
      <c r="BP70" s="34"/>
      <c r="BQ70" s="34"/>
      <c r="BR70" s="34"/>
      <c r="BS70" s="34"/>
      <c r="BT70" s="34"/>
      <c r="BU70" s="34"/>
      <c r="BV70" s="34"/>
      <c r="BW70" s="34"/>
      <c r="BX70" s="34"/>
      <c r="BY70" s="34"/>
      <c r="BZ70" s="34"/>
      <c r="CA70" s="34"/>
      <c r="CB70" s="34"/>
      <c r="CC70" s="34"/>
      <c r="CD70" s="34"/>
      <c r="CE70" s="34"/>
      <c r="CF70" s="34"/>
      <c r="CG70" s="34"/>
      <c r="CH70" s="34"/>
      <c r="CI70" s="34"/>
      <c r="CJ70" s="34"/>
      <c r="CK70" s="34"/>
      <c r="CL70" s="34"/>
      <c r="CM70" s="34"/>
      <c r="CN70" s="34"/>
      <c r="CO70" s="34"/>
      <c r="CP70" s="34"/>
      <c r="CQ70" s="34"/>
      <c r="CR70" s="34"/>
      <c r="CS70" s="34"/>
      <c r="CT70" s="34"/>
      <c r="CU70" s="58"/>
      <c r="CV70" s="58"/>
      <c r="CW70" s="58"/>
      <c r="CX70" s="58"/>
      <c r="CY70" s="58"/>
      <c r="CZ70" s="58"/>
    </row>
    <row r="71" spans="2:104">
      <c r="B71" s="1" t="s">
        <v>175</v>
      </c>
      <c r="C71" s="48"/>
      <c r="D71" s="48"/>
      <c r="E71" s="48"/>
      <c r="F71" s="48">
        <v>761.75900000000001</v>
      </c>
      <c r="G71" s="48">
        <v>535.44500000000005</v>
      </c>
      <c r="H71" s="48">
        <v>485.1</v>
      </c>
      <c r="I71" s="48">
        <v>469.52</v>
      </c>
      <c r="J71" s="48">
        <v>928.00900000000001</v>
      </c>
      <c r="K71" s="48">
        <v>856.88599999999997</v>
      </c>
      <c r="L71" s="48">
        <v>726.45699999999999</v>
      </c>
      <c r="M71" s="48">
        <v>430.84</v>
      </c>
      <c r="N71" s="48">
        <v>384.95</v>
      </c>
      <c r="O71" s="48">
        <v>712.74900000000002</v>
      </c>
      <c r="P71" s="48">
        <v>741.41099999999994</v>
      </c>
      <c r="Q71" s="48">
        <v>764.35699999999997</v>
      </c>
      <c r="R71" s="48">
        <v>859.33699999999999</v>
      </c>
      <c r="S71" s="48">
        <v>961.19200000000001</v>
      </c>
      <c r="T71" s="48">
        <v>1077.06</v>
      </c>
      <c r="U71" s="48">
        <v>1221.0709999999999</v>
      </c>
      <c r="V71" s="48">
        <v>1527.742</v>
      </c>
      <c r="W71" s="48">
        <v>1142.723</v>
      </c>
      <c r="X71" s="48">
        <v>1357.38</v>
      </c>
      <c r="Y71" s="48">
        <v>1320.12</v>
      </c>
      <c r="AM71" s="48">
        <f t="shared" si="111"/>
        <v>761.75900000000001</v>
      </c>
      <c r="AN71" s="48">
        <f t="shared" si="112"/>
        <v>928.00900000000001</v>
      </c>
      <c r="AO71" s="48">
        <f t="shared" si="113"/>
        <v>384.95</v>
      </c>
      <c r="AP71" s="48">
        <f t="shared" si="114"/>
        <v>859.33699999999999</v>
      </c>
      <c r="AQ71" s="48">
        <f t="shared" si="115"/>
        <v>1527.742</v>
      </c>
    </row>
    <row r="72" spans="2:104" s="2" customFormat="1" ht="15">
      <c r="B72" s="2" t="s">
        <v>176</v>
      </c>
      <c r="C72" s="46"/>
      <c r="D72" s="46"/>
      <c r="E72" s="46"/>
      <c r="F72" s="46">
        <f>F70+F71</f>
        <v>2984.7080000000001</v>
      </c>
      <c r="G72" s="46">
        <f>G70+G71</f>
        <v>2765.2330000000002</v>
      </c>
      <c r="H72" s="46">
        <f t="shared" ref="H72:W72" si="118">H70+H71</f>
        <v>2759.0639999999999</v>
      </c>
      <c r="I72" s="46">
        <f t="shared" si="118"/>
        <v>2662.1869999999999</v>
      </c>
      <c r="J72" s="46">
        <f t="shared" si="118"/>
        <v>3147.9739999999997</v>
      </c>
      <c r="K72" s="46">
        <f t="shared" si="118"/>
        <v>3056.1469999999999</v>
      </c>
      <c r="L72" s="46">
        <f t="shared" si="118"/>
        <v>2996.8530000000001</v>
      </c>
      <c r="M72" s="46">
        <f t="shared" si="118"/>
        <v>3156.1489999999999</v>
      </c>
      <c r="N72" s="46">
        <f t="shared" si="118"/>
        <v>3128.3579999999997</v>
      </c>
      <c r="O72" s="46">
        <f t="shared" si="118"/>
        <v>3059.7820000000002</v>
      </c>
      <c r="P72" s="46">
        <f t="shared" si="118"/>
        <v>3125.8829999999998</v>
      </c>
      <c r="Q72" s="46">
        <f t="shared" si="118"/>
        <v>3109.7069999999999</v>
      </c>
      <c r="R72" s="46">
        <f t="shared" si="118"/>
        <v>3264.5709999999999</v>
      </c>
      <c r="S72" s="46">
        <f t="shared" si="118"/>
        <v>3224.3829999999998</v>
      </c>
      <c r="T72" s="46">
        <f t="shared" si="118"/>
        <v>3424.24</v>
      </c>
      <c r="U72" s="46">
        <f t="shared" si="118"/>
        <v>3599.924</v>
      </c>
      <c r="V72" s="46">
        <f t="shared" si="118"/>
        <v>3963.1559999999999</v>
      </c>
      <c r="W72" s="46">
        <f t="shared" si="118"/>
        <v>3465.3780000000002</v>
      </c>
      <c r="X72" s="46">
        <f t="shared" ref="X72:Y72" si="119">X70+X71</f>
        <v>3679.8049999999998</v>
      </c>
      <c r="Y72" s="46">
        <f t="shared" si="119"/>
        <v>3493.4259999999999</v>
      </c>
      <c r="Z72" s="34"/>
      <c r="AA72" s="34"/>
      <c r="AB72" s="34"/>
      <c r="AC72" s="34"/>
      <c r="AD72" s="34"/>
      <c r="AM72" s="46">
        <f t="shared" si="111"/>
        <v>2984.7080000000001</v>
      </c>
      <c r="AN72" s="46">
        <f t="shared" si="112"/>
        <v>3147.9739999999997</v>
      </c>
      <c r="AO72" s="46">
        <f t="shared" si="113"/>
        <v>3128.3579999999997</v>
      </c>
      <c r="AP72" s="46">
        <f t="shared" si="114"/>
        <v>3264.5709999999999</v>
      </c>
      <c r="AQ72" s="46">
        <f t="shared" si="115"/>
        <v>3963.1559999999999</v>
      </c>
      <c r="AR72" s="34"/>
      <c r="AS72" s="34"/>
      <c r="AT72" s="34"/>
      <c r="AU72" s="34"/>
      <c r="AV72" s="34"/>
      <c r="AW72" s="34"/>
      <c r="AX72" s="34"/>
      <c r="AY72" s="34"/>
      <c r="AZ72" s="34"/>
      <c r="BA72" s="34"/>
      <c r="BB72" s="34"/>
      <c r="BC72" s="34"/>
      <c r="BD72" s="34"/>
      <c r="BE72" s="34"/>
      <c r="BF72" s="34"/>
      <c r="BG72" s="34"/>
      <c r="BH72" s="34"/>
      <c r="BI72" s="34"/>
      <c r="BJ72" s="34"/>
      <c r="BK72" s="34"/>
      <c r="BL72" s="34"/>
      <c r="BM72" s="34"/>
      <c r="BN72" s="34"/>
      <c r="BO72" s="34"/>
      <c r="BP72" s="34"/>
      <c r="BQ72" s="34"/>
      <c r="BR72" s="34"/>
      <c r="BS72" s="34"/>
      <c r="BT72" s="34"/>
      <c r="BU72" s="34"/>
      <c r="BV72" s="34"/>
      <c r="BW72" s="34"/>
      <c r="BX72" s="34"/>
      <c r="BY72" s="34"/>
      <c r="BZ72" s="34"/>
      <c r="CA72" s="34"/>
      <c r="CB72" s="34"/>
      <c r="CC72" s="34"/>
      <c r="CD72" s="34"/>
      <c r="CE72" s="34"/>
      <c r="CF72" s="34"/>
      <c r="CG72" s="34"/>
      <c r="CH72" s="34"/>
      <c r="CI72" s="34"/>
      <c r="CJ72" s="34"/>
      <c r="CK72" s="34"/>
      <c r="CL72" s="34"/>
      <c r="CM72" s="34"/>
      <c r="CN72" s="34"/>
      <c r="CO72" s="34"/>
      <c r="CP72" s="34"/>
      <c r="CQ72" s="34"/>
      <c r="CR72" s="34"/>
      <c r="CS72" s="34"/>
      <c r="CT72" s="34"/>
      <c r="CU72" s="58"/>
      <c r="CV72" s="58"/>
      <c r="CW72" s="58"/>
      <c r="CX72" s="58"/>
      <c r="CY72" s="58"/>
      <c r="CZ72" s="58"/>
    </row>
    <row r="74" spans="2:104">
      <c r="B74" s="1" t="s">
        <v>82</v>
      </c>
      <c r="F74" s="39">
        <f t="shared" ref="F74:W74" si="120">SUM(F46:F51)/SUM(F60:F64)</f>
        <v>5.9736793398441916</v>
      </c>
      <c r="G74" s="39">
        <f t="shared" si="120"/>
        <v>6.2273617081944206</v>
      </c>
      <c r="H74" s="39">
        <f t="shared" si="120"/>
        <v>5.3296472409598579</v>
      </c>
      <c r="I74" s="39">
        <f t="shared" si="120"/>
        <v>5.8518996561659842</v>
      </c>
      <c r="J74" s="39">
        <f t="shared" si="120"/>
        <v>5.7519531379422313</v>
      </c>
      <c r="K74" s="39">
        <f t="shared" si="120"/>
        <v>5.5629832821202649</v>
      </c>
      <c r="L74" s="39">
        <f t="shared" si="120"/>
        <v>4.5261251617586131</v>
      </c>
      <c r="M74" s="39">
        <f t="shared" si="120"/>
        <v>4.3553745463713023</v>
      </c>
      <c r="N74" s="39">
        <f t="shared" si="120"/>
        <v>4.1282476702636215</v>
      </c>
      <c r="O74" s="39">
        <f t="shared" si="120"/>
        <v>4.6348588138876474</v>
      </c>
      <c r="P74" s="39">
        <f t="shared" si="120"/>
        <v>4.9585764879054421</v>
      </c>
      <c r="Q74" s="39">
        <f t="shared" si="120"/>
        <v>5.4373534364371698</v>
      </c>
      <c r="R74" s="39">
        <f t="shared" si="120"/>
        <v>3.9459565308517126</v>
      </c>
      <c r="S74" s="39">
        <f t="shared" si="120"/>
        <v>4.0493322753565328</v>
      </c>
      <c r="T74" s="39">
        <f t="shared" si="120"/>
        <v>3.8978956603077495</v>
      </c>
      <c r="U74" s="39">
        <f t="shared" si="120"/>
        <v>3.8390494190036133</v>
      </c>
      <c r="V74" s="39">
        <f t="shared" si="120"/>
        <v>4.2010972144584109</v>
      </c>
      <c r="W74" s="39">
        <f t="shared" si="120"/>
        <v>4.0168117598102988</v>
      </c>
      <c r="X74" s="39">
        <f t="shared" ref="X74:Y74" si="121">SUM(X46:X51)/SUM(X60:X64)</f>
        <v>2.8881458517220544</v>
      </c>
      <c r="Y74" s="39">
        <f t="shared" si="121"/>
        <v>2.9544547836260362</v>
      </c>
      <c r="AM74" s="39">
        <f t="shared" ref="AM74:AP74" si="122">SUM(AM46:AM51)/SUM(AM60:AM64)</f>
        <v>5.9736793398441916</v>
      </c>
      <c r="AN74" s="39">
        <f t="shared" si="122"/>
        <v>5.7519531379422313</v>
      </c>
      <c r="AO74" s="39">
        <f t="shared" si="122"/>
        <v>4.1282476702636215</v>
      </c>
      <c r="AP74" s="39">
        <f t="shared" si="122"/>
        <v>3.9459565308517126</v>
      </c>
      <c r="AQ74" s="39">
        <f>SUM(AQ46:AQ51)/SUM(AQ60:AQ64)</f>
        <v>4.2010972144584109</v>
      </c>
    </row>
    <row r="75" spans="2:104">
      <c r="B75" s="1" t="s">
        <v>83</v>
      </c>
      <c r="F75" s="39">
        <f t="shared" ref="F75:W75" si="123">(SUM(F46:F51)-F49)/SUM(F60:F64)</f>
        <v>5.416111609213913</v>
      </c>
      <c r="G75" s="39">
        <f t="shared" si="123"/>
        <v>5.5684385418494475</v>
      </c>
      <c r="H75" s="39">
        <f t="shared" si="123"/>
        <v>4.6973114269647844</v>
      </c>
      <c r="I75" s="39">
        <f t="shared" si="123"/>
        <v>5.0794272646450809</v>
      </c>
      <c r="J75" s="39">
        <f t="shared" si="123"/>
        <v>5.3406466946301689</v>
      </c>
      <c r="K75" s="39">
        <f t="shared" si="123"/>
        <v>5.1255907086745713</v>
      </c>
      <c r="L75" s="39">
        <f t="shared" si="123"/>
        <v>4.144695600532291</v>
      </c>
      <c r="M75" s="39">
        <f t="shared" si="123"/>
        <v>3.9885042029072042</v>
      </c>
      <c r="N75" s="39">
        <f t="shared" si="123"/>
        <v>3.7990535799018068</v>
      </c>
      <c r="O75" s="39">
        <f t="shared" si="123"/>
        <v>4.2573629116376104</v>
      </c>
      <c r="P75" s="39">
        <f t="shared" si="123"/>
        <v>4.5035996903664675</v>
      </c>
      <c r="Q75" s="39">
        <f t="shared" si="123"/>
        <v>4.8960006034480834</v>
      </c>
      <c r="R75" s="39">
        <f t="shared" si="123"/>
        <v>3.4520445675803435</v>
      </c>
      <c r="S75" s="39">
        <f t="shared" si="123"/>
        <v>3.435689303098854</v>
      </c>
      <c r="T75" s="39">
        <f t="shared" si="123"/>
        <v>3.1922926089570969</v>
      </c>
      <c r="U75" s="39">
        <f t="shared" si="123"/>
        <v>3.0299947961937868</v>
      </c>
      <c r="V75" s="39">
        <f t="shared" si="123"/>
        <v>3.176101007146654</v>
      </c>
      <c r="W75" s="39">
        <f t="shared" si="123"/>
        <v>2.4622367021803591</v>
      </c>
      <c r="X75" s="39">
        <f t="shared" ref="X75:Y75" si="124">(SUM(X46:X51)-X49)/SUM(X60:X64)</f>
        <v>1.8076499976085609</v>
      </c>
      <c r="Y75" s="39">
        <f t="shared" si="124"/>
        <v>1.7854254439372532</v>
      </c>
      <c r="AM75" s="39">
        <f t="shared" ref="AM75:AP75" si="125">(SUM(AM46:AM51)-AM49)/SUM(AM60:AM64)</f>
        <v>5.416111609213913</v>
      </c>
      <c r="AN75" s="39">
        <f t="shared" si="125"/>
        <v>5.3406466946301689</v>
      </c>
      <c r="AO75" s="39">
        <f t="shared" si="125"/>
        <v>3.7990535799018068</v>
      </c>
      <c r="AP75" s="39">
        <f t="shared" si="125"/>
        <v>3.4520445675803435</v>
      </c>
      <c r="AQ75" s="39">
        <f>(SUM(AQ46:AQ51)-AQ49)/SUM(AQ60:AQ64)</f>
        <v>3.176101007146654</v>
      </c>
    </row>
    <row r="76" spans="2:104">
      <c r="B76" s="1" t="s">
        <v>84</v>
      </c>
      <c r="F76" s="39">
        <f t="shared" ref="F76:W76" si="126">F46/SUM(F60:F64)</f>
        <v>3.6119156873538243</v>
      </c>
      <c r="G76" s="39">
        <f t="shared" si="126"/>
        <v>4.0627467538164597</v>
      </c>
      <c r="H76" s="39">
        <f t="shared" si="126"/>
        <v>3.99337915067726</v>
      </c>
      <c r="I76" s="39">
        <f t="shared" si="126"/>
        <v>4.282160798637519</v>
      </c>
      <c r="J76" s="39">
        <f t="shared" si="126"/>
        <v>4.6735471017133721</v>
      </c>
      <c r="K76" s="39">
        <f t="shared" si="126"/>
        <v>2.7120440828025196</v>
      </c>
      <c r="L76" s="39">
        <f t="shared" si="126"/>
        <v>1.5920438590381365</v>
      </c>
      <c r="M76" s="39">
        <f t="shared" si="126"/>
        <v>1.7226611999018104</v>
      </c>
      <c r="N76" s="39">
        <f t="shared" si="126"/>
        <v>1.5603181417628849</v>
      </c>
      <c r="O76" s="39">
        <f t="shared" si="126"/>
        <v>1.6235806884219937</v>
      </c>
      <c r="P76" s="39">
        <f t="shared" si="126"/>
        <v>1.7084571666927368</v>
      </c>
      <c r="Q76" s="39">
        <f t="shared" si="126"/>
        <v>1.2023081889236216</v>
      </c>
      <c r="R76" s="39">
        <f t="shared" si="126"/>
        <v>0.65543349055088351</v>
      </c>
      <c r="S76" s="39">
        <f t="shared" si="126"/>
        <v>0.70196103556872014</v>
      </c>
      <c r="T76" s="39">
        <f t="shared" si="126"/>
        <v>0.55719975249897602</v>
      </c>
      <c r="U76" s="39">
        <f t="shared" si="126"/>
        <v>0.28285688961068661</v>
      </c>
      <c r="V76" s="39">
        <f t="shared" si="126"/>
        <v>1.5075218233331649</v>
      </c>
      <c r="W76" s="39">
        <f t="shared" si="126"/>
        <v>0.39774070820425761</v>
      </c>
      <c r="X76" s="39">
        <f t="shared" ref="X76:Y76" si="127">X46/SUM(X60:X64)</f>
        <v>0.55502919730245626</v>
      </c>
      <c r="Y76" s="39">
        <f t="shared" si="127"/>
        <v>0.6653578087591463</v>
      </c>
      <c r="AM76" s="39">
        <f t="shared" ref="AM76:AP76" si="128">AM46/SUM(AM60:AM64)</f>
        <v>3.6119156873538243</v>
      </c>
      <c r="AN76" s="39">
        <f t="shared" si="128"/>
        <v>4.6735471017133721</v>
      </c>
      <c r="AO76" s="39">
        <f t="shared" si="128"/>
        <v>1.5603181417628849</v>
      </c>
      <c r="AP76" s="39">
        <f t="shared" si="128"/>
        <v>0.65543349055088351</v>
      </c>
      <c r="AQ76" s="39">
        <f>AQ46/SUM(AQ60:AQ64)</f>
        <v>1.5075218233331649</v>
      </c>
    </row>
    <row r="77" spans="2:104">
      <c r="B77" s="1" t="s">
        <v>85</v>
      </c>
      <c r="F77" s="39">
        <f t="shared" ref="F77:W77" si="129">F23/F72</f>
        <v>4.8628542557596931E-2</v>
      </c>
      <c r="G77" s="39">
        <f t="shared" si="129"/>
        <v>5.3135124598903599E-2</v>
      </c>
      <c r="H77" s="39">
        <f t="shared" si="129"/>
        <v>5.9472705236268533E-2</v>
      </c>
      <c r="I77" s="39">
        <f t="shared" si="129"/>
        <v>7.1133244959876982E-2</v>
      </c>
      <c r="J77" s="39">
        <f t="shared" si="129"/>
        <v>6.3995128295214643E-2</v>
      </c>
      <c r="K77" s="39">
        <f t="shared" si="129"/>
        <v>6.8985555995833961E-2</v>
      </c>
      <c r="L77" s="39">
        <f t="shared" si="129"/>
        <v>7.7927412522402664E-2</v>
      </c>
      <c r="M77" s="39">
        <f t="shared" si="129"/>
        <v>7.2960433743780792E-2</v>
      </c>
      <c r="N77" s="39">
        <f t="shared" si="129"/>
        <v>8.2590291776069094E-2</v>
      </c>
      <c r="O77" s="39">
        <f t="shared" si="129"/>
        <v>8.2847405468755617E-2</v>
      </c>
      <c r="P77" s="39">
        <f t="shared" si="129"/>
        <v>8.3572545741475296E-2</v>
      </c>
      <c r="Q77" s="39">
        <f t="shared" si="129"/>
        <v>0.10670072775345073</v>
      </c>
      <c r="R77" s="39">
        <f t="shared" si="129"/>
        <v>0.12154583251520645</v>
      </c>
      <c r="S77" s="39">
        <f t="shared" si="129"/>
        <v>0.12822825328132548</v>
      </c>
      <c r="T77" s="39">
        <f t="shared" si="129"/>
        <v>0.10598760600892462</v>
      </c>
      <c r="U77" s="39">
        <f t="shared" si="129"/>
        <v>0.12977246186308378</v>
      </c>
      <c r="V77" s="39">
        <f t="shared" si="129"/>
        <v>0.16613628128693395</v>
      </c>
      <c r="W77" s="39">
        <f t="shared" si="129"/>
        <v>0.21494393973759859</v>
      </c>
      <c r="X77" s="39">
        <f t="shared" ref="X77:Y77" si="130">X23/X72</f>
        <v>0.16606532139610661</v>
      </c>
      <c r="Y77" s="39">
        <f t="shared" si="130"/>
        <v>0.11431271193378648</v>
      </c>
      <c r="AM77" s="39">
        <f t="shared" ref="AM77:AP77" si="131">AM23/AM72</f>
        <v>0.18095538994099256</v>
      </c>
      <c r="AN77" s="39">
        <f t="shared" si="131"/>
        <v>0.22295133314315813</v>
      </c>
      <c r="AO77" s="39">
        <f t="shared" si="131"/>
        <v>0.29824367927200146</v>
      </c>
      <c r="AP77" s="39">
        <f t="shared" si="131"/>
        <v>0.38085739290093557</v>
      </c>
      <c r="AQ77" s="39">
        <f>AQ23/AQ72</f>
        <v>0.47991524936187224</v>
      </c>
    </row>
    <row r="78" spans="2:104">
      <c r="B78" s="1" t="s">
        <v>86</v>
      </c>
      <c r="F78" s="39">
        <f t="shared" ref="F78:Y78" si="132">F24/AVERAGE(C49:F49)</f>
        <v>9.6585201822720179E-2</v>
      </c>
      <c r="G78" s="39">
        <f t="shared" si="132"/>
        <v>9.4627498973097274E-2</v>
      </c>
      <c r="H78" s="39">
        <f t="shared" si="132"/>
        <v>7.9002766345050948E-2</v>
      </c>
      <c r="I78" s="39">
        <f t="shared" si="132"/>
        <v>9.1071655792656581E-2</v>
      </c>
      <c r="J78" s="39">
        <f t="shared" si="132"/>
        <v>0.12908708336298122</v>
      </c>
      <c r="K78" s="39">
        <f t="shared" si="132"/>
        <v>0.13345443818877503</v>
      </c>
      <c r="L78" s="39">
        <f t="shared" si="132"/>
        <v>0.17145002171760759</v>
      </c>
      <c r="M78" s="39">
        <f t="shared" si="132"/>
        <v>0.19620476957529565</v>
      </c>
      <c r="N78" s="39">
        <f t="shared" si="132"/>
        <v>0.14802728019878597</v>
      </c>
      <c r="O78" s="39">
        <f t="shared" si="132"/>
        <v>0.16756048688578523</v>
      </c>
      <c r="P78" s="39">
        <f t="shared" si="132"/>
        <v>0.1596993586098612</v>
      </c>
      <c r="Q78" s="39">
        <f t="shared" si="132"/>
        <v>0.16877467878408026</v>
      </c>
      <c r="R78" s="39">
        <f t="shared" si="132"/>
        <v>0.17734118688447587</v>
      </c>
      <c r="S78" s="39">
        <f t="shared" si="132"/>
        <v>0.17325599027471861</v>
      </c>
      <c r="T78" s="39">
        <f t="shared" si="132"/>
        <v>0.12492059240519821</v>
      </c>
      <c r="U78" s="39">
        <f t="shared" si="132"/>
        <v>0.20980733928684819</v>
      </c>
      <c r="V78" s="39">
        <f t="shared" si="132"/>
        <v>0.24330351704135098</v>
      </c>
      <c r="W78" s="39">
        <f t="shared" si="132"/>
        <v>0.20058976833237882</v>
      </c>
      <c r="X78" s="39">
        <f t="shared" si="132"/>
        <v>0.18768769322944925</v>
      </c>
      <c r="Y78" s="39">
        <f t="shared" si="132"/>
        <v>0.16029014349834902</v>
      </c>
      <c r="AM78" s="39">
        <f t="shared" ref="AM78:AP78" si="133">AM24/AVERAGE(AJ49:AM49)</f>
        <v>0.27324420915584946</v>
      </c>
      <c r="AN78" s="39">
        <f t="shared" si="133"/>
        <v>0.46415717896659997</v>
      </c>
      <c r="AO78" s="39">
        <f t="shared" si="133"/>
        <v>0.67503508047211169</v>
      </c>
      <c r="AP78" s="39">
        <f t="shared" si="133"/>
        <v>0.63637854752055834</v>
      </c>
      <c r="AQ78" s="39">
        <f>AQ24/AVERAGE(AN49:AQ49)</f>
        <v>0.87245709129932536</v>
      </c>
    </row>
    <row r="79" spans="2:104">
      <c r="B79" s="1" t="s">
        <v>87</v>
      </c>
      <c r="F79" s="56">
        <f t="shared" ref="F79:W79" si="134">F35/F72</f>
        <v>-6.3356951500783285E-2</v>
      </c>
      <c r="G79" s="56">
        <f t="shared" si="134"/>
        <v>-6.0483149159582562E-2</v>
      </c>
      <c r="H79" s="56">
        <f t="shared" si="134"/>
        <v>-2.9506020882444181E-2</v>
      </c>
      <c r="I79" s="56">
        <f t="shared" si="134"/>
        <v>-1.8096399689428281E-2</v>
      </c>
      <c r="J79" s="56">
        <f t="shared" si="134"/>
        <v>-3.8748414059328322E-2</v>
      </c>
      <c r="K79" s="56">
        <f t="shared" si="134"/>
        <v>-3.4363530288300942E-2</v>
      </c>
      <c r="L79" s="56">
        <f t="shared" si="134"/>
        <v>-7.7958778758918088E-2</v>
      </c>
      <c r="M79" s="56">
        <f t="shared" si="134"/>
        <v>-8.1888719448923356E-2</v>
      </c>
      <c r="N79" s="56">
        <f t="shared" si="134"/>
        <v>-3.4938456532148852E-2</v>
      </c>
      <c r="O79" s="56">
        <f t="shared" si="134"/>
        <v>-0.16888719523155568</v>
      </c>
      <c r="P79" s="56">
        <f t="shared" si="134"/>
        <v>-7.6573563373932944E-3</v>
      </c>
      <c r="Q79" s="56">
        <f t="shared" si="134"/>
        <v>-1.3166513758370161E-2</v>
      </c>
      <c r="R79" s="56">
        <f t="shared" si="134"/>
        <v>1.3986830122549037E-2</v>
      </c>
      <c r="S79" s="56">
        <f t="shared" si="134"/>
        <v>1.0702512697778156E-2</v>
      </c>
      <c r="T79" s="56">
        <f t="shared" si="134"/>
        <v>1.8868420437819814E-3</v>
      </c>
      <c r="U79" s="56">
        <f t="shared" si="134"/>
        <v>9.336863778235319E-3</v>
      </c>
      <c r="V79" s="56">
        <f t="shared" si="134"/>
        <v>4.0134428218318904E-2</v>
      </c>
      <c r="W79" s="56">
        <f t="shared" si="134"/>
        <v>-0.12913367603765019</v>
      </c>
      <c r="X79" s="56">
        <f t="shared" ref="X79:Y79" si="135">X35/X72</f>
        <v>5.3503922082827796E-2</v>
      </c>
      <c r="Y79" s="56">
        <f t="shared" si="135"/>
        <v>-5.1513614428930238E-2</v>
      </c>
      <c r="AM79" s="56">
        <f t="shared" ref="AM79:AP79" si="136">AM35/AM72</f>
        <v>-0.18564529595524917</v>
      </c>
      <c r="AN79" s="56">
        <f t="shared" si="136"/>
        <v>-0.13304239488636183</v>
      </c>
      <c r="AO79" s="56">
        <f t="shared" si="136"/>
        <v>-0.22580663721990904</v>
      </c>
      <c r="AP79" s="56">
        <f t="shared" si="136"/>
        <v>-0.16417991828022727</v>
      </c>
      <c r="AQ79" s="56">
        <f>AQ35/AQ72</f>
        <v>5.8953268556675514E-2</v>
      </c>
    </row>
    <row r="80" spans="2:104">
      <c r="B80" s="1" t="s">
        <v>88</v>
      </c>
      <c r="F80" s="56">
        <f t="shared" ref="F80:W80" si="137">F35/F71</f>
        <v>-0.2482438671548349</v>
      </c>
      <c r="G80" s="56">
        <f t="shared" si="137"/>
        <v>-0.31235701145775935</v>
      </c>
      <c r="H80" s="56">
        <f t="shared" si="137"/>
        <v>-0.16781900639043487</v>
      </c>
      <c r="I80" s="56">
        <f t="shared" si="137"/>
        <v>-0.10260691770318625</v>
      </c>
      <c r="J80" s="56">
        <f t="shared" si="137"/>
        <v>-0.13144161317401018</v>
      </c>
      <c r="K80" s="56">
        <f t="shared" si="137"/>
        <v>-0.12256006049812936</v>
      </c>
      <c r="L80" s="56">
        <f t="shared" si="137"/>
        <v>-0.32160334334998486</v>
      </c>
      <c r="M80" s="56">
        <f t="shared" si="137"/>
        <v>-0.59988162658991739</v>
      </c>
      <c r="N80" s="56">
        <f t="shared" si="137"/>
        <v>-0.2839329783088716</v>
      </c>
      <c r="O80" s="56">
        <f t="shared" si="137"/>
        <v>-0.72502101020134702</v>
      </c>
      <c r="P80" s="56">
        <f t="shared" si="137"/>
        <v>-3.2284387471995912E-2</v>
      </c>
      <c r="Q80" s="56">
        <f t="shared" si="137"/>
        <v>-5.3566592573888898E-2</v>
      </c>
      <c r="R80" s="56">
        <f t="shared" si="137"/>
        <v>5.3135149539703316E-2</v>
      </c>
      <c r="S80" s="56">
        <f t="shared" si="137"/>
        <v>3.5902296315408387E-2</v>
      </c>
      <c r="T80" s="56">
        <f t="shared" si="137"/>
        <v>5.9987373034000079E-3</v>
      </c>
      <c r="U80" s="56">
        <f t="shared" si="137"/>
        <v>2.7526654879200311E-2</v>
      </c>
      <c r="V80" s="56">
        <f t="shared" si="137"/>
        <v>0.10411378361005974</v>
      </c>
      <c r="W80" s="56">
        <f t="shared" si="137"/>
        <v>-0.39160583973543905</v>
      </c>
      <c r="X80" s="56">
        <f t="shared" ref="X80:Y80" si="138">X35/X71</f>
        <v>0.1450470759846175</v>
      </c>
      <c r="Y80" s="56">
        <f t="shared" si="138"/>
        <v>-0.13632018301366547</v>
      </c>
      <c r="AM80" s="56">
        <f t="shared" ref="AM80:AP80" si="139">AM35/AM71</f>
        <v>-0.72739147158090667</v>
      </c>
      <c r="AN80" s="56">
        <f t="shared" si="139"/>
        <v>-0.45130381278629839</v>
      </c>
      <c r="AO80" s="56">
        <f t="shared" si="139"/>
        <v>-1.8350539031042996</v>
      </c>
      <c r="AP80" s="56">
        <f t="shared" si="139"/>
        <v>-0.62370990659077841</v>
      </c>
      <c r="AQ80" s="56">
        <f>AQ35/AQ71</f>
        <v>0.15293223594036159</v>
      </c>
    </row>
    <row r="82" spans="2:104">
      <c r="B82" s="1" t="s">
        <v>89</v>
      </c>
      <c r="C82" s="48">
        <f t="shared" ref="C82:V82" si="140">C35</f>
        <v>-17.492000000000008</v>
      </c>
      <c r="D82" s="48">
        <f t="shared" si="140"/>
        <v>-151.00399999999996</v>
      </c>
      <c r="E82" s="48">
        <f t="shared" si="140"/>
        <v>-196.499</v>
      </c>
      <c r="F82" s="48">
        <f t="shared" si="140"/>
        <v>-189.10199999999989</v>
      </c>
      <c r="G82" s="48">
        <f t="shared" si="140"/>
        <v>-167.24999999999997</v>
      </c>
      <c r="H82" s="48">
        <f t="shared" si="140"/>
        <v>-81.408999999999963</v>
      </c>
      <c r="I82" s="48">
        <f t="shared" si="140"/>
        <v>-48.176000000000009</v>
      </c>
      <c r="J82" s="48">
        <f t="shared" si="140"/>
        <v>-121.97900000000001</v>
      </c>
      <c r="K82" s="48">
        <f t="shared" si="140"/>
        <v>-105.02000000000007</v>
      </c>
      <c r="L82" s="48">
        <f t="shared" si="140"/>
        <v>-233.63099999999994</v>
      </c>
      <c r="M82" s="48">
        <f t="shared" si="140"/>
        <v>-258.45299999999997</v>
      </c>
      <c r="N82" s="48">
        <f t="shared" si="140"/>
        <v>-109.30000000000011</v>
      </c>
      <c r="O82" s="48">
        <f t="shared" si="140"/>
        <v>-516.75799999999992</v>
      </c>
      <c r="P82" s="48">
        <f t="shared" si="140"/>
        <v>-23.935999999999961</v>
      </c>
      <c r="Q82" s="48">
        <f t="shared" si="140"/>
        <v>-40.943999999999996</v>
      </c>
      <c r="R82" s="48">
        <f t="shared" si="140"/>
        <v>45.66100000000003</v>
      </c>
      <c r="S82" s="48">
        <f t="shared" si="140"/>
        <v>34.509000000000022</v>
      </c>
      <c r="T82" s="48">
        <f t="shared" si="140"/>
        <v>6.4610000000000118</v>
      </c>
      <c r="U82" s="48">
        <f t="shared" si="140"/>
        <v>33.612000000000002</v>
      </c>
      <c r="V82" s="48">
        <f t="shared" si="140"/>
        <v>159.05899999999988</v>
      </c>
      <c r="W82" s="48">
        <f>W35</f>
        <v>-447.49700000000013</v>
      </c>
      <c r="X82" s="48">
        <f>X35</f>
        <v>196.88400000000013</v>
      </c>
      <c r="Y82" s="48">
        <f>Y35</f>
        <v>-179.95900000000003</v>
      </c>
      <c r="AM82" s="48">
        <f t="shared" ref="AM82:AM87" si="141">SUM(C82:F82)</f>
        <v>-554.09699999999987</v>
      </c>
      <c r="AN82" s="48">
        <f t="shared" ref="AN82:AN87" si="142">SUM(G82:J82)</f>
        <v>-418.81399999999996</v>
      </c>
      <c r="AO82" s="48">
        <f t="shared" ref="AO82:AO87" si="143">SUM(K82:N82)</f>
        <v>-706.40400000000011</v>
      </c>
      <c r="AP82" s="48">
        <f t="shared" ref="AP82:AP87" si="144">SUM(O82:R82)</f>
        <v>-535.97699999999975</v>
      </c>
      <c r="AQ82" s="48">
        <f t="shared" ref="AQ82:AQ87" si="145">SUM(S82:V82)</f>
        <v>233.64099999999991</v>
      </c>
      <c r="AR82" s="49">
        <f>AR35</f>
        <v>-284.53412303249974</v>
      </c>
      <c r="AS82" s="49">
        <f t="shared" ref="AS82:BA82" si="146">AS35</f>
        <v>175.92750795554554</v>
      </c>
      <c r="AT82" s="49">
        <f t="shared" si="146"/>
        <v>448.86997661799836</v>
      </c>
      <c r="AU82" s="49">
        <f t="shared" si="146"/>
        <v>610.47608936714505</v>
      </c>
      <c r="AV82" s="49">
        <f t="shared" si="146"/>
        <v>686.56896969730326</v>
      </c>
      <c r="AW82" s="49">
        <f t="shared" si="146"/>
        <v>741.12597610261571</v>
      </c>
      <c r="AX82" s="49">
        <f t="shared" si="146"/>
        <v>745.88384521357193</v>
      </c>
      <c r="AY82" s="49">
        <f t="shared" si="146"/>
        <v>757.81036343026244</v>
      </c>
      <c r="AZ82" s="49">
        <f t="shared" si="146"/>
        <v>780.85385540658706</v>
      </c>
      <c r="BA82" s="49">
        <f t="shared" si="146"/>
        <v>814.38519483761695</v>
      </c>
    </row>
    <row r="83" spans="2:104" s="2" customFormat="1" ht="15">
      <c r="B83" s="2" t="s">
        <v>90</v>
      </c>
      <c r="C83" s="46">
        <v>627.79999999999995</v>
      </c>
      <c r="D83" s="46">
        <v>-107.6</v>
      </c>
      <c r="E83" s="46">
        <v>-283.2</v>
      </c>
      <c r="F83" s="46">
        <v>-129.5</v>
      </c>
      <c r="G83" s="46">
        <v>-180.4</v>
      </c>
      <c r="H83" s="46">
        <v>-109.5</v>
      </c>
      <c r="I83" s="46">
        <v>-124</v>
      </c>
      <c r="J83" s="46">
        <v>-29.3</v>
      </c>
      <c r="K83" s="46">
        <v>-101.2</v>
      </c>
      <c r="L83" s="46">
        <v>-66.8</v>
      </c>
      <c r="M83" s="46">
        <v>-65</v>
      </c>
      <c r="N83" s="46">
        <v>-92.4</v>
      </c>
      <c r="O83" s="46">
        <v>-209.4</v>
      </c>
      <c r="P83" s="46">
        <v>-122.2</v>
      </c>
      <c r="Q83" s="46">
        <v>-115.9</v>
      </c>
      <c r="R83" s="46">
        <v>-53.5</v>
      </c>
      <c r="S83" s="46">
        <v>-241.1</v>
      </c>
      <c r="T83" s="46">
        <v>14.9</v>
      </c>
      <c r="U83" s="46">
        <v>-70.7</v>
      </c>
      <c r="V83" s="46">
        <v>92</v>
      </c>
      <c r="W83" s="46">
        <v>-583.4</v>
      </c>
      <c r="X83" s="46">
        <f>-322.1-W83</f>
        <v>261.29999999999995</v>
      </c>
      <c r="Y83" s="46">
        <v>-14.6</v>
      </c>
      <c r="Z83" s="34"/>
      <c r="AA83" s="34"/>
      <c r="AB83" s="34"/>
      <c r="AC83" s="34"/>
      <c r="AD83" s="34"/>
      <c r="AM83" s="46">
        <f t="shared" si="141"/>
        <v>107.49999999999994</v>
      </c>
      <c r="AN83" s="46">
        <f t="shared" si="142"/>
        <v>-443.2</v>
      </c>
      <c r="AO83" s="46">
        <f t="shared" si="143"/>
        <v>-325.39999999999998</v>
      </c>
      <c r="AP83" s="46">
        <f t="shared" si="144"/>
        <v>-501</v>
      </c>
      <c r="AQ83" s="46">
        <f t="shared" si="145"/>
        <v>-204.89999999999998</v>
      </c>
      <c r="AR83" s="34"/>
      <c r="AS83" s="34"/>
      <c r="AT83" s="34"/>
      <c r="AU83" s="34"/>
      <c r="AV83" s="34"/>
      <c r="AW83" s="34"/>
      <c r="AX83" s="34"/>
      <c r="AY83" s="34"/>
      <c r="AZ83" s="34"/>
      <c r="BA83" s="34"/>
      <c r="BB83" s="34"/>
      <c r="BC83" s="34"/>
      <c r="BD83" s="34"/>
      <c r="BE83" s="34"/>
      <c r="BF83" s="34"/>
      <c r="BG83" s="34"/>
      <c r="BH83" s="34"/>
      <c r="BI83" s="34"/>
      <c r="BJ83" s="34"/>
      <c r="BK83" s="34"/>
      <c r="BL83" s="34"/>
      <c r="BM83" s="34"/>
      <c r="BN83" s="34"/>
      <c r="BO83" s="34"/>
      <c r="BP83" s="34"/>
      <c r="BQ83" s="34"/>
      <c r="BR83" s="34"/>
      <c r="BS83" s="34"/>
      <c r="BT83" s="34"/>
      <c r="BU83" s="34"/>
      <c r="BV83" s="34"/>
      <c r="BW83" s="34"/>
      <c r="BX83" s="34"/>
      <c r="BY83" s="34"/>
      <c r="BZ83" s="34"/>
      <c r="CA83" s="34"/>
      <c r="CB83" s="34"/>
      <c r="CC83" s="34"/>
      <c r="CD83" s="34"/>
      <c r="CE83" s="34"/>
      <c r="CF83" s="34"/>
      <c r="CG83" s="34"/>
      <c r="CH83" s="34"/>
      <c r="CI83" s="34"/>
      <c r="CJ83" s="34"/>
      <c r="CK83" s="34"/>
      <c r="CL83" s="34"/>
      <c r="CM83" s="34"/>
      <c r="CN83" s="34"/>
      <c r="CO83" s="34"/>
      <c r="CP83" s="34"/>
      <c r="CQ83" s="34"/>
      <c r="CR83" s="34"/>
      <c r="CS83" s="34"/>
      <c r="CT83" s="34"/>
      <c r="CU83" s="58"/>
      <c r="CV83" s="58"/>
      <c r="CW83" s="58"/>
      <c r="CX83" s="58"/>
      <c r="CY83" s="58"/>
      <c r="CZ83" s="58"/>
    </row>
    <row r="84" spans="2:104">
      <c r="B84" s="1" t="s">
        <v>91</v>
      </c>
      <c r="C84" s="48">
        <v>-9.1</v>
      </c>
      <c r="D84" s="48">
        <v>-19.2</v>
      </c>
      <c r="E84" s="48">
        <v>-25.3</v>
      </c>
      <c r="F84" s="48">
        <v>-28.6</v>
      </c>
      <c r="G84" s="48">
        <v>-21.1</v>
      </c>
      <c r="H84" s="48">
        <v>-5.9</v>
      </c>
      <c r="I84" s="48">
        <v>-9.1999999999999993</v>
      </c>
      <c r="J84" s="48">
        <v>-2.2000000000000002</v>
      </c>
      <c r="K84" s="48">
        <v>-5.6</v>
      </c>
      <c r="L84" s="48">
        <v>-9.1</v>
      </c>
      <c r="M84" s="48">
        <v>-8.1999999999999993</v>
      </c>
      <c r="N84" s="48">
        <v>-8</v>
      </c>
      <c r="O84" s="48">
        <v>-9.5</v>
      </c>
      <c r="P84" s="48">
        <v>-17.899999999999999</v>
      </c>
      <c r="Q84" s="48">
        <v>-29.7</v>
      </c>
      <c r="R84" s="48">
        <v>-19</v>
      </c>
      <c r="S84" s="48">
        <v>-32.4</v>
      </c>
      <c r="T84" s="48">
        <v>-29.2</v>
      </c>
      <c r="U84" s="48">
        <v>-37.299999999999997</v>
      </c>
      <c r="V84" s="48">
        <v>-38.1</v>
      </c>
      <c r="W84" s="48">
        <v>-43.7</v>
      </c>
      <c r="X84" s="48">
        <f>-75.44-W84</f>
        <v>-31.739999999999995</v>
      </c>
      <c r="Y84" s="48">
        <v>-22.9</v>
      </c>
      <c r="AM84" s="48">
        <f t="shared" si="141"/>
        <v>-82.199999999999989</v>
      </c>
      <c r="AN84" s="48">
        <f t="shared" si="142"/>
        <v>-38.400000000000006</v>
      </c>
      <c r="AO84" s="48">
        <f t="shared" si="143"/>
        <v>-30.9</v>
      </c>
      <c r="AP84" s="48">
        <f t="shared" si="144"/>
        <v>-76.099999999999994</v>
      </c>
      <c r="AQ84" s="48">
        <f t="shared" si="145"/>
        <v>-137</v>
      </c>
    </row>
    <row r="85" spans="2:104" s="2" customFormat="1" ht="15">
      <c r="B85" s="2" t="s">
        <v>92</v>
      </c>
      <c r="C85" s="46">
        <f t="shared" ref="C85:W85" si="147">C83+C84</f>
        <v>618.69999999999993</v>
      </c>
      <c r="D85" s="46">
        <f t="shared" si="147"/>
        <v>-126.8</v>
      </c>
      <c r="E85" s="46">
        <f t="shared" si="147"/>
        <v>-308.5</v>
      </c>
      <c r="F85" s="46">
        <f t="shared" si="147"/>
        <v>-158.1</v>
      </c>
      <c r="G85" s="46">
        <f t="shared" si="147"/>
        <v>-201.5</v>
      </c>
      <c r="H85" s="46">
        <f t="shared" si="147"/>
        <v>-115.4</v>
      </c>
      <c r="I85" s="46">
        <f t="shared" si="147"/>
        <v>-133.19999999999999</v>
      </c>
      <c r="J85" s="46">
        <f t="shared" si="147"/>
        <v>-31.5</v>
      </c>
      <c r="K85" s="46">
        <f t="shared" si="147"/>
        <v>-106.8</v>
      </c>
      <c r="L85" s="46">
        <f t="shared" si="147"/>
        <v>-75.899999999999991</v>
      </c>
      <c r="M85" s="46">
        <f t="shared" si="147"/>
        <v>-73.2</v>
      </c>
      <c r="N85" s="46">
        <f t="shared" si="147"/>
        <v>-100.4</v>
      </c>
      <c r="O85" s="46">
        <f t="shared" si="147"/>
        <v>-218.9</v>
      </c>
      <c r="P85" s="46">
        <f t="shared" si="147"/>
        <v>-140.1</v>
      </c>
      <c r="Q85" s="46">
        <f t="shared" si="147"/>
        <v>-145.6</v>
      </c>
      <c r="R85" s="46">
        <f t="shared" si="147"/>
        <v>-72.5</v>
      </c>
      <c r="S85" s="46">
        <f t="shared" si="147"/>
        <v>-273.5</v>
      </c>
      <c r="T85" s="46">
        <f t="shared" si="147"/>
        <v>-14.299999999999999</v>
      </c>
      <c r="U85" s="46">
        <f t="shared" si="147"/>
        <v>-108</v>
      </c>
      <c r="V85" s="46">
        <f t="shared" si="147"/>
        <v>53.9</v>
      </c>
      <c r="W85" s="46">
        <f t="shared" si="147"/>
        <v>-627.1</v>
      </c>
      <c r="X85" s="46">
        <f t="shared" ref="X85:Y85" si="148">X83+X84</f>
        <v>229.55999999999995</v>
      </c>
      <c r="Y85" s="46">
        <f t="shared" si="148"/>
        <v>-37.5</v>
      </c>
      <c r="Z85" s="34"/>
      <c r="AA85" s="34"/>
      <c r="AB85" s="34"/>
      <c r="AC85" s="34"/>
      <c r="AD85" s="34"/>
      <c r="AM85" s="46">
        <f t="shared" si="141"/>
        <v>25.299999999999926</v>
      </c>
      <c r="AN85" s="46">
        <f t="shared" si="142"/>
        <v>-481.59999999999997</v>
      </c>
      <c r="AO85" s="46">
        <f t="shared" si="143"/>
        <v>-356.29999999999995</v>
      </c>
      <c r="AP85" s="46">
        <f t="shared" si="144"/>
        <v>-577.1</v>
      </c>
      <c r="AQ85" s="46">
        <f t="shared" si="145"/>
        <v>-341.90000000000003</v>
      </c>
      <c r="AR85" s="34"/>
      <c r="AS85" s="34"/>
      <c r="AT85" s="34"/>
      <c r="AU85" s="34"/>
      <c r="AV85" s="34"/>
      <c r="AW85" s="34"/>
      <c r="AX85" s="34"/>
      <c r="AY85" s="34"/>
      <c r="AZ85" s="34"/>
      <c r="BA85" s="34"/>
      <c r="BB85" s="34"/>
      <c r="BC85" s="34"/>
      <c r="BD85" s="34"/>
      <c r="BE85" s="34"/>
      <c r="BF85" s="34"/>
      <c r="BG85" s="34"/>
      <c r="BH85" s="34"/>
      <c r="BI85" s="34"/>
      <c r="BJ85" s="34"/>
      <c r="BK85" s="34"/>
      <c r="BL85" s="34"/>
      <c r="BM85" s="34"/>
      <c r="BN85" s="34"/>
      <c r="BO85" s="34"/>
      <c r="BP85" s="34"/>
      <c r="BQ85" s="34"/>
      <c r="BR85" s="34"/>
      <c r="BS85" s="34"/>
      <c r="BT85" s="34"/>
      <c r="BU85" s="34"/>
      <c r="BV85" s="34"/>
      <c r="BW85" s="34"/>
      <c r="BX85" s="34"/>
      <c r="BY85" s="34"/>
      <c r="BZ85" s="34"/>
      <c r="CA85" s="34"/>
      <c r="CB85" s="34"/>
      <c r="CC85" s="34"/>
      <c r="CD85" s="34"/>
      <c r="CE85" s="34"/>
      <c r="CF85" s="34"/>
      <c r="CG85" s="34"/>
      <c r="CH85" s="34"/>
      <c r="CI85" s="34"/>
      <c r="CJ85" s="34"/>
      <c r="CK85" s="34"/>
      <c r="CL85" s="34"/>
      <c r="CM85" s="34"/>
      <c r="CN85" s="34"/>
      <c r="CO85" s="34"/>
      <c r="CP85" s="34"/>
      <c r="CQ85" s="34"/>
      <c r="CR85" s="34"/>
      <c r="CS85" s="34"/>
      <c r="CT85" s="34"/>
      <c r="CU85" s="58"/>
      <c r="CV85" s="58"/>
      <c r="CW85" s="58"/>
      <c r="CX85" s="58"/>
      <c r="CY85" s="58"/>
      <c r="CZ85" s="58"/>
    </row>
    <row r="86" spans="2:104">
      <c r="B86" s="1" t="s">
        <v>93</v>
      </c>
      <c r="C86" s="48">
        <f t="shared" ref="C86:V86" si="149">C36</f>
        <v>76.432000000000002</v>
      </c>
      <c r="D86" s="48">
        <f t="shared" si="149"/>
        <v>77.968000000000004</v>
      </c>
      <c r="E86" s="48">
        <f t="shared" si="149"/>
        <v>78.501000000000005</v>
      </c>
      <c r="F86" s="48">
        <f t="shared" si="149"/>
        <v>77.77</v>
      </c>
      <c r="G86" s="48">
        <f t="shared" si="149"/>
        <v>79.453999999999994</v>
      </c>
      <c r="H86" s="48">
        <f t="shared" si="149"/>
        <v>79.745999999999995</v>
      </c>
      <c r="I86" s="48">
        <f t="shared" si="149"/>
        <v>79.88</v>
      </c>
      <c r="J86" s="48">
        <f t="shared" si="149"/>
        <v>87.12</v>
      </c>
      <c r="K86" s="48">
        <f t="shared" si="149"/>
        <v>87.253</v>
      </c>
      <c r="L86" s="48">
        <f t="shared" si="149"/>
        <v>87.510999999999996</v>
      </c>
      <c r="M86" s="48">
        <f t="shared" si="149"/>
        <v>87.62</v>
      </c>
      <c r="N86" s="48">
        <f t="shared" si="149"/>
        <v>87.980999999999995</v>
      </c>
      <c r="O86" s="48">
        <f t="shared" si="149"/>
        <v>88.186000000000007</v>
      </c>
      <c r="P86" s="48">
        <f t="shared" si="149"/>
        <v>88.742999999999995</v>
      </c>
      <c r="Q86" s="48">
        <f t="shared" si="149"/>
        <v>88.888999999999996</v>
      </c>
      <c r="R86" s="48">
        <f t="shared" si="149"/>
        <v>92.397999999999996</v>
      </c>
      <c r="S86" s="48">
        <f t="shared" si="149"/>
        <v>93.99</v>
      </c>
      <c r="T86" s="48">
        <f t="shared" si="149"/>
        <v>94.617999999999995</v>
      </c>
      <c r="U86" s="48">
        <f t="shared" si="149"/>
        <v>95.39</v>
      </c>
      <c r="V86" s="48">
        <f t="shared" si="149"/>
        <v>97.031999999999996</v>
      </c>
      <c r="W86" s="48">
        <f>W36</f>
        <v>97.361999999999995</v>
      </c>
      <c r="X86" s="48">
        <f>X36</f>
        <v>98.004999999999995</v>
      </c>
      <c r="Y86" s="48">
        <f>Y36</f>
        <v>100.23</v>
      </c>
      <c r="AM86" s="48">
        <f>AM36</f>
        <v>77.667749999999998</v>
      </c>
      <c r="AN86" s="48">
        <f t="shared" ref="AN86:AQ86" si="150">AN36</f>
        <v>81.55</v>
      </c>
      <c r="AO86" s="48">
        <f t="shared" si="150"/>
        <v>87.591250000000002</v>
      </c>
      <c r="AP86" s="48">
        <f t="shared" si="150"/>
        <v>89.554000000000002</v>
      </c>
      <c r="AQ86" s="48">
        <f t="shared" si="150"/>
        <v>95.257499999999993</v>
      </c>
    </row>
    <row r="87" spans="2:104">
      <c r="B87" s="1" t="s">
        <v>94</v>
      </c>
      <c r="C87" s="39">
        <f t="shared" ref="C87:V87" si="151">C85/C86</f>
        <v>8.0947770567301642</v>
      </c>
      <c r="D87" s="39">
        <f t="shared" si="151"/>
        <v>-1.6263082290170325</v>
      </c>
      <c r="E87" s="39">
        <f t="shared" si="151"/>
        <v>-3.9298862434873438</v>
      </c>
      <c r="F87" s="39">
        <f t="shared" si="151"/>
        <v>-2.0329175774720332</v>
      </c>
      <c r="G87" s="39">
        <f t="shared" si="151"/>
        <v>-2.5360585999446221</v>
      </c>
      <c r="H87" s="39">
        <f t="shared" si="151"/>
        <v>-1.4470945251172473</v>
      </c>
      <c r="I87" s="39">
        <f t="shared" si="151"/>
        <v>-1.6675012518778167</v>
      </c>
      <c r="J87" s="39">
        <f t="shared" si="151"/>
        <v>-0.36157024793388426</v>
      </c>
      <c r="K87" s="39">
        <f t="shared" si="151"/>
        <v>-1.2240266810310247</v>
      </c>
      <c r="L87" s="39">
        <f t="shared" si="151"/>
        <v>-0.86731953697249486</v>
      </c>
      <c r="M87" s="39">
        <f t="shared" si="151"/>
        <v>-0.83542570189454457</v>
      </c>
      <c r="N87" s="39">
        <f t="shared" si="151"/>
        <v>-1.1411554767506622</v>
      </c>
      <c r="O87" s="39">
        <f t="shared" si="151"/>
        <v>-2.4822534189100312</v>
      </c>
      <c r="P87" s="39">
        <f t="shared" si="151"/>
        <v>-1.5787160677461884</v>
      </c>
      <c r="Q87" s="39">
        <f t="shared" si="151"/>
        <v>-1.6379979525025594</v>
      </c>
      <c r="R87" s="39">
        <f t="shared" si="151"/>
        <v>-0.78464901837702117</v>
      </c>
      <c r="S87" s="39">
        <f t="shared" si="151"/>
        <v>-2.9098840302159807</v>
      </c>
      <c r="T87" s="39">
        <f t="shared" si="151"/>
        <v>-0.15113403369337758</v>
      </c>
      <c r="U87" s="39">
        <f t="shared" si="151"/>
        <v>-1.1321941503302233</v>
      </c>
      <c r="V87" s="39">
        <f t="shared" si="151"/>
        <v>0.55548684969906836</v>
      </c>
      <c r="W87" s="39">
        <f>W85/W86</f>
        <v>-6.4409112384708616</v>
      </c>
      <c r="X87" s="39">
        <f>X85/X86</f>
        <v>2.3423294729860715</v>
      </c>
      <c r="Y87" s="39">
        <f>Y85/Y86</f>
        <v>-0.37413947919784496</v>
      </c>
      <c r="AM87" s="39">
        <f t="shared" si="141"/>
        <v>0.50566500675375448</v>
      </c>
      <c r="AN87" s="39">
        <f t="shared" si="142"/>
        <v>-6.0122246248735705</v>
      </c>
      <c r="AO87" s="39">
        <f t="shared" si="143"/>
        <v>-4.0679273966487264</v>
      </c>
      <c r="AP87" s="39">
        <f t="shared" si="144"/>
        <v>-6.4836164575357991</v>
      </c>
      <c r="AQ87" s="39">
        <f t="shared" si="145"/>
        <v>-3.637725364540513</v>
      </c>
    </row>
    <row r="89" spans="2:104">
      <c r="B89" s="1" t="s">
        <v>1625</v>
      </c>
      <c r="C89" s="56">
        <f>C85/C23</f>
        <v>5.4427573587627771</v>
      </c>
      <c r="D89" s="56">
        <f t="shared" ref="D89:W89" si="152">D85/D23</f>
        <v>-0.92312844444120867</v>
      </c>
      <c r="E89" s="56">
        <f t="shared" si="152"/>
        <v>-2.1434923987660155</v>
      </c>
      <c r="F89" s="56">
        <f t="shared" si="152"/>
        <v>-1.089278086287911</v>
      </c>
      <c r="G89" s="56">
        <f t="shared" si="152"/>
        <v>-1.3713920139385152</v>
      </c>
      <c r="H89" s="56">
        <f t="shared" si="152"/>
        <v>-0.70327688022963153</v>
      </c>
      <c r="I89" s="56">
        <f t="shared" si="152"/>
        <v>-0.70338490785235241</v>
      </c>
      <c r="J89" s="56">
        <f t="shared" si="152"/>
        <v>-0.15636246308108512</v>
      </c>
      <c r="K89" s="56">
        <f t="shared" si="152"/>
        <v>-0.50656927382251105</v>
      </c>
      <c r="L89" s="56">
        <f t="shared" si="152"/>
        <v>-0.32500203393894755</v>
      </c>
      <c r="M89" s="56">
        <f t="shared" si="152"/>
        <v>-0.31788217514786732</v>
      </c>
      <c r="N89" s="56">
        <f t="shared" si="152"/>
        <v>-0.38858699859117868</v>
      </c>
      <c r="O89" s="56">
        <f t="shared" si="152"/>
        <v>-0.86352788023432414</v>
      </c>
      <c r="P89" s="56">
        <f t="shared" si="152"/>
        <v>-0.53629257611832881</v>
      </c>
      <c r="Q89" s="56">
        <f t="shared" si="152"/>
        <v>-0.43880798534092003</v>
      </c>
      <c r="R89" s="56">
        <f t="shared" si="152"/>
        <v>-0.18271399589208534</v>
      </c>
      <c r="S89" s="56">
        <f t="shared" si="152"/>
        <v>-0.66149563316136861</v>
      </c>
      <c r="T89" s="56">
        <f t="shared" si="152"/>
        <v>-3.9401863184607366E-2</v>
      </c>
      <c r="U89" s="56">
        <f t="shared" si="152"/>
        <v>-0.23117873326897431</v>
      </c>
      <c r="V89" s="56">
        <f t="shared" si="152"/>
        <v>8.1862143542762722E-2</v>
      </c>
      <c r="W89" s="56">
        <f t="shared" si="152"/>
        <v>-0.8419009158743499</v>
      </c>
      <c r="X89" s="56">
        <f t="shared" ref="X89:Y89" si="153">X85/X23</f>
        <v>0.37565784306024652</v>
      </c>
      <c r="Y89" s="56">
        <f t="shared" si="153"/>
        <v>-9.3904237710439403E-2</v>
      </c>
    </row>
  </sheetData>
  <mergeCells count="1">
    <mergeCell ref="AZ60:BA60"/>
  </mergeCells>
  <conditionalFormatting sqref="AZ60:BA60">
    <cfRule type="colorScale" priority="1">
      <colorScale>
        <cfvo type="min"/>
        <cfvo type="percentile" val="50"/>
        <cfvo type="max"/>
        <color rgb="FFF8696B"/>
        <color rgb="FFFCFCFF"/>
        <color rgb="FF63BE7B"/>
      </colorScale>
    </cfRule>
    <cfRule type="containsText" dxfId="14" priority="2" operator="containsText" text="Strong Sell">
      <formula>NOT(ISERROR(SEARCH("Strong Sell",AZ60)))</formula>
    </cfRule>
    <cfRule type="containsText" dxfId="13" priority="3" operator="containsText" text="Sell">
      <formula>NOT(ISERROR(SEARCH("Sell",AZ60)))</formula>
    </cfRule>
    <cfRule type="containsText" dxfId="12" priority="4" operator="containsText" text="Hold">
      <formula>NOT(ISERROR(SEARCH("Hold",AZ60)))</formula>
    </cfRule>
    <cfRule type="beginsWith" dxfId="11" priority="5" operator="beginsWith" text="Buy">
      <formula>LEFT(AZ60,LEN("Buy"))="Buy"</formula>
    </cfRule>
    <cfRule type="beginsWith" dxfId="10" priority="6" operator="beginsWith" text="Strong">
      <formula>LEFT(AZ60,LEN("Strong"))="Strong"</formula>
    </cfRule>
  </conditionalFormatting>
  <pageMargins left="0.7" right="0.7" top="0.75" bottom="0.75" header="0.3" footer="0.3"/>
  <ignoredErrors>
    <ignoredError sqref="AM5:AO5 R5 AM83:AQ85 F74:W80 V7 AM7:AQ9 X74:X79 Y74:Y78" formulaRange="1"/>
    <ignoredError sqref="AM36:AQ36 AM86:AQ86 R8 V8 V9" formula="1" formulaRange="1"/>
    <ignoredError sqref="K8:M8 K7:M7 T7:U7 K9:M9 T9:U9 O8:Q8 O7:Q7 O9:Q9 S8:U8 D12 J37 S35 W43" formula="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A2AAB-C524-4579-9D44-0F4590E3F628}">
  <sheetPr>
    <tabColor theme="9" tint="0.59999389629810485"/>
  </sheetPr>
  <dimension ref="B1:DB89"/>
  <sheetViews>
    <sheetView tabSelected="1" zoomScale="85" zoomScaleNormal="85" workbookViewId="0">
      <pane xSplit="2" ySplit="3" topLeftCell="AS42" activePane="bottomRight" state="frozen"/>
      <selection pane="topRight" activeCell="C1" sqref="C1"/>
      <selection pane="bottomLeft" activeCell="A4" sqref="A4"/>
      <selection pane="bottomRight" activeCell="BA48" sqref="BA48"/>
    </sheetView>
  </sheetViews>
  <sheetFormatPr defaultRowHeight="14.25"/>
  <cols>
    <col min="1" max="1" width="3.140625" style="1" customWidth="1"/>
    <col min="2" max="2" width="36.42578125" style="1" customWidth="1"/>
    <col min="3" max="25" width="9.140625" style="1"/>
    <col min="26" max="30" width="9.140625" style="35"/>
    <col min="31" max="43" width="9.140625" style="1"/>
    <col min="44" max="103" width="9.140625" style="35"/>
    <col min="104" max="16384" width="9.140625" style="1"/>
  </cols>
  <sheetData>
    <row r="1" spans="2:106" ht="15">
      <c r="C1" s="33" t="s">
        <v>41</v>
      </c>
      <c r="G1" s="33" t="s">
        <v>45</v>
      </c>
      <c r="K1" s="33" t="s">
        <v>49</v>
      </c>
      <c r="O1" s="33" t="s">
        <v>53</v>
      </c>
      <c r="S1" s="33" t="s">
        <v>57</v>
      </c>
      <c r="W1" s="33" t="s">
        <v>61</v>
      </c>
      <c r="X1" s="33"/>
    </row>
    <row r="2" spans="2:106">
      <c r="B2" s="1" t="s">
        <v>69</v>
      </c>
    </row>
    <row r="3" spans="2:106" ht="15">
      <c r="B3" s="2" t="s">
        <v>70</v>
      </c>
      <c r="C3" s="33" t="s">
        <v>41</v>
      </c>
      <c r="D3" s="33" t="s">
        <v>42</v>
      </c>
      <c r="E3" s="33" t="s">
        <v>43</v>
      </c>
      <c r="F3" s="33" t="s">
        <v>44</v>
      </c>
      <c r="G3" s="33" t="s">
        <v>45</v>
      </c>
      <c r="H3" s="33" t="s">
        <v>46</v>
      </c>
      <c r="I3" s="33" t="s">
        <v>47</v>
      </c>
      <c r="J3" s="33" t="s">
        <v>48</v>
      </c>
      <c r="K3" s="33" t="s">
        <v>49</v>
      </c>
      <c r="L3" s="33" t="s">
        <v>50</v>
      </c>
      <c r="M3" s="33" t="s">
        <v>51</v>
      </c>
      <c r="N3" s="33" t="s">
        <v>52</v>
      </c>
      <c r="O3" s="33" t="s">
        <v>53</v>
      </c>
      <c r="P3" s="33" t="s">
        <v>54</v>
      </c>
      <c r="Q3" s="33" t="s">
        <v>55</v>
      </c>
      <c r="R3" s="33" t="s">
        <v>56</v>
      </c>
      <c r="S3" s="33" t="s">
        <v>57</v>
      </c>
      <c r="T3" s="33" t="s">
        <v>58</v>
      </c>
      <c r="U3" s="33" t="s">
        <v>59</v>
      </c>
      <c r="V3" s="33" t="s">
        <v>60</v>
      </c>
      <c r="W3" s="33" t="s">
        <v>61</v>
      </c>
      <c r="X3" s="33" t="s">
        <v>62</v>
      </c>
      <c r="Y3" s="2" t="s">
        <v>63</v>
      </c>
      <c r="Z3" s="34" t="s">
        <v>64</v>
      </c>
      <c r="AA3" s="34" t="s">
        <v>65</v>
      </c>
      <c r="AB3" s="34" t="s">
        <v>66</v>
      </c>
      <c r="AC3" s="34" t="s">
        <v>67</v>
      </c>
      <c r="AD3" s="34" t="s">
        <v>68</v>
      </c>
      <c r="AM3" s="2">
        <v>2020</v>
      </c>
      <c r="AN3" s="2">
        <f t="shared" ref="AN3:AQ3" si="0">AM3+1</f>
        <v>2021</v>
      </c>
      <c r="AO3" s="2">
        <f t="shared" si="0"/>
        <v>2022</v>
      </c>
      <c r="AP3" s="2">
        <f t="shared" si="0"/>
        <v>2023</v>
      </c>
      <c r="AQ3" s="2">
        <f t="shared" si="0"/>
        <v>2024</v>
      </c>
      <c r="AR3" s="34">
        <f t="shared" ref="AR3:CY3" si="1">AQ3+1</f>
        <v>2025</v>
      </c>
      <c r="AS3" s="34">
        <f t="shared" si="1"/>
        <v>2026</v>
      </c>
      <c r="AT3" s="34">
        <f t="shared" si="1"/>
        <v>2027</v>
      </c>
      <c r="AU3" s="34">
        <f t="shared" si="1"/>
        <v>2028</v>
      </c>
      <c r="AV3" s="34">
        <f t="shared" si="1"/>
        <v>2029</v>
      </c>
      <c r="AW3" s="34">
        <f t="shared" si="1"/>
        <v>2030</v>
      </c>
      <c r="AX3" s="34">
        <f t="shared" si="1"/>
        <v>2031</v>
      </c>
      <c r="AY3" s="34">
        <f t="shared" si="1"/>
        <v>2032</v>
      </c>
      <c r="AZ3" s="34">
        <f t="shared" si="1"/>
        <v>2033</v>
      </c>
      <c r="BA3" s="34">
        <f t="shared" si="1"/>
        <v>2034</v>
      </c>
      <c r="BB3" s="34">
        <f t="shared" si="1"/>
        <v>2035</v>
      </c>
      <c r="BC3" s="34">
        <f t="shared" si="1"/>
        <v>2036</v>
      </c>
      <c r="BD3" s="34">
        <f t="shared" si="1"/>
        <v>2037</v>
      </c>
      <c r="BE3" s="34">
        <f t="shared" si="1"/>
        <v>2038</v>
      </c>
      <c r="BF3" s="34">
        <f t="shared" si="1"/>
        <v>2039</v>
      </c>
      <c r="BG3" s="34">
        <f t="shared" si="1"/>
        <v>2040</v>
      </c>
      <c r="BH3" s="34">
        <f t="shared" si="1"/>
        <v>2041</v>
      </c>
      <c r="BI3" s="34">
        <f t="shared" si="1"/>
        <v>2042</v>
      </c>
      <c r="BJ3" s="34">
        <f t="shared" si="1"/>
        <v>2043</v>
      </c>
      <c r="BK3" s="34">
        <f t="shared" si="1"/>
        <v>2044</v>
      </c>
      <c r="BL3" s="34">
        <f t="shared" si="1"/>
        <v>2045</v>
      </c>
      <c r="BM3" s="34">
        <f t="shared" si="1"/>
        <v>2046</v>
      </c>
      <c r="BN3" s="34">
        <f t="shared" si="1"/>
        <v>2047</v>
      </c>
      <c r="BO3" s="34">
        <f t="shared" si="1"/>
        <v>2048</v>
      </c>
      <c r="BP3" s="34">
        <f t="shared" si="1"/>
        <v>2049</v>
      </c>
      <c r="BQ3" s="34">
        <f t="shared" si="1"/>
        <v>2050</v>
      </c>
      <c r="BR3" s="34">
        <f t="shared" si="1"/>
        <v>2051</v>
      </c>
      <c r="BS3" s="34">
        <f t="shared" si="1"/>
        <v>2052</v>
      </c>
      <c r="BT3" s="34">
        <f t="shared" si="1"/>
        <v>2053</v>
      </c>
      <c r="BU3" s="34">
        <f t="shared" si="1"/>
        <v>2054</v>
      </c>
      <c r="BV3" s="34">
        <f t="shared" si="1"/>
        <v>2055</v>
      </c>
      <c r="BW3" s="34">
        <f t="shared" si="1"/>
        <v>2056</v>
      </c>
      <c r="BX3" s="34">
        <f t="shared" si="1"/>
        <v>2057</v>
      </c>
      <c r="BY3" s="34">
        <f t="shared" si="1"/>
        <v>2058</v>
      </c>
      <c r="BZ3" s="34">
        <f t="shared" si="1"/>
        <v>2059</v>
      </c>
      <c r="CA3" s="34">
        <f t="shared" si="1"/>
        <v>2060</v>
      </c>
      <c r="CB3" s="34">
        <f t="shared" si="1"/>
        <v>2061</v>
      </c>
      <c r="CC3" s="34">
        <f t="shared" si="1"/>
        <v>2062</v>
      </c>
      <c r="CD3" s="34">
        <f t="shared" si="1"/>
        <v>2063</v>
      </c>
      <c r="CE3" s="34">
        <f t="shared" si="1"/>
        <v>2064</v>
      </c>
      <c r="CF3" s="34">
        <f t="shared" si="1"/>
        <v>2065</v>
      </c>
      <c r="CG3" s="34">
        <f t="shared" si="1"/>
        <v>2066</v>
      </c>
      <c r="CH3" s="34">
        <f t="shared" si="1"/>
        <v>2067</v>
      </c>
      <c r="CI3" s="34">
        <f t="shared" si="1"/>
        <v>2068</v>
      </c>
      <c r="CJ3" s="34">
        <f t="shared" si="1"/>
        <v>2069</v>
      </c>
      <c r="CK3" s="34">
        <f t="shared" si="1"/>
        <v>2070</v>
      </c>
      <c r="CL3" s="34">
        <f t="shared" si="1"/>
        <v>2071</v>
      </c>
      <c r="CM3" s="34">
        <f t="shared" si="1"/>
        <v>2072</v>
      </c>
      <c r="CN3" s="34">
        <f t="shared" si="1"/>
        <v>2073</v>
      </c>
      <c r="CO3" s="34">
        <f t="shared" si="1"/>
        <v>2074</v>
      </c>
      <c r="CP3" s="34">
        <f t="shared" si="1"/>
        <v>2075</v>
      </c>
      <c r="CQ3" s="34">
        <f t="shared" si="1"/>
        <v>2076</v>
      </c>
      <c r="CR3" s="34">
        <f t="shared" si="1"/>
        <v>2077</v>
      </c>
      <c r="CS3" s="34">
        <f t="shared" si="1"/>
        <v>2078</v>
      </c>
      <c r="CT3" s="34">
        <f t="shared" si="1"/>
        <v>2079</v>
      </c>
      <c r="CU3" s="34">
        <f t="shared" si="1"/>
        <v>2080</v>
      </c>
      <c r="CV3" s="34">
        <f t="shared" si="1"/>
        <v>2081</v>
      </c>
      <c r="CW3" s="34">
        <f t="shared" si="1"/>
        <v>2082</v>
      </c>
      <c r="CX3" s="34">
        <f t="shared" si="1"/>
        <v>2083</v>
      </c>
      <c r="CY3" s="34">
        <f t="shared" si="1"/>
        <v>2084</v>
      </c>
      <c r="CZ3" s="2"/>
      <c r="DA3" s="2"/>
      <c r="DB3" s="2"/>
    </row>
    <row r="4" spans="2:106">
      <c r="B4" s="36" t="s">
        <v>1444</v>
      </c>
      <c r="C4" s="48">
        <v>100.44799999999999</v>
      </c>
      <c r="D4" s="48">
        <v>111.34</v>
      </c>
      <c r="E4" s="48">
        <v>121.429</v>
      </c>
      <c r="F4" s="48">
        <f>455.865-SUM(C4:E4)</f>
        <v>122.64800000000002</v>
      </c>
      <c r="G4" s="48">
        <v>124.926</v>
      </c>
      <c r="H4" s="48">
        <v>141.839</v>
      </c>
      <c r="I4" s="48">
        <v>166.911</v>
      </c>
      <c r="J4" s="48">
        <f>612.401-SUM(G4:I4)</f>
        <v>178.72499999999997</v>
      </c>
      <c r="K4" s="48">
        <v>188.82499999999999</v>
      </c>
      <c r="L4" s="48">
        <v>211.23699999999999</v>
      </c>
      <c r="M4" s="48">
        <v>207.774</v>
      </c>
      <c r="N4" s="48">
        <f>843.769-SUM(K4:M4)</f>
        <v>235.93299999999999</v>
      </c>
      <c r="O4" s="48">
        <v>231.495</v>
      </c>
      <c r="P4" s="48">
        <v>238.988</v>
      </c>
      <c r="Q4" s="48">
        <v>240.21</v>
      </c>
      <c r="R4" s="48">
        <f>944.52-SUM(O4:Q4)</f>
        <v>233.827</v>
      </c>
      <c r="S4" s="48">
        <v>225.548</v>
      </c>
      <c r="T4" s="48">
        <v>238.827</v>
      </c>
      <c r="U4" s="48">
        <v>248.78800000000001</v>
      </c>
      <c r="V4" s="48">
        <f>967.169-SUM(S4:U4)</f>
        <v>254.00599999999997</v>
      </c>
      <c r="W4" s="48">
        <v>236.53800000000001</v>
      </c>
      <c r="X4" s="48">
        <v>231.27199999999999</v>
      </c>
      <c r="Y4" s="48">
        <v>238.54499999999999</v>
      </c>
      <c r="Z4" s="49">
        <v>240</v>
      </c>
      <c r="AA4" s="49">
        <v>255</v>
      </c>
      <c r="AB4" s="49">
        <v>260</v>
      </c>
      <c r="AC4" s="49">
        <v>270</v>
      </c>
      <c r="AD4" s="49">
        <v>275</v>
      </c>
      <c r="AM4" s="48">
        <f t="shared" ref="AM4:AM5" si="2">SUM(C4:F4)</f>
        <v>455.86500000000001</v>
      </c>
      <c r="AN4" s="48">
        <f t="shared" ref="AN4:AN5" si="3">SUM(G4:J4)</f>
        <v>612.40099999999995</v>
      </c>
      <c r="AO4" s="48">
        <f t="shared" ref="AO4:AO5" si="4">SUM(K4:N4)</f>
        <v>843.76900000000001</v>
      </c>
      <c r="AP4" s="48">
        <f t="shared" ref="AP4:AP5" si="5">SUM(O4:R4)</f>
        <v>944.52</v>
      </c>
      <c r="AQ4" s="48">
        <f t="shared" ref="AQ4:AQ5" si="6">SUM(S4:V4)</f>
        <v>967.16899999999998</v>
      </c>
      <c r="AR4" s="49">
        <f t="shared" ref="AR4:BA4" si="7">AQ4*(1+AR14)</f>
        <v>1010.6916049999999</v>
      </c>
      <c r="AS4" s="49">
        <f t="shared" si="7"/>
        <v>909.62244449999992</v>
      </c>
      <c r="AT4" s="49">
        <f t="shared" si="7"/>
        <v>955.10356672499995</v>
      </c>
      <c r="AU4" s="49">
        <f t="shared" si="7"/>
        <v>993.30770939399997</v>
      </c>
      <c r="AV4" s="49">
        <f t="shared" si="7"/>
        <v>1028.07347922279</v>
      </c>
      <c r="AW4" s="49">
        <f t="shared" si="7"/>
        <v>1058.9156835994736</v>
      </c>
      <c r="AX4" s="49">
        <f t="shared" si="7"/>
        <v>1085.3885756894604</v>
      </c>
      <c r="AY4" s="49">
        <f t="shared" si="7"/>
        <v>1107.0963472032497</v>
      </c>
      <c r="AZ4" s="49">
        <f t="shared" si="7"/>
        <v>1123.7027924112983</v>
      </c>
      <c r="BA4" s="49">
        <f t="shared" si="7"/>
        <v>1134.9398203354112</v>
      </c>
    </row>
    <row r="5" spans="2:106">
      <c r="B5" s="36" t="s">
        <v>1445</v>
      </c>
      <c r="C5" s="48">
        <v>0</v>
      </c>
      <c r="D5" s="48">
        <v>0</v>
      </c>
      <c r="E5" s="48">
        <v>0</v>
      </c>
      <c r="F5" s="48">
        <v>0</v>
      </c>
      <c r="G5" s="48">
        <v>0</v>
      </c>
      <c r="H5" s="48">
        <v>0</v>
      </c>
      <c r="I5" s="48">
        <v>0</v>
      </c>
      <c r="J5" s="48">
        <v>0</v>
      </c>
      <c r="K5" s="48">
        <v>0</v>
      </c>
      <c r="L5" s="48">
        <v>0</v>
      </c>
      <c r="M5" s="48">
        <v>0</v>
      </c>
      <c r="N5" s="48">
        <v>0</v>
      </c>
      <c r="O5" s="48">
        <v>0</v>
      </c>
      <c r="P5" s="48">
        <v>0</v>
      </c>
      <c r="Q5" s="48">
        <v>69.108000000000004</v>
      </c>
      <c r="R5" s="48">
        <f>200.356-SUM(O5:Q5)</f>
        <v>131.24799999999999</v>
      </c>
      <c r="S5" s="48">
        <v>133.93600000000001</v>
      </c>
      <c r="T5" s="48">
        <v>121.72</v>
      </c>
      <c r="U5" s="48">
        <v>180.983</v>
      </c>
      <c r="V5" s="48">
        <f>820.791-SUM(S5:U5)</f>
        <v>384.15200000000004</v>
      </c>
      <c r="W5" s="48">
        <v>374.89499999999998</v>
      </c>
      <c r="X5" s="48">
        <v>281.851</v>
      </c>
      <c r="Y5" s="48">
        <v>131.49</v>
      </c>
      <c r="Z5" s="49">
        <v>160</v>
      </c>
      <c r="AA5" s="49">
        <v>175</v>
      </c>
      <c r="AB5" s="49">
        <v>170</v>
      </c>
      <c r="AC5" s="49">
        <v>160</v>
      </c>
      <c r="AD5" s="49">
        <v>150</v>
      </c>
      <c r="AM5" s="48">
        <f t="shared" si="2"/>
        <v>0</v>
      </c>
      <c r="AN5" s="48">
        <f t="shared" si="3"/>
        <v>0</v>
      </c>
      <c r="AO5" s="48">
        <f t="shared" si="4"/>
        <v>0</v>
      </c>
      <c r="AP5" s="48">
        <f t="shared" si="5"/>
        <v>200.35599999999999</v>
      </c>
      <c r="AQ5" s="48">
        <f t="shared" si="6"/>
        <v>820.79100000000005</v>
      </c>
      <c r="AR5" s="49">
        <f t="shared" ref="AR5:BA5" si="8">AQ5*(1+AR15)</f>
        <v>878.24637000000007</v>
      </c>
      <c r="AS5" s="49">
        <f t="shared" si="8"/>
        <v>601.59876345000009</v>
      </c>
      <c r="AT5" s="49">
        <f t="shared" si="8"/>
        <v>421.11913441500002</v>
      </c>
      <c r="AU5" s="49">
        <f t="shared" si="8"/>
        <v>357.95126425274998</v>
      </c>
      <c r="AV5" s="49">
        <f t="shared" si="8"/>
        <v>322.15613782747499</v>
      </c>
      <c r="AW5" s="49">
        <f t="shared" si="8"/>
        <v>289.94052404472751</v>
      </c>
      <c r="AX5" s="49">
        <f t="shared" si="8"/>
        <v>260.94647164025474</v>
      </c>
      <c r="AY5" s="49">
        <f t="shared" si="8"/>
        <v>247.89914805824199</v>
      </c>
      <c r="AZ5" s="49">
        <f t="shared" si="8"/>
        <v>235.50419065532989</v>
      </c>
      <c r="BA5" s="49">
        <f t="shared" si="8"/>
        <v>223.7289811225634</v>
      </c>
    </row>
    <row r="6" spans="2:106" s="2" customFormat="1" ht="15">
      <c r="B6" s="33" t="s">
        <v>1631</v>
      </c>
      <c r="C6" s="46">
        <f t="shared" ref="C6:V6" si="9">SUM(C4:C5)</f>
        <v>100.44799999999999</v>
      </c>
      <c r="D6" s="46">
        <f t="shared" si="9"/>
        <v>111.34</v>
      </c>
      <c r="E6" s="46">
        <f t="shared" si="9"/>
        <v>121.429</v>
      </c>
      <c r="F6" s="46">
        <f t="shared" si="9"/>
        <v>122.64800000000002</v>
      </c>
      <c r="G6" s="46">
        <f t="shared" si="9"/>
        <v>124.926</v>
      </c>
      <c r="H6" s="46">
        <f t="shared" si="9"/>
        <v>141.839</v>
      </c>
      <c r="I6" s="46">
        <f t="shared" si="9"/>
        <v>166.911</v>
      </c>
      <c r="J6" s="46">
        <f t="shared" si="9"/>
        <v>178.72499999999997</v>
      </c>
      <c r="K6" s="46">
        <f t="shared" si="9"/>
        <v>188.82499999999999</v>
      </c>
      <c r="L6" s="46">
        <f t="shared" si="9"/>
        <v>211.23699999999999</v>
      </c>
      <c r="M6" s="46">
        <f t="shared" si="9"/>
        <v>207.774</v>
      </c>
      <c r="N6" s="46">
        <f t="shared" si="9"/>
        <v>235.93299999999999</v>
      </c>
      <c r="O6" s="46">
        <f t="shared" si="9"/>
        <v>231.495</v>
      </c>
      <c r="P6" s="46">
        <f t="shared" si="9"/>
        <v>238.988</v>
      </c>
      <c r="Q6" s="46">
        <f t="shared" si="9"/>
        <v>309.31799999999998</v>
      </c>
      <c r="R6" s="46">
        <f t="shared" si="9"/>
        <v>365.07499999999999</v>
      </c>
      <c r="S6" s="46">
        <f t="shared" si="9"/>
        <v>359.48400000000004</v>
      </c>
      <c r="T6" s="46">
        <f t="shared" si="9"/>
        <v>360.54700000000003</v>
      </c>
      <c r="U6" s="46">
        <f t="shared" si="9"/>
        <v>429.77100000000002</v>
      </c>
      <c r="V6" s="46">
        <f t="shared" si="9"/>
        <v>638.15800000000002</v>
      </c>
      <c r="W6" s="46">
        <f>SUM(W4:W5)</f>
        <v>611.43299999999999</v>
      </c>
      <c r="X6" s="46">
        <f>SUM(X4:X5)</f>
        <v>513.12300000000005</v>
      </c>
      <c r="Y6" s="46">
        <f>SUM(Y4:Y5)</f>
        <v>370.03499999999997</v>
      </c>
      <c r="Z6" s="47">
        <f>SUM(Z4:Z5)</f>
        <v>400</v>
      </c>
      <c r="AA6" s="47">
        <f t="shared" ref="AA6:AD6" si="10">SUM(AA4:AA5)</f>
        <v>430</v>
      </c>
      <c r="AB6" s="47">
        <f t="shared" si="10"/>
        <v>430</v>
      </c>
      <c r="AC6" s="47">
        <f t="shared" si="10"/>
        <v>430</v>
      </c>
      <c r="AD6" s="47">
        <f t="shared" si="10"/>
        <v>425</v>
      </c>
      <c r="AM6" s="46">
        <f>SUM(C6:F6)</f>
        <v>455.86500000000001</v>
      </c>
      <c r="AN6" s="46">
        <f>SUM(G6:J6)</f>
        <v>612.40099999999995</v>
      </c>
      <c r="AO6" s="46">
        <f>SUM(K6:N6)</f>
        <v>843.76900000000001</v>
      </c>
      <c r="AP6" s="46">
        <f>SUM(O6:R6)</f>
        <v>1144.876</v>
      </c>
      <c r="AQ6" s="46">
        <f>SUM(S6:V6)</f>
        <v>1787.96</v>
      </c>
      <c r="AR6" s="47">
        <f>SUM(AR4:AR5)</f>
        <v>1888.9379749999998</v>
      </c>
      <c r="AS6" s="47">
        <f t="shared" ref="AS6:BA6" si="11">SUM(AS4:AS5)</f>
        <v>1511.22120795</v>
      </c>
      <c r="AT6" s="47">
        <f t="shared" si="11"/>
        <v>1376.22270114</v>
      </c>
      <c r="AU6" s="47">
        <f t="shared" si="11"/>
        <v>1351.2589736467498</v>
      </c>
      <c r="AV6" s="47">
        <f t="shared" si="11"/>
        <v>1350.229617050265</v>
      </c>
      <c r="AW6" s="47">
        <f t="shared" si="11"/>
        <v>1348.856207644201</v>
      </c>
      <c r="AX6" s="47">
        <f t="shared" si="11"/>
        <v>1346.3350473297151</v>
      </c>
      <c r="AY6" s="47">
        <f t="shared" si="11"/>
        <v>1354.9954952614917</v>
      </c>
      <c r="AZ6" s="47">
        <f t="shared" si="11"/>
        <v>1359.2069830666283</v>
      </c>
      <c r="BA6" s="47">
        <f t="shared" si="11"/>
        <v>1358.6688014579747</v>
      </c>
      <c r="BB6" s="34"/>
      <c r="BC6" s="34"/>
      <c r="BD6" s="34"/>
      <c r="BE6" s="34"/>
      <c r="BF6" s="34"/>
      <c r="BG6" s="34"/>
      <c r="BH6" s="34"/>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c r="CI6" s="34"/>
      <c r="CJ6" s="34"/>
      <c r="CK6" s="34"/>
      <c r="CL6" s="34"/>
      <c r="CM6" s="34"/>
      <c r="CN6" s="34"/>
      <c r="CO6" s="34"/>
      <c r="CP6" s="34"/>
      <c r="CQ6" s="34"/>
      <c r="CR6" s="34"/>
      <c r="CS6" s="34"/>
      <c r="CT6" s="34"/>
      <c r="CU6" s="58"/>
      <c r="CV6" s="58"/>
      <c r="CW6" s="58"/>
      <c r="CX6" s="58"/>
      <c r="CY6" s="58"/>
      <c r="CZ6" s="58"/>
    </row>
    <row r="7" spans="2:106">
      <c r="B7" s="36" t="s">
        <v>1632</v>
      </c>
      <c r="C7" s="48">
        <v>0</v>
      </c>
      <c r="D7" s="48">
        <v>0</v>
      </c>
      <c r="E7" s="48">
        <v>0</v>
      </c>
      <c r="F7" s="48">
        <v>0</v>
      </c>
      <c r="G7" s="48">
        <v>0</v>
      </c>
      <c r="H7" s="48">
        <v>0</v>
      </c>
      <c r="I7" s="48">
        <v>0</v>
      </c>
      <c r="J7" s="48">
        <v>0</v>
      </c>
      <c r="K7" s="48">
        <v>0</v>
      </c>
      <c r="L7" s="48">
        <v>0</v>
      </c>
      <c r="M7" s="48">
        <v>0</v>
      </c>
      <c r="N7" s="48">
        <v>0</v>
      </c>
      <c r="O7" s="48">
        <v>0</v>
      </c>
      <c r="P7" s="48">
        <v>0</v>
      </c>
      <c r="Q7" s="48">
        <v>0</v>
      </c>
      <c r="R7" s="48">
        <v>0</v>
      </c>
      <c r="S7" s="48">
        <v>48</v>
      </c>
      <c r="T7" s="48">
        <v>0</v>
      </c>
      <c r="U7" s="48">
        <v>0</v>
      </c>
      <c r="V7" s="48">
        <f>48-SUM(S7:U7)</f>
        <v>0</v>
      </c>
      <c r="W7" s="48">
        <v>112</v>
      </c>
      <c r="X7" s="48">
        <v>63.5</v>
      </c>
      <c r="Y7" s="48">
        <v>0</v>
      </c>
      <c r="Z7" s="49"/>
      <c r="AM7" s="48">
        <f t="shared" ref="AM7:AM10" si="12">SUM(C7:F7)</f>
        <v>0</v>
      </c>
      <c r="AN7" s="48">
        <f t="shared" ref="AN7:AN10" si="13">SUM(G7:J7)</f>
        <v>0</v>
      </c>
      <c r="AO7" s="48">
        <f t="shared" ref="AO7:AO12" si="14">SUM(K7:N7)</f>
        <v>0</v>
      </c>
      <c r="AP7" s="48">
        <f t="shared" ref="AP7:AP12" si="15">SUM(O7:R7)</f>
        <v>0</v>
      </c>
      <c r="AQ7" s="48">
        <f t="shared" ref="AQ7:AQ12" si="16">SUM(S7:V7)</f>
        <v>48</v>
      </c>
      <c r="CU7" s="57"/>
      <c r="CV7" s="57"/>
      <c r="CW7" s="57"/>
      <c r="CX7" s="57"/>
      <c r="CY7" s="57"/>
      <c r="CZ7" s="57"/>
    </row>
    <row r="8" spans="2:106">
      <c r="B8" s="36" t="s">
        <v>1633</v>
      </c>
      <c r="C8" s="48">
        <v>0</v>
      </c>
      <c r="D8" s="48">
        <v>0</v>
      </c>
      <c r="E8" s="48">
        <v>0</v>
      </c>
      <c r="F8" s="48">
        <v>0</v>
      </c>
      <c r="G8" s="48">
        <v>0</v>
      </c>
      <c r="H8" s="48">
        <v>0</v>
      </c>
      <c r="I8" s="48">
        <v>0</v>
      </c>
      <c r="J8" s="48">
        <v>0</v>
      </c>
      <c r="K8" s="48">
        <v>0</v>
      </c>
      <c r="L8" s="48">
        <v>0</v>
      </c>
      <c r="M8" s="48">
        <v>0</v>
      </c>
      <c r="N8" s="48">
        <v>0</v>
      </c>
      <c r="O8" s="48">
        <v>0</v>
      </c>
      <c r="P8" s="48">
        <v>0</v>
      </c>
      <c r="Q8" s="48">
        <v>0</v>
      </c>
      <c r="R8" s="48">
        <f>9.216-SUM(O8:Q8)</f>
        <v>9.2159999999999993</v>
      </c>
      <c r="S8" s="48">
        <v>5.8</v>
      </c>
      <c r="T8" s="48">
        <v>2.38</v>
      </c>
      <c r="U8" s="48">
        <v>27.89</v>
      </c>
      <c r="V8" s="48">
        <f>49.038-SUM(S8:U8)</f>
        <v>12.967999999999996</v>
      </c>
      <c r="W8" s="48">
        <v>17.379000000000001</v>
      </c>
      <c r="X8" s="48">
        <v>27.02</v>
      </c>
      <c r="Y8" s="48">
        <v>18.7</v>
      </c>
      <c r="Z8" s="49"/>
      <c r="AM8" s="48">
        <f t="shared" si="12"/>
        <v>0</v>
      </c>
      <c r="AN8" s="48">
        <f t="shared" si="13"/>
        <v>0</v>
      </c>
      <c r="AO8" s="48">
        <f t="shared" si="14"/>
        <v>0</v>
      </c>
      <c r="AP8" s="48">
        <f t="shared" si="15"/>
        <v>9.2159999999999993</v>
      </c>
      <c r="AQ8" s="48">
        <f t="shared" si="16"/>
        <v>49.037999999999997</v>
      </c>
      <c r="CU8" s="57"/>
      <c r="CV8" s="57"/>
      <c r="CW8" s="57"/>
      <c r="CX8" s="57"/>
      <c r="CY8" s="57"/>
      <c r="CZ8" s="57"/>
    </row>
    <row r="9" spans="2:106">
      <c r="B9" s="36" t="s">
        <v>1634</v>
      </c>
      <c r="C9" s="48">
        <v>0</v>
      </c>
      <c r="D9" s="48">
        <v>0</v>
      </c>
      <c r="E9" s="48">
        <v>0</v>
      </c>
      <c r="F9" s="48">
        <v>0</v>
      </c>
      <c r="G9" s="48">
        <v>0</v>
      </c>
      <c r="H9" s="48">
        <v>0</v>
      </c>
      <c r="I9" s="48">
        <v>0</v>
      </c>
      <c r="J9" s="48">
        <v>0</v>
      </c>
      <c r="K9" s="48">
        <v>0</v>
      </c>
      <c r="L9" s="48">
        <v>0</v>
      </c>
      <c r="M9" s="48">
        <v>0</v>
      </c>
      <c r="N9" s="48">
        <v>0</v>
      </c>
      <c r="O9" s="48">
        <v>0</v>
      </c>
      <c r="P9" s="48">
        <v>0</v>
      </c>
      <c r="Q9" s="48">
        <v>0</v>
      </c>
      <c r="R9" s="48">
        <v>0</v>
      </c>
      <c r="S9" s="48">
        <v>0.17299999999999999</v>
      </c>
      <c r="T9" s="48">
        <v>0</v>
      </c>
      <c r="U9" s="48">
        <v>9.51</v>
      </c>
      <c r="V9" s="48">
        <f>16.981-SUM(S9:U9)</f>
        <v>7.2980000000000018</v>
      </c>
      <c r="W9" s="48">
        <v>4.05</v>
      </c>
      <c r="X9" s="48">
        <v>7.4450000000000003</v>
      </c>
      <c r="Y9" s="48">
        <v>10.608000000000001</v>
      </c>
      <c r="AM9" s="48">
        <f t="shared" si="12"/>
        <v>0</v>
      </c>
      <c r="AN9" s="48">
        <f t="shared" si="13"/>
        <v>0</v>
      </c>
      <c r="AO9" s="48">
        <f t="shared" si="14"/>
        <v>0</v>
      </c>
      <c r="AP9" s="48">
        <f t="shared" si="15"/>
        <v>0</v>
      </c>
      <c r="AQ9" s="48">
        <f t="shared" si="16"/>
        <v>16.981000000000002</v>
      </c>
      <c r="CU9" s="57"/>
      <c r="CV9" s="57"/>
      <c r="CW9" s="57"/>
      <c r="CX9" s="57"/>
      <c r="CY9" s="57"/>
      <c r="CZ9" s="57"/>
    </row>
    <row r="10" spans="2:106">
      <c r="B10" s="36" t="s">
        <v>1640</v>
      </c>
      <c r="C10" s="48">
        <v>13.226000000000001</v>
      </c>
      <c r="D10" s="48">
        <v>26.018999999999998</v>
      </c>
      <c r="E10" s="48">
        <v>22.495000000000001</v>
      </c>
      <c r="F10" s="48">
        <f>84.234-SUM(C10:E10)</f>
        <v>22.494</v>
      </c>
      <c r="G10" s="48">
        <v>22.004999999999999</v>
      </c>
      <c r="H10" s="48">
        <v>22.25</v>
      </c>
      <c r="I10" s="48">
        <v>22.459</v>
      </c>
      <c r="J10" s="48">
        <f>89.444-SUM(G10:I10)</f>
        <v>22.730000000000004</v>
      </c>
      <c r="K10" s="48">
        <v>22.004999999999999</v>
      </c>
      <c r="L10" s="48">
        <v>22.3</v>
      </c>
      <c r="M10" s="48">
        <v>22.5</v>
      </c>
      <c r="N10" s="48">
        <f>89.244-SUM(K10:M10)</f>
        <v>22.438999999999993</v>
      </c>
      <c r="O10" s="48">
        <v>22</v>
      </c>
      <c r="P10" s="48">
        <v>22.25</v>
      </c>
      <c r="Q10" s="48">
        <v>22.49</v>
      </c>
      <c r="R10" s="48">
        <f>89.244-SUM(O10:Q10)</f>
        <v>22.504000000000005</v>
      </c>
      <c r="S10" s="48">
        <v>0</v>
      </c>
      <c r="T10" s="48">
        <v>0</v>
      </c>
      <c r="U10" s="48">
        <v>0</v>
      </c>
      <c r="V10" s="48">
        <f>0-SUM(S10:U10)</f>
        <v>0</v>
      </c>
      <c r="W10" s="48">
        <v>0</v>
      </c>
      <c r="X10" s="48">
        <v>0</v>
      </c>
      <c r="Y10" s="48">
        <v>0</v>
      </c>
      <c r="AM10" s="48">
        <f t="shared" si="12"/>
        <v>84.233999999999995</v>
      </c>
      <c r="AN10" s="48">
        <f t="shared" si="13"/>
        <v>89.444000000000003</v>
      </c>
      <c r="AO10" s="48">
        <f t="shared" si="14"/>
        <v>89.244</v>
      </c>
      <c r="AP10" s="48">
        <f t="shared" si="15"/>
        <v>89.244</v>
      </c>
      <c r="AQ10" s="48">
        <f t="shared" si="16"/>
        <v>0</v>
      </c>
      <c r="CU10" s="57"/>
      <c r="CV10" s="57"/>
      <c r="CW10" s="57"/>
      <c r="CX10" s="57"/>
      <c r="CY10" s="57"/>
      <c r="CZ10" s="57"/>
    </row>
    <row r="11" spans="2:106" s="2" customFormat="1" ht="15">
      <c r="B11" s="2" t="s">
        <v>1635</v>
      </c>
      <c r="C11" s="46">
        <f t="shared" ref="C11:V11" si="17">SUM(C7:C10)</f>
        <v>13.226000000000001</v>
      </c>
      <c r="D11" s="46">
        <f t="shared" si="17"/>
        <v>26.018999999999998</v>
      </c>
      <c r="E11" s="46">
        <f t="shared" si="17"/>
        <v>22.495000000000001</v>
      </c>
      <c r="F11" s="46">
        <f t="shared" si="17"/>
        <v>22.494</v>
      </c>
      <c r="G11" s="46">
        <f>SUM(G7:G10)</f>
        <v>22.004999999999999</v>
      </c>
      <c r="H11" s="46">
        <f t="shared" si="17"/>
        <v>22.25</v>
      </c>
      <c r="I11" s="46">
        <f t="shared" si="17"/>
        <v>22.459</v>
      </c>
      <c r="J11" s="46">
        <f t="shared" si="17"/>
        <v>22.730000000000004</v>
      </c>
      <c r="K11" s="46">
        <f t="shared" si="17"/>
        <v>22.004999999999999</v>
      </c>
      <c r="L11" s="46">
        <f t="shared" si="17"/>
        <v>22.3</v>
      </c>
      <c r="M11" s="46">
        <f t="shared" si="17"/>
        <v>22.5</v>
      </c>
      <c r="N11" s="46">
        <f t="shared" si="17"/>
        <v>22.438999999999993</v>
      </c>
      <c r="O11" s="46">
        <f t="shared" si="17"/>
        <v>22</v>
      </c>
      <c r="P11" s="46">
        <f t="shared" si="17"/>
        <v>22.25</v>
      </c>
      <c r="Q11" s="46">
        <f t="shared" si="17"/>
        <v>22.49</v>
      </c>
      <c r="R11" s="46">
        <f t="shared" si="17"/>
        <v>31.720000000000006</v>
      </c>
      <c r="S11" s="46">
        <f t="shared" si="17"/>
        <v>53.972999999999999</v>
      </c>
      <c r="T11" s="46">
        <f t="shared" si="17"/>
        <v>2.38</v>
      </c>
      <c r="U11" s="46">
        <f t="shared" si="17"/>
        <v>37.4</v>
      </c>
      <c r="V11" s="46">
        <f t="shared" si="17"/>
        <v>20.265999999999998</v>
      </c>
      <c r="W11" s="46">
        <f>SUM(W7:W10)</f>
        <v>133.429</v>
      </c>
      <c r="X11" s="46">
        <f>SUM(X7:X10)</f>
        <v>97.965000000000003</v>
      </c>
      <c r="Y11" s="46">
        <f>SUM(Y7:Y10)</f>
        <v>29.308</v>
      </c>
      <c r="Z11" s="47"/>
      <c r="AA11" s="47"/>
      <c r="AB11" s="47"/>
      <c r="AC11" s="47"/>
      <c r="AD11" s="47"/>
      <c r="AM11" s="46">
        <f>AM10</f>
        <v>84.233999999999995</v>
      </c>
      <c r="AN11" s="46">
        <f>AN10</f>
        <v>89.444000000000003</v>
      </c>
      <c r="AO11" s="46">
        <f t="shared" si="14"/>
        <v>89.244</v>
      </c>
      <c r="AP11" s="46">
        <f t="shared" si="15"/>
        <v>98.460000000000008</v>
      </c>
      <c r="AQ11" s="46">
        <f t="shared" si="16"/>
        <v>114.01900000000001</v>
      </c>
      <c r="AR11" s="47">
        <f>AQ11*(1+AR16)</f>
        <v>285.04750000000001</v>
      </c>
      <c r="AS11" s="47">
        <f t="shared" ref="AS11:BA11" si="18">AR11*(1+AS16)</f>
        <v>128.27137500000001</v>
      </c>
      <c r="AT11" s="47">
        <f t="shared" si="18"/>
        <v>121.85780625</v>
      </c>
      <c r="AU11" s="47">
        <f t="shared" si="18"/>
        <v>125.5135404375</v>
      </c>
      <c r="AV11" s="47">
        <f t="shared" si="18"/>
        <v>128.96516279953127</v>
      </c>
      <c r="AW11" s="47">
        <f t="shared" si="18"/>
        <v>132.18929186951954</v>
      </c>
      <c r="AX11" s="47">
        <f t="shared" si="18"/>
        <v>135.16355093658373</v>
      </c>
      <c r="AY11" s="47">
        <f t="shared" si="18"/>
        <v>137.19100420063248</v>
      </c>
      <c r="AZ11" s="47">
        <f t="shared" si="18"/>
        <v>138.56291424263881</v>
      </c>
      <c r="BA11" s="47">
        <f t="shared" si="18"/>
        <v>139.25572881385199</v>
      </c>
      <c r="BB11" s="34"/>
      <c r="BC11" s="34"/>
      <c r="BD11" s="34"/>
      <c r="BE11" s="34"/>
      <c r="BF11" s="34"/>
      <c r="BG11" s="34"/>
      <c r="BH11" s="34"/>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c r="CJ11" s="34"/>
      <c r="CK11" s="34"/>
      <c r="CL11" s="34"/>
      <c r="CM11" s="34"/>
      <c r="CN11" s="34"/>
      <c r="CO11" s="34"/>
      <c r="CP11" s="34"/>
      <c r="CQ11" s="34"/>
      <c r="CR11" s="34"/>
      <c r="CS11" s="34"/>
      <c r="CT11" s="34"/>
      <c r="CU11" s="58"/>
      <c r="CV11" s="58"/>
      <c r="CW11" s="58"/>
      <c r="CX11" s="58"/>
      <c r="CY11" s="58"/>
      <c r="CZ11" s="58"/>
    </row>
    <row r="12" spans="2:106" s="2" customFormat="1" ht="15">
      <c r="B12" s="2" t="s">
        <v>71</v>
      </c>
      <c r="C12" s="46">
        <f>C6+C11</f>
        <v>113.67399999999999</v>
      </c>
      <c r="D12" s="46">
        <f>D11+D6</f>
        <v>137.35900000000001</v>
      </c>
      <c r="E12" s="46">
        <f>E6+E11</f>
        <v>143.92400000000001</v>
      </c>
      <c r="F12" s="46">
        <f t="shared" ref="F12:X12" si="19">F6+F11</f>
        <v>145.14200000000002</v>
      </c>
      <c r="G12" s="46">
        <f t="shared" si="19"/>
        <v>146.93100000000001</v>
      </c>
      <c r="H12" s="46">
        <f t="shared" si="19"/>
        <v>164.089</v>
      </c>
      <c r="I12" s="46">
        <f t="shared" si="19"/>
        <v>189.37</v>
      </c>
      <c r="J12" s="46">
        <f t="shared" si="19"/>
        <v>201.45499999999998</v>
      </c>
      <c r="K12" s="46">
        <f t="shared" si="19"/>
        <v>210.82999999999998</v>
      </c>
      <c r="L12" s="46">
        <f t="shared" si="19"/>
        <v>233.53700000000001</v>
      </c>
      <c r="M12" s="46">
        <f t="shared" si="19"/>
        <v>230.274</v>
      </c>
      <c r="N12" s="46">
        <f t="shared" si="19"/>
        <v>258.37199999999996</v>
      </c>
      <c r="O12" s="46">
        <f t="shared" si="19"/>
        <v>253.495</v>
      </c>
      <c r="P12" s="46">
        <f t="shared" si="19"/>
        <v>261.238</v>
      </c>
      <c r="Q12" s="46">
        <f t="shared" si="19"/>
        <v>331.80799999999999</v>
      </c>
      <c r="R12" s="46">
        <f t="shared" si="19"/>
        <v>396.79500000000002</v>
      </c>
      <c r="S12" s="46">
        <f t="shared" si="19"/>
        <v>413.45700000000005</v>
      </c>
      <c r="T12" s="46">
        <f t="shared" si="19"/>
        <v>362.92700000000002</v>
      </c>
      <c r="U12" s="46">
        <f t="shared" si="19"/>
        <v>467.17099999999999</v>
      </c>
      <c r="V12" s="46">
        <f t="shared" si="19"/>
        <v>658.42399999999998</v>
      </c>
      <c r="W12" s="46">
        <f t="shared" si="19"/>
        <v>744.86199999999997</v>
      </c>
      <c r="X12" s="46">
        <f t="shared" si="19"/>
        <v>611.08800000000008</v>
      </c>
      <c r="Y12" s="46">
        <f>Y6+Y11</f>
        <v>399.34299999999996</v>
      </c>
      <c r="Z12" s="47">
        <f t="shared" ref="Z12:AD12" si="20">Z6+Z11</f>
        <v>400</v>
      </c>
      <c r="AA12" s="47">
        <f t="shared" si="20"/>
        <v>430</v>
      </c>
      <c r="AB12" s="47">
        <f t="shared" si="20"/>
        <v>430</v>
      </c>
      <c r="AC12" s="47">
        <f t="shared" si="20"/>
        <v>430</v>
      </c>
      <c r="AD12" s="47">
        <f t="shared" si="20"/>
        <v>425</v>
      </c>
      <c r="AM12" s="46">
        <f>AM6+AM11</f>
        <v>540.09900000000005</v>
      </c>
      <c r="AN12" s="46">
        <f>AN6+AN11</f>
        <v>701.84499999999991</v>
      </c>
      <c r="AO12" s="46">
        <f t="shared" si="14"/>
        <v>933.01299999999992</v>
      </c>
      <c r="AP12" s="46">
        <f t="shared" si="15"/>
        <v>1243.336</v>
      </c>
      <c r="AQ12" s="46">
        <f t="shared" si="16"/>
        <v>1901.979</v>
      </c>
      <c r="AR12" s="47">
        <f>AR6+AR11</f>
        <v>2173.985475</v>
      </c>
      <c r="AS12" s="47">
        <f t="shared" ref="AS12:BA12" si="21">AS6+AS11</f>
        <v>1639.49258295</v>
      </c>
      <c r="AT12" s="47">
        <f t="shared" si="21"/>
        <v>1498.0805073900001</v>
      </c>
      <c r="AU12" s="47">
        <f t="shared" si="21"/>
        <v>1476.7725140842499</v>
      </c>
      <c r="AV12" s="47">
        <f t="shared" si="21"/>
        <v>1479.1947798497963</v>
      </c>
      <c r="AW12" s="47">
        <f t="shared" si="21"/>
        <v>1481.0454995137206</v>
      </c>
      <c r="AX12" s="47">
        <f t="shared" si="21"/>
        <v>1481.4985982662988</v>
      </c>
      <c r="AY12" s="47">
        <f t="shared" si="21"/>
        <v>1492.1864994621242</v>
      </c>
      <c r="AZ12" s="47">
        <f t="shared" si="21"/>
        <v>1497.769897309267</v>
      </c>
      <c r="BA12" s="47">
        <f t="shared" si="21"/>
        <v>1497.9245302718268</v>
      </c>
      <c r="BB12" s="34"/>
      <c r="BC12" s="34"/>
      <c r="BD12" s="34"/>
      <c r="BE12" s="34"/>
      <c r="BF12" s="34"/>
      <c r="BG12" s="34"/>
      <c r="BH12" s="34"/>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c r="CJ12" s="34"/>
      <c r="CK12" s="34"/>
      <c r="CL12" s="34"/>
      <c r="CM12" s="34"/>
      <c r="CN12" s="34"/>
      <c r="CO12" s="34"/>
      <c r="CP12" s="34"/>
      <c r="CQ12" s="34"/>
      <c r="CR12" s="34"/>
      <c r="CS12" s="34"/>
      <c r="CT12" s="34"/>
      <c r="CU12" s="34"/>
      <c r="CV12" s="34"/>
      <c r="CW12" s="34"/>
      <c r="CX12" s="34"/>
      <c r="CY12" s="34"/>
    </row>
    <row r="14" spans="2:106">
      <c r="B14" s="37" t="s">
        <v>1470</v>
      </c>
      <c r="G14" s="56">
        <f t="shared" ref="G14:X15" si="22">G4/C4-1</f>
        <v>0.24368827652118519</v>
      </c>
      <c r="H14" s="56">
        <f t="shared" si="22"/>
        <v>0.27392671097539067</v>
      </c>
      <c r="I14" s="56">
        <f t="shared" si="22"/>
        <v>0.37455632509532322</v>
      </c>
      <c r="J14" s="56">
        <f t="shared" si="22"/>
        <v>0.45721903333115854</v>
      </c>
      <c r="K14" s="56">
        <f t="shared" si="22"/>
        <v>0.51149480492451516</v>
      </c>
      <c r="L14" s="56">
        <f t="shared" si="22"/>
        <v>0.48927304902036806</v>
      </c>
      <c r="M14" s="56">
        <f t="shared" si="22"/>
        <v>0.24481909520642731</v>
      </c>
      <c r="N14" s="56">
        <f t="shared" si="22"/>
        <v>0.32008952301021143</v>
      </c>
      <c r="O14" s="56">
        <f t="shared" si="22"/>
        <v>0.22597643320534888</v>
      </c>
      <c r="P14" s="56">
        <f t="shared" si="22"/>
        <v>0.13137376501275821</v>
      </c>
      <c r="Q14" s="56">
        <f t="shared" si="22"/>
        <v>0.15611192930780571</v>
      </c>
      <c r="R14" s="56">
        <f t="shared" si="22"/>
        <v>-8.9262629644856206E-3</v>
      </c>
      <c r="S14" s="56">
        <f t="shared" si="22"/>
        <v>-2.5689539730879729E-2</v>
      </c>
      <c r="T14" s="56">
        <f t="shared" si="22"/>
        <v>-6.7367399199957934E-4</v>
      </c>
      <c r="U14" s="56">
        <f t="shared" si="22"/>
        <v>3.5710420049123615E-2</v>
      </c>
      <c r="V14" s="56">
        <f t="shared" si="22"/>
        <v>8.6298844872491065E-2</v>
      </c>
      <c r="W14" s="56">
        <f t="shared" si="22"/>
        <v>4.8725770124319556E-2</v>
      </c>
      <c r="X14" s="56">
        <f t="shared" si="22"/>
        <v>-3.1633776750534914E-2</v>
      </c>
      <c r="Y14" s="56">
        <v>0.04</v>
      </c>
      <c r="Z14" s="59">
        <f t="shared" ref="Y14:AD14" si="23">Z4/V4-1</f>
        <v>-5.5140429753627762E-2</v>
      </c>
      <c r="AA14" s="59">
        <f t="shared" si="23"/>
        <v>7.8050884001724885E-2</v>
      </c>
      <c r="AB14" s="59">
        <f t="shared" si="23"/>
        <v>0.1242173717527415</v>
      </c>
      <c r="AC14" s="59">
        <f t="shared" si="23"/>
        <v>0.13186191284663273</v>
      </c>
      <c r="AD14" s="59">
        <f t="shared" si="23"/>
        <v>0.14583333333333326</v>
      </c>
      <c r="AN14" s="56">
        <f>AN4/AM4-1</f>
        <v>0.34338236100599939</v>
      </c>
      <c r="AO14" s="56">
        <f>AO4/AN4-1</f>
        <v>0.37780473905169987</v>
      </c>
      <c r="AP14" s="56">
        <f>AP4/AO4-1</f>
        <v>0.11940590374853777</v>
      </c>
      <c r="AQ14" s="56">
        <f>AQ4/AP4-1</f>
        <v>2.3979375767585687E-2</v>
      </c>
      <c r="AR14" s="59">
        <v>4.4999999999999998E-2</v>
      </c>
      <c r="AS14" s="59">
        <v>-0.1</v>
      </c>
      <c r="AT14" s="59">
        <v>0.05</v>
      </c>
      <c r="AU14" s="59">
        <v>0.04</v>
      </c>
      <c r="AV14" s="59">
        <v>3.5000000000000003E-2</v>
      </c>
      <c r="AW14" s="59">
        <v>0.03</v>
      </c>
      <c r="AX14" s="59">
        <v>2.5000000000000001E-2</v>
      </c>
      <c r="AY14" s="59">
        <v>0.02</v>
      </c>
      <c r="AZ14" s="59">
        <v>1.4999999999999999E-2</v>
      </c>
      <c r="BA14" s="59">
        <v>0.01</v>
      </c>
    </row>
    <row r="15" spans="2:106">
      <c r="B15" s="37" t="s">
        <v>1469</v>
      </c>
      <c r="G15" s="56"/>
      <c r="H15" s="56"/>
      <c r="I15" s="56"/>
      <c r="J15" s="56"/>
      <c r="K15" s="56"/>
      <c r="L15" s="56"/>
      <c r="M15" s="56"/>
      <c r="N15" s="56"/>
      <c r="O15" s="56"/>
      <c r="P15" s="56"/>
      <c r="Q15" s="56"/>
      <c r="R15" s="56"/>
      <c r="S15" s="56"/>
      <c r="T15" s="56"/>
      <c r="U15" s="56">
        <f t="shared" si="22"/>
        <v>1.6188429704231058</v>
      </c>
      <c r="V15" s="56">
        <f t="shared" si="22"/>
        <v>1.9269169815921008</v>
      </c>
      <c r="W15" s="56">
        <f t="shared" si="22"/>
        <v>1.7990607454306531</v>
      </c>
      <c r="X15" s="56">
        <f t="shared" si="22"/>
        <v>1.3155685179099574</v>
      </c>
      <c r="Y15" s="56">
        <v>0.48</v>
      </c>
      <c r="Z15" s="59">
        <f t="shared" ref="Y15:AD15" si="24">Z5/V5-1</f>
        <v>-0.5834981986297092</v>
      </c>
      <c r="AA15" s="59">
        <f t="shared" si="24"/>
        <v>-0.53320263006975277</v>
      </c>
      <c r="AB15" s="59">
        <f t="shared" si="24"/>
        <v>-0.39684443198711372</v>
      </c>
      <c r="AC15" s="59">
        <f t="shared" si="24"/>
        <v>0.21682257205871158</v>
      </c>
      <c r="AD15" s="59">
        <f t="shared" si="24"/>
        <v>-6.25E-2</v>
      </c>
      <c r="AN15" s="56"/>
      <c r="AO15" s="56"/>
      <c r="AP15" s="56"/>
      <c r="AQ15" s="56">
        <f>AQ5/AP5-1</f>
        <v>3.0966629399668593</v>
      </c>
      <c r="AR15" s="59">
        <v>7.0000000000000007E-2</v>
      </c>
      <c r="AS15" s="59">
        <v>-0.315</v>
      </c>
      <c r="AT15" s="59">
        <v>-0.3</v>
      </c>
      <c r="AU15" s="59">
        <v>-0.15</v>
      </c>
      <c r="AV15" s="59">
        <v>-0.1</v>
      </c>
      <c r="AW15" s="59">
        <v>-0.1</v>
      </c>
      <c r="AX15" s="59">
        <v>-0.1</v>
      </c>
      <c r="AY15" s="59">
        <v>-0.05</v>
      </c>
      <c r="AZ15" s="59">
        <v>-0.05</v>
      </c>
      <c r="BA15" s="59">
        <v>-0.05</v>
      </c>
    </row>
    <row r="16" spans="2:106">
      <c r="B16" s="37" t="s">
        <v>1674</v>
      </c>
      <c r="G16" s="56">
        <f t="shared" ref="G16:W16" si="25">G11/C11-1</f>
        <v>0.66376833509753497</v>
      </c>
      <c r="H16" s="56">
        <f t="shared" si="25"/>
        <v>-0.1448556823859487</v>
      </c>
      <c r="I16" s="56">
        <f t="shared" si="25"/>
        <v>-1.600355634585493E-3</v>
      </c>
      <c r="J16" s="56">
        <f t="shared" si="25"/>
        <v>1.049168667200151E-2</v>
      </c>
      <c r="K16" s="56">
        <f t="shared" si="25"/>
        <v>0</v>
      </c>
      <c r="L16" s="56">
        <f t="shared" si="25"/>
        <v>2.2471910112360494E-3</v>
      </c>
      <c r="M16" s="56">
        <f t="shared" si="25"/>
        <v>1.8255487777727453E-3</v>
      </c>
      <c r="N16" s="56">
        <f t="shared" si="25"/>
        <v>-1.2802463704356004E-2</v>
      </c>
      <c r="O16" s="56">
        <f t="shared" si="25"/>
        <v>-2.2722108611672454E-4</v>
      </c>
      <c r="P16" s="56">
        <f t="shared" si="25"/>
        <v>-2.2421524663677195E-3</v>
      </c>
      <c r="Q16" s="56">
        <f t="shared" si="25"/>
        <v>-4.4444444444446951E-4</v>
      </c>
      <c r="R16" s="56">
        <f t="shared" si="25"/>
        <v>0.41361023218503568</v>
      </c>
      <c r="S16" s="56">
        <f t="shared" si="25"/>
        <v>1.4533181818181817</v>
      </c>
      <c r="T16" s="56">
        <f t="shared" si="25"/>
        <v>-0.89303370786516856</v>
      </c>
      <c r="U16" s="56">
        <f t="shared" si="25"/>
        <v>0.66296131614050702</v>
      </c>
      <c r="V16" s="56">
        <f t="shared" si="25"/>
        <v>-0.36109709962169001</v>
      </c>
      <c r="W16" s="56">
        <f t="shared" si="25"/>
        <v>1.4721434791469812</v>
      </c>
      <c r="X16" s="56">
        <f>X11/T11-1</f>
        <v>40.161764705882355</v>
      </c>
      <c r="Y16" s="56">
        <v>1.1499999999999999</v>
      </c>
      <c r="Z16" s="59"/>
      <c r="AA16" s="59"/>
      <c r="AB16" s="59"/>
      <c r="AC16" s="59"/>
      <c r="AD16" s="59"/>
      <c r="AN16" s="56">
        <f t="shared" ref="AN16:AP17" si="26">AN11/AM11-1</f>
        <v>6.1851508891896501E-2</v>
      </c>
      <c r="AO16" s="56">
        <f t="shared" si="26"/>
        <v>-2.2360359554581821E-3</v>
      </c>
      <c r="AP16" s="56">
        <f t="shared" si="26"/>
        <v>0.10326744655102882</v>
      </c>
      <c r="AQ16" s="56">
        <f>AQ11/AP11-1</f>
        <v>0.15802356286816988</v>
      </c>
      <c r="AR16" s="59">
        <v>1.5</v>
      </c>
      <c r="AS16" s="59">
        <v>-0.55000000000000004</v>
      </c>
      <c r="AT16" s="59">
        <v>-0.05</v>
      </c>
      <c r="AU16" s="59">
        <v>0.03</v>
      </c>
      <c r="AV16" s="59">
        <v>2.75E-2</v>
      </c>
      <c r="AW16" s="59">
        <v>2.5000000000000001E-2</v>
      </c>
      <c r="AX16" s="59">
        <v>2.2499999999999999E-2</v>
      </c>
      <c r="AY16" s="59">
        <v>1.4999999999999999E-2</v>
      </c>
      <c r="AZ16" s="59">
        <v>0.01</v>
      </c>
      <c r="BA16" s="59">
        <v>5.0000000000000001E-3</v>
      </c>
    </row>
    <row r="17" spans="2:103" ht="15">
      <c r="B17" s="33" t="s">
        <v>1443</v>
      </c>
      <c r="C17" s="2"/>
      <c r="D17" s="2"/>
      <c r="E17" s="2"/>
      <c r="F17" s="2"/>
      <c r="G17" s="76">
        <f t="shared" ref="G17:T17" si="27">G6/C6-1</f>
        <v>0.24368827652118519</v>
      </c>
      <c r="H17" s="76">
        <f t="shared" si="27"/>
        <v>0.27392671097539067</v>
      </c>
      <c r="I17" s="76">
        <f t="shared" si="27"/>
        <v>0.37455632509532322</v>
      </c>
      <c r="J17" s="76">
        <f t="shared" si="27"/>
        <v>0.45721903333115854</v>
      </c>
      <c r="K17" s="76">
        <f t="shared" si="27"/>
        <v>0.51149480492451516</v>
      </c>
      <c r="L17" s="76">
        <f t="shared" si="27"/>
        <v>0.48927304902036806</v>
      </c>
      <c r="M17" s="76">
        <f t="shared" si="27"/>
        <v>0.24481909520642731</v>
      </c>
      <c r="N17" s="76">
        <f t="shared" si="27"/>
        <v>0.32008952301021143</v>
      </c>
      <c r="O17" s="76">
        <f t="shared" si="27"/>
        <v>0.22597643320534888</v>
      </c>
      <c r="P17" s="76">
        <f t="shared" si="27"/>
        <v>0.13137376501275821</v>
      </c>
      <c r="Q17" s="76">
        <f t="shared" si="27"/>
        <v>0.48872332438129873</v>
      </c>
      <c r="R17" s="76">
        <f t="shared" si="27"/>
        <v>0.5473672610444491</v>
      </c>
      <c r="S17" s="76">
        <f t="shared" si="27"/>
        <v>0.55288019179679915</v>
      </c>
      <c r="T17" s="76">
        <f t="shared" si="27"/>
        <v>0.50864060120173415</v>
      </c>
      <c r="U17" s="76">
        <f>U6/Q6-1</f>
        <v>0.38941477702558536</v>
      </c>
      <c r="V17" s="76">
        <f>V6/R6-1</f>
        <v>0.74801890022598116</v>
      </c>
      <c r="W17" s="76">
        <f>W6/S6-1</f>
        <v>0.70086290349500935</v>
      </c>
      <c r="X17" s="76">
        <f>X6/T6-1</f>
        <v>0.42317922489994375</v>
      </c>
      <c r="Y17" s="76">
        <f t="shared" ref="Y17" si="28">Y6/U6-1</f>
        <v>-0.13899495312619992</v>
      </c>
      <c r="Z17" s="59">
        <f t="shared" ref="Z17:AD17" si="29">Z12/V12-1</f>
        <v>-0.3924887306659538</v>
      </c>
      <c r="AA17" s="59">
        <f t="shared" si="29"/>
        <v>-0.4227118580354482</v>
      </c>
      <c r="AB17" s="59">
        <f t="shared" si="29"/>
        <v>-0.29633702510931337</v>
      </c>
      <c r="AC17" s="59">
        <f t="shared" si="29"/>
        <v>7.6768592413038572E-2</v>
      </c>
      <c r="AD17" s="59">
        <f t="shared" si="29"/>
        <v>6.25E-2</v>
      </c>
      <c r="AM17" s="2"/>
      <c r="AN17" s="76">
        <f t="shared" si="26"/>
        <v>0.29947472592987556</v>
      </c>
      <c r="AO17" s="76">
        <f t="shared" si="26"/>
        <v>0.32937186985730471</v>
      </c>
      <c r="AP17" s="76">
        <f t="shared" si="26"/>
        <v>0.33260308270088434</v>
      </c>
      <c r="AQ17" s="76">
        <f>AQ12/AP12-1</f>
        <v>0.52973854211572746</v>
      </c>
      <c r="AR17" s="77">
        <f>AR12/AQ12-1</f>
        <v>0.1430123439848705</v>
      </c>
      <c r="AS17" s="77">
        <f t="shared" ref="AS17:BA17" si="30">AS12/AR12-1</f>
        <v>-0.24585853870527807</v>
      </c>
      <c r="AT17" s="77">
        <f t="shared" si="30"/>
        <v>-8.6253562248846505E-2</v>
      </c>
      <c r="AU17" s="77">
        <f t="shared" si="30"/>
        <v>-1.4223530177876476E-2</v>
      </c>
      <c r="AV17" s="77">
        <f t="shared" si="30"/>
        <v>1.6402429910122862E-3</v>
      </c>
      <c r="AW17" s="77">
        <f t="shared" si="30"/>
        <v>1.2511669789101454E-3</v>
      </c>
      <c r="AX17" s="77">
        <f t="shared" si="30"/>
        <v>3.0593168996295717E-4</v>
      </c>
      <c r="AY17" s="77">
        <f t="shared" si="30"/>
        <v>7.2142499549663341E-3</v>
      </c>
      <c r="AZ17" s="77">
        <f t="shared" si="30"/>
        <v>3.7417560399826133E-3</v>
      </c>
      <c r="BA17" s="77">
        <f t="shared" si="30"/>
        <v>1.032421354159041E-4</v>
      </c>
    </row>
    <row r="18" spans="2:103">
      <c r="Z18" s="59"/>
      <c r="AA18" s="59"/>
      <c r="AB18" s="59"/>
      <c r="AC18" s="59"/>
      <c r="AD18" s="59"/>
    </row>
    <row r="19" spans="2:103">
      <c r="B19" s="37" t="s">
        <v>1471</v>
      </c>
      <c r="C19" s="55">
        <f>C4/C12</f>
        <v>0.88364973520769918</v>
      </c>
      <c r="D19" s="55">
        <f t="shared" ref="D19:X19" si="31">D4/D12</f>
        <v>0.81057666407006457</v>
      </c>
      <c r="E19" s="55">
        <f t="shared" si="31"/>
        <v>0.84370223173341485</v>
      </c>
      <c r="F19" s="55">
        <f t="shared" si="31"/>
        <v>0.84502073831144675</v>
      </c>
      <c r="G19" s="55">
        <f t="shared" si="31"/>
        <v>0.8502358249790718</v>
      </c>
      <c r="H19" s="55">
        <f t="shared" si="31"/>
        <v>0.86440285454844623</v>
      </c>
      <c r="I19" s="55">
        <f t="shared" si="31"/>
        <v>0.88140148914822836</v>
      </c>
      <c r="J19" s="55">
        <f t="shared" si="31"/>
        <v>0.88717083219577564</v>
      </c>
      <c r="K19" s="55">
        <f t="shared" si="31"/>
        <v>0.89562680832898545</v>
      </c>
      <c r="L19" s="55">
        <f t="shared" si="31"/>
        <v>0.9045119188822327</v>
      </c>
      <c r="M19" s="55">
        <f t="shared" si="31"/>
        <v>0.90229031501602441</v>
      </c>
      <c r="N19" s="55">
        <f t="shared" si="31"/>
        <v>0.91315235397024452</v>
      </c>
      <c r="O19" s="55">
        <f t="shared" si="31"/>
        <v>0.9132132783684096</v>
      </c>
      <c r="P19" s="55">
        <f t="shared" si="31"/>
        <v>0.91482862370711759</v>
      </c>
      <c r="Q19" s="55">
        <f t="shared" si="31"/>
        <v>0.72394276207927477</v>
      </c>
      <c r="R19" s="55">
        <f t="shared" si="31"/>
        <v>0.58928917955115356</v>
      </c>
      <c r="S19" s="55">
        <f t="shared" si="31"/>
        <v>0.5455174298657417</v>
      </c>
      <c r="T19" s="55">
        <f t="shared" si="31"/>
        <v>0.65805795655875698</v>
      </c>
      <c r="U19" s="55">
        <f t="shared" si="31"/>
        <v>0.53254161752334805</v>
      </c>
      <c r="V19" s="55">
        <f t="shared" si="31"/>
        <v>0.38577876869615929</v>
      </c>
      <c r="W19" s="55">
        <f t="shared" si="31"/>
        <v>0.31755949424188645</v>
      </c>
      <c r="X19" s="55">
        <f t="shared" si="31"/>
        <v>0.3784594035556253</v>
      </c>
      <c r="Y19" s="55">
        <f>Y4/Y12</f>
        <v>0.59734363692364711</v>
      </c>
      <c r="Z19" s="59"/>
      <c r="AA19" s="59"/>
      <c r="AB19" s="59"/>
      <c r="AC19" s="59"/>
      <c r="AD19" s="59"/>
      <c r="AM19" s="55">
        <f t="shared" ref="AM19:AQ19" si="32">AM4/AM6</f>
        <v>1</v>
      </c>
      <c r="AN19" s="55">
        <f t="shared" si="32"/>
        <v>1</v>
      </c>
      <c r="AO19" s="55">
        <f t="shared" si="32"/>
        <v>1</v>
      </c>
      <c r="AP19" s="55">
        <f t="shared" si="32"/>
        <v>0.82499764166599698</v>
      </c>
      <c r="AQ19" s="55">
        <f t="shared" si="32"/>
        <v>0.54093436094767222</v>
      </c>
      <c r="AR19" s="59">
        <f t="shared" ref="AR19:BA19" si="33">AR4/AR12</f>
        <v>0.46490264844110785</v>
      </c>
      <c r="AS19" s="59">
        <f t="shared" si="33"/>
        <v>0.55481949351870952</v>
      </c>
      <c r="AT19" s="59">
        <f t="shared" si="33"/>
        <v>0.63755156149051662</v>
      </c>
      <c r="AU19" s="59">
        <f t="shared" si="33"/>
        <v>0.6726206642665965</v>
      </c>
      <c r="AV19" s="59">
        <f t="shared" si="33"/>
        <v>0.69502238192537757</v>
      </c>
      <c r="AW19" s="59">
        <f t="shared" si="33"/>
        <v>0.71497849589843987</v>
      </c>
      <c r="AX19" s="59">
        <f t="shared" si="33"/>
        <v>0.73262882392168294</v>
      </c>
      <c r="AY19" s="59">
        <f t="shared" si="33"/>
        <v>0.74192893958115513</v>
      </c>
      <c r="AZ19" s="59">
        <f t="shared" si="33"/>
        <v>0.75025061889013955</v>
      </c>
      <c r="BA19" s="59">
        <f t="shared" si="33"/>
        <v>0.75767490110429991</v>
      </c>
    </row>
    <row r="20" spans="2:103">
      <c r="B20" s="37" t="s">
        <v>1472</v>
      </c>
      <c r="C20" s="55"/>
      <c r="D20" s="55"/>
      <c r="E20" s="55"/>
      <c r="F20" s="55"/>
      <c r="G20" s="55"/>
      <c r="H20" s="55"/>
      <c r="I20" s="55"/>
      <c r="J20" s="55"/>
      <c r="K20" s="55"/>
      <c r="L20" s="55"/>
      <c r="M20" s="55"/>
      <c r="N20" s="55"/>
      <c r="O20" s="55"/>
      <c r="P20" s="55"/>
      <c r="Q20" s="55">
        <f t="shared" ref="Q20:V20" si="34">Q5/Q12</f>
        <v>0.20827707589931529</v>
      </c>
      <c r="R20" s="55">
        <f t="shared" si="34"/>
        <v>0.33077029700475052</v>
      </c>
      <c r="S20" s="55">
        <f t="shared" si="34"/>
        <v>0.32394178838428178</v>
      </c>
      <c r="T20" s="55">
        <f t="shared" si="34"/>
        <v>0.33538425082730133</v>
      </c>
      <c r="U20" s="55">
        <f t="shared" si="34"/>
        <v>0.38740204336313683</v>
      </c>
      <c r="V20" s="55">
        <f t="shared" si="34"/>
        <v>0.58344167284303128</v>
      </c>
      <c r="W20" s="55">
        <f>W5/W12</f>
        <v>0.50330799530651316</v>
      </c>
      <c r="X20" s="55">
        <f t="shared" ref="X20" si="35">X5/X12</f>
        <v>0.46122817008352307</v>
      </c>
      <c r="Y20" s="55">
        <f>Y5/Y12</f>
        <v>0.32926581910788477</v>
      </c>
      <c r="AM20" s="55">
        <f t="shared" ref="AM20:AQ20" si="36">AM5/AM6</f>
        <v>0</v>
      </c>
      <c r="AN20" s="55">
        <f t="shared" si="36"/>
        <v>0</v>
      </c>
      <c r="AO20" s="55">
        <f t="shared" si="36"/>
        <v>0</v>
      </c>
      <c r="AP20" s="55">
        <f t="shared" si="36"/>
        <v>0.17500235833400299</v>
      </c>
      <c r="AQ20" s="55">
        <f t="shared" si="36"/>
        <v>0.45906563905232783</v>
      </c>
      <c r="AR20" s="59">
        <f t="shared" ref="AR20:BA20" si="37">AR5/AR12</f>
        <v>0.4039798701966949</v>
      </c>
      <c r="AS20" s="59">
        <f t="shared" si="37"/>
        <v>0.36694204640286998</v>
      </c>
      <c r="AT20" s="59">
        <f t="shared" si="37"/>
        <v>0.28110580995989737</v>
      </c>
      <c r="AU20" s="59">
        <f t="shared" si="37"/>
        <v>0.24238754502735066</v>
      </c>
      <c r="AV20" s="59">
        <f t="shared" si="37"/>
        <v>0.21779155944573309</v>
      </c>
      <c r="AW20" s="59">
        <f t="shared" si="37"/>
        <v>0.19576746571251538</v>
      </c>
      <c r="AX20" s="59">
        <f t="shared" si="37"/>
        <v>0.17613683330218696</v>
      </c>
      <c r="AY20" s="59">
        <f t="shared" si="37"/>
        <v>0.16613147763205208</v>
      </c>
      <c r="AZ20" s="59">
        <f t="shared" si="37"/>
        <v>0.15723656289154395</v>
      </c>
      <c r="BA20" s="59">
        <f t="shared" si="37"/>
        <v>0.14935931457238605</v>
      </c>
    </row>
    <row r="21" spans="2:103" s="2" customFormat="1" ht="15">
      <c r="B21" s="37" t="s">
        <v>1675</v>
      </c>
      <c r="C21" s="55">
        <f>C11/C12</f>
        <v>0.1163502647923008</v>
      </c>
      <c r="D21" s="55">
        <f t="shared" ref="D21:X21" si="38">D11/D12</f>
        <v>0.1894233359299354</v>
      </c>
      <c r="E21" s="55">
        <f t="shared" si="38"/>
        <v>0.15629776826658515</v>
      </c>
      <c r="F21" s="55">
        <f t="shared" si="38"/>
        <v>0.15497926168855325</v>
      </c>
      <c r="G21" s="55">
        <f t="shared" si="38"/>
        <v>0.14976417502092818</v>
      </c>
      <c r="H21" s="55">
        <f t="shared" si="38"/>
        <v>0.13559714545155374</v>
      </c>
      <c r="I21" s="55">
        <f t="shared" si="38"/>
        <v>0.11859851085177166</v>
      </c>
      <c r="J21" s="55">
        <f t="shared" si="38"/>
        <v>0.11282916780422429</v>
      </c>
      <c r="K21" s="55">
        <f t="shared" si="38"/>
        <v>0.10437319167101457</v>
      </c>
      <c r="L21" s="55">
        <f t="shared" si="38"/>
        <v>9.5488081117767201E-2</v>
      </c>
      <c r="M21" s="55">
        <f t="shared" si="38"/>
        <v>9.7709684983975614E-2</v>
      </c>
      <c r="N21" s="55">
        <f t="shared" si="38"/>
        <v>8.6847646029755532E-2</v>
      </c>
      <c r="O21" s="55">
        <f t="shared" si="38"/>
        <v>8.6786721631590361E-2</v>
      </c>
      <c r="P21" s="55">
        <f t="shared" si="38"/>
        <v>8.517137629288235E-2</v>
      </c>
      <c r="Q21" s="55">
        <f t="shared" si="38"/>
        <v>6.7780162021409962E-2</v>
      </c>
      <c r="R21" s="55">
        <f t="shared" si="38"/>
        <v>7.9940523444095829E-2</v>
      </c>
      <c r="S21" s="55">
        <f t="shared" si="38"/>
        <v>0.13054078174997641</v>
      </c>
      <c r="T21" s="55">
        <f t="shared" si="38"/>
        <v>6.5577926139416456E-3</v>
      </c>
      <c r="U21" s="55">
        <f t="shared" si="38"/>
        <v>8.0056339113515174E-2</v>
      </c>
      <c r="V21" s="55">
        <f t="shared" si="38"/>
        <v>3.0779558460809445E-2</v>
      </c>
      <c r="W21" s="55">
        <f t="shared" si="38"/>
        <v>0.17913251045160045</v>
      </c>
      <c r="X21" s="55">
        <f t="shared" si="38"/>
        <v>0.16031242636085144</v>
      </c>
      <c r="Y21" s="55">
        <f>Y11/Y12</f>
        <v>7.3390543968468211E-2</v>
      </c>
      <c r="Z21" s="47"/>
      <c r="AA21" s="47"/>
      <c r="AB21" s="47"/>
      <c r="AC21" s="47"/>
      <c r="AD21" s="47"/>
      <c r="AM21" s="55"/>
      <c r="AN21" s="55"/>
      <c r="AO21" s="55"/>
      <c r="AP21" s="55"/>
      <c r="AQ21" s="55"/>
      <c r="AR21" s="35"/>
      <c r="AS21" s="35"/>
      <c r="AT21" s="35"/>
      <c r="AU21" s="35"/>
      <c r="AV21" s="35"/>
      <c r="AW21" s="35"/>
      <c r="AX21" s="35"/>
      <c r="AY21" s="35"/>
      <c r="AZ21" s="35"/>
      <c r="BA21" s="35"/>
      <c r="BB21" s="35"/>
      <c r="BC21" s="35"/>
      <c r="BD21" s="35"/>
      <c r="BE21" s="35"/>
      <c r="BF21" s="47"/>
      <c r="BG21" s="47"/>
      <c r="BH21" s="34"/>
      <c r="BI21" s="34"/>
      <c r="BJ21" s="34"/>
      <c r="BK21" s="34"/>
      <c r="BL21" s="34"/>
      <c r="BM21" s="34"/>
      <c r="BN21" s="34"/>
      <c r="BO21" s="34"/>
      <c r="BP21" s="34"/>
      <c r="BQ21" s="34"/>
      <c r="BR21" s="34"/>
      <c r="BS21" s="34"/>
      <c r="BT21" s="34"/>
      <c r="BU21" s="34"/>
      <c r="BV21" s="34"/>
      <c r="BW21" s="34"/>
      <c r="BX21" s="34"/>
      <c r="BY21" s="34"/>
      <c r="BZ21" s="34"/>
      <c r="CA21" s="34"/>
      <c r="CB21" s="34"/>
      <c r="CC21" s="34"/>
      <c r="CD21" s="34"/>
      <c r="CE21" s="34"/>
      <c r="CF21" s="34"/>
      <c r="CG21" s="34"/>
      <c r="CH21" s="34"/>
      <c r="CI21" s="34"/>
      <c r="CJ21" s="34"/>
      <c r="CK21" s="34"/>
      <c r="CL21" s="34"/>
      <c r="CM21" s="34"/>
      <c r="CN21" s="34"/>
      <c r="CO21" s="34"/>
      <c r="CP21" s="34"/>
      <c r="CQ21" s="34"/>
      <c r="CR21" s="34"/>
      <c r="CS21" s="34"/>
      <c r="CT21" s="34"/>
      <c r="CU21" s="34"/>
      <c r="CV21" s="34"/>
      <c r="CW21" s="34"/>
      <c r="CX21" s="34"/>
      <c r="CY21" s="34"/>
    </row>
    <row r="22" spans="2:103">
      <c r="Z22" s="49"/>
      <c r="AA22" s="49"/>
      <c r="AB22" s="49"/>
      <c r="AC22" s="49"/>
      <c r="AD22" s="49"/>
    </row>
    <row r="23" spans="2:103" ht="15">
      <c r="B23" s="2" t="s">
        <v>70</v>
      </c>
      <c r="C23" s="46">
        <f t="shared" ref="C23:W23" si="39">C12</f>
        <v>113.67399999999999</v>
      </c>
      <c r="D23" s="46">
        <f t="shared" si="39"/>
        <v>137.35900000000001</v>
      </c>
      <c r="E23" s="46">
        <f t="shared" si="39"/>
        <v>143.92400000000001</v>
      </c>
      <c r="F23" s="46">
        <f t="shared" si="39"/>
        <v>145.14200000000002</v>
      </c>
      <c r="G23" s="46">
        <f t="shared" si="39"/>
        <v>146.93100000000001</v>
      </c>
      <c r="H23" s="46">
        <f t="shared" si="39"/>
        <v>164.089</v>
      </c>
      <c r="I23" s="46">
        <f t="shared" si="39"/>
        <v>189.37</v>
      </c>
      <c r="J23" s="46">
        <f t="shared" si="39"/>
        <v>201.45499999999998</v>
      </c>
      <c r="K23" s="46">
        <f t="shared" si="39"/>
        <v>210.82999999999998</v>
      </c>
      <c r="L23" s="46">
        <f t="shared" si="39"/>
        <v>233.53700000000001</v>
      </c>
      <c r="M23" s="46">
        <f t="shared" si="39"/>
        <v>230.274</v>
      </c>
      <c r="N23" s="46">
        <f t="shared" si="39"/>
        <v>258.37199999999996</v>
      </c>
      <c r="O23" s="46">
        <f t="shared" si="39"/>
        <v>253.495</v>
      </c>
      <c r="P23" s="46">
        <f t="shared" si="39"/>
        <v>261.238</v>
      </c>
      <c r="Q23" s="46">
        <f t="shared" si="39"/>
        <v>331.80799999999999</v>
      </c>
      <c r="R23" s="46">
        <f t="shared" si="39"/>
        <v>396.79500000000002</v>
      </c>
      <c r="S23" s="46">
        <f t="shared" si="39"/>
        <v>413.45700000000005</v>
      </c>
      <c r="T23" s="46">
        <f t="shared" si="39"/>
        <v>362.92700000000002</v>
      </c>
      <c r="U23" s="46">
        <f t="shared" si="39"/>
        <v>467.17099999999999</v>
      </c>
      <c r="V23" s="46">
        <f t="shared" si="39"/>
        <v>658.42399999999998</v>
      </c>
      <c r="W23" s="46">
        <f t="shared" si="39"/>
        <v>744.86199999999997</v>
      </c>
      <c r="X23" s="46">
        <f>X12</f>
        <v>611.08800000000008</v>
      </c>
      <c r="Y23" s="46">
        <f>Y12</f>
        <v>399.34299999999996</v>
      </c>
      <c r="Z23" s="49"/>
      <c r="AA23" s="49"/>
      <c r="AB23" s="49"/>
      <c r="AC23" s="49"/>
      <c r="AD23" s="49"/>
      <c r="AM23" s="46">
        <f>SUM(C23:F23)</f>
        <v>540.09900000000005</v>
      </c>
      <c r="AN23" s="46">
        <f>SUM(G23:J23)</f>
        <v>701.84500000000003</v>
      </c>
      <c r="AO23" s="46">
        <f>SUM(K23:N23)</f>
        <v>933.01299999999992</v>
      </c>
      <c r="AP23" s="46">
        <f>SUM(O23:R23)</f>
        <v>1243.336</v>
      </c>
      <c r="AQ23" s="46">
        <f>SUM(S23:V23)</f>
        <v>1901.979</v>
      </c>
      <c r="AR23" s="47">
        <f t="shared" ref="AR23:BA23" si="40">AR12</f>
        <v>2173.985475</v>
      </c>
      <c r="AS23" s="47">
        <f t="shared" si="40"/>
        <v>1639.49258295</v>
      </c>
      <c r="AT23" s="47">
        <f t="shared" si="40"/>
        <v>1498.0805073900001</v>
      </c>
      <c r="AU23" s="47">
        <f t="shared" si="40"/>
        <v>1476.7725140842499</v>
      </c>
      <c r="AV23" s="47">
        <f t="shared" si="40"/>
        <v>1479.1947798497963</v>
      </c>
      <c r="AW23" s="47">
        <f t="shared" si="40"/>
        <v>1481.0454995137206</v>
      </c>
      <c r="AX23" s="47">
        <f t="shared" si="40"/>
        <v>1481.4985982662988</v>
      </c>
      <c r="AY23" s="47">
        <f t="shared" si="40"/>
        <v>1492.1864994621242</v>
      </c>
      <c r="AZ23" s="47">
        <f t="shared" si="40"/>
        <v>1497.769897309267</v>
      </c>
      <c r="BA23" s="47">
        <f t="shared" si="40"/>
        <v>1497.9245302718268</v>
      </c>
      <c r="BB23" s="47"/>
      <c r="BC23" s="47"/>
      <c r="BD23" s="47"/>
      <c r="BE23" s="47"/>
    </row>
    <row r="24" spans="2:103">
      <c r="B24" s="1" t="s">
        <v>72</v>
      </c>
      <c r="C24" s="48">
        <v>12.622</v>
      </c>
      <c r="D24" s="48">
        <v>13.340999999999999</v>
      </c>
      <c r="E24" s="48">
        <v>15.015000000000001</v>
      </c>
      <c r="F24" s="48">
        <f>63.382-SUM(C24:E24)</f>
        <v>22.403999999999996</v>
      </c>
      <c r="G24" s="48">
        <v>22.346</v>
      </c>
      <c r="H24" s="48">
        <v>19.515000000000001</v>
      </c>
      <c r="I24" s="48">
        <v>23.44</v>
      </c>
      <c r="J24" s="48">
        <f>97.049-SUM(G24:I24)</f>
        <v>31.748000000000005</v>
      </c>
      <c r="K24" s="48">
        <v>31.443000000000001</v>
      </c>
      <c r="L24" s="48">
        <v>37.795000000000002</v>
      </c>
      <c r="M24" s="48">
        <v>39.951999999999998</v>
      </c>
      <c r="N24" s="48">
        <f>139.989-SUM(K24:M24)</f>
        <v>30.799000000000007</v>
      </c>
      <c r="O24" s="48">
        <v>35.017000000000003</v>
      </c>
      <c r="P24" s="48">
        <v>34.124000000000002</v>
      </c>
      <c r="Q24" s="48">
        <v>37.026000000000003</v>
      </c>
      <c r="R24" s="48">
        <f>150.343-SUM(O24:Q24)</f>
        <v>44.175999999999988</v>
      </c>
      <c r="S24" s="48">
        <v>50.558999999999997</v>
      </c>
      <c r="T24" s="48">
        <v>44.54</v>
      </c>
      <c r="U24" s="48">
        <v>91.691000000000003</v>
      </c>
      <c r="V24" s="48">
        <f>319.099-SUM(S24:U24)</f>
        <v>132.309</v>
      </c>
      <c r="W24" s="48">
        <v>137.56</v>
      </c>
      <c r="X24" s="48">
        <v>152.55799999999999</v>
      </c>
      <c r="Y24" s="48">
        <v>150.77500000000001</v>
      </c>
      <c r="Z24" s="49"/>
      <c r="AA24" s="49"/>
      <c r="AB24" s="49"/>
      <c r="AC24" s="49"/>
      <c r="AD24" s="49"/>
      <c r="AM24" s="48">
        <f t="shared" ref="AM24:AM35" si="41">SUM(C24:F24)</f>
        <v>63.381999999999998</v>
      </c>
      <c r="AN24" s="48">
        <f t="shared" ref="AN24:AN35" si="42">SUM(G24:J24)</f>
        <v>97.049000000000007</v>
      </c>
      <c r="AO24" s="48">
        <f t="shared" ref="AO24:AO35" si="43">SUM(K24:N24)</f>
        <v>139.989</v>
      </c>
      <c r="AP24" s="48">
        <f t="shared" ref="AP24:AP35" si="44">SUM(O24:R24)</f>
        <v>150.34299999999999</v>
      </c>
      <c r="AQ24" s="48">
        <f t="shared" ref="AQ24:AQ35" si="45">SUM(S24:V24)</f>
        <v>319.09899999999999</v>
      </c>
      <c r="AR24" s="49">
        <f>AR23*(1-AR39)</f>
        <v>521.75651399999992</v>
      </c>
      <c r="AS24" s="49">
        <f t="shared" ref="AS24:BA24" si="46">AS23*(1-AS39)</f>
        <v>360.68836824899995</v>
      </c>
      <c r="AT24" s="49">
        <f t="shared" si="46"/>
        <v>314.59690655189996</v>
      </c>
      <c r="AU24" s="49">
        <f t="shared" si="46"/>
        <v>302.73836538727119</v>
      </c>
      <c r="AV24" s="49">
        <f t="shared" si="46"/>
        <v>295.83895596995922</v>
      </c>
      <c r="AW24" s="49">
        <f t="shared" si="46"/>
        <v>288.80387240517547</v>
      </c>
      <c r="AX24" s="49">
        <f t="shared" si="46"/>
        <v>281.48473367059671</v>
      </c>
      <c r="AY24" s="49">
        <f t="shared" si="46"/>
        <v>283.51543489780352</v>
      </c>
      <c r="AZ24" s="49">
        <f t="shared" si="46"/>
        <v>284.57628048876063</v>
      </c>
      <c r="BA24" s="49">
        <f t="shared" si="46"/>
        <v>284.60566075164701</v>
      </c>
    </row>
    <row r="25" spans="2:103">
      <c r="B25" s="1" t="s">
        <v>73</v>
      </c>
      <c r="C25" s="48">
        <f t="shared" ref="C25:F25" si="47">C23-C24</f>
        <v>101.05199999999999</v>
      </c>
      <c r="D25" s="48">
        <f t="shared" si="47"/>
        <v>124.01800000000001</v>
      </c>
      <c r="E25" s="48">
        <f t="shared" si="47"/>
        <v>128.90899999999999</v>
      </c>
      <c r="F25" s="48">
        <f t="shared" si="47"/>
        <v>122.73800000000003</v>
      </c>
      <c r="G25" s="48">
        <f>G23-G24</f>
        <v>124.58500000000001</v>
      </c>
      <c r="H25" s="48">
        <f t="shared" ref="H25:Y25" si="48">H23-H24</f>
        <v>144.57400000000001</v>
      </c>
      <c r="I25" s="48">
        <f t="shared" si="48"/>
        <v>165.93</v>
      </c>
      <c r="J25" s="48">
        <f t="shared" si="48"/>
        <v>169.70699999999999</v>
      </c>
      <c r="K25" s="48">
        <f t="shared" si="48"/>
        <v>179.38699999999997</v>
      </c>
      <c r="L25" s="48">
        <f t="shared" si="48"/>
        <v>195.74200000000002</v>
      </c>
      <c r="M25" s="48">
        <f t="shared" si="48"/>
        <v>190.322</v>
      </c>
      <c r="N25" s="48">
        <f t="shared" si="48"/>
        <v>227.57299999999995</v>
      </c>
      <c r="O25" s="48">
        <f t="shared" si="48"/>
        <v>218.47800000000001</v>
      </c>
      <c r="P25" s="48">
        <f t="shared" si="48"/>
        <v>227.114</v>
      </c>
      <c r="Q25" s="48">
        <f t="shared" si="48"/>
        <v>294.78199999999998</v>
      </c>
      <c r="R25" s="48">
        <f t="shared" si="48"/>
        <v>352.61900000000003</v>
      </c>
      <c r="S25" s="48">
        <f t="shared" si="48"/>
        <v>362.89800000000002</v>
      </c>
      <c r="T25" s="48">
        <f t="shared" si="48"/>
        <v>318.387</v>
      </c>
      <c r="U25" s="48">
        <f t="shared" si="48"/>
        <v>375.48</v>
      </c>
      <c r="V25" s="48">
        <f t="shared" si="48"/>
        <v>526.11500000000001</v>
      </c>
      <c r="W25" s="48">
        <f t="shared" si="48"/>
        <v>607.30199999999991</v>
      </c>
      <c r="X25" s="48">
        <f t="shared" si="48"/>
        <v>458.53000000000009</v>
      </c>
      <c r="Y25" s="48">
        <f t="shared" si="48"/>
        <v>248.56799999999996</v>
      </c>
      <c r="Z25" s="49"/>
      <c r="AA25" s="49"/>
      <c r="AB25" s="49"/>
      <c r="AC25" s="49"/>
      <c r="AD25" s="49"/>
      <c r="AM25" s="48">
        <f t="shared" si="41"/>
        <v>476.71699999999998</v>
      </c>
      <c r="AN25" s="48">
        <f t="shared" si="42"/>
        <v>604.79600000000005</v>
      </c>
      <c r="AO25" s="48">
        <f t="shared" si="43"/>
        <v>793.024</v>
      </c>
      <c r="AP25" s="48">
        <f t="shared" si="44"/>
        <v>1092.9929999999999</v>
      </c>
      <c r="AQ25" s="48">
        <f t="shared" si="45"/>
        <v>1582.88</v>
      </c>
      <c r="AR25" s="49">
        <f>AR23-AR24</f>
        <v>1652.228961</v>
      </c>
      <c r="AS25" s="49">
        <f t="shared" ref="AS25:BA25" si="49">AS23-AS24</f>
        <v>1278.8042147010001</v>
      </c>
      <c r="AT25" s="49">
        <f t="shared" si="49"/>
        <v>1183.4836008381001</v>
      </c>
      <c r="AU25" s="49">
        <f t="shared" si="49"/>
        <v>1174.0341486969787</v>
      </c>
      <c r="AV25" s="49">
        <f t="shared" si="49"/>
        <v>1183.3558238798371</v>
      </c>
      <c r="AW25" s="49">
        <f t="shared" si="49"/>
        <v>1192.2416271085451</v>
      </c>
      <c r="AX25" s="49">
        <f t="shared" si="49"/>
        <v>1200.0138645957022</v>
      </c>
      <c r="AY25" s="49">
        <f t="shared" si="49"/>
        <v>1208.6710645643207</v>
      </c>
      <c r="AZ25" s="49">
        <f t="shared" si="49"/>
        <v>1213.1936168205063</v>
      </c>
      <c r="BA25" s="49">
        <f t="shared" si="49"/>
        <v>1213.3188695201798</v>
      </c>
    </row>
    <row r="26" spans="2:103">
      <c r="B26" s="1" t="s">
        <v>177</v>
      </c>
      <c r="C26" s="48">
        <v>136.14400000000001</v>
      </c>
      <c r="D26" s="48">
        <v>188.52199999999999</v>
      </c>
      <c r="E26" s="48">
        <v>190.43799999999999</v>
      </c>
      <c r="F26" s="48">
        <f>722.343-SUM(C26:E26)</f>
        <v>207.23899999999992</v>
      </c>
      <c r="G26" s="48">
        <v>195.149</v>
      </c>
      <c r="H26" s="48">
        <v>239.62200000000001</v>
      </c>
      <c r="I26" s="48">
        <v>139.11500000000001</v>
      </c>
      <c r="J26" s="48">
        <f>771.182-SUM(G26:I26)</f>
        <v>197.29600000000005</v>
      </c>
      <c r="K26" s="48">
        <v>194.25</v>
      </c>
      <c r="L26" s="48">
        <v>252.32900000000001</v>
      </c>
      <c r="M26" s="48">
        <v>216.7</v>
      </c>
      <c r="N26" s="48">
        <f>877.09-SUM(K26:M26)</f>
        <v>213.81100000000004</v>
      </c>
      <c r="O26" s="48">
        <v>245.679</v>
      </c>
      <c r="P26" s="48">
        <v>241.89</v>
      </c>
      <c r="Q26" s="48">
        <v>194.30099999999999</v>
      </c>
      <c r="R26" s="48">
        <f>877.387-SUM(O26:Q26)</f>
        <v>195.51700000000005</v>
      </c>
      <c r="S26" s="48">
        <v>200.39599999999999</v>
      </c>
      <c r="T26" s="48">
        <v>179.69</v>
      </c>
      <c r="U26" s="48">
        <v>224.483</v>
      </c>
      <c r="V26" s="48">
        <f>804.522-SUM(S26:U26)</f>
        <v>199.95300000000009</v>
      </c>
      <c r="W26" s="48">
        <v>773.44799999999998</v>
      </c>
      <c r="X26" s="48">
        <v>204.392</v>
      </c>
      <c r="Y26" s="48">
        <v>218.89</v>
      </c>
      <c r="Z26" s="49"/>
      <c r="AA26" s="49"/>
      <c r="AB26" s="49"/>
      <c r="AC26" s="49"/>
      <c r="AD26" s="49"/>
      <c r="AM26" s="48">
        <f t="shared" si="41"/>
        <v>722.34299999999996</v>
      </c>
      <c r="AN26" s="48">
        <f t="shared" si="42"/>
        <v>771.18200000000002</v>
      </c>
      <c r="AO26" s="48">
        <f t="shared" si="43"/>
        <v>877.09</v>
      </c>
      <c r="AP26" s="48">
        <f t="shared" si="44"/>
        <v>877.38699999999994</v>
      </c>
      <c r="AQ26" s="48">
        <f t="shared" si="45"/>
        <v>804.52200000000005</v>
      </c>
      <c r="AR26" s="49">
        <f>AR23*AR40</f>
        <v>1391.350704</v>
      </c>
      <c r="AS26" s="49">
        <f t="shared" ref="AS26:BA26" si="50">AS23*AS40</f>
        <v>901.7209206225001</v>
      </c>
      <c r="AT26" s="49">
        <f t="shared" si="50"/>
        <v>479.38576236480003</v>
      </c>
      <c r="AU26" s="49">
        <f t="shared" si="50"/>
        <v>443.03175422527494</v>
      </c>
      <c r="AV26" s="49">
        <f t="shared" si="50"/>
        <v>414.17453835794299</v>
      </c>
      <c r="AW26" s="49">
        <f t="shared" si="50"/>
        <v>399.88228486870457</v>
      </c>
      <c r="AX26" s="49">
        <f t="shared" si="50"/>
        <v>385.18963554923772</v>
      </c>
      <c r="AY26" s="49">
        <f t="shared" si="50"/>
        <v>373.04662486553104</v>
      </c>
      <c r="AZ26" s="49">
        <f t="shared" si="50"/>
        <v>366.95362484077043</v>
      </c>
      <c r="BA26" s="49">
        <f t="shared" si="50"/>
        <v>359.50188726523845</v>
      </c>
    </row>
    <row r="27" spans="2:103">
      <c r="B27" s="1" t="s">
        <v>178</v>
      </c>
      <c r="C27" s="48">
        <v>82.768000000000001</v>
      </c>
      <c r="D27" s="48">
        <v>73.688000000000002</v>
      </c>
      <c r="E27" s="48">
        <v>75.373000000000005</v>
      </c>
      <c r="F27" s="48">
        <f>317.875-SUM(C27:E27)</f>
        <v>86.045999999999992</v>
      </c>
      <c r="G27" s="48">
        <v>71.131</v>
      </c>
      <c r="H27" s="48">
        <v>72.346999999999994</v>
      </c>
      <c r="I27" s="48">
        <v>61.127000000000002</v>
      </c>
      <c r="J27" s="48">
        <f>282.66-SUM(G27:I27)</f>
        <v>78.055000000000007</v>
      </c>
      <c r="K27" s="48">
        <v>71.84</v>
      </c>
      <c r="L27" s="48">
        <v>154.316</v>
      </c>
      <c r="M27" s="48">
        <v>104.78700000000001</v>
      </c>
      <c r="N27" s="48">
        <f>451.421-SUM(K27:M27)</f>
        <v>120.47800000000001</v>
      </c>
      <c r="O27" s="48">
        <v>110.714</v>
      </c>
      <c r="P27" s="48">
        <v>118.56</v>
      </c>
      <c r="Q27" s="48">
        <v>120.893</v>
      </c>
      <c r="R27" s="48">
        <f>481.871-SUM(O27:Q27)</f>
        <v>131.70399999999995</v>
      </c>
      <c r="S27" s="48">
        <v>127.003</v>
      </c>
      <c r="T27" s="48">
        <v>138.79599999999999</v>
      </c>
      <c r="U27" s="48">
        <v>128.19999999999999</v>
      </c>
      <c r="V27" s="48">
        <f>557.87-SUM(S27:U27)</f>
        <v>163.87100000000004</v>
      </c>
      <c r="W27" s="48">
        <v>133.62899999999999</v>
      </c>
      <c r="X27" s="48">
        <v>137.89699999999999</v>
      </c>
      <c r="Y27" s="48">
        <v>91.89</v>
      </c>
      <c r="Z27" s="49"/>
      <c r="AA27" s="49"/>
      <c r="AB27" s="49"/>
      <c r="AC27" s="49"/>
      <c r="AD27" s="49"/>
      <c r="AM27" s="48">
        <f t="shared" si="41"/>
        <v>317.875</v>
      </c>
      <c r="AN27" s="48">
        <f t="shared" si="42"/>
        <v>282.66000000000003</v>
      </c>
      <c r="AO27" s="48">
        <f t="shared" si="43"/>
        <v>451.42099999999999</v>
      </c>
      <c r="AP27" s="48">
        <f t="shared" si="44"/>
        <v>481.87099999999998</v>
      </c>
      <c r="AQ27" s="48">
        <f t="shared" si="45"/>
        <v>557.87</v>
      </c>
      <c r="AR27" s="49">
        <f>AR23*AR41</f>
        <v>500.01665925000003</v>
      </c>
      <c r="AS27" s="49">
        <f t="shared" ref="AS27:BA27" si="51">AS23*AS41</f>
        <v>327.89851659000004</v>
      </c>
      <c r="AT27" s="49">
        <f t="shared" si="51"/>
        <v>292.12569894105002</v>
      </c>
      <c r="AU27" s="49">
        <f t="shared" si="51"/>
        <v>280.5867776760075</v>
      </c>
      <c r="AV27" s="49">
        <f t="shared" si="51"/>
        <v>273.65103427221231</v>
      </c>
      <c r="AW27" s="49">
        <f t="shared" si="51"/>
        <v>266.58818991246972</v>
      </c>
      <c r="AX27" s="49">
        <f t="shared" si="51"/>
        <v>266.66974768793375</v>
      </c>
      <c r="AY27" s="49">
        <f t="shared" si="51"/>
        <v>268.59356990318236</v>
      </c>
      <c r="AZ27" s="49">
        <f t="shared" si="51"/>
        <v>269.59858151566806</v>
      </c>
      <c r="BA27" s="49">
        <f t="shared" si="51"/>
        <v>269.62641544892881</v>
      </c>
    </row>
    <row r="28" spans="2:103">
      <c r="B28" s="1" t="s">
        <v>185</v>
      </c>
      <c r="C28" s="48">
        <v>0</v>
      </c>
      <c r="D28" s="48">
        <v>0</v>
      </c>
      <c r="E28" s="48">
        <v>0</v>
      </c>
      <c r="F28" s="48">
        <f>0-SUM(C28:E28)</f>
        <v>0</v>
      </c>
      <c r="G28" s="48">
        <v>10</v>
      </c>
      <c r="H28" s="48">
        <v>0</v>
      </c>
      <c r="I28" s="48">
        <v>0</v>
      </c>
      <c r="J28" s="48">
        <f>10-SUM(G28:I28)</f>
        <v>0</v>
      </c>
      <c r="K28" s="48">
        <v>0</v>
      </c>
      <c r="L28" s="48">
        <v>0</v>
      </c>
      <c r="M28" s="48">
        <v>0</v>
      </c>
      <c r="N28" s="48">
        <f>0-SUM(K28:M28)</f>
        <v>0</v>
      </c>
      <c r="O28" s="48">
        <v>0</v>
      </c>
      <c r="P28" s="48">
        <v>0</v>
      </c>
      <c r="Q28" s="48">
        <f>0-SUM(N28:P28)</f>
        <v>0</v>
      </c>
      <c r="R28" s="48">
        <f>0-SUM(O28:Q28)</f>
        <v>0</v>
      </c>
      <c r="S28" s="48">
        <f>0-SUM(P28:R28)</f>
        <v>0</v>
      </c>
      <c r="T28" s="48">
        <f>0-SUM(Q28:S28)</f>
        <v>0</v>
      </c>
      <c r="U28" s="48">
        <v>0</v>
      </c>
      <c r="V28" s="48">
        <v>0</v>
      </c>
      <c r="W28" s="48">
        <v>0</v>
      </c>
      <c r="X28" s="48">
        <v>0</v>
      </c>
      <c r="Y28" s="48">
        <v>40.51</v>
      </c>
      <c r="Z28" s="49"/>
      <c r="AA28" s="49"/>
      <c r="AB28" s="49"/>
      <c r="AC28" s="49"/>
      <c r="AD28" s="49"/>
      <c r="AM28" s="48">
        <f t="shared" si="41"/>
        <v>0</v>
      </c>
      <c r="AN28" s="48">
        <f t="shared" si="42"/>
        <v>10</v>
      </c>
      <c r="AO28" s="48">
        <f t="shared" si="43"/>
        <v>0</v>
      </c>
      <c r="AP28" s="48">
        <f t="shared" si="44"/>
        <v>0</v>
      </c>
      <c r="AQ28" s="48">
        <f t="shared" si="45"/>
        <v>0</v>
      </c>
      <c r="AR28" s="49">
        <v>0</v>
      </c>
      <c r="AS28" s="49">
        <v>0</v>
      </c>
      <c r="AT28" s="49">
        <v>0</v>
      </c>
      <c r="AU28" s="49">
        <v>0</v>
      </c>
      <c r="AV28" s="49">
        <v>0</v>
      </c>
      <c r="AW28" s="49">
        <v>0</v>
      </c>
      <c r="AX28" s="49">
        <v>0</v>
      </c>
      <c r="AY28" s="49">
        <v>0</v>
      </c>
      <c r="AZ28" s="49">
        <v>0</v>
      </c>
      <c r="BA28" s="49">
        <v>0</v>
      </c>
    </row>
    <row r="29" spans="2:103">
      <c r="B29" s="1" t="s">
        <v>179</v>
      </c>
      <c r="C29" s="48">
        <v>0.16600000000000001</v>
      </c>
      <c r="D29" s="48">
        <v>0.16500000000000001</v>
      </c>
      <c r="E29" s="48">
        <v>0.16600000000000001</v>
      </c>
      <c r="F29" s="48">
        <f>0.662-SUM(C29:E29)</f>
        <v>0.16500000000000004</v>
      </c>
      <c r="G29" s="48">
        <v>0.17</v>
      </c>
      <c r="H29" s="48">
        <v>0.17899999999999999</v>
      </c>
      <c r="I29" s="48">
        <v>0.17799999999999999</v>
      </c>
      <c r="J29" s="48">
        <f>0.706-SUM(G29:I29)</f>
        <v>0.17900000000000005</v>
      </c>
      <c r="K29" s="48">
        <v>0.17799999999999999</v>
      </c>
      <c r="L29" s="48">
        <v>0.17899999999999999</v>
      </c>
      <c r="M29" s="48">
        <v>0.17799999999999999</v>
      </c>
      <c r="N29" s="48">
        <f>0.71-SUM(K29:M29)</f>
        <v>0.17500000000000004</v>
      </c>
      <c r="O29" s="48">
        <v>0.17799999999999999</v>
      </c>
      <c r="P29" s="48">
        <v>0.17899999999999999</v>
      </c>
      <c r="Q29" s="48">
        <v>0.439</v>
      </c>
      <c r="R29" s="48">
        <f>1.559-SUM(O29:Q29)</f>
        <v>0.7629999999999999</v>
      </c>
      <c r="S29" s="48">
        <v>0.60099999999999998</v>
      </c>
      <c r="T29" s="48">
        <v>0.60099999999999998</v>
      </c>
      <c r="U29" s="48">
        <v>0.6</v>
      </c>
      <c r="V29" s="48">
        <f>2.405-SUM(S29:U29)</f>
        <v>0.60299999999999976</v>
      </c>
      <c r="W29" s="48">
        <v>0.6</v>
      </c>
      <c r="X29" s="48">
        <v>0.66700000000000004</v>
      </c>
      <c r="Y29" s="48">
        <v>0.67700000000000005</v>
      </c>
      <c r="Z29" s="49"/>
      <c r="AA29" s="49"/>
      <c r="AB29" s="49"/>
      <c r="AC29" s="49"/>
      <c r="AD29" s="49"/>
      <c r="AM29" s="48">
        <f t="shared" si="41"/>
        <v>0.66200000000000003</v>
      </c>
      <c r="AN29" s="48">
        <f t="shared" si="42"/>
        <v>0.70599999999999996</v>
      </c>
      <c r="AO29" s="48">
        <f t="shared" si="43"/>
        <v>0.71</v>
      </c>
      <c r="AP29" s="48">
        <f t="shared" si="44"/>
        <v>1.5589999999999999</v>
      </c>
      <c r="AQ29" s="48">
        <f t="shared" si="45"/>
        <v>2.4049999999999998</v>
      </c>
      <c r="AR29" s="49">
        <v>0</v>
      </c>
      <c r="AS29" s="49">
        <v>0</v>
      </c>
      <c r="AT29" s="49">
        <v>0</v>
      </c>
      <c r="AU29" s="49">
        <v>0</v>
      </c>
      <c r="AV29" s="49">
        <v>0</v>
      </c>
      <c r="AW29" s="49">
        <v>0</v>
      </c>
      <c r="AX29" s="49">
        <v>0</v>
      </c>
      <c r="AY29" s="49">
        <v>0</v>
      </c>
      <c r="AZ29" s="49">
        <v>0</v>
      </c>
      <c r="BA29" s="49">
        <v>0</v>
      </c>
    </row>
    <row r="30" spans="2:103">
      <c r="B30" s="1" t="s">
        <v>180</v>
      </c>
      <c r="C30" s="48">
        <f>C25-SUM(C26:C29)</f>
        <v>-118.02600000000001</v>
      </c>
      <c r="D30" s="48">
        <f t="shared" ref="D30:Y30" si="52">D25-SUM(D26:D29)</f>
        <v>-138.35699999999997</v>
      </c>
      <c r="E30" s="48">
        <f t="shared" si="52"/>
        <v>-137.06799999999998</v>
      </c>
      <c r="F30" s="48">
        <f t="shared" si="52"/>
        <v>-170.7119999999999</v>
      </c>
      <c r="G30" s="48">
        <f t="shared" si="52"/>
        <v>-151.86499999999998</v>
      </c>
      <c r="H30" s="48">
        <f t="shared" si="52"/>
        <v>-167.57399999999996</v>
      </c>
      <c r="I30" s="48">
        <f t="shared" si="52"/>
        <v>-34.490000000000009</v>
      </c>
      <c r="J30" s="48">
        <f t="shared" si="52"/>
        <v>-105.82300000000004</v>
      </c>
      <c r="K30" s="48">
        <f t="shared" si="52"/>
        <v>-86.881000000000057</v>
      </c>
      <c r="L30" s="48">
        <f t="shared" si="52"/>
        <v>-211.08199999999994</v>
      </c>
      <c r="M30" s="48">
        <f t="shared" si="52"/>
        <v>-131.34299999999996</v>
      </c>
      <c r="N30" s="48">
        <f t="shared" si="52"/>
        <v>-106.8910000000001</v>
      </c>
      <c r="O30" s="48">
        <f t="shared" si="52"/>
        <v>-138.09300000000002</v>
      </c>
      <c r="P30" s="48">
        <f t="shared" si="52"/>
        <v>-133.51499999999996</v>
      </c>
      <c r="Q30" s="48">
        <f>Q25-SUM(Q26:Q29)</f>
        <v>-20.850999999999999</v>
      </c>
      <c r="R30" s="48">
        <f t="shared" si="52"/>
        <v>24.635000000000048</v>
      </c>
      <c r="S30" s="48">
        <f>S25-SUM(S26:S29)</f>
        <v>34.898000000000025</v>
      </c>
      <c r="T30" s="48">
        <f>T25-SUM(T26:T29)</f>
        <v>-0.69999999999998863</v>
      </c>
      <c r="U30" s="48">
        <f t="shared" si="52"/>
        <v>22.197000000000003</v>
      </c>
      <c r="V30" s="48">
        <f t="shared" si="52"/>
        <v>161.68799999999987</v>
      </c>
      <c r="W30" s="48">
        <f t="shared" si="52"/>
        <v>-300.37500000000011</v>
      </c>
      <c r="X30" s="48">
        <f t="shared" si="52"/>
        <v>115.57400000000013</v>
      </c>
      <c r="Y30" s="48">
        <f t="shared" si="52"/>
        <v>-103.39900000000003</v>
      </c>
      <c r="Z30" s="49"/>
      <c r="AA30" s="49"/>
      <c r="AB30" s="49"/>
      <c r="AC30" s="49"/>
      <c r="AD30" s="49"/>
      <c r="AM30" s="48">
        <f t="shared" si="41"/>
        <v>-564.1629999999999</v>
      </c>
      <c r="AN30" s="48">
        <f t="shared" si="42"/>
        <v>-459.75200000000001</v>
      </c>
      <c r="AO30" s="48">
        <f t="shared" si="43"/>
        <v>-536.197</v>
      </c>
      <c r="AP30" s="48">
        <f t="shared" si="44"/>
        <v>-267.8239999999999</v>
      </c>
      <c r="AQ30" s="48">
        <f t="shared" si="45"/>
        <v>218.08299999999991</v>
      </c>
      <c r="AR30" s="49">
        <f>AR25-SUM(AR26:AR29)</f>
        <v>-239.1384022499999</v>
      </c>
      <c r="AS30" s="49">
        <f t="shared" ref="AS30:BA30" si="53">AS25-SUM(AS26:AS29)</f>
        <v>49.184777488500004</v>
      </c>
      <c r="AT30" s="49">
        <f t="shared" si="53"/>
        <v>411.97213953225003</v>
      </c>
      <c r="AU30" s="49">
        <f t="shared" si="53"/>
        <v>450.41561679569622</v>
      </c>
      <c r="AV30" s="49">
        <f t="shared" si="53"/>
        <v>495.53025124968178</v>
      </c>
      <c r="AW30" s="49">
        <f t="shared" si="53"/>
        <v>525.77115232737083</v>
      </c>
      <c r="AX30" s="49">
        <f t="shared" si="53"/>
        <v>548.1544813585308</v>
      </c>
      <c r="AY30" s="49">
        <f t="shared" si="53"/>
        <v>567.03086979560726</v>
      </c>
      <c r="AZ30" s="49">
        <f t="shared" si="53"/>
        <v>576.6414104640678</v>
      </c>
      <c r="BA30" s="49">
        <f t="shared" si="53"/>
        <v>584.1905668060125</v>
      </c>
    </row>
    <row r="31" spans="2:103">
      <c r="B31" s="1" t="s">
        <v>181</v>
      </c>
      <c r="C31" s="48">
        <v>-7.42</v>
      </c>
      <c r="D31" s="48">
        <v>0</v>
      </c>
      <c r="E31" s="48">
        <v>-45</v>
      </c>
      <c r="F31" s="48">
        <f>-51.971-SUM(C31:E31)</f>
        <v>0.44900000000000517</v>
      </c>
      <c r="G31" s="48">
        <v>-15.528</v>
      </c>
      <c r="H31" s="48">
        <v>102</v>
      </c>
      <c r="I31" s="48">
        <v>-20.649000000000001</v>
      </c>
      <c r="J31" s="48">
        <f>-68.43-SUM(G31:I31)</f>
        <v>-134.25299999999999</v>
      </c>
      <c r="K31" s="48">
        <v>-17.260000000000002</v>
      </c>
      <c r="L31" s="48">
        <v>0</v>
      </c>
      <c r="M31" s="48">
        <f>6.7-125.44</f>
        <v>-118.74</v>
      </c>
      <c r="N31" s="48">
        <f>-125.441+6.7-SUM(K31:M31)</f>
        <v>17.259</v>
      </c>
      <c r="O31" s="48">
        <v>12.7</v>
      </c>
      <c r="P31" s="48">
        <v>16.934000000000001</v>
      </c>
      <c r="Q31" s="48">
        <v>-12.33</v>
      </c>
      <c r="R31" s="48">
        <f>33.055-SUM(O31:Q31)</f>
        <v>15.750999999999998</v>
      </c>
      <c r="S31" s="48">
        <v>6.54</v>
      </c>
      <c r="T31" s="48">
        <v>14.278</v>
      </c>
      <c r="U31" s="48">
        <v>11.81</v>
      </c>
      <c r="V31" s="48">
        <f>42.693-SUM(S31:U31)</f>
        <v>10.064999999999998</v>
      </c>
      <c r="W31" s="48">
        <v>-83.132000000000005</v>
      </c>
      <c r="X31" s="48">
        <v>38.06</v>
      </c>
      <c r="Y31" s="48">
        <v>-138.61000000000001</v>
      </c>
      <c r="Z31" s="49"/>
      <c r="AA31" s="49"/>
      <c r="AB31" s="49"/>
      <c r="AC31" s="49"/>
      <c r="AD31" s="49"/>
      <c r="AM31" s="48">
        <f t="shared" si="41"/>
        <v>-51.970999999999997</v>
      </c>
      <c r="AN31" s="48">
        <f t="shared" si="42"/>
        <v>-68.429999999999993</v>
      </c>
      <c r="AO31" s="48">
        <f t="shared" si="43"/>
        <v>-118.741</v>
      </c>
      <c r="AP31" s="48">
        <f t="shared" si="44"/>
        <v>33.055</v>
      </c>
      <c r="AQ31" s="48">
        <f t="shared" si="45"/>
        <v>42.692999999999998</v>
      </c>
      <c r="AR31" s="49">
        <v>40</v>
      </c>
      <c r="AS31" s="49">
        <f>AR46*($BA$48)</f>
        <v>53.634880658250005</v>
      </c>
      <c r="AT31" s="49">
        <f>AS31*1.04</f>
        <v>55.780275884580007</v>
      </c>
      <c r="AU31" s="49">
        <f t="shared" ref="AU31:BA31" si="54">AT31*1.04</f>
        <v>58.011486919963211</v>
      </c>
      <c r="AV31" s="49">
        <f t="shared" si="54"/>
        <v>60.331946396761744</v>
      </c>
      <c r="AW31" s="49">
        <f t="shared" si="54"/>
        <v>62.745224252632212</v>
      </c>
      <c r="AX31" s="49">
        <f t="shared" si="54"/>
        <v>65.255033222737509</v>
      </c>
      <c r="AY31" s="49">
        <f t="shared" si="54"/>
        <v>67.865234551647006</v>
      </c>
      <c r="AZ31" s="49">
        <f t="shared" si="54"/>
        <v>70.579843933712894</v>
      </c>
      <c r="BA31" s="49">
        <f t="shared" si="54"/>
        <v>73.403037691061414</v>
      </c>
    </row>
    <row r="32" spans="2:103">
      <c r="B32" s="1" t="s">
        <v>186</v>
      </c>
      <c r="C32" s="48">
        <v>108.069</v>
      </c>
      <c r="D32" s="48">
        <v>-12.446999999999999</v>
      </c>
      <c r="E32" s="48">
        <v>-14.335000000000001</v>
      </c>
      <c r="F32" s="48">
        <f>108.1-45-SUM(C32:E32)</f>
        <v>-18.187000000000012</v>
      </c>
      <c r="G32" s="48">
        <v>0</v>
      </c>
      <c r="H32" s="48">
        <v>-16.184999999999999</v>
      </c>
      <c r="I32" s="48">
        <v>7.2</v>
      </c>
      <c r="J32" s="48">
        <f>102+7.2-SUM(G32:I32)</f>
        <v>118.185</v>
      </c>
      <c r="K32" s="48">
        <v>0</v>
      </c>
      <c r="L32" s="48">
        <v>-16.960999999999999</v>
      </c>
      <c r="M32" s="48">
        <v>-6.33</v>
      </c>
      <c r="N32" s="48">
        <f>-35.021-SUM(K32:M32)</f>
        <v>-11.730000000000004</v>
      </c>
      <c r="O32" s="48">
        <v>-387.32</v>
      </c>
      <c r="P32" s="48">
        <v>102</v>
      </c>
      <c r="Q32" s="48">
        <v>0</v>
      </c>
      <c r="R32" s="48">
        <f>-387.329+102-SUM(O32:Q32)</f>
        <v>-9.0000000000145519E-3</v>
      </c>
      <c r="S32" s="48">
        <v>0</v>
      </c>
      <c r="T32" s="48">
        <v>0</v>
      </c>
      <c r="U32" s="48">
        <v>0</v>
      </c>
      <c r="V32" s="48">
        <f>0-SUM(S32:U32)</f>
        <v>0</v>
      </c>
      <c r="W32" s="48">
        <v>0</v>
      </c>
      <c r="X32" s="48">
        <v>0</v>
      </c>
      <c r="Y32" s="48">
        <v>47.95</v>
      </c>
      <c r="Z32" s="49"/>
      <c r="AA32" s="49"/>
      <c r="AB32" s="49"/>
      <c r="AC32" s="49"/>
      <c r="AD32" s="49"/>
      <c r="AM32" s="48">
        <f t="shared" si="41"/>
        <v>63.099999999999994</v>
      </c>
      <c r="AN32" s="48">
        <f t="shared" si="42"/>
        <v>109.2</v>
      </c>
      <c r="AO32" s="48">
        <f t="shared" si="43"/>
        <v>-35.021000000000001</v>
      </c>
      <c r="AP32" s="48">
        <f t="shared" si="44"/>
        <v>-285.32900000000001</v>
      </c>
      <c r="AQ32" s="48">
        <f t="shared" si="45"/>
        <v>0</v>
      </c>
      <c r="AR32" s="49">
        <v>0</v>
      </c>
      <c r="AS32" s="49">
        <v>0</v>
      </c>
      <c r="AT32" s="49">
        <v>0</v>
      </c>
      <c r="AU32" s="49">
        <v>0</v>
      </c>
      <c r="AV32" s="49">
        <v>0</v>
      </c>
      <c r="AW32" s="49">
        <v>0</v>
      </c>
      <c r="AX32" s="49">
        <v>0</v>
      </c>
      <c r="AY32" s="49">
        <v>0</v>
      </c>
      <c r="AZ32" s="49">
        <v>0</v>
      </c>
      <c r="BA32" s="49">
        <v>0</v>
      </c>
    </row>
    <row r="33" spans="2:103" s="2" customFormat="1" ht="15">
      <c r="B33" s="1" t="s">
        <v>182</v>
      </c>
      <c r="C33" s="48">
        <f t="shared" ref="C33:F33" si="55">C30+SUM(C31:C32)</f>
        <v>-17.37700000000001</v>
      </c>
      <c r="D33" s="48">
        <f t="shared" si="55"/>
        <v>-150.80399999999997</v>
      </c>
      <c r="E33" s="48">
        <f t="shared" si="55"/>
        <v>-196.40299999999999</v>
      </c>
      <c r="F33" s="48">
        <f t="shared" si="55"/>
        <v>-188.4499999999999</v>
      </c>
      <c r="G33" s="48">
        <f>G30+SUM(G31:G32)</f>
        <v>-167.39299999999997</v>
      </c>
      <c r="H33" s="48">
        <f t="shared" ref="H33:Y33" si="56">H30+SUM(H31:H32)</f>
        <v>-81.758999999999958</v>
      </c>
      <c r="I33" s="48">
        <f t="shared" si="56"/>
        <v>-47.939000000000007</v>
      </c>
      <c r="J33" s="48">
        <f t="shared" si="56"/>
        <v>-121.89100000000002</v>
      </c>
      <c r="K33" s="48">
        <f t="shared" si="56"/>
        <v>-104.14100000000006</v>
      </c>
      <c r="L33" s="48">
        <f t="shared" si="56"/>
        <v>-228.04299999999995</v>
      </c>
      <c r="M33" s="48">
        <f t="shared" si="56"/>
        <v>-256.41299999999995</v>
      </c>
      <c r="N33" s="48">
        <f t="shared" si="56"/>
        <v>-101.36200000000011</v>
      </c>
      <c r="O33" s="48">
        <f t="shared" si="56"/>
        <v>-512.71299999999997</v>
      </c>
      <c r="P33" s="48">
        <f t="shared" si="56"/>
        <v>-14.58099999999996</v>
      </c>
      <c r="Q33" s="48">
        <f t="shared" si="56"/>
        <v>-33.180999999999997</v>
      </c>
      <c r="R33" s="48">
        <f t="shared" si="56"/>
        <v>40.377000000000031</v>
      </c>
      <c r="S33" s="48">
        <f t="shared" si="56"/>
        <v>41.438000000000024</v>
      </c>
      <c r="T33" s="48">
        <f t="shared" si="56"/>
        <v>13.578000000000012</v>
      </c>
      <c r="U33" s="48">
        <f t="shared" si="56"/>
        <v>34.007000000000005</v>
      </c>
      <c r="V33" s="48">
        <f t="shared" si="56"/>
        <v>171.75299999999987</v>
      </c>
      <c r="W33" s="48">
        <f t="shared" si="56"/>
        <v>-383.50700000000012</v>
      </c>
      <c r="X33" s="48">
        <f t="shared" si="56"/>
        <v>153.63400000000013</v>
      </c>
      <c r="Y33" s="48">
        <f t="shared" si="56"/>
        <v>-194.05900000000003</v>
      </c>
      <c r="Z33" s="47"/>
      <c r="AA33" s="47"/>
      <c r="AB33" s="47"/>
      <c r="AC33" s="47"/>
      <c r="AD33" s="47"/>
      <c r="AM33" s="48">
        <f t="shared" si="41"/>
        <v>-553.03399999999988</v>
      </c>
      <c r="AN33" s="48">
        <f t="shared" si="42"/>
        <v>-418.98199999999997</v>
      </c>
      <c r="AO33" s="48">
        <f t="shared" si="43"/>
        <v>-689.95900000000006</v>
      </c>
      <c r="AP33" s="48">
        <f t="shared" si="44"/>
        <v>-520.09799999999984</v>
      </c>
      <c r="AQ33" s="48">
        <f t="shared" si="45"/>
        <v>260.7759999999999</v>
      </c>
      <c r="AR33" s="49">
        <f>AR30+SUM(AR31:AR32)</f>
        <v>-199.1384022499999</v>
      </c>
      <c r="AS33" s="49">
        <f t="shared" ref="AS33:BA33" si="57">AS30+SUM(AS31:AS32)</f>
        <v>102.81965814675002</v>
      </c>
      <c r="AT33" s="49">
        <f t="shared" si="57"/>
        <v>467.75241541683005</v>
      </c>
      <c r="AU33" s="49">
        <f t="shared" si="57"/>
        <v>508.42710371565943</v>
      </c>
      <c r="AV33" s="49">
        <f t="shared" si="57"/>
        <v>555.86219764644352</v>
      </c>
      <c r="AW33" s="49">
        <f t="shared" si="57"/>
        <v>588.516376580003</v>
      </c>
      <c r="AX33" s="49">
        <f t="shared" si="57"/>
        <v>613.40951458126835</v>
      </c>
      <c r="AY33" s="49">
        <f t="shared" si="57"/>
        <v>634.89610434725432</v>
      </c>
      <c r="AZ33" s="49">
        <f t="shared" si="57"/>
        <v>647.22125439778074</v>
      </c>
      <c r="BA33" s="49">
        <f t="shared" si="57"/>
        <v>657.5936044970739</v>
      </c>
      <c r="BB33" s="35"/>
      <c r="BC33" s="35"/>
      <c r="BD33" s="35"/>
      <c r="BE33" s="35"/>
      <c r="BF33" s="35"/>
      <c r="BG33" s="35"/>
      <c r="BH33" s="47"/>
      <c r="BI33" s="47"/>
      <c r="BJ33" s="47"/>
      <c r="BK33" s="47"/>
      <c r="BL33" s="47"/>
      <c r="BM33" s="47"/>
      <c r="BN33" s="34"/>
      <c r="BO33" s="34"/>
      <c r="BP33" s="34"/>
      <c r="BQ33" s="34"/>
      <c r="BR33" s="34"/>
      <c r="BS33" s="34"/>
      <c r="BT33" s="34"/>
      <c r="BU33" s="34"/>
      <c r="BV33" s="34"/>
      <c r="BW33" s="34"/>
      <c r="BX33" s="34"/>
      <c r="BY33" s="34"/>
      <c r="BZ33" s="34"/>
      <c r="CA33" s="34"/>
      <c r="CB33" s="34"/>
      <c r="CC33" s="34"/>
      <c r="CD33" s="34"/>
      <c r="CE33" s="34"/>
      <c r="CF33" s="34"/>
      <c r="CG33" s="34"/>
      <c r="CH33" s="34"/>
      <c r="CI33" s="34"/>
      <c r="CJ33" s="34"/>
      <c r="CK33" s="34"/>
      <c r="CL33" s="34"/>
      <c r="CM33" s="34"/>
      <c r="CN33" s="34"/>
      <c r="CO33" s="34"/>
      <c r="CP33" s="34"/>
      <c r="CQ33" s="34"/>
      <c r="CR33" s="34"/>
      <c r="CS33" s="34"/>
      <c r="CT33" s="34"/>
      <c r="CU33" s="34"/>
      <c r="CV33" s="34"/>
      <c r="CW33" s="34"/>
      <c r="CX33" s="34"/>
      <c r="CY33" s="34"/>
    </row>
    <row r="34" spans="2:103" ht="15">
      <c r="B34" s="1" t="s">
        <v>183</v>
      </c>
      <c r="C34" s="48">
        <v>0.115</v>
      </c>
      <c r="D34" s="48">
        <v>0.2</v>
      </c>
      <c r="E34" s="48">
        <v>9.6000000000000002E-2</v>
      </c>
      <c r="F34" s="48">
        <f>1.063-SUM(C34:E34)</f>
        <v>0.65199999999999991</v>
      </c>
      <c r="G34" s="48">
        <v>-0.14299999999999999</v>
      </c>
      <c r="H34" s="48">
        <v>-0.35</v>
      </c>
      <c r="I34" s="48">
        <v>0.23699999999999999</v>
      </c>
      <c r="J34" s="48">
        <f>-0.168-SUM(G34:I34)</f>
        <v>8.7999999999999995E-2</v>
      </c>
      <c r="K34" s="48">
        <v>0.879</v>
      </c>
      <c r="L34" s="48">
        <v>3.3879999999999999</v>
      </c>
      <c r="M34" s="48">
        <v>1.32</v>
      </c>
      <c r="N34" s="48">
        <f>13.525-SUM(K34:M34)</f>
        <v>7.9380000000000006</v>
      </c>
      <c r="O34" s="48">
        <v>4.0449999999999999</v>
      </c>
      <c r="P34" s="48">
        <v>9.3550000000000004</v>
      </c>
      <c r="Q34" s="48">
        <v>7.7629999999999999</v>
      </c>
      <c r="R34" s="48">
        <f>15.879-SUM(O34:Q34)</f>
        <v>-5.2840000000000007</v>
      </c>
      <c r="S34" s="48">
        <v>5.3289999999999997</v>
      </c>
      <c r="T34" s="48">
        <v>7.117</v>
      </c>
      <c r="U34" s="48">
        <v>0.39500000000000002</v>
      </c>
      <c r="V34" s="48">
        <f>25.535-SUM(S34:U34)</f>
        <v>12.694000000000001</v>
      </c>
      <c r="W34" s="48">
        <v>63.99</v>
      </c>
      <c r="X34" s="48">
        <v>-43.25</v>
      </c>
      <c r="Y34" s="48">
        <v>-14.1</v>
      </c>
      <c r="Z34" s="49"/>
      <c r="AA34" s="49"/>
      <c r="AB34" s="49"/>
      <c r="AC34" s="49"/>
      <c r="AD34" s="49"/>
      <c r="AM34" s="48">
        <f t="shared" si="41"/>
        <v>1.0629999999999999</v>
      </c>
      <c r="AN34" s="48">
        <f t="shared" si="42"/>
        <v>-0.16800000000000001</v>
      </c>
      <c r="AO34" s="48">
        <f t="shared" si="43"/>
        <v>13.525</v>
      </c>
      <c r="AP34" s="48">
        <f t="shared" si="44"/>
        <v>15.879</v>
      </c>
      <c r="AQ34" s="48">
        <f t="shared" si="45"/>
        <v>25.535</v>
      </c>
      <c r="AR34" s="49">
        <f>AR33*AR43</f>
        <v>9.9569201124999953</v>
      </c>
      <c r="AS34" s="49">
        <f t="shared" ref="AS34:BA34" si="58">AS33*AS43</f>
        <v>8.2255726517400021</v>
      </c>
      <c r="AT34" s="49">
        <f t="shared" si="58"/>
        <v>46.775241541683009</v>
      </c>
      <c r="AU34" s="49">
        <f t="shared" si="58"/>
        <v>50.842710371565943</v>
      </c>
      <c r="AV34" s="49">
        <f t="shared" si="58"/>
        <v>55.586219764644355</v>
      </c>
      <c r="AW34" s="49">
        <f t="shared" si="58"/>
        <v>58.8516376580003</v>
      </c>
      <c r="AX34" s="49">
        <f t="shared" si="58"/>
        <v>61.340951458126838</v>
      </c>
      <c r="AY34" s="49">
        <f t="shared" si="58"/>
        <v>63.489610434725435</v>
      </c>
      <c r="AZ34" s="49">
        <f t="shared" si="58"/>
        <v>64.722125439778083</v>
      </c>
      <c r="BA34" s="49">
        <f t="shared" si="58"/>
        <v>65.759360449707387</v>
      </c>
      <c r="BF34" s="47"/>
      <c r="BG34" s="47"/>
    </row>
    <row r="35" spans="2:103" ht="15">
      <c r="B35" s="2" t="s">
        <v>89</v>
      </c>
      <c r="C35" s="46">
        <f t="shared" ref="C35:F35" si="59">C33-C34</f>
        <v>-17.492000000000008</v>
      </c>
      <c r="D35" s="46">
        <f t="shared" si="59"/>
        <v>-151.00399999999996</v>
      </c>
      <c r="E35" s="46">
        <f t="shared" si="59"/>
        <v>-196.499</v>
      </c>
      <c r="F35" s="46">
        <f t="shared" si="59"/>
        <v>-189.10199999999989</v>
      </c>
      <c r="G35" s="46">
        <f>G33-G34</f>
        <v>-167.24999999999997</v>
      </c>
      <c r="H35" s="46">
        <f t="shared" ref="H35:Y35" si="60">H33-H34</f>
        <v>-81.408999999999963</v>
      </c>
      <c r="I35" s="46">
        <f t="shared" si="60"/>
        <v>-48.176000000000009</v>
      </c>
      <c r="J35" s="46">
        <f t="shared" si="60"/>
        <v>-121.97900000000001</v>
      </c>
      <c r="K35" s="46">
        <f t="shared" si="60"/>
        <v>-105.02000000000007</v>
      </c>
      <c r="L35" s="46">
        <f>L33-L34+-2.2</f>
        <v>-233.63099999999994</v>
      </c>
      <c r="M35" s="46">
        <f>M33-M34-0.72</f>
        <v>-258.45299999999997</v>
      </c>
      <c r="N35" s="46">
        <f t="shared" si="60"/>
        <v>-109.30000000000011</v>
      </c>
      <c r="O35" s="46">
        <f t="shared" si="60"/>
        <v>-516.75799999999992</v>
      </c>
      <c r="P35" s="46">
        <f t="shared" si="60"/>
        <v>-23.935999999999961</v>
      </c>
      <c r="Q35" s="46">
        <f t="shared" si="60"/>
        <v>-40.943999999999996</v>
      </c>
      <c r="R35" s="46">
        <f t="shared" si="60"/>
        <v>45.66100000000003</v>
      </c>
      <c r="S35" s="46">
        <f>S33-S34-1.6</f>
        <v>34.509000000000022</v>
      </c>
      <c r="T35" s="46">
        <f>T33-T34</f>
        <v>6.4610000000000118</v>
      </c>
      <c r="U35" s="46">
        <f t="shared" si="60"/>
        <v>33.612000000000002</v>
      </c>
      <c r="V35" s="46">
        <f>V33-V34</f>
        <v>159.05899999999988</v>
      </c>
      <c r="W35" s="46">
        <f t="shared" si="60"/>
        <v>-447.49700000000013</v>
      </c>
      <c r="X35" s="46">
        <f t="shared" si="60"/>
        <v>196.88400000000013</v>
      </c>
      <c r="Y35" s="46">
        <f t="shared" si="60"/>
        <v>-179.95900000000003</v>
      </c>
      <c r="AM35" s="46">
        <f t="shared" si="41"/>
        <v>-554.09699999999987</v>
      </c>
      <c r="AN35" s="46">
        <f t="shared" si="42"/>
        <v>-418.81399999999996</v>
      </c>
      <c r="AO35" s="46">
        <f t="shared" si="43"/>
        <v>-706.40400000000011</v>
      </c>
      <c r="AP35" s="46">
        <f t="shared" si="44"/>
        <v>-535.97699999999975</v>
      </c>
      <c r="AQ35" s="46">
        <f t="shared" si="45"/>
        <v>233.64099999999991</v>
      </c>
      <c r="AR35" s="47">
        <f>AR33-AR34</f>
        <v>-209.0953223624999</v>
      </c>
      <c r="AS35" s="47">
        <f t="shared" ref="AS35:BA35" si="61">AS33-AS34</f>
        <v>94.594085495010006</v>
      </c>
      <c r="AT35" s="47">
        <f t="shared" si="61"/>
        <v>420.97717387514706</v>
      </c>
      <c r="AU35" s="47">
        <f t="shared" si="61"/>
        <v>457.58439334409348</v>
      </c>
      <c r="AV35" s="47">
        <f t="shared" si="61"/>
        <v>500.27597788179918</v>
      </c>
      <c r="AW35" s="47">
        <f t="shared" si="61"/>
        <v>529.6647389220027</v>
      </c>
      <c r="AX35" s="47">
        <f t="shared" si="61"/>
        <v>552.06856312314153</v>
      </c>
      <c r="AY35" s="47">
        <f t="shared" si="61"/>
        <v>571.40649391252884</v>
      </c>
      <c r="AZ35" s="47">
        <f t="shared" si="61"/>
        <v>582.49912895800264</v>
      </c>
      <c r="BA35" s="47">
        <f t="shared" si="61"/>
        <v>591.8342440473665</v>
      </c>
      <c r="BB35" s="47">
        <f>BA35*(1+$BA$49)</f>
        <v>532.65081964262981</v>
      </c>
      <c r="BC35" s="47">
        <f>BB35*(1+$BA$49)</f>
        <v>479.38573767836687</v>
      </c>
      <c r="BD35" s="47">
        <f>BC35*(1+$BA$49)</f>
        <v>431.44716391053021</v>
      </c>
      <c r="BE35" s="47">
        <f>BD35*(1+$BA$49)</f>
        <v>388.3024475194772</v>
      </c>
    </row>
    <row r="36" spans="2:103">
      <c r="B36" s="1" t="s">
        <v>93</v>
      </c>
      <c r="C36" s="48">
        <v>76.432000000000002</v>
      </c>
      <c r="D36" s="48">
        <v>77.968000000000004</v>
      </c>
      <c r="E36" s="48">
        <v>78.501000000000005</v>
      </c>
      <c r="F36" s="48">
        <v>77.77</v>
      </c>
      <c r="G36" s="48">
        <v>79.453999999999994</v>
      </c>
      <c r="H36" s="48">
        <v>79.745999999999995</v>
      </c>
      <c r="I36" s="48">
        <v>79.88</v>
      </c>
      <c r="J36" s="48">
        <v>87.12</v>
      </c>
      <c r="K36" s="48">
        <v>87.253</v>
      </c>
      <c r="L36" s="48">
        <v>87.510999999999996</v>
      </c>
      <c r="M36" s="48">
        <v>87.62</v>
      </c>
      <c r="N36" s="48">
        <v>87.980999999999995</v>
      </c>
      <c r="O36" s="48">
        <v>88.186000000000007</v>
      </c>
      <c r="P36" s="48">
        <v>88.742999999999995</v>
      </c>
      <c r="Q36" s="48">
        <v>88.888999999999996</v>
      </c>
      <c r="R36" s="48">
        <v>92.397999999999996</v>
      </c>
      <c r="S36" s="48">
        <v>93.99</v>
      </c>
      <c r="T36" s="48">
        <v>94.617999999999995</v>
      </c>
      <c r="U36" s="48">
        <v>95.39</v>
      </c>
      <c r="V36" s="48">
        <v>97.031999999999996</v>
      </c>
      <c r="W36" s="48">
        <v>97.361999999999995</v>
      </c>
      <c r="X36" s="48">
        <v>98.004999999999995</v>
      </c>
      <c r="Y36" s="48">
        <v>100.23</v>
      </c>
      <c r="AM36" s="48">
        <f>AVERAGE(C36:F36)</f>
        <v>77.667749999999998</v>
      </c>
      <c r="AN36" s="48">
        <f>AVERAGE(G36:J36)</f>
        <v>81.55</v>
      </c>
      <c r="AO36" s="48">
        <f>AVERAGE(K36:N36)</f>
        <v>87.591250000000002</v>
      </c>
      <c r="AP36" s="48">
        <f>AVERAGE(O36:R36)</f>
        <v>89.554000000000002</v>
      </c>
      <c r="AQ36" s="48">
        <f>AVERAGE(S36:V36)</f>
        <v>95.257499999999993</v>
      </c>
      <c r="AR36" s="49"/>
      <c r="AS36" s="49"/>
      <c r="AT36" s="49"/>
      <c r="AU36" s="49"/>
      <c r="AV36" s="49"/>
      <c r="AW36" s="49"/>
      <c r="AX36" s="49"/>
      <c r="AY36" s="49"/>
      <c r="AZ36" s="49"/>
      <c r="BA36" s="49"/>
    </row>
    <row r="37" spans="2:103">
      <c r="B37" s="1" t="s">
        <v>184</v>
      </c>
      <c r="C37" s="39">
        <f>C35/C36</f>
        <v>-0.22885702323634088</v>
      </c>
      <c r="D37" s="39">
        <f t="shared" ref="D37:Y37" si="62">D35/D36</f>
        <v>-1.9367432792940689</v>
      </c>
      <c r="E37" s="39">
        <f t="shared" si="62"/>
        <v>-2.5031400873874214</v>
      </c>
      <c r="F37" s="39">
        <f t="shared" si="62"/>
        <v>-2.43155458402983</v>
      </c>
      <c r="G37" s="39">
        <f t="shared" si="62"/>
        <v>-2.1049915674478314</v>
      </c>
      <c r="H37" s="39">
        <f t="shared" si="62"/>
        <v>-1.0208537105309354</v>
      </c>
      <c r="I37" s="39">
        <f t="shared" si="62"/>
        <v>-0.60310465698547833</v>
      </c>
      <c r="J37" s="39">
        <f>(J35/J36)</f>
        <v>-1.4001262626262627</v>
      </c>
      <c r="K37" s="39">
        <f t="shared" si="62"/>
        <v>-1.203626236347175</v>
      </c>
      <c r="L37" s="39">
        <f t="shared" si="62"/>
        <v>-2.669732947857983</v>
      </c>
      <c r="M37" s="39">
        <f t="shared" si="62"/>
        <v>-2.9497032640949552</v>
      </c>
      <c r="N37" s="39">
        <f t="shared" si="62"/>
        <v>-1.2423136813630229</v>
      </c>
      <c r="O37" s="39">
        <f t="shared" si="62"/>
        <v>-5.8598643775655983</v>
      </c>
      <c r="P37" s="39">
        <f t="shared" si="62"/>
        <v>-0.26972268235241048</v>
      </c>
      <c r="Q37" s="39">
        <f t="shared" si="62"/>
        <v>-0.46061942422571966</v>
      </c>
      <c r="R37" s="39">
        <f t="shared" si="62"/>
        <v>0.49417736314638877</v>
      </c>
      <c r="S37" s="39">
        <f t="shared" si="62"/>
        <v>0.36715608043408898</v>
      </c>
      <c r="T37" s="39">
        <f t="shared" si="62"/>
        <v>6.8285104314189812E-2</v>
      </c>
      <c r="U37" s="39">
        <f t="shared" si="62"/>
        <v>0.35236397945277287</v>
      </c>
      <c r="V37" s="39">
        <f t="shared" si="62"/>
        <v>1.6392427240497969</v>
      </c>
      <c r="W37" s="39">
        <f t="shared" si="62"/>
        <v>-4.5962182370945559</v>
      </c>
      <c r="X37" s="39">
        <f t="shared" si="62"/>
        <v>2.008917912351412</v>
      </c>
      <c r="Y37" s="39">
        <f t="shared" si="62"/>
        <v>-1.7954604409857331</v>
      </c>
      <c r="AM37" s="39">
        <f t="shared" ref="AM37" si="63">SUM(C37:F37)</f>
        <v>-7.1002949739476611</v>
      </c>
      <c r="AN37" s="39">
        <f t="shared" ref="AN37" si="64">SUM(G37:J37)</f>
        <v>-5.1290761975905088</v>
      </c>
      <c r="AO37" s="39">
        <f t="shared" ref="AO37" si="65">SUM(K37:N37)</f>
        <v>-8.0653761296631359</v>
      </c>
      <c r="AP37" s="39">
        <f t="shared" ref="AP37" si="66">SUM(O37:R37)</f>
        <v>-6.0960291209973398</v>
      </c>
      <c r="AQ37" s="39">
        <f t="shared" ref="AQ37" si="67">SUM(S37:V37)</f>
        <v>2.4270478882508488</v>
      </c>
    </row>
    <row r="39" spans="2:103">
      <c r="B39" s="37" t="s">
        <v>74</v>
      </c>
      <c r="C39" s="50">
        <f t="shared" ref="C39:V39" si="68">C25/C23</f>
        <v>0.88896317539630876</v>
      </c>
      <c r="D39" s="50">
        <f t="shared" si="68"/>
        <v>0.90287494812862645</v>
      </c>
      <c r="E39" s="50">
        <f t="shared" si="68"/>
        <v>0.8956741057780494</v>
      </c>
      <c r="F39" s="50">
        <f t="shared" si="68"/>
        <v>0.84564082071350821</v>
      </c>
      <c r="G39" s="50">
        <f t="shared" si="68"/>
        <v>0.84791500772471429</v>
      </c>
      <c r="H39" s="50">
        <f t="shared" si="68"/>
        <v>0.88107063849496314</v>
      </c>
      <c r="I39" s="50">
        <f t="shared" si="68"/>
        <v>0.87622115435391035</v>
      </c>
      <c r="J39" s="50">
        <f t="shared" si="68"/>
        <v>0.84240649276513369</v>
      </c>
      <c r="K39" s="50">
        <f t="shared" si="68"/>
        <v>0.85086088317601849</v>
      </c>
      <c r="L39" s="50">
        <f t="shared" si="68"/>
        <v>0.83816268942394567</v>
      </c>
      <c r="M39" s="50">
        <f t="shared" si="68"/>
        <v>0.82650234068978701</v>
      </c>
      <c r="N39" s="50">
        <f t="shared" si="68"/>
        <v>0.8807959066771941</v>
      </c>
      <c r="O39" s="50">
        <f t="shared" si="68"/>
        <v>0.86186315311939088</v>
      </c>
      <c r="P39" s="50">
        <f t="shared" si="68"/>
        <v>0.86937581821940146</v>
      </c>
      <c r="Q39" s="50">
        <f t="shared" si="68"/>
        <v>0.88841137043109264</v>
      </c>
      <c r="R39" s="50">
        <f t="shared" si="68"/>
        <v>0.88866795196512061</v>
      </c>
      <c r="S39" s="50">
        <f t="shared" si="68"/>
        <v>0.8777164251663413</v>
      </c>
      <c r="T39" s="50">
        <f t="shared" si="68"/>
        <v>0.87727559536766342</v>
      </c>
      <c r="U39" s="50">
        <f t="shared" si="68"/>
        <v>0.80373139599846743</v>
      </c>
      <c r="V39" s="50">
        <f t="shared" si="68"/>
        <v>0.7990519786642043</v>
      </c>
      <c r="W39" s="50">
        <f>W25/W23</f>
        <v>0.81532149579385171</v>
      </c>
      <c r="X39" s="50">
        <f>X25/X23</f>
        <v>0.75035019506192235</v>
      </c>
      <c r="Y39" s="50">
        <f>Y25/Y23</f>
        <v>0.62244236157889332</v>
      </c>
      <c r="AM39" s="50">
        <f t="shared" ref="AM39:AQ39" si="69">AM25/AM23</f>
        <v>0.88264744056182287</v>
      </c>
      <c r="AN39" s="50">
        <f t="shared" si="69"/>
        <v>0.8617230300137495</v>
      </c>
      <c r="AO39" s="50">
        <f t="shared" si="69"/>
        <v>0.84996028994236961</v>
      </c>
      <c r="AP39" s="50">
        <f t="shared" si="69"/>
        <v>0.87908095639473149</v>
      </c>
      <c r="AQ39" s="50">
        <f t="shared" si="69"/>
        <v>0.83222790577603645</v>
      </c>
      <c r="AR39" s="60">
        <v>0.76</v>
      </c>
      <c r="AS39" s="60">
        <v>0.78</v>
      </c>
      <c r="AT39" s="60">
        <v>0.79</v>
      </c>
      <c r="AU39" s="60">
        <v>0.79500000000000004</v>
      </c>
      <c r="AV39" s="60">
        <v>0.8</v>
      </c>
      <c r="AW39" s="60">
        <v>0.80500000000000005</v>
      </c>
      <c r="AX39" s="60">
        <v>0.81</v>
      </c>
      <c r="AY39" s="60">
        <v>0.81</v>
      </c>
      <c r="AZ39" s="60">
        <v>0.81</v>
      </c>
      <c r="BA39" s="60">
        <v>0.81</v>
      </c>
    </row>
    <row r="40" spans="2:103">
      <c r="B40" s="37" t="s">
        <v>75</v>
      </c>
      <c r="C40" s="50">
        <f t="shared" ref="C40:V40" si="70">C26/C23</f>
        <v>1.1976705315199607</v>
      </c>
      <c r="D40" s="50">
        <f t="shared" si="70"/>
        <v>1.3724765031778039</v>
      </c>
      <c r="E40" s="50">
        <f t="shared" si="70"/>
        <v>1.3231844584641892</v>
      </c>
      <c r="F40" s="50">
        <f t="shared" si="70"/>
        <v>1.4278361880089836</v>
      </c>
      <c r="G40" s="50">
        <f t="shared" si="70"/>
        <v>1.3281676433155698</v>
      </c>
      <c r="H40" s="50">
        <f t="shared" si="70"/>
        <v>1.460317266849088</v>
      </c>
      <c r="I40" s="50">
        <f t="shared" si="70"/>
        <v>0.73462005597507529</v>
      </c>
      <c r="J40" s="50">
        <f t="shared" si="70"/>
        <v>0.97935519098558022</v>
      </c>
      <c r="K40" s="50">
        <f t="shared" si="70"/>
        <v>0.92135844044965143</v>
      </c>
      <c r="L40" s="50">
        <f t="shared" si="70"/>
        <v>1.0804669067428287</v>
      </c>
      <c r="M40" s="50">
        <f t="shared" si="70"/>
        <v>0.94105283271233398</v>
      </c>
      <c r="N40" s="50">
        <f t="shared" si="70"/>
        <v>0.82753162107349121</v>
      </c>
      <c r="O40" s="50">
        <f t="shared" si="70"/>
        <v>0.96916704471488591</v>
      </c>
      <c r="P40" s="50">
        <f t="shared" si="70"/>
        <v>0.9259372679319241</v>
      </c>
      <c r="Q40" s="50">
        <f t="shared" si="70"/>
        <v>0.58558262609701994</v>
      </c>
      <c r="R40" s="50">
        <f t="shared" si="70"/>
        <v>0.49274058392872905</v>
      </c>
      <c r="S40" s="50">
        <f t="shared" si="70"/>
        <v>0.48468401792689436</v>
      </c>
      <c r="T40" s="50">
        <f t="shared" si="70"/>
        <v>0.4951133423525943</v>
      </c>
      <c r="U40" s="50">
        <f t="shared" si="70"/>
        <v>0.48051569981869596</v>
      </c>
      <c r="V40" s="50">
        <f t="shared" si="70"/>
        <v>0.30368425209287647</v>
      </c>
      <c r="W40" s="50">
        <f>W26/W23</f>
        <v>1.0383775786655784</v>
      </c>
      <c r="X40" s="50">
        <f>X26/X23</f>
        <v>0.33447228549734237</v>
      </c>
      <c r="Y40" s="50">
        <f>Y26/Y23</f>
        <v>0.54812529579834879</v>
      </c>
      <c r="AM40" s="50">
        <f t="shared" ref="AM40:AQ40" si="71">AM26/AM23</f>
        <v>1.3374270272672231</v>
      </c>
      <c r="AN40" s="50">
        <f t="shared" si="71"/>
        <v>1.098792468422515</v>
      </c>
      <c r="AO40" s="50">
        <f t="shared" si="71"/>
        <v>0.94006192839756797</v>
      </c>
      <c r="AP40" s="50">
        <f t="shared" si="71"/>
        <v>0.70567167684358845</v>
      </c>
      <c r="AQ40" s="50">
        <f t="shared" si="71"/>
        <v>0.42299205196271883</v>
      </c>
      <c r="AR40" s="60">
        <v>0.64</v>
      </c>
      <c r="AS40" s="60">
        <v>0.55000000000000004</v>
      </c>
      <c r="AT40" s="60">
        <v>0.32</v>
      </c>
      <c r="AU40" s="60">
        <v>0.3</v>
      </c>
      <c r="AV40" s="60">
        <v>0.28000000000000003</v>
      </c>
      <c r="AW40" s="60">
        <v>0.27</v>
      </c>
      <c r="AX40" s="60">
        <v>0.26</v>
      </c>
      <c r="AY40" s="60">
        <v>0.25</v>
      </c>
      <c r="AZ40" s="60">
        <v>0.245</v>
      </c>
      <c r="BA40" s="60">
        <v>0.24</v>
      </c>
    </row>
    <row r="41" spans="2:103">
      <c r="B41" s="37" t="s">
        <v>76</v>
      </c>
      <c r="C41" s="50">
        <f t="shared" ref="C41:V41" si="72">C27/C23</f>
        <v>0.72811724756760565</v>
      </c>
      <c r="D41" s="50">
        <f t="shared" si="72"/>
        <v>0.53646284553614976</v>
      </c>
      <c r="E41" s="50">
        <f t="shared" si="72"/>
        <v>0.52370000833773378</v>
      </c>
      <c r="F41" s="50">
        <f t="shared" si="72"/>
        <v>0.59284011519753055</v>
      </c>
      <c r="G41" s="50">
        <f t="shared" si="72"/>
        <v>0.48411158979384877</v>
      </c>
      <c r="H41" s="50">
        <f t="shared" si="72"/>
        <v>0.4409009744711711</v>
      </c>
      <c r="I41" s="50">
        <f t="shared" si="72"/>
        <v>0.32279136082800869</v>
      </c>
      <c r="J41" s="50">
        <f t="shared" si="72"/>
        <v>0.38745625573949521</v>
      </c>
      <c r="K41" s="50">
        <f t="shared" si="72"/>
        <v>0.34074847033154676</v>
      </c>
      <c r="L41" s="50">
        <f t="shared" si="72"/>
        <v>0.66077752133494905</v>
      </c>
      <c r="M41" s="50">
        <f t="shared" si="72"/>
        <v>0.45505354490737127</v>
      </c>
      <c r="N41" s="50">
        <f t="shared" si="72"/>
        <v>0.46629665753255006</v>
      </c>
      <c r="O41" s="50">
        <f t="shared" si="72"/>
        <v>0.43675023175999528</v>
      </c>
      <c r="P41" s="50">
        <f t="shared" si="72"/>
        <v>0.45383902801276998</v>
      </c>
      <c r="Q41" s="50">
        <f t="shared" si="72"/>
        <v>0.36434624843282865</v>
      </c>
      <c r="R41" s="50">
        <f t="shared" si="72"/>
        <v>0.33191950503408546</v>
      </c>
      <c r="S41" s="50">
        <f t="shared" si="72"/>
        <v>0.30717341827566103</v>
      </c>
      <c r="T41" s="50">
        <f t="shared" si="72"/>
        <v>0.3824350351448087</v>
      </c>
      <c r="U41" s="50">
        <f t="shared" si="72"/>
        <v>0.27441771856557873</v>
      </c>
      <c r="V41" s="50">
        <f t="shared" si="72"/>
        <v>0.24888369804259874</v>
      </c>
      <c r="W41" s="50">
        <f>W27/W23</f>
        <v>0.17940101656414209</v>
      </c>
      <c r="X41" s="50">
        <f>X27/X23</f>
        <v>0.22565817034535121</v>
      </c>
      <c r="Y41" s="50">
        <f>Y27/Y23</f>
        <v>0.23010294408566073</v>
      </c>
      <c r="AM41" s="50">
        <f t="shared" ref="AM41:AQ41" si="73">AM27/AM23</f>
        <v>0.58854950666451888</v>
      </c>
      <c r="AN41" s="50">
        <f t="shared" si="73"/>
        <v>0.40273849639165343</v>
      </c>
      <c r="AO41" s="50">
        <f t="shared" si="73"/>
        <v>0.48383141499636129</v>
      </c>
      <c r="AP41" s="50">
        <f t="shared" si="73"/>
        <v>0.38756297573624504</v>
      </c>
      <c r="AQ41" s="50">
        <f t="shared" si="73"/>
        <v>0.2933102836571802</v>
      </c>
      <c r="AR41" s="60">
        <v>0.23</v>
      </c>
      <c r="AS41" s="60">
        <v>0.2</v>
      </c>
      <c r="AT41" s="60">
        <v>0.19500000000000001</v>
      </c>
      <c r="AU41" s="60">
        <v>0.19</v>
      </c>
      <c r="AV41" s="60">
        <v>0.185</v>
      </c>
      <c r="AW41" s="60">
        <v>0.18</v>
      </c>
      <c r="AX41" s="60">
        <v>0.18</v>
      </c>
      <c r="AY41" s="60">
        <v>0.18</v>
      </c>
      <c r="AZ41" s="60">
        <v>0.18</v>
      </c>
      <c r="BA41" s="60">
        <v>0.18</v>
      </c>
    </row>
    <row r="42" spans="2:103">
      <c r="B42" s="37" t="s">
        <v>77</v>
      </c>
      <c r="C42" s="50">
        <f t="shared" ref="C42:V42" si="74">C30/C23</f>
        <v>-1.0382849200344848</v>
      </c>
      <c r="D42" s="50">
        <f t="shared" si="74"/>
        <v>-1.0072656323939455</v>
      </c>
      <c r="E42" s="50">
        <f t="shared" si="74"/>
        <v>-0.95236374753342024</v>
      </c>
      <c r="F42" s="50">
        <f t="shared" si="74"/>
        <v>-1.1761723002301185</v>
      </c>
      <c r="G42" s="50">
        <f t="shared" si="74"/>
        <v>-1.0335803880733132</v>
      </c>
      <c r="H42" s="50">
        <f t="shared" si="74"/>
        <v>-1.0212384742426364</v>
      </c>
      <c r="I42" s="50">
        <f t="shared" si="74"/>
        <v>-0.18213022125996731</v>
      </c>
      <c r="J42" s="50">
        <f t="shared" si="74"/>
        <v>-0.52529348986125957</v>
      </c>
      <c r="K42" s="50">
        <f t="shared" si="74"/>
        <v>-0.41209030972821736</v>
      </c>
      <c r="L42" s="50">
        <f t="shared" si="74"/>
        <v>-0.90384821248881309</v>
      </c>
      <c r="M42" s="50">
        <f t="shared" si="74"/>
        <v>-0.57037702910445798</v>
      </c>
      <c r="N42" s="50">
        <f t="shared" si="74"/>
        <v>-0.41370968990447926</v>
      </c>
      <c r="O42" s="50">
        <f t="shared" si="74"/>
        <v>-0.54475630683050957</v>
      </c>
      <c r="P42" s="50">
        <f t="shared" si="74"/>
        <v>-0.51108567666265992</v>
      </c>
      <c r="Q42" s="50">
        <f t="shared" si="74"/>
        <v>-6.2840558395216503E-2</v>
      </c>
      <c r="R42" s="50">
        <f t="shared" si="74"/>
        <v>6.2084955707607317E-2</v>
      </c>
      <c r="S42" s="50">
        <f t="shared" si="74"/>
        <v>8.4405391612670772E-2</v>
      </c>
      <c r="T42" s="50">
        <f t="shared" si="74"/>
        <v>-1.9287625335122176E-3</v>
      </c>
      <c r="U42" s="50">
        <f t="shared" si="74"/>
        <v>4.751365131825392E-2</v>
      </c>
      <c r="V42" s="50">
        <f t="shared" si="74"/>
        <v>0.24556820529020795</v>
      </c>
      <c r="W42" s="50">
        <f>W30/W23</f>
        <v>-0.40326261777349376</v>
      </c>
      <c r="X42" s="50">
        <f>X30/X23</f>
        <v>0.18912824339538678</v>
      </c>
      <c r="Y42" s="50">
        <f>Y30/Y23</f>
        <v>-0.25892278066724606</v>
      </c>
      <c r="AM42" s="50">
        <f t="shared" ref="AM42:AQ42" si="75">AM30/AM23</f>
        <v>-1.0445547945839557</v>
      </c>
      <c r="AN42" s="50">
        <f t="shared" si="75"/>
        <v>-0.655062015117298</v>
      </c>
      <c r="AO42" s="50">
        <f t="shared" si="75"/>
        <v>-0.57469402891492405</v>
      </c>
      <c r="AP42" s="50">
        <f t="shared" si="75"/>
        <v>-0.21540758089526876</v>
      </c>
      <c r="AQ42" s="50">
        <f t="shared" si="75"/>
        <v>0.11466109773031138</v>
      </c>
      <c r="AR42" s="60">
        <f>AR30/AR23</f>
        <v>-0.10999999999999996</v>
      </c>
      <c r="AS42" s="60">
        <f t="shared" ref="AS42:BA42" si="76">AS30/AS23</f>
        <v>3.0000000000000002E-2</v>
      </c>
      <c r="AT42" s="60">
        <f t="shared" si="76"/>
        <v>0.27500000000000002</v>
      </c>
      <c r="AU42" s="60">
        <f t="shared" si="76"/>
        <v>0.30499999999999999</v>
      </c>
      <c r="AV42" s="60">
        <f t="shared" si="76"/>
        <v>0.33500000000000002</v>
      </c>
      <c r="AW42" s="60">
        <f t="shared" si="76"/>
        <v>0.35499999999999998</v>
      </c>
      <c r="AX42" s="60">
        <f t="shared" si="76"/>
        <v>0.37000000000000016</v>
      </c>
      <c r="AY42" s="60">
        <f t="shared" si="76"/>
        <v>0.38000000000000006</v>
      </c>
      <c r="AZ42" s="60">
        <f t="shared" si="76"/>
        <v>0.38500000000000001</v>
      </c>
      <c r="BA42" s="60">
        <f t="shared" si="76"/>
        <v>0.39</v>
      </c>
    </row>
    <row r="43" spans="2:103">
      <c r="B43" s="37" t="s">
        <v>78</v>
      </c>
      <c r="C43" s="50">
        <f t="shared" ref="C43:Q43" si="77">-C34/C33</f>
        <v>6.6179432583299731E-3</v>
      </c>
      <c r="D43" s="50">
        <f t="shared" si="77"/>
        <v>1.3262247685737782E-3</v>
      </c>
      <c r="E43" s="50">
        <f t="shared" si="77"/>
        <v>4.8879090441592032E-4</v>
      </c>
      <c r="F43" s="50">
        <f t="shared" si="77"/>
        <v>3.4598036614486615E-3</v>
      </c>
      <c r="G43" s="50">
        <f t="shared" si="77"/>
        <v>-8.5427706057003582E-4</v>
      </c>
      <c r="H43" s="50">
        <f t="shared" si="77"/>
        <v>-4.2808742768380261E-3</v>
      </c>
      <c r="I43" s="50">
        <f t="shared" si="77"/>
        <v>4.943782723878261E-3</v>
      </c>
      <c r="J43" s="50">
        <f t="shared" si="77"/>
        <v>7.2195650212074705E-4</v>
      </c>
      <c r="K43" s="50">
        <f t="shared" si="77"/>
        <v>8.4404797342065036E-3</v>
      </c>
      <c r="L43" s="50">
        <f t="shared" si="77"/>
        <v>1.4856847173559375E-2</v>
      </c>
      <c r="M43" s="50">
        <f t="shared" si="77"/>
        <v>5.1479449169893896E-3</v>
      </c>
      <c r="N43" s="50">
        <f t="shared" si="77"/>
        <v>7.8313371875061585E-2</v>
      </c>
      <c r="O43" s="50">
        <f t="shared" si="77"/>
        <v>7.8894040135514421E-3</v>
      </c>
      <c r="P43" s="50">
        <f t="shared" si="77"/>
        <v>0.64158836842466405</v>
      </c>
      <c r="Q43" s="50">
        <f t="shared" si="77"/>
        <v>0.23395919351436065</v>
      </c>
      <c r="R43" s="50">
        <f>R34/R33</f>
        <v>-0.13086658246031149</v>
      </c>
      <c r="S43" s="50">
        <f t="shared" ref="S43:U43" si="78">S34/S33</f>
        <v>0.12860176649452185</v>
      </c>
      <c r="T43" s="50">
        <f t="shared" si="78"/>
        <v>0.52415672411253456</v>
      </c>
      <c r="U43" s="50">
        <f t="shared" si="78"/>
        <v>1.1615255682653571E-2</v>
      </c>
      <c r="V43" s="50">
        <f>V34/V33</f>
        <v>7.3908461569812525E-2</v>
      </c>
      <c r="W43" s="50">
        <f>-W34/W33</f>
        <v>0.1668548422844954</v>
      </c>
      <c r="X43" s="50">
        <f>X34/X33</f>
        <v>-0.28151320671205571</v>
      </c>
      <c r="Y43" s="50">
        <f>Y34/Y33</f>
        <v>7.2658315254639047E-2</v>
      </c>
      <c r="AM43" s="50">
        <f t="shared" ref="AM43:AQ43" si="79">-AM34/AM33</f>
        <v>1.9221241370331664E-3</v>
      </c>
      <c r="AN43" s="50">
        <f t="shared" si="79"/>
        <v>-4.009718794602155E-4</v>
      </c>
      <c r="AO43" s="50">
        <f t="shared" si="79"/>
        <v>1.9602614068372177E-2</v>
      </c>
      <c r="AP43" s="50">
        <f t="shared" si="79"/>
        <v>3.0530784582905538E-2</v>
      </c>
      <c r="AQ43" s="50">
        <f t="shared" si="79"/>
        <v>-9.791928705095565E-2</v>
      </c>
      <c r="AR43" s="60">
        <v>-0.05</v>
      </c>
      <c r="AS43" s="60">
        <v>0.08</v>
      </c>
      <c r="AT43" s="60">
        <v>0.1</v>
      </c>
      <c r="AU43" s="60">
        <v>0.1</v>
      </c>
      <c r="AV43" s="60">
        <v>0.1</v>
      </c>
      <c r="AW43" s="60">
        <v>0.1</v>
      </c>
      <c r="AX43" s="60">
        <v>0.1</v>
      </c>
      <c r="AY43" s="60">
        <v>0.1</v>
      </c>
      <c r="AZ43" s="60">
        <v>0.1</v>
      </c>
      <c r="BA43" s="60">
        <v>0.1</v>
      </c>
    </row>
    <row r="44" spans="2:103">
      <c r="B44" s="37" t="s">
        <v>79</v>
      </c>
      <c r="C44" s="50">
        <f t="shared" ref="C44:V44" si="80">C35/C23</f>
        <v>-0.15387863539595695</v>
      </c>
      <c r="D44" s="50">
        <f t="shared" si="80"/>
        <v>-1.0993382304763426</v>
      </c>
      <c r="E44" s="50">
        <f t="shared" si="80"/>
        <v>-1.3652969622856506</v>
      </c>
      <c r="F44" s="50">
        <f t="shared" si="80"/>
        <v>-1.3028758043846707</v>
      </c>
      <c r="G44" s="50">
        <f t="shared" si="80"/>
        <v>-1.1382894011474771</v>
      </c>
      <c r="H44" s="50">
        <f t="shared" si="80"/>
        <v>-0.49612710175575431</v>
      </c>
      <c r="I44" s="50">
        <f t="shared" si="80"/>
        <v>-0.2544014363415536</v>
      </c>
      <c r="J44" s="50">
        <f t="shared" si="80"/>
        <v>-0.60549005981484705</v>
      </c>
      <c r="K44" s="50">
        <f t="shared" si="80"/>
        <v>-0.49812645259213623</v>
      </c>
      <c r="L44" s="50">
        <f t="shared" si="80"/>
        <v>-1.0004025058127832</v>
      </c>
      <c r="M44" s="50">
        <f t="shared" si="80"/>
        <v>-1.1223716094739309</v>
      </c>
      <c r="N44" s="50">
        <f t="shared" si="80"/>
        <v>-0.4230334556376083</v>
      </c>
      <c r="O44" s="50">
        <f t="shared" si="80"/>
        <v>-2.0385333044044258</v>
      </c>
      <c r="P44" s="50">
        <f t="shared" si="80"/>
        <v>-9.1625261256019261E-2</v>
      </c>
      <c r="Q44" s="50">
        <f t="shared" si="80"/>
        <v>-0.12339666313048508</v>
      </c>
      <c r="R44" s="50">
        <f t="shared" si="80"/>
        <v>0.11507453470935881</v>
      </c>
      <c r="S44" s="50">
        <f t="shared" si="80"/>
        <v>8.3464544075925712E-2</v>
      </c>
      <c r="T44" s="50">
        <f t="shared" si="80"/>
        <v>1.7802478184318089E-2</v>
      </c>
      <c r="U44" s="50">
        <f t="shared" si="80"/>
        <v>7.194795909848857E-2</v>
      </c>
      <c r="V44" s="50">
        <f t="shared" si="80"/>
        <v>0.24157533747250995</v>
      </c>
      <c r="W44" s="50">
        <f>W35/W23</f>
        <v>-0.60077839922025844</v>
      </c>
      <c r="X44" s="50">
        <f>X35/X23</f>
        <v>0.32218600267064662</v>
      </c>
      <c r="Y44" s="50">
        <f>Y35/Y23</f>
        <v>-0.45063767237687913</v>
      </c>
      <c r="AM44" s="50">
        <f t="shared" ref="AM44:AQ44" si="81">AM35/AM23</f>
        <v>-1.0259174706859295</v>
      </c>
      <c r="AN44" s="50">
        <f t="shared" si="81"/>
        <v>-0.59673289686469222</v>
      </c>
      <c r="AO44" s="50">
        <f t="shared" si="81"/>
        <v>-0.75712128341191409</v>
      </c>
      <c r="AP44" s="50">
        <f t="shared" si="81"/>
        <v>-0.43107977248306151</v>
      </c>
      <c r="AQ44" s="50">
        <f t="shared" si="81"/>
        <v>0.12284099877022822</v>
      </c>
      <c r="AR44" s="60">
        <f>AR35/AR23</f>
        <v>-9.61806436919731E-2</v>
      </c>
      <c r="AS44" s="60">
        <f t="shared" ref="AS44:BA44" si="82">AS35/AS23</f>
        <v>5.7697171965733048E-2</v>
      </c>
      <c r="AT44" s="60">
        <f t="shared" si="82"/>
        <v>0.28101104833717239</v>
      </c>
      <c r="AU44" s="60">
        <f t="shared" si="82"/>
        <v>0.30985435399157779</v>
      </c>
      <c r="AV44" s="60">
        <f t="shared" si="82"/>
        <v>0.3382083175906011</v>
      </c>
      <c r="AW44" s="60">
        <f t="shared" si="82"/>
        <v>0.35762894461777861</v>
      </c>
      <c r="AX44" s="60">
        <f t="shared" si="82"/>
        <v>0.37264197466618693</v>
      </c>
      <c r="AY44" s="60">
        <f t="shared" si="82"/>
        <v>0.38293235739533826</v>
      </c>
      <c r="AZ44" s="60">
        <f t="shared" si="82"/>
        <v>0.38891096022457</v>
      </c>
      <c r="BA44" s="60">
        <f t="shared" si="82"/>
        <v>0.39510284536161977</v>
      </c>
    </row>
    <row r="46" spans="2:103">
      <c r="B46" s="1" t="s">
        <v>80</v>
      </c>
      <c r="C46" s="48"/>
      <c r="D46" s="48"/>
      <c r="E46" s="48"/>
      <c r="F46" s="48">
        <v>1502.64</v>
      </c>
      <c r="G46" s="48">
        <v>1481.83</v>
      </c>
      <c r="H46" s="48">
        <v>1697.27</v>
      </c>
      <c r="I46" s="48">
        <v>1599.1130000000001</v>
      </c>
      <c r="J46" s="48">
        <v>2115.8690000000001</v>
      </c>
      <c r="K46" s="48">
        <v>1233.877</v>
      </c>
      <c r="L46" s="48">
        <v>868.56500000000005</v>
      </c>
      <c r="M46" s="48">
        <v>1038.6199999999999</v>
      </c>
      <c r="N46" s="48">
        <v>966.77</v>
      </c>
      <c r="O46" s="48">
        <v>871.66800000000001</v>
      </c>
      <c r="P46" s="48">
        <v>851.92899999999997</v>
      </c>
      <c r="Q46" s="48">
        <v>541.93200000000002</v>
      </c>
      <c r="R46" s="48">
        <v>428.43</v>
      </c>
      <c r="S46" s="48">
        <v>427.29</v>
      </c>
      <c r="T46" s="48">
        <v>383.62200000000001</v>
      </c>
      <c r="U46" s="48">
        <v>197.85499999999999</v>
      </c>
      <c r="V46" s="48">
        <v>1103.01</v>
      </c>
      <c r="W46" s="48">
        <v>240.86699999999999</v>
      </c>
      <c r="X46" s="48">
        <v>510.59800000000001</v>
      </c>
      <c r="Y46" s="48">
        <v>613.07000000000005</v>
      </c>
      <c r="AM46" s="48">
        <f>F46</f>
        <v>1502.64</v>
      </c>
      <c r="AN46" s="48">
        <f>J46</f>
        <v>2115.8690000000001</v>
      </c>
      <c r="AO46" s="48">
        <f>N46</f>
        <v>966.77</v>
      </c>
      <c r="AP46" s="48">
        <f>R46</f>
        <v>428.43</v>
      </c>
      <c r="AQ46" s="48">
        <f>V46</f>
        <v>1103.01</v>
      </c>
      <c r="AR46" s="49">
        <f>AR35+AQ46</f>
        <v>893.91467763750006</v>
      </c>
      <c r="AS46" s="49">
        <f t="shared" ref="AS46:BA46" si="83">AS35+AR46</f>
        <v>988.50876313251001</v>
      </c>
      <c r="AT46" s="49">
        <f t="shared" si="83"/>
        <v>1409.485937007657</v>
      </c>
      <c r="AU46" s="49">
        <f t="shared" si="83"/>
        <v>1867.0703303517505</v>
      </c>
      <c r="AV46" s="49">
        <f t="shared" si="83"/>
        <v>2367.3463082335497</v>
      </c>
      <c r="AW46" s="49">
        <f t="shared" si="83"/>
        <v>2897.0110471555527</v>
      </c>
      <c r="AX46" s="49">
        <f t="shared" si="83"/>
        <v>3449.0796102786944</v>
      </c>
      <c r="AY46" s="49">
        <f t="shared" si="83"/>
        <v>4020.4861041912231</v>
      </c>
      <c r="AZ46" s="49">
        <f t="shared" si="83"/>
        <v>4602.9852331492257</v>
      </c>
      <c r="BA46" s="49">
        <f t="shared" si="83"/>
        <v>5194.8194771965918</v>
      </c>
    </row>
    <row r="47" spans="2:103">
      <c r="B47" s="1" t="s">
        <v>81</v>
      </c>
      <c r="C47" s="48"/>
      <c r="D47" s="48"/>
      <c r="E47" s="48"/>
      <c r="F47" s="48">
        <v>435.923</v>
      </c>
      <c r="G47" s="48">
        <v>255.99700000000001</v>
      </c>
      <c r="H47" s="48">
        <v>30</v>
      </c>
      <c r="I47" s="48">
        <v>0</v>
      </c>
      <c r="J47" s="48">
        <v>0</v>
      </c>
      <c r="K47" s="48">
        <v>779.548</v>
      </c>
      <c r="L47" s="48">
        <v>1059.454</v>
      </c>
      <c r="M47" s="48">
        <v>1033.8599999999999</v>
      </c>
      <c r="N47" s="48">
        <v>1022.597</v>
      </c>
      <c r="O47" s="48">
        <v>1010.42</v>
      </c>
      <c r="P47" s="48">
        <v>1008.7859999999999</v>
      </c>
      <c r="Q47" s="48">
        <v>1191.6099999999999</v>
      </c>
      <c r="R47" s="48">
        <v>1247.82</v>
      </c>
      <c r="S47" s="48">
        <v>963.45299999999997</v>
      </c>
      <c r="T47" s="48">
        <v>1076.8499999999999</v>
      </c>
      <c r="U47" s="48">
        <v>1000.534</v>
      </c>
      <c r="V47" s="48">
        <v>251.78200000000001</v>
      </c>
      <c r="W47" s="48">
        <v>281.89499999999998</v>
      </c>
      <c r="X47" s="48">
        <v>289.541</v>
      </c>
      <c r="Y47" s="48">
        <v>237.916</v>
      </c>
      <c r="AM47" s="48">
        <f t="shared" ref="AM47:AM58" si="84">F47</f>
        <v>435.923</v>
      </c>
      <c r="AN47" s="48">
        <f t="shared" ref="AN47:AN58" si="85">J47</f>
        <v>0</v>
      </c>
      <c r="AO47" s="48">
        <f t="shared" ref="AO47:AO58" si="86">N47</f>
        <v>1022.597</v>
      </c>
      <c r="AP47" s="48">
        <f t="shared" ref="AP47:AP58" si="87">R47</f>
        <v>1247.82</v>
      </c>
      <c r="AQ47" s="48">
        <f t="shared" ref="AQ47:AQ58" si="88">V47</f>
        <v>251.78200000000001</v>
      </c>
    </row>
    <row r="48" spans="2:103" ht="15" customHeight="1">
      <c r="B48" s="1" t="s">
        <v>156</v>
      </c>
      <c r="C48" s="48"/>
      <c r="D48" s="48"/>
      <c r="E48" s="48"/>
      <c r="F48" s="48">
        <v>101.34</v>
      </c>
      <c r="G48" s="48">
        <v>118.203</v>
      </c>
      <c r="H48" s="48">
        <v>127.52</v>
      </c>
      <c r="I48" s="48">
        <v>149.78700000000001</v>
      </c>
      <c r="J48" s="48">
        <v>152.99</v>
      </c>
      <c r="K48" s="48">
        <v>178.19399999999999</v>
      </c>
      <c r="L48" s="48">
        <v>203.85400000000001</v>
      </c>
      <c r="M48" s="48">
        <v>201.50899999999999</v>
      </c>
      <c r="N48" s="48">
        <v>214.62799999999999</v>
      </c>
      <c r="O48" s="48">
        <v>223.83600000000001</v>
      </c>
      <c r="P48" s="48">
        <v>236.80799999999999</v>
      </c>
      <c r="Q48" s="48">
        <v>318.85500000000002</v>
      </c>
      <c r="R48" s="48">
        <v>400.32</v>
      </c>
      <c r="S48" s="48">
        <v>378.80599999999998</v>
      </c>
      <c r="T48" s="48">
        <v>359.99700000000001</v>
      </c>
      <c r="U48" s="48">
        <v>434.524</v>
      </c>
      <c r="V48" s="48">
        <v>601.98800000000006</v>
      </c>
      <c r="W48" s="48">
        <v>659.37099999999998</v>
      </c>
      <c r="X48" s="48">
        <v>527.29499999999996</v>
      </c>
      <c r="Y48" s="48">
        <v>395.73</v>
      </c>
      <c r="AM48" s="48">
        <f t="shared" si="84"/>
        <v>101.34</v>
      </c>
      <c r="AN48" s="48">
        <f t="shared" si="85"/>
        <v>152.99</v>
      </c>
      <c r="AO48" s="48">
        <f t="shared" si="86"/>
        <v>214.62799999999999</v>
      </c>
      <c r="AP48" s="48">
        <f t="shared" si="87"/>
        <v>400.32</v>
      </c>
      <c r="AQ48" s="48">
        <f t="shared" si="88"/>
        <v>601.98800000000006</v>
      </c>
      <c r="AS48" s="80" t="s">
        <v>1677</v>
      </c>
      <c r="AT48" s="81"/>
      <c r="AU48" s="81"/>
      <c r="AV48" s="80" t="s">
        <v>1678</v>
      </c>
      <c r="AW48" s="81"/>
      <c r="AX48" s="82" t="s">
        <v>1679</v>
      </c>
      <c r="AZ48" s="61" t="s">
        <v>1474</v>
      </c>
      <c r="BA48" s="62">
        <v>0.06</v>
      </c>
    </row>
    <row r="49" spans="2:103" ht="15" customHeight="1">
      <c r="B49" s="1" t="s">
        <v>157</v>
      </c>
      <c r="C49" s="48"/>
      <c r="D49" s="48"/>
      <c r="E49" s="48"/>
      <c r="F49" s="48">
        <v>231.96100000000001</v>
      </c>
      <c r="G49" s="48">
        <v>240.333</v>
      </c>
      <c r="H49" s="48">
        <v>268.75599999999997</v>
      </c>
      <c r="I49" s="48">
        <v>288.46899999999999</v>
      </c>
      <c r="J49" s="48">
        <v>186.21199999999999</v>
      </c>
      <c r="K49" s="48">
        <v>198.99700000000001</v>
      </c>
      <c r="L49" s="48">
        <v>208.095</v>
      </c>
      <c r="M49" s="48">
        <v>221.19200000000001</v>
      </c>
      <c r="N49" s="48">
        <v>203.96799999999999</v>
      </c>
      <c r="O49" s="48">
        <v>202.67</v>
      </c>
      <c r="P49" s="48">
        <v>226.876</v>
      </c>
      <c r="Q49" s="48">
        <v>244.011</v>
      </c>
      <c r="R49" s="48">
        <v>322.85000000000002</v>
      </c>
      <c r="S49" s="48">
        <v>373.53</v>
      </c>
      <c r="T49" s="48">
        <v>485.79500000000002</v>
      </c>
      <c r="U49" s="48">
        <v>565.92399999999998</v>
      </c>
      <c r="V49" s="48">
        <v>749.96</v>
      </c>
      <c r="W49" s="48">
        <v>941.43200000000002</v>
      </c>
      <c r="X49" s="48">
        <v>994</v>
      </c>
      <c r="Y49" s="48">
        <v>1077.1600000000001</v>
      </c>
      <c r="AM49" s="48">
        <f t="shared" si="84"/>
        <v>231.96100000000001</v>
      </c>
      <c r="AN49" s="48">
        <f t="shared" si="85"/>
        <v>186.21199999999999</v>
      </c>
      <c r="AO49" s="48">
        <f t="shared" si="86"/>
        <v>203.96799999999999</v>
      </c>
      <c r="AP49" s="48">
        <f t="shared" si="87"/>
        <v>322.85000000000002</v>
      </c>
      <c r="AQ49" s="48">
        <f t="shared" si="88"/>
        <v>749.96</v>
      </c>
      <c r="AS49" s="81">
        <v>2026</v>
      </c>
      <c r="AT49" s="81"/>
      <c r="AU49" s="81">
        <v>2023</v>
      </c>
      <c r="AV49" s="81">
        <v>2024</v>
      </c>
      <c r="AW49" s="81"/>
      <c r="AX49" s="82" t="s">
        <v>1680</v>
      </c>
      <c r="AZ49" s="61" t="s">
        <v>1475</v>
      </c>
      <c r="BA49" s="62">
        <v>-0.1</v>
      </c>
    </row>
    <row r="50" spans="2:103" ht="15" customHeight="1">
      <c r="B50" s="1" t="s">
        <v>158</v>
      </c>
      <c r="C50" s="48"/>
      <c r="D50" s="48"/>
      <c r="E50" s="48"/>
      <c r="F50" s="48">
        <v>0</v>
      </c>
      <c r="G50" s="48">
        <v>0</v>
      </c>
      <c r="H50" s="48">
        <v>0</v>
      </c>
      <c r="I50" s="48">
        <v>0</v>
      </c>
      <c r="J50" s="48">
        <v>0</v>
      </c>
      <c r="K50" s="48">
        <v>0</v>
      </c>
      <c r="L50" s="48">
        <v>0</v>
      </c>
      <c r="M50" s="48">
        <v>0</v>
      </c>
      <c r="N50" s="48">
        <v>0</v>
      </c>
      <c r="O50" s="48">
        <v>0</v>
      </c>
      <c r="P50" s="48">
        <v>0</v>
      </c>
      <c r="Q50" s="48">
        <v>0</v>
      </c>
      <c r="R50" s="48">
        <v>0</v>
      </c>
      <c r="S50" s="48">
        <v>238.821</v>
      </c>
      <c r="T50" s="48">
        <v>302.62700000000001</v>
      </c>
      <c r="U50" s="48">
        <v>321.05500000000001</v>
      </c>
      <c r="V50" s="48">
        <v>276.62</v>
      </c>
      <c r="W50" s="48">
        <v>203.49</v>
      </c>
      <c r="X50" s="48">
        <v>207.92</v>
      </c>
      <c r="Y50" s="48">
        <v>206.06</v>
      </c>
      <c r="AM50" s="48">
        <f t="shared" si="84"/>
        <v>0</v>
      </c>
      <c r="AN50" s="48">
        <f t="shared" si="85"/>
        <v>0</v>
      </c>
      <c r="AO50" s="48">
        <f t="shared" si="86"/>
        <v>0</v>
      </c>
      <c r="AP50" s="48">
        <f t="shared" si="87"/>
        <v>0</v>
      </c>
      <c r="AQ50" s="48">
        <f t="shared" si="88"/>
        <v>276.62</v>
      </c>
      <c r="AS50" s="83">
        <f>AVERAGE(AS30)*(1-AS43)</f>
        <v>45.249995289420006</v>
      </c>
      <c r="AT50" s="81"/>
      <c r="AU50" s="84">
        <f>SUM(AP46:AP49)-AP60+AP52</f>
        <v>2461.652</v>
      </c>
      <c r="AV50" s="84">
        <f>SUM(AQ46:AQ49)-AQ60+AQ52</f>
        <v>2832.634</v>
      </c>
      <c r="AW50" s="81"/>
      <c r="AX50" s="84">
        <f>AVERAGE(AU50:AV50)</f>
        <v>2647.143</v>
      </c>
      <c r="AZ50" s="61" t="s">
        <v>1476</v>
      </c>
      <c r="BA50" s="62">
        <f>'Bull Case (20%)'!BA50</f>
        <v>4.1599999999999998E-2</v>
      </c>
    </row>
    <row r="51" spans="2:103" ht="15" customHeight="1">
      <c r="B51" s="1" t="s">
        <v>159</v>
      </c>
      <c r="C51" s="48"/>
      <c r="D51" s="48"/>
      <c r="E51" s="48"/>
      <c r="F51" s="48">
        <v>213.32400000000001</v>
      </c>
      <c r="G51" s="48">
        <v>174.98</v>
      </c>
      <c r="H51" s="48">
        <v>141.666</v>
      </c>
      <c r="I51" s="48">
        <v>147.941</v>
      </c>
      <c r="J51" s="48">
        <v>149.02799999999999</v>
      </c>
      <c r="K51" s="48">
        <v>140.33000000000001</v>
      </c>
      <c r="L51" s="48">
        <v>129.33199999999999</v>
      </c>
      <c r="M51" s="48">
        <v>130.744</v>
      </c>
      <c r="N51" s="48">
        <v>149.89099999999999</v>
      </c>
      <c r="O51" s="48">
        <v>179.76900000000001</v>
      </c>
      <c r="P51" s="48">
        <v>148.215</v>
      </c>
      <c r="Q51" s="48">
        <v>154.441</v>
      </c>
      <c r="R51" s="48">
        <v>179.89</v>
      </c>
      <c r="S51" s="48">
        <v>82.965000000000003</v>
      </c>
      <c r="T51" s="48">
        <v>74.739999999999995</v>
      </c>
      <c r="U51" s="48">
        <v>165.477</v>
      </c>
      <c r="V51" s="48">
        <v>90.460999999999999</v>
      </c>
      <c r="W51" s="48">
        <v>105.47799999999999</v>
      </c>
      <c r="X51" s="48">
        <v>127.59</v>
      </c>
      <c r="Y51" s="48">
        <v>192.34</v>
      </c>
      <c r="AM51" s="48">
        <f t="shared" si="84"/>
        <v>213.32400000000001</v>
      </c>
      <c r="AN51" s="48">
        <f t="shared" si="85"/>
        <v>149.02799999999999</v>
      </c>
      <c r="AO51" s="48">
        <f t="shared" si="86"/>
        <v>149.89099999999999</v>
      </c>
      <c r="AP51" s="48">
        <f t="shared" si="87"/>
        <v>179.89</v>
      </c>
      <c r="AQ51" s="48">
        <f t="shared" si="88"/>
        <v>90.460999999999999</v>
      </c>
      <c r="AS51" s="85">
        <f>AS50/AX50</f>
        <v>1.7093899078901294E-2</v>
      </c>
      <c r="AT51" s="81"/>
      <c r="AU51" s="81"/>
      <c r="AV51" s="81"/>
      <c r="AW51" s="81"/>
      <c r="AX51" s="81"/>
      <c r="AZ51" s="61" t="s">
        <v>1477</v>
      </c>
      <c r="BA51" s="62">
        <f>9.75%-BA50</f>
        <v>5.5900000000000005E-2</v>
      </c>
    </row>
    <row r="52" spans="2:103" ht="15" customHeight="1">
      <c r="B52" s="1" t="s">
        <v>160</v>
      </c>
      <c r="C52" s="48"/>
      <c r="D52" s="48"/>
      <c r="E52" s="48"/>
      <c r="F52" s="48">
        <v>190.43</v>
      </c>
      <c r="G52" s="48">
        <v>203.107</v>
      </c>
      <c r="H52" s="48">
        <v>203.33</v>
      </c>
      <c r="I52" s="48">
        <v>199.249</v>
      </c>
      <c r="J52" s="48">
        <v>191.15600000000001</v>
      </c>
      <c r="K52" s="48">
        <v>187.24799999999999</v>
      </c>
      <c r="L52" s="48">
        <v>183.292</v>
      </c>
      <c r="M52" s="48">
        <v>181.005</v>
      </c>
      <c r="N52" s="48">
        <v>180.03700000000001</v>
      </c>
      <c r="O52" s="48">
        <v>182.86</v>
      </c>
      <c r="P52" s="48">
        <v>188.874</v>
      </c>
      <c r="Q52" s="48">
        <v>212.36699999999999</v>
      </c>
      <c r="R52" s="48">
        <v>227.15</v>
      </c>
      <c r="S52" s="48">
        <v>249.30199999999999</v>
      </c>
      <c r="T52" s="48">
        <v>276.2</v>
      </c>
      <c r="U52" s="48">
        <v>305.78800000000001</v>
      </c>
      <c r="V52" s="48">
        <v>340.33600000000001</v>
      </c>
      <c r="W52" s="48">
        <v>360.58699999999999</v>
      </c>
      <c r="X52" s="48">
        <v>371.85700000000003</v>
      </c>
      <c r="Y52" s="48">
        <v>358.93</v>
      </c>
      <c r="AM52" s="48">
        <f t="shared" si="84"/>
        <v>190.43</v>
      </c>
      <c r="AN52" s="48">
        <f t="shared" si="85"/>
        <v>191.15600000000001</v>
      </c>
      <c r="AO52" s="48">
        <f t="shared" si="86"/>
        <v>180.03700000000001</v>
      </c>
      <c r="AP52" s="48">
        <f t="shared" si="87"/>
        <v>227.15</v>
      </c>
      <c r="AQ52" s="48">
        <f t="shared" si="88"/>
        <v>340.33600000000001</v>
      </c>
      <c r="AS52" s="81"/>
      <c r="AT52" s="81"/>
      <c r="AU52" s="81"/>
      <c r="AV52" s="81"/>
      <c r="AW52" s="81"/>
      <c r="AX52" s="81"/>
      <c r="AZ52" s="61" t="s">
        <v>1478</v>
      </c>
      <c r="BA52" s="35">
        <v>0.56000000000000005</v>
      </c>
    </row>
    <row r="53" spans="2:103" ht="15" customHeight="1">
      <c r="B53" s="1" t="s">
        <v>161</v>
      </c>
      <c r="C53" s="48"/>
      <c r="D53" s="48"/>
      <c r="E53" s="48"/>
      <c r="F53" s="48">
        <v>13.628</v>
      </c>
      <c r="G53" s="48">
        <v>14.124000000000001</v>
      </c>
      <c r="H53" s="48">
        <v>14.105</v>
      </c>
      <c r="I53" s="48">
        <v>14.204000000000001</v>
      </c>
      <c r="J53" s="48">
        <v>14.239000000000001</v>
      </c>
      <c r="K53" s="48">
        <v>13.327999999999999</v>
      </c>
      <c r="L53" s="48">
        <v>13.061999999999999</v>
      </c>
      <c r="M53" s="48">
        <v>13.057</v>
      </c>
      <c r="N53" s="48">
        <v>7.5780000000000003</v>
      </c>
      <c r="O53" s="48">
        <v>62.015999999999998</v>
      </c>
      <c r="P53" s="48">
        <v>134.72800000000001</v>
      </c>
      <c r="Q53" s="48">
        <v>133.45400000000001</v>
      </c>
      <c r="R53" s="48">
        <v>129.94999999999999</v>
      </c>
      <c r="S53" s="48">
        <v>126.26900000000001</v>
      </c>
      <c r="T53" s="48">
        <v>124</v>
      </c>
      <c r="U53" s="48">
        <v>140.898</v>
      </c>
      <c r="V53" s="48">
        <v>148.31</v>
      </c>
      <c r="W53" s="48">
        <v>147.06299999999999</v>
      </c>
      <c r="X53" s="48">
        <v>143.041</v>
      </c>
      <c r="Y53" s="48">
        <v>139.16</v>
      </c>
      <c r="AM53" s="48">
        <f t="shared" si="84"/>
        <v>13.628</v>
      </c>
      <c r="AN53" s="48">
        <f t="shared" si="85"/>
        <v>14.239000000000001</v>
      </c>
      <c r="AO53" s="48">
        <f t="shared" si="86"/>
        <v>7.5780000000000003</v>
      </c>
      <c r="AP53" s="48">
        <f t="shared" si="87"/>
        <v>129.94999999999999</v>
      </c>
      <c r="AQ53" s="48">
        <f t="shared" si="88"/>
        <v>148.31</v>
      </c>
      <c r="AS53" s="81"/>
      <c r="AT53" s="81"/>
      <c r="AU53" s="81"/>
      <c r="AV53" s="81"/>
      <c r="AW53" s="81"/>
      <c r="AX53" s="81"/>
      <c r="AZ53" s="61" t="s">
        <v>1479</v>
      </c>
      <c r="BA53" s="62">
        <f>+BA50+(BA51*BA52)</f>
        <v>7.2903999999999997E-2</v>
      </c>
    </row>
    <row r="54" spans="2:103" ht="15" customHeight="1">
      <c r="B54" s="1" t="s">
        <v>162</v>
      </c>
      <c r="C54" s="48"/>
      <c r="D54" s="48"/>
      <c r="E54" s="48"/>
      <c r="F54" s="48">
        <v>91.760999999999996</v>
      </c>
      <c r="G54" s="48">
        <v>65.067999999999998</v>
      </c>
      <c r="H54" s="48">
        <v>72.867999999999995</v>
      </c>
      <c r="I54" s="48">
        <v>72.662999999999997</v>
      </c>
      <c r="J54" s="48">
        <v>45.530999999999999</v>
      </c>
      <c r="K54" s="48">
        <v>45.981999999999999</v>
      </c>
      <c r="L54" s="48">
        <v>46.999000000000002</v>
      </c>
      <c r="M54" s="48">
        <v>43.033999999999999</v>
      </c>
      <c r="N54" s="48">
        <v>64.953999999999994</v>
      </c>
      <c r="O54" s="48">
        <v>164.14400000000001</v>
      </c>
      <c r="P54" s="48">
        <v>166.63499999999999</v>
      </c>
      <c r="Q54" s="48">
        <v>176.11199999999999</v>
      </c>
      <c r="R54" s="48">
        <v>191.36</v>
      </c>
      <c r="S54" s="48">
        <v>207.542</v>
      </c>
      <c r="T54" s="48">
        <v>204.69</v>
      </c>
      <c r="U54" s="48">
        <v>202.55</v>
      </c>
      <c r="V54" s="48">
        <v>187.98599999999999</v>
      </c>
      <c r="W54" s="48">
        <v>181.15799999999999</v>
      </c>
      <c r="X54" s="48">
        <v>194.66800000000001</v>
      </c>
      <c r="Y54" s="48">
        <v>198.6</v>
      </c>
      <c r="AM54" s="48">
        <f t="shared" si="84"/>
        <v>91.760999999999996</v>
      </c>
      <c r="AN54" s="48">
        <f t="shared" si="85"/>
        <v>45.530999999999999</v>
      </c>
      <c r="AO54" s="48">
        <f t="shared" si="86"/>
        <v>64.953999999999994</v>
      </c>
      <c r="AP54" s="48">
        <f t="shared" si="87"/>
        <v>191.36</v>
      </c>
      <c r="AQ54" s="48">
        <f t="shared" si="88"/>
        <v>187.98599999999999</v>
      </c>
      <c r="AZ54" s="61"/>
    </row>
    <row r="55" spans="2:103" ht="15" customHeight="1">
      <c r="B55" s="1" t="s">
        <v>189</v>
      </c>
      <c r="C55" s="48"/>
      <c r="D55" s="48"/>
      <c r="E55" s="48"/>
      <c r="F55" s="48">
        <v>0</v>
      </c>
      <c r="G55" s="48">
        <v>0</v>
      </c>
      <c r="H55" s="48">
        <v>0</v>
      </c>
      <c r="I55" s="48">
        <v>0</v>
      </c>
      <c r="J55" s="48">
        <v>0</v>
      </c>
      <c r="K55" s="48">
        <v>0</v>
      </c>
      <c r="L55" s="48">
        <v>0</v>
      </c>
      <c r="M55" s="48">
        <v>0</v>
      </c>
      <c r="N55" s="48">
        <v>0</v>
      </c>
      <c r="O55" s="48">
        <v>0</v>
      </c>
      <c r="P55" s="48">
        <v>0</v>
      </c>
      <c r="Q55" s="48">
        <v>0</v>
      </c>
      <c r="R55" s="48">
        <v>0</v>
      </c>
      <c r="S55" s="48">
        <v>0</v>
      </c>
      <c r="T55" s="48">
        <v>0</v>
      </c>
      <c r="U55" s="48">
        <v>0</v>
      </c>
      <c r="V55" s="48">
        <v>0</v>
      </c>
      <c r="W55" s="48">
        <v>154.37</v>
      </c>
      <c r="X55" s="48">
        <v>195.52199999999999</v>
      </c>
      <c r="Y55" s="48">
        <v>0</v>
      </c>
      <c r="AM55" s="48">
        <f t="shared" si="84"/>
        <v>0</v>
      </c>
      <c r="AN55" s="48">
        <f t="shared" si="85"/>
        <v>0</v>
      </c>
      <c r="AO55" s="48">
        <f t="shared" si="86"/>
        <v>0</v>
      </c>
      <c r="AP55" s="48">
        <f t="shared" si="87"/>
        <v>0</v>
      </c>
      <c r="AQ55" s="48">
        <f t="shared" si="88"/>
        <v>0</v>
      </c>
      <c r="AZ55" s="61" t="s">
        <v>1480</v>
      </c>
      <c r="BA55" s="49">
        <f>NPV(BA53,AR35:CO35)</f>
        <v>3306.8827971606106</v>
      </c>
    </row>
    <row r="56" spans="2:103" s="2" customFormat="1" ht="15" customHeight="1">
      <c r="B56" s="1" t="s">
        <v>163</v>
      </c>
      <c r="C56" s="48"/>
      <c r="D56" s="48"/>
      <c r="E56" s="48"/>
      <c r="F56" s="48">
        <v>0</v>
      </c>
      <c r="G56" s="48">
        <v>0</v>
      </c>
      <c r="H56" s="48">
        <v>0</v>
      </c>
      <c r="I56" s="48">
        <v>0</v>
      </c>
      <c r="J56" s="48">
        <v>0</v>
      </c>
      <c r="K56" s="48">
        <v>0</v>
      </c>
      <c r="L56" s="48">
        <v>0</v>
      </c>
      <c r="M56" s="48">
        <v>0</v>
      </c>
      <c r="N56" s="48">
        <v>0</v>
      </c>
      <c r="O56" s="48">
        <v>0</v>
      </c>
      <c r="P56" s="48">
        <v>0</v>
      </c>
      <c r="Q56" s="48">
        <v>0</v>
      </c>
      <c r="R56" s="48">
        <v>0</v>
      </c>
      <c r="S56" s="48">
        <v>0</v>
      </c>
      <c r="T56" s="48">
        <v>0</v>
      </c>
      <c r="U56" s="48">
        <v>181.77</v>
      </c>
      <c r="V56" s="48">
        <v>133.16300000000001</v>
      </c>
      <c r="W56" s="48">
        <v>109.125</v>
      </c>
      <c r="X56" s="48">
        <v>34.603999999999999</v>
      </c>
      <c r="Y56" s="48">
        <v>1.04</v>
      </c>
      <c r="Z56" s="34"/>
      <c r="AA56" s="34"/>
      <c r="AB56" s="34"/>
      <c r="AC56" s="34"/>
      <c r="AD56" s="34"/>
      <c r="AM56" s="48">
        <f t="shared" si="84"/>
        <v>0</v>
      </c>
      <c r="AN56" s="48">
        <f t="shared" si="85"/>
        <v>0</v>
      </c>
      <c r="AO56" s="48">
        <f t="shared" si="86"/>
        <v>0</v>
      </c>
      <c r="AP56" s="48">
        <f t="shared" si="87"/>
        <v>0</v>
      </c>
      <c r="AQ56" s="48">
        <f t="shared" si="88"/>
        <v>133.16300000000001</v>
      </c>
      <c r="AR56" s="35"/>
      <c r="AS56" s="35"/>
      <c r="AT56" s="35"/>
      <c r="AU56" s="35"/>
      <c r="AV56" s="35"/>
      <c r="AW56" s="35"/>
      <c r="AX56" s="35"/>
      <c r="AY56" s="35"/>
      <c r="AZ56" s="61" t="s">
        <v>93</v>
      </c>
      <c r="BA56" s="49">
        <f>Main!C6</f>
        <v>104.78700000000001</v>
      </c>
      <c r="BB56" s="63"/>
      <c r="BD56" s="35"/>
      <c r="BE56" s="35"/>
      <c r="BF56" s="35"/>
      <c r="BG56" s="35"/>
      <c r="BH56" s="34"/>
      <c r="BI56" s="34"/>
      <c r="BJ56" s="34"/>
      <c r="BK56" s="34"/>
      <c r="BL56" s="34"/>
      <c r="BM56" s="34"/>
      <c r="BN56" s="34"/>
      <c r="BO56" s="34"/>
      <c r="BP56" s="34"/>
      <c r="BQ56" s="34"/>
      <c r="BR56" s="34"/>
      <c r="BS56" s="34"/>
      <c r="BT56" s="34"/>
      <c r="BU56" s="34"/>
      <c r="BV56" s="34"/>
      <c r="BW56" s="34"/>
      <c r="BX56" s="34"/>
      <c r="BY56" s="34"/>
      <c r="BZ56" s="34"/>
      <c r="CA56" s="34"/>
      <c r="CB56" s="34"/>
      <c r="CC56" s="34"/>
      <c r="CD56" s="34"/>
      <c r="CE56" s="34"/>
      <c r="CF56" s="34"/>
      <c r="CG56" s="34"/>
      <c r="CH56" s="34"/>
      <c r="CI56" s="34"/>
      <c r="CJ56" s="34"/>
      <c r="CK56" s="34"/>
      <c r="CL56" s="34"/>
      <c r="CM56" s="34"/>
      <c r="CN56" s="34"/>
      <c r="CO56" s="34"/>
      <c r="CP56" s="34"/>
      <c r="CQ56" s="34"/>
      <c r="CR56" s="34"/>
      <c r="CS56" s="34"/>
      <c r="CT56" s="34"/>
      <c r="CU56" s="34"/>
      <c r="CV56" s="34"/>
      <c r="CW56" s="34"/>
      <c r="CX56" s="34"/>
      <c r="CY56" s="34"/>
    </row>
    <row r="57" spans="2:103" ht="15" customHeight="1">
      <c r="B57" s="1" t="s">
        <v>164</v>
      </c>
      <c r="C57" s="48"/>
      <c r="D57" s="48"/>
      <c r="E57" s="48"/>
      <c r="F57" s="48">
        <v>203.703</v>
      </c>
      <c r="G57" s="48">
        <v>211.584</v>
      </c>
      <c r="H57" s="48">
        <v>203.553</v>
      </c>
      <c r="I57" s="48">
        <v>190.792</v>
      </c>
      <c r="J57" s="48">
        <v>292.94900000000001</v>
      </c>
      <c r="K57" s="48">
        <v>278.649</v>
      </c>
      <c r="L57" s="48">
        <v>284.2</v>
      </c>
      <c r="M57" s="48">
        <v>293.12400000000002</v>
      </c>
      <c r="N57" s="48">
        <v>317.93599999999998</v>
      </c>
      <c r="O57" s="48">
        <v>162.387</v>
      </c>
      <c r="P57" s="48">
        <v>163.03899999999999</v>
      </c>
      <c r="Q57" s="48">
        <v>136.92500000000001</v>
      </c>
      <c r="R57" s="48">
        <v>136.87</v>
      </c>
      <c r="S57" s="48">
        <v>176.40700000000001</v>
      </c>
      <c r="T57" s="48">
        <v>135.72</v>
      </c>
      <c r="U57" s="48">
        <v>83.558999999999997</v>
      </c>
      <c r="V57" s="48">
        <v>79.915000000000006</v>
      </c>
      <c r="W57" s="1">
        <v>80.551000000000002</v>
      </c>
      <c r="X57" s="1">
        <v>83.137</v>
      </c>
      <c r="Y57" s="1">
        <v>73.38</v>
      </c>
      <c r="AM57" s="48">
        <f t="shared" si="84"/>
        <v>203.703</v>
      </c>
      <c r="AN57" s="48">
        <f t="shared" si="85"/>
        <v>292.94900000000001</v>
      </c>
      <c r="AO57" s="48">
        <f t="shared" si="86"/>
        <v>317.93599999999998</v>
      </c>
      <c r="AP57" s="48">
        <f t="shared" si="87"/>
        <v>136.87</v>
      </c>
      <c r="AQ57" s="48">
        <f t="shared" si="88"/>
        <v>79.915000000000006</v>
      </c>
      <c r="AZ57" s="61" t="s">
        <v>1481</v>
      </c>
      <c r="BA57" s="45">
        <f>BA55/BA56</f>
        <v>31.558139818494759</v>
      </c>
      <c r="BB57" s="64"/>
      <c r="BF57" s="34"/>
      <c r="BG57" s="34"/>
    </row>
    <row r="58" spans="2:103" ht="15" customHeight="1">
      <c r="B58" s="2" t="s">
        <v>188</v>
      </c>
      <c r="C58" s="46"/>
      <c r="D58" s="46"/>
      <c r="E58" s="46"/>
      <c r="F58" s="46">
        <f t="shared" ref="F58:X58" si="89">SUM(F46:F57)</f>
        <v>2984.71</v>
      </c>
      <c r="G58" s="46">
        <f t="shared" si="89"/>
        <v>2765.2259999999997</v>
      </c>
      <c r="H58" s="46">
        <f t="shared" si="89"/>
        <v>2759.0679999999998</v>
      </c>
      <c r="I58" s="46">
        <f t="shared" si="89"/>
        <v>2662.2179999999998</v>
      </c>
      <c r="J58" s="46">
        <f t="shared" si="89"/>
        <v>3147.9740000000002</v>
      </c>
      <c r="K58" s="46">
        <f t="shared" si="89"/>
        <v>3056.1529999999998</v>
      </c>
      <c r="L58" s="46">
        <f t="shared" si="89"/>
        <v>2996.8529999999992</v>
      </c>
      <c r="M58" s="46">
        <f t="shared" si="89"/>
        <v>3156.1449999999995</v>
      </c>
      <c r="N58" s="46">
        <f t="shared" si="89"/>
        <v>3128.3589999999999</v>
      </c>
      <c r="O58" s="46">
        <f t="shared" si="89"/>
        <v>3059.7700000000009</v>
      </c>
      <c r="P58" s="46">
        <f t="shared" si="89"/>
        <v>3125.8900000000003</v>
      </c>
      <c r="Q58" s="46">
        <f t="shared" si="89"/>
        <v>3109.7070000000003</v>
      </c>
      <c r="R58" s="46">
        <f t="shared" si="89"/>
        <v>3264.64</v>
      </c>
      <c r="S58" s="46">
        <f t="shared" si="89"/>
        <v>3224.3849999999998</v>
      </c>
      <c r="T58" s="46">
        <f t="shared" si="89"/>
        <v>3424.2409999999995</v>
      </c>
      <c r="U58" s="46">
        <f t="shared" si="89"/>
        <v>3599.9340000000002</v>
      </c>
      <c r="V58" s="46">
        <f t="shared" si="89"/>
        <v>3963.530999999999</v>
      </c>
      <c r="W58" s="46">
        <f t="shared" si="89"/>
        <v>3465.3869999999993</v>
      </c>
      <c r="X58" s="46">
        <f t="shared" si="89"/>
        <v>3679.7730000000006</v>
      </c>
      <c r="Y58" s="46">
        <f t="shared" ref="Y58" si="90">SUM(Y46:Y57)</f>
        <v>3493.386</v>
      </c>
      <c r="AM58" s="46">
        <f t="shared" si="84"/>
        <v>2984.71</v>
      </c>
      <c r="AN58" s="46">
        <f t="shared" si="85"/>
        <v>3147.9740000000002</v>
      </c>
      <c r="AO58" s="46">
        <f t="shared" si="86"/>
        <v>3128.3589999999999</v>
      </c>
      <c r="AP58" s="46">
        <f t="shared" si="87"/>
        <v>3264.64</v>
      </c>
      <c r="AQ58" s="46">
        <f t="shared" si="88"/>
        <v>3963.530999999999</v>
      </c>
      <c r="AR58" s="34"/>
      <c r="AS58" s="34"/>
      <c r="AT58" s="34"/>
      <c r="AU58" s="34"/>
      <c r="AV58" s="34"/>
      <c r="AW58" s="34"/>
      <c r="AX58" s="34"/>
      <c r="AY58" s="34"/>
      <c r="AZ58" s="61" t="s">
        <v>1482</v>
      </c>
      <c r="BA58" s="45">
        <f>Main!C5</f>
        <v>23.73</v>
      </c>
      <c r="BB58" s="65"/>
      <c r="BD58" s="34"/>
      <c r="BE58" s="34"/>
    </row>
    <row r="59" spans="2:103" ht="15" customHeight="1">
      <c r="AZ59" s="61" t="s">
        <v>1483</v>
      </c>
      <c r="BA59" s="62">
        <f>BA57/BA58-1</f>
        <v>0.32988368388094225</v>
      </c>
      <c r="BB59" s="64" t="str">
        <f>IF(BA59&gt;0,"Upside","Downside")</f>
        <v>Upside</v>
      </c>
    </row>
    <row r="60" spans="2:103">
      <c r="B60" s="1" t="s">
        <v>165</v>
      </c>
      <c r="C60" s="48"/>
      <c r="D60" s="48"/>
      <c r="E60" s="48"/>
      <c r="F60" s="48">
        <v>111.09</v>
      </c>
      <c r="G60" s="48">
        <v>76.650999999999996</v>
      </c>
      <c r="H60" s="48">
        <v>76.680000000000007</v>
      </c>
      <c r="I60" s="48">
        <v>44.162999999999997</v>
      </c>
      <c r="J60" s="48">
        <v>76.741</v>
      </c>
      <c r="K60" s="48">
        <v>54.006999999999998</v>
      </c>
      <c r="L60" s="48">
        <v>56.207000000000001</v>
      </c>
      <c r="M60" s="48">
        <v>118.461</v>
      </c>
      <c r="N60" s="48">
        <v>95.875</v>
      </c>
      <c r="O60" s="48">
        <v>106.71</v>
      </c>
      <c r="P60" s="48">
        <v>109.79600000000001</v>
      </c>
      <c r="Q60" s="48">
        <v>87.947999999999993</v>
      </c>
      <c r="R60" s="48">
        <v>164.91800000000001</v>
      </c>
      <c r="S60" s="48">
        <v>91.536000000000001</v>
      </c>
      <c r="T60" s="48">
        <v>107.417</v>
      </c>
      <c r="U60" s="48">
        <v>118.774</v>
      </c>
      <c r="V60" s="48">
        <v>214.44200000000001</v>
      </c>
      <c r="W60" s="48">
        <v>156.10499999999999</v>
      </c>
      <c r="X60" s="48">
        <v>136.702</v>
      </c>
      <c r="Y60" s="48">
        <v>94.015000000000001</v>
      </c>
      <c r="AM60" s="48">
        <f t="shared" ref="AM60:AM72" si="91">F60</f>
        <v>111.09</v>
      </c>
      <c r="AN60" s="48">
        <f t="shared" ref="AN60:AN72" si="92">J60</f>
        <v>76.741</v>
      </c>
      <c r="AO60" s="48">
        <f t="shared" ref="AO60:AO72" si="93">N60</f>
        <v>95.875</v>
      </c>
      <c r="AP60" s="48">
        <f t="shared" ref="AP60:AP72" si="94">R60</f>
        <v>164.91800000000001</v>
      </c>
      <c r="AQ60" s="48">
        <f t="shared" ref="AQ60:AQ72" si="95">V60</f>
        <v>214.44200000000001</v>
      </c>
      <c r="AZ60" s="90" t="str" cm="1">
        <f t="array" ref="AZ60">_xlfn.IFS(BA59&gt;=25%,"Strong Buy",BA59&gt;=10.00001%,"Buy",AND(BA59&lt;=10%,BA59&gt;=-4.9999%),"Hold",AND(BA59&lt;=-5%,BA59&gt;=-14.999999%),"Sell",BA59&lt;=-15%,"Strong Sell")</f>
        <v>Strong Buy</v>
      </c>
      <c r="BA60" s="90"/>
    </row>
    <row r="61" spans="2:103">
      <c r="B61" s="1" t="s">
        <v>167</v>
      </c>
      <c r="C61" s="48"/>
      <c r="D61" s="48"/>
      <c r="E61" s="48"/>
      <c r="F61" s="48">
        <v>193.55</v>
      </c>
      <c r="G61" s="48">
        <v>180.636</v>
      </c>
      <c r="H61" s="48">
        <v>240.14099999999999</v>
      </c>
      <c r="I61" s="48">
        <v>221.00899999999999</v>
      </c>
      <c r="J61" s="48">
        <v>271.697</v>
      </c>
      <c r="K61" s="48">
        <v>293.90800000000002</v>
      </c>
      <c r="L61" s="48">
        <v>383.69900000000001</v>
      </c>
      <c r="M61" s="48">
        <v>368.99799999999999</v>
      </c>
      <c r="N61" s="48">
        <v>418.99</v>
      </c>
      <c r="O61" s="48">
        <v>345.55</v>
      </c>
      <c r="P61" s="48">
        <v>326.87700000000001</v>
      </c>
      <c r="Q61" s="48">
        <v>322.35000000000002</v>
      </c>
      <c r="R61" s="48">
        <v>314.99700000000001</v>
      </c>
      <c r="S61" s="48">
        <v>283.31700000000001</v>
      </c>
      <c r="T61" s="48">
        <v>350.404</v>
      </c>
      <c r="U61" s="48">
        <v>344.83</v>
      </c>
      <c r="V61" s="48">
        <v>373.5</v>
      </c>
      <c r="W61" s="48">
        <v>391.65</v>
      </c>
      <c r="X61" s="48">
        <v>377.399</v>
      </c>
      <c r="Y61" s="48">
        <v>295.79000000000002</v>
      </c>
      <c r="Z61" s="1"/>
      <c r="AA61" s="1"/>
      <c r="AB61" s="1"/>
      <c r="AC61" s="1"/>
      <c r="AM61" s="48">
        <f t="shared" si="91"/>
        <v>193.55</v>
      </c>
      <c r="AN61" s="48">
        <f t="shared" si="92"/>
        <v>271.697</v>
      </c>
      <c r="AO61" s="48">
        <f t="shared" si="93"/>
        <v>418.99</v>
      </c>
      <c r="AP61" s="48">
        <f t="shared" si="94"/>
        <v>314.99700000000001</v>
      </c>
      <c r="AQ61" s="48">
        <f t="shared" si="95"/>
        <v>373.5</v>
      </c>
    </row>
    <row r="62" spans="2:103">
      <c r="B62" s="1" t="s">
        <v>166</v>
      </c>
      <c r="C62" s="48"/>
      <c r="D62" s="48"/>
      <c r="E62" s="48"/>
      <c r="F62" s="48">
        <v>89.244</v>
      </c>
      <c r="G62" s="48">
        <v>89.244</v>
      </c>
      <c r="H62" s="48">
        <v>89.244</v>
      </c>
      <c r="I62" s="48">
        <v>89.244</v>
      </c>
      <c r="J62" s="48">
        <v>89.244</v>
      </c>
      <c r="K62" s="48">
        <v>89.244</v>
      </c>
      <c r="L62" s="48">
        <v>89.244</v>
      </c>
      <c r="M62" s="48">
        <v>89.244</v>
      </c>
      <c r="N62" s="48">
        <v>89.244</v>
      </c>
      <c r="O62" s="48">
        <v>67.239000000000004</v>
      </c>
      <c r="P62" s="48">
        <v>44.988999999999997</v>
      </c>
      <c r="Q62" s="48">
        <v>22.494</v>
      </c>
      <c r="R62" s="48">
        <v>50.415999999999997</v>
      </c>
      <c r="S62" s="48">
        <v>112</v>
      </c>
      <c r="T62" s="48">
        <v>122.036</v>
      </c>
      <c r="U62" s="48">
        <v>127</v>
      </c>
      <c r="V62" s="48">
        <v>130.256</v>
      </c>
      <c r="W62" s="48">
        <v>44.859000000000002</v>
      </c>
      <c r="X62" s="48">
        <v>395.43099999999998</v>
      </c>
      <c r="Y62" s="48">
        <v>485.44900000000001</v>
      </c>
      <c r="AM62" s="48">
        <f t="shared" si="91"/>
        <v>89.244</v>
      </c>
      <c r="AN62" s="48">
        <f t="shared" si="92"/>
        <v>89.244</v>
      </c>
      <c r="AO62" s="48">
        <f t="shared" si="93"/>
        <v>89.244</v>
      </c>
      <c r="AP62" s="48">
        <f t="shared" si="94"/>
        <v>50.415999999999997</v>
      </c>
      <c r="AQ62" s="48">
        <f t="shared" si="95"/>
        <v>130.256</v>
      </c>
    </row>
    <row r="63" spans="2:103">
      <c r="B63" s="1" t="s">
        <v>168</v>
      </c>
      <c r="C63" s="48"/>
      <c r="D63" s="48"/>
      <c r="E63" s="48"/>
      <c r="F63" s="48">
        <v>22.138999999999999</v>
      </c>
      <c r="G63" s="48">
        <v>18.204999999999998</v>
      </c>
      <c r="H63" s="48">
        <v>18.956</v>
      </c>
      <c r="I63" s="48">
        <v>19.02</v>
      </c>
      <c r="J63" s="48">
        <v>15.051</v>
      </c>
      <c r="K63" s="48">
        <v>17.803000000000001</v>
      </c>
      <c r="L63" s="48">
        <v>16.416</v>
      </c>
      <c r="M63" s="48">
        <v>26.213000000000001</v>
      </c>
      <c r="N63" s="48">
        <v>15.489000000000001</v>
      </c>
      <c r="O63" s="48">
        <v>17.381</v>
      </c>
      <c r="P63" s="48">
        <v>16.992000000000001</v>
      </c>
      <c r="Q63" s="48">
        <v>17.951000000000001</v>
      </c>
      <c r="R63" s="48">
        <v>17.844999999999999</v>
      </c>
      <c r="S63" s="48">
        <v>16.27</v>
      </c>
      <c r="T63" s="48">
        <v>17.12</v>
      </c>
      <c r="U63" s="48">
        <v>17.289000000000001</v>
      </c>
      <c r="V63" s="48">
        <v>13.473000000000001</v>
      </c>
      <c r="W63" s="48">
        <v>12.974</v>
      </c>
      <c r="X63" s="48">
        <v>10.416</v>
      </c>
      <c r="Y63" s="48">
        <f>36+10.16</f>
        <v>46.16</v>
      </c>
      <c r="AM63" s="48">
        <f t="shared" si="91"/>
        <v>22.138999999999999</v>
      </c>
      <c r="AN63" s="48">
        <f t="shared" si="92"/>
        <v>15.051</v>
      </c>
      <c r="AO63" s="48">
        <f t="shared" si="93"/>
        <v>15.489000000000001</v>
      </c>
      <c r="AP63" s="48">
        <f t="shared" si="94"/>
        <v>17.844999999999999</v>
      </c>
      <c r="AQ63" s="48">
        <f t="shared" si="95"/>
        <v>13.473000000000001</v>
      </c>
    </row>
    <row r="64" spans="2:103">
      <c r="B64" s="1" t="s">
        <v>187</v>
      </c>
      <c r="C64" s="48"/>
      <c r="D64" s="48"/>
      <c r="E64" s="48"/>
      <c r="F64" s="48">
        <v>0</v>
      </c>
      <c r="G64" s="48">
        <v>0</v>
      </c>
      <c r="H64" s="48">
        <v>0</v>
      </c>
      <c r="I64" s="48">
        <v>0</v>
      </c>
      <c r="J64" s="48">
        <v>0</v>
      </c>
      <c r="K64" s="48">
        <v>0</v>
      </c>
      <c r="L64" s="48">
        <v>0</v>
      </c>
      <c r="M64" s="48">
        <v>0</v>
      </c>
      <c r="N64" s="48">
        <v>0</v>
      </c>
      <c r="O64" s="48">
        <v>0</v>
      </c>
      <c r="P64" s="48">
        <v>0</v>
      </c>
      <c r="Q64" s="48">
        <v>0</v>
      </c>
      <c r="R64" s="48">
        <v>105.483</v>
      </c>
      <c r="S64" s="48">
        <v>105.586</v>
      </c>
      <c r="T64" s="48">
        <v>91.504999999999995</v>
      </c>
      <c r="U64" s="48">
        <v>91.594999999999999</v>
      </c>
      <c r="V64" s="48">
        <v>0</v>
      </c>
      <c r="W64" s="48">
        <v>0</v>
      </c>
      <c r="X64" s="48">
        <v>0</v>
      </c>
      <c r="Y64" s="48">
        <v>0</v>
      </c>
      <c r="AM64" s="48">
        <f t="shared" si="91"/>
        <v>0</v>
      </c>
      <c r="AN64" s="48">
        <f t="shared" si="92"/>
        <v>0</v>
      </c>
      <c r="AO64" s="48">
        <f t="shared" si="93"/>
        <v>0</v>
      </c>
      <c r="AP64" s="48">
        <f t="shared" si="94"/>
        <v>105.483</v>
      </c>
      <c r="AQ64" s="48">
        <f t="shared" si="95"/>
        <v>0</v>
      </c>
    </row>
    <row r="65" spans="2:103">
      <c r="B65" s="1" t="s">
        <v>169</v>
      </c>
      <c r="C65" s="48"/>
      <c r="D65" s="48"/>
      <c r="E65" s="48"/>
      <c r="F65" s="48">
        <v>992.49300000000005</v>
      </c>
      <c r="G65" s="48">
        <v>1091.1099999999999</v>
      </c>
      <c r="H65" s="48">
        <v>1092.9849999999999</v>
      </c>
      <c r="I65" s="48">
        <v>1094.912</v>
      </c>
      <c r="J65" s="48">
        <v>1096.876</v>
      </c>
      <c r="K65" s="48">
        <v>1098.8399999999999</v>
      </c>
      <c r="L65" s="48">
        <v>1100.873</v>
      </c>
      <c r="M65" s="48">
        <v>1542.77</v>
      </c>
      <c r="N65" s="48">
        <v>1544.29</v>
      </c>
      <c r="O65" s="48">
        <v>1234.2840000000001</v>
      </c>
      <c r="P65" s="48">
        <v>1235.51</v>
      </c>
      <c r="Q65" s="48">
        <v>1236.7550000000001</v>
      </c>
      <c r="R65" s="48">
        <v>1132.5150000000001</v>
      </c>
      <c r="S65" s="48">
        <v>1133.6600000000001</v>
      </c>
      <c r="T65" s="48">
        <v>1134.81</v>
      </c>
      <c r="U65" s="48">
        <v>1135.9649999999999</v>
      </c>
      <c r="V65" s="48">
        <v>1137.1199999999999</v>
      </c>
      <c r="W65" s="48">
        <v>1138.28</v>
      </c>
      <c r="X65" s="48">
        <v>1139.4580000000001</v>
      </c>
      <c r="Y65" s="48">
        <v>1035.146</v>
      </c>
      <c r="AM65" s="48">
        <f t="shared" si="91"/>
        <v>992.49300000000005</v>
      </c>
      <c r="AN65" s="48">
        <f t="shared" si="92"/>
        <v>1096.876</v>
      </c>
      <c r="AO65" s="48">
        <f t="shared" si="93"/>
        <v>1544.29</v>
      </c>
      <c r="AP65" s="48">
        <f t="shared" si="94"/>
        <v>1132.5150000000001</v>
      </c>
      <c r="AQ65" s="48">
        <f t="shared" si="95"/>
        <v>1137.1199999999999</v>
      </c>
    </row>
    <row r="66" spans="2:103">
      <c r="B66" s="1" t="s">
        <v>171</v>
      </c>
      <c r="C66" s="48"/>
      <c r="D66" s="48"/>
      <c r="E66" s="48"/>
      <c r="F66" s="48">
        <v>80.36</v>
      </c>
      <c r="G66" s="48">
        <v>60.674999999999997</v>
      </c>
      <c r="H66" s="48">
        <v>65.284999999999997</v>
      </c>
      <c r="I66" s="48">
        <v>63.42</v>
      </c>
      <c r="J66" s="48">
        <v>41.512</v>
      </c>
      <c r="K66" s="48">
        <v>38.619999999999997</v>
      </c>
      <c r="L66" s="48">
        <v>39.368000000000002</v>
      </c>
      <c r="M66" s="48">
        <v>35.228999999999999</v>
      </c>
      <c r="N66" s="48">
        <v>57.578000000000003</v>
      </c>
      <c r="O66" s="48">
        <v>53.930999999999997</v>
      </c>
      <c r="P66" s="48">
        <v>129.16999999999999</v>
      </c>
      <c r="Q66" s="48">
        <v>134.75200000000001</v>
      </c>
      <c r="R66" s="48">
        <v>140.96</v>
      </c>
      <c r="S66" s="48">
        <v>140.1</v>
      </c>
      <c r="T66" s="48">
        <v>143.601</v>
      </c>
      <c r="U66" s="48">
        <v>170</v>
      </c>
      <c r="V66" s="48">
        <v>192.47300000000001</v>
      </c>
      <c r="W66" s="48">
        <v>205.46</v>
      </c>
      <c r="X66" s="48">
        <v>214.41900000000001</v>
      </c>
      <c r="Y66" s="48">
        <v>215.042</v>
      </c>
      <c r="AM66" s="48">
        <f t="shared" si="91"/>
        <v>80.36</v>
      </c>
      <c r="AN66" s="48">
        <f t="shared" si="92"/>
        <v>41.512</v>
      </c>
      <c r="AO66" s="48">
        <f t="shared" si="93"/>
        <v>57.578000000000003</v>
      </c>
      <c r="AP66" s="48">
        <f t="shared" si="94"/>
        <v>140.96</v>
      </c>
      <c r="AQ66" s="48">
        <f t="shared" si="95"/>
        <v>192.47300000000001</v>
      </c>
    </row>
    <row r="67" spans="2:103">
      <c r="B67" s="1" t="s">
        <v>170</v>
      </c>
      <c r="C67" s="48"/>
      <c r="D67" s="48"/>
      <c r="E67" s="48"/>
      <c r="F67" s="48">
        <v>663.48800000000006</v>
      </c>
      <c r="G67" s="48">
        <v>641.48299999999995</v>
      </c>
      <c r="H67" s="48">
        <v>619.23299999999995</v>
      </c>
      <c r="I67" s="48">
        <v>596.73</v>
      </c>
      <c r="J67" s="48">
        <v>574.24400000000003</v>
      </c>
      <c r="K67" s="48">
        <v>552.23900000000003</v>
      </c>
      <c r="L67" s="48">
        <v>529.98900000000003</v>
      </c>
      <c r="M67" s="48">
        <v>507.49400000000003</v>
      </c>
      <c r="N67" s="48">
        <v>485</v>
      </c>
      <c r="O67" s="48">
        <v>485</v>
      </c>
      <c r="P67" s="48">
        <v>485</v>
      </c>
      <c r="Q67" s="48">
        <v>485</v>
      </c>
      <c r="R67" s="48">
        <v>437</v>
      </c>
      <c r="S67" s="48">
        <v>325</v>
      </c>
      <c r="T67" s="48">
        <v>325</v>
      </c>
      <c r="U67" s="48">
        <v>325</v>
      </c>
      <c r="V67" s="48">
        <v>325</v>
      </c>
      <c r="W67" s="48">
        <v>325</v>
      </c>
      <c r="X67" s="48">
        <v>0</v>
      </c>
      <c r="Y67" s="48">
        <v>0</v>
      </c>
      <c r="AM67" s="48">
        <f t="shared" si="91"/>
        <v>663.48800000000006</v>
      </c>
      <c r="AN67" s="48">
        <f t="shared" si="92"/>
        <v>574.24400000000003</v>
      </c>
      <c r="AO67" s="48">
        <f t="shared" si="93"/>
        <v>485</v>
      </c>
      <c r="AP67" s="48">
        <f t="shared" si="94"/>
        <v>437</v>
      </c>
      <c r="AQ67" s="48">
        <f t="shared" si="95"/>
        <v>325</v>
      </c>
    </row>
    <row r="68" spans="2:103" s="2" customFormat="1" ht="15">
      <c r="B68" s="1" t="s">
        <v>172</v>
      </c>
      <c r="C68" s="48"/>
      <c r="D68" s="48"/>
      <c r="E68" s="48"/>
      <c r="F68" s="48">
        <v>50.8</v>
      </c>
      <c r="G68" s="48">
        <v>50.8</v>
      </c>
      <c r="H68" s="48">
        <v>50.8</v>
      </c>
      <c r="I68" s="48">
        <v>43.6</v>
      </c>
      <c r="J68" s="48">
        <v>43.6</v>
      </c>
      <c r="K68" s="48">
        <v>43.6</v>
      </c>
      <c r="L68" s="48">
        <v>43.6</v>
      </c>
      <c r="M68" s="48">
        <v>36.9</v>
      </c>
      <c r="N68" s="48">
        <v>36.9</v>
      </c>
      <c r="O68" s="48">
        <v>36.9</v>
      </c>
      <c r="P68" s="48">
        <v>36.1</v>
      </c>
      <c r="Q68" s="48">
        <v>38.1</v>
      </c>
      <c r="R68" s="48">
        <v>38.1</v>
      </c>
      <c r="S68" s="48">
        <v>48.2</v>
      </c>
      <c r="T68" s="48">
        <v>48.2</v>
      </c>
      <c r="U68" s="48">
        <v>47.4</v>
      </c>
      <c r="V68" s="48">
        <v>47.4</v>
      </c>
      <c r="W68" s="48">
        <v>47.4</v>
      </c>
      <c r="X68" s="48">
        <v>47.4</v>
      </c>
      <c r="Y68" s="48">
        <v>0.3</v>
      </c>
      <c r="Z68" s="34"/>
      <c r="AA68" s="34"/>
      <c r="AB68" s="34"/>
      <c r="AC68" s="34"/>
      <c r="AD68" s="34"/>
      <c r="AM68" s="48">
        <f t="shared" si="91"/>
        <v>50.8</v>
      </c>
      <c r="AN68" s="48">
        <f t="shared" si="92"/>
        <v>43.6</v>
      </c>
      <c r="AO68" s="48">
        <f t="shared" si="93"/>
        <v>36.9</v>
      </c>
      <c r="AP68" s="48">
        <f t="shared" si="94"/>
        <v>38.1</v>
      </c>
      <c r="AQ68" s="48">
        <f t="shared" si="95"/>
        <v>47.4</v>
      </c>
      <c r="BF68" s="34"/>
      <c r="BG68" s="34"/>
      <c r="BH68" s="34"/>
      <c r="BI68" s="34"/>
      <c r="BJ68" s="34"/>
      <c r="BK68" s="34"/>
      <c r="BL68" s="34"/>
      <c r="BM68" s="34"/>
      <c r="BN68" s="34"/>
      <c r="BO68" s="34"/>
      <c r="BP68" s="34"/>
      <c r="BQ68" s="34"/>
      <c r="BR68" s="34"/>
      <c r="BS68" s="34"/>
      <c r="BT68" s="34"/>
      <c r="BU68" s="34"/>
      <c r="BV68" s="34"/>
      <c r="BW68" s="34"/>
      <c r="BX68" s="34"/>
      <c r="BY68" s="34"/>
      <c r="BZ68" s="34"/>
      <c r="CA68" s="34"/>
      <c r="CB68" s="34"/>
      <c r="CC68" s="34"/>
      <c r="CD68" s="34"/>
      <c r="CE68" s="34"/>
      <c r="CF68" s="34"/>
      <c r="CG68" s="34"/>
      <c r="CH68" s="34"/>
      <c r="CI68" s="34"/>
      <c r="CJ68" s="34"/>
      <c r="CK68" s="34"/>
      <c r="CL68" s="34"/>
      <c r="CM68" s="34"/>
      <c r="CN68" s="34"/>
      <c r="CO68" s="34"/>
      <c r="CP68" s="34"/>
      <c r="CQ68" s="34"/>
      <c r="CR68" s="34"/>
      <c r="CS68" s="34"/>
      <c r="CT68" s="34"/>
      <c r="CU68" s="34"/>
      <c r="CV68" s="34"/>
      <c r="CW68" s="34"/>
      <c r="CX68" s="34"/>
      <c r="CY68" s="34"/>
    </row>
    <row r="69" spans="2:103">
      <c r="B69" s="1" t="s">
        <v>173</v>
      </c>
      <c r="C69" s="48"/>
      <c r="D69" s="48"/>
      <c r="E69" s="48"/>
      <c r="F69" s="48">
        <v>19.785</v>
      </c>
      <c r="G69" s="48">
        <v>20.984000000000002</v>
      </c>
      <c r="H69" s="48">
        <v>20.64</v>
      </c>
      <c r="I69" s="48">
        <v>20.568999999999999</v>
      </c>
      <c r="J69" s="48">
        <v>11</v>
      </c>
      <c r="K69" s="48">
        <v>11</v>
      </c>
      <c r="L69" s="48">
        <v>11</v>
      </c>
      <c r="M69" s="48">
        <v>0</v>
      </c>
      <c r="N69" s="48">
        <v>4.2000000000000003E-2</v>
      </c>
      <c r="O69" s="48">
        <v>3.7999999999999999E-2</v>
      </c>
      <c r="P69" s="48">
        <v>3.7999999999999999E-2</v>
      </c>
      <c r="Q69" s="48">
        <v>0</v>
      </c>
      <c r="R69" s="1">
        <v>3</v>
      </c>
      <c r="S69" s="48">
        <v>7.5220000000000002</v>
      </c>
      <c r="T69" s="48">
        <v>7.0869999999999997</v>
      </c>
      <c r="U69" s="48">
        <v>1</v>
      </c>
      <c r="V69" s="48">
        <v>1.75</v>
      </c>
      <c r="W69" s="48">
        <v>0.92700000000000005</v>
      </c>
      <c r="X69" s="48">
        <v>1.2</v>
      </c>
      <c r="Y69" s="48">
        <v>1.4039999999999999</v>
      </c>
      <c r="AM69" s="48">
        <f t="shared" si="91"/>
        <v>19.785</v>
      </c>
      <c r="AN69" s="48">
        <f t="shared" si="92"/>
        <v>11</v>
      </c>
      <c r="AO69" s="48">
        <f t="shared" si="93"/>
        <v>4.2000000000000003E-2</v>
      </c>
      <c r="AP69" s="48">
        <f t="shared" si="94"/>
        <v>3</v>
      </c>
      <c r="AQ69" s="48">
        <f t="shared" si="95"/>
        <v>1.75</v>
      </c>
    </row>
    <row r="70" spans="2:103" s="2" customFormat="1" ht="15">
      <c r="B70" s="2" t="s">
        <v>174</v>
      </c>
      <c r="C70" s="46"/>
      <c r="D70" s="46"/>
      <c r="E70" s="46"/>
      <c r="F70" s="46">
        <f>SUM(F60:F69)</f>
        <v>2222.9490000000001</v>
      </c>
      <c r="G70" s="46">
        <f>SUM(G60:G69)</f>
        <v>2229.788</v>
      </c>
      <c r="H70" s="46">
        <f t="shared" ref="H70:Y70" si="96">SUM(H60:H69)</f>
        <v>2273.9639999999999</v>
      </c>
      <c r="I70" s="46">
        <f t="shared" si="96"/>
        <v>2192.6669999999999</v>
      </c>
      <c r="J70" s="46">
        <f t="shared" si="96"/>
        <v>2219.9649999999997</v>
      </c>
      <c r="K70" s="46">
        <f t="shared" si="96"/>
        <v>2199.261</v>
      </c>
      <c r="L70" s="46">
        <f t="shared" si="96"/>
        <v>2270.3960000000002</v>
      </c>
      <c r="M70" s="46">
        <f t="shared" si="96"/>
        <v>2725.3089999999997</v>
      </c>
      <c r="N70" s="46">
        <f t="shared" si="96"/>
        <v>2743.4079999999999</v>
      </c>
      <c r="O70" s="46">
        <f t="shared" si="96"/>
        <v>2347.0330000000004</v>
      </c>
      <c r="P70" s="46">
        <f t="shared" si="96"/>
        <v>2384.4719999999998</v>
      </c>
      <c r="Q70" s="46">
        <f t="shared" si="96"/>
        <v>2345.35</v>
      </c>
      <c r="R70" s="46">
        <f>SUM(R60:R69)</f>
        <v>2405.2339999999999</v>
      </c>
      <c r="S70" s="46">
        <f t="shared" si="96"/>
        <v>2263.1909999999998</v>
      </c>
      <c r="T70" s="46">
        <f t="shared" si="96"/>
        <v>2347.1799999999998</v>
      </c>
      <c r="U70" s="46">
        <f t="shared" si="96"/>
        <v>2378.8530000000001</v>
      </c>
      <c r="V70" s="46">
        <f t="shared" si="96"/>
        <v>2435.4139999999998</v>
      </c>
      <c r="W70" s="46">
        <f t="shared" si="96"/>
        <v>2322.6550000000002</v>
      </c>
      <c r="X70" s="46">
        <f t="shared" si="96"/>
        <v>2322.4249999999997</v>
      </c>
      <c r="Y70" s="46">
        <f t="shared" si="96"/>
        <v>2173.306</v>
      </c>
      <c r="Z70" s="34"/>
      <c r="AA70" s="34"/>
      <c r="AB70" s="34"/>
      <c r="AC70" s="34"/>
      <c r="AD70" s="34"/>
      <c r="AM70" s="46">
        <f t="shared" si="91"/>
        <v>2222.9490000000001</v>
      </c>
      <c r="AN70" s="46">
        <f t="shared" si="92"/>
        <v>2219.9649999999997</v>
      </c>
      <c r="AO70" s="46">
        <f t="shared" si="93"/>
        <v>2743.4079999999999</v>
      </c>
      <c r="AP70" s="46">
        <f t="shared" si="94"/>
        <v>2405.2339999999999</v>
      </c>
      <c r="AQ70" s="46">
        <f t="shared" si="95"/>
        <v>2435.4139999999998</v>
      </c>
      <c r="AR70" s="34"/>
      <c r="AS70" s="34"/>
      <c r="AT70" s="34"/>
      <c r="AU70" s="34"/>
      <c r="AV70" s="34"/>
      <c r="AW70" s="34"/>
      <c r="AX70" s="34"/>
      <c r="AY70" s="34"/>
      <c r="AZ70" s="34"/>
      <c r="BA70" s="34"/>
      <c r="BB70" s="34"/>
      <c r="BC70" s="34"/>
      <c r="BD70" s="34"/>
      <c r="BE70" s="34"/>
      <c r="BF70" s="34"/>
      <c r="BG70" s="34"/>
      <c r="BH70" s="34"/>
      <c r="BI70" s="34"/>
      <c r="BJ70" s="34"/>
      <c r="BK70" s="34"/>
      <c r="BL70" s="34"/>
      <c r="BM70" s="34"/>
      <c r="BN70" s="34"/>
      <c r="BO70" s="34"/>
      <c r="BP70" s="34"/>
      <c r="BQ70" s="34"/>
      <c r="BR70" s="34"/>
      <c r="BS70" s="34"/>
      <c r="BT70" s="34"/>
      <c r="BU70" s="34"/>
      <c r="BV70" s="34"/>
      <c r="BW70" s="34"/>
      <c r="BX70" s="34"/>
      <c r="BY70" s="34"/>
      <c r="BZ70" s="34"/>
      <c r="CA70" s="34"/>
      <c r="CB70" s="34"/>
      <c r="CC70" s="34"/>
      <c r="CD70" s="34"/>
      <c r="CE70" s="34"/>
      <c r="CF70" s="34"/>
      <c r="CG70" s="34"/>
      <c r="CH70" s="34"/>
      <c r="CI70" s="34"/>
      <c r="CJ70" s="34"/>
      <c r="CK70" s="34"/>
      <c r="CL70" s="34"/>
      <c r="CM70" s="34"/>
      <c r="CN70" s="34"/>
      <c r="CO70" s="34"/>
      <c r="CP70" s="34"/>
      <c r="CQ70" s="34"/>
      <c r="CR70" s="34"/>
      <c r="CS70" s="34"/>
      <c r="CT70" s="34"/>
      <c r="CU70" s="34"/>
      <c r="CV70" s="34"/>
      <c r="CW70" s="34"/>
      <c r="CX70" s="34"/>
      <c r="CY70" s="34"/>
    </row>
    <row r="71" spans="2:103">
      <c r="B71" s="1" t="s">
        <v>175</v>
      </c>
      <c r="C71" s="48"/>
      <c r="D71" s="48"/>
      <c r="E71" s="48"/>
      <c r="F71" s="48">
        <v>761.75900000000001</v>
      </c>
      <c r="G71" s="48">
        <v>535.44500000000005</v>
      </c>
      <c r="H71" s="48">
        <v>485.1</v>
      </c>
      <c r="I71" s="48">
        <v>469.52</v>
      </c>
      <c r="J71" s="48">
        <v>928.00900000000001</v>
      </c>
      <c r="K71" s="48">
        <v>856.88599999999997</v>
      </c>
      <c r="L71" s="48">
        <v>726.45699999999999</v>
      </c>
      <c r="M71" s="48">
        <v>430.84</v>
      </c>
      <c r="N71" s="48">
        <v>384.95</v>
      </c>
      <c r="O71" s="48">
        <v>712.74900000000002</v>
      </c>
      <c r="P71" s="48">
        <v>741.41099999999994</v>
      </c>
      <c r="Q71" s="48">
        <v>764.35699999999997</v>
      </c>
      <c r="R71" s="48">
        <v>859.33699999999999</v>
      </c>
      <c r="S71" s="48">
        <v>961.19200000000001</v>
      </c>
      <c r="T71" s="48">
        <v>1077.06</v>
      </c>
      <c r="U71" s="48">
        <v>1221.0709999999999</v>
      </c>
      <c r="V71" s="48">
        <v>1527.742</v>
      </c>
      <c r="W71" s="48">
        <v>1142.723</v>
      </c>
      <c r="X71" s="48">
        <v>1357.38</v>
      </c>
      <c r="Y71" s="48">
        <v>1320.12</v>
      </c>
      <c r="AM71" s="48">
        <f t="shared" si="91"/>
        <v>761.75900000000001</v>
      </c>
      <c r="AN71" s="48">
        <f t="shared" si="92"/>
        <v>928.00900000000001</v>
      </c>
      <c r="AO71" s="48">
        <f t="shared" si="93"/>
        <v>384.95</v>
      </c>
      <c r="AP71" s="48">
        <f t="shared" si="94"/>
        <v>859.33699999999999</v>
      </c>
      <c r="AQ71" s="48">
        <f t="shared" si="95"/>
        <v>1527.742</v>
      </c>
    </row>
    <row r="72" spans="2:103" ht="15">
      <c r="B72" s="2" t="s">
        <v>176</v>
      </c>
      <c r="C72" s="46"/>
      <c r="D72" s="46"/>
      <c r="E72" s="46"/>
      <c r="F72" s="46">
        <f>F70+F71</f>
        <v>2984.7080000000001</v>
      </c>
      <c r="G72" s="46">
        <f>G70+G71</f>
        <v>2765.2330000000002</v>
      </c>
      <c r="H72" s="46">
        <f t="shared" ref="H72:Y72" si="97">H70+H71</f>
        <v>2759.0639999999999</v>
      </c>
      <c r="I72" s="46">
        <f t="shared" si="97"/>
        <v>2662.1869999999999</v>
      </c>
      <c r="J72" s="46">
        <f t="shared" si="97"/>
        <v>3147.9739999999997</v>
      </c>
      <c r="K72" s="46">
        <f t="shared" si="97"/>
        <v>3056.1469999999999</v>
      </c>
      <c r="L72" s="46">
        <f t="shared" si="97"/>
        <v>2996.8530000000001</v>
      </c>
      <c r="M72" s="46">
        <f t="shared" si="97"/>
        <v>3156.1489999999999</v>
      </c>
      <c r="N72" s="46">
        <f t="shared" si="97"/>
        <v>3128.3579999999997</v>
      </c>
      <c r="O72" s="46">
        <f t="shared" si="97"/>
        <v>3059.7820000000002</v>
      </c>
      <c r="P72" s="46">
        <f t="shared" si="97"/>
        <v>3125.8829999999998</v>
      </c>
      <c r="Q72" s="46">
        <f t="shared" si="97"/>
        <v>3109.7069999999999</v>
      </c>
      <c r="R72" s="46">
        <f t="shared" si="97"/>
        <v>3264.5709999999999</v>
      </c>
      <c r="S72" s="46">
        <f t="shared" si="97"/>
        <v>3224.3829999999998</v>
      </c>
      <c r="T72" s="46">
        <f t="shared" si="97"/>
        <v>3424.24</v>
      </c>
      <c r="U72" s="46">
        <f t="shared" si="97"/>
        <v>3599.924</v>
      </c>
      <c r="V72" s="46">
        <f t="shared" si="97"/>
        <v>3963.1559999999999</v>
      </c>
      <c r="W72" s="46">
        <f t="shared" si="97"/>
        <v>3465.3780000000002</v>
      </c>
      <c r="X72" s="46">
        <f t="shared" si="97"/>
        <v>3679.8049999999998</v>
      </c>
      <c r="Y72" s="46">
        <f t="shared" si="97"/>
        <v>3493.4259999999999</v>
      </c>
      <c r="AM72" s="46">
        <f t="shared" si="91"/>
        <v>2984.7080000000001</v>
      </c>
      <c r="AN72" s="46">
        <f t="shared" si="92"/>
        <v>3147.9739999999997</v>
      </c>
      <c r="AO72" s="46">
        <f t="shared" si="93"/>
        <v>3128.3579999999997</v>
      </c>
      <c r="AP72" s="46">
        <f t="shared" si="94"/>
        <v>3264.5709999999999</v>
      </c>
      <c r="AQ72" s="46">
        <f t="shared" si="95"/>
        <v>3963.1559999999999</v>
      </c>
    </row>
    <row r="74" spans="2:103">
      <c r="B74" s="1" t="s">
        <v>82</v>
      </c>
      <c r="F74" s="39">
        <f t="shared" ref="F74:X74" si="98">SUM(F46:F51)/SUM(F60:F64)</f>
        <v>5.9736793398441916</v>
      </c>
      <c r="G74" s="39">
        <f t="shared" si="98"/>
        <v>6.2273617081944206</v>
      </c>
      <c r="H74" s="39">
        <f t="shared" si="98"/>
        <v>5.3296472409598579</v>
      </c>
      <c r="I74" s="39">
        <f t="shared" si="98"/>
        <v>5.8518996561659842</v>
      </c>
      <c r="J74" s="39">
        <f t="shared" si="98"/>
        <v>5.7519531379422313</v>
      </c>
      <c r="K74" s="39">
        <f t="shared" si="98"/>
        <v>5.5629832821202649</v>
      </c>
      <c r="L74" s="39">
        <f t="shared" si="98"/>
        <v>4.5261251617586131</v>
      </c>
      <c r="M74" s="39">
        <f t="shared" si="98"/>
        <v>4.3553745463713023</v>
      </c>
      <c r="N74" s="39">
        <f t="shared" si="98"/>
        <v>4.1282476702636215</v>
      </c>
      <c r="O74" s="39">
        <f t="shared" si="98"/>
        <v>4.6348588138876474</v>
      </c>
      <c r="P74" s="39">
        <f t="shared" si="98"/>
        <v>4.9585764879054421</v>
      </c>
      <c r="Q74" s="39">
        <f t="shared" si="98"/>
        <v>5.4373534364371698</v>
      </c>
      <c r="R74" s="39">
        <f t="shared" si="98"/>
        <v>3.9459565308517126</v>
      </c>
      <c r="S74" s="39">
        <f t="shared" si="98"/>
        <v>4.0493322753565328</v>
      </c>
      <c r="T74" s="39">
        <f t="shared" si="98"/>
        <v>3.8978956603077495</v>
      </c>
      <c r="U74" s="39">
        <f t="shared" si="98"/>
        <v>3.8390494190036133</v>
      </c>
      <c r="V74" s="39">
        <f t="shared" si="98"/>
        <v>4.2010972144584109</v>
      </c>
      <c r="W74" s="39">
        <f t="shared" si="98"/>
        <v>4.0168117598102988</v>
      </c>
      <c r="X74" s="39">
        <f t="shared" si="98"/>
        <v>2.8881458517220544</v>
      </c>
      <c r="Y74" s="39">
        <f t="shared" ref="Y74" si="99">SUM(Y46:Y51)/SUM(Y60:Y64)</f>
        <v>2.9544547836260362</v>
      </c>
      <c r="AM74" s="39">
        <f t="shared" ref="AM74:AP74" si="100">SUM(AM46:AM51)/SUM(AM60:AM64)</f>
        <v>5.9736793398441916</v>
      </c>
      <c r="AN74" s="39">
        <f t="shared" si="100"/>
        <v>5.7519531379422313</v>
      </c>
      <c r="AO74" s="39">
        <f t="shared" si="100"/>
        <v>4.1282476702636215</v>
      </c>
      <c r="AP74" s="39">
        <f t="shared" si="100"/>
        <v>3.9459565308517126</v>
      </c>
      <c r="AQ74" s="39">
        <f>SUM(AQ46:AQ51)/SUM(AQ60:AQ64)</f>
        <v>4.2010972144584109</v>
      </c>
    </row>
    <row r="75" spans="2:103">
      <c r="B75" s="1" t="s">
        <v>83</v>
      </c>
      <c r="F75" s="39">
        <f t="shared" ref="F75:X75" si="101">(SUM(F46:F51)-F49)/SUM(F60:F64)</f>
        <v>5.416111609213913</v>
      </c>
      <c r="G75" s="39">
        <f t="shared" si="101"/>
        <v>5.5684385418494475</v>
      </c>
      <c r="H75" s="39">
        <f t="shared" si="101"/>
        <v>4.6973114269647844</v>
      </c>
      <c r="I75" s="39">
        <f t="shared" si="101"/>
        <v>5.0794272646450809</v>
      </c>
      <c r="J75" s="39">
        <f t="shared" si="101"/>
        <v>5.3406466946301689</v>
      </c>
      <c r="K75" s="39">
        <f t="shared" si="101"/>
        <v>5.1255907086745713</v>
      </c>
      <c r="L75" s="39">
        <f t="shared" si="101"/>
        <v>4.144695600532291</v>
      </c>
      <c r="M75" s="39">
        <f t="shared" si="101"/>
        <v>3.9885042029072042</v>
      </c>
      <c r="N75" s="39">
        <f t="shared" si="101"/>
        <v>3.7990535799018068</v>
      </c>
      <c r="O75" s="39">
        <f t="shared" si="101"/>
        <v>4.2573629116376104</v>
      </c>
      <c r="P75" s="39">
        <f t="shared" si="101"/>
        <v>4.5035996903664675</v>
      </c>
      <c r="Q75" s="39">
        <f t="shared" si="101"/>
        <v>4.8960006034480834</v>
      </c>
      <c r="R75" s="39">
        <f t="shared" si="101"/>
        <v>3.4520445675803435</v>
      </c>
      <c r="S75" s="39">
        <f t="shared" si="101"/>
        <v>3.435689303098854</v>
      </c>
      <c r="T75" s="39">
        <f t="shared" si="101"/>
        <v>3.1922926089570969</v>
      </c>
      <c r="U75" s="39">
        <f t="shared" si="101"/>
        <v>3.0299947961937868</v>
      </c>
      <c r="V75" s="39">
        <f t="shared" si="101"/>
        <v>3.176101007146654</v>
      </c>
      <c r="W75" s="39">
        <f t="shared" si="101"/>
        <v>2.4622367021803591</v>
      </c>
      <c r="X75" s="39">
        <f t="shared" si="101"/>
        <v>1.8076499976085609</v>
      </c>
      <c r="Y75" s="39">
        <f t="shared" ref="Y75" si="102">(SUM(Y46:Y51)-Y49)/SUM(Y60:Y64)</f>
        <v>1.7854254439372532</v>
      </c>
      <c r="AM75" s="39">
        <f t="shared" ref="AM75:AP75" si="103">(SUM(AM46:AM51)-AM49)/SUM(AM60:AM64)</f>
        <v>5.416111609213913</v>
      </c>
      <c r="AN75" s="39">
        <f t="shared" si="103"/>
        <v>5.3406466946301689</v>
      </c>
      <c r="AO75" s="39">
        <f t="shared" si="103"/>
        <v>3.7990535799018068</v>
      </c>
      <c r="AP75" s="39">
        <f t="shared" si="103"/>
        <v>3.4520445675803435</v>
      </c>
      <c r="AQ75" s="39">
        <f>(SUM(AQ46:AQ51)-AQ49)/SUM(AQ60:AQ64)</f>
        <v>3.176101007146654</v>
      </c>
    </row>
    <row r="76" spans="2:103">
      <c r="B76" s="1" t="s">
        <v>84</v>
      </c>
      <c r="F76" s="39">
        <f t="shared" ref="F76:X76" si="104">F46/SUM(F60:F64)</f>
        <v>3.6119156873538243</v>
      </c>
      <c r="G76" s="39">
        <f t="shared" si="104"/>
        <v>4.0627467538164597</v>
      </c>
      <c r="H76" s="39">
        <f t="shared" si="104"/>
        <v>3.99337915067726</v>
      </c>
      <c r="I76" s="39">
        <f t="shared" si="104"/>
        <v>4.282160798637519</v>
      </c>
      <c r="J76" s="39">
        <f t="shared" si="104"/>
        <v>4.6735471017133721</v>
      </c>
      <c r="K76" s="39">
        <f t="shared" si="104"/>
        <v>2.7120440828025196</v>
      </c>
      <c r="L76" s="39">
        <f t="shared" si="104"/>
        <v>1.5920438590381365</v>
      </c>
      <c r="M76" s="39">
        <f t="shared" si="104"/>
        <v>1.7226611999018104</v>
      </c>
      <c r="N76" s="39">
        <f t="shared" si="104"/>
        <v>1.5603181417628849</v>
      </c>
      <c r="O76" s="39">
        <f t="shared" si="104"/>
        <v>1.6235806884219937</v>
      </c>
      <c r="P76" s="39">
        <f t="shared" si="104"/>
        <v>1.7084571666927368</v>
      </c>
      <c r="Q76" s="39">
        <f t="shared" si="104"/>
        <v>1.2023081889236216</v>
      </c>
      <c r="R76" s="39">
        <f t="shared" si="104"/>
        <v>0.65543349055088351</v>
      </c>
      <c r="S76" s="39">
        <f t="shared" si="104"/>
        <v>0.70196103556872014</v>
      </c>
      <c r="T76" s="39">
        <f t="shared" si="104"/>
        <v>0.55719975249897602</v>
      </c>
      <c r="U76" s="39">
        <f t="shared" si="104"/>
        <v>0.28285688961068661</v>
      </c>
      <c r="V76" s="39">
        <f t="shared" si="104"/>
        <v>1.5075218233331649</v>
      </c>
      <c r="W76" s="39">
        <f t="shared" si="104"/>
        <v>0.39774070820425761</v>
      </c>
      <c r="X76" s="39">
        <f t="shared" si="104"/>
        <v>0.55502919730245626</v>
      </c>
      <c r="Y76" s="39">
        <f t="shared" ref="Y76" si="105">Y46/SUM(Y60:Y64)</f>
        <v>0.6653578087591463</v>
      </c>
      <c r="AM76" s="39">
        <f t="shared" ref="AM76:AP76" si="106">AM46/SUM(AM60:AM64)</f>
        <v>3.6119156873538243</v>
      </c>
      <c r="AN76" s="39">
        <f t="shared" si="106"/>
        <v>4.6735471017133721</v>
      </c>
      <c r="AO76" s="39">
        <f t="shared" si="106"/>
        <v>1.5603181417628849</v>
      </c>
      <c r="AP76" s="39">
        <f t="shared" si="106"/>
        <v>0.65543349055088351</v>
      </c>
      <c r="AQ76" s="39">
        <f>AQ46/SUM(AQ60:AQ64)</f>
        <v>1.5075218233331649</v>
      </c>
    </row>
    <row r="77" spans="2:103">
      <c r="B77" s="1" t="s">
        <v>85</v>
      </c>
      <c r="F77" s="39">
        <f t="shared" ref="F77:Y77" si="107">F23/F72</f>
        <v>4.8628542557596931E-2</v>
      </c>
      <c r="G77" s="39">
        <f t="shared" si="107"/>
        <v>5.3135124598903599E-2</v>
      </c>
      <c r="H77" s="39">
        <f t="shared" si="107"/>
        <v>5.9472705236268533E-2</v>
      </c>
      <c r="I77" s="39">
        <f t="shared" si="107"/>
        <v>7.1133244959876982E-2</v>
      </c>
      <c r="J77" s="39">
        <f t="shared" si="107"/>
        <v>6.3995128295214643E-2</v>
      </c>
      <c r="K77" s="39">
        <f t="shared" si="107"/>
        <v>6.8985555995833961E-2</v>
      </c>
      <c r="L77" s="39">
        <f t="shared" si="107"/>
        <v>7.7927412522402664E-2</v>
      </c>
      <c r="M77" s="39">
        <f t="shared" si="107"/>
        <v>7.2960433743780792E-2</v>
      </c>
      <c r="N77" s="39">
        <f t="shared" si="107"/>
        <v>8.2590291776069094E-2</v>
      </c>
      <c r="O77" s="39">
        <f t="shared" si="107"/>
        <v>8.2847405468755617E-2</v>
      </c>
      <c r="P77" s="39">
        <f t="shared" si="107"/>
        <v>8.3572545741475296E-2</v>
      </c>
      <c r="Q77" s="39">
        <f t="shared" si="107"/>
        <v>0.10670072775345073</v>
      </c>
      <c r="R77" s="39">
        <f t="shared" si="107"/>
        <v>0.12154583251520645</v>
      </c>
      <c r="S77" s="39">
        <f t="shared" si="107"/>
        <v>0.12822825328132548</v>
      </c>
      <c r="T77" s="39">
        <f t="shared" si="107"/>
        <v>0.10598760600892462</v>
      </c>
      <c r="U77" s="39">
        <f t="shared" si="107"/>
        <v>0.12977246186308378</v>
      </c>
      <c r="V77" s="39">
        <f t="shared" si="107"/>
        <v>0.16613628128693395</v>
      </c>
      <c r="W77" s="39">
        <f t="shared" si="107"/>
        <v>0.21494393973759859</v>
      </c>
      <c r="X77" s="39">
        <f t="shared" si="107"/>
        <v>0.16606532139610661</v>
      </c>
      <c r="Y77" s="39">
        <f t="shared" si="107"/>
        <v>0.11431271193378648</v>
      </c>
      <c r="AM77" s="39">
        <f t="shared" ref="AM77:AP77" si="108">AM23/AM72</f>
        <v>0.18095538994099256</v>
      </c>
      <c r="AN77" s="39">
        <f t="shared" si="108"/>
        <v>0.22295133314315813</v>
      </c>
      <c r="AO77" s="39">
        <f t="shared" si="108"/>
        <v>0.29824367927200146</v>
      </c>
      <c r="AP77" s="39">
        <f t="shared" si="108"/>
        <v>0.38085739290093557</v>
      </c>
      <c r="AQ77" s="39">
        <f>AQ23/AQ72</f>
        <v>0.47991524936187224</v>
      </c>
    </row>
    <row r="78" spans="2:103">
      <c r="B78" s="1" t="s">
        <v>86</v>
      </c>
      <c r="F78" s="39">
        <f t="shared" ref="F78:Y78" si="109">F24/AVERAGE(C49:F49)</f>
        <v>9.6585201822720179E-2</v>
      </c>
      <c r="G78" s="39">
        <f t="shared" si="109"/>
        <v>9.4627498973097274E-2</v>
      </c>
      <c r="H78" s="39">
        <f t="shared" si="109"/>
        <v>7.9002766345050948E-2</v>
      </c>
      <c r="I78" s="39">
        <f t="shared" si="109"/>
        <v>9.1071655792656581E-2</v>
      </c>
      <c r="J78" s="39">
        <f t="shared" si="109"/>
        <v>0.12908708336298122</v>
      </c>
      <c r="K78" s="39">
        <f t="shared" si="109"/>
        <v>0.13345443818877503</v>
      </c>
      <c r="L78" s="39">
        <f t="shared" si="109"/>
        <v>0.17145002171760759</v>
      </c>
      <c r="M78" s="39">
        <f t="shared" si="109"/>
        <v>0.19620476957529565</v>
      </c>
      <c r="N78" s="39">
        <f t="shared" si="109"/>
        <v>0.14802728019878597</v>
      </c>
      <c r="O78" s="39">
        <f t="shared" si="109"/>
        <v>0.16756048688578523</v>
      </c>
      <c r="P78" s="39">
        <f t="shared" si="109"/>
        <v>0.1596993586098612</v>
      </c>
      <c r="Q78" s="39">
        <f t="shared" si="109"/>
        <v>0.16877467878408026</v>
      </c>
      <c r="R78" s="39">
        <f t="shared" si="109"/>
        <v>0.17734118688447587</v>
      </c>
      <c r="S78" s="39">
        <f t="shared" si="109"/>
        <v>0.17325599027471861</v>
      </c>
      <c r="T78" s="39">
        <f t="shared" si="109"/>
        <v>0.12492059240519821</v>
      </c>
      <c r="U78" s="39">
        <f t="shared" si="109"/>
        <v>0.20980733928684819</v>
      </c>
      <c r="V78" s="39">
        <f t="shared" si="109"/>
        <v>0.24330351704135098</v>
      </c>
      <c r="W78" s="39">
        <f t="shared" si="109"/>
        <v>0.20058976833237882</v>
      </c>
      <c r="X78" s="39">
        <f t="shared" si="109"/>
        <v>0.18768769322944925</v>
      </c>
      <c r="Y78" s="39">
        <f t="shared" si="109"/>
        <v>0.16029014349834902</v>
      </c>
      <c r="AM78" s="39">
        <f t="shared" ref="AM78:AP78" si="110">AM24/AVERAGE(AJ49:AM49)</f>
        <v>0.27324420915584946</v>
      </c>
      <c r="AN78" s="39">
        <f t="shared" si="110"/>
        <v>0.46415717896659997</v>
      </c>
      <c r="AO78" s="39">
        <f t="shared" si="110"/>
        <v>0.67503508047211169</v>
      </c>
      <c r="AP78" s="39">
        <f t="shared" si="110"/>
        <v>0.63637854752055834</v>
      </c>
      <c r="AQ78" s="39">
        <f>AQ24/AVERAGE(AN49:AQ49)</f>
        <v>0.87245709129932536</v>
      </c>
    </row>
    <row r="79" spans="2:103">
      <c r="B79" s="1" t="s">
        <v>87</v>
      </c>
      <c r="F79" s="56">
        <f t="shared" ref="F79:Y79" si="111">F35/F72</f>
        <v>-6.3356951500783285E-2</v>
      </c>
      <c r="G79" s="56">
        <f t="shared" si="111"/>
        <v>-6.0483149159582562E-2</v>
      </c>
      <c r="H79" s="56">
        <f t="shared" si="111"/>
        <v>-2.9506020882444181E-2</v>
      </c>
      <c r="I79" s="56">
        <f t="shared" si="111"/>
        <v>-1.8096399689428281E-2</v>
      </c>
      <c r="J79" s="56">
        <f t="shared" si="111"/>
        <v>-3.8748414059328322E-2</v>
      </c>
      <c r="K79" s="56">
        <f t="shared" si="111"/>
        <v>-3.4363530288300942E-2</v>
      </c>
      <c r="L79" s="56">
        <f t="shared" si="111"/>
        <v>-7.7958778758918088E-2</v>
      </c>
      <c r="M79" s="56">
        <f t="shared" si="111"/>
        <v>-8.1888719448923356E-2</v>
      </c>
      <c r="N79" s="56">
        <f t="shared" si="111"/>
        <v>-3.4938456532148852E-2</v>
      </c>
      <c r="O79" s="56">
        <f t="shared" si="111"/>
        <v>-0.16888719523155568</v>
      </c>
      <c r="P79" s="56">
        <f t="shared" si="111"/>
        <v>-7.6573563373932944E-3</v>
      </c>
      <c r="Q79" s="56">
        <f t="shared" si="111"/>
        <v>-1.3166513758370161E-2</v>
      </c>
      <c r="R79" s="56">
        <f t="shared" si="111"/>
        <v>1.3986830122549037E-2</v>
      </c>
      <c r="S79" s="56">
        <f t="shared" si="111"/>
        <v>1.0702512697778156E-2</v>
      </c>
      <c r="T79" s="56">
        <f t="shared" si="111"/>
        <v>1.8868420437819814E-3</v>
      </c>
      <c r="U79" s="56">
        <f t="shared" si="111"/>
        <v>9.336863778235319E-3</v>
      </c>
      <c r="V79" s="56">
        <f t="shared" si="111"/>
        <v>4.0134428218318904E-2</v>
      </c>
      <c r="W79" s="56">
        <f t="shared" si="111"/>
        <v>-0.12913367603765019</v>
      </c>
      <c r="X79" s="56">
        <f t="shared" si="111"/>
        <v>5.3503922082827796E-2</v>
      </c>
      <c r="Y79" s="56">
        <f t="shared" si="111"/>
        <v>-5.1513614428930238E-2</v>
      </c>
      <c r="AM79" s="56">
        <f t="shared" ref="AM79:AP79" si="112">AM35/AM72</f>
        <v>-0.18564529595524917</v>
      </c>
      <c r="AN79" s="56">
        <f t="shared" si="112"/>
        <v>-0.13304239488636183</v>
      </c>
      <c r="AO79" s="56">
        <f t="shared" si="112"/>
        <v>-0.22580663721990904</v>
      </c>
      <c r="AP79" s="56">
        <f t="shared" si="112"/>
        <v>-0.16417991828022727</v>
      </c>
      <c r="AQ79" s="56">
        <f>AQ35/AQ72</f>
        <v>5.8953268556675514E-2</v>
      </c>
    </row>
    <row r="80" spans="2:103">
      <c r="B80" s="1" t="s">
        <v>88</v>
      </c>
      <c r="F80" s="56">
        <f t="shared" ref="F80:Y80" si="113">F35/F71</f>
        <v>-0.2482438671548349</v>
      </c>
      <c r="G80" s="56">
        <f t="shared" si="113"/>
        <v>-0.31235701145775935</v>
      </c>
      <c r="H80" s="56">
        <f t="shared" si="113"/>
        <v>-0.16781900639043487</v>
      </c>
      <c r="I80" s="56">
        <f t="shared" si="113"/>
        <v>-0.10260691770318625</v>
      </c>
      <c r="J80" s="56">
        <f t="shared" si="113"/>
        <v>-0.13144161317401018</v>
      </c>
      <c r="K80" s="56">
        <f t="shared" si="113"/>
        <v>-0.12256006049812936</v>
      </c>
      <c r="L80" s="56">
        <f t="shared" si="113"/>
        <v>-0.32160334334998486</v>
      </c>
      <c r="M80" s="56">
        <f t="shared" si="113"/>
        <v>-0.59988162658991739</v>
      </c>
      <c r="N80" s="56">
        <f t="shared" si="113"/>
        <v>-0.2839329783088716</v>
      </c>
      <c r="O80" s="56">
        <f t="shared" si="113"/>
        <v>-0.72502101020134702</v>
      </c>
      <c r="P80" s="56">
        <f t="shared" si="113"/>
        <v>-3.2284387471995912E-2</v>
      </c>
      <c r="Q80" s="56">
        <f t="shared" si="113"/>
        <v>-5.3566592573888898E-2</v>
      </c>
      <c r="R80" s="56">
        <f t="shared" si="113"/>
        <v>5.3135149539703316E-2</v>
      </c>
      <c r="S80" s="56">
        <f t="shared" si="113"/>
        <v>3.5902296315408387E-2</v>
      </c>
      <c r="T80" s="56">
        <f t="shared" si="113"/>
        <v>5.9987373034000079E-3</v>
      </c>
      <c r="U80" s="56">
        <f t="shared" si="113"/>
        <v>2.7526654879200311E-2</v>
      </c>
      <c r="V80" s="56">
        <f t="shared" si="113"/>
        <v>0.10411378361005974</v>
      </c>
      <c r="W80" s="56">
        <f t="shared" si="113"/>
        <v>-0.39160583973543905</v>
      </c>
      <c r="X80" s="56">
        <f t="shared" si="113"/>
        <v>0.1450470759846175</v>
      </c>
      <c r="Y80" s="56">
        <f t="shared" si="113"/>
        <v>-0.13632018301366547</v>
      </c>
      <c r="AM80" s="56">
        <f t="shared" ref="AM80:AP80" si="114">AM35/AM71</f>
        <v>-0.72739147158090667</v>
      </c>
      <c r="AN80" s="56">
        <f t="shared" si="114"/>
        <v>-0.45130381278629839</v>
      </c>
      <c r="AO80" s="56">
        <f t="shared" si="114"/>
        <v>-1.8350539031042996</v>
      </c>
      <c r="AP80" s="56">
        <f t="shared" si="114"/>
        <v>-0.62370990659077841</v>
      </c>
      <c r="AQ80" s="56">
        <f>AQ35/AQ71</f>
        <v>0.15293223594036159</v>
      </c>
    </row>
    <row r="81" spans="2:103" s="2" customFormat="1" ht="15">
      <c r="B81" s="1"/>
      <c r="C81" s="1"/>
      <c r="D81" s="1"/>
      <c r="E81" s="1"/>
      <c r="F81" s="1"/>
      <c r="G81" s="1"/>
      <c r="H81" s="1"/>
      <c r="I81" s="1"/>
      <c r="J81" s="1"/>
      <c r="K81" s="1"/>
      <c r="L81" s="1"/>
      <c r="M81" s="1"/>
      <c r="N81" s="1"/>
      <c r="O81" s="1"/>
      <c r="P81" s="1"/>
      <c r="Q81" s="1"/>
      <c r="R81" s="1"/>
      <c r="S81" s="1"/>
      <c r="T81" s="1"/>
      <c r="U81" s="1"/>
      <c r="V81" s="1"/>
      <c r="W81" s="1"/>
      <c r="X81" s="1"/>
      <c r="Y81" s="1"/>
      <c r="Z81" s="34"/>
      <c r="AA81" s="34"/>
      <c r="AB81" s="34"/>
      <c r="AC81" s="34"/>
      <c r="AD81" s="34"/>
      <c r="AM81" s="1"/>
      <c r="AN81" s="1"/>
      <c r="AO81" s="1"/>
      <c r="AP81" s="1"/>
      <c r="AQ81" s="1"/>
      <c r="AR81" s="34"/>
      <c r="AS81" s="34"/>
      <c r="AT81" s="34"/>
      <c r="AU81" s="34"/>
      <c r="AV81" s="34"/>
      <c r="AW81" s="34"/>
      <c r="AX81" s="34"/>
      <c r="AY81" s="34"/>
      <c r="AZ81" s="34"/>
      <c r="BA81" s="34"/>
      <c r="BB81" s="34"/>
      <c r="BC81" s="34"/>
      <c r="BD81" s="34"/>
      <c r="BE81" s="34"/>
      <c r="BF81" s="34"/>
      <c r="BG81" s="34"/>
      <c r="BH81" s="34"/>
      <c r="BI81" s="34"/>
      <c r="BJ81" s="34"/>
      <c r="BK81" s="34"/>
      <c r="BL81" s="34"/>
      <c r="BM81" s="34"/>
      <c r="BN81" s="34"/>
      <c r="BO81" s="34"/>
      <c r="BP81" s="34"/>
      <c r="BQ81" s="34"/>
      <c r="BR81" s="34"/>
      <c r="BS81" s="34"/>
      <c r="BT81" s="34"/>
      <c r="BU81" s="34"/>
      <c r="BV81" s="34"/>
      <c r="BW81" s="34"/>
      <c r="BX81" s="34"/>
      <c r="BY81" s="34"/>
      <c r="BZ81" s="34"/>
      <c r="CA81" s="34"/>
      <c r="CB81" s="34"/>
      <c r="CC81" s="34"/>
      <c r="CD81" s="34"/>
      <c r="CE81" s="34"/>
      <c r="CF81" s="34"/>
      <c r="CG81" s="34"/>
      <c r="CH81" s="34"/>
      <c r="CI81" s="34"/>
      <c r="CJ81" s="34"/>
      <c r="CK81" s="34"/>
      <c r="CL81" s="34"/>
      <c r="CM81" s="34"/>
      <c r="CN81" s="34"/>
      <c r="CO81" s="34"/>
      <c r="CP81" s="34"/>
      <c r="CQ81" s="34"/>
      <c r="CR81" s="34"/>
      <c r="CS81" s="34"/>
      <c r="CT81" s="34"/>
      <c r="CU81" s="34"/>
      <c r="CV81" s="34"/>
      <c r="CW81" s="34"/>
      <c r="CX81" s="34"/>
      <c r="CY81" s="34"/>
    </row>
    <row r="82" spans="2:103">
      <c r="B82" s="1" t="s">
        <v>89</v>
      </c>
      <c r="C82" s="48">
        <f t="shared" ref="C82:V82" si="115">C35</f>
        <v>-17.492000000000008</v>
      </c>
      <c r="D82" s="48">
        <f t="shared" si="115"/>
        <v>-151.00399999999996</v>
      </c>
      <c r="E82" s="48">
        <f t="shared" si="115"/>
        <v>-196.499</v>
      </c>
      <c r="F82" s="48">
        <f t="shared" si="115"/>
        <v>-189.10199999999989</v>
      </c>
      <c r="G82" s="48">
        <f t="shared" si="115"/>
        <v>-167.24999999999997</v>
      </c>
      <c r="H82" s="48">
        <f t="shared" si="115"/>
        <v>-81.408999999999963</v>
      </c>
      <c r="I82" s="48">
        <f t="shared" si="115"/>
        <v>-48.176000000000009</v>
      </c>
      <c r="J82" s="48">
        <f t="shared" si="115"/>
        <v>-121.97900000000001</v>
      </c>
      <c r="K82" s="48">
        <f t="shared" si="115"/>
        <v>-105.02000000000007</v>
      </c>
      <c r="L82" s="48">
        <f t="shared" si="115"/>
        <v>-233.63099999999994</v>
      </c>
      <c r="M82" s="48">
        <f t="shared" si="115"/>
        <v>-258.45299999999997</v>
      </c>
      <c r="N82" s="48">
        <f t="shared" si="115"/>
        <v>-109.30000000000011</v>
      </c>
      <c r="O82" s="48">
        <f t="shared" si="115"/>
        <v>-516.75799999999992</v>
      </c>
      <c r="P82" s="48">
        <f t="shared" si="115"/>
        <v>-23.935999999999961</v>
      </c>
      <c r="Q82" s="48">
        <f t="shared" si="115"/>
        <v>-40.943999999999996</v>
      </c>
      <c r="R82" s="48">
        <f t="shared" si="115"/>
        <v>45.66100000000003</v>
      </c>
      <c r="S82" s="48">
        <f t="shared" si="115"/>
        <v>34.509000000000022</v>
      </c>
      <c r="T82" s="48">
        <f t="shared" si="115"/>
        <v>6.4610000000000118</v>
      </c>
      <c r="U82" s="48">
        <f t="shared" si="115"/>
        <v>33.612000000000002</v>
      </c>
      <c r="V82" s="48">
        <f t="shared" si="115"/>
        <v>159.05899999999988</v>
      </c>
      <c r="W82" s="48">
        <f>W35</f>
        <v>-447.49700000000013</v>
      </c>
      <c r="X82" s="48">
        <f>X35</f>
        <v>196.88400000000013</v>
      </c>
      <c r="Y82" s="48">
        <f>Y35</f>
        <v>-179.95900000000003</v>
      </c>
      <c r="AM82" s="48">
        <f t="shared" ref="AM82:AM87" si="116">SUM(C82:F82)</f>
        <v>-554.09699999999987</v>
      </c>
      <c r="AN82" s="48">
        <f t="shared" ref="AN82:AN87" si="117">SUM(G82:J82)</f>
        <v>-418.81399999999996</v>
      </c>
      <c r="AO82" s="48">
        <f t="shared" ref="AO82:AO87" si="118">SUM(K82:N82)</f>
        <v>-706.40400000000011</v>
      </c>
      <c r="AP82" s="48">
        <f t="shared" ref="AP82:AP87" si="119">SUM(O82:R82)</f>
        <v>-535.97699999999975</v>
      </c>
      <c r="AQ82" s="48">
        <f t="shared" ref="AQ82:AQ87" si="120">SUM(S82:V82)</f>
        <v>233.64099999999991</v>
      </c>
    </row>
    <row r="83" spans="2:103" s="2" customFormat="1" ht="15">
      <c r="B83" s="2" t="s">
        <v>90</v>
      </c>
      <c r="C83" s="46">
        <v>627.79999999999995</v>
      </c>
      <c r="D83" s="46">
        <v>-107.6</v>
      </c>
      <c r="E83" s="46">
        <v>-283.2</v>
      </c>
      <c r="F83" s="46">
        <v>-129.5</v>
      </c>
      <c r="G83" s="46">
        <v>-180.4</v>
      </c>
      <c r="H83" s="46">
        <v>-109.5</v>
      </c>
      <c r="I83" s="46">
        <v>-124</v>
      </c>
      <c r="J83" s="46">
        <v>-29.3</v>
      </c>
      <c r="K83" s="46">
        <v>-101.2</v>
      </c>
      <c r="L83" s="46">
        <v>-66.8</v>
      </c>
      <c r="M83" s="46">
        <v>-65</v>
      </c>
      <c r="N83" s="46">
        <v>-92.4</v>
      </c>
      <c r="O83" s="46">
        <v>-209.4</v>
      </c>
      <c r="P83" s="46">
        <v>-122.2</v>
      </c>
      <c r="Q83" s="46">
        <v>-115.9</v>
      </c>
      <c r="R83" s="46">
        <v>-53.5</v>
      </c>
      <c r="S83" s="46">
        <v>-241.1</v>
      </c>
      <c r="T83" s="46">
        <v>14.9</v>
      </c>
      <c r="U83" s="46">
        <v>-70.7</v>
      </c>
      <c r="V83" s="46">
        <v>92</v>
      </c>
      <c r="W83" s="46">
        <v>-583.4</v>
      </c>
      <c r="X83" s="46">
        <f>-322.1-W83</f>
        <v>261.29999999999995</v>
      </c>
      <c r="Y83" s="46">
        <v>-14.6</v>
      </c>
      <c r="Z83" s="34"/>
      <c r="AA83" s="34"/>
      <c r="AB83" s="34"/>
      <c r="AC83" s="34"/>
      <c r="AD83" s="34"/>
      <c r="AM83" s="46">
        <f t="shared" si="116"/>
        <v>107.49999999999994</v>
      </c>
      <c r="AN83" s="46">
        <f t="shared" si="117"/>
        <v>-443.2</v>
      </c>
      <c r="AO83" s="46">
        <f t="shared" si="118"/>
        <v>-325.39999999999998</v>
      </c>
      <c r="AP83" s="46">
        <f t="shared" si="119"/>
        <v>-501</v>
      </c>
      <c r="AQ83" s="46">
        <f t="shared" si="120"/>
        <v>-204.89999999999998</v>
      </c>
      <c r="AR83" s="34"/>
      <c r="AS83" s="34"/>
      <c r="AT83" s="34"/>
      <c r="AU83" s="34"/>
      <c r="AV83" s="34"/>
      <c r="AW83" s="34"/>
      <c r="AX83" s="34"/>
      <c r="AY83" s="34"/>
      <c r="AZ83" s="34"/>
      <c r="BA83" s="34"/>
      <c r="BB83" s="34"/>
      <c r="BC83" s="34"/>
      <c r="BD83" s="34"/>
      <c r="BE83" s="34"/>
      <c r="BF83" s="34"/>
      <c r="BG83" s="34"/>
      <c r="BH83" s="34"/>
      <c r="BI83" s="34"/>
      <c r="BJ83" s="34"/>
      <c r="BK83" s="34"/>
      <c r="BL83" s="34"/>
      <c r="BM83" s="34"/>
      <c r="BN83" s="34"/>
      <c r="BO83" s="34"/>
      <c r="BP83" s="34"/>
      <c r="BQ83" s="34"/>
      <c r="BR83" s="34"/>
      <c r="BS83" s="34"/>
      <c r="BT83" s="34"/>
      <c r="BU83" s="34"/>
      <c r="BV83" s="34"/>
      <c r="BW83" s="34"/>
      <c r="BX83" s="34"/>
      <c r="BY83" s="34"/>
      <c r="BZ83" s="34"/>
      <c r="CA83" s="34"/>
      <c r="CB83" s="34"/>
      <c r="CC83" s="34"/>
      <c r="CD83" s="34"/>
      <c r="CE83" s="34"/>
      <c r="CF83" s="34"/>
      <c r="CG83" s="34"/>
      <c r="CH83" s="34"/>
      <c r="CI83" s="34"/>
      <c r="CJ83" s="34"/>
      <c r="CK83" s="34"/>
      <c r="CL83" s="34"/>
      <c r="CM83" s="34"/>
      <c r="CN83" s="34"/>
      <c r="CO83" s="34"/>
      <c r="CP83" s="34"/>
      <c r="CQ83" s="34"/>
      <c r="CR83" s="34"/>
      <c r="CS83" s="34"/>
      <c r="CT83" s="34"/>
      <c r="CU83" s="34"/>
      <c r="CV83" s="34"/>
      <c r="CW83" s="34"/>
      <c r="CX83" s="34"/>
      <c r="CY83" s="34"/>
    </row>
    <row r="84" spans="2:103">
      <c r="B84" s="1" t="s">
        <v>91</v>
      </c>
      <c r="C84" s="48">
        <v>-9.1</v>
      </c>
      <c r="D84" s="48">
        <v>-19.2</v>
      </c>
      <c r="E84" s="48">
        <v>-25.3</v>
      </c>
      <c r="F84" s="48">
        <v>-28.6</v>
      </c>
      <c r="G84" s="48">
        <v>-21.1</v>
      </c>
      <c r="H84" s="48">
        <v>-5.9</v>
      </c>
      <c r="I84" s="48">
        <v>-9.1999999999999993</v>
      </c>
      <c r="J84" s="48">
        <v>-2.2000000000000002</v>
      </c>
      <c r="K84" s="48">
        <v>-5.6</v>
      </c>
      <c r="L84" s="48">
        <v>-9.1</v>
      </c>
      <c r="M84" s="48">
        <v>-8.1999999999999993</v>
      </c>
      <c r="N84" s="48">
        <v>-8</v>
      </c>
      <c r="O84" s="48">
        <v>-9.5</v>
      </c>
      <c r="P84" s="48">
        <v>-17.899999999999999</v>
      </c>
      <c r="Q84" s="48">
        <v>-29.7</v>
      </c>
      <c r="R84" s="48">
        <v>-19</v>
      </c>
      <c r="S84" s="48">
        <v>-32.4</v>
      </c>
      <c r="T84" s="48">
        <v>-29.2</v>
      </c>
      <c r="U84" s="48">
        <v>-37.299999999999997</v>
      </c>
      <c r="V84" s="48">
        <v>-38.1</v>
      </c>
      <c r="W84" s="48">
        <v>-43.7</v>
      </c>
      <c r="X84" s="48">
        <f>-75.44-W84</f>
        <v>-31.739999999999995</v>
      </c>
      <c r="Y84" s="48">
        <v>-22.9</v>
      </c>
      <c r="AM84" s="48">
        <f t="shared" si="116"/>
        <v>-82.199999999999989</v>
      </c>
      <c r="AN84" s="48">
        <f t="shared" si="117"/>
        <v>-38.400000000000006</v>
      </c>
      <c r="AO84" s="48">
        <f t="shared" si="118"/>
        <v>-30.9</v>
      </c>
      <c r="AP84" s="48">
        <f t="shared" si="119"/>
        <v>-76.099999999999994</v>
      </c>
      <c r="AQ84" s="48">
        <f t="shared" si="120"/>
        <v>-137</v>
      </c>
    </row>
    <row r="85" spans="2:103" ht="15">
      <c r="B85" s="2" t="s">
        <v>92</v>
      </c>
      <c r="C85" s="46">
        <f t="shared" ref="C85:Y85" si="121">C83+C84</f>
        <v>618.69999999999993</v>
      </c>
      <c r="D85" s="46">
        <f t="shared" si="121"/>
        <v>-126.8</v>
      </c>
      <c r="E85" s="46">
        <f t="shared" si="121"/>
        <v>-308.5</v>
      </c>
      <c r="F85" s="46">
        <f t="shared" si="121"/>
        <v>-158.1</v>
      </c>
      <c r="G85" s="46">
        <f t="shared" si="121"/>
        <v>-201.5</v>
      </c>
      <c r="H85" s="46">
        <f t="shared" si="121"/>
        <v>-115.4</v>
      </c>
      <c r="I85" s="46">
        <f t="shared" si="121"/>
        <v>-133.19999999999999</v>
      </c>
      <c r="J85" s="46">
        <f t="shared" si="121"/>
        <v>-31.5</v>
      </c>
      <c r="K85" s="46">
        <f t="shared" si="121"/>
        <v>-106.8</v>
      </c>
      <c r="L85" s="46">
        <f t="shared" si="121"/>
        <v>-75.899999999999991</v>
      </c>
      <c r="M85" s="46">
        <f t="shared" si="121"/>
        <v>-73.2</v>
      </c>
      <c r="N85" s="46">
        <f t="shared" si="121"/>
        <v>-100.4</v>
      </c>
      <c r="O85" s="46">
        <f t="shared" si="121"/>
        <v>-218.9</v>
      </c>
      <c r="P85" s="46">
        <f t="shared" si="121"/>
        <v>-140.1</v>
      </c>
      <c r="Q85" s="46">
        <f t="shared" si="121"/>
        <v>-145.6</v>
      </c>
      <c r="R85" s="46">
        <f t="shared" si="121"/>
        <v>-72.5</v>
      </c>
      <c r="S85" s="46">
        <f t="shared" si="121"/>
        <v>-273.5</v>
      </c>
      <c r="T85" s="46">
        <f t="shared" si="121"/>
        <v>-14.299999999999999</v>
      </c>
      <c r="U85" s="46">
        <f t="shared" si="121"/>
        <v>-108</v>
      </c>
      <c r="V85" s="46">
        <f t="shared" si="121"/>
        <v>53.9</v>
      </c>
      <c r="W85" s="46">
        <f t="shared" si="121"/>
        <v>-627.1</v>
      </c>
      <c r="X85" s="46">
        <f t="shared" si="121"/>
        <v>229.55999999999995</v>
      </c>
      <c r="Y85" s="46">
        <f t="shared" si="121"/>
        <v>-37.5</v>
      </c>
      <c r="AM85" s="46">
        <f t="shared" si="116"/>
        <v>25.299999999999926</v>
      </c>
      <c r="AN85" s="46">
        <f t="shared" si="117"/>
        <v>-481.59999999999997</v>
      </c>
      <c r="AO85" s="46">
        <f t="shared" si="118"/>
        <v>-356.29999999999995</v>
      </c>
      <c r="AP85" s="46">
        <f t="shared" si="119"/>
        <v>-577.1</v>
      </c>
      <c r="AQ85" s="46">
        <f t="shared" si="120"/>
        <v>-341.90000000000003</v>
      </c>
    </row>
    <row r="86" spans="2:103">
      <c r="B86" s="1" t="s">
        <v>93</v>
      </c>
      <c r="C86" s="48">
        <f t="shared" ref="C86:V86" si="122">C36</f>
        <v>76.432000000000002</v>
      </c>
      <c r="D86" s="48">
        <f t="shared" si="122"/>
        <v>77.968000000000004</v>
      </c>
      <c r="E86" s="48">
        <f t="shared" si="122"/>
        <v>78.501000000000005</v>
      </c>
      <c r="F86" s="48">
        <f t="shared" si="122"/>
        <v>77.77</v>
      </c>
      <c r="G86" s="48">
        <f t="shared" si="122"/>
        <v>79.453999999999994</v>
      </c>
      <c r="H86" s="48">
        <f t="shared" si="122"/>
        <v>79.745999999999995</v>
      </c>
      <c r="I86" s="48">
        <f t="shared" si="122"/>
        <v>79.88</v>
      </c>
      <c r="J86" s="48">
        <f t="shared" si="122"/>
        <v>87.12</v>
      </c>
      <c r="K86" s="48">
        <f t="shared" si="122"/>
        <v>87.253</v>
      </c>
      <c r="L86" s="48">
        <f t="shared" si="122"/>
        <v>87.510999999999996</v>
      </c>
      <c r="M86" s="48">
        <f t="shared" si="122"/>
        <v>87.62</v>
      </c>
      <c r="N86" s="48">
        <f t="shared" si="122"/>
        <v>87.980999999999995</v>
      </c>
      <c r="O86" s="48">
        <f t="shared" si="122"/>
        <v>88.186000000000007</v>
      </c>
      <c r="P86" s="48">
        <f t="shared" si="122"/>
        <v>88.742999999999995</v>
      </c>
      <c r="Q86" s="48">
        <f t="shared" si="122"/>
        <v>88.888999999999996</v>
      </c>
      <c r="R86" s="48">
        <f t="shared" si="122"/>
        <v>92.397999999999996</v>
      </c>
      <c r="S86" s="48">
        <f t="shared" si="122"/>
        <v>93.99</v>
      </c>
      <c r="T86" s="48">
        <f t="shared" si="122"/>
        <v>94.617999999999995</v>
      </c>
      <c r="U86" s="48">
        <f t="shared" si="122"/>
        <v>95.39</v>
      </c>
      <c r="V86" s="48">
        <f t="shared" si="122"/>
        <v>97.031999999999996</v>
      </c>
      <c r="W86" s="48">
        <f>W36</f>
        <v>97.361999999999995</v>
      </c>
      <c r="X86" s="48">
        <f>X36</f>
        <v>98.004999999999995</v>
      </c>
      <c r="Y86" s="48">
        <f>Y36</f>
        <v>100.23</v>
      </c>
      <c r="AM86" s="48">
        <f>AM36</f>
        <v>77.667749999999998</v>
      </c>
      <c r="AN86" s="48">
        <f t="shared" ref="AN86:AQ86" si="123">AN36</f>
        <v>81.55</v>
      </c>
      <c r="AO86" s="48">
        <f t="shared" si="123"/>
        <v>87.591250000000002</v>
      </c>
      <c r="AP86" s="48">
        <f t="shared" si="123"/>
        <v>89.554000000000002</v>
      </c>
      <c r="AQ86" s="48">
        <f t="shared" si="123"/>
        <v>95.257499999999993</v>
      </c>
    </row>
    <row r="87" spans="2:103">
      <c r="B87" s="1" t="s">
        <v>94</v>
      </c>
      <c r="C87" s="39">
        <f t="shared" ref="C87:V87" si="124">C85/C86</f>
        <v>8.0947770567301642</v>
      </c>
      <c r="D87" s="39">
        <f t="shared" si="124"/>
        <v>-1.6263082290170325</v>
      </c>
      <c r="E87" s="39">
        <f t="shared" si="124"/>
        <v>-3.9298862434873438</v>
      </c>
      <c r="F87" s="39">
        <f t="shared" si="124"/>
        <v>-2.0329175774720332</v>
      </c>
      <c r="G87" s="39">
        <f t="shared" si="124"/>
        <v>-2.5360585999446221</v>
      </c>
      <c r="H87" s="39">
        <f t="shared" si="124"/>
        <v>-1.4470945251172473</v>
      </c>
      <c r="I87" s="39">
        <f t="shared" si="124"/>
        <v>-1.6675012518778167</v>
      </c>
      <c r="J87" s="39">
        <f t="shared" si="124"/>
        <v>-0.36157024793388426</v>
      </c>
      <c r="K87" s="39">
        <f t="shared" si="124"/>
        <v>-1.2240266810310247</v>
      </c>
      <c r="L87" s="39">
        <f t="shared" si="124"/>
        <v>-0.86731953697249486</v>
      </c>
      <c r="M87" s="39">
        <f t="shared" si="124"/>
        <v>-0.83542570189454457</v>
      </c>
      <c r="N87" s="39">
        <f t="shared" si="124"/>
        <v>-1.1411554767506622</v>
      </c>
      <c r="O87" s="39">
        <f t="shared" si="124"/>
        <v>-2.4822534189100312</v>
      </c>
      <c r="P87" s="39">
        <f t="shared" si="124"/>
        <v>-1.5787160677461884</v>
      </c>
      <c r="Q87" s="39">
        <f t="shared" si="124"/>
        <v>-1.6379979525025594</v>
      </c>
      <c r="R87" s="39">
        <f t="shared" si="124"/>
        <v>-0.78464901837702117</v>
      </c>
      <c r="S87" s="39">
        <f t="shared" si="124"/>
        <v>-2.9098840302159807</v>
      </c>
      <c r="T87" s="39">
        <f t="shared" si="124"/>
        <v>-0.15113403369337758</v>
      </c>
      <c r="U87" s="39">
        <f t="shared" si="124"/>
        <v>-1.1321941503302233</v>
      </c>
      <c r="V87" s="39">
        <f t="shared" si="124"/>
        <v>0.55548684969906836</v>
      </c>
      <c r="W87" s="39">
        <f>W85/W86</f>
        <v>-6.4409112384708616</v>
      </c>
      <c r="X87" s="39">
        <f>X85/X86</f>
        <v>2.3423294729860715</v>
      </c>
      <c r="Y87" s="39">
        <f>Y85/Y86</f>
        <v>-0.37413947919784496</v>
      </c>
      <c r="AM87" s="39">
        <f t="shared" si="116"/>
        <v>0.50566500675375448</v>
      </c>
      <c r="AN87" s="39">
        <f t="shared" si="117"/>
        <v>-6.0122246248735705</v>
      </c>
      <c r="AO87" s="39">
        <f t="shared" si="118"/>
        <v>-4.0679273966487264</v>
      </c>
      <c r="AP87" s="39">
        <f t="shared" si="119"/>
        <v>-6.4836164575357991</v>
      </c>
      <c r="AQ87" s="39">
        <f t="shared" si="120"/>
        <v>-3.637725364540513</v>
      </c>
    </row>
    <row r="89" spans="2:103">
      <c r="B89" s="1" t="s">
        <v>1625</v>
      </c>
      <c r="C89" s="56">
        <f>C85/C23</f>
        <v>5.4427573587627771</v>
      </c>
      <c r="D89" s="56">
        <f t="shared" ref="D89:Y89" si="125">D85/D23</f>
        <v>-0.92312844444120867</v>
      </c>
      <c r="E89" s="56">
        <f t="shared" si="125"/>
        <v>-2.1434923987660155</v>
      </c>
      <c r="F89" s="56">
        <f t="shared" si="125"/>
        <v>-1.089278086287911</v>
      </c>
      <c r="G89" s="56">
        <f t="shared" si="125"/>
        <v>-1.3713920139385152</v>
      </c>
      <c r="H89" s="56">
        <f t="shared" si="125"/>
        <v>-0.70327688022963153</v>
      </c>
      <c r="I89" s="56">
        <f t="shared" si="125"/>
        <v>-0.70338490785235241</v>
      </c>
      <c r="J89" s="56">
        <f t="shared" si="125"/>
        <v>-0.15636246308108512</v>
      </c>
      <c r="K89" s="56">
        <f t="shared" si="125"/>
        <v>-0.50656927382251105</v>
      </c>
      <c r="L89" s="56">
        <f t="shared" si="125"/>
        <v>-0.32500203393894755</v>
      </c>
      <c r="M89" s="56">
        <f t="shared" si="125"/>
        <v>-0.31788217514786732</v>
      </c>
      <c r="N89" s="56">
        <f t="shared" si="125"/>
        <v>-0.38858699859117868</v>
      </c>
      <c r="O89" s="56">
        <f t="shared" si="125"/>
        <v>-0.86352788023432414</v>
      </c>
      <c r="P89" s="56">
        <f t="shared" si="125"/>
        <v>-0.53629257611832881</v>
      </c>
      <c r="Q89" s="56">
        <f t="shared" si="125"/>
        <v>-0.43880798534092003</v>
      </c>
      <c r="R89" s="56">
        <f t="shared" si="125"/>
        <v>-0.18271399589208534</v>
      </c>
      <c r="S89" s="56">
        <f t="shared" si="125"/>
        <v>-0.66149563316136861</v>
      </c>
      <c r="T89" s="56">
        <f t="shared" si="125"/>
        <v>-3.9401863184607366E-2</v>
      </c>
      <c r="U89" s="56">
        <f t="shared" si="125"/>
        <v>-0.23117873326897431</v>
      </c>
      <c r="V89" s="56">
        <f t="shared" si="125"/>
        <v>8.1862143542762722E-2</v>
      </c>
      <c r="W89" s="56">
        <f t="shared" si="125"/>
        <v>-0.8419009158743499</v>
      </c>
      <c r="X89" s="56">
        <f t="shared" si="125"/>
        <v>0.37565784306024652</v>
      </c>
      <c r="Y89" s="56">
        <f t="shared" si="125"/>
        <v>-9.3904237710439403E-2</v>
      </c>
    </row>
  </sheetData>
  <mergeCells count="1">
    <mergeCell ref="AZ60:BA60"/>
  </mergeCells>
  <conditionalFormatting sqref="AZ60:BA60">
    <cfRule type="colorScale" priority="1">
      <colorScale>
        <cfvo type="min"/>
        <cfvo type="percentile" val="50"/>
        <cfvo type="max"/>
        <color rgb="FFF8696B"/>
        <color rgb="FFFCFCFF"/>
        <color rgb="FF63BE7B"/>
      </colorScale>
    </cfRule>
    <cfRule type="containsText" dxfId="9" priority="2" operator="containsText" text="Strong Sell">
      <formula>NOT(ISERROR(SEARCH("Strong Sell",AZ60)))</formula>
    </cfRule>
    <cfRule type="containsText" dxfId="8" priority="3" operator="containsText" text="Sell">
      <formula>NOT(ISERROR(SEARCH("Sell",AZ60)))</formula>
    </cfRule>
    <cfRule type="containsText" dxfId="7" priority="4" operator="containsText" text="Hold">
      <formula>NOT(ISERROR(SEARCH("Hold",AZ60)))</formula>
    </cfRule>
    <cfRule type="beginsWith" dxfId="6" priority="5" operator="beginsWith" text="Buy">
      <formula>LEFT(AZ60,LEN("Buy"))="Buy"</formula>
    </cfRule>
    <cfRule type="beginsWith" dxfId="5" priority="6" operator="beginsWith" text="Strong">
      <formula>LEFT(AZ60,LEN("Strong"))="Strong"</formula>
    </cfRule>
  </conditionalFormatting>
  <pageMargins left="0.7" right="0.7" top="0.75" bottom="0.75" header="0.3" footer="0.3"/>
  <ignoredErrors>
    <ignoredError sqref="J37 AM37:AQ37 S35 W43" formula="1"/>
    <ignoredError sqref="AM36:AQ36 AM86:AQ86" formula="1" formulaRange="1"/>
    <ignoredError sqref="AM5:AQ12 F74:Y80 AM83:AQ85 AM87:AQ87 R5:V9" formulaRange="1"/>
  </ignoredError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27957-A42B-4AB7-A411-12A70E029F5D}">
  <sheetPr>
    <tabColor rgb="FFFF9B9B"/>
  </sheetPr>
  <dimension ref="B1:DB89"/>
  <sheetViews>
    <sheetView zoomScale="85" zoomScaleNormal="85" workbookViewId="0">
      <pane xSplit="2" ySplit="3" topLeftCell="AO24" activePane="bottomRight" state="frozen"/>
      <selection pane="topRight" activeCell="C1" sqref="C1"/>
      <selection pane="bottomLeft" activeCell="A4" sqref="A4"/>
      <selection pane="bottomRight" activeCell="BA49" sqref="BA49"/>
    </sheetView>
  </sheetViews>
  <sheetFormatPr defaultRowHeight="14.25"/>
  <cols>
    <col min="1" max="1" width="3.140625" style="1" customWidth="1"/>
    <col min="2" max="2" width="36.42578125" style="1" customWidth="1"/>
    <col min="3" max="25" width="9.140625" style="1"/>
    <col min="26" max="30" width="9.140625" style="35"/>
    <col min="31" max="43" width="9.140625" style="1"/>
    <col min="44" max="103" width="9.140625" style="35"/>
    <col min="104" max="16384" width="9.140625" style="1"/>
  </cols>
  <sheetData>
    <row r="1" spans="2:106" ht="15">
      <c r="C1" s="33" t="s">
        <v>41</v>
      </c>
      <c r="G1" s="33" t="s">
        <v>45</v>
      </c>
      <c r="K1" s="33" t="s">
        <v>49</v>
      </c>
      <c r="O1" s="33" t="s">
        <v>53</v>
      </c>
      <c r="S1" s="33" t="s">
        <v>57</v>
      </c>
      <c r="W1" s="33" t="s">
        <v>61</v>
      </c>
      <c r="X1" s="33"/>
    </row>
    <row r="2" spans="2:106">
      <c r="B2" s="1" t="s">
        <v>69</v>
      </c>
    </row>
    <row r="3" spans="2:106" ht="15">
      <c r="B3" s="2" t="s">
        <v>70</v>
      </c>
      <c r="C3" s="33" t="s">
        <v>41</v>
      </c>
      <c r="D3" s="33" t="s">
        <v>42</v>
      </c>
      <c r="E3" s="33" t="s">
        <v>43</v>
      </c>
      <c r="F3" s="33" t="s">
        <v>44</v>
      </c>
      <c r="G3" s="33" t="s">
        <v>45</v>
      </c>
      <c r="H3" s="33" t="s">
        <v>46</v>
      </c>
      <c r="I3" s="33" t="s">
        <v>47</v>
      </c>
      <c r="J3" s="33" t="s">
        <v>48</v>
      </c>
      <c r="K3" s="33" t="s">
        <v>49</v>
      </c>
      <c r="L3" s="33" t="s">
        <v>50</v>
      </c>
      <c r="M3" s="33" t="s">
        <v>51</v>
      </c>
      <c r="N3" s="33" t="s">
        <v>52</v>
      </c>
      <c r="O3" s="33" t="s">
        <v>53</v>
      </c>
      <c r="P3" s="33" t="s">
        <v>54</v>
      </c>
      <c r="Q3" s="33" t="s">
        <v>55</v>
      </c>
      <c r="R3" s="33" t="s">
        <v>56</v>
      </c>
      <c r="S3" s="33" t="s">
        <v>57</v>
      </c>
      <c r="T3" s="33" t="s">
        <v>58</v>
      </c>
      <c r="U3" s="33" t="s">
        <v>59</v>
      </c>
      <c r="V3" s="33" t="s">
        <v>60</v>
      </c>
      <c r="W3" s="33" t="s">
        <v>61</v>
      </c>
      <c r="X3" s="33" t="s">
        <v>62</v>
      </c>
      <c r="Y3" s="2" t="s">
        <v>63</v>
      </c>
      <c r="Z3" s="34" t="s">
        <v>64</v>
      </c>
      <c r="AA3" s="34" t="s">
        <v>65</v>
      </c>
      <c r="AB3" s="34" t="s">
        <v>66</v>
      </c>
      <c r="AC3" s="34" t="s">
        <v>67</v>
      </c>
      <c r="AD3" s="34" t="s">
        <v>68</v>
      </c>
      <c r="AM3" s="2">
        <v>2020</v>
      </c>
      <c r="AN3" s="2">
        <f t="shared" ref="AN3:CN3" si="0">AM3+1</f>
        <v>2021</v>
      </c>
      <c r="AO3" s="2">
        <f t="shared" si="0"/>
        <v>2022</v>
      </c>
      <c r="AP3" s="2">
        <f t="shared" si="0"/>
        <v>2023</v>
      </c>
      <c r="AQ3" s="2">
        <f t="shared" si="0"/>
        <v>2024</v>
      </c>
      <c r="AR3" s="34">
        <f t="shared" si="0"/>
        <v>2025</v>
      </c>
      <c r="AS3" s="34">
        <f t="shared" si="0"/>
        <v>2026</v>
      </c>
      <c r="AT3" s="34">
        <f t="shared" si="0"/>
        <v>2027</v>
      </c>
      <c r="AU3" s="34">
        <f t="shared" si="0"/>
        <v>2028</v>
      </c>
      <c r="AV3" s="34">
        <f t="shared" si="0"/>
        <v>2029</v>
      </c>
      <c r="AW3" s="34">
        <f t="shared" si="0"/>
        <v>2030</v>
      </c>
      <c r="AX3" s="34">
        <f t="shared" si="0"/>
        <v>2031</v>
      </c>
      <c r="AY3" s="34">
        <f t="shared" si="0"/>
        <v>2032</v>
      </c>
      <c r="AZ3" s="34">
        <f t="shared" si="0"/>
        <v>2033</v>
      </c>
      <c r="BA3" s="34">
        <f t="shared" si="0"/>
        <v>2034</v>
      </c>
      <c r="BB3" s="34">
        <f t="shared" si="0"/>
        <v>2035</v>
      </c>
      <c r="BC3" s="34">
        <f t="shared" si="0"/>
        <v>2036</v>
      </c>
      <c r="BD3" s="34">
        <f t="shared" si="0"/>
        <v>2037</v>
      </c>
      <c r="BE3" s="34">
        <f t="shared" si="0"/>
        <v>2038</v>
      </c>
      <c r="BF3" s="34">
        <f t="shared" si="0"/>
        <v>2039</v>
      </c>
      <c r="BG3" s="34">
        <f t="shared" si="0"/>
        <v>2040</v>
      </c>
      <c r="BH3" s="34">
        <f t="shared" si="0"/>
        <v>2041</v>
      </c>
      <c r="BI3" s="34">
        <f t="shared" si="0"/>
        <v>2042</v>
      </c>
      <c r="BJ3" s="34">
        <f t="shared" si="0"/>
        <v>2043</v>
      </c>
      <c r="BK3" s="34">
        <f t="shared" si="0"/>
        <v>2044</v>
      </c>
      <c r="BL3" s="34">
        <f t="shared" si="0"/>
        <v>2045</v>
      </c>
      <c r="BM3" s="34">
        <f t="shared" si="0"/>
        <v>2046</v>
      </c>
      <c r="BN3" s="34">
        <f t="shared" si="0"/>
        <v>2047</v>
      </c>
      <c r="BO3" s="34">
        <f t="shared" si="0"/>
        <v>2048</v>
      </c>
      <c r="BP3" s="34">
        <f t="shared" si="0"/>
        <v>2049</v>
      </c>
      <c r="BQ3" s="34">
        <f t="shared" si="0"/>
        <v>2050</v>
      </c>
      <c r="BR3" s="34">
        <f t="shared" si="0"/>
        <v>2051</v>
      </c>
      <c r="BS3" s="34">
        <f t="shared" si="0"/>
        <v>2052</v>
      </c>
      <c r="BT3" s="34">
        <f t="shared" si="0"/>
        <v>2053</v>
      </c>
      <c r="BU3" s="34">
        <f t="shared" si="0"/>
        <v>2054</v>
      </c>
      <c r="BV3" s="34">
        <f t="shared" si="0"/>
        <v>2055</v>
      </c>
      <c r="BW3" s="34">
        <f t="shared" si="0"/>
        <v>2056</v>
      </c>
      <c r="BX3" s="34">
        <f t="shared" si="0"/>
        <v>2057</v>
      </c>
      <c r="BY3" s="34">
        <f t="shared" si="0"/>
        <v>2058</v>
      </c>
      <c r="BZ3" s="34">
        <f t="shared" si="0"/>
        <v>2059</v>
      </c>
      <c r="CA3" s="34">
        <f t="shared" si="0"/>
        <v>2060</v>
      </c>
      <c r="CB3" s="34">
        <f t="shared" si="0"/>
        <v>2061</v>
      </c>
      <c r="CC3" s="34">
        <f t="shared" si="0"/>
        <v>2062</v>
      </c>
      <c r="CD3" s="34">
        <f t="shared" si="0"/>
        <v>2063</v>
      </c>
      <c r="CE3" s="34">
        <f t="shared" si="0"/>
        <v>2064</v>
      </c>
      <c r="CF3" s="34">
        <f t="shared" si="0"/>
        <v>2065</v>
      </c>
      <c r="CG3" s="34">
        <f t="shared" si="0"/>
        <v>2066</v>
      </c>
      <c r="CH3" s="34">
        <f t="shared" si="0"/>
        <v>2067</v>
      </c>
      <c r="CI3" s="34">
        <f t="shared" si="0"/>
        <v>2068</v>
      </c>
      <c r="CJ3" s="34">
        <f t="shared" si="0"/>
        <v>2069</v>
      </c>
      <c r="CK3" s="34">
        <f t="shared" si="0"/>
        <v>2070</v>
      </c>
      <c r="CL3" s="34">
        <f t="shared" si="0"/>
        <v>2071</v>
      </c>
      <c r="CM3" s="34">
        <f t="shared" si="0"/>
        <v>2072</v>
      </c>
      <c r="CN3" s="34">
        <f t="shared" si="0"/>
        <v>2073</v>
      </c>
      <c r="CO3" s="34">
        <f t="shared" ref="CO3:CY3" si="1">CN3+1</f>
        <v>2074</v>
      </c>
      <c r="CP3" s="34">
        <f t="shared" si="1"/>
        <v>2075</v>
      </c>
      <c r="CQ3" s="34">
        <f t="shared" si="1"/>
        <v>2076</v>
      </c>
      <c r="CR3" s="34">
        <f t="shared" si="1"/>
        <v>2077</v>
      </c>
      <c r="CS3" s="34">
        <f t="shared" si="1"/>
        <v>2078</v>
      </c>
      <c r="CT3" s="34">
        <f t="shared" si="1"/>
        <v>2079</v>
      </c>
      <c r="CU3" s="34">
        <f t="shared" si="1"/>
        <v>2080</v>
      </c>
      <c r="CV3" s="34">
        <f t="shared" si="1"/>
        <v>2081</v>
      </c>
      <c r="CW3" s="34">
        <f t="shared" si="1"/>
        <v>2082</v>
      </c>
      <c r="CX3" s="34">
        <f t="shared" si="1"/>
        <v>2083</v>
      </c>
      <c r="CY3" s="34">
        <f t="shared" si="1"/>
        <v>2084</v>
      </c>
      <c r="CZ3" s="2"/>
      <c r="DA3" s="2"/>
      <c r="DB3" s="2"/>
    </row>
    <row r="4" spans="2:106">
      <c r="B4" s="36" t="s">
        <v>1444</v>
      </c>
      <c r="C4" s="48">
        <v>100.44799999999999</v>
      </c>
      <c r="D4" s="48">
        <v>111.34</v>
      </c>
      <c r="E4" s="48">
        <v>121.429</v>
      </c>
      <c r="F4" s="48">
        <f>455.865-SUM(C4:E4)</f>
        <v>122.64800000000002</v>
      </c>
      <c r="G4" s="48">
        <v>124.926</v>
      </c>
      <c r="H4" s="48">
        <v>141.839</v>
      </c>
      <c r="I4" s="48">
        <v>166.911</v>
      </c>
      <c r="J4" s="48">
        <f>612.401-SUM(G4:I4)</f>
        <v>178.72499999999997</v>
      </c>
      <c r="K4" s="48">
        <v>188.82499999999999</v>
      </c>
      <c r="L4" s="48">
        <v>211.23699999999999</v>
      </c>
      <c r="M4" s="48">
        <v>207.774</v>
      </c>
      <c r="N4" s="48">
        <f>843.769-SUM(K4:M4)</f>
        <v>235.93299999999999</v>
      </c>
      <c r="O4" s="48">
        <v>231.495</v>
      </c>
      <c r="P4" s="48">
        <v>238.988</v>
      </c>
      <c r="Q4" s="48">
        <v>240.21</v>
      </c>
      <c r="R4" s="48">
        <f>944.52-SUM(O4:Q4)</f>
        <v>233.827</v>
      </c>
      <c r="S4" s="48">
        <v>225.548</v>
      </c>
      <c r="T4" s="48">
        <v>238.827</v>
      </c>
      <c r="U4" s="48">
        <v>248.78800000000001</v>
      </c>
      <c r="V4" s="48">
        <f>967.169-SUM(S4:U4)</f>
        <v>254.00599999999997</v>
      </c>
      <c r="W4" s="48">
        <v>236.53800000000001</v>
      </c>
      <c r="X4" s="48">
        <v>231.27199999999999</v>
      </c>
      <c r="Y4" s="48">
        <v>238.54499999999999</v>
      </c>
      <c r="Z4" s="49">
        <v>270</v>
      </c>
      <c r="AA4" s="35">
        <v>275</v>
      </c>
      <c r="AB4" s="35">
        <v>278</v>
      </c>
      <c r="AC4" s="35">
        <v>280</v>
      </c>
      <c r="AD4" s="35">
        <v>282</v>
      </c>
      <c r="AM4" s="48">
        <f t="shared" ref="AM4:AM5" si="2">SUM(C4:F4)</f>
        <v>455.86500000000001</v>
      </c>
      <c r="AN4" s="48">
        <f t="shared" ref="AN4:AN5" si="3">SUM(G4:J4)</f>
        <v>612.40099999999995</v>
      </c>
      <c r="AO4" s="48">
        <f t="shared" ref="AO4:AO5" si="4">SUM(K4:N4)</f>
        <v>843.76900000000001</v>
      </c>
      <c r="AP4" s="48">
        <f t="shared" ref="AP4:AP5" si="5">SUM(O4:R4)</f>
        <v>944.52</v>
      </c>
      <c r="AQ4" s="48">
        <f t="shared" ref="AQ4:AQ5" si="6">SUM(S4:V4)</f>
        <v>967.16899999999998</v>
      </c>
      <c r="AR4" s="49">
        <f t="shared" ref="AR4:BA4" si="7">AQ4*(1+AR14)</f>
        <v>1005.85576</v>
      </c>
      <c r="AS4" s="49">
        <f t="shared" si="7"/>
        <v>955.56297199999995</v>
      </c>
      <c r="AT4" s="49">
        <f t="shared" si="7"/>
        <v>926.89608283999996</v>
      </c>
      <c r="AU4" s="49">
        <f t="shared" si="7"/>
        <v>954.70296532520001</v>
      </c>
      <c r="AV4" s="49">
        <f t="shared" si="7"/>
        <v>973.79702463170406</v>
      </c>
      <c r="AW4" s="49">
        <f t="shared" si="7"/>
        <v>964.05905438538696</v>
      </c>
      <c r="AX4" s="49">
        <f t="shared" si="7"/>
        <v>944.77787329767921</v>
      </c>
      <c r="AY4" s="49">
        <f t="shared" si="7"/>
        <v>897.53897963279519</v>
      </c>
      <c r="AZ4" s="49">
        <f t="shared" si="7"/>
        <v>852.66203065115542</v>
      </c>
      <c r="BA4" s="49">
        <f t="shared" si="7"/>
        <v>767.3958275860399</v>
      </c>
    </row>
    <row r="5" spans="2:106">
      <c r="B5" s="36" t="s">
        <v>1445</v>
      </c>
      <c r="C5" s="48">
        <v>0</v>
      </c>
      <c r="D5" s="48">
        <v>0</v>
      </c>
      <c r="E5" s="48">
        <v>0</v>
      </c>
      <c r="F5" s="48">
        <v>0</v>
      </c>
      <c r="G5" s="48">
        <v>0</v>
      </c>
      <c r="H5" s="48">
        <v>0</v>
      </c>
      <c r="I5" s="48">
        <v>0</v>
      </c>
      <c r="J5" s="48">
        <v>0</v>
      </c>
      <c r="K5" s="48">
        <v>0</v>
      </c>
      <c r="L5" s="48">
        <v>0</v>
      </c>
      <c r="M5" s="48">
        <v>0</v>
      </c>
      <c r="N5" s="48">
        <v>0</v>
      </c>
      <c r="O5" s="48">
        <v>0</v>
      </c>
      <c r="P5" s="48">
        <v>0</v>
      </c>
      <c r="Q5" s="48">
        <v>69.108000000000004</v>
      </c>
      <c r="R5" s="48">
        <f>200.356-SUM(O5:Q5)</f>
        <v>131.24799999999999</v>
      </c>
      <c r="S5" s="48">
        <v>133.93600000000001</v>
      </c>
      <c r="T5" s="48">
        <v>121.72</v>
      </c>
      <c r="U5" s="48">
        <v>180.983</v>
      </c>
      <c r="V5" s="48">
        <f>820.791-SUM(S5:U5)</f>
        <v>384.15200000000004</v>
      </c>
      <c r="W5" s="48">
        <v>374.89499999999998</v>
      </c>
      <c r="X5" s="48">
        <v>281.851</v>
      </c>
      <c r="Y5" s="48">
        <v>131.49</v>
      </c>
      <c r="Z5" s="49">
        <v>145</v>
      </c>
      <c r="AA5" s="35">
        <v>150</v>
      </c>
      <c r="AB5" s="35">
        <v>150</v>
      </c>
      <c r="AC5" s="35">
        <v>150</v>
      </c>
      <c r="AD5" s="35">
        <v>140</v>
      </c>
      <c r="AM5" s="48">
        <f t="shared" si="2"/>
        <v>0</v>
      </c>
      <c r="AN5" s="48">
        <f t="shared" si="3"/>
        <v>0</v>
      </c>
      <c r="AO5" s="48">
        <f t="shared" si="4"/>
        <v>0</v>
      </c>
      <c r="AP5" s="48">
        <f t="shared" si="5"/>
        <v>200.35599999999999</v>
      </c>
      <c r="AQ5" s="48">
        <f t="shared" si="6"/>
        <v>820.79100000000005</v>
      </c>
      <c r="AR5" s="49">
        <f>AQ5*(1+AR15)</f>
        <v>861.83055000000013</v>
      </c>
      <c r="AS5" s="49">
        <f>AR5*(1+AS15)</f>
        <v>474.00680250000011</v>
      </c>
      <c r="AT5" s="49">
        <f>AS5*(1+AT15)</f>
        <v>0</v>
      </c>
      <c r="AU5" s="49"/>
      <c r="AV5" s="49"/>
      <c r="AW5" s="49"/>
      <c r="AX5" s="49"/>
      <c r="AY5" s="49"/>
      <c r="AZ5" s="49"/>
      <c r="BA5" s="49"/>
    </row>
    <row r="6" spans="2:106" s="2" customFormat="1" ht="15">
      <c r="B6" s="33" t="s">
        <v>1631</v>
      </c>
      <c r="C6" s="46">
        <f t="shared" ref="C6:V6" si="8">SUM(C4:C5)</f>
        <v>100.44799999999999</v>
      </c>
      <c r="D6" s="46">
        <f t="shared" si="8"/>
        <v>111.34</v>
      </c>
      <c r="E6" s="46">
        <f t="shared" si="8"/>
        <v>121.429</v>
      </c>
      <c r="F6" s="46">
        <f t="shared" si="8"/>
        <v>122.64800000000002</v>
      </c>
      <c r="G6" s="46">
        <f t="shared" si="8"/>
        <v>124.926</v>
      </c>
      <c r="H6" s="46">
        <f t="shared" si="8"/>
        <v>141.839</v>
      </c>
      <c r="I6" s="46">
        <f t="shared" si="8"/>
        <v>166.911</v>
      </c>
      <c r="J6" s="46">
        <f t="shared" si="8"/>
        <v>178.72499999999997</v>
      </c>
      <c r="K6" s="46">
        <f t="shared" si="8"/>
        <v>188.82499999999999</v>
      </c>
      <c r="L6" s="46">
        <f t="shared" si="8"/>
        <v>211.23699999999999</v>
      </c>
      <c r="M6" s="46">
        <f t="shared" si="8"/>
        <v>207.774</v>
      </c>
      <c r="N6" s="46">
        <f t="shared" si="8"/>
        <v>235.93299999999999</v>
      </c>
      <c r="O6" s="46">
        <f t="shared" si="8"/>
        <v>231.495</v>
      </c>
      <c r="P6" s="46">
        <f t="shared" si="8"/>
        <v>238.988</v>
      </c>
      <c r="Q6" s="46">
        <f t="shared" si="8"/>
        <v>309.31799999999998</v>
      </c>
      <c r="R6" s="46">
        <f t="shared" si="8"/>
        <v>365.07499999999999</v>
      </c>
      <c r="S6" s="46">
        <f t="shared" si="8"/>
        <v>359.48400000000004</v>
      </c>
      <c r="T6" s="46">
        <f t="shared" si="8"/>
        <v>360.54700000000003</v>
      </c>
      <c r="U6" s="46">
        <f t="shared" si="8"/>
        <v>429.77100000000002</v>
      </c>
      <c r="V6" s="46">
        <f t="shared" si="8"/>
        <v>638.15800000000002</v>
      </c>
      <c r="W6" s="46">
        <f>SUM(W4:W5)</f>
        <v>611.43299999999999</v>
      </c>
      <c r="X6" s="46">
        <f>SUM(X4:X5)</f>
        <v>513.12300000000005</v>
      </c>
      <c r="Y6" s="46">
        <f>SUM(Y4:Y5)</f>
        <v>370.03499999999997</v>
      </c>
      <c r="Z6" s="47">
        <f>SUM(Z4:Z5)</f>
        <v>415</v>
      </c>
      <c r="AA6" s="47">
        <f t="shared" ref="AA6:AD6" si="9">SUM(AA4:AA5)</f>
        <v>425</v>
      </c>
      <c r="AB6" s="47">
        <f t="shared" si="9"/>
        <v>428</v>
      </c>
      <c r="AC6" s="47">
        <f t="shared" si="9"/>
        <v>430</v>
      </c>
      <c r="AD6" s="47">
        <f t="shared" si="9"/>
        <v>422</v>
      </c>
      <c r="AM6" s="46">
        <f>SUM(C6:F6)</f>
        <v>455.86500000000001</v>
      </c>
      <c r="AN6" s="46">
        <f>SUM(G6:J6)</f>
        <v>612.40099999999995</v>
      </c>
      <c r="AO6" s="46">
        <f>SUM(K6:N6)</f>
        <v>843.76900000000001</v>
      </c>
      <c r="AP6" s="46">
        <f>SUM(O6:R6)</f>
        <v>1144.876</v>
      </c>
      <c r="AQ6" s="46">
        <f>SUM(S6:V6)</f>
        <v>1787.96</v>
      </c>
      <c r="AR6" s="47">
        <f>SUM(AR4:AR5)</f>
        <v>1867.68631</v>
      </c>
      <c r="AS6" s="47">
        <f t="shared" ref="AS6:BA6" si="10">SUM(AS4:AS5)</f>
        <v>1429.5697745</v>
      </c>
      <c r="AT6" s="47">
        <f t="shared" si="10"/>
        <v>926.89608283999996</v>
      </c>
      <c r="AU6" s="47">
        <f t="shared" si="10"/>
        <v>954.70296532520001</v>
      </c>
      <c r="AV6" s="47">
        <f t="shared" si="10"/>
        <v>973.79702463170406</v>
      </c>
      <c r="AW6" s="47">
        <f t="shared" si="10"/>
        <v>964.05905438538696</v>
      </c>
      <c r="AX6" s="47">
        <f t="shared" si="10"/>
        <v>944.77787329767921</v>
      </c>
      <c r="AY6" s="47">
        <f t="shared" si="10"/>
        <v>897.53897963279519</v>
      </c>
      <c r="AZ6" s="47">
        <f t="shared" si="10"/>
        <v>852.66203065115542</v>
      </c>
      <c r="BA6" s="47">
        <f t="shared" si="10"/>
        <v>767.3958275860399</v>
      </c>
      <c r="BB6" s="34"/>
      <c r="BC6" s="34"/>
      <c r="BD6" s="34"/>
      <c r="BE6" s="34"/>
      <c r="BF6" s="34"/>
      <c r="BG6" s="34"/>
      <c r="BH6" s="34"/>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c r="CI6" s="34"/>
      <c r="CJ6" s="34"/>
      <c r="CK6" s="34"/>
      <c r="CL6" s="34"/>
      <c r="CM6" s="34"/>
      <c r="CN6" s="34"/>
      <c r="CO6" s="34"/>
      <c r="CP6" s="34"/>
      <c r="CQ6" s="34"/>
      <c r="CR6" s="34"/>
      <c r="CS6" s="34"/>
      <c r="CT6" s="34"/>
      <c r="CU6" s="58"/>
      <c r="CV6" s="58"/>
      <c r="CW6" s="58"/>
      <c r="CX6" s="58"/>
      <c r="CY6" s="58"/>
      <c r="CZ6" s="58"/>
    </row>
    <row r="7" spans="2:106">
      <c r="B7" s="36" t="s">
        <v>1632</v>
      </c>
      <c r="C7" s="48">
        <v>0</v>
      </c>
      <c r="D7" s="48">
        <v>0</v>
      </c>
      <c r="E7" s="48">
        <v>0</v>
      </c>
      <c r="F7" s="48">
        <v>0</v>
      </c>
      <c r="G7" s="48">
        <v>0</v>
      </c>
      <c r="H7" s="48">
        <v>0</v>
      </c>
      <c r="I7" s="48">
        <v>0</v>
      </c>
      <c r="J7" s="48">
        <v>0</v>
      </c>
      <c r="K7" s="48">
        <v>0</v>
      </c>
      <c r="L7" s="48">
        <v>0</v>
      </c>
      <c r="M7" s="48">
        <v>0</v>
      </c>
      <c r="N7" s="48">
        <v>0</v>
      </c>
      <c r="O7" s="48">
        <v>0</v>
      </c>
      <c r="P7" s="48">
        <v>0</v>
      </c>
      <c r="Q7" s="48">
        <v>0</v>
      </c>
      <c r="R7" s="48">
        <v>0</v>
      </c>
      <c r="S7" s="48">
        <v>48</v>
      </c>
      <c r="T7" s="48">
        <v>0</v>
      </c>
      <c r="U7" s="48">
        <v>0</v>
      </c>
      <c r="V7" s="48">
        <f>48-SUM(S7:U7)</f>
        <v>0</v>
      </c>
      <c r="W7" s="48">
        <v>112</v>
      </c>
      <c r="X7" s="48">
        <v>63.5</v>
      </c>
      <c r="Y7" s="48">
        <v>0</v>
      </c>
      <c r="AM7" s="48">
        <f t="shared" ref="AM7:AM10" si="11">SUM(C7:F7)</f>
        <v>0</v>
      </c>
      <c r="AN7" s="48">
        <f t="shared" ref="AN7:AN10" si="12">SUM(G7:J7)</f>
        <v>0</v>
      </c>
      <c r="AO7" s="48">
        <f t="shared" ref="AO7:AO11" si="13">SUM(K7:N7)</f>
        <v>0</v>
      </c>
      <c r="AP7" s="48">
        <f t="shared" ref="AP7:AP11" si="14">SUM(O7:R7)</f>
        <v>0</v>
      </c>
      <c r="AQ7" s="48">
        <f t="shared" ref="AQ7:AQ11" si="15">SUM(S7:V7)</f>
        <v>48</v>
      </c>
      <c r="CU7" s="57"/>
      <c r="CV7" s="57"/>
      <c r="CW7" s="57"/>
      <c r="CX7" s="57"/>
      <c r="CY7" s="57"/>
      <c r="CZ7" s="57"/>
    </row>
    <row r="8" spans="2:106">
      <c r="B8" s="36" t="s">
        <v>1633</v>
      </c>
      <c r="C8" s="48">
        <v>0</v>
      </c>
      <c r="D8" s="48">
        <v>0</v>
      </c>
      <c r="E8" s="48">
        <v>0</v>
      </c>
      <c r="F8" s="48">
        <v>0</v>
      </c>
      <c r="G8" s="48">
        <v>0</v>
      </c>
      <c r="H8" s="48">
        <v>0</v>
      </c>
      <c r="I8" s="48">
        <v>0</v>
      </c>
      <c r="J8" s="48">
        <v>0</v>
      </c>
      <c r="K8" s="48">
        <v>0</v>
      </c>
      <c r="L8" s="48">
        <v>0</v>
      </c>
      <c r="M8" s="48">
        <v>0</v>
      </c>
      <c r="N8" s="48">
        <v>0</v>
      </c>
      <c r="O8" s="48">
        <v>0</v>
      </c>
      <c r="P8" s="48">
        <v>0</v>
      </c>
      <c r="Q8" s="48">
        <v>0</v>
      </c>
      <c r="R8" s="48">
        <f>9.216-SUM(O8:Q8)</f>
        <v>9.2159999999999993</v>
      </c>
      <c r="S8" s="48">
        <v>5.8</v>
      </c>
      <c r="T8" s="48">
        <v>2.38</v>
      </c>
      <c r="U8" s="48">
        <v>27.89</v>
      </c>
      <c r="V8" s="48">
        <f>49.038-SUM(S8:U8)</f>
        <v>12.967999999999996</v>
      </c>
      <c r="W8" s="48">
        <v>17.379000000000001</v>
      </c>
      <c r="X8" s="48">
        <v>27.02</v>
      </c>
      <c r="Y8" s="48">
        <v>18.7</v>
      </c>
      <c r="AM8" s="48">
        <f t="shared" si="11"/>
        <v>0</v>
      </c>
      <c r="AN8" s="48">
        <f t="shared" si="12"/>
        <v>0</v>
      </c>
      <c r="AO8" s="48">
        <f t="shared" si="13"/>
        <v>0</v>
      </c>
      <c r="AP8" s="48">
        <f t="shared" si="14"/>
        <v>9.2159999999999993</v>
      </c>
      <c r="AQ8" s="48">
        <f t="shared" si="15"/>
        <v>49.037999999999997</v>
      </c>
      <c r="CU8" s="57"/>
      <c r="CV8" s="57"/>
      <c r="CW8" s="57"/>
      <c r="CX8" s="57"/>
      <c r="CY8" s="57"/>
      <c r="CZ8" s="57"/>
    </row>
    <row r="9" spans="2:106">
      <c r="B9" s="36" t="s">
        <v>1634</v>
      </c>
      <c r="C9" s="48">
        <v>0</v>
      </c>
      <c r="D9" s="48">
        <v>0</v>
      </c>
      <c r="E9" s="48">
        <v>0</v>
      </c>
      <c r="F9" s="48">
        <v>0</v>
      </c>
      <c r="G9" s="48">
        <v>0</v>
      </c>
      <c r="H9" s="48">
        <v>0</v>
      </c>
      <c r="I9" s="48">
        <v>0</v>
      </c>
      <c r="J9" s="48">
        <v>0</v>
      </c>
      <c r="K9" s="48">
        <v>0</v>
      </c>
      <c r="L9" s="48">
        <v>0</v>
      </c>
      <c r="M9" s="48">
        <v>0</v>
      </c>
      <c r="N9" s="48">
        <v>0</v>
      </c>
      <c r="O9" s="48">
        <v>0</v>
      </c>
      <c r="P9" s="48">
        <v>0</v>
      </c>
      <c r="Q9" s="48">
        <v>0</v>
      </c>
      <c r="R9" s="48">
        <v>0</v>
      </c>
      <c r="S9" s="48">
        <v>0.17299999999999999</v>
      </c>
      <c r="T9" s="48">
        <v>0</v>
      </c>
      <c r="U9" s="48">
        <v>9.51</v>
      </c>
      <c r="V9" s="48">
        <f>16.981-SUM(S9:U9)</f>
        <v>7.2980000000000018</v>
      </c>
      <c r="W9" s="48">
        <v>4.05</v>
      </c>
      <c r="X9" s="48">
        <v>7.4450000000000003</v>
      </c>
      <c r="Y9" s="48">
        <v>10.608000000000001</v>
      </c>
      <c r="AM9" s="48">
        <f t="shared" si="11"/>
        <v>0</v>
      </c>
      <c r="AN9" s="48">
        <f t="shared" si="12"/>
        <v>0</v>
      </c>
      <c r="AO9" s="48">
        <f t="shared" si="13"/>
        <v>0</v>
      </c>
      <c r="AP9" s="48">
        <f t="shared" si="14"/>
        <v>0</v>
      </c>
      <c r="AQ9" s="48">
        <f t="shared" si="15"/>
        <v>16.981000000000002</v>
      </c>
      <c r="CU9" s="57"/>
      <c r="CV9" s="57"/>
      <c r="CW9" s="57"/>
      <c r="CX9" s="57"/>
      <c r="CY9" s="57"/>
      <c r="CZ9" s="57"/>
    </row>
    <row r="10" spans="2:106">
      <c r="B10" s="36" t="s">
        <v>1640</v>
      </c>
      <c r="C10" s="48">
        <v>13.226000000000001</v>
      </c>
      <c r="D10" s="48">
        <v>26.018999999999998</v>
      </c>
      <c r="E10" s="48">
        <v>22.495000000000001</v>
      </c>
      <c r="F10" s="48">
        <f>84.234-SUM(C10:E10)</f>
        <v>22.494</v>
      </c>
      <c r="G10" s="48">
        <v>22.004999999999999</v>
      </c>
      <c r="H10" s="48">
        <v>22.25</v>
      </c>
      <c r="I10" s="48">
        <v>22.459</v>
      </c>
      <c r="J10" s="48">
        <f>89.444-SUM(G10:I10)</f>
        <v>22.730000000000004</v>
      </c>
      <c r="K10" s="48">
        <v>22.004999999999999</v>
      </c>
      <c r="L10" s="48">
        <v>22.3</v>
      </c>
      <c r="M10" s="48">
        <v>22.5</v>
      </c>
      <c r="N10" s="48">
        <f>89.244-SUM(K10:M10)</f>
        <v>22.438999999999993</v>
      </c>
      <c r="O10" s="48">
        <v>22</v>
      </c>
      <c r="P10" s="48">
        <v>22.25</v>
      </c>
      <c r="Q10" s="48">
        <v>22.49</v>
      </c>
      <c r="R10" s="48">
        <f>89.244-SUM(O10:Q10)</f>
        <v>22.504000000000005</v>
      </c>
      <c r="S10" s="48">
        <v>0</v>
      </c>
      <c r="T10" s="48">
        <v>0</v>
      </c>
      <c r="U10" s="48">
        <v>0</v>
      </c>
      <c r="V10" s="48">
        <f>0-SUM(S10:U10)</f>
        <v>0</v>
      </c>
      <c r="W10" s="48">
        <v>0</v>
      </c>
      <c r="X10" s="48">
        <v>0</v>
      </c>
      <c r="Y10" s="48">
        <v>0</v>
      </c>
      <c r="AM10" s="48">
        <f t="shared" si="11"/>
        <v>84.233999999999995</v>
      </c>
      <c r="AN10" s="48">
        <f t="shared" si="12"/>
        <v>89.444000000000003</v>
      </c>
      <c r="AO10" s="48">
        <f t="shared" si="13"/>
        <v>89.244</v>
      </c>
      <c r="AP10" s="48">
        <f t="shared" si="14"/>
        <v>89.244</v>
      </c>
      <c r="AQ10" s="48">
        <f t="shared" si="15"/>
        <v>0</v>
      </c>
      <c r="CU10" s="57"/>
      <c r="CV10" s="57"/>
      <c r="CW10" s="57"/>
      <c r="CX10" s="57"/>
      <c r="CY10" s="57"/>
      <c r="CZ10" s="57"/>
    </row>
    <row r="11" spans="2:106" s="2" customFormat="1" ht="15">
      <c r="B11" s="2" t="s">
        <v>1635</v>
      </c>
      <c r="C11" s="46">
        <f t="shared" ref="C11:V11" si="16">SUM(C7:C10)</f>
        <v>13.226000000000001</v>
      </c>
      <c r="D11" s="46">
        <f t="shared" si="16"/>
        <v>26.018999999999998</v>
      </c>
      <c r="E11" s="46">
        <f t="shared" si="16"/>
        <v>22.495000000000001</v>
      </c>
      <c r="F11" s="46">
        <f t="shared" si="16"/>
        <v>22.494</v>
      </c>
      <c r="G11" s="46">
        <f>SUM(G7:G10)</f>
        <v>22.004999999999999</v>
      </c>
      <c r="H11" s="46">
        <f t="shared" si="16"/>
        <v>22.25</v>
      </c>
      <c r="I11" s="46">
        <f t="shared" si="16"/>
        <v>22.459</v>
      </c>
      <c r="J11" s="46">
        <f t="shared" si="16"/>
        <v>22.730000000000004</v>
      </c>
      <c r="K11" s="46">
        <f t="shared" si="16"/>
        <v>22.004999999999999</v>
      </c>
      <c r="L11" s="46">
        <f t="shared" si="16"/>
        <v>22.3</v>
      </c>
      <c r="M11" s="46">
        <f t="shared" si="16"/>
        <v>22.5</v>
      </c>
      <c r="N11" s="46">
        <f t="shared" si="16"/>
        <v>22.438999999999993</v>
      </c>
      <c r="O11" s="46">
        <f t="shared" si="16"/>
        <v>22</v>
      </c>
      <c r="P11" s="46">
        <f t="shared" si="16"/>
        <v>22.25</v>
      </c>
      <c r="Q11" s="46">
        <f t="shared" si="16"/>
        <v>22.49</v>
      </c>
      <c r="R11" s="46">
        <f t="shared" si="16"/>
        <v>31.720000000000006</v>
      </c>
      <c r="S11" s="46">
        <f t="shared" si="16"/>
        <v>53.972999999999999</v>
      </c>
      <c r="T11" s="46">
        <f t="shared" si="16"/>
        <v>2.38</v>
      </c>
      <c r="U11" s="46">
        <f t="shared" si="16"/>
        <v>37.4</v>
      </c>
      <c r="V11" s="46">
        <f t="shared" si="16"/>
        <v>20.265999999999998</v>
      </c>
      <c r="W11" s="46">
        <f>SUM(W7:W10)</f>
        <v>133.429</v>
      </c>
      <c r="X11" s="46">
        <f>SUM(X7:X10)</f>
        <v>97.965000000000003</v>
      </c>
      <c r="Y11" s="46">
        <f>SUM(Y7:Y10)</f>
        <v>29.308</v>
      </c>
      <c r="Z11" s="34"/>
      <c r="AA11" s="34"/>
      <c r="AB11" s="34"/>
      <c r="AC11" s="34"/>
      <c r="AD11" s="34"/>
      <c r="AM11" s="46">
        <f>AM10</f>
        <v>84.233999999999995</v>
      </c>
      <c r="AN11" s="46">
        <f>AN10</f>
        <v>89.444000000000003</v>
      </c>
      <c r="AO11" s="46">
        <f t="shared" si="13"/>
        <v>89.244</v>
      </c>
      <c r="AP11" s="46">
        <f t="shared" si="14"/>
        <v>98.460000000000008</v>
      </c>
      <c r="AQ11" s="46">
        <f t="shared" si="15"/>
        <v>114.01900000000001</v>
      </c>
      <c r="AR11" s="47">
        <f>AQ11*(1+AR16)</f>
        <v>279.34655000000004</v>
      </c>
      <c r="AS11" s="47">
        <f t="shared" ref="AS11:BA11" si="17">AR11*(1+AS16)</f>
        <v>203.92298150000002</v>
      </c>
      <c r="AT11" s="47">
        <f t="shared" si="17"/>
        <v>152.94223612500002</v>
      </c>
      <c r="AU11" s="47">
        <f t="shared" si="17"/>
        <v>145.29512431875003</v>
      </c>
      <c r="AV11" s="47">
        <f t="shared" si="17"/>
        <v>149.65397804831252</v>
      </c>
      <c r="AW11" s="47">
        <f t="shared" si="17"/>
        <v>152.64705760927879</v>
      </c>
      <c r="AX11" s="47">
        <f t="shared" si="17"/>
        <v>154.17352818537157</v>
      </c>
      <c r="AY11" s="47">
        <f t="shared" si="17"/>
        <v>155.71526346722527</v>
      </c>
      <c r="AZ11" s="47">
        <f t="shared" si="17"/>
        <v>157.27241610189753</v>
      </c>
      <c r="BA11" s="47">
        <f t="shared" si="17"/>
        <v>158.84514026291652</v>
      </c>
      <c r="BB11" s="34"/>
      <c r="BC11" s="34"/>
      <c r="BD11" s="34"/>
      <c r="BE11" s="34"/>
      <c r="BF11" s="34"/>
      <c r="BG11" s="34"/>
      <c r="BH11" s="34"/>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c r="CJ11" s="34"/>
      <c r="CK11" s="34"/>
      <c r="CL11" s="34"/>
      <c r="CM11" s="34"/>
      <c r="CN11" s="34"/>
      <c r="CO11" s="34"/>
      <c r="CP11" s="34"/>
      <c r="CQ11" s="34"/>
      <c r="CR11" s="34"/>
      <c r="CS11" s="34"/>
      <c r="CT11" s="34"/>
      <c r="CU11" s="58"/>
      <c r="CV11" s="58"/>
      <c r="CW11" s="58"/>
      <c r="CX11" s="58"/>
      <c r="CY11" s="58"/>
      <c r="CZ11" s="58"/>
    </row>
    <row r="12" spans="2:106" s="2" customFormat="1" ht="15">
      <c r="B12" s="2" t="s">
        <v>71</v>
      </c>
      <c r="C12" s="46">
        <f>C6+C11</f>
        <v>113.67399999999999</v>
      </c>
      <c r="D12" s="46">
        <f>D11+D6</f>
        <v>137.35900000000001</v>
      </c>
      <c r="E12" s="46">
        <f>E6+E11</f>
        <v>143.92400000000001</v>
      </c>
      <c r="F12" s="46">
        <f t="shared" ref="F12:X12" si="18">F6+F11</f>
        <v>145.14200000000002</v>
      </c>
      <c r="G12" s="46">
        <f t="shared" si="18"/>
        <v>146.93100000000001</v>
      </c>
      <c r="H12" s="46">
        <f t="shared" si="18"/>
        <v>164.089</v>
      </c>
      <c r="I12" s="46">
        <f t="shared" si="18"/>
        <v>189.37</v>
      </c>
      <c r="J12" s="46">
        <f t="shared" si="18"/>
        <v>201.45499999999998</v>
      </c>
      <c r="K12" s="46">
        <f t="shared" si="18"/>
        <v>210.82999999999998</v>
      </c>
      <c r="L12" s="46">
        <f t="shared" si="18"/>
        <v>233.53700000000001</v>
      </c>
      <c r="M12" s="46">
        <f t="shared" si="18"/>
        <v>230.274</v>
      </c>
      <c r="N12" s="46">
        <f t="shared" si="18"/>
        <v>258.37199999999996</v>
      </c>
      <c r="O12" s="46">
        <f t="shared" si="18"/>
        <v>253.495</v>
      </c>
      <c r="P12" s="46">
        <f t="shared" si="18"/>
        <v>261.238</v>
      </c>
      <c r="Q12" s="46">
        <f t="shared" si="18"/>
        <v>331.80799999999999</v>
      </c>
      <c r="R12" s="46">
        <f t="shared" si="18"/>
        <v>396.79500000000002</v>
      </c>
      <c r="S12" s="46">
        <f t="shared" si="18"/>
        <v>413.45700000000005</v>
      </c>
      <c r="T12" s="46">
        <f t="shared" si="18"/>
        <v>362.92700000000002</v>
      </c>
      <c r="U12" s="46">
        <f t="shared" si="18"/>
        <v>467.17099999999999</v>
      </c>
      <c r="V12" s="46">
        <f t="shared" si="18"/>
        <v>658.42399999999998</v>
      </c>
      <c r="W12" s="46">
        <f t="shared" si="18"/>
        <v>744.86199999999997</v>
      </c>
      <c r="X12" s="46">
        <f t="shared" si="18"/>
        <v>611.08800000000008</v>
      </c>
      <c r="Y12" s="46">
        <f>Y6+Y11</f>
        <v>399.34299999999996</v>
      </c>
      <c r="Z12" s="47">
        <f t="shared" ref="Y12:AD12" si="19">SUM(Z4:Z5)</f>
        <v>415</v>
      </c>
      <c r="AA12" s="47">
        <f t="shared" si="19"/>
        <v>425</v>
      </c>
      <c r="AB12" s="47">
        <f t="shared" si="19"/>
        <v>428</v>
      </c>
      <c r="AC12" s="47">
        <f t="shared" si="19"/>
        <v>430</v>
      </c>
      <c r="AD12" s="47">
        <f t="shared" si="19"/>
        <v>422</v>
      </c>
      <c r="AM12" s="46">
        <f>SUM(C12:F12)</f>
        <v>540.09900000000005</v>
      </c>
      <c r="AN12" s="46">
        <f>SUM(G12:J12)</f>
        <v>701.84500000000003</v>
      </c>
      <c r="AO12" s="46">
        <f>SUM(K12:N12)</f>
        <v>933.01299999999992</v>
      </c>
      <c r="AP12" s="46">
        <f>SUM(O12:R12)</f>
        <v>1243.336</v>
      </c>
      <c r="AQ12" s="46">
        <f>SUM(S12:V12)</f>
        <v>1901.979</v>
      </c>
      <c r="AR12" s="47">
        <f>AR6+AR11</f>
        <v>2147.0328600000003</v>
      </c>
      <c r="AS12" s="47">
        <f t="shared" ref="AS12:BA12" si="20">SUM(AS4:AS5)</f>
        <v>1429.5697745</v>
      </c>
      <c r="AT12" s="47">
        <f t="shared" si="20"/>
        <v>926.89608283999996</v>
      </c>
      <c r="AU12" s="47">
        <f t="shared" si="20"/>
        <v>954.70296532520001</v>
      </c>
      <c r="AV12" s="47">
        <f t="shared" si="20"/>
        <v>973.79702463170406</v>
      </c>
      <c r="AW12" s="47">
        <f t="shared" si="20"/>
        <v>964.05905438538696</v>
      </c>
      <c r="AX12" s="47">
        <f t="shared" si="20"/>
        <v>944.77787329767921</v>
      </c>
      <c r="AY12" s="47">
        <f t="shared" si="20"/>
        <v>897.53897963279519</v>
      </c>
      <c r="AZ12" s="47">
        <f t="shared" si="20"/>
        <v>852.66203065115542</v>
      </c>
      <c r="BA12" s="47">
        <f t="shared" si="20"/>
        <v>767.3958275860399</v>
      </c>
      <c r="BB12" s="34"/>
      <c r="BC12" s="34"/>
      <c r="BD12" s="34"/>
      <c r="BE12" s="34"/>
      <c r="BF12" s="34"/>
      <c r="BG12" s="34"/>
      <c r="BH12" s="34"/>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c r="CJ12" s="34"/>
      <c r="CK12" s="34"/>
      <c r="CL12" s="34"/>
      <c r="CM12" s="34"/>
      <c r="CN12" s="34"/>
      <c r="CO12" s="34"/>
      <c r="CP12" s="34"/>
      <c r="CQ12" s="34"/>
      <c r="CR12" s="34"/>
      <c r="CS12" s="34"/>
      <c r="CT12" s="34"/>
      <c r="CU12" s="34"/>
      <c r="CV12" s="34"/>
      <c r="CW12" s="34"/>
      <c r="CX12" s="34"/>
      <c r="CY12" s="34"/>
    </row>
    <row r="14" spans="2:106">
      <c r="B14" s="37" t="s">
        <v>1470</v>
      </c>
      <c r="G14" s="56">
        <f t="shared" ref="G14:X15" si="21">G4/C4-1</f>
        <v>0.24368827652118519</v>
      </c>
      <c r="H14" s="56">
        <f t="shared" si="21"/>
        <v>0.27392671097539067</v>
      </c>
      <c r="I14" s="56">
        <f t="shared" si="21"/>
        <v>0.37455632509532322</v>
      </c>
      <c r="J14" s="56">
        <f t="shared" si="21"/>
        <v>0.45721903333115854</v>
      </c>
      <c r="K14" s="56">
        <f t="shared" si="21"/>
        <v>0.51149480492451516</v>
      </c>
      <c r="L14" s="56">
        <f t="shared" si="21"/>
        <v>0.48927304902036806</v>
      </c>
      <c r="M14" s="56">
        <f t="shared" si="21"/>
        <v>0.24481909520642731</v>
      </c>
      <c r="N14" s="56">
        <f t="shared" si="21"/>
        <v>0.32008952301021143</v>
      </c>
      <c r="O14" s="56">
        <f t="shared" si="21"/>
        <v>0.22597643320534888</v>
      </c>
      <c r="P14" s="56">
        <f t="shared" si="21"/>
        <v>0.13137376501275821</v>
      </c>
      <c r="Q14" s="56">
        <f t="shared" si="21"/>
        <v>0.15611192930780571</v>
      </c>
      <c r="R14" s="56">
        <f t="shared" si="21"/>
        <v>-8.9262629644856206E-3</v>
      </c>
      <c r="S14" s="56">
        <f t="shared" si="21"/>
        <v>-2.5689539730879729E-2</v>
      </c>
      <c r="T14" s="56">
        <f t="shared" si="21"/>
        <v>-6.7367399199957934E-4</v>
      </c>
      <c r="U14" s="56">
        <f t="shared" si="21"/>
        <v>3.5710420049123615E-2</v>
      </c>
      <c r="V14" s="56">
        <f t="shared" si="21"/>
        <v>8.6298844872491065E-2</v>
      </c>
      <c r="W14" s="56">
        <f t="shared" si="21"/>
        <v>4.8725770124319556E-2</v>
      </c>
      <c r="X14" s="56">
        <f t="shared" si="21"/>
        <v>-3.1633776750534914E-2</v>
      </c>
      <c r="Y14" s="56">
        <v>0.04</v>
      </c>
      <c r="Z14" s="59">
        <f t="shared" ref="Y14:AD14" si="22">Z4/V4-1</f>
        <v>6.296701652716874E-2</v>
      </c>
      <c r="AA14" s="59">
        <f t="shared" si="22"/>
        <v>0.16260389451166413</v>
      </c>
      <c r="AB14" s="59">
        <f t="shared" si="22"/>
        <v>0.20204780518177734</v>
      </c>
      <c r="AC14" s="59">
        <f t="shared" si="22"/>
        <v>0.17378272443354503</v>
      </c>
      <c r="AD14" s="59">
        <f t="shared" si="22"/>
        <v>4.4444444444444509E-2</v>
      </c>
      <c r="AN14" s="56">
        <f>AN4/AM4-1</f>
        <v>0.34338236100599939</v>
      </c>
      <c r="AO14" s="56">
        <f>AO4/AN4-1</f>
        <v>0.37780473905169987</v>
      </c>
      <c r="AP14" s="56">
        <f>AP4/AO4-1</f>
        <v>0.11940590374853777</v>
      </c>
      <c r="AQ14" s="56">
        <f>AQ4/AP4-1</f>
        <v>2.3979375767585687E-2</v>
      </c>
      <c r="AR14" s="59">
        <v>0.04</v>
      </c>
      <c r="AS14" s="59">
        <v>-0.05</v>
      </c>
      <c r="AT14" s="59">
        <v>-0.03</v>
      </c>
      <c r="AU14" s="59">
        <v>0.03</v>
      </c>
      <c r="AV14" s="59">
        <v>0.02</v>
      </c>
      <c r="AW14" s="59">
        <v>-0.01</v>
      </c>
      <c r="AX14" s="59">
        <v>-0.02</v>
      </c>
      <c r="AY14" s="59">
        <v>-0.05</v>
      </c>
      <c r="AZ14" s="59">
        <v>-0.05</v>
      </c>
      <c r="BA14" s="59">
        <v>-0.1</v>
      </c>
    </row>
    <row r="15" spans="2:106">
      <c r="B15" s="37" t="s">
        <v>1469</v>
      </c>
      <c r="G15" s="56"/>
      <c r="H15" s="56"/>
      <c r="I15" s="56"/>
      <c r="J15" s="56"/>
      <c r="K15" s="56"/>
      <c r="L15" s="56"/>
      <c r="M15" s="56"/>
      <c r="N15" s="56"/>
      <c r="O15" s="56"/>
      <c r="P15" s="56"/>
      <c r="Q15" s="56"/>
      <c r="R15" s="56"/>
      <c r="S15" s="56"/>
      <c r="T15" s="56"/>
      <c r="U15" s="56">
        <f t="shared" si="21"/>
        <v>1.6188429704231058</v>
      </c>
      <c r="V15" s="56">
        <f t="shared" si="21"/>
        <v>1.9269169815921008</v>
      </c>
      <c r="W15" s="56">
        <f t="shared" si="21"/>
        <v>1.7990607454306531</v>
      </c>
      <c r="X15" s="56">
        <f t="shared" si="21"/>
        <v>1.3155685179099574</v>
      </c>
      <c r="Y15" s="56">
        <v>0.48</v>
      </c>
      <c r="Z15" s="59">
        <f t="shared" ref="Y15:AD15" si="23">Z5/V5-1</f>
        <v>-0.62254524250817389</v>
      </c>
      <c r="AA15" s="59">
        <f t="shared" si="23"/>
        <v>-0.59988796863121674</v>
      </c>
      <c r="AB15" s="59">
        <f t="shared" si="23"/>
        <v>-0.4678039105768651</v>
      </c>
      <c r="AC15" s="59">
        <f t="shared" si="23"/>
        <v>0.14077116130504219</v>
      </c>
      <c r="AD15" s="59">
        <f t="shared" si="23"/>
        <v>-3.4482758620689613E-2</v>
      </c>
      <c r="AN15" s="56"/>
      <c r="AO15" s="56"/>
      <c r="AP15" s="56"/>
      <c r="AQ15" s="56">
        <f>AQ5/AP5-1</f>
        <v>3.0966629399668593</v>
      </c>
      <c r="AR15" s="59">
        <v>0.05</v>
      </c>
      <c r="AS15" s="59">
        <v>-0.45</v>
      </c>
      <c r="AT15" s="59">
        <v>-1</v>
      </c>
      <c r="AU15" s="59">
        <v>0</v>
      </c>
      <c r="AV15" s="59">
        <v>0</v>
      </c>
      <c r="AW15" s="59">
        <v>0</v>
      </c>
      <c r="AX15" s="59">
        <v>0</v>
      </c>
      <c r="AY15" s="59">
        <v>0</v>
      </c>
      <c r="AZ15" s="59">
        <v>0</v>
      </c>
      <c r="BA15" s="59">
        <v>0</v>
      </c>
    </row>
    <row r="16" spans="2:106">
      <c r="B16" s="37" t="s">
        <v>1674</v>
      </c>
      <c r="G16" s="56">
        <f t="shared" ref="G16:W16" si="24">G11/C11-1</f>
        <v>0.66376833509753497</v>
      </c>
      <c r="H16" s="56">
        <f t="shared" si="24"/>
        <v>-0.1448556823859487</v>
      </c>
      <c r="I16" s="56">
        <f t="shared" si="24"/>
        <v>-1.600355634585493E-3</v>
      </c>
      <c r="J16" s="56">
        <f t="shared" si="24"/>
        <v>1.049168667200151E-2</v>
      </c>
      <c r="K16" s="56">
        <f t="shared" si="24"/>
        <v>0</v>
      </c>
      <c r="L16" s="56">
        <f t="shared" si="24"/>
        <v>2.2471910112360494E-3</v>
      </c>
      <c r="M16" s="56">
        <f t="shared" si="24"/>
        <v>1.8255487777727453E-3</v>
      </c>
      <c r="N16" s="56">
        <f t="shared" si="24"/>
        <v>-1.2802463704356004E-2</v>
      </c>
      <c r="O16" s="56">
        <f t="shared" si="24"/>
        <v>-2.2722108611672454E-4</v>
      </c>
      <c r="P16" s="56">
        <f t="shared" si="24"/>
        <v>-2.2421524663677195E-3</v>
      </c>
      <c r="Q16" s="56">
        <f t="shared" si="24"/>
        <v>-4.4444444444446951E-4</v>
      </c>
      <c r="R16" s="56">
        <f t="shared" si="24"/>
        <v>0.41361023218503568</v>
      </c>
      <c r="S16" s="56">
        <f t="shared" si="24"/>
        <v>1.4533181818181817</v>
      </c>
      <c r="T16" s="56">
        <f t="shared" si="24"/>
        <v>-0.89303370786516856</v>
      </c>
      <c r="U16" s="56">
        <f t="shared" si="24"/>
        <v>0.66296131614050702</v>
      </c>
      <c r="V16" s="56">
        <f t="shared" si="24"/>
        <v>-0.36109709962169001</v>
      </c>
      <c r="W16" s="56">
        <f t="shared" si="24"/>
        <v>1.4721434791469812</v>
      </c>
      <c r="X16" s="56">
        <f>X11/T11-1</f>
        <v>40.161764705882355</v>
      </c>
      <c r="Y16" s="56">
        <v>1.1499999999999999</v>
      </c>
      <c r="AN16" s="56">
        <f t="shared" ref="AN16:BA16" si="25">AN12/AM12-1</f>
        <v>0.29947472592987578</v>
      </c>
      <c r="AO16" s="56">
        <f t="shared" si="25"/>
        <v>0.32937186985730449</v>
      </c>
      <c r="AP16" s="56">
        <f t="shared" si="25"/>
        <v>0.33260308270088434</v>
      </c>
      <c r="AQ16" s="56">
        <f t="shared" si="25"/>
        <v>0.52973854211572746</v>
      </c>
      <c r="AR16" s="59">
        <v>1.45</v>
      </c>
      <c r="AS16" s="59">
        <v>-0.27</v>
      </c>
      <c r="AT16" s="59">
        <v>-0.25</v>
      </c>
      <c r="AU16" s="59">
        <v>-0.05</v>
      </c>
      <c r="AV16" s="59">
        <v>0.03</v>
      </c>
      <c r="AW16" s="59">
        <v>0.02</v>
      </c>
      <c r="AX16" s="59">
        <v>0.01</v>
      </c>
      <c r="AY16" s="59">
        <v>0.01</v>
      </c>
      <c r="AZ16" s="59">
        <v>0.01</v>
      </c>
      <c r="BA16" s="59">
        <v>0.01</v>
      </c>
    </row>
    <row r="17" spans="2:103" ht="15">
      <c r="B17" s="33" t="s">
        <v>1443</v>
      </c>
      <c r="C17" s="2"/>
      <c r="D17" s="2"/>
      <c r="E17" s="2"/>
      <c r="F17" s="2"/>
      <c r="G17" s="76">
        <f t="shared" ref="G17:T17" si="26">G6/C6-1</f>
        <v>0.24368827652118519</v>
      </c>
      <c r="H17" s="76">
        <f t="shared" si="26"/>
        <v>0.27392671097539067</v>
      </c>
      <c r="I17" s="76">
        <f t="shared" si="26"/>
        <v>0.37455632509532322</v>
      </c>
      <c r="J17" s="76">
        <f t="shared" si="26"/>
        <v>0.45721903333115854</v>
      </c>
      <c r="K17" s="76">
        <f t="shared" si="26"/>
        <v>0.51149480492451516</v>
      </c>
      <c r="L17" s="76">
        <f t="shared" si="26"/>
        <v>0.48927304902036806</v>
      </c>
      <c r="M17" s="76">
        <f t="shared" si="26"/>
        <v>0.24481909520642731</v>
      </c>
      <c r="N17" s="76">
        <f t="shared" si="26"/>
        <v>0.32008952301021143</v>
      </c>
      <c r="O17" s="76">
        <f t="shared" si="26"/>
        <v>0.22597643320534888</v>
      </c>
      <c r="P17" s="76">
        <f t="shared" si="26"/>
        <v>0.13137376501275821</v>
      </c>
      <c r="Q17" s="76">
        <f t="shared" si="26"/>
        <v>0.48872332438129873</v>
      </c>
      <c r="R17" s="76">
        <f t="shared" si="26"/>
        <v>0.5473672610444491</v>
      </c>
      <c r="S17" s="76">
        <f t="shared" si="26"/>
        <v>0.55288019179679915</v>
      </c>
      <c r="T17" s="76">
        <f t="shared" si="26"/>
        <v>0.50864060120173415</v>
      </c>
      <c r="U17" s="76">
        <f>U6/Q6-1</f>
        <v>0.38941477702558536</v>
      </c>
      <c r="V17" s="76">
        <f>V6/R6-1</f>
        <v>0.74801890022598116</v>
      </c>
      <c r="W17" s="76">
        <f>W6/S6-1</f>
        <v>0.70086290349500935</v>
      </c>
      <c r="X17" s="76">
        <f>X6/T6-1</f>
        <v>0.42317922489994375</v>
      </c>
      <c r="Y17" s="76">
        <f t="shared" ref="Y17" si="27">Y6/U6-1</f>
        <v>-0.13899495312619992</v>
      </c>
      <c r="Z17" s="59">
        <f t="shared" ref="Y17:AD17" si="28">Z12/V12-1</f>
        <v>-0.36970705806592707</v>
      </c>
      <c r="AA17" s="59">
        <f t="shared" si="28"/>
        <v>-0.42942451084898947</v>
      </c>
      <c r="AB17" s="59">
        <f t="shared" si="28"/>
        <v>-0.29960987615531653</v>
      </c>
      <c r="AC17" s="59">
        <f t="shared" si="28"/>
        <v>7.6768592413038572E-2</v>
      </c>
      <c r="AD17" s="59">
        <f t="shared" si="28"/>
        <v>1.6867469879518149E-2</v>
      </c>
    </row>
    <row r="19" spans="2:103">
      <c r="B19" s="37" t="s">
        <v>1471</v>
      </c>
      <c r="C19" s="55">
        <f>C4/C12</f>
        <v>0.88364973520769918</v>
      </c>
      <c r="D19" s="55">
        <f t="shared" ref="D19:X19" si="29">D4/D12</f>
        <v>0.81057666407006457</v>
      </c>
      <c r="E19" s="55">
        <f t="shared" si="29"/>
        <v>0.84370223173341485</v>
      </c>
      <c r="F19" s="55">
        <f t="shared" si="29"/>
        <v>0.84502073831144675</v>
      </c>
      <c r="G19" s="55">
        <f t="shared" si="29"/>
        <v>0.8502358249790718</v>
      </c>
      <c r="H19" s="55">
        <f t="shared" si="29"/>
        <v>0.86440285454844623</v>
      </c>
      <c r="I19" s="55">
        <f t="shared" si="29"/>
        <v>0.88140148914822836</v>
      </c>
      <c r="J19" s="55">
        <f t="shared" si="29"/>
        <v>0.88717083219577564</v>
      </c>
      <c r="K19" s="55">
        <f t="shared" si="29"/>
        <v>0.89562680832898545</v>
      </c>
      <c r="L19" s="55">
        <f t="shared" si="29"/>
        <v>0.9045119188822327</v>
      </c>
      <c r="M19" s="55">
        <f t="shared" si="29"/>
        <v>0.90229031501602441</v>
      </c>
      <c r="N19" s="55">
        <f t="shared" si="29"/>
        <v>0.91315235397024452</v>
      </c>
      <c r="O19" s="55">
        <f t="shared" si="29"/>
        <v>0.9132132783684096</v>
      </c>
      <c r="P19" s="55">
        <f t="shared" si="29"/>
        <v>0.91482862370711759</v>
      </c>
      <c r="Q19" s="55">
        <f t="shared" si="29"/>
        <v>0.72394276207927477</v>
      </c>
      <c r="R19" s="55">
        <f t="shared" si="29"/>
        <v>0.58928917955115356</v>
      </c>
      <c r="S19" s="55">
        <f t="shared" si="29"/>
        <v>0.5455174298657417</v>
      </c>
      <c r="T19" s="55">
        <f t="shared" si="29"/>
        <v>0.65805795655875698</v>
      </c>
      <c r="U19" s="55">
        <f t="shared" si="29"/>
        <v>0.53254161752334805</v>
      </c>
      <c r="V19" s="55">
        <f t="shared" si="29"/>
        <v>0.38577876869615929</v>
      </c>
      <c r="W19" s="55">
        <f t="shared" si="29"/>
        <v>0.31755949424188645</v>
      </c>
      <c r="X19" s="55">
        <f t="shared" si="29"/>
        <v>0.3784594035556253</v>
      </c>
      <c r="Y19" s="55">
        <f>Y4/Y12</f>
        <v>0.59734363692364711</v>
      </c>
      <c r="Z19" s="59">
        <f t="shared" ref="Y19:AD19" si="30">Z4/Z12</f>
        <v>0.6506024096385542</v>
      </c>
      <c r="AA19" s="59">
        <f t="shared" si="30"/>
        <v>0.6470588235294118</v>
      </c>
      <c r="AB19" s="59">
        <f t="shared" si="30"/>
        <v>0.64953271028037385</v>
      </c>
      <c r="AC19" s="59">
        <f t="shared" si="30"/>
        <v>0.65116279069767447</v>
      </c>
      <c r="AD19" s="59">
        <f t="shared" si="30"/>
        <v>0.66824644549763035</v>
      </c>
      <c r="AM19" s="55">
        <f t="shared" ref="AM19:BA19" si="31">AM4/AM12</f>
        <v>0.84403970383207516</v>
      </c>
      <c r="AN19" s="55">
        <f t="shared" si="31"/>
        <v>0.87255875585065068</v>
      </c>
      <c r="AO19" s="55">
        <f t="shared" si="31"/>
        <v>0.90434859964437808</v>
      </c>
      <c r="AP19" s="55">
        <f t="shared" si="31"/>
        <v>0.759665931011408</v>
      </c>
      <c r="AQ19" s="55">
        <f t="shared" si="31"/>
        <v>0.50850666595162197</v>
      </c>
      <c r="AR19" s="59">
        <f t="shared" si="31"/>
        <v>0.46848643015179559</v>
      </c>
      <c r="AS19" s="59">
        <f t="shared" si="31"/>
        <v>0.66842695546932185</v>
      </c>
      <c r="AT19" s="59">
        <f t="shared" si="31"/>
        <v>1</v>
      </c>
      <c r="AU19" s="59">
        <f t="shared" si="31"/>
        <v>1</v>
      </c>
      <c r="AV19" s="59">
        <f t="shared" si="31"/>
        <v>1</v>
      </c>
      <c r="AW19" s="59">
        <f t="shared" si="31"/>
        <v>1</v>
      </c>
      <c r="AX19" s="59">
        <f t="shared" si="31"/>
        <v>1</v>
      </c>
      <c r="AY19" s="59">
        <f t="shared" si="31"/>
        <v>1</v>
      </c>
      <c r="AZ19" s="59">
        <f t="shared" si="31"/>
        <v>1</v>
      </c>
      <c r="BA19" s="59">
        <f t="shared" si="31"/>
        <v>1</v>
      </c>
    </row>
    <row r="20" spans="2:103">
      <c r="B20" s="37" t="s">
        <v>1472</v>
      </c>
      <c r="C20" s="55"/>
      <c r="D20" s="55"/>
      <c r="E20" s="55"/>
      <c r="F20" s="55"/>
      <c r="G20" s="55"/>
      <c r="H20" s="55"/>
      <c r="I20" s="55"/>
      <c r="J20" s="55"/>
      <c r="K20" s="55"/>
      <c r="L20" s="55"/>
      <c r="M20" s="55"/>
      <c r="N20" s="55"/>
      <c r="O20" s="55"/>
      <c r="P20" s="55"/>
      <c r="Q20" s="55">
        <f t="shared" ref="Q20:V20" si="32">Q5/Q12</f>
        <v>0.20827707589931529</v>
      </c>
      <c r="R20" s="55">
        <f t="shared" si="32"/>
        <v>0.33077029700475052</v>
      </c>
      <c r="S20" s="55">
        <f t="shared" si="32"/>
        <v>0.32394178838428178</v>
      </c>
      <c r="T20" s="55">
        <f t="shared" si="32"/>
        <v>0.33538425082730133</v>
      </c>
      <c r="U20" s="55">
        <f t="shared" si="32"/>
        <v>0.38740204336313683</v>
      </c>
      <c r="V20" s="55">
        <f t="shared" si="32"/>
        <v>0.58344167284303128</v>
      </c>
      <c r="W20" s="55">
        <f>W5/W12</f>
        <v>0.50330799530651316</v>
      </c>
      <c r="X20" s="55">
        <f t="shared" ref="X20" si="33">X5/X12</f>
        <v>0.46122817008352307</v>
      </c>
      <c r="Y20" s="55">
        <f>Y5/Y12</f>
        <v>0.32926581910788477</v>
      </c>
      <c r="Z20" s="59">
        <f t="shared" ref="Y20:AD20" si="34">Z5/Z12</f>
        <v>0.3493975903614458</v>
      </c>
      <c r="AA20" s="59">
        <f t="shared" si="34"/>
        <v>0.35294117647058826</v>
      </c>
      <c r="AB20" s="59">
        <f t="shared" si="34"/>
        <v>0.35046728971962615</v>
      </c>
      <c r="AC20" s="59">
        <f t="shared" si="34"/>
        <v>0.34883720930232559</v>
      </c>
      <c r="AD20" s="59">
        <f t="shared" si="34"/>
        <v>0.33175355450236965</v>
      </c>
      <c r="AM20" s="55">
        <f t="shared" ref="AM20:BA20" si="35">AM5/AM12</f>
        <v>0</v>
      </c>
      <c r="AN20" s="55">
        <f t="shared" si="35"/>
        <v>0</v>
      </c>
      <c r="AO20" s="55">
        <f t="shared" si="35"/>
        <v>0</v>
      </c>
      <c r="AP20" s="55">
        <f t="shared" si="35"/>
        <v>0.16114389030801005</v>
      </c>
      <c r="AQ20" s="55">
        <f t="shared" si="35"/>
        <v>0.43154577416469903</v>
      </c>
      <c r="AR20" s="59">
        <f t="shared" si="35"/>
        <v>0.40140538417283472</v>
      </c>
      <c r="AS20" s="59">
        <f t="shared" si="35"/>
        <v>0.33157304453067821</v>
      </c>
      <c r="AT20" s="59">
        <f t="shared" si="35"/>
        <v>0</v>
      </c>
      <c r="AU20" s="59">
        <f t="shared" si="35"/>
        <v>0</v>
      </c>
      <c r="AV20" s="59">
        <f t="shared" si="35"/>
        <v>0</v>
      </c>
      <c r="AW20" s="59">
        <f t="shared" si="35"/>
        <v>0</v>
      </c>
      <c r="AX20" s="59">
        <f t="shared" si="35"/>
        <v>0</v>
      </c>
      <c r="AY20" s="59">
        <f t="shared" si="35"/>
        <v>0</v>
      </c>
      <c r="AZ20" s="59">
        <f t="shared" si="35"/>
        <v>0</v>
      </c>
      <c r="BA20" s="59">
        <f t="shared" si="35"/>
        <v>0</v>
      </c>
    </row>
    <row r="21" spans="2:103">
      <c r="B21" s="37" t="s">
        <v>1675</v>
      </c>
      <c r="C21" s="55">
        <f>C11/C12</f>
        <v>0.1163502647923008</v>
      </c>
      <c r="D21" s="55">
        <f t="shared" ref="D21:X21" si="36">D11/D12</f>
        <v>0.1894233359299354</v>
      </c>
      <c r="E21" s="55">
        <f t="shared" si="36"/>
        <v>0.15629776826658515</v>
      </c>
      <c r="F21" s="55">
        <f t="shared" si="36"/>
        <v>0.15497926168855325</v>
      </c>
      <c r="G21" s="55">
        <f t="shared" si="36"/>
        <v>0.14976417502092818</v>
      </c>
      <c r="H21" s="55">
        <f t="shared" si="36"/>
        <v>0.13559714545155374</v>
      </c>
      <c r="I21" s="55">
        <f t="shared" si="36"/>
        <v>0.11859851085177166</v>
      </c>
      <c r="J21" s="55">
        <f t="shared" si="36"/>
        <v>0.11282916780422429</v>
      </c>
      <c r="K21" s="55">
        <f t="shared" si="36"/>
        <v>0.10437319167101457</v>
      </c>
      <c r="L21" s="55">
        <f t="shared" si="36"/>
        <v>9.5488081117767201E-2</v>
      </c>
      <c r="M21" s="55">
        <f t="shared" si="36"/>
        <v>9.7709684983975614E-2</v>
      </c>
      <c r="N21" s="55">
        <f t="shared" si="36"/>
        <v>8.6847646029755532E-2</v>
      </c>
      <c r="O21" s="55">
        <f t="shared" si="36"/>
        <v>8.6786721631590361E-2</v>
      </c>
      <c r="P21" s="55">
        <f t="shared" si="36"/>
        <v>8.517137629288235E-2</v>
      </c>
      <c r="Q21" s="55">
        <f t="shared" si="36"/>
        <v>6.7780162021409962E-2</v>
      </c>
      <c r="R21" s="55">
        <f t="shared" si="36"/>
        <v>7.9940523444095829E-2</v>
      </c>
      <c r="S21" s="55">
        <f t="shared" si="36"/>
        <v>0.13054078174997641</v>
      </c>
      <c r="T21" s="55">
        <f t="shared" si="36"/>
        <v>6.5577926139416456E-3</v>
      </c>
      <c r="U21" s="55">
        <f t="shared" si="36"/>
        <v>8.0056339113515174E-2</v>
      </c>
      <c r="V21" s="55">
        <f t="shared" si="36"/>
        <v>3.0779558460809445E-2</v>
      </c>
      <c r="W21" s="55">
        <f t="shared" si="36"/>
        <v>0.17913251045160045</v>
      </c>
      <c r="X21" s="55">
        <f t="shared" si="36"/>
        <v>0.16031242636085144</v>
      </c>
      <c r="Y21" s="55">
        <f>Y11/Y12</f>
        <v>7.3390543968468211E-2</v>
      </c>
    </row>
    <row r="23" spans="2:103" s="2" customFormat="1" ht="15">
      <c r="B23" s="2" t="s">
        <v>70</v>
      </c>
      <c r="C23" s="46">
        <f t="shared" ref="C23:W23" si="37">C12</f>
        <v>113.67399999999999</v>
      </c>
      <c r="D23" s="46">
        <f t="shared" si="37"/>
        <v>137.35900000000001</v>
      </c>
      <c r="E23" s="46">
        <f t="shared" si="37"/>
        <v>143.92400000000001</v>
      </c>
      <c r="F23" s="46">
        <f t="shared" si="37"/>
        <v>145.14200000000002</v>
      </c>
      <c r="G23" s="46">
        <f t="shared" si="37"/>
        <v>146.93100000000001</v>
      </c>
      <c r="H23" s="46">
        <f t="shared" si="37"/>
        <v>164.089</v>
      </c>
      <c r="I23" s="46">
        <f t="shared" si="37"/>
        <v>189.37</v>
      </c>
      <c r="J23" s="46">
        <f t="shared" si="37"/>
        <v>201.45499999999998</v>
      </c>
      <c r="K23" s="46">
        <f t="shared" si="37"/>
        <v>210.82999999999998</v>
      </c>
      <c r="L23" s="46">
        <f t="shared" si="37"/>
        <v>233.53700000000001</v>
      </c>
      <c r="M23" s="46">
        <f t="shared" si="37"/>
        <v>230.274</v>
      </c>
      <c r="N23" s="46">
        <f t="shared" si="37"/>
        <v>258.37199999999996</v>
      </c>
      <c r="O23" s="46">
        <f t="shared" si="37"/>
        <v>253.495</v>
      </c>
      <c r="P23" s="46">
        <f t="shared" si="37"/>
        <v>261.238</v>
      </c>
      <c r="Q23" s="46">
        <f t="shared" si="37"/>
        <v>331.80799999999999</v>
      </c>
      <c r="R23" s="46">
        <f t="shared" si="37"/>
        <v>396.79500000000002</v>
      </c>
      <c r="S23" s="46">
        <f t="shared" si="37"/>
        <v>413.45700000000005</v>
      </c>
      <c r="T23" s="46">
        <f t="shared" si="37"/>
        <v>362.92700000000002</v>
      </c>
      <c r="U23" s="46">
        <f t="shared" si="37"/>
        <v>467.17099999999999</v>
      </c>
      <c r="V23" s="46">
        <f t="shared" si="37"/>
        <v>658.42399999999998</v>
      </c>
      <c r="W23" s="46">
        <f t="shared" si="37"/>
        <v>744.86199999999997</v>
      </c>
      <c r="X23" s="46">
        <f>X12</f>
        <v>611.08800000000008</v>
      </c>
      <c r="Y23" s="46">
        <f>Y12</f>
        <v>399.34299999999996</v>
      </c>
      <c r="Z23" s="47"/>
      <c r="AA23" s="47"/>
      <c r="AB23" s="47"/>
      <c r="AC23" s="47"/>
      <c r="AD23" s="47"/>
      <c r="AM23" s="46">
        <f>SUM(C23:F23)</f>
        <v>540.09900000000005</v>
      </c>
      <c r="AN23" s="46">
        <f>SUM(G23:J23)</f>
        <v>701.84500000000003</v>
      </c>
      <c r="AO23" s="46">
        <f>SUM(K23:N23)</f>
        <v>933.01299999999992</v>
      </c>
      <c r="AP23" s="46">
        <f>SUM(O23:R23)</f>
        <v>1243.336</v>
      </c>
      <c r="AQ23" s="46">
        <f>SUM(S23:V23)</f>
        <v>1901.979</v>
      </c>
      <c r="AR23" s="47">
        <f t="shared" ref="AR23:BA23" si="38">AR12</f>
        <v>2147.0328600000003</v>
      </c>
      <c r="AS23" s="47">
        <f t="shared" si="38"/>
        <v>1429.5697745</v>
      </c>
      <c r="AT23" s="47">
        <f t="shared" si="38"/>
        <v>926.89608283999996</v>
      </c>
      <c r="AU23" s="47">
        <f t="shared" si="38"/>
        <v>954.70296532520001</v>
      </c>
      <c r="AV23" s="47">
        <f t="shared" si="38"/>
        <v>973.79702463170406</v>
      </c>
      <c r="AW23" s="47">
        <f t="shared" si="38"/>
        <v>964.05905438538696</v>
      </c>
      <c r="AX23" s="47">
        <f t="shared" si="38"/>
        <v>944.77787329767921</v>
      </c>
      <c r="AY23" s="47">
        <f t="shared" si="38"/>
        <v>897.53897963279519</v>
      </c>
      <c r="AZ23" s="47">
        <f t="shared" si="38"/>
        <v>852.66203065115542</v>
      </c>
      <c r="BA23" s="47">
        <f t="shared" si="38"/>
        <v>767.3958275860399</v>
      </c>
      <c r="BB23" s="47"/>
      <c r="BC23" s="47"/>
      <c r="BD23" s="47"/>
      <c r="BE23" s="47"/>
      <c r="BF23" s="34"/>
      <c r="BG23" s="34"/>
      <c r="BH23" s="34"/>
      <c r="BI23" s="34"/>
      <c r="BJ23" s="34"/>
      <c r="BK23" s="34"/>
      <c r="BL23" s="34"/>
      <c r="BM23" s="34"/>
      <c r="BN23" s="34"/>
      <c r="BO23" s="34"/>
      <c r="BP23" s="34"/>
      <c r="BQ23" s="34"/>
      <c r="BR23" s="34"/>
      <c r="BS23" s="34"/>
      <c r="BT23" s="34"/>
      <c r="BU23" s="34"/>
      <c r="BV23" s="34"/>
      <c r="BW23" s="34"/>
      <c r="BX23" s="34"/>
      <c r="BY23" s="34"/>
      <c r="BZ23" s="34"/>
      <c r="CA23" s="34"/>
      <c r="CB23" s="34"/>
      <c r="CC23" s="34"/>
      <c r="CD23" s="34"/>
      <c r="CE23" s="34"/>
      <c r="CF23" s="34"/>
      <c r="CG23" s="34"/>
      <c r="CH23" s="34"/>
      <c r="CI23" s="34"/>
      <c r="CJ23" s="34"/>
      <c r="CK23" s="34"/>
      <c r="CL23" s="34"/>
      <c r="CM23" s="34"/>
      <c r="CN23" s="34"/>
      <c r="CO23" s="34"/>
      <c r="CP23" s="34"/>
      <c r="CQ23" s="34"/>
      <c r="CR23" s="34"/>
      <c r="CS23" s="34"/>
      <c r="CT23" s="34"/>
      <c r="CU23" s="34"/>
      <c r="CV23" s="34"/>
      <c r="CW23" s="34"/>
      <c r="CX23" s="34"/>
      <c r="CY23" s="34"/>
    </row>
    <row r="24" spans="2:103">
      <c r="B24" s="1" t="s">
        <v>72</v>
      </c>
      <c r="C24" s="48">
        <v>12.622</v>
      </c>
      <c r="D24" s="48">
        <v>13.340999999999999</v>
      </c>
      <c r="E24" s="48">
        <v>15.015000000000001</v>
      </c>
      <c r="F24" s="48">
        <f>63.382-SUM(C24:E24)</f>
        <v>22.403999999999996</v>
      </c>
      <c r="G24" s="48">
        <v>22.346</v>
      </c>
      <c r="H24" s="48">
        <v>19.515000000000001</v>
      </c>
      <c r="I24" s="48">
        <v>23.44</v>
      </c>
      <c r="J24" s="48">
        <f>97.049-SUM(G24:I24)</f>
        <v>31.748000000000005</v>
      </c>
      <c r="K24" s="48">
        <v>31.443000000000001</v>
      </c>
      <c r="L24" s="48">
        <v>37.795000000000002</v>
      </c>
      <c r="M24" s="48">
        <v>39.951999999999998</v>
      </c>
      <c r="N24" s="48">
        <f>139.989-SUM(K24:M24)</f>
        <v>30.799000000000007</v>
      </c>
      <c r="O24" s="48">
        <v>35.017000000000003</v>
      </c>
      <c r="P24" s="48">
        <v>34.124000000000002</v>
      </c>
      <c r="Q24" s="48">
        <v>37.026000000000003</v>
      </c>
      <c r="R24" s="48">
        <f>150.343-SUM(O24:Q24)</f>
        <v>44.175999999999988</v>
      </c>
      <c r="S24" s="48">
        <v>50.558999999999997</v>
      </c>
      <c r="T24" s="48">
        <v>44.54</v>
      </c>
      <c r="U24" s="48">
        <v>91.691000000000003</v>
      </c>
      <c r="V24" s="48">
        <f>319.099-SUM(S24:U24)</f>
        <v>132.309</v>
      </c>
      <c r="W24" s="48">
        <v>137.56</v>
      </c>
      <c r="X24" s="48">
        <v>152.55799999999999</v>
      </c>
      <c r="Y24" s="48">
        <v>150.77500000000001</v>
      </c>
      <c r="Z24" s="49"/>
      <c r="AA24" s="49"/>
      <c r="AB24" s="49"/>
      <c r="AC24" s="49"/>
      <c r="AD24" s="49"/>
      <c r="AM24" s="48">
        <f t="shared" ref="AM24:AM35" si="39">SUM(C24:F24)</f>
        <v>63.381999999999998</v>
      </c>
      <c r="AN24" s="48">
        <f t="shared" ref="AN24:AN35" si="40">SUM(G24:J24)</f>
        <v>97.049000000000007</v>
      </c>
      <c r="AO24" s="48">
        <f t="shared" ref="AO24:AO35" si="41">SUM(K24:N24)</f>
        <v>139.989</v>
      </c>
      <c r="AP24" s="48">
        <f t="shared" ref="AP24:AP35" si="42">SUM(O24:R24)</f>
        <v>150.34299999999999</v>
      </c>
      <c r="AQ24" s="48">
        <f t="shared" ref="AQ24:AQ35" si="43">SUM(S24:V24)</f>
        <v>319.09899999999999</v>
      </c>
      <c r="AR24" s="49">
        <f>AR23*(1-AR39)</f>
        <v>343.52525760000009</v>
      </c>
      <c r="AS24" s="49">
        <f t="shared" ref="AS24:BA24" si="44">AS23*(1-AS39)</f>
        <v>228.73116392000006</v>
      </c>
      <c r="AT24" s="49">
        <f t="shared" si="44"/>
        <v>148.30337325440001</v>
      </c>
      <c r="AU24" s="49">
        <f t="shared" si="44"/>
        <v>152.75247445203203</v>
      </c>
      <c r="AV24" s="49">
        <f t="shared" si="44"/>
        <v>155.80752394107267</v>
      </c>
      <c r="AW24" s="49">
        <f t="shared" si="44"/>
        <v>154.24944870166195</v>
      </c>
      <c r="AX24" s="49">
        <f t="shared" si="44"/>
        <v>151.1644597276287</v>
      </c>
      <c r="AY24" s="49">
        <f t="shared" si="44"/>
        <v>143.60623674124727</v>
      </c>
      <c r="AZ24" s="49">
        <f t="shared" si="44"/>
        <v>136.42592490418488</v>
      </c>
      <c r="BA24" s="49">
        <f t="shared" si="44"/>
        <v>122.7833324137664</v>
      </c>
    </row>
    <row r="25" spans="2:103">
      <c r="B25" s="1" t="s">
        <v>73</v>
      </c>
      <c r="C25" s="48">
        <f t="shared" ref="C25:F25" si="45">C23-C24</f>
        <v>101.05199999999999</v>
      </c>
      <c r="D25" s="48">
        <f t="shared" si="45"/>
        <v>124.01800000000001</v>
      </c>
      <c r="E25" s="48">
        <f t="shared" si="45"/>
        <v>128.90899999999999</v>
      </c>
      <c r="F25" s="48">
        <f t="shared" si="45"/>
        <v>122.73800000000003</v>
      </c>
      <c r="G25" s="48">
        <f>G23-G24</f>
        <v>124.58500000000001</v>
      </c>
      <c r="H25" s="48">
        <f t="shared" ref="H25:Y25" si="46">H23-H24</f>
        <v>144.57400000000001</v>
      </c>
      <c r="I25" s="48">
        <f t="shared" si="46"/>
        <v>165.93</v>
      </c>
      <c r="J25" s="48">
        <f t="shared" si="46"/>
        <v>169.70699999999999</v>
      </c>
      <c r="K25" s="48">
        <f t="shared" si="46"/>
        <v>179.38699999999997</v>
      </c>
      <c r="L25" s="48">
        <f t="shared" si="46"/>
        <v>195.74200000000002</v>
      </c>
      <c r="M25" s="48">
        <f t="shared" si="46"/>
        <v>190.322</v>
      </c>
      <c r="N25" s="48">
        <f t="shared" si="46"/>
        <v>227.57299999999995</v>
      </c>
      <c r="O25" s="48">
        <f t="shared" si="46"/>
        <v>218.47800000000001</v>
      </c>
      <c r="P25" s="48">
        <f t="shared" si="46"/>
        <v>227.114</v>
      </c>
      <c r="Q25" s="48">
        <f t="shared" si="46"/>
        <v>294.78199999999998</v>
      </c>
      <c r="R25" s="48">
        <f t="shared" si="46"/>
        <v>352.61900000000003</v>
      </c>
      <c r="S25" s="48">
        <f t="shared" si="46"/>
        <v>362.89800000000002</v>
      </c>
      <c r="T25" s="48">
        <f t="shared" si="46"/>
        <v>318.387</v>
      </c>
      <c r="U25" s="48">
        <f t="shared" si="46"/>
        <v>375.48</v>
      </c>
      <c r="V25" s="48">
        <f t="shared" si="46"/>
        <v>526.11500000000001</v>
      </c>
      <c r="W25" s="48">
        <f t="shared" si="46"/>
        <v>607.30199999999991</v>
      </c>
      <c r="X25" s="48">
        <f t="shared" si="46"/>
        <v>458.53000000000009</v>
      </c>
      <c r="Y25" s="48">
        <f t="shared" si="46"/>
        <v>248.56799999999996</v>
      </c>
      <c r="Z25" s="49"/>
      <c r="AA25" s="49"/>
      <c r="AB25" s="49"/>
      <c r="AC25" s="49"/>
      <c r="AD25" s="49"/>
      <c r="AM25" s="48">
        <f t="shared" si="39"/>
        <v>476.71699999999998</v>
      </c>
      <c r="AN25" s="48">
        <f t="shared" si="40"/>
        <v>604.79600000000005</v>
      </c>
      <c r="AO25" s="48">
        <f t="shared" si="41"/>
        <v>793.024</v>
      </c>
      <c r="AP25" s="48">
        <f t="shared" si="42"/>
        <v>1092.9929999999999</v>
      </c>
      <c r="AQ25" s="48">
        <f t="shared" si="43"/>
        <v>1582.88</v>
      </c>
      <c r="AR25" s="49">
        <f>AR23-AR24</f>
        <v>1803.5076024000002</v>
      </c>
      <c r="AS25" s="49">
        <f t="shared" ref="AS25:BA25" si="47">AS23-AS24</f>
        <v>1200.83861058</v>
      </c>
      <c r="AT25" s="49">
        <f t="shared" si="47"/>
        <v>778.59270958560001</v>
      </c>
      <c r="AU25" s="49">
        <f t="shared" si="47"/>
        <v>801.95049087316795</v>
      </c>
      <c r="AV25" s="49">
        <f t="shared" si="47"/>
        <v>817.98950069063142</v>
      </c>
      <c r="AW25" s="49">
        <f t="shared" si="47"/>
        <v>809.80960568372507</v>
      </c>
      <c r="AX25" s="49">
        <f t="shared" si="47"/>
        <v>793.61341357005051</v>
      </c>
      <c r="AY25" s="49">
        <f t="shared" si="47"/>
        <v>753.93274289154795</v>
      </c>
      <c r="AZ25" s="49">
        <f t="shared" si="47"/>
        <v>716.23610574697057</v>
      </c>
      <c r="BA25" s="49">
        <f t="shared" si="47"/>
        <v>644.6124951722735</v>
      </c>
    </row>
    <row r="26" spans="2:103">
      <c r="B26" s="1" t="s">
        <v>177</v>
      </c>
      <c r="C26" s="48">
        <v>136.14400000000001</v>
      </c>
      <c r="D26" s="48">
        <v>188.52199999999999</v>
      </c>
      <c r="E26" s="48">
        <v>190.43799999999999</v>
      </c>
      <c r="F26" s="48">
        <f>722.343-SUM(C26:E26)</f>
        <v>207.23899999999992</v>
      </c>
      <c r="G26" s="48">
        <v>195.149</v>
      </c>
      <c r="H26" s="48">
        <v>239.62200000000001</v>
      </c>
      <c r="I26" s="48">
        <v>139.11500000000001</v>
      </c>
      <c r="J26" s="48">
        <f>771.182-SUM(G26:I26)</f>
        <v>197.29600000000005</v>
      </c>
      <c r="K26" s="48">
        <v>194.25</v>
      </c>
      <c r="L26" s="48">
        <v>252.32900000000001</v>
      </c>
      <c r="M26" s="48">
        <v>216.7</v>
      </c>
      <c r="N26" s="48">
        <f>877.09-SUM(K26:M26)</f>
        <v>213.81100000000004</v>
      </c>
      <c r="O26" s="48">
        <v>245.679</v>
      </c>
      <c r="P26" s="48">
        <v>241.89</v>
      </c>
      <c r="Q26" s="48">
        <v>194.30099999999999</v>
      </c>
      <c r="R26" s="48">
        <f>877.387-SUM(O26:Q26)</f>
        <v>195.51700000000005</v>
      </c>
      <c r="S26" s="48">
        <v>200.39599999999999</v>
      </c>
      <c r="T26" s="48">
        <v>179.69</v>
      </c>
      <c r="U26" s="48">
        <v>224.483</v>
      </c>
      <c r="V26" s="48">
        <f>804.522-SUM(S26:U26)</f>
        <v>199.95300000000009</v>
      </c>
      <c r="W26" s="48">
        <v>773.44799999999998</v>
      </c>
      <c r="X26" s="48">
        <v>204.392</v>
      </c>
      <c r="Y26" s="48">
        <v>218.89</v>
      </c>
      <c r="Z26" s="49"/>
      <c r="AA26" s="49"/>
      <c r="AB26" s="49"/>
      <c r="AC26" s="49"/>
      <c r="AD26" s="49"/>
      <c r="AM26" s="48">
        <f t="shared" si="39"/>
        <v>722.34299999999996</v>
      </c>
      <c r="AN26" s="48">
        <f t="shared" si="40"/>
        <v>771.18200000000002</v>
      </c>
      <c r="AO26" s="48">
        <f t="shared" si="41"/>
        <v>877.09</v>
      </c>
      <c r="AP26" s="48">
        <f t="shared" si="42"/>
        <v>877.38699999999994</v>
      </c>
      <c r="AQ26" s="48">
        <f t="shared" si="43"/>
        <v>804.52200000000005</v>
      </c>
      <c r="AR26" s="49">
        <f>AR23*AR40</f>
        <v>1642.4801379000003</v>
      </c>
      <c r="AS26" s="49">
        <f t="shared" ref="AS26:BA26" si="48">AS23*AS40</f>
        <v>786.26337597500003</v>
      </c>
      <c r="AT26" s="49">
        <f t="shared" si="48"/>
        <v>370.75843313600001</v>
      </c>
      <c r="AU26" s="49">
        <f t="shared" si="48"/>
        <v>334.14603786381997</v>
      </c>
      <c r="AV26" s="49">
        <f t="shared" si="48"/>
        <v>438.20866108426685</v>
      </c>
      <c r="AW26" s="49">
        <f t="shared" si="48"/>
        <v>409.72509811378944</v>
      </c>
      <c r="AX26" s="49">
        <f t="shared" si="48"/>
        <v>377.91114931907168</v>
      </c>
      <c r="AY26" s="49">
        <f t="shared" si="48"/>
        <v>336.57711736229817</v>
      </c>
      <c r="AZ26" s="49">
        <f t="shared" si="48"/>
        <v>298.43171072790437</v>
      </c>
      <c r="BA26" s="49">
        <f t="shared" si="48"/>
        <v>268.58853965511395</v>
      </c>
    </row>
    <row r="27" spans="2:103">
      <c r="B27" s="1" t="s">
        <v>178</v>
      </c>
      <c r="C27" s="48">
        <v>82.768000000000001</v>
      </c>
      <c r="D27" s="48">
        <v>73.688000000000002</v>
      </c>
      <c r="E27" s="48">
        <v>75.373000000000005</v>
      </c>
      <c r="F27" s="48">
        <f>317.875-SUM(C27:E27)</f>
        <v>86.045999999999992</v>
      </c>
      <c r="G27" s="48">
        <v>71.131</v>
      </c>
      <c r="H27" s="48">
        <v>72.346999999999994</v>
      </c>
      <c r="I27" s="48">
        <v>61.127000000000002</v>
      </c>
      <c r="J27" s="48">
        <f>282.66-SUM(G27:I27)</f>
        <v>78.055000000000007</v>
      </c>
      <c r="K27" s="48">
        <v>71.84</v>
      </c>
      <c r="L27" s="48">
        <v>154.316</v>
      </c>
      <c r="M27" s="48">
        <v>104.78700000000001</v>
      </c>
      <c r="N27" s="48">
        <f>451.421-SUM(K27:M27)</f>
        <v>120.47800000000001</v>
      </c>
      <c r="O27" s="48">
        <v>110.714</v>
      </c>
      <c r="P27" s="48">
        <v>118.56</v>
      </c>
      <c r="Q27" s="48">
        <v>120.893</v>
      </c>
      <c r="R27" s="48">
        <f>481.871-SUM(O27:Q27)</f>
        <v>131.70399999999995</v>
      </c>
      <c r="S27" s="48">
        <v>127.003</v>
      </c>
      <c r="T27" s="48">
        <v>138.79599999999999</v>
      </c>
      <c r="U27" s="48">
        <v>128.19999999999999</v>
      </c>
      <c r="V27" s="48">
        <f>557.87-SUM(S27:U27)</f>
        <v>163.87100000000004</v>
      </c>
      <c r="W27" s="48">
        <v>133.62899999999999</v>
      </c>
      <c r="X27" s="48">
        <v>137.89699999999999</v>
      </c>
      <c r="Y27" s="48">
        <v>91.89</v>
      </c>
      <c r="Z27" s="49"/>
      <c r="AA27" s="49"/>
      <c r="AB27" s="49"/>
      <c r="AC27" s="49"/>
      <c r="AD27" s="49"/>
      <c r="AM27" s="48">
        <f t="shared" si="39"/>
        <v>317.875</v>
      </c>
      <c r="AN27" s="48">
        <f t="shared" si="40"/>
        <v>282.66000000000003</v>
      </c>
      <c r="AO27" s="48">
        <f t="shared" si="41"/>
        <v>451.42099999999999</v>
      </c>
      <c r="AP27" s="48">
        <f t="shared" si="42"/>
        <v>481.87099999999998</v>
      </c>
      <c r="AQ27" s="48">
        <f t="shared" si="43"/>
        <v>557.87</v>
      </c>
      <c r="AR27" s="49">
        <f>AR23*AR41</f>
        <v>558.22854360000008</v>
      </c>
      <c r="AS27" s="49">
        <f t="shared" ref="AS27:BA27" si="49">AS23*AS41</f>
        <v>364.54029249749999</v>
      </c>
      <c r="AT27" s="49">
        <f t="shared" si="49"/>
        <v>231.72402070999999</v>
      </c>
      <c r="AU27" s="49">
        <f t="shared" si="49"/>
        <v>233.90222650467399</v>
      </c>
      <c r="AV27" s="49">
        <f t="shared" si="49"/>
        <v>233.71128591160897</v>
      </c>
      <c r="AW27" s="49">
        <f t="shared" si="49"/>
        <v>221.73358250863902</v>
      </c>
      <c r="AX27" s="49">
        <f t="shared" si="49"/>
        <v>207.85113212548941</v>
      </c>
      <c r="AY27" s="49">
        <f t="shared" si="49"/>
        <v>188.48318572288699</v>
      </c>
      <c r="AZ27" s="49">
        <f t="shared" si="49"/>
        <v>176.92737136011473</v>
      </c>
      <c r="BA27" s="49">
        <f t="shared" si="49"/>
        <v>157.31614465513817</v>
      </c>
    </row>
    <row r="28" spans="2:103">
      <c r="B28" s="1" t="s">
        <v>185</v>
      </c>
      <c r="C28" s="48">
        <v>0</v>
      </c>
      <c r="D28" s="48">
        <v>0</v>
      </c>
      <c r="E28" s="48">
        <v>0</v>
      </c>
      <c r="F28" s="48">
        <f>0-SUM(C28:E28)</f>
        <v>0</v>
      </c>
      <c r="G28" s="48">
        <v>10</v>
      </c>
      <c r="H28" s="48">
        <v>0</v>
      </c>
      <c r="I28" s="48">
        <v>0</v>
      </c>
      <c r="J28" s="48">
        <f>10-SUM(G28:I28)</f>
        <v>0</v>
      </c>
      <c r="K28" s="48">
        <v>0</v>
      </c>
      <c r="L28" s="48">
        <v>0</v>
      </c>
      <c r="M28" s="48">
        <v>0</v>
      </c>
      <c r="N28" s="48">
        <f>0-SUM(K28:M28)</f>
        <v>0</v>
      </c>
      <c r="O28" s="48">
        <v>0</v>
      </c>
      <c r="P28" s="48">
        <v>0</v>
      </c>
      <c r="Q28" s="48">
        <f>0-SUM(N28:P28)</f>
        <v>0</v>
      </c>
      <c r="R28" s="48">
        <f>0-SUM(O28:Q28)</f>
        <v>0</v>
      </c>
      <c r="S28" s="48">
        <f>0-SUM(P28:R28)</f>
        <v>0</v>
      </c>
      <c r="T28" s="48">
        <f>0-SUM(Q28:S28)</f>
        <v>0</v>
      </c>
      <c r="U28" s="48">
        <v>0</v>
      </c>
      <c r="V28" s="48">
        <v>0</v>
      </c>
      <c r="W28" s="48">
        <v>0</v>
      </c>
      <c r="X28" s="48">
        <v>0</v>
      </c>
      <c r="Y28" s="48">
        <v>40.51</v>
      </c>
      <c r="Z28" s="49"/>
      <c r="AA28" s="49"/>
      <c r="AB28" s="49"/>
      <c r="AC28" s="49"/>
      <c r="AD28" s="49"/>
      <c r="AM28" s="48">
        <f t="shared" si="39"/>
        <v>0</v>
      </c>
      <c r="AN28" s="48">
        <f t="shared" si="40"/>
        <v>10</v>
      </c>
      <c r="AO28" s="48">
        <f t="shared" si="41"/>
        <v>0</v>
      </c>
      <c r="AP28" s="48">
        <f t="shared" si="42"/>
        <v>0</v>
      </c>
      <c r="AQ28" s="48">
        <f t="shared" si="43"/>
        <v>0</v>
      </c>
      <c r="AR28" s="49">
        <v>0</v>
      </c>
      <c r="AS28" s="49">
        <v>0</v>
      </c>
      <c r="AT28" s="49">
        <v>0</v>
      </c>
      <c r="AU28" s="49">
        <v>0</v>
      </c>
      <c r="AV28" s="49">
        <v>0</v>
      </c>
      <c r="AW28" s="49">
        <v>0</v>
      </c>
      <c r="AX28" s="49">
        <v>0</v>
      </c>
      <c r="AY28" s="49">
        <v>0</v>
      </c>
      <c r="AZ28" s="49">
        <v>0</v>
      </c>
      <c r="BA28" s="49">
        <v>0</v>
      </c>
    </row>
    <row r="29" spans="2:103">
      <c r="B29" s="1" t="s">
        <v>179</v>
      </c>
      <c r="C29" s="48">
        <v>0.16600000000000001</v>
      </c>
      <c r="D29" s="48">
        <v>0.16500000000000001</v>
      </c>
      <c r="E29" s="48">
        <v>0.16600000000000001</v>
      </c>
      <c r="F29" s="48">
        <f>0.662-SUM(C29:E29)</f>
        <v>0.16500000000000004</v>
      </c>
      <c r="G29" s="48">
        <v>0.17</v>
      </c>
      <c r="H29" s="48">
        <v>0.17899999999999999</v>
      </c>
      <c r="I29" s="48">
        <v>0.17799999999999999</v>
      </c>
      <c r="J29" s="48">
        <f>0.706-SUM(G29:I29)</f>
        <v>0.17900000000000005</v>
      </c>
      <c r="K29" s="48">
        <v>0.17799999999999999</v>
      </c>
      <c r="L29" s="48">
        <v>0.17899999999999999</v>
      </c>
      <c r="M29" s="48">
        <v>0.17799999999999999</v>
      </c>
      <c r="N29" s="48">
        <f>0.71-SUM(K29:M29)</f>
        <v>0.17500000000000004</v>
      </c>
      <c r="O29" s="48">
        <v>0.17799999999999999</v>
      </c>
      <c r="P29" s="48">
        <v>0.17899999999999999</v>
      </c>
      <c r="Q29" s="48">
        <v>0.439</v>
      </c>
      <c r="R29" s="48">
        <f>1.559-SUM(O29:Q29)</f>
        <v>0.7629999999999999</v>
      </c>
      <c r="S29" s="48">
        <v>0.60099999999999998</v>
      </c>
      <c r="T29" s="48">
        <v>0.60099999999999998</v>
      </c>
      <c r="U29" s="48">
        <v>0.6</v>
      </c>
      <c r="V29" s="48">
        <f>2.405-SUM(S29:U29)</f>
        <v>0.60299999999999976</v>
      </c>
      <c r="W29" s="48">
        <v>0.6</v>
      </c>
      <c r="X29" s="48">
        <v>0.66700000000000004</v>
      </c>
      <c r="Y29" s="48">
        <v>0.67700000000000005</v>
      </c>
      <c r="Z29" s="49"/>
      <c r="AA29" s="49"/>
      <c r="AB29" s="49"/>
      <c r="AC29" s="49"/>
      <c r="AD29" s="49"/>
      <c r="AM29" s="48">
        <f t="shared" si="39"/>
        <v>0.66200000000000003</v>
      </c>
      <c r="AN29" s="48">
        <f t="shared" si="40"/>
        <v>0.70599999999999996</v>
      </c>
      <c r="AO29" s="48">
        <f t="shared" si="41"/>
        <v>0.71</v>
      </c>
      <c r="AP29" s="48">
        <f t="shared" si="42"/>
        <v>1.5589999999999999</v>
      </c>
      <c r="AQ29" s="48">
        <f t="shared" si="43"/>
        <v>2.4049999999999998</v>
      </c>
      <c r="AR29" s="49">
        <f>AQ29*1</f>
        <v>2.4049999999999998</v>
      </c>
      <c r="AS29" s="49">
        <f>AR29*1.05</f>
        <v>2.5252499999999998</v>
      </c>
      <c r="AT29" s="49">
        <f t="shared" ref="AT29:BA29" si="50">AS29*1.05</f>
        <v>2.6515124999999999</v>
      </c>
      <c r="AU29" s="49">
        <f t="shared" si="50"/>
        <v>2.7840881250000002</v>
      </c>
      <c r="AV29" s="49">
        <f t="shared" si="50"/>
        <v>2.9232925312500004</v>
      </c>
      <c r="AW29" s="49">
        <f t="shared" si="50"/>
        <v>3.0694571578125007</v>
      </c>
      <c r="AX29" s="49">
        <f t="shared" si="50"/>
        <v>3.2229300157031258</v>
      </c>
      <c r="AY29" s="49">
        <f t="shared" si="50"/>
        <v>3.3840765164882822</v>
      </c>
      <c r="AZ29" s="49">
        <f t="shared" si="50"/>
        <v>3.5532803423126964</v>
      </c>
      <c r="BA29" s="49">
        <f t="shared" si="50"/>
        <v>3.7309443594283316</v>
      </c>
    </row>
    <row r="30" spans="2:103">
      <c r="B30" s="1" t="s">
        <v>180</v>
      </c>
      <c r="C30" s="48">
        <f>C25-SUM(C26:C29)</f>
        <v>-118.02600000000001</v>
      </c>
      <c r="D30" s="48">
        <f t="shared" ref="D30:Y30" si="51">D25-SUM(D26:D29)</f>
        <v>-138.35699999999997</v>
      </c>
      <c r="E30" s="48">
        <f t="shared" si="51"/>
        <v>-137.06799999999998</v>
      </c>
      <c r="F30" s="48">
        <f t="shared" si="51"/>
        <v>-170.7119999999999</v>
      </c>
      <c r="G30" s="48">
        <f t="shared" si="51"/>
        <v>-151.86499999999998</v>
      </c>
      <c r="H30" s="48">
        <f t="shared" si="51"/>
        <v>-167.57399999999996</v>
      </c>
      <c r="I30" s="48">
        <f t="shared" si="51"/>
        <v>-34.490000000000009</v>
      </c>
      <c r="J30" s="48">
        <f t="shared" si="51"/>
        <v>-105.82300000000004</v>
      </c>
      <c r="K30" s="48">
        <f t="shared" si="51"/>
        <v>-86.881000000000057</v>
      </c>
      <c r="L30" s="48">
        <f t="shared" si="51"/>
        <v>-211.08199999999994</v>
      </c>
      <c r="M30" s="48">
        <f t="shared" si="51"/>
        <v>-131.34299999999996</v>
      </c>
      <c r="N30" s="48">
        <f t="shared" si="51"/>
        <v>-106.8910000000001</v>
      </c>
      <c r="O30" s="48">
        <f t="shared" si="51"/>
        <v>-138.09300000000002</v>
      </c>
      <c r="P30" s="48">
        <f t="shared" si="51"/>
        <v>-133.51499999999996</v>
      </c>
      <c r="Q30" s="48">
        <f>Q25-SUM(Q26:Q29)</f>
        <v>-20.850999999999999</v>
      </c>
      <c r="R30" s="48">
        <f t="shared" si="51"/>
        <v>24.635000000000048</v>
      </c>
      <c r="S30" s="48">
        <f>S25-SUM(S26:S29)</f>
        <v>34.898000000000025</v>
      </c>
      <c r="T30" s="48">
        <f>T25-SUM(T26:T29)</f>
        <v>-0.69999999999998863</v>
      </c>
      <c r="U30" s="48">
        <f t="shared" si="51"/>
        <v>22.197000000000003</v>
      </c>
      <c r="V30" s="48">
        <f t="shared" si="51"/>
        <v>161.68799999999987</v>
      </c>
      <c r="W30" s="48">
        <f t="shared" si="51"/>
        <v>-300.37500000000011</v>
      </c>
      <c r="X30" s="48">
        <f t="shared" si="51"/>
        <v>115.57400000000013</v>
      </c>
      <c r="Y30" s="48">
        <f t="shared" si="51"/>
        <v>-103.39900000000003</v>
      </c>
      <c r="Z30" s="49"/>
      <c r="AA30" s="49"/>
      <c r="AB30" s="49"/>
      <c r="AC30" s="49"/>
      <c r="AD30" s="49"/>
      <c r="AM30" s="48">
        <f t="shared" si="39"/>
        <v>-564.1629999999999</v>
      </c>
      <c r="AN30" s="48">
        <f t="shared" si="40"/>
        <v>-459.75200000000001</v>
      </c>
      <c r="AO30" s="48">
        <f t="shared" si="41"/>
        <v>-536.197</v>
      </c>
      <c r="AP30" s="48">
        <f t="shared" si="42"/>
        <v>-267.8239999999999</v>
      </c>
      <c r="AQ30" s="48">
        <f t="shared" si="43"/>
        <v>218.08299999999991</v>
      </c>
      <c r="AR30" s="49">
        <f>AR25-SUM(AR26:AR29)</f>
        <v>-399.60607910000022</v>
      </c>
      <c r="AS30" s="49">
        <f t="shared" ref="AS30:BA30" si="52">AS25-SUM(AS26:AS29)</f>
        <v>47.509692107500086</v>
      </c>
      <c r="AT30" s="49">
        <f t="shared" si="52"/>
        <v>173.45874323960004</v>
      </c>
      <c r="AU30" s="49">
        <f t="shared" si="52"/>
        <v>231.11813837967395</v>
      </c>
      <c r="AV30" s="49">
        <f t="shared" si="52"/>
        <v>143.14626116350564</v>
      </c>
      <c r="AW30" s="49">
        <f t="shared" si="52"/>
        <v>175.2814679034841</v>
      </c>
      <c r="AX30" s="49">
        <f t="shared" si="52"/>
        <v>204.62820210978634</v>
      </c>
      <c r="AY30" s="49">
        <f t="shared" si="52"/>
        <v>225.48836328987443</v>
      </c>
      <c r="AZ30" s="49">
        <f t="shared" si="52"/>
        <v>237.32374331663874</v>
      </c>
      <c r="BA30" s="49">
        <f t="shared" si="52"/>
        <v>214.976866502593</v>
      </c>
    </row>
    <row r="31" spans="2:103">
      <c r="B31" s="1" t="s">
        <v>181</v>
      </c>
      <c r="C31" s="48">
        <v>-7.42</v>
      </c>
      <c r="D31" s="48">
        <v>0</v>
      </c>
      <c r="E31" s="48">
        <v>-45</v>
      </c>
      <c r="F31" s="48">
        <f>-51.971-SUM(C31:E31)</f>
        <v>0.44900000000000517</v>
      </c>
      <c r="G31" s="48">
        <v>-15.528</v>
      </c>
      <c r="H31" s="48">
        <v>102</v>
      </c>
      <c r="I31" s="48">
        <v>-20.649000000000001</v>
      </c>
      <c r="J31" s="48">
        <f>-68.43-SUM(G31:I31)</f>
        <v>-134.25299999999999</v>
      </c>
      <c r="K31" s="48">
        <v>-17.260000000000002</v>
      </c>
      <c r="L31" s="48">
        <v>0</v>
      </c>
      <c r="M31" s="48">
        <f>6.7-125.44</f>
        <v>-118.74</v>
      </c>
      <c r="N31" s="48">
        <f>-125.441+6.7-SUM(K31:M31)</f>
        <v>17.259</v>
      </c>
      <c r="O31" s="48">
        <v>12.7</v>
      </c>
      <c r="P31" s="48">
        <v>16.934000000000001</v>
      </c>
      <c r="Q31" s="48">
        <v>-12.33</v>
      </c>
      <c r="R31" s="48">
        <f>33.055-SUM(O31:Q31)</f>
        <v>15.750999999999998</v>
      </c>
      <c r="S31" s="48">
        <v>6.54</v>
      </c>
      <c r="T31" s="48">
        <v>14.278</v>
      </c>
      <c r="U31" s="48">
        <v>11.81</v>
      </c>
      <c r="V31" s="48">
        <f>42.693-SUM(S31:U31)</f>
        <v>10.064999999999998</v>
      </c>
      <c r="W31" s="48">
        <v>-83.132000000000005</v>
      </c>
      <c r="X31" s="48">
        <v>38.06</v>
      </c>
      <c r="Y31" s="48">
        <v>-138.61000000000001</v>
      </c>
      <c r="Z31" s="49"/>
      <c r="AA31" s="49"/>
      <c r="AB31" s="49"/>
      <c r="AC31" s="49"/>
      <c r="AD31" s="49"/>
      <c r="AM31" s="48">
        <f t="shared" si="39"/>
        <v>-51.970999999999997</v>
      </c>
      <c r="AN31" s="48">
        <f t="shared" si="40"/>
        <v>-68.429999999999993</v>
      </c>
      <c r="AO31" s="48">
        <f t="shared" si="41"/>
        <v>-118.741</v>
      </c>
      <c r="AP31" s="48">
        <f t="shared" si="42"/>
        <v>33.055</v>
      </c>
      <c r="AQ31" s="48">
        <f t="shared" si="43"/>
        <v>42.692999999999998</v>
      </c>
      <c r="AR31" s="49">
        <v>-35</v>
      </c>
      <c r="AS31" s="49">
        <f>AR46*($BA$48)</f>
        <v>25.17157495123999</v>
      </c>
      <c r="AT31" s="49">
        <f>AS31*1.04</f>
        <v>26.178437949289592</v>
      </c>
      <c r="AU31" s="49">
        <f t="shared" ref="AU31:BA31" si="53">AT31*1.04</f>
        <v>27.225575467261176</v>
      </c>
      <c r="AV31" s="49">
        <f t="shared" si="53"/>
        <v>28.314598485951624</v>
      </c>
      <c r="AW31" s="49">
        <f t="shared" si="53"/>
        <v>29.447182425389691</v>
      </c>
      <c r="AX31" s="49">
        <f t="shared" si="53"/>
        <v>30.625069722405279</v>
      </c>
      <c r="AY31" s="49">
        <f t="shared" si="53"/>
        <v>31.850072511301491</v>
      </c>
      <c r="AZ31" s="49">
        <f t="shared" si="53"/>
        <v>33.124075411753552</v>
      </c>
      <c r="BA31" s="49">
        <f t="shared" si="53"/>
        <v>34.449038428223695</v>
      </c>
    </row>
    <row r="32" spans="2:103">
      <c r="B32" s="1" t="s">
        <v>186</v>
      </c>
      <c r="C32" s="48">
        <v>108.069</v>
      </c>
      <c r="D32" s="48">
        <v>-12.446999999999999</v>
      </c>
      <c r="E32" s="48">
        <v>-14.335000000000001</v>
      </c>
      <c r="F32" s="48">
        <f>108.1-45-SUM(C32:E32)</f>
        <v>-18.187000000000012</v>
      </c>
      <c r="G32" s="48">
        <v>0</v>
      </c>
      <c r="H32" s="48">
        <v>-16.184999999999999</v>
      </c>
      <c r="I32" s="48">
        <v>7.2</v>
      </c>
      <c r="J32" s="48">
        <f>102+7.2-SUM(G32:I32)</f>
        <v>118.185</v>
      </c>
      <c r="K32" s="48">
        <v>0</v>
      </c>
      <c r="L32" s="48">
        <v>-16.960999999999999</v>
      </c>
      <c r="M32" s="48">
        <v>-6.33</v>
      </c>
      <c r="N32" s="48">
        <f>-35.021-SUM(K32:M32)</f>
        <v>-11.730000000000004</v>
      </c>
      <c r="O32" s="48">
        <v>-387.32</v>
      </c>
      <c r="P32" s="48">
        <v>102</v>
      </c>
      <c r="Q32" s="48">
        <v>0</v>
      </c>
      <c r="R32" s="48">
        <f>-387.329+102-SUM(O32:Q32)</f>
        <v>-9.0000000000145519E-3</v>
      </c>
      <c r="S32" s="48">
        <v>0</v>
      </c>
      <c r="T32" s="48">
        <v>0</v>
      </c>
      <c r="U32" s="48">
        <v>0</v>
      </c>
      <c r="V32" s="48">
        <f>0-SUM(S32:U32)</f>
        <v>0</v>
      </c>
      <c r="W32" s="48">
        <v>0</v>
      </c>
      <c r="X32" s="48">
        <v>0</v>
      </c>
      <c r="Y32" s="48">
        <v>47.95</v>
      </c>
      <c r="Z32" s="49"/>
      <c r="AA32" s="49"/>
      <c r="AB32" s="49"/>
      <c r="AC32" s="49"/>
      <c r="AD32" s="49"/>
      <c r="AM32" s="48">
        <f t="shared" si="39"/>
        <v>63.099999999999994</v>
      </c>
      <c r="AN32" s="48">
        <f t="shared" si="40"/>
        <v>109.2</v>
      </c>
      <c r="AO32" s="48">
        <f t="shared" si="41"/>
        <v>-35.021000000000001</v>
      </c>
      <c r="AP32" s="48">
        <f t="shared" si="42"/>
        <v>-285.32900000000001</v>
      </c>
      <c r="AQ32" s="48">
        <f t="shared" si="43"/>
        <v>0</v>
      </c>
      <c r="AR32" s="49">
        <v>0</v>
      </c>
      <c r="AS32" s="49">
        <v>0</v>
      </c>
      <c r="AT32" s="49">
        <v>0</v>
      </c>
      <c r="AU32" s="49">
        <v>0</v>
      </c>
      <c r="AV32" s="49">
        <v>0</v>
      </c>
      <c r="AW32" s="49">
        <v>0</v>
      </c>
      <c r="AX32" s="49">
        <v>0</v>
      </c>
      <c r="AY32" s="49">
        <v>0</v>
      </c>
      <c r="AZ32" s="49">
        <v>0</v>
      </c>
      <c r="BA32" s="49">
        <v>0</v>
      </c>
    </row>
    <row r="33" spans="2:103">
      <c r="B33" s="1" t="s">
        <v>182</v>
      </c>
      <c r="C33" s="48">
        <f t="shared" ref="C33:F33" si="54">C30+SUM(C31:C32)</f>
        <v>-17.37700000000001</v>
      </c>
      <c r="D33" s="48">
        <f t="shared" si="54"/>
        <v>-150.80399999999997</v>
      </c>
      <c r="E33" s="48">
        <f t="shared" si="54"/>
        <v>-196.40299999999999</v>
      </c>
      <c r="F33" s="48">
        <f t="shared" si="54"/>
        <v>-188.4499999999999</v>
      </c>
      <c r="G33" s="48">
        <f>G30+SUM(G31:G32)</f>
        <v>-167.39299999999997</v>
      </c>
      <c r="H33" s="48">
        <f t="shared" ref="H33:Y33" si="55">H30+SUM(H31:H32)</f>
        <v>-81.758999999999958</v>
      </c>
      <c r="I33" s="48">
        <f t="shared" si="55"/>
        <v>-47.939000000000007</v>
      </c>
      <c r="J33" s="48">
        <f t="shared" si="55"/>
        <v>-121.89100000000002</v>
      </c>
      <c r="K33" s="48">
        <f t="shared" si="55"/>
        <v>-104.14100000000006</v>
      </c>
      <c r="L33" s="48">
        <f t="shared" si="55"/>
        <v>-228.04299999999995</v>
      </c>
      <c r="M33" s="48">
        <f t="shared" si="55"/>
        <v>-256.41299999999995</v>
      </c>
      <c r="N33" s="48">
        <f t="shared" si="55"/>
        <v>-101.36200000000011</v>
      </c>
      <c r="O33" s="48">
        <f t="shared" si="55"/>
        <v>-512.71299999999997</v>
      </c>
      <c r="P33" s="48">
        <f t="shared" si="55"/>
        <v>-14.58099999999996</v>
      </c>
      <c r="Q33" s="48">
        <f t="shared" si="55"/>
        <v>-33.180999999999997</v>
      </c>
      <c r="R33" s="48">
        <f t="shared" si="55"/>
        <v>40.377000000000031</v>
      </c>
      <c r="S33" s="48">
        <f t="shared" si="55"/>
        <v>41.438000000000024</v>
      </c>
      <c r="T33" s="48">
        <f t="shared" si="55"/>
        <v>13.578000000000012</v>
      </c>
      <c r="U33" s="48">
        <f t="shared" si="55"/>
        <v>34.007000000000005</v>
      </c>
      <c r="V33" s="48">
        <f t="shared" si="55"/>
        <v>171.75299999999987</v>
      </c>
      <c r="W33" s="48">
        <f t="shared" si="55"/>
        <v>-383.50700000000012</v>
      </c>
      <c r="X33" s="48">
        <f t="shared" si="55"/>
        <v>153.63400000000013</v>
      </c>
      <c r="Y33" s="48">
        <f t="shared" si="55"/>
        <v>-194.05900000000003</v>
      </c>
      <c r="Z33" s="49"/>
      <c r="AA33" s="49"/>
      <c r="AB33" s="49"/>
      <c r="AC33" s="49"/>
      <c r="AD33" s="49"/>
      <c r="AM33" s="48">
        <f t="shared" si="39"/>
        <v>-553.03399999999988</v>
      </c>
      <c r="AN33" s="48">
        <f t="shared" si="40"/>
        <v>-418.98199999999997</v>
      </c>
      <c r="AO33" s="48">
        <f t="shared" si="41"/>
        <v>-689.95900000000006</v>
      </c>
      <c r="AP33" s="48">
        <f t="shared" si="42"/>
        <v>-520.09799999999984</v>
      </c>
      <c r="AQ33" s="48">
        <f t="shared" si="43"/>
        <v>260.7759999999999</v>
      </c>
      <c r="AR33" s="49">
        <f>AR30+SUM(AR31:AR32)</f>
        <v>-434.60607910000022</v>
      </c>
      <c r="AS33" s="49">
        <f t="shared" ref="AS33:BA33" si="56">AS30+SUM(AS31:AS32)</f>
        <v>72.681267058740076</v>
      </c>
      <c r="AT33" s="49">
        <f t="shared" si="56"/>
        <v>199.63718118888963</v>
      </c>
      <c r="AU33" s="49">
        <f t="shared" si="56"/>
        <v>258.34371384693515</v>
      </c>
      <c r="AV33" s="49">
        <f t="shared" si="56"/>
        <v>171.46085964945726</v>
      </c>
      <c r="AW33" s="49">
        <f t="shared" si="56"/>
        <v>204.72865032887378</v>
      </c>
      <c r="AX33" s="49">
        <f t="shared" si="56"/>
        <v>235.25327183219161</v>
      </c>
      <c r="AY33" s="49">
        <f t="shared" si="56"/>
        <v>257.33843580117593</v>
      </c>
      <c r="AZ33" s="49">
        <f t="shared" si="56"/>
        <v>270.44781872839229</v>
      </c>
      <c r="BA33" s="49">
        <f t="shared" si="56"/>
        <v>249.4259049308167</v>
      </c>
    </row>
    <row r="34" spans="2:103">
      <c r="B34" s="1" t="s">
        <v>183</v>
      </c>
      <c r="C34" s="48">
        <v>0.115</v>
      </c>
      <c r="D34" s="48">
        <v>0.2</v>
      </c>
      <c r="E34" s="48">
        <v>9.6000000000000002E-2</v>
      </c>
      <c r="F34" s="48">
        <f>1.063-SUM(C34:E34)</f>
        <v>0.65199999999999991</v>
      </c>
      <c r="G34" s="48">
        <v>-0.14299999999999999</v>
      </c>
      <c r="H34" s="48">
        <v>-0.35</v>
      </c>
      <c r="I34" s="48">
        <v>0.23699999999999999</v>
      </c>
      <c r="J34" s="48">
        <f>-0.168-SUM(G34:I34)</f>
        <v>8.7999999999999995E-2</v>
      </c>
      <c r="K34" s="48">
        <v>0.879</v>
      </c>
      <c r="L34" s="48">
        <v>3.3879999999999999</v>
      </c>
      <c r="M34" s="48">
        <v>1.32</v>
      </c>
      <c r="N34" s="48">
        <f>13.525-SUM(K34:M34)</f>
        <v>7.9380000000000006</v>
      </c>
      <c r="O34" s="48">
        <v>4.0449999999999999</v>
      </c>
      <c r="P34" s="48">
        <v>9.3550000000000004</v>
      </c>
      <c r="Q34" s="48">
        <v>7.7629999999999999</v>
      </c>
      <c r="R34" s="48">
        <f>15.879-SUM(O34:Q34)</f>
        <v>-5.2840000000000007</v>
      </c>
      <c r="S34" s="48">
        <v>5.3289999999999997</v>
      </c>
      <c r="T34" s="48">
        <v>7.117</v>
      </c>
      <c r="U34" s="48">
        <v>0.39500000000000002</v>
      </c>
      <c r="V34" s="48">
        <f>25.535-SUM(S34:U34)</f>
        <v>12.694000000000001</v>
      </c>
      <c r="W34" s="48">
        <v>63.99</v>
      </c>
      <c r="X34" s="48">
        <v>-43.25</v>
      </c>
      <c r="Y34" s="48">
        <v>-14.1</v>
      </c>
      <c r="Z34" s="49"/>
      <c r="AA34" s="49"/>
      <c r="AB34" s="49"/>
      <c r="AC34" s="49"/>
      <c r="AD34" s="49"/>
      <c r="AM34" s="48">
        <f t="shared" si="39"/>
        <v>1.0629999999999999</v>
      </c>
      <c r="AN34" s="48">
        <f t="shared" si="40"/>
        <v>-0.16800000000000001</v>
      </c>
      <c r="AO34" s="48">
        <f t="shared" si="41"/>
        <v>13.525</v>
      </c>
      <c r="AP34" s="48">
        <f t="shared" si="42"/>
        <v>15.879</v>
      </c>
      <c r="AQ34" s="48">
        <f t="shared" si="43"/>
        <v>25.535</v>
      </c>
      <c r="AR34" s="49">
        <f>AR33*AR43</f>
        <v>39.114547119000015</v>
      </c>
      <c r="AS34" s="49">
        <f t="shared" ref="AS34:BA34" si="57">AS33*AS43</f>
        <v>-8.7217520470488079</v>
      </c>
      <c r="AT34" s="49">
        <f t="shared" si="57"/>
        <v>41.923808049666818</v>
      </c>
      <c r="AU34" s="49">
        <f t="shared" si="57"/>
        <v>54.25217990785638</v>
      </c>
      <c r="AV34" s="49">
        <f t="shared" si="57"/>
        <v>36.006780526386024</v>
      </c>
      <c r="AW34" s="49">
        <f t="shared" si="57"/>
        <v>42.993016569063492</v>
      </c>
      <c r="AX34" s="49">
        <f t="shared" si="57"/>
        <v>49.403187084760241</v>
      </c>
      <c r="AY34" s="49">
        <f t="shared" si="57"/>
        <v>54.041071518246945</v>
      </c>
      <c r="AZ34" s="49">
        <f t="shared" si="57"/>
        <v>56.794041932962379</v>
      </c>
      <c r="BA34" s="49">
        <f t="shared" si="57"/>
        <v>52.379440035471504</v>
      </c>
    </row>
    <row r="35" spans="2:103" s="2" customFormat="1" ht="15">
      <c r="B35" s="2" t="s">
        <v>89</v>
      </c>
      <c r="C35" s="46">
        <f t="shared" ref="C35:F35" si="58">C33-C34</f>
        <v>-17.492000000000008</v>
      </c>
      <c r="D35" s="46">
        <f t="shared" si="58"/>
        <v>-151.00399999999996</v>
      </c>
      <c r="E35" s="46">
        <f t="shared" si="58"/>
        <v>-196.499</v>
      </c>
      <c r="F35" s="46">
        <f t="shared" si="58"/>
        <v>-189.10199999999989</v>
      </c>
      <c r="G35" s="46">
        <f>G33-G34</f>
        <v>-167.24999999999997</v>
      </c>
      <c r="H35" s="46">
        <f t="shared" ref="H35:Y35" si="59">H33-H34</f>
        <v>-81.408999999999963</v>
      </c>
      <c r="I35" s="46">
        <f t="shared" si="59"/>
        <v>-48.176000000000009</v>
      </c>
      <c r="J35" s="46">
        <f t="shared" si="59"/>
        <v>-121.97900000000001</v>
      </c>
      <c r="K35" s="46">
        <f t="shared" si="59"/>
        <v>-105.02000000000007</v>
      </c>
      <c r="L35" s="46">
        <f>L33-L34+-2.2</f>
        <v>-233.63099999999994</v>
      </c>
      <c r="M35" s="46">
        <f>M33-M34-0.72</f>
        <v>-258.45299999999997</v>
      </c>
      <c r="N35" s="46">
        <f t="shared" si="59"/>
        <v>-109.30000000000011</v>
      </c>
      <c r="O35" s="46">
        <f t="shared" si="59"/>
        <v>-516.75799999999992</v>
      </c>
      <c r="P35" s="46">
        <f t="shared" si="59"/>
        <v>-23.935999999999961</v>
      </c>
      <c r="Q35" s="46">
        <f t="shared" si="59"/>
        <v>-40.943999999999996</v>
      </c>
      <c r="R35" s="46">
        <f t="shared" si="59"/>
        <v>45.66100000000003</v>
      </c>
      <c r="S35" s="46">
        <f>S33-S34-1.6</f>
        <v>34.509000000000022</v>
      </c>
      <c r="T35" s="46">
        <f>T33-T34</f>
        <v>6.4610000000000118</v>
      </c>
      <c r="U35" s="46">
        <f t="shared" si="59"/>
        <v>33.612000000000002</v>
      </c>
      <c r="V35" s="46">
        <f>V33-V34</f>
        <v>159.05899999999988</v>
      </c>
      <c r="W35" s="46">
        <f t="shared" si="59"/>
        <v>-447.49700000000013</v>
      </c>
      <c r="X35" s="46">
        <f t="shared" si="59"/>
        <v>196.88400000000013</v>
      </c>
      <c r="Y35" s="46">
        <f t="shared" si="59"/>
        <v>-179.95900000000003</v>
      </c>
      <c r="Z35" s="47"/>
      <c r="AA35" s="47"/>
      <c r="AB35" s="47"/>
      <c r="AC35" s="47"/>
      <c r="AD35" s="47"/>
      <c r="AM35" s="46">
        <f t="shared" si="39"/>
        <v>-554.09699999999987</v>
      </c>
      <c r="AN35" s="46">
        <f t="shared" si="40"/>
        <v>-418.81399999999996</v>
      </c>
      <c r="AO35" s="46">
        <f t="shared" si="41"/>
        <v>-706.40400000000011</v>
      </c>
      <c r="AP35" s="46">
        <f t="shared" si="42"/>
        <v>-535.97699999999975</v>
      </c>
      <c r="AQ35" s="46">
        <f t="shared" si="43"/>
        <v>233.64099999999991</v>
      </c>
      <c r="AR35" s="47">
        <f>AR33-AR34</f>
        <v>-473.72062621900022</v>
      </c>
      <c r="AS35" s="47">
        <f t="shared" ref="AS35:BA35" si="60">AS33-AS34</f>
        <v>81.403019105788886</v>
      </c>
      <c r="AT35" s="47">
        <f t="shared" si="60"/>
        <v>157.71337313922282</v>
      </c>
      <c r="AU35" s="47">
        <f t="shared" si="60"/>
        <v>204.09153393907877</v>
      </c>
      <c r="AV35" s="47">
        <f t="shared" si="60"/>
        <v>135.45407912307124</v>
      </c>
      <c r="AW35" s="47">
        <f t="shared" si="60"/>
        <v>161.7356337598103</v>
      </c>
      <c r="AX35" s="47">
        <f t="shared" si="60"/>
        <v>185.85008474743137</v>
      </c>
      <c r="AY35" s="47">
        <f t="shared" si="60"/>
        <v>203.29736428292898</v>
      </c>
      <c r="AZ35" s="47">
        <f t="shared" si="60"/>
        <v>213.65377679542991</v>
      </c>
      <c r="BA35" s="47">
        <f t="shared" si="60"/>
        <v>197.0464648953452</v>
      </c>
      <c r="BB35" s="47">
        <f>BA35*(1+$BA$49)</f>
        <v>173.40088910790377</v>
      </c>
      <c r="BC35" s="47">
        <f>BB35*(1+$BA$49)</f>
        <v>152.59278241495531</v>
      </c>
      <c r="BD35" s="47">
        <f>BC35*(1+$BA$49)</f>
        <v>134.28164852516068</v>
      </c>
      <c r="BE35" s="47">
        <f>BD35*(1+$BA$49)</f>
        <v>118.16785070214139</v>
      </c>
      <c r="BF35" s="47"/>
      <c r="BG35" s="47"/>
      <c r="BH35" s="47"/>
      <c r="BI35" s="47"/>
      <c r="BJ35" s="47"/>
      <c r="BK35" s="47"/>
      <c r="BL35" s="34"/>
      <c r="BM35" s="34"/>
      <c r="BN35" s="34"/>
      <c r="BO35" s="34"/>
      <c r="BP35" s="34"/>
      <c r="BQ35" s="34"/>
      <c r="BR35" s="34"/>
      <c r="BS35" s="34"/>
      <c r="BT35" s="34"/>
      <c r="BU35" s="34"/>
      <c r="BV35" s="34"/>
      <c r="BW35" s="34"/>
      <c r="BX35" s="34"/>
      <c r="BY35" s="34"/>
      <c r="BZ35" s="34"/>
      <c r="CA35" s="34"/>
      <c r="CB35" s="34"/>
      <c r="CC35" s="34"/>
      <c r="CD35" s="34"/>
      <c r="CE35" s="34"/>
      <c r="CF35" s="34"/>
      <c r="CG35" s="34"/>
      <c r="CH35" s="34"/>
      <c r="CI35" s="34"/>
      <c r="CJ35" s="34"/>
      <c r="CK35" s="34"/>
      <c r="CL35" s="34"/>
      <c r="CM35" s="34"/>
      <c r="CN35" s="34"/>
      <c r="CO35" s="34"/>
      <c r="CP35" s="34"/>
      <c r="CQ35" s="34"/>
      <c r="CR35" s="34"/>
      <c r="CS35" s="34"/>
      <c r="CT35" s="34"/>
      <c r="CU35" s="34"/>
      <c r="CV35" s="34"/>
      <c r="CW35" s="34"/>
      <c r="CX35" s="34"/>
      <c r="CY35" s="34"/>
    </row>
    <row r="36" spans="2:103">
      <c r="B36" s="1" t="s">
        <v>93</v>
      </c>
      <c r="C36" s="48">
        <v>76.432000000000002</v>
      </c>
      <c r="D36" s="48">
        <v>77.968000000000004</v>
      </c>
      <c r="E36" s="48">
        <v>78.501000000000005</v>
      </c>
      <c r="F36" s="48">
        <v>77.77</v>
      </c>
      <c r="G36" s="48">
        <v>79.453999999999994</v>
      </c>
      <c r="H36" s="48">
        <v>79.745999999999995</v>
      </c>
      <c r="I36" s="48">
        <v>79.88</v>
      </c>
      <c r="J36" s="48">
        <v>87.12</v>
      </c>
      <c r="K36" s="48">
        <v>87.253</v>
      </c>
      <c r="L36" s="48">
        <v>87.510999999999996</v>
      </c>
      <c r="M36" s="48">
        <v>87.62</v>
      </c>
      <c r="N36" s="48">
        <v>87.980999999999995</v>
      </c>
      <c r="O36" s="48">
        <v>88.186000000000007</v>
      </c>
      <c r="P36" s="48">
        <v>88.742999999999995</v>
      </c>
      <c r="Q36" s="48">
        <v>88.888999999999996</v>
      </c>
      <c r="R36" s="48">
        <v>92.397999999999996</v>
      </c>
      <c r="S36" s="48">
        <v>93.99</v>
      </c>
      <c r="T36" s="48">
        <v>94.617999999999995</v>
      </c>
      <c r="U36" s="48">
        <v>95.39</v>
      </c>
      <c r="V36" s="48">
        <v>97.031999999999996</v>
      </c>
      <c r="W36" s="48">
        <v>97.361999999999995</v>
      </c>
      <c r="X36" s="48">
        <v>98.004999999999995</v>
      </c>
      <c r="Y36" s="48">
        <v>100.23</v>
      </c>
      <c r="Z36" s="49"/>
      <c r="AA36" s="49"/>
      <c r="AB36" s="49"/>
      <c r="AC36" s="49"/>
      <c r="AD36" s="49"/>
      <c r="AM36" s="48">
        <f>AVERAGE(C36:F36)</f>
        <v>77.667749999999998</v>
      </c>
      <c r="AN36" s="48">
        <f>AVERAGE(G36:J36)</f>
        <v>81.55</v>
      </c>
      <c r="AO36" s="48">
        <f>AVERAGE(K36:N36)</f>
        <v>87.591250000000002</v>
      </c>
      <c r="AP36" s="48">
        <f>AVERAGE(O36:R36)</f>
        <v>89.554000000000002</v>
      </c>
      <c r="AQ36" s="48">
        <f>AVERAGE(S36:V36)</f>
        <v>95.257499999999993</v>
      </c>
      <c r="AR36" s="49"/>
      <c r="AS36" s="49"/>
      <c r="AT36" s="49"/>
      <c r="AU36" s="49"/>
      <c r="AV36" s="49"/>
      <c r="AW36" s="49"/>
      <c r="AX36" s="49"/>
      <c r="AY36" s="49"/>
      <c r="AZ36" s="49"/>
      <c r="BA36" s="49"/>
    </row>
    <row r="37" spans="2:103">
      <c r="B37" s="1" t="s">
        <v>184</v>
      </c>
      <c r="C37" s="39">
        <f>C35/C36</f>
        <v>-0.22885702323634088</v>
      </c>
      <c r="D37" s="39">
        <f t="shared" ref="D37:Y37" si="61">D35/D36</f>
        <v>-1.9367432792940689</v>
      </c>
      <c r="E37" s="39">
        <f t="shared" si="61"/>
        <v>-2.5031400873874214</v>
      </c>
      <c r="F37" s="39">
        <f t="shared" si="61"/>
        <v>-2.43155458402983</v>
      </c>
      <c r="G37" s="39">
        <f t="shared" si="61"/>
        <v>-2.1049915674478314</v>
      </c>
      <c r="H37" s="39">
        <f t="shared" si="61"/>
        <v>-1.0208537105309354</v>
      </c>
      <c r="I37" s="39">
        <f t="shared" si="61"/>
        <v>-0.60310465698547833</v>
      </c>
      <c r="J37" s="39">
        <f>(J35/J36)</f>
        <v>-1.4001262626262627</v>
      </c>
      <c r="K37" s="39">
        <f t="shared" si="61"/>
        <v>-1.203626236347175</v>
      </c>
      <c r="L37" s="39">
        <f t="shared" si="61"/>
        <v>-2.669732947857983</v>
      </c>
      <c r="M37" s="39">
        <f t="shared" si="61"/>
        <v>-2.9497032640949552</v>
      </c>
      <c r="N37" s="39">
        <f t="shared" si="61"/>
        <v>-1.2423136813630229</v>
      </c>
      <c r="O37" s="39">
        <f t="shared" si="61"/>
        <v>-5.8598643775655983</v>
      </c>
      <c r="P37" s="39">
        <f t="shared" si="61"/>
        <v>-0.26972268235241048</v>
      </c>
      <c r="Q37" s="39">
        <f t="shared" si="61"/>
        <v>-0.46061942422571966</v>
      </c>
      <c r="R37" s="39">
        <f t="shared" si="61"/>
        <v>0.49417736314638877</v>
      </c>
      <c r="S37" s="39">
        <f t="shared" si="61"/>
        <v>0.36715608043408898</v>
      </c>
      <c r="T37" s="39">
        <f t="shared" si="61"/>
        <v>6.8285104314189812E-2</v>
      </c>
      <c r="U37" s="39">
        <f t="shared" si="61"/>
        <v>0.35236397945277287</v>
      </c>
      <c r="V37" s="39">
        <f t="shared" si="61"/>
        <v>1.6392427240497969</v>
      </c>
      <c r="W37" s="39">
        <f t="shared" si="61"/>
        <v>-4.5962182370945559</v>
      </c>
      <c r="X37" s="39">
        <f t="shared" si="61"/>
        <v>2.008917912351412</v>
      </c>
      <c r="Y37" s="39">
        <f t="shared" si="61"/>
        <v>-1.7954604409857331</v>
      </c>
      <c r="AM37" s="39">
        <f t="shared" ref="AM37" si="62">SUM(C37:F37)</f>
        <v>-7.1002949739476611</v>
      </c>
      <c r="AN37" s="39">
        <f t="shared" ref="AN37" si="63">SUM(G37:J37)</f>
        <v>-5.1290761975905088</v>
      </c>
      <c r="AO37" s="39">
        <f t="shared" ref="AO37" si="64">SUM(K37:N37)</f>
        <v>-8.0653761296631359</v>
      </c>
      <c r="AP37" s="39">
        <f t="shared" ref="AP37" si="65">SUM(O37:R37)</f>
        <v>-6.0960291209973398</v>
      </c>
      <c r="AQ37" s="39">
        <f t="shared" ref="AQ37" si="66">SUM(S37:V37)</f>
        <v>2.4270478882508488</v>
      </c>
    </row>
    <row r="39" spans="2:103">
      <c r="B39" s="37" t="s">
        <v>74</v>
      </c>
      <c r="C39" s="50">
        <f t="shared" ref="C39:V39" si="67">C25/C23</f>
        <v>0.88896317539630876</v>
      </c>
      <c r="D39" s="50">
        <f t="shared" si="67"/>
        <v>0.90287494812862645</v>
      </c>
      <c r="E39" s="50">
        <f t="shared" si="67"/>
        <v>0.8956741057780494</v>
      </c>
      <c r="F39" s="50">
        <f t="shared" si="67"/>
        <v>0.84564082071350821</v>
      </c>
      <c r="G39" s="50">
        <f t="shared" si="67"/>
        <v>0.84791500772471429</v>
      </c>
      <c r="H39" s="50">
        <f t="shared" si="67"/>
        <v>0.88107063849496314</v>
      </c>
      <c r="I39" s="50">
        <f t="shared" si="67"/>
        <v>0.87622115435391035</v>
      </c>
      <c r="J39" s="50">
        <f t="shared" si="67"/>
        <v>0.84240649276513369</v>
      </c>
      <c r="K39" s="50">
        <f t="shared" si="67"/>
        <v>0.85086088317601849</v>
      </c>
      <c r="L39" s="50">
        <f t="shared" si="67"/>
        <v>0.83816268942394567</v>
      </c>
      <c r="M39" s="50">
        <f t="shared" si="67"/>
        <v>0.82650234068978701</v>
      </c>
      <c r="N39" s="50">
        <f t="shared" si="67"/>
        <v>0.8807959066771941</v>
      </c>
      <c r="O39" s="50">
        <f t="shared" si="67"/>
        <v>0.86186315311939088</v>
      </c>
      <c r="P39" s="50">
        <f t="shared" si="67"/>
        <v>0.86937581821940146</v>
      </c>
      <c r="Q39" s="50">
        <f t="shared" si="67"/>
        <v>0.88841137043109264</v>
      </c>
      <c r="R39" s="50">
        <f t="shared" si="67"/>
        <v>0.88866795196512061</v>
      </c>
      <c r="S39" s="50">
        <f t="shared" si="67"/>
        <v>0.8777164251663413</v>
      </c>
      <c r="T39" s="50">
        <f t="shared" si="67"/>
        <v>0.87727559536766342</v>
      </c>
      <c r="U39" s="50">
        <f t="shared" si="67"/>
        <v>0.80373139599846743</v>
      </c>
      <c r="V39" s="50">
        <f t="shared" si="67"/>
        <v>0.7990519786642043</v>
      </c>
      <c r="W39" s="50">
        <f>W25/W23</f>
        <v>0.81532149579385171</v>
      </c>
      <c r="X39" s="50">
        <f>X25/X23</f>
        <v>0.75035019506192235</v>
      </c>
      <c r="Y39" s="50">
        <f>Y25/Y23</f>
        <v>0.62244236157889332</v>
      </c>
      <c r="AM39" s="50">
        <f t="shared" ref="AM39:AQ39" si="68">AM25/AM23</f>
        <v>0.88264744056182287</v>
      </c>
      <c r="AN39" s="50">
        <f t="shared" si="68"/>
        <v>0.8617230300137495</v>
      </c>
      <c r="AO39" s="50">
        <f t="shared" si="68"/>
        <v>0.84996028994236961</v>
      </c>
      <c r="AP39" s="50">
        <f t="shared" si="68"/>
        <v>0.87908095639473149</v>
      </c>
      <c r="AQ39" s="50">
        <f t="shared" si="68"/>
        <v>0.83222790577603645</v>
      </c>
      <c r="AR39" s="60">
        <v>0.84</v>
      </c>
      <c r="AS39" s="60">
        <v>0.84</v>
      </c>
      <c r="AT39" s="60">
        <v>0.84</v>
      </c>
      <c r="AU39" s="60">
        <v>0.84</v>
      </c>
      <c r="AV39" s="60">
        <v>0.84</v>
      </c>
      <c r="AW39" s="60">
        <v>0.84</v>
      </c>
      <c r="AX39" s="60">
        <v>0.84</v>
      </c>
      <c r="AY39" s="60">
        <v>0.84</v>
      </c>
      <c r="AZ39" s="60">
        <v>0.84</v>
      </c>
      <c r="BA39" s="60">
        <v>0.84</v>
      </c>
    </row>
    <row r="40" spans="2:103">
      <c r="B40" s="37" t="s">
        <v>75</v>
      </c>
      <c r="C40" s="50">
        <f t="shared" ref="C40:V40" si="69">C26/C23</f>
        <v>1.1976705315199607</v>
      </c>
      <c r="D40" s="50">
        <f t="shared" si="69"/>
        <v>1.3724765031778039</v>
      </c>
      <c r="E40" s="50">
        <f t="shared" si="69"/>
        <v>1.3231844584641892</v>
      </c>
      <c r="F40" s="50">
        <f t="shared" si="69"/>
        <v>1.4278361880089836</v>
      </c>
      <c r="G40" s="50">
        <f t="shared" si="69"/>
        <v>1.3281676433155698</v>
      </c>
      <c r="H40" s="50">
        <f t="shared" si="69"/>
        <v>1.460317266849088</v>
      </c>
      <c r="I40" s="50">
        <f t="shared" si="69"/>
        <v>0.73462005597507529</v>
      </c>
      <c r="J40" s="50">
        <f t="shared" si="69"/>
        <v>0.97935519098558022</v>
      </c>
      <c r="K40" s="50">
        <f t="shared" si="69"/>
        <v>0.92135844044965143</v>
      </c>
      <c r="L40" s="50">
        <f t="shared" si="69"/>
        <v>1.0804669067428287</v>
      </c>
      <c r="M40" s="50">
        <f t="shared" si="69"/>
        <v>0.94105283271233398</v>
      </c>
      <c r="N40" s="50">
        <f t="shared" si="69"/>
        <v>0.82753162107349121</v>
      </c>
      <c r="O40" s="50">
        <f t="shared" si="69"/>
        <v>0.96916704471488591</v>
      </c>
      <c r="P40" s="50">
        <f t="shared" si="69"/>
        <v>0.9259372679319241</v>
      </c>
      <c r="Q40" s="50">
        <f t="shared" si="69"/>
        <v>0.58558262609701994</v>
      </c>
      <c r="R40" s="50">
        <f t="shared" si="69"/>
        <v>0.49274058392872905</v>
      </c>
      <c r="S40" s="50">
        <f t="shared" si="69"/>
        <v>0.48468401792689436</v>
      </c>
      <c r="T40" s="50">
        <f t="shared" si="69"/>
        <v>0.4951133423525943</v>
      </c>
      <c r="U40" s="50">
        <f t="shared" si="69"/>
        <v>0.48051569981869596</v>
      </c>
      <c r="V40" s="50">
        <f t="shared" si="69"/>
        <v>0.30368425209287647</v>
      </c>
      <c r="W40" s="50">
        <f>W26/W23</f>
        <v>1.0383775786655784</v>
      </c>
      <c r="X40" s="50">
        <f>X26/X23</f>
        <v>0.33447228549734237</v>
      </c>
      <c r="Y40" s="50">
        <f>Y26/Y23</f>
        <v>0.54812529579834879</v>
      </c>
      <c r="AM40" s="50">
        <f t="shared" ref="AM40:AQ40" si="70">AM26/AM23</f>
        <v>1.3374270272672231</v>
      </c>
      <c r="AN40" s="50">
        <f t="shared" si="70"/>
        <v>1.098792468422515</v>
      </c>
      <c r="AO40" s="50">
        <f t="shared" si="70"/>
        <v>0.94006192839756797</v>
      </c>
      <c r="AP40" s="50">
        <f t="shared" si="70"/>
        <v>0.70567167684358845</v>
      </c>
      <c r="AQ40" s="50">
        <f t="shared" si="70"/>
        <v>0.42299205196271883</v>
      </c>
      <c r="AR40" s="60">
        <v>0.76500000000000001</v>
      </c>
      <c r="AS40" s="60">
        <v>0.55000000000000004</v>
      </c>
      <c r="AT40" s="60">
        <v>0.4</v>
      </c>
      <c r="AU40" s="60">
        <v>0.35</v>
      </c>
      <c r="AV40" s="60">
        <v>0.45</v>
      </c>
      <c r="AW40" s="60">
        <v>0.42499999999999999</v>
      </c>
      <c r="AX40" s="60">
        <v>0.4</v>
      </c>
      <c r="AY40" s="60">
        <v>0.375</v>
      </c>
      <c r="AZ40" s="60">
        <v>0.35</v>
      </c>
      <c r="BA40" s="60">
        <v>0.35</v>
      </c>
    </row>
    <row r="41" spans="2:103">
      <c r="B41" s="37" t="s">
        <v>76</v>
      </c>
      <c r="C41" s="50">
        <f t="shared" ref="C41:V41" si="71">C27/C23</f>
        <v>0.72811724756760565</v>
      </c>
      <c r="D41" s="50">
        <f t="shared" si="71"/>
        <v>0.53646284553614976</v>
      </c>
      <c r="E41" s="50">
        <f t="shared" si="71"/>
        <v>0.52370000833773378</v>
      </c>
      <c r="F41" s="50">
        <f t="shared" si="71"/>
        <v>0.59284011519753055</v>
      </c>
      <c r="G41" s="50">
        <f t="shared" si="71"/>
        <v>0.48411158979384877</v>
      </c>
      <c r="H41" s="50">
        <f t="shared" si="71"/>
        <v>0.4409009744711711</v>
      </c>
      <c r="I41" s="50">
        <f t="shared" si="71"/>
        <v>0.32279136082800869</v>
      </c>
      <c r="J41" s="50">
        <f t="shared" si="71"/>
        <v>0.38745625573949521</v>
      </c>
      <c r="K41" s="50">
        <f t="shared" si="71"/>
        <v>0.34074847033154676</v>
      </c>
      <c r="L41" s="50">
        <f t="shared" si="71"/>
        <v>0.66077752133494905</v>
      </c>
      <c r="M41" s="50">
        <f t="shared" si="71"/>
        <v>0.45505354490737127</v>
      </c>
      <c r="N41" s="50">
        <f t="shared" si="71"/>
        <v>0.46629665753255006</v>
      </c>
      <c r="O41" s="50">
        <f t="shared" si="71"/>
        <v>0.43675023175999528</v>
      </c>
      <c r="P41" s="50">
        <f t="shared" si="71"/>
        <v>0.45383902801276998</v>
      </c>
      <c r="Q41" s="50">
        <f t="shared" si="71"/>
        <v>0.36434624843282865</v>
      </c>
      <c r="R41" s="50">
        <f t="shared" si="71"/>
        <v>0.33191950503408546</v>
      </c>
      <c r="S41" s="50">
        <f t="shared" si="71"/>
        <v>0.30717341827566103</v>
      </c>
      <c r="T41" s="50">
        <f t="shared" si="71"/>
        <v>0.3824350351448087</v>
      </c>
      <c r="U41" s="50">
        <f t="shared" si="71"/>
        <v>0.27441771856557873</v>
      </c>
      <c r="V41" s="50">
        <f t="shared" si="71"/>
        <v>0.24888369804259874</v>
      </c>
      <c r="W41" s="50">
        <f>W27/W23</f>
        <v>0.17940101656414209</v>
      </c>
      <c r="X41" s="50">
        <f>X27/X23</f>
        <v>0.22565817034535121</v>
      </c>
      <c r="Y41" s="50">
        <f>Y27/Y23</f>
        <v>0.23010294408566073</v>
      </c>
      <c r="AM41" s="50">
        <f t="shared" ref="AM41:AQ41" si="72">AM27/AM23</f>
        <v>0.58854950666451888</v>
      </c>
      <c r="AN41" s="50">
        <f t="shared" si="72"/>
        <v>0.40273849639165343</v>
      </c>
      <c r="AO41" s="50">
        <f t="shared" si="72"/>
        <v>0.48383141499636129</v>
      </c>
      <c r="AP41" s="50">
        <f t="shared" si="72"/>
        <v>0.38756297573624504</v>
      </c>
      <c r="AQ41" s="50">
        <f t="shared" si="72"/>
        <v>0.2933102836571802</v>
      </c>
      <c r="AR41" s="60">
        <v>0.26</v>
      </c>
      <c r="AS41" s="60">
        <v>0.255</v>
      </c>
      <c r="AT41" s="60">
        <v>0.25</v>
      </c>
      <c r="AU41" s="60">
        <v>0.245</v>
      </c>
      <c r="AV41" s="60">
        <v>0.24</v>
      </c>
      <c r="AW41" s="60">
        <v>0.23</v>
      </c>
      <c r="AX41" s="60">
        <v>0.22</v>
      </c>
      <c r="AY41" s="60">
        <v>0.21</v>
      </c>
      <c r="AZ41" s="60">
        <v>0.20749999999999999</v>
      </c>
      <c r="BA41" s="60">
        <v>0.20499999999999999</v>
      </c>
    </row>
    <row r="42" spans="2:103">
      <c r="B42" s="37" t="s">
        <v>77</v>
      </c>
      <c r="C42" s="50">
        <f t="shared" ref="C42:V42" si="73">C30/C23</f>
        <v>-1.0382849200344848</v>
      </c>
      <c r="D42" s="50">
        <f t="shared" si="73"/>
        <v>-1.0072656323939455</v>
      </c>
      <c r="E42" s="50">
        <f t="shared" si="73"/>
        <v>-0.95236374753342024</v>
      </c>
      <c r="F42" s="50">
        <f t="shared" si="73"/>
        <v>-1.1761723002301185</v>
      </c>
      <c r="G42" s="50">
        <f t="shared" si="73"/>
        <v>-1.0335803880733132</v>
      </c>
      <c r="H42" s="50">
        <f t="shared" si="73"/>
        <v>-1.0212384742426364</v>
      </c>
      <c r="I42" s="50">
        <f t="shared" si="73"/>
        <v>-0.18213022125996731</v>
      </c>
      <c r="J42" s="50">
        <f t="shared" si="73"/>
        <v>-0.52529348986125957</v>
      </c>
      <c r="K42" s="50">
        <f t="shared" si="73"/>
        <v>-0.41209030972821736</v>
      </c>
      <c r="L42" s="50">
        <f t="shared" si="73"/>
        <v>-0.90384821248881309</v>
      </c>
      <c r="M42" s="50">
        <f t="shared" si="73"/>
        <v>-0.57037702910445798</v>
      </c>
      <c r="N42" s="50">
        <f t="shared" si="73"/>
        <v>-0.41370968990447926</v>
      </c>
      <c r="O42" s="50">
        <f t="shared" si="73"/>
        <v>-0.54475630683050957</v>
      </c>
      <c r="P42" s="50">
        <f t="shared" si="73"/>
        <v>-0.51108567666265992</v>
      </c>
      <c r="Q42" s="50">
        <f t="shared" si="73"/>
        <v>-6.2840558395216503E-2</v>
      </c>
      <c r="R42" s="50">
        <f t="shared" si="73"/>
        <v>6.2084955707607317E-2</v>
      </c>
      <c r="S42" s="50">
        <f t="shared" si="73"/>
        <v>8.4405391612670772E-2</v>
      </c>
      <c r="T42" s="50">
        <f t="shared" si="73"/>
        <v>-1.9287625335122176E-3</v>
      </c>
      <c r="U42" s="50">
        <f t="shared" si="73"/>
        <v>4.751365131825392E-2</v>
      </c>
      <c r="V42" s="50">
        <f t="shared" si="73"/>
        <v>0.24556820529020795</v>
      </c>
      <c r="W42" s="50">
        <f>W30/W23</f>
        <v>-0.40326261777349376</v>
      </c>
      <c r="X42" s="50">
        <f>X30/X23</f>
        <v>0.18912824339538678</v>
      </c>
      <c r="Y42" s="50">
        <f>Y30/Y23</f>
        <v>-0.25892278066724606</v>
      </c>
      <c r="AM42" s="50">
        <f t="shared" ref="AM42:AQ42" si="74">AM30/AM23</f>
        <v>-1.0445547945839557</v>
      </c>
      <c r="AN42" s="50">
        <f t="shared" si="74"/>
        <v>-0.655062015117298</v>
      </c>
      <c r="AO42" s="50">
        <f t="shared" si="74"/>
        <v>-0.57469402891492405</v>
      </c>
      <c r="AP42" s="50">
        <f t="shared" si="74"/>
        <v>-0.21540758089526876</v>
      </c>
      <c r="AQ42" s="50">
        <f t="shared" si="74"/>
        <v>0.11466109773031138</v>
      </c>
      <c r="AR42" s="60">
        <f>AR30/AR23</f>
        <v>-0.18612015053183684</v>
      </c>
      <c r="AS42" s="60">
        <f t="shared" ref="AS42:BA42" si="75">AS30/AS23</f>
        <v>3.3233559463102712E-2</v>
      </c>
      <c r="AT42" s="60">
        <f t="shared" si="75"/>
        <v>0.18713936378728049</v>
      </c>
      <c r="AU42" s="60">
        <f t="shared" si="75"/>
        <v>0.24208381745305282</v>
      </c>
      <c r="AV42" s="60">
        <f t="shared" si="75"/>
        <v>0.1469980473781427</v>
      </c>
      <c r="AW42" s="60">
        <f t="shared" si="75"/>
        <v>0.18181611085560589</v>
      </c>
      <c r="AX42" s="60">
        <f t="shared" si="75"/>
        <v>0.2165886902024349</v>
      </c>
      <c r="AY42" s="60">
        <f t="shared" si="75"/>
        <v>0.25122960496058583</v>
      </c>
      <c r="AZ42" s="60">
        <f t="shared" si="75"/>
        <v>0.27833272127222658</v>
      </c>
      <c r="BA42" s="60">
        <f t="shared" si="75"/>
        <v>0.28013817481759756</v>
      </c>
    </row>
    <row r="43" spans="2:103">
      <c r="B43" s="37" t="s">
        <v>78</v>
      </c>
      <c r="C43" s="50">
        <f t="shared" ref="C43:Q43" si="76">-C34/C33</f>
        <v>6.6179432583299731E-3</v>
      </c>
      <c r="D43" s="50">
        <f t="shared" si="76"/>
        <v>1.3262247685737782E-3</v>
      </c>
      <c r="E43" s="50">
        <f t="shared" si="76"/>
        <v>4.8879090441592032E-4</v>
      </c>
      <c r="F43" s="50">
        <f t="shared" si="76"/>
        <v>3.4598036614486615E-3</v>
      </c>
      <c r="G43" s="50">
        <f t="shared" si="76"/>
        <v>-8.5427706057003582E-4</v>
      </c>
      <c r="H43" s="50">
        <f t="shared" si="76"/>
        <v>-4.2808742768380261E-3</v>
      </c>
      <c r="I43" s="50">
        <f t="shared" si="76"/>
        <v>4.943782723878261E-3</v>
      </c>
      <c r="J43" s="50">
        <f t="shared" si="76"/>
        <v>7.2195650212074705E-4</v>
      </c>
      <c r="K43" s="50">
        <f t="shared" si="76"/>
        <v>8.4404797342065036E-3</v>
      </c>
      <c r="L43" s="50">
        <f t="shared" si="76"/>
        <v>1.4856847173559375E-2</v>
      </c>
      <c r="M43" s="50">
        <f t="shared" si="76"/>
        <v>5.1479449169893896E-3</v>
      </c>
      <c r="N43" s="50">
        <f t="shared" si="76"/>
        <v>7.8313371875061585E-2</v>
      </c>
      <c r="O43" s="50">
        <f t="shared" si="76"/>
        <v>7.8894040135514421E-3</v>
      </c>
      <c r="P43" s="50">
        <f t="shared" si="76"/>
        <v>0.64158836842466405</v>
      </c>
      <c r="Q43" s="50">
        <f t="shared" si="76"/>
        <v>0.23395919351436065</v>
      </c>
      <c r="R43" s="50">
        <f>R34/R33</f>
        <v>-0.13086658246031149</v>
      </c>
      <c r="S43" s="50">
        <f t="shared" ref="S43:U43" si="77">S34/S33</f>
        <v>0.12860176649452185</v>
      </c>
      <c r="T43" s="50">
        <f t="shared" si="77"/>
        <v>0.52415672411253456</v>
      </c>
      <c r="U43" s="50">
        <f t="shared" si="77"/>
        <v>1.1615255682653571E-2</v>
      </c>
      <c r="V43" s="50">
        <f>V34/V33</f>
        <v>7.3908461569812525E-2</v>
      </c>
      <c r="W43" s="50">
        <f>-W34/W33</f>
        <v>0.1668548422844954</v>
      </c>
      <c r="X43" s="50">
        <f>X34/X33</f>
        <v>-0.28151320671205571</v>
      </c>
      <c r="Y43" s="50">
        <f>Y34/Y33</f>
        <v>7.2658315254639047E-2</v>
      </c>
      <c r="AM43" s="50">
        <f t="shared" ref="AM43:AQ43" si="78">-AM34/AM33</f>
        <v>1.9221241370331664E-3</v>
      </c>
      <c r="AN43" s="50">
        <f t="shared" si="78"/>
        <v>-4.009718794602155E-4</v>
      </c>
      <c r="AO43" s="50">
        <f t="shared" si="78"/>
        <v>1.9602614068372177E-2</v>
      </c>
      <c r="AP43" s="50">
        <f t="shared" si="78"/>
        <v>3.0530784582905538E-2</v>
      </c>
      <c r="AQ43" s="50">
        <f t="shared" si="78"/>
        <v>-9.791928705095565E-2</v>
      </c>
      <c r="AR43" s="60">
        <v>-0.09</v>
      </c>
      <c r="AS43" s="60">
        <v>-0.12</v>
      </c>
      <c r="AT43" s="60">
        <v>0.21</v>
      </c>
      <c r="AU43" s="60">
        <v>0.21</v>
      </c>
      <c r="AV43" s="60">
        <v>0.21</v>
      </c>
      <c r="AW43" s="60">
        <v>0.21</v>
      </c>
      <c r="AX43" s="60">
        <v>0.21</v>
      </c>
      <c r="AY43" s="60">
        <v>0.21</v>
      </c>
      <c r="AZ43" s="60">
        <v>0.21</v>
      </c>
      <c r="BA43" s="60">
        <v>0.21</v>
      </c>
    </row>
    <row r="44" spans="2:103">
      <c r="B44" s="37" t="s">
        <v>79</v>
      </c>
      <c r="C44" s="50">
        <f t="shared" ref="C44:V44" si="79">C35/C23</f>
        <v>-0.15387863539595695</v>
      </c>
      <c r="D44" s="50">
        <f t="shared" si="79"/>
        <v>-1.0993382304763426</v>
      </c>
      <c r="E44" s="50">
        <f t="shared" si="79"/>
        <v>-1.3652969622856506</v>
      </c>
      <c r="F44" s="50">
        <f t="shared" si="79"/>
        <v>-1.3028758043846707</v>
      </c>
      <c r="G44" s="50">
        <f t="shared" si="79"/>
        <v>-1.1382894011474771</v>
      </c>
      <c r="H44" s="50">
        <f t="shared" si="79"/>
        <v>-0.49612710175575431</v>
      </c>
      <c r="I44" s="50">
        <f t="shared" si="79"/>
        <v>-0.2544014363415536</v>
      </c>
      <c r="J44" s="50">
        <f t="shared" si="79"/>
        <v>-0.60549005981484705</v>
      </c>
      <c r="K44" s="50">
        <f t="shared" si="79"/>
        <v>-0.49812645259213623</v>
      </c>
      <c r="L44" s="50">
        <f t="shared" si="79"/>
        <v>-1.0004025058127832</v>
      </c>
      <c r="M44" s="50">
        <f t="shared" si="79"/>
        <v>-1.1223716094739309</v>
      </c>
      <c r="N44" s="50">
        <f t="shared" si="79"/>
        <v>-0.4230334556376083</v>
      </c>
      <c r="O44" s="50">
        <f t="shared" si="79"/>
        <v>-2.0385333044044258</v>
      </c>
      <c r="P44" s="50">
        <f t="shared" si="79"/>
        <v>-9.1625261256019261E-2</v>
      </c>
      <c r="Q44" s="50">
        <f t="shared" si="79"/>
        <v>-0.12339666313048508</v>
      </c>
      <c r="R44" s="50">
        <f t="shared" si="79"/>
        <v>0.11507453470935881</v>
      </c>
      <c r="S44" s="50">
        <f t="shared" si="79"/>
        <v>8.3464544075925712E-2</v>
      </c>
      <c r="T44" s="50">
        <f t="shared" si="79"/>
        <v>1.7802478184318089E-2</v>
      </c>
      <c r="U44" s="50">
        <f t="shared" si="79"/>
        <v>7.194795909848857E-2</v>
      </c>
      <c r="V44" s="50">
        <f t="shared" si="79"/>
        <v>0.24157533747250995</v>
      </c>
      <c r="W44" s="50">
        <f>W35/W23</f>
        <v>-0.60077839922025844</v>
      </c>
      <c r="X44" s="50">
        <f>X35/X23</f>
        <v>0.32218600267064662</v>
      </c>
      <c r="Y44" s="50">
        <f>Y35/Y23</f>
        <v>-0.45063767237687913</v>
      </c>
      <c r="AM44" s="50">
        <f t="shared" ref="AM44:AQ44" si="80">AM35/AM23</f>
        <v>-1.0259174706859295</v>
      </c>
      <c r="AN44" s="50">
        <f t="shared" si="80"/>
        <v>-0.59673289686469222</v>
      </c>
      <c r="AO44" s="50">
        <f t="shared" si="80"/>
        <v>-0.75712128341191409</v>
      </c>
      <c r="AP44" s="50">
        <f t="shared" si="80"/>
        <v>-0.43107977248306151</v>
      </c>
      <c r="AQ44" s="50">
        <f t="shared" si="80"/>
        <v>0.12284099877022822</v>
      </c>
      <c r="AR44" s="60">
        <f>AR35/AR23</f>
        <v>-0.22063967210031438</v>
      </c>
      <c r="AS44" s="60">
        <f t="shared" ref="AS44:BA44" si="81">AS35/AS23</f>
        <v>5.6942319680940406E-2</v>
      </c>
      <c r="AT44" s="60">
        <f t="shared" si="81"/>
        <v>0.17015216274945374</v>
      </c>
      <c r="AU44" s="60">
        <f t="shared" si="81"/>
        <v>0.21377490313917605</v>
      </c>
      <c r="AV44" s="60">
        <f t="shared" si="81"/>
        <v>0.13909888374766888</v>
      </c>
      <c r="AW44" s="60">
        <f t="shared" si="81"/>
        <v>0.16776527643622519</v>
      </c>
      <c r="AX44" s="60">
        <f t="shared" si="81"/>
        <v>0.19671299466268724</v>
      </c>
      <c r="AY44" s="60">
        <f t="shared" si="81"/>
        <v>0.22650533168609885</v>
      </c>
      <c r="AZ44" s="60">
        <f t="shared" si="81"/>
        <v>0.25057264087655945</v>
      </c>
      <c r="BA44" s="60">
        <f t="shared" si="81"/>
        <v>0.25677291667741375</v>
      </c>
    </row>
    <row r="46" spans="2:103">
      <c r="B46" s="1" t="s">
        <v>80</v>
      </c>
      <c r="C46" s="48"/>
      <c r="D46" s="48"/>
      <c r="E46" s="48"/>
      <c r="F46" s="48">
        <v>1502.64</v>
      </c>
      <c r="G46" s="48">
        <v>1481.83</v>
      </c>
      <c r="H46" s="48">
        <v>1697.27</v>
      </c>
      <c r="I46" s="48">
        <v>1599.1130000000001</v>
      </c>
      <c r="J46" s="48">
        <v>2115.8690000000001</v>
      </c>
      <c r="K46" s="48">
        <v>1233.877</v>
      </c>
      <c r="L46" s="48">
        <v>868.56500000000005</v>
      </c>
      <c r="M46" s="48">
        <v>1038.6199999999999</v>
      </c>
      <c r="N46" s="48">
        <v>966.77</v>
      </c>
      <c r="O46" s="48">
        <v>871.66800000000001</v>
      </c>
      <c r="P46" s="48">
        <v>851.92899999999997</v>
      </c>
      <c r="Q46" s="48">
        <v>541.93200000000002</v>
      </c>
      <c r="R46" s="48">
        <v>428.43</v>
      </c>
      <c r="S46" s="48">
        <v>427.29</v>
      </c>
      <c r="T46" s="48">
        <v>383.62200000000001</v>
      </c>
      <c r="U46" s="48">
        <v>197.85499999999999</v>
      </c>
      <c r="V46" s="48">
        <v>1103.01</v>
      </c>
      <c r="W46" s="48">
        <v>240.86699999999999</v>
      </c>
      <c r="X46" s="48">
        <v>510.59800000000001</v>
      </c>
      <c r="Y46" s="48">
        <v>613.07000000000005</v>
      </c>
      <c r="AM46" s="48">
        <f>F46</f>
        <v>1502.64</v>
      </c>
      <c r="AN46" s="48">
        <f>J46</f>
        <v>2115.8690000000001</v>
      </c>
      <c r="AO46" s="48">
        <f>N46</f>
        <v>966.77</v>
      </c>
      <c r="AP46" s="48">
        <f>R46</f>
        <v>428.43</v>
      </c>
      <c r="AQ46" s="48">
        <f>V46</f>
        <v>1103.01</v>
      </c>
      <c r="AR46" s="49">
        <f>AR35+AQ46</f>
        <v>629.28937378099977</v>
      </c>
      <c r="AS46" s="49">
        <f t="shared" ref="AS46:BA46" si="82">AS35+AR46</f>
        <v>710.69239288678864</v>
      </c>
      <c r="AT46" s="49">
        <f t="shared" si="82"/>
        <v>868.40576602601141</v>
      </c>
      <c r="AU46" s="49">
        <f t="shared" si="82"/>
        <v>1072.4972999650902</v>
      </c>
      <c r="AV46" s="49">
        <f t="shared" si="82"/>
        <v>1207.9513790881615</v>
      </c>
      <c r="AW46" s="49">
        <f t="shared" si="82"/>
        <v>1369.6870128479718</v>
      </c>
      <c r="AX46" s="49">
        <f t="shared" si="82"/>
        <v>1555.5370975954031</v>
      </c>
      <c r="AY46" s="49">
        <f t="shared" si="82"/>
        <v>1758.8344618783321</v>
      </c>
      <c r="AZ46" s="49">
        <f t="shared" si="82"/>
        <v>1972.488238673762</v>
      </c>
      <c r="BA46" s="49">
        <f t="shared" si="82"/>
        <v>2169.534703569107</v>
      </c>
    </row>
    <row r="47" spans="2:103">
      <c r="B47" s="1" t="s">
        <v>81</v>
      </c>
      <c r="C47" s="48"/>
      <c r="D47" s="48"/>
      <c r="E47" s="48"/>
      <c r="F47" s="48">
        <v>435.923</v>
      </c>
      <c r="G47" s="48">
        <v>255.99700000000001</v>
      </c>
      <c r="H47" s="48">
        <v>30</v>
      </c>
      <c r="I47" s="48">
        <v>0</v>
      </c>
      <c r="J47" s="48">
        <v>0</v>
      </c>
      <c r="K47" s="48">
        <v>779.548</v>
      </c>
      <c r="L47" s="48">
        <v>1059.454</v>
      </c>
      <c r="M47" s="48">
        <v>1033.8599999999999</v>
      </c>
      <c r="N47" s="48">
        <v>1022.597</v>
      </c>
      <c r="O47" s="48">
        <v>1010.42</v>
      </c>
      <c r="P47" s="48">
        <v>1008.7859999999999</v>
      </c>
      <c r="Q47" s="48">
        <v>1191.6099999999999</v>
      </c>
      <c r="R47" s="48">
        <v>1247.82</v>
      </c>
      <c r="S47" s="48">
        <v>963.45299999999997</v>
      </c>
      <c r="T47" s="48">
        <v>1076.8499999999999</v>
      </c>
      <c r="U47" s="48">
        <v>1000.534</v>
      </c>
      <c r="V47" s="48">
        <v>251.78200000000001</v>
      </c>
      <c r="W47" s="48">
        <v>281.89499999999998</v>
      </c>
      <c r="X47" s="48">
        <v>289.541</v>
      </c>
      <c r="Y47" s="48">
        <v>237.916</v>
      </c>
      <c r="AM47" s="48">
        <f t="shared" ref="AM47:AM58" si="83">F47</f>
        <v>435.923</v>
      </c>
      <c r="AN47" s="48">
        <f t="shared" ref="AN47:AN58" si="84">J47</f>
        <v>0</v>
      </c>
      <c r="AO47" s="48">
        <f t="shared" ref="AO47:AO58" si="85">N47</f>
        <v>1022.597</v>
      </c>
      <c r="AP47" s="48">
        <f t="shared" ref="AP47:AP58" si="86">R47</f>
        <v>1247.82</v>
      </c>
      <c r="AQ47" s="48">
        <f t="shared" ref="AQ47:AQ58" si="87">V47</f>
        <v>251.78200000000001</v>
      </c>
    </row>
    <row r="48" spans="2:103">
      <c r="B48" s="1" t="s">
        <v>156</v>
      </c>
      <c r="C48" s="48"/>
      <c r="D48" s="48"/>
      <c r="E48" s="48"/>
      <c r="F48" s="48">
        <v>101.34</v>
      </c>
      <c r="G48" s="48">
        <v>118.203</v>
      </c>
      <c r="H48" s="48">
        <v>127.52</v>
      </c>
      <c r="I48" s="48">
        <v>149.78700000000001</v>
      </c>
      <c r="J48" s="48">
        <v>152.99</v>
      </c>
      <c r="K48" s="48">
        <v>178.19399999999999</v>
      </c>
      <c r="L48" s="48">
        <v>203.85400000000001</v>
      </c>
      <c r="M48" s="48">
        <v>201.50899999999999</v>
      </c>
      <c r="N48" s="48">
        <v>214.62799999999999</v>
      </c>
      <c r="O48" s="48">
        <v>223.83600000000001</v>
      </c>
      <c r="P48" s="48">
        <v>236.80799999999999</v>
      </c>
      <c r="Q48" s="48">
        <v>318.85500000000002</v>
      </c>
      <c r="R48" s="48">
        <v>400.32</v>
      </c>
      <c r="S48" s="48">
        <v>378.80599999999998</v>
      </c>
      <c r="T48" s="48">
        <v>359.99700000000001</v>
      </c>
      <c r="U48" s="48">
        <v>434.524</v>
      </c>
      <c r="V48" s="48">
        <v>601.98800000000006</v>
      </c>
      <c r="W48" s="48">
        <v>659.37099999999998</v>
      </c>
      <c r="X48" s="48">
        <v>527.29499999999996</v>
      </c>
      <c r="Y48" s="48">
        <v>395.73</v>
      </c>
      <c r="AM48" s="48">
        <f t="shared" si="83"/>
        <v>101.34</v>
      </c>
      <c r="AN48" s="48">
        <f t="shared" si="84"/>
        <v>152.99</v>
      </c>
      <c r="AO48" s="48">
        <f t="shared" si="85"/>
        <v>214.62799999999999</v>
      </c>
      <c r="AP48" s="48">
        <f t="shared" si="86"/>
        <v>400.32</v>
      </c>
      <c r="AQ48" s="48">
        <f t="shared" si="87"/>
        <v>601.98800000000006</v>
      </c>
      <c r="AS48" s="80" t="s">
        <v>1677</v>
      </c>
      <c r="AT48" s="81"/>
      <c r="AU48" s="81"/>
      <c r="AV48" s="80" t="s">
        <v>1678</v>
      </c>
      <c r="AW48" s="81"/>
      <c r="AX48" s="82" t="s">
        <v>1679</v>
      </c>
      <c r="AZ48" s="61" t="s">
        <v>1474</v>
      </c>
      <c r="BA48" s="62">
        <v>0.04</v>
      </c>
    </row>
    <row r="49" spans="2:103">
      <c r="B49" s="1" t="s">
        <v>157</v>
      </c>
      <c r="C49" s="48"/>
      <c r="D49" s="48"/>
      <c r="E49" s="48"/>
      <c r="F49" s="48">
        <v>231.96100000000001</v>
      </c>
      <c r="G49" s="48">
        <v>240.333</v>
      </c>
      <c r="H49" s="48">
        <v>268.75599999999997</v>
      </c>
      <c r="I49" s="48">
        <v>288.46899999999999</v>
      </c>
      <c r="J49" s="48">
        <v>186.21199999999999</v>
      </c>
      <c r="K49" s="48">
        <v>198.99700000000001</v>
      </c>
      <c r="L49" s="48">
        <v>208.095</v>
      </c>
      <c r="M49" s="48">
        <v>221.19200000000001</v>
      </c>
      <c r="N49" s="48">
        <v>203.96799999999999</v>
      </c>
      <c r="O49" s="48">
        <v>202.67</v>
      </c>
      <c r="P49" s="48">
        <v>226.876</v>
      </c>
      <c r="Q49" s="48">
        <v>244.011</v>
      </c>
      <c r="R49" s="48">
        <v>322.85000000000002</v>
      </c>
      <c r="S49" s="48">
        <v>373.53</v>
      </c>
      <c r="T49" s="48">
        <v>485.79500000000002</v>
      </c>
      <c r="U49" s="48">
        <v>565.92399999999998</v>
      </c>
      <c r="V49" s="48">
        <v>749.96</v>
      </c>
      <c r="W49" s="48">
        <v>941.43200000000002</v>
      </c>
      <c r="X49" s="48">
        <v>994</v>
      </c>
      <c r="Y49" s="48">
        <v>1077.1600000000001</v>
      </c>
      <c r="AM49" s="48">
        <f t="shared" si="83"/>
        <v>231.96100000000001</v>
      </c>
      <c r="AN49" s="48">
        <f t="shared" si="84"/>
        <v>186.21199999999999</v>
      </c>
      <c r="AO49" s="48">
        <f t="shared" si="85"/>
        <v>203.96799999999999</v>
      </c>
      <c r="AP49" s="48">
        <f t="shared" si="86"/>
        <v>322.85000000000002</v>
      </c>
      <c r="AQ49" s="48">
        <f t="shared" si="87"/>
        <v>749.96</v>
      </c>
      <c r="AS49" s="81">
        <v>2025</v>
      </c>
      <c r="AT49" s="81"/>
      <c r="AU49" s="81">
        <v>2023</v>
      </c>
      <c r="AV49" s="81">
        <v>2024</v>
      </c>
      <c r="AW49" s="81"/>
      <c r="AX49" s="82" t="s">
        <v>1680</v>
      </c>
      <c r="AZ49" s="61" t="s">
        <v>1475</v>
      </c>
      <c r="BA49" s="62">
        <v>-0.12</v>
      </c>
    </row>
    <row r="50" spans="2:103" ht="15" customHeight="1">
      <c r="B50" s="1" t="s">
        <v>158</v>
      </c>
      <c r="C50" s="48"/>
      <c r="D50" s="48"/>
      <c r="E50" s="48"/>
      <c r="F50" s="48">
        <v>0</v>
      </c>
      <c r="G50" s="48">
        <v>0</v>
      </c>
      <c r="H50" s="48">
        <v>0</v>
      </c>
      <c r="I50" s="48">
        <v>0</v>
      </c>
      <c r="J50" s="48">
        <v>0</v>
      </c>
      <c r="K50" s="48">
        <v>0</v>
      </c>
      <c r="L50" s="48">
        <v>0</v>
      </c>
      <c r="M50" s="48">
        <v>0</v>
      </c>
      <c r="N50" s="48">
        <v>0</v>
      </c>
      <c r="O50" s="48">
        <v>0</v>
      </c>
      <c r="P50" s="48">
        <v>0</v>
      </c>
      <c r="Q50" s="48">
        <v>0</v>
      </c>
      <c r="R50" s="48">
        <v>0</v>
      </c>
      <c r="S50" s="48">
        <v>238.821</v>
      </c>
      <c r="T50" s="48">
        <v>302.62700000000001</v>
      </c>
      <c r="U50" s="48">
        <v>321.05500000000001</v>
      </c>
      <c r="V50" s="48">
        <v>276.62</v>
      </c>
      <c r="W50" s="48">
        <v>203.49</v>
      </c>
      <c r="X50" s="48">
        <v>207.92</v>
      </c>
      <c r="Y50" s="48">
        <v>206.06</v>
      </c>
      <c r="AM50" s="48">
        <f t="shared" si="83"/>
        <v>0</v>
      </c>
      <c r="AN50" s="48">
        <f t="shared" si="84"/>
        <v>0</v>
      </c>
      <c r="AO50" s="48">
        <f t="shared" si="85"/>
        <v>0</v>
      </c>
      <c r="AP50" s="48">
        <f t="shared" si="86"/>
        <v>0</v>
      </c>
      <c r="AQ50" s="48">
        <f t="shared" si="87"/>
        <v>276.62</v>
      </c>
      <c r="AS50" s="83">
        <f>AVERAGE(AR30)*(1-AR43)</f>
        <v>-435.57062621900025</v>
      </c>
      <c r="AT50" s="81"/>
      <c r="AU50" s="84">
        <f>SUM(AP46:AP49)-AP60+AP52</f>
        <v>2461.652</v>
      </c>
      <c r="AV50" s="84">
        <f>SUM(AQ46:AQ49)-AQ60+AQ52</f>
        <v>2832.634</v>
      </c>
      <c r="AW50" s="81"/>
      <c r="AX50" s="84">
        <f>AVERAGE(AU50:AV50)</f>
        <v>2647.143</v>
      </c>
      <c r="AZ50" s="61" t="s">
        <v>1476</v>
      </c>
      <c r="BA50" s="62">
        <f>'Bull Case (20%)'!BA50</f>
        <v>4.1599999999999998E-2</v>
      </c>
    </row>
    <row r="51" spans="2:103" ht="15" customHeight="1">
      <c r="B51" s="1" t="s">
        <v>159</v>
      </c>
      <c r="C51" s="48"/>
      <c r="D51" s="48"/>
      <c r="E51" s="48"/>
      <c r="F51" s="48">
        <v>213.32400000000001</v>
      </c>
      <c r="G51" s="48">
        <v>174.98</v>
      </c>
      <c r="H51" s="48">
        <v>141.666</v>
      </c>
      <c r="I51" s="48">
        <v>147.941</v>
      </c>
      <c r="J51" s="48">
        <v>149.02799999999999</v>
      </c>
      <c r="K51" s="48">
        <v>140.33000000000001</v>
      </c>
      <c r="L51" s="48">
        <v>129.33199999999999</v>
      </c>
      <c r="M51" s="48">
        <v>130.744</v>
      </c>
      <c r="N51" s="48">
        <v>149.89099999999999</v>
      </c>
      <c r="O51" s="48">
        <v>179.76900000000001</v>
      </c>
      <c r="P51" s="48">
        <v>148.215</v>
      </c>
      <c r="Q51" s="48">
        <v>154.441</v>
      </c>
      <c r="R51" s="48">
        <v>179.89</v>
      </c>
      <c r="S51" s="48">
        <v>82.965000000000003</v>
      </c>
      <c r="T51" s="48">
        <v>74.739999999999995</v>
      </c>
      <c r="U51" s="48">
        <v>165.477</v>
      </c>
      <c r="V51" s="48">
        <v>90.460999999999999</v>
      </c>
      <c r="W51" s="48">
        <v>105.47799999999999</v>
      </c>
      <c r="X51" s="48">
        <v>127.59</v>
      </c>
      <c r="Y51" s="48">
        <v>192.34</v>
      </c>
      <c r="AM51" s="48">
        <f t="shared" si="83"/>
        <v>213.32400000000001</v>
      </c>
      <c r="AN51" s="48">
        <f t="shared" si="84"/>
        <v>149.02799999999999</v>
      </c>
      <c r="AO51" s="48">
        <f t="shared" si="85"/>
        <v>149.89099999999999</v>
      </c>
      <c r="AP51" s="48">
        <f t="shared" si="86"/>
        <v>179.89</v>
      </c>
      <c r="AQ51" s="48">
        <f t="shared" si="87"/>
        <v>90.460999999999999</v>
      </c>
      <c r="AS51" s="85">
        <f>AS50/AX50</f>
        <v>-0.16454367074955914</v>
      </c>
      <c r="AT51" s="81"/>
      <c r="AU51" s="81"/>
      <c r="AV51" s="81"/>
      <c r="AW51" s="81"/>
      <c r="AX51" s="81"/>
      <c r="AZ51" s="61" t="s">
        <v>1477</v>
      </c>
      <c r="BA51" s="62">
        <f>10%-BA50</f>
        <v>5.8400000000000007E-2</v>
      </c>
    </row>
    <row r="52" spans="2:103" ht="15" customHeight="1">
      <c r="B52" s="1" t="s">
        <v>160</v>
      </c>
      <c r="C52" s="48"/>
      <c r="D52" s="48"/>
      <c r="E52" s="48"/>
      <c r="F52" s="48">
        <v>190.43</v>
      </c>
      <c r="G52" s="48">
        <v>203.107</v>
      </c>
      <c r="H52" s="48">
        <v>203.33</v>
      </c>
      <c r="I52" s="48">
        <v>199.249</v>
      </c>
      <c r="J52" s="48">
        <v>191.15600000000001</v>
      </c>
      <c r="K52" s="48">
        <v>187.24799999999999</v>
      </c>
      <c r="L52" s="48">
        <v>183.292</v>
      </c>
      <c r="M52" s="48">
        <v>181.005</v>
      </c>
      <c r="N52" s="48">
        <v>180.03700000000001</v>
      </c>
      <c r="O52" s="48">
        <v>182.86</v>
      </c>
      <c r="P52" s="48">
        <v>188.874</v>
      </c>
      <c r="Q52" s="48">
        <v>212.36699999999999</v>
      </c>
      <c r="R52" s="48">
        <v>227.15</v>
      </c>
      <c r="S52" s="48">
        <v>249.30199999999999</v>
      </c>
      <c r="T52" s="48">
        <v>276.2</v>
      </c>
      <c r="U52" s="48">
        <v>305.78800000000001</v>
      </c>
      <c r="V52" s="48">
        <v>340.33600000000001</v>
      </c>
      <c r="W52" s="48">
        <v>360.58699999999999</v>
      </c>
      <c r="X52" s="48">
        <v>371.85700000000003</v>
      </c>
      <c r="Y52" s="48">
        <v>358.93</v>
      </c>
      <c r="AM52" s="48">
        <f t="shared" si="83"/>
        <v>190.43</v>
      </c>
      <c r="AN52" s="48">
        <f t="shared" si="84"/>
        <v>191.15600000000001</v>
      </c>
      <c r="AO52" s="48">
        <f t="shared" si="85"/>
        <v>180.03700000000001</v>
      </c>
      <c r="AP52" s="48">
        <f t="shared" si="86"/>
        <v>227.15</v>
      </c>
      <c r="AQ52" s="48">
        <f t="shared" si="87"/>
        <v>340.33600000000001</v>
      </c>
      <c r="AZ52" s="61" t="s">
        <v>1478</v>
      </c>
      <c r="BA52" s="35">
        <v>0.56000000000000005</v>
      </c>
    </row>
    <row r="53" spans="2:103" ht="15" customHeight="1">
      <c r="B53" s="1" t="s">
        <v>161</v>
      </c>
      <c r="C53" s="48"/>
      <c r="D53" s="48"/>
      <c r="E53" s="48"/>
      <c r="F53" s="48">
        <v>13.628</v>
      </c>
      <c r="G53" s="48">
        <v>14.124000000000001</v>
      </c>
      <c r="H53" s="48">
        <v>14.105</v>
      </c>
      <c r="I53" s="48">
        <v>14.204000000000001</v>
      </c>
      <c r="J53" s="48">
        <v>14.239000000000001</v>
      </c>
      <c r="K53" s="48">
        <v>13.327999999999999</v>
      </c>
      <c r="L53" s="48">
        <v>13.061999999999999</v>
      </c>
      <c r="M53" s="48">
        <v>13.057</v>
      </c>
      <c r="N53" s="48">
        <v>7.5780000000000003</v>
      </c>
      <c r="O53" s="48">
        <v>62.015999999999998</v>
      </c>
      <c r="P53" s="48">
        <v>134.72800000000001</v>
      </c>
      <c r="Q53" s="48">
        <v>133.45400000000001</v>
      </c>
      <c r="R53" s="48">
        <v>129.94999999999999</v>
      </c>
      <c r="S53" s="48">
        <v>126.26900000000001</v>
      </c>
      <c r="T53" s="48">
        <v>124</v>
      </c>
      <c r="U53" s="48">
        <v>140.898</v>
      </c>
      <c r="V53" s="48">
        <v>148.31</v>
      </c>
      <c r="W53" s="48">
        <v>147.06299999999999</v>
      </c>
      <c r="X53" s="48">
        <v>143.041</v>
      </c>
      <c r="Y53" s="48">
        <v>139.16</v>
      </c>
      <c r="AM53" s="48">
        <f t="shared" si="83"/>
        <v>13.628</v>
      </c>
      <c r="AN53" s="48">
        <f t="shared" si="84"/>
        <v>14.239000000000001</v>
      </c>
      <c r="AO53" s="48">
        <f t="shared" si="85"/>
        <v>7.5780000000000003</v>
      </c>
      <c r="AP53" s="48">
        <f t="shared" si="86"/>
        <v>129.94999999999999</v>
      </c>
      <c r="AQ53" s="48">
        <f t="shared" si="87"/>
        <v>148.31</v>
      </c>
      <c r="AZ53" s="61" t="s">
        <v>1479</v>
      </c>
      <c r="BA53" s="62">
        <f>+BA50+(BA51*BA52)</f>
        <v>7.4304000000000009E-2</v>
      </c>
    </row>
    <row r="54" spans="2:103" ht="15" customHeight="1">
      <c r="B54" s="1" t="s">
        <v>162</v>
      </c>
      <c r="C54" s="48"/>
      <c r="D54" s="48"/>
      <c r="E54" s="48"/>
      <c r="F54" s="48">
        <v>91.760999999999996</v>
      </c>
      <c r="G54" s="48">
        <v>65.067999999999998</v>
      </c>
      <c r="H54" s="48">
        <v>72.867999999999995</v>
      </c>
      <c r="I54" s="48">
        <v>72.662999999999997</v>
      </c>
      <c r="J54" s="48">
        <v>45.530999999999999</v>
      </c>
      <c r="K54" s="48">
        <v>45.981999999999999</v>
      </c>
      <c r="L54" s="48">
        <v>46.999000000000002</v>
      </c>
      <c r="M54" s="48">
        <v>43.033999999999999</v>
      </c>
      <c r="N54" s="48">
        <v>64.953999999999994</v>
      </c>
      <c r="O54" s="48">
        <v>164.14400000000001</v>
      </c>
      <c r="P54" s="48">
        <v>166.63499999999999</v>
      </c>
      <c r="Q54" s="48">
        <v>176.11199999999999</v>
      </c>
      <c r="R54" s="48">
        <v>191.36</v>
      </c>
      <c r="S54" s="48">
        <v>207.542</v>
      </c>
      <c r="T54" s="48">
        <v>204.69</v>
      </c>
      <c r="U54" s="48">
        <v>202.55</v>
      </c>
      <c r="V54" s="48">
        <v>187.98599999999999</v>
      </c>
      <c r="W54" s="48">
        <v>181.15799999999999</v>
      </c>
      <c r="X54" s="48">
        <v>194.66800000000001</v>
      </c>
      <c r="Y54" s="48">
        <v>198.6</v>
      </c>
      <c r="AM54" s="48">
        <f t="shared" si="83"/>
        <v>91.760999999999996</v>
      </c>
      <c r="AN54" s="48">
        <f t="shared" si="84"/>
        <v>45.530999999999999</v>
      </c>
      <c r="AO54" s="48">
        <f t="shared" si="85"/>
        <v>64.953999999999994</v>
      </c>
      <c r="AP54" s="48">
        <f t="shared" si="86"/>
        <v>191.36</v>
      </c>
      <c r="AQ54" s="48">
        <f t="shared" si="87"/>
        <v>187.98599999999999</v>
      </c>
      <c r="AZ54" s="61"/>
    </row>
    <row r="55" spans="2:103" ht="15" customHeight="1">
      <c r="B55" s="1" t="s">
        <v>189</v>
      </c>
      <c r="C55" s="48"/>
      <c r="D55" s="48"/>
      <c r="E55" s="48"/>
      <c r="F55" s="48">
        <v>0</v>
      </c>
      <c r="G55" s="48">
        <v>0</v>
      </c>
      <c r="H55" s="48">
        <v>0</v>
      </c>
      <c r="I55" s="48">
        <v>0</v>
      </c>
      <c r="J55" s="48">
        <v>0</v>
      </c>
      <c r="K55" s="48">
        <v>0</v>
      </c>
      <c r="L55" s="48">
        <v>0</v>
      </c>
      <c r="M55" s="48">
        <v>0</v>
      </c>
      <c r="N55" s="48">
        <v>0</v>
      </c>
      <c r="O55" s="48">
        <v>0</v>
      </c>
      <c r="P55" s="48">
        <v>0</v>
      </c>
      <c r="Q55" s="48">
        <v>0</v>
      </c>
      <c r="R55" s="48">
        <v>0</v>
      </c>
      <c r="S55" s="48">
        <v>0</v>
      </c>
      <c r="T55" s="48">
        <v>0</v>
      </c>
      <c r="U55" s="48">
        <v>0</v>
      </c>
      <c r="V55" s="48">
        <v>0</v>
      </c>
      <c r="W55" s="48">
        <v>154.37</v>
      </c>
      <c r="X55" s="48">
        <v>195.52199999999999</v>
      </c>
      <c r="Y55" s="48">
        <v>0</v>
      </c>
      <c r="AM55" s="48">
        <f t="shared" si="83"/>
        <v>0</v>
      </c>
      <c r="AN55" s="48">
        <f t="shared" si="84"/>
        <v>0</v>
      </c>
      <c r="AO55" s="48">
        <f t="shared" si="85"/>
        <v>0</v>
      </c>
      <c r="AP55" s="48">
        <f t="shared" si="86"/>
        <v>0</v>
      </c>
      <c r="AQ55" s="48">
        <f t="shared" si="87"/>
        <v>0</v>
      </c>
      <c r="AZ55" s="61" t="s">
        <v>1480</v>
      </c>
      <c r="BA55" s="49">
        <f>NPV(BA53,AR35:CO35)</f>
        <v>784.89093609117288</v>
      </c>
    </row>
    <row r="56" spans="2:103" ht="15" customHeight="1">
      <c r="B56" s="1" t="s">
        <v>163</v>
      </c>
      <c r="C56" s="48"/>
      <c r="D56" s="48"/>
      <c r="E56" s="48"/>
      <c r="F56" s="48">
        <v>0</v>
      </c>
      <c r="G56" s="48">
        <v>0</v>
      </c>
      <c r="H56" s="48">
        <v>0</v>
      </c>
      <c r="I56" s="48">
        <v>0</v>
      </c>
      <c r="J56" s="48">
        <v>0</v>
      </c>
      <c r="K56" s="48">
        <v>0</v>
      </c>
      <c r="L56" s="48">
        <v>0</v>
      </c>
      <c r="M56" s="48">
        <v>0</v>
      </c>
      <c r="N56" s="48">
        <v>0</v>
      </c>
      <c r="O56" s="48">
        <v>0</v>
      </c>
      <c r="P56" s="48">
        <v>0</v>
      </c>
      <c r="Q56" s="48">
        <v>0</v>
      </c>
      <c r="R56" s="48">
        <v>0</v>
      </c>
      <c r="S56" s="48">
        <v>0</v>
      </c>
      <c r="T56" s="48">
        <v>0</v>
      </c>
      <c r="U56" s="48">
        <v>181.77</v>
      </c>
      <c r="V56" s="48">
        <v>133.16300000000001</v>
      </c>
      <c r="W56" s="48">
        <v>109.125</v>
      </c>
      <c r="X56" s="48">
        <v>34.603999999999999</v>
      </c>
      <c r="Y56" s="48">
        <v>1.04</v>
      </c>
      <c r="AM56" s="48">
        <f t="shared" si="83"/>
        <v>0</v>
      </c>
      <c r="AN56" s="48">
        <f t="shared" si="84"/>
        <v>0</v>
      </c>
      <c r="AO56" s="48">
        <f t="shared" si="85"/>
        <v>0</v>
      </c>
      <c r="AP56" s="48">
        <f t="shared" si="86"/>
        <v>0</v>
      </c>
      <c r="AQ56" s="48">
        <f t="shared" si="87"/>
        <v>133.16300000000001</v>
      </c>
      <c r="AZ56" s="61" t="s">
        <v>93</v>
      </c>
      <c r="BA56" s="49">
        <f>Main!C6</f>
        <v>104.78700000000001</v>
      </c>
      <c r="BB56" s="63"/>
    </row>
    <row r="57" spans="2:103" ht="15" customHeight="1">
      <c r="B57" s="1" t="s">
        <v>164</v>
      </c>
      <c r="C57" s="48"/>
      <c r="D57" s="48"/>
      <c r="E57" s="48"/>
      <c r="F57" s="48">
        <v>203.703</v>
      </c>
      <c r="G57" s="48">
        <v>211.584</v>
      </c>
      <c r="H57" s="48">
        <v>203.553</v>
      </c>
      <c r="I57" s="48">
        <v>190.792</v>
      </c>
      <c r="J57" s="48">
        <v>292.94900000000001</v>
      </c>
      <c r="K57" s="48">
        <v>278.649</v>
      </c>
      <c r="L57" s="48">
        <v>284.2</v>
      </c>
      <c r="M57" s="48">
        <v>293.12400000000002</v>
      </c>
      <c r="N57" s="48">
        <v>317.93599999999998</v>
      </c>
      <c r="O57" s="48">
        <v>162.387</v>
      </c>
      <c r="P57" s="48">
        <v>163.03899999999999</v>
      </c>
      <c r="Q57" s="48">
        <v>136.92500000000001</v>
      </c>
      <c r="R57" s="48">
        <v>136.87</v>
      </c>
      <c r="S57" s="48">
        <v>176.40700000000001</v>
      </c>
      <c r="T57" s="48">
        <v>135.72</v>
      </c>
      <c r="U57" s="48">
        <v>83.558999999999997</v>
      </c>
      <c r="V57" s="48">
        <v>79.915000000000006</v>
      </c>
      <c r="W57" s="1">
        <v>80.551000000000002</v>
      </c>
      <c r="X57" s="1">
        <v>83.137</v>
      </c>
      <c r="Y57" s="1">
        <v>73.38</v>
      </c>
      <c r="AM57" s="48">
        <f t="shared" si="83"/>
        <v>203.703</v>
      </c>
      <c r="AN57" s="48">
        <f t="shared" si="84"/>
        <v>292.94900000000001</v>
      </c>
      <c r="AO57" s="48">
        <f t="shared" si="85"/>
        <v>317.93599999999998</v>
      </c>
      <c r="AP57" s="48">
        <f t="shared" si="86"/>
        <v>136.87</v>
      </c>
      <c r="AQ57" s="48">
        <f t="shared" si="87"/>
        <v>79.915000000000006</v>
      </c>
      <c r="AZ57" s="61" t="s">
        <v>1481</v>
      </c>
      <c r="BA57" s="45">
        <f>BA55/BA56</f>
        <v>7.4903464751464668</v>
      </c>
      <c r="BB57" s="64"/>
    </row>
    <row r="58" spans="2:103" s="2" customFormat="1" ht="15" customHeight="1">
      <c r="B58" s="2" t="s">
        <v>188</v>
      </c>
      <c r="C58" s="46"/>
      <c r="D58" s="46"/>
      <c r="E58" s="46"/>
      <c r="F58" s="46">
        <f t="shared" ref="F58:X58" si="88">SUM(F46:F57)</f>
        <v>2984.71</v>
      </c>
      <c r="G58" s="46">
        <f t="shared" si="88"/>
        <v>2765.2259999999997</v>
      </c>
      <c r="H58" s="46">
        <f t="shared" si="88"/>
        <v>2759.0679999999998</v>
      </c>
      <c r="I58" s="46">
        <f t="shared" si="88"/>
        <v>2662.2179999999998</v>
      </c>
      <c r="J58" s="46">
        <f t="shared" si="88"/>
        <v>3147.9740000000002</v>
      </c>
      <c r="K58" s="46">
        <f t="shared" si="88"/>
        <v>3056.1529999999998</v>
      </c>
      <c r="L58" s="46">
        <f t="shared" si="88"/>
        <v>2996.8529999999992</v>
      </c>
      <c r="M58" s="46">
        <f t="shared" si="88"/>
        <v>3156.1449999999995</v>
      </c>
      <c r="N58" s="46">
        <f t="shared" si="88"/>
        <v>3128.3589999999999</v>
      </c>
      <c r="O58" s="46">
        <f t="shared" si="88"/>
        <v>3059.7700000000009</v>
      </c>
      <c r="P58" s="46">
        <f t="shared" si="88"/>
        <v>3125.8900000000003</v>
      </c>
      <c r="Q58" s="46">
        <f t="shared" si="88"/>
        <v>3109.7070000000003</v>
      </c>
      <c r="R58" s="46">
        <f t="shared" si="88"/>
        <v>3264.64</v>
      </c>
      <c r="S58" s="46">
        <f t="shared" si="88"/>
        <v>3224.3849999999998</v>
      </c>
      <c r="T58" s="46">
        <f t="shared" si="88"/>
        <v>3424.2409999999995</v>
      </c>
      <c r="U58" s="46">
        <f t="shared" si="88"/>
        <v>3599.9340000000002</v>
      </c>
      <c r="V58" s="46">
        <f t="shared" si="88"/>
        <v>3963.530999999999</v>
      </c>
      <c r="W58" s="46">
        <f t="shared" si="88"/>
        <v>3465.3869999999993</v>
      </c>
      <c r="X58" s="46">
        <f t="shared" si="88"/>
        <v>3679.7730000000006</v>
      </c>
      <c r="Y58" s="46">
        <f t="shared" ref="Y58" si="89">SUM(Y46:Y57)</f>
        <v>3493.386</v>
      </c>
      <c r="Z58" s="34"/>
      <c r="AA58" s="34"/>
      <c r="AB58" s="34"/>
      <c r="AC58" s="34"/>
      <c r="AD58" s="34"/>
      <c r="AM58" s="46">
        <f t="shared" si="83"/>
        <v>2984.71</v>
      </c>
      <c r="AN58" s="46">
        <f t="shared" si="84"/>
        <v>3147.9740000000002</v>
      </c>
      <c r="AO58" s="46">
        <f t="shared" si="85"/>
        <v>3128.3589999999999</v>
      </c>
      <c r="AP58" s="46">
        <f t="shared" si="86"/>
        <v>3264.64</v>
      </c>
      <c r="AQ58" s="46">
        <f t="shared" si="87"/>
        <v>3963.530999999999</v>
      </c>
      <c r="AR58" s="34"/>
      <c r="AS58" s="34"/>
      <c r="AT58" s="34"/>
      <c r="AU58" s="34"/>
      <c r="AV58" s="34"/>
      <c r="AW58" s="34"/>
      <c r="AX58" s="34"/>
      <c r="AY58" s="34"/>
      <c r="AZ58" s="61" t="s">
        <v>1482</v>
      </c>
      <c r="BA58" s="45">
        <f>Main!C5</f>
        <v>23.73</v>
      </c>
      <c r="BB58" s="65"/>
      <c r="BD58" s="34"/>
      <c r="BE58" s="34"/>
      <c r="BF58" s="34"/>
      <c r="BG58" s="34"/>
      <c r="BH58" s="34"/>
      <c r="BI58" s="34"/>
      <c r="BJ58" s="34"/>
      <c r="BK58" s="34"/>
      <c r="BL58" s="34"/>
      <c r="BM58" s="34"/>
      <c r="BN58" s="34"/>
      <c r="BO58" s="34"/>
      <c r="BP58" s="34"/>
      <c r="BQ58" s="34"/>
      <c r="BR58" s="34"/>
      <c r="BS58" s="34"/>
      <c r="BT58" s="34"/>
      <c r="BU58" s="34"/>
      <c r="BV58" s="34"/>
      <c r="BW58" s="34"/>
      <c r="BX58" s="34"/>
      <c r="BY58" s="34"/>
      <c r="BZ58" s="34"/>
      <c r="CA58" s="34"/>
      <c r="CB58" s="34"/>
      <c r="CC58" s="34"/>
      <c r="CD58" s="34"/>
      <c r="CE58" s="34"/>
      <c r="CF58" s="34"/>
      <c r="CG58" s="34"/>
      <c r="CH58" s="34"/>
      <c r="CI58" s="34"/>
      <c r="CJ58" s="34"/>
      <c r="CK58" s="34"/>
      <c r="CL58" s="34"/>
      <c r="CM58" s="34"/>
      <c r="CN58" s="34"/>
      <c r="CO58" s="34"/>
      <c r="CP58" s="34"/>
      <c r="CQ58" s="34"/>
      <c r="CR58" s="34"/>
      <c r="CS58" s="34"/>
      <c r="CT58" s="34"/>
      <c r="CU58" s="34"/>
      <c r="CV58" s="34"/>
      <c r="CW58" s="34"/>
      <c r="CX58" s="34"/>
      <c r="CY58" s="34"/>
    </row>
    <row r="59" spans="2:103" ht="15" customHeight="1">
      <c r="AZ59" s="61" t="s">
        <v>1483</v>
      </c>
      <c r="BA59" s="62">
        <f>BA57/BA58-1</f>
        <v>-0.68435118098834946</v>
      </c>
      <c r="BB59" s="89" t="str">
        <f>IF(BA59&gt;0,"Upside","Downside")</f>
        <v>Downside</v>
      </c>
    </row>
    <row r="60" spans="2:103">
      <c r="B60" s="1" t="s">
        <v>165</v>
      </c>
      <c r="C60" s="48"/>
      <c r="D60" s="48"/>
      <c r="E60" s="48"/>
      <c r="F60" s="48">
        <v>111.09</v>
      </c>
      <c r="G60" s="48">
        <v>76.650999999999996</v>
      </c>
      <c r="H60" s="48">
        <v>76.680000000000007</v>
      </c>
      <c r="I60" s="48">
        <v>44.162999999999997</v>
      </c>
      <c r="J60" s="48">
        <v>76.741</v>
      </c>
      <c r="K60" s="48">
        <v>54.006999999999998</v>
      </c>
      <c r="L60" s="48">
        <v>56.207000000000001</v>
      </c>
      <c r="M60" s="48">
        <v>118.461</v>
      </c>
      <c r="N60" s="48">
        <v>95.875</v>
      </c>
      <c r="O60" s="48">
        <v>106.71</v>
      </c>
      <c r="P60" s="48">
        <v>109.79600000000001</v>
      </c>
      <c r="Q60" s="48">
        <v>87.947999999999993</v>
      </c>
      <c r="R60" s="48">
        <v>164.91800000000001</v>
      </c>
      <c r="S60" s="48">
        <v>91.536000000000001</v>
      </c>
      <c r="T60" s="48">
        <v>107.417</v>
      </c>
      <c r="U60" s="48">
        <v>118.774</v>
      </c>
      <c r="V60" s="48">
        <v>214.44200000000001</v>
      </c>
      <c r="W60" s="48">
        <v>156.10499999999999</v>
      </c>
      <c r="X60" s="48">
        <v>136.702</v>
      </c>
      <c r="Y60" s="48">
        <v>94.015000000000001</v>
      </c>
      <c r="AM60" s="48">
        <f t="shared" ref="AM60:AM72" si="90">F60</f>
        <v>111.09</v>
      </c>
      <c r="AN60" s="48">
        <f t="shared" ref="AN60:AN72" si="91">J60</f>
        <v>76.741</v>
      </c>
      <c r="AO60" s="48">
        <f t="shared" ref="AO60:AO72" si="92">N60</f>
        <v>95.875</v>
      </c>
      <c r="AP60" s="48">
        <f t="shared" ref="AP60:AP72" si="93">R60</f>
        <v>164.91800000000001</v>
      </c>
      <c r="AQ60" s="48">
        <f t="shared" ref="AQ60:AQ72" si="94">V60</f>
        <v>214.44200000000001</v>
      </c>
      <c r="AZ60" s="90" t="str" cm="1">
        <f t="array" ref="AZ60">_xlfn.IFS(BA59&gt;=25%,"Strong Buy",BA59&gt;=10.00001%,"Buy",AND(BA59&lt;=10%,BA59&gt;=-4.9999%),"Hold",AND(BA59&lt;=-5%,BA59&gt;=-14.999999%),"Sell",BA59&lt;=-15%,"Strong Sell")</f>
        <v>Strong Sell</v>
      </c>
      <c r="BA60" s="90"/>
    </row>
    <row r="61" spans="2:103">
      <c r="B61" s="1" t="s">
        <v>167</v>
      </c>
      <c r="C61" s="48"/>
      <c r="D61" s="48"/>
      <c r="E61" s="48"/>
      <c r="F61" s="48">
        <v>193.55</v>
      </c>
      <c r="G61" s="48">
        <v>180.636</v>
      </c>
      <c r="H61" s="48">
        <v>240.14099999999999</v>
      </c>
      <c r="I61" s="48">
        <v>221.00899999999999</v>
      </c>
      <c r="J61" s="48">
        <v>271.697</v>
      </c>
      <c r="K61" s="48">
        <v>293.90800000000002</v>
      </c>
      <c r="L61" s="48">
        <v>383.69900000000001</v>
      </c>
      <c r="M61" s="48">
        <v>368.99799999999999</v>
      </c>
      <c r="N61" s="48">
        <v>418.99</v>
      </c>
      <c r="O61" s="48">
        <v>345.55</v>
      </c>
      <c r="P61" s="48">
        <v>326.87700000000001</v>
      </c>
      <c r="Q61" s="48">
        <v>322.35000000000002</v>
      </c>
      <c r="R61" s="48">
        <v>314.99700000000001</v>
      </c>
      <c r="S61" s="48">
        <v>283.31700000000001</v>
      </c>
      <c r="T61" s="48">
        <v>350.404</v>
      </c>
      <c r="U61" s="48">
        <v>344.83</v>
      </c>
      <c r="V61" s="48">
        <v>373.5</v>
      </c>
      <c r="W61" s="48">
        <v>391.65</v>
      </c>
      <c r="X61" s="48">
        <v>377.399</v>
      </c>
      <c r="Y61" s="48">
        <v>295.79000000000002</v>
      </c>
      <c r="AM61" s="48">
        <f t="shared" si="90"/>
        <v>193.55</v>
      </c>
      <c r="AN61" s="48">
        <f t="shared" si="91"/>
        <v>271.697</v>
      </c>
      <c r="AO61" s="48">
        <f t="shared" si="92"/>
        <v>418.99</v>
      </c>
      <c r="AP61" s="48">
        <f t="shared" si="93"/>
        <v>314.99700000000001</v>
      </c>
      <c r="AQ61" s="48">
        <f t="shared" si="94"/>
        <v>373.5</v>
      </c>
    </row>
    <row r="62" spans="2:103">
      <c r="B62" s="1" t="s">
        <v>166</v>
      </c>
      <c r="C62" s="48"/>
      <c r="D62" s="48"/>
      <c r="E62" s="48"/>
      <c r="F62" s="48">
        <v>89.244</v>
      </c>
      <c r="G62" s="48">
        <v>89.244</v>
      </c>
      <c r="H62" s="48">
        <v>89.244</v>
      </c>
      <c r="I62" s="48">
        <v>89.244</v>
      </c>
      <c r="J62" s="48">
        <v>89.244</v>
      </c>
      <c r="K62" s="48">
        <v>89.244</v>
      </c>
      <c r="L62" s="48">
        <v>89.244</v>
      </c>
      <c r="M62" s="48">
        <v>89.244</v>
      </c>
      <c r="N62" s="48">
        <v>89.244</v>
      </c>
      <c r="O62" s="48">
        <v>67.239000000000004</v>
      </c>
      <c r="P62" s="48">
        <v>44.988999999999997</v>
      </c>
      <c r="Q62" s="48">
        <v>22.494</v>
      </c>
      <c r="R62" s="48">
        <v>50.415999999999997</v>
      </c>
      <c r="S62" s="48">
        <v>112</v>
      </c>
      <c r="T62" s="48">
        <v>122.036</v>
      </c>
      <c r="U62" s="48">
        <v>127</v>
      </c>
      <c r="V62" s="48">
        <v>130.256</v>
      </c>
      <c r="W62" s="48">
        <v>44.859000000000002</v>
      </c>
      <c r="X62" s="48">
        <v>395.43099999999998</v>
      </c>
      <c r="Y62" s="48">
        <v>485.44900000000001</v>
      </c>
      <c r="AM62" s="48">
        <f t="shared" si="90"/>
        <v>89.244</v>
      </c>
      <c r="AN62" s="48">
        <f t="shared" si="91"/>
        <v>89.244</v>
      </c>
      <c r="AO62" s="48">
        <f t="shared" si="92"/>
        <v>89.244</v>
      </c>
      <c r="AP62" s="48">
        <f t="shared" si="93"/>
        <v>50.415999999999997</v>
      </c>
      <c r="AQ62" s="48">
        <f t="shared" si="94"/>
        <v>130.256</v>
      </c>
    </row>
    <row r="63" spans="2:103">
      <c r="B63" s="1" t="s">
        <v>168</v>
      </c>
      <c r="C63" s="48"/>
      <c r="D63" s="48"/>
      <c r="E63" s="48"/>
      <c r="F63" s="48">
        <v>22.138999999999999</v>
      </c>
      <c r="G63" s="48">
        <v>18.204999999999998</v>
      </c>
      <c r="H63" s="48">
        <v>18.956</v>
      </c>
      <c r="I63" s="48">
        <v>19.02</v>
      </c>
      <c r="J63" s="48">
        <v>15.051</v>
      </c>
      <c r="K63" s="48">
        <v>17.803000000000001</v>
      </c>
      <c r="L63" s="48">
        <v>16.416</v>
      </c>
      <c r="M63" s="48">
        <v>26.213000000000001</v>
      </c>
      <c r="N63" s="48">
        <v>15.489000000000001</v>
      </c>
      <c r="O63" s="48">
        <v>17.381</v>
      </c>
      <c r="P63" s="48">
        <v>16.992000000000001</v>
      </c>
      <c r="Q63" s="48">
        <v>17.951000000000001</v>
      </c>
      <c r="R63" s="48">
        <v>17.844999999999999</v>
      </c>
      <c r="S63" s="48">
        <v>16.27</v>
      </c>
      <c r="T63" s="48">
        <v>17.12</v>
      </c>
      <c r="U63" s="48">
        <v>17.289000000000001</v>
      </c>
      <c r="V63" s="48">
        <v>13.473000000000001</v>
      </c>
      <c r="W63" s="48">
        <v>12.974</v>
      </c>
      <c r="X63" s="48">
        <v>10.416</v>
      </c>
      <c r="Y63" s="48">
        <f>36+10.16</f>
        <v>46.16</v>
      </c>
      <c r="Z63" s="1"/>
      <c r="AA63" s="1"/>
      <c r="AB63" s="1"/>
      <c r="AC63" s="1"/>
      <c r="AM63" s="48">
        <f t="shared" si="90"/>
        <v>22.138999999999999</v>
      </c>
      <c r="AN63" s="48">
        <f t="shared" si="91"/>
        <v>15.051</v>
      </c>
      <c r="AO63" s="48">
        <f t="shared" si="92"/>
        <v>15.489000000000001</v>
      </c>
      <c r="AP63" s="48">
        <f t="shared" si="93"/>
        <v>17.844999999999999</v>
      </c>
      <c r="AQ63" s="48">
        <f t="shared" si="94"/>
        <v>13.473000000000001</v>
      </c>
    </row>
    <row r="64" spans="2:103">
      <c r="B64" s="1" t="s">
        <v>187</v>
      </c>
      <c r="C64" s="48"/>
      <c r="D64" s="48"/>
      <c r="E64" s="48"/>
      <c r="F64" s="48">
        <v>0</v>
      </c>
      <c r="G64" s="48">
        <v>0</v>
      </c>
      <c r="H64" s="48">
        <v>0</v>
      </c>
      <c r="I64" s="48">
        <v>0</v>
      </c>
      <c r="J64" s="48">
        <v>0</v>
      </c>
      <c r="K64" s="48">
        <v>0</v>
      </c>
      <c r="L64" s="48">
        <v>0</v>
      </c>
      <c r="M64" s="48">
        <v>0</v>
      </c>
      <c r="N64" s="48">
        <v>0</v>
      </c>
      <c r="O64" s="48">
        <v>0</v>
      </c>
      <c r="P64" s="48">
        <v>0</v>
      </c>
      <c r="Q64" s="48">
        <v>0</v>
      </c>
      <c r="R64" s="48">
        <v>105.483</v>
      </c>
      <c r="S64" s="48">
        <v>105.586</v>
      </c>
      <c r="T64" s="48">
        <v>91.504999999999995</v>
      </c>
      <c r="U64" s="48">
        <v>91.594999999999999</v>
      </c>
      <c r="V64" s="48">
        <v>0</v>
      </c>
      <c r="W64" s="48">
        <v>0</v>
      </c>
      <c r="X64" s="48">
        <v>0</v>
      </c>
      <c r="Y64" s="48">
        <v>0</v>
      </c>
      <c r="AM64" s="48">
        <f t="shared" si="90"/>
        <v>0</v>
      </c>
      <c r="AN64" s="48">
        <f t="shared" si="91"/>
        <v>0</v>
      </c>
      <c r="AO64" s="48">
        <f t="shared" si="92"/>
        <v>0</v>
      </c>
      <c r="AP64" s="48">
        <f t="shared" si="93"/>
        <v>105.483</v>
      </c>
      <c r="AQ64" s="48">
        <f t="shared" si="94"/>
        <v>0</v>
      </c>
    </row>
    <row r="65" spans="2:103">
      <c r="B65" s="1" t="s">
        <v>169</v>
      </c>
      <c r="C65" s="48"/>
      <c r="D65" s="48"/>
      <c r="E65" s="48"/>
      <c r="F65" s="48">
        <v>992.49300000000005</v>
      </c>
      <c r="G65" s="48">
        <v>1091.1099999999999</v>
      </c>
      <c r="H65" s="48">
        <v>1092.9849999999999</v>
      </c>
      <c r="I65" s="48">
        <v>1094.912</v>
      </c>
      <c r="J65" s="48">
        <v>1096.876</v>
      </c>
      <c r="K65" s="48">
        <v>1098.8399999999999</v>
      </c>
      <c r="L65" s="48">
        <v>1100.873</v>
      </c>
      <c r="M65" s="48">
        <v>1542.77</v>
      </c>
      <c r="N65" s="48">
        <v>1544.29</v>
      </c>
      <c r="O65" s="48">
        <v>1234.2840000000001</v>
      </c>
      <c r="P65" s="48">
        <v>1235.51</v>
      </c>
      <c r="Q65" s="48">
        <v>1236.7550000000001</v>
      </c>
      <c r="R65" s="48">
        <v>1132.5150000000001</v>
      </c>
      <c r="S65" s="48">
        <v>1133.6600000000001</v>
      </c>
      <c r="T65" s="48">
        <v>1134.81</v>
      </c>
      <c r="U65" s="48">
        <v>1135.9649999999999</v>
      </c>
      <c r="V65" s="48">
        <v>1137.1199999999999</v>
      </c>
      <c r="W65" s="48">
        <v>1138.28</v>
      </c>
      <c r="X65" s="48">
        <v>1139.4580000000001</v>
      </c>
      <c r="Y65" s="48">
        <v>1035.146</v>
      </c>
      <c r="AM65" s="48">
        <f t="shared" si="90"/>
        <v>992.49300000000005</v>
      </c>
      <c r="AN65" s="48">
        <f t="shared" si="91"/>
        <v>1096.876</v>
      </c>
      <c r="AO65" s="48">
        <f t="shared" si="92"/>
        <v>1544.29</v>
      </c>
      <c r="AP65" s="48">
        <f t="shared" si="93"/>
        <v>1132.5150000000001</v>
      </c>
      <c r="AQ65" s="48">
        <f t="shared" si="94"/>
        <v>1137.1199999999999</v>
      </c>
    </row>
    <row r="66" spans="2:103">
      <c r="B66" s="1" t="s">
        <v>171</v>
      </c>
      <c r="C66" s="48"/>
      <c r="D66" s="48"/>
      <c r="E66" s="48"/>
      <c r="F66" s="48">
        <v>80.36</v>
      </c>
      <c r="G66" s="48">
        <v>60.674999999999997</v>
      </c>
      <c r="H66" s="48">
        <v>65.284999999999997</v>
      </c>
      <c r="I66" s="48">
        <v>63.42</v>
      </c>
      <c r="J66" s="48">
        <v>41.512</v>
      </c>
      <c r="K66" s="48">
        <v>38.619999999999997</v>
      </c>
      <c r="L66" s="48">
        <v>39.368000000000002</v>
      </c>
      <c r="M66" s="48">
        <v>35.228999999999999</v>
      </c>
      <c r="N66" s="48">
        <v>57.578000000000003</v>
      </c>
      <c r="O66" s="48">
        <v>53.930999999999997</v>
      </c>
      <c r="P66" s="48">
        <v>129.16999999999999</v>
      </c>
      <c r="Q66" s="48">
        <v>134.75200000000001</v>
      </c>
      <c r="R66" s="48">
        <v>140.96</v>
      </c>
      <c r="S66" s="48">
        <v>140.1</v>
      </c>
      <c r="T66" s="48">
        <v>143.601</v>
      </c>
      <c r="U66" s="48">
        <v>170</v>
      </c>
      <c r="V66" s="48">
        <v>192.47300000000001</v>
      </c>
      <c r="W66" s="48">
        <v>205.46</v>
      </c>
      <c r="X66" s="48">
        <v>214.41900000000001</v>
      </c>
      <c r="Y66" s="48">
        <v>215.042</v>
      </c>
      <c r="AM66" s="48">
        <f t="shared" si="90"/>
        <v>80.36</v>
      </c>
      <c r="AN66" s="48">
        <f t="shared" si="91"/>
        <v>41.512</v>
      </c>
      <c r="AO66" s="48">
        <f t="shared" si="92"/>
        <v>57.578000000000003</v>
      </c>
      <c r="AP66" s="48">
        <f t="shared" si="93"/>
        <v>140.96</v>
      </c>
      <c r="AQ66" s="48">
        <f t="shared" si="94"/>
        <v>192.47300000000001</v>
      </c>
    </row>
    <row r="67" spans="2:103">
      <c r="B67" s="1" t="s">
        <v>170</v>
      </c>
      <c r="C67" s="48"/>
      <c r="D67" s="48"/>
      <c r="E67" s="48"/>
      <c r="F67" s="48">
        <v>663.48800000000006</v>
      </c>
      <c r="G67" s="48">
        <v>641.48299999999995</v>
      </c>
      <c r="H67" s="48">
        <v>619.23299999999995</v>
      </c>
      <c r="I67" s="48">
        <v>596.73</v>
      </c>
      <c r="J67" s="48">
        <v>574.24400000000003</v>
      </c>
      <c r="K67" s="48">
        <v>552.23900000000003</v>
      </c>
      <c r="L67" s="48">
        <v>529.98900000000003</v>
      </c>
      <c r="M67" s="48">
        <v>507.49400000000003</v>
      </c>
      <c r="N67" s="48">
        <v>485</v>
      </c>
      <c r="O67" s="48">
        <v>485</v>
      </c>
      <c r="P67" s="48">
        <v>485</v>
      </c>
      <c r="Q67" s="48">
        <v>485</v>
      </c>
      <c r="R67" s="48">
        <v>437</v>
      </c>
      <c r="S67" s="48">
        <v>325</v>
      </c>
      <c r="T67" s="48">
        <v>325</v>
      </c>
      <c r="U67" s="48">
        <v>325</v>
      </c>
      <c r="V67" s="48">
        <v>325</v>
      </c>
      <c r="W67" s="48">
        <v>325</v>
      </c>
      <c r="X67" s="48">
        <v>0</v>
      </c>
      <c r="Y67" s="48">
        <v>0</v>
      </c>
      <c r="AM67" s="48">
        <f t="shared" si="90"/>
        <v>663.48800000000006</v>
      </c>
      <c r="AN67" s="48">
        <f t="shared" si="91"/>
        <v>574.24400000000003</v>
      </c>
      <c r="AO67" s="48">
        <f t="shared" si="92"/>
        <v>485</v>
      </c>
      <c r="AP67" s="48">
        <f t="shared" si="93"/>
        <v>437</v>
      </c>
      <c r="AQ67" s="48">
        <f t="shared" si="94"/>
        <v>325</v>
      </c>
    </row>
    <row r="68" spans="2:103">
      <c r="B68" s="1" t="s">
        <v>172</v>
      </c>
      <c r="C68" s="48"/>
      <c r="D68" s="48"/>
      <c r="E68" s="48"/>
      <c r="F68" s="48">
        <v>50.8</v>
      </c>
      <c r="G68" s="48">
        <v>50.8</v>
      </c>
      <c r="H68" s="48">
        <v>50.8</v>
      </c>
      <c r="I68" s="48">
        <v>43.6</v>
      </c>
      <c r="J68" s="48">
        <v>43.6</v>
      </c>
      <c r="K68" s="48">
        <v>43.6</v>
      </c>
      <c r="L68" s="48">
        <v>43.6</v>
      </c>
      <c r="M68" s="48">
        <v>36.9</v>
      </c>
      <c r="N68" s="48">
        <v>36.9</v>
      </c>
      <c r="O68" s="48">
        <v>36.9</v>
      </c>
      <c r="P68" s="48">
        <v>36.1</v>
      </c>
      <c r="Q68" s="48">
        <v>38.1</v>
      </c>
      <c r="R68" s="48">
        <v>38.1</v>
      </c>
      <c r="S68" s="48">
        <v>48.2</v>
      </c>
      <c r="T68" s="48">
        <v>48.2</v>
      </c>
      <c r="U68" s="48">
        <v>47.4</v>
      </c>
      <c r="V68" s="48">
        <v>47.4</v>
      </c>
      <c r="W68" s="48">
        <v>47.4</v>
      </c>
      <c r="X68" s="48">
        <v>47.4</v>
      </c>
      <c r="Y68" s="48">
        <v>0.3</v>
      </c>
      <c r="AM68" s="48">
        <f t="shared" si="90"/>
        <v>50.8</v>
      </c>
      <c r="AN68" s="48">
        <f t="shared" si="91"/>
        <v>43.6</v>
      </c>
      <c r="AO68" s="48">
        <f t="shared" si="92"/>
        <v>36.9</v>
      </c>
      <c r="AP68" s="48">
        <f t="shared" si="93"/>
        <v>38.1</v>
      </c>
      <c r="AQ68" s="48">
        <f t="shared" si="94"/>
        <v>47.4</v>
      </c>
    </row>
    <row r="69" spans="2:103">
      <c r="B69" s="1" t="s">
        <v>173</v>
      </c>
      <c r="C69" s="48"/>
      <c r="D69" s="48"/>
      <c r="E69" s="48"/>
      <c r="F69" s="48">
        <v>19.785</v>
      </c>
      <c r="G69" s="48">
        <v>20.984000000000002</v>
      </c>
      <c r="H69" s="48">
        <v>20.64</v>
      </c>
      <c r="I69" s="48">
        <v>20.568999999999999</v>
      </c>
      <c r="J69" s="48">
        <v>11</v>
      </c>
      <c r="K69" s="48">
        <v>11</v>
      </c>
      <c r="L69" s="48">
        <v>11</v>
      </c>
      <c r="M69" s="48">
        <v>0</v>
      </c>
      <c r="N69" s="48">
        <v>4.2000000000000003E-2</v>
      </c>
      <c r="O69" s="48">
        <v>3.7999999999999999E-2</v>
      </c>
      <c r="P69" s="48">
        <v>3.7999999999999999E-2</v>
      </c>
      <c r="Q69" s="48">
        <v>0</v>
      </c>
      <c r="R69" s="1">
        <v>3</v>
      </c>
      <c r="S69" s="48">
        <v>7.5220000000000002</v>
      </c>
      <c r="T69" s="48">
        <v>7.0869999999999997</v>
      </c>
      <c r="U69" s="48">
        <v>1</v>
      </c>
      <c r="V69" s="48">
        <v>1.75</v>
      </c>
      <c r="W69" s="48">
        <v>0.92700000000000005</v>
      </c>
      <c r="X69" s="48">
        <v>1.2</v>
      </c>
      <c r="Y69" s="48">
        <v>1.4039999999999999</v>
      </c>
      <c r="AM69" s="48">
        <f t="shared" si="90"/>
        <v>19.785</v>
      </c>
      <c r="AN69" s="48">
        <f t="shared" si="91"/>
        <v>11</v>
      </c>
      <c r="AO69" s="48">
        <f t="shared" si="92"/>
        <v>4.2000000000000003E-2</v>
      </c>
      <c r="AP69" s="48">
        <f t="shared" si="93"/>
        <v>3</v>
      </c>
      <c r="AQ69" s="48">
        <f t="shared" si="94"/>
        <v>1.75</v>
      </c>
    </row>
    <row r="70" spans="2:103" s="2" customFormat="1" ht="15">
      <c r="B70" s="2" t="s">
        <v>174</v>
      </c>
      <c r="C70" s="46"/>
      <c r="D70" s="46"/>
      <c r="E70" s="46"/>
      <c r="F70" s="46">
        <f>SUM(F60:F69)</f>
        <v>2222.9490000000001</v>
      </c>
      <c r="G70" s="46">
        <f>SUM(G60:G69)</f>
        <v>2229.788</v>
      </c>
      <c r="H70" s="46">
        <f t="shared" ref="H70:Y70" si="95">SUM(H60:H69)</f>
        <v>2273.9639999999999</v>
      </c>
      <c r="I70" s="46">
        <f t="shared" si="95"/>
        <v>2192.6669999999999</v>
      </c>
      <c r="J70" s="46">
        <f t="shared" si="95"/>
        <v>2219.9649999999997</v>
      </c>
      <c r="K70" s="46">
        <f t="shared" si="95"/>
        <v>2199.261</v>
      </c>
      <c r="L70" s="46">
        <f t="shared" si="95"/>
        <v>2270.3960000000002</v>
      </c>
      <c r="M70" s="46">
        <f t="shared" si="95"/>
        <v>2725.3089999999997</v>
      </c>
      <c r="N70" s="46">
        <f t="shared" si="95"/>
        <v>2743.4079999999999</v>
      </c>
      <c r="O70" s="46">
        <f t="shared" si="95"/>
        <v>2347.0330000000004</v>
      </c>
      <c r="P70" s="46">
        <f t="shared" si="95"/>
        <v>2384.4719999999998</v>
      </c>
      <c r="Q70" s="46">
        <f t="shared" si="95"/>
        <v>2345.35</v>
      </c>
      <c r="R70" s="46">
        <f>SUM(R60:R69)</f>
        <v>2405.2339999999999</v>
      </c>
      <c r="S70" s="46">
        <f t="shared" si="95"/>
        <v>2263.1909999999998</v>
      </c>
      <c r="T70" s="46">
        <f t="shared" si="95"/>
        <v>2347.1799999999998</v>
      </c>
      <c r="U70" s="46">
        <f t="shared" si="95"/>
        <v>2378.8530000000001</v>
      </c>
      <c r="V70" s="46">
        <f t="shared" si="95"/>
        <v>2435.4139999999998</v>
      </c>
      <c r="W70" s="46">
        <f t="shared" si="95"/>
        <v>2322.6550000000002</v>
      </c>
      <c r="X70" s="46">
        <f t="shared" si="95"/>
        <v>2322.4249999999997</v>
      </c>
      <c r="Y70" s="46">
        <f t="shared" si="95"/>
        <v>2173.306</v>
      </c>
      <c r="Z70" s="34"/>
      <c r="AA70" s="34"/>
      <c r="AB70" s="34"/>
      <c r="AC70" s="34"/>
      <c r="AD70" s="34"/>
      <c r="AM70" s="46">
        <f t="shared" si="90"/>
        <v>2222.9490000000001</v>
      </c>
      <c r="AN70" s="46">
        <f t="shared" si="91"/>
        <v>2219.9649999999997</v>
      </c>
      <c r="AO70" s="46">
        <f t="shared" si="92"/>
        <v>2743.4079999999999</v>
      </c>
      <c r="AP70" s="46">
        <f t="shared" si="93"/>
        <v>2405.2339999999999</v>
      </c>
      <c r="AQ70" s="46">
        <f t="shared" si="94"/>
        <v>2435.4139999999998</v>
      </c>
      <c r="AR70" s="34"/>
      <c r="AS70" s="34"/>
      <c r="AT70" s="34"/>
      <c r="AU70" s="34"/>
      <c r="AV70" s="34"/>
      <c r="AW70" s="34"/>
      <c r="AX70" s="34"/>
      <c r="AY70" s="34"/>
      <c r="AZ70" s="34"/>
      <c r="BA70" s="34"/>
      <c r="BB70" s="34"/>
      <c r="BC70" s="34"/>
      <c r="BD70" s="34"/>
      <c r="BE70" s="34"/>
      <c r="BF70" s="34"/>
      <c r="BG70" s="34"/>
      <c r="BH70" s="34"/>
      <c r="BI70" s="34"/>
      <c r="BJ70" s="34"/>
      <c r="BK70" s="34"/>
      <c r="BL70" s="34"/>
      <c r="BM70" s="34"/>
      <c r="BN70" s="34"/>
      <c r="BO70" s="34"/>
      <c r="BP70" s="34"/>
      <c r="BQ70" s="34"/>
      <c r="BR70" s="34"/>
      <c r="BS70" s="34"/>
      <c r="BT70" s="34"/>
      <c r="BU70" s="34"/>
      <c r="BV70" s="34"/>
      <c r="BW70" s="34"/>
      <c r="BX70" s="34"/>
      <c r="BY70" s="34"/>
      <c r="BZ70" s="34"/>
      <c r="CA70" s="34"/>
      <c r="CB70" s="34"/>
      <c r="CC70" s="34"/>
      <c r="CD70" s="34"/>
      <c r="CE70" s="34"/>
      <c r="CF70" s="34"/>
      <c r="CG70" s="34"/>
      <c r="CH70" s="34"/>
      <c r="CI70" s="34"/>
      <c r="CJ70" s="34"/>
      <c r="CK70" s="34"/>
      <c r="CL70" s="34"/>
      <c r="CM70" s="34"/>
      <c r="CN70" s="34"/>
      <c r="CO70" s="34"/>
      <c r="CP70" s="34"/>
      <c r="CQ70" s="34"/>
      <c r="CR70" s="34"/>
      <c r="CS70" s="34"/>
      <c r="CT70" s="34"/>
      <c r="CU70" s="34"/>
      <c r="CV70" s="34"/>
      <c r="CW70" s="34"/>
      <c r="CX70" s="34"/>
      <c r="CY70" s="34"/>
    </row>
    <row r="71" spans="2:103">
      <c r="B71" s="1" t="s">
        <v>175</v>
      </c>
      <c r="C71" s="48"/>
      <c r="D71" s="48"/>
      <c r="E71" s="48"/>
      <c r="F71" s="48">
        <v>761.75900000000001</v>
      </c>
      <c r="G71" s="48">
        <v>535.44500000000005</v>
      </c>
      <c r="H71" s="48">
        <v>485.1</v>
      </c>
      <c r="I71" s="48">
        <v>469.52</v>
      </c>
      <c r="J71" s="48">
        <v>928.00900000000001</v>
      </c>
      <c r="K71" s="48">
        <v>856.88599999999997</v>
      </c>
      <c r="L71" s="48">
        <v>726.45699999999999</v>
      </c>
      <c r="M71" s="48">
        <v>430.84</v>
      </c>
      <c r="N71" s="48">
        <v>384.95</v>
      </c>
      <c r="O71" s="48">
        <v>712.74900000000002</v>
      </c>
      <c r="P71" s="48">
        <v>741.41099999999994</v>
      </c>
      <c r="Q71" s="48">
        <v>764.35699999999997</v>
      </c>
      <c r="R71" s="48">
        <v>859.33699999999999</v>
      </c>
      <c r="S71" s="48">
        <v>961.19200000000001</v>
      </c>
      <c r="T71" s="48">
        <v>1077.06</v>
      </c>
      <c r="U71" s="48">
        <v>1221.0709999999999</v>
      </c>
      <c r="V71" s="48">
        <v>1527.742</v>
      </c>
      <c r="W71" s="48">
        <v>1142.723</v>
      </c>
      <c r="X71" s="48">
        <v>1357.38</v>
      </c>
      <c r="Y71" s="48">
        <v>1320.12</v>
      </c>
      <c r="AM71" s="48">
        <f t="shared" si="90"/>
        <v>761.75900000000001</v>
      </c>
      <c r="AN71" s="48">
        <f t="shared" si="91"/>
        <v>928.00900000000001</v>
      </c>
      <c r="AO71" s="48">
        <f t="shared" si="92"/>
        <v>384.95</v>
      </c>
      <c r="AP71" s="48">
        <f t="shared" si="93"/>
        <v>859.33699999999999</v>
      </c>
      <c r="AQ71" s="48">
        <f t="shared" si="94"/>
        <v>1527.742</v>
      </c>
    </row>
    <row r="72" spans="2:103" s="2" customFormat="1" ht="15">
      <c r="B72" s="2" t="s">
        <v>176</v>
      </c>
      <c r="C72" s="46"/>
      <c r="D72" s="46"/>
      <c r="E72" s="46"/>
      <c r="F72" s="46">
        <f>F70+F71</f>
        <v>2984.7080000000001</v>
      </c>
      <c r="G72" s="46">
        <f>G70+G71</f>
        <v>2765.2330000000002</v>
      </c>
      <c r="H72" s="46">
        <f t="shared" ref="H72:Y72" si="96">H70+H71</f>
        <v>2759.0639999999999</v>
      </c>
      <c r="I72" s="46">
        <f t="shared" si="96"/>
        <v>2662.1869999999999</v>
      </c>
      <c r="J72" s="46">
        <f t="shared" si="96"/>
        <v>3147.9739999999997</v>
      </c>
      <c r="K72" s="46">
        <f t="shared" si="96"/>
        <v>3056.1469999999999</v>
      </c>
      <c r="L72" s="46">
        <f t="shared" si="96"/>
        <v>2996.8530000000001</v>
      </c>
      <c r="M72" s="46">
        <f t="shared" si="96"/>
        <v>3156.1489999999999</v>
      </c>
      <c r="N72" s="46">
        <f t="shared" si="96"/>
        <v>3128.3579999999997</v>
      </c>
      <c r="O72" s="46">
        <f t="shared" si="96"/>
        <v>3059.7820000000002</v>
      </c>
      <c r="P72" s="46">
        <f t="shared" si="96"/>
        <v>3125.8829999999998</v>
      </c>
      <c r="Q72" s="46">
        <f t="shared" si="96"/>
        <v>3109.7069999999999</v>
      </c>
      <c r="R72" s="46">
        <f t="shared" si="96"/>
        <v>3264.5709999999999</v>
      </c>
      <c r="S72" s="46">
        <f t="shared" si="96"/>
        <v>3224.3829999999998</v>
      </c>
      <c r="T72" s="46">
        <f t="shared" si="96"/>
        <v>3424.24</v>
      </c>
      <c r="U72" s="46">
        <f t="shared" si="96"/>
        <v>3599.924</v>
      </c>
      <c r="V72" s="46">
        <f t="shared" si="96"/>
        <v>3963.1559999999999</v>
      </c>
      <c r="W72" s="46">
        <f t="shared" si="96"/>
        <v>3465.3780000000002</v>
      </c>
      <c r="X72" s="46">
        <f t="shared" si="96"/>
        <v>3679.8049999999998</v>
      </c>
      <c r="Y72" s="46">
        <f t="shared" si="96"/>
        <v>3493.4259999999999</v>
      </c>
      <c r="Z72" s="34"/>
      <c r="AA72" s="34"/>
      <c r="AB72" s="34"/>
      <c r="AC72" s="34"/>
      <c r="AD72" s="34"/>
      <c r="AM72" s="46">
        <f t="shared" si="90"/>
        <v>2984.7080000000001</v>
      </c>
      <c r="AN72" s="46">
        <f t="shared" si="91"/>
        <v>3147.9739999999997</v>
      </c>
      <c r="AO72" s="46">
        <f t="shared" si="92"/>
        <v>3128.3579999999997</v>
      </c>
      <c r="AP72" s="46">
        <f t="shared" si="93"/>
        <v>3264.5709999999999</v>
      </c>
      <c r="AQ72" s="46">
        <f t="shared" si="94"/>
        <v>3963.1559999999999</v>
      </c>
      <c r="AR72" s="34"/>
      <c r="AS72" s="34"/>
      <c r="AT72" s="34"/>
      <c r="AU72" s="34"/>
      <c r="AV72" s="34"/>
      <c r="AW72" s="34"/>
      <c r="AX72" s="34"/>
      <c r="AY72" s="34"/>
      <c r="AZ72" s="34"/>
      <c r="BA72" s="34"/>
      <c r="BB72" s="34"/>
      <c r="BC72" s="34"/>
      <c r="BD72" s="34"/>
      <c r="BE72" s="34"/>
      <c r="BF72" s="34"/>
      <c r="BG72" s="34"/>
      <c r="BH72" s="34"/>
      <c r="BI72" s="34"/>
      <c r="BJ72" s="34"/>
      <c r="BK72" s="34"/>
      <c r="BL72" s="34"/>
      <c r="BM72" s="34"/>
      <c r="BN72" s="34"/>
      <c r="BO72" s="34"/>
      <c r="BP72" s="34"/>
      <c r="BQ72" s="34"/>
      <c r="BR72" s="34"/>
      <c r="BS72" s="34"/>
      <c r="BT72" s="34"/>
      <c r="BU72" s="34"/>
      <c r="BV72" s="34"/>
      <c r="BW72" s="34"/>
      <c r="BX72" s="34"/>
      <c r="BY72" s="34"/>
      <c r="BZ72" s="34"/>
      <c r="CA72" s="34"/>
      <c r="CB72" s="34"/>
      <c r="CC72" s="34"/>
      <c r="CD72" s="34"/>
      <c r="CE72" s="34"/>
      <c r="CF72" s="34"/>
      <c r="CG72" s="34"/>
      <c r="CH72" s="34"/>
      <c r="CI72" s="34"/>
      <c r="CJ72" s="34"/>
      <c r="CK72" s="34"/>
      <c r="CL72" s="34"/>
      <c r="CM72" s="34"/>
      <c r="CN72" s="34"/>
      <c r="CO72" s="34"/>
      <c r="CP72" s="34"/>
      <c r="CQ72" s="34"/>
      <c r="CR72" s="34"/>
      <c r="CS72" s="34"/>
      <c r="CT72" s="34"/>
      <c r="CU72" s="34"/>
      <c r="CV72" s="34"/>
      <c r="CW72" s="34"/>
      <c r="CX72" s="34"/>
      <c r="CY72" s="34"/>
    </row>
    <row r="74" spans="2:103">
      <c r="B74" s="1" t="s">
        <v>82</v>
      </c>
      <c r="F74" s="39">
        <f t="shared" ref="F74:X74" si="97">SUM(F46:F51)/SUM(F60:F64)</f>
        <v>5.9736793398441916</v>
      </c>
      <c r="G74" s="39">
        <f t="shared" si="97"/>
        <v>6.2273617081944206</v>
      </c>
      <c r="H74" s="39">
        <f t="shared" si="97"/>
        <v>5.3296472409598579</v>
      </c>
      <c r="I74" s="39">
        <f t="shared" si="97"/>
        <v>5.8518996561659842</v>
      </c>
      <c r="J74" s="39">
        <f t="shared" si="97"/>
        <v>5.7519531379422313</v>
      </c>
      <c r="K74" s="39">
        <f t="shared" si="97"/>
        <v>5.5629832821202649</v>
      </c>
      <c r="L74" s="39">
        <f t="shared" si="97"/>
        <v>4.5261251617586131</v>
      </c>
      <c r="M74" s="39">
        <f t="shared" si="97"/>
        <v>4.3553745463713023</v>
      </c>
      <c r="N74" s="39">
        <f t="shared" si="97"/>
        <v>4.1282476702636215</v>
      </c>
      <c r="O74" s="39">
        <f t="shared" si="97"/>
        <v>4.6348588138876474</v>
      </c>
      <c r="P74" s="39">
        <f t="shared" si="97"/>
        <v>4.9585764879054421</v>
      </c>
      <c r="Q74" s="39">
        <f t="shared" si="97"/>
        <v>5.4373534364371698</v>
      </c>
      <c r="R74" s="39">
        <f t="shared" si="97"/>
        <v>3.9459565308517126</v>
      </c>
      <c r="S74" s="39">
        <f t="shared" si="97"/>
        <v>4.0493322753565328</v>
      </c>
      <c r="T74" s="39">
        <f t="shared" si="97"/>
        <v>3.8978956603077495</v>
      </c>
      <c r="U74" s="39">
        <f t="shared" si="97"/>
        <v>3.8390494190036133</v>
      </c>
      <c r="V74" s="39">
        <f t="shared" si="97"/>
        <v>4.2010972144584109</v>
      </c>
      <c r="W74" s="39">
        <f t="shared" si="97"/>
        <v>4.0168117598102988</v>
      </c>
      <c r="X74" s="39">
        <f t="shared" si="97"/>
        <v>2.8881458517220544</v>
      </c>
      <c r="Y74" s="39">
        <f t="shared" ref="Y74" si="98">SUM(Y46:Y51)/SUM(Y60:Y64)</f>
        <v>2.9544547836260362</v>
      </c>
      <c r="AM74" s="39">
        <f t="shared" ref="AM74:AP74" si="99">SUM(AM46:AM51)/SUM(AM60:AM64)</f>
        <v>5.9736793398441916</v>
      </c>
      <c r="AN74" s="39">
        <f t="shared" si="99"/>
        <v>5.7519531379422313</v>
      </c>
      <c r="AO74" s="39">
        <f t="shared" si="99"/>
        <v>4.1282476702636215</v>
      </c>
      <c r="AP74" s="39">
        <f t="shared" si="99"/>
        <v>3.9459565308517126</v>
      </c>
      <c r="AQ74" s="39">
        <f t="shared" ref="AQ74" si="100">SUM(AQ46:AQ51)/SUM(AQ60:AQ64)</f>
        <v>4.2010972144584109</v>
      </c>
    </row>
    <row r="75" spans="2:103">
      <c r="B75" s="1" t="s">
        <v>83</v>
      </c>
      <c r="F75" s="39">
        <f t="shared" ref="F75:X75" si="101">(SUM(F46:F51)-F49)/SUM(F60:F64)</f>
        <v>5.416111609213913</v>
      </c>
      <c r="G75" s="39">
        <f t="shared" si="101"/>
        <v>5.5684385418494475</v>
      </c>
      <c r="H75" s="39">
        <f t="shared" si="101"/>
        <v>4.6973114269647844</v>
      </c>
      <c r="I75" s="39">
        <f t="shared" si="101"/>
        <v>5.0794272646450809</v>
      </c>
      <c r="J75" s="39">
        <f t="shared" si="101"/>
        <v>5.3406466946301689</v>
      </c>
      <c r="K75" s="39">
        <f t="shared" si="101"/>
        <v>5.1255907086745713</v>
      </c>
      <c r="L75" s="39">
        <f t="shared" si="101"/>
        <v>4.144695600532291</v>
      </c>
      <c r="M75" s="39">
        <f t="shared" si="101"/>
        <v>3.9885042029072042</v>
      </c>
      <c r="N75" s="39">
        <f t="shared" si="101"/>
        <v>3.7990535799018068</v>
      </c>
      <c r="O75" s="39">
        <f t="shared" si="101"/>
        <v>4.2573629116376104</v>
      </c>
      <c r="P75" s="39">
        <f t="shared" si="101"/>
        <v>4.5035996903664675</v>
      </c>
      <c r="Q75" s="39">
        <f t="shared" si="101"/>
        <v>4.8960006034480834</v>
      </c>
      <c r="R75" s="39">
        <f t="shared" si="101"/>
        <v>3.4520445675803435</v>
      </c>
      <c r="S75" s="39">
        <f t="shared" si="101"/>
        <v>3.435689303098854</v>
      </c>
      <c r="T75" s="39">
        <f t="shared" si="101"/>
        <v>3.1922926089570969</v>
      </c>
      <c r="U75" s="39">
        <f t="shared" si="101"/>
        <v>3.0299947961937868</v>
      </c>
      <c r="V75" s="39">
        <f t="shared" si="101"/>
        <v>3.176101007146654</v>
      </c>
      <c r="W75" s="39">
        <f t="shared" si="101"/>
        <v>2.4622367021803591</v>
      </c>
      <c r="X75" s="39">
        <f t="shared" si="101"/>
        <v>1.8076499976085609</v>
      </c>
      <c r="Y75" s="39">
        <f t="shared" ref="Y75" si="102">(SUM(Y46:Y51)-Y49)/SUM(Y60:Y64)</f>
        <v>1.7854254439372532</v>
      </c>
      <c r="AM75" s="39">
        <f t="shared" ref="AM75:AP75" si="103">(SUM(AM46:AM51)-AM49)/SUM(AM60:AM64)</f>
        <v>5.416111609213913</v>
      </c>
      <c r="AN75" s="39">
        <f t="shared" si="103"/>
        <v>5.3406466946301689</v>
      </c>
      <c r="AO75" s="39">
        <f t="shared" si="103"/>
        <v>3.7990535799018068</v>
      </c>
      <c r="AP75" s="39">
        <f t="shared" si="103"/>
        <v>3.4520445675803435</v>
      </c>
      <c r="AQ75" s="39">
        <f t="shared" ref="AQ75" si="104">(SUM(AQ46:AQ51)-AQ49)/SUM(AQ60:AQ64)</f>
        <v>3.176101007146654</v>
      </c>
    </row>
    <row r="76" spans="2:103">
      <c r="B76" s="1" t="s">
        <v>84</v>
      </c>
      <c r="F76" s="39">
        <f t="shared" ref="F76:X76" si="105">F46/SUM(F60:F64)</f>
        <v>3.6119156873538243</v>
      </c>
      <c r="G76" s="39">
        <f t="shared" si="105"/>
        <v>4.0627467538164597</v>
      </c>
      <c r="H76" s="39">
        <f t="shared" si="105"/>
        <v>3.99337915067726</v>
      </c>
      <c r="I76" s="39">
        <f t="shared" si="105"/>
        <v>4.282160798637519</v>
      </c>
      <c r="J76" s="39">
        <f t="shared" si="105"/>
        <v>4.6735471017133721</v>
      </c>
      <c r="K76" s="39">
        <f t="shared" si="105"/>
        <v>2.7120440828025196</v>
      </c>
      <c r="L76" s="39">
        <f t="shared" si="105"/>
        <v>1.5920438590381365</v>
      </c>
      <c r="M76" s="39">
        <f t="shared" si="105"/>
        <v>1.7226611999018104</v>
      </c>
      <c r="N76" s="39">
        <f t="shared" si="105"/>
        <v>1.5603181417628849</v>
      </c>
      <c r="O76" s="39">
        <f t="shared" si="105"/>
        <v>1.6235806884219937</v>
      </c>
      <c r="P76" s="39">
        <f t="shared" si="105"/>
        <v>1.7084571666927368</v>
      </c>
      <c r="Q76" s="39">
        <f t="shared" si="105"/>
        <v>1.2023081889236216</v>
      </c>
      <c r="R76" s="39">
        <f t="shared" si="105"/>
        <v>0.65543349055088351</v>
      </c>
      <c r="S76" s="39">
        <f t="shared" si="105"/>
        <v>0.70196103556872014</v>
      </c>
      <c r="T76" s="39">
        <f t="shared" si="105"/>
        <v>0.55719975249897602</v>
      </c>
      <c r="U76" s="39">
        <f t="shared" si="105"/>
        <v>0.28285688961068661</v>
      </c>
      <c r="V76" s="39">
        <f t="shared" si="105"/>
        <v>1.5075218233331649</v>
      </c>
      <c r="W76" s="39">
        <f t="shared" si="105"/>
        <v>0.39774070820425761</v>
      </c>
      <c r="X76" s="39">
        <f t="shared" si="105"/>
        <v>0.55502919730245626</v>
      </c>
      <c r="Y76" s="39">
        <f t="shared" ref="Y76" si="106">Y46/SUM(Y60:Y64)</f>
        <v>0.6653578087591463</v>
      </c>
      <c r="AM76" s="39">
        <f t="shared" ref="AM76:AP76" si="107">AM46/SUM(AM60:AM64)</f>
        <v>3.6119156873538243</v>
      </c>
      <c r="AN76" s="39">
        <f t="shared" si="107"/>
        <v>4.6735471017133721</v>
      </c>
      <c r="AO76" s="39">
        <f t="shared" si="107"/>
        <v>1.5603181417628849</v>
      </c>
      <c r="AP76" s="39">
        <f t="shared" si="107"/>
        <v>0.65543349055088351</v>
      </c>
      <c r="AQ76" s="39">
        <f t="shared" ref="AQ76" si="108">AQ46/SUM(AQ60:AQ64)</f>
        <v>1.5075218233331649</v>
      </c>
    </row>
    <row r="77" spans="2:103">
      <c r="B77" s="1" t="s">
        <v>85</v>
      </c>
      <c r="F77" s="39">
        <f t="shared" ref="F77:Y77" si="109">F23/F72</f>
        <v>4.8628542557596931E-2</v>
      </c>
      <c r="G77" s="39">
        <f t="shared" si="109"/>
        <v>5.3135124598903599E-2</v>
      </c>
      <c r="H77" s="39">
        <f t="shared" si="109"/>
        <v>5.9472705236268533E-2</v>
      </c>
      <c r="I77" s="39">
        <f t="shared" si="109"/>
        <v>7.1133244959876982E-2</v>
      </c>
      <c r="J77" s="39">
        <f t="shared" si="109"/>
        <v>6.3995128295214643E-2</v>
      </c>
      <c r="K77" s="39">
        <f t="shared" si="109"/>
        <v>6.8985555995833961E-2</v>
      </c>
      <c r="L77" s="39">
        <f t="shared" si="109"/>
        <v>7.7927412522402664E-2</v>
      </c>
      <c r="M77" s="39">
        <f t="shared" si="109"/>
        <v>7.2960433743780792E-2</v>
      </c>
      <c r="N77" s="39">
        <f t="shared" si="109"/>
        <v>8.2590291776069094E-2</v>
      </c>
      <c r="O77" s="39">
        <f t="shared" si="109"/>
        <v>8.2847405468755617E-2</v>
      </c>
      <c r="P77" s="39">
        <f t="shared" si="109"/>
        <v>8.3572545741475296E-2</v>
      </c>
      <c r="Q77" s="39">
        <f t="shared" si="109"/>
        <v>0.10670072775345073</v>
      </c>
      <c r="R77" s="39">
        <f t="shared" si="109"/>
        <v>0.12154583251520645</v>
      </c>
      <c r="S77" s="39">
        <f t="shared" si="109"/>
        <v>0.12822825328132548</v>
      </c>
      <c r="T77" s="39">
        <f t="shared" si="109"/>
        <v>0.10598760600892462</v>
      </c>
      <c r="U77" s="39">
        <f t="shared" si="109"/>
        <v>0.12977246186308378</v>
      </c>
      <c r="V77" s="39">
        <f t="shared" si="109"/>
        <v>0.16613628128693395</v>
      </c>
      <c r="W77" s="39">
        <f t="shared" si="109"/>
        <v>0.21494393973759859</v>
      </c>
      <c r="X77" s="39">
        <f t="shared" si="109"/>
        <v>0.16606532139610661</v>
      </c>
      <c r="Y77" s="39">
        <f t="shared" si="109"/>
        <v>0.11431271193378648</v>
      </c>
      <c r="AM77" s="39">
        <f t="shared" ref="AM77:AP77" si="110">AM23/AM72</f>
        <v>0.18095538994099256</v>
      </c>
      <c r="AN77" s="39">
        <f t="shared" si="110"/>
        <v>0.22295133314315813</v>
      </c>
      <c r="AO77" s="39">
        <f t="shared" si="110"/>
        <v>0.29824367927200146</v>
      </c>
      <c r="AP77" s="39">
        <f t="shared" si="110"/>
        <v>0.38085739290093557</v>
      </c>
      <c r="AQ77" s="39">
        <f t="shared" ref="AQ77" si="111">AQ23/AQ72</f>
        <v>0.47991524936187224</v>
      </c>
    </row>
    <row r="78" spans="2:103">
      <c r="B78" s="1" t="s">
        <v>86</v>
      </c>
      <c r="F78" s="39">
        <f t="shared" ref="F78:Y78" si="112">F24/AVERAGE(C49:F49)</f>
        <v>9.6585201822720179E-2</v>
      </c>
      <c r="G78" s="39">
        <f t="shared" si="112"/>
        <v>9.4627498973097274E-2</v>
      </c>
      <c r="H78" s="39">
        <f t="shared" si="112"/>
        <v>7.9002766345050948E-2</v>
      </c>
      <c r="I78" s="39">
        <f t="shared" si="112"/>
        <v>9.1071655792656581E-2</v>
      </c>
      <c r="J78" s="39">
        <f t="shared" si="112"/>
        <v>0.12908708336298122</v>
      </c>
      <c r="K78" s="39">
        <f t="shared" si="112"/>
        <v>0.13345443818877503</v>
      </c>
      <c r="L78" s="39">
        <f t="shared" si="112"/>
        <v>0.17145002171760759</v>
      </c>
      <c r="M78" s="39">
        <f t="shared" si="112"/>
        <v>0.19620476957529565</v>
      </c>
      <c r="N78" s="39">
        <f t="shared" si="112"/>
        <v>0.14802728019878597</v>
      </c>
      <c r="O78" s="39">
        <f t="shared" si="112"/>
        <v>0.16756048688578523</v>
      </c>
      <c r="P78" s="39">
        <f t="shared" si="112"/>
        <v>0.1596993586098612</v>
      </c>
      <c r="Q78" s="39">
        <f t="shared" si="112"/>
        <v>0.16877467878408026</v>
      </c>
      <c r="R78" s="39">
        <f t="shared" si="112"/>
        <v>0.17734118688447587</v>
      </c>
      <c r="S78" s="39">
        <f t="shared" si="112"/>
        <v>0.17325599027471861</v>
      </c>
      <c r="T78" s="39">
        <f t="shared" si="112"/>
        <v>0.12492059240519821</v>
      </c>
      <c r="U78" s="39">
        <f t="shared" si="112"/>
        <v>0.20980733928684819</v>
      </c>
      <c r="V78" s="39">
        <f t="shared" si="112"/>
        <v>0.24330351704135098</v>
      </c>
      <c r="W78" s="39">
        <f t="shared" si="112"/>
        <v>0.20058976833237882</v>
      </c>
      <c r="X78" s="39">
        <f t="shared" si="112"/>
        <v>0.18768769322944925</v>
      </c>
      <c r="Y78" s="39">
        <f t="shared" si="112"/>
        <v>0.16029014349834902</v>
      </c>
      <c r="AM78" s="39">
        <f t="shared" ref="AM78" si="113">AM24/AVERAGE(AJ49:AM49)</f>
        <v>0.27324420915584946</v>
      </c>
      <c r="AN78" s="39">
        <f t="shared" ref="AN78" si="114">AN24/AVERAGE(AK49:AN49)</f>
        <v>0.46415717896659997</v>
      </c>
      <c r="AO78" s="39">
        <f t="shared" ref="AO78" si="115">AO24/AVERAGE(AL49:AO49)</f>
        <v>0.67503508047211169</v>
      </c>
      <c r="AP78" s="39">
        <f t="shared" ref="AP78" si="116">AP24/AVERAGE(AM49:AP49)</f>
        <v>0.63637854752055834</v>
      </c>
      <c r="AQ78" s="39">
        <f t="shared" ref="AQ78" si="117">AQ24/AVERAGE(AN49:AQ49)</f>
        <v>0.87245709129932536</v>
      </c>
    </row>
    <row r="79" spans="2:103">
      <c r="B79" s="1" t="s">
        <v>87</v>
      </c>
      <c r="F79" s="56">
        <f t="shared" ref="F79:Y79" si="118">F35/F72</f>
        <v>-6.3356951500783285E-2</v>
      </c>
      <c r="G79" s="56">
        <f t="shared" si="118"/>
        <v>-6.0483149159582562E-2</v>
      </c>
      <c r="H79" s="56">
        <f t="shared" si="118"/>
        <v>-2.9506020882444181E-2</v>
      </c>
      <c r="I79" s="56">
        <f t="shared" si="118"/>
        <v>-1.8096399689428281E-2</v>
      </c>
      <c r="J79" s="56">
        <f t="shared" si="118"/>
        <v>-3.8748414059328322E-2</v>
      </c>
      <c r="K79" s="56">
        <f t="shared" si="118"/>
        <v>-3.4363530288300942E-2</v>
      </c>
      <c r="L79" s="56">
        <f t="shared" si="118"/>
        <v>-7.7958778758918088E-2</v>
      </c>
      <c r="M79" s="56">
        <f t="shared" si="118"/>
        <v>-8.1888719448923356E-2</v>
      </c>
      <c r="N79" s="56">
        <f t="shared" si="118"/>
        <v>-3.4938456532148852E-2</v>
      </c>
      <c r="O79" s="56">
        <f t="shared" si="118"/>
        <v>-0.16888719523155568</v>
      </c>
      <c r="P79" s="56">
        <f t="shared" si="118"/>
        <v>-7.6573563373932944E-3</v>
      </c>
      <c r="Q79" s="56">
        <f t="shared" si="118"/>
        <v>-1.3166513758370161E-2</v>
      </c>
      <c r="R79" s="56">
        <f t="shared" si="118"/>
        <v>1.3986830122549037E-2</v>
      </c>
      <c r="S79" s="56">
        <f t="shared" si="118"/>
        <v>1.0702512697778156E-2</v>
      </c>
      <c r="T79" s="56">
        <f t="shared" si="118"/>
        <v>1.8868420437819814E-3</v>
      </c>
      <c r="U79" s="56">
        <f t="shared" si="118"/>
        <v>9.336863778235319E-3</v>
      </c>
      <c r="V79" s="56">
        <f t="shared" si="118"/>
        <v>4.0134428218318904E-2</v>
      </c>
      <c r="W79" s="56">
        <f t="shared" si="118"/>
        <v>-0.12913367603765019</v>
      </c>
      <c r="X79" s="56">
        <f t="shared" si="118"/>
        <v>5.3503922082827796E-2</v>
      </c>
      <c r="Y79" s="56">
        <f t="shared" si="118"/>
        <v>-5.1513614428930238E-2</v>
      </c>
      <c r="AM79" s="56">
        <f t="shared" ref="AM79:AP79" si="119">AM35/AM72</f>
        <v>-0.18564529595524917</v>
      </c>
      <c r="AN79" s="56">
        <f t="shared" si="119"/>
        <v>-0.13304239488636183</v>
      </c>
      <c r="AO79" s="56">
        <f t="shared" si="119"/>
        <v>-0.22580663721990904</v>
      </c>
      <c r="AP79" s="56">
        <f t="shared" si="119"/>
        <v>-0.16417991828022727</v>
      </c>
      <c r="AQ79" s="56">
        <f t="shared" ref="AQ79" si="120">AQ35/AQ72</f>
        <v>5.8953268556675514E-2</v>
      </c>
    </row>
    <row r="80" spans="2:103">
      <c r="B80" s="1" t="s">
        <v>88</v>
      </c>
      <c r="F80" s="56">
        <f t="shared" ref="F80:Y80" si="121">F35/F71</f>
        <v>-0.2482438671548349</v>
      </c>
      <c r="G80" s="56">
        <f t="shared" si="121"/>
        <v>-0.31235701145775935</v>
      </c>
      <c r="H80" s="56">
        <f t="shared" si="121"/>
        <v>-0.16781900639043487</v>
      </c>
      <c r="I80" s="56">
        <f t="shared" si="121"/>
        <v>-0.10260691770318625</v>
      </c>
      <c r="J80" s="56">
        <f t="shared" si="121"/>
        <v>-0.13144161317401018</v>
      </c>
      <c r="K80" s="56">
        <f t="shared" si="121"/>
        <v>-0.12256006049812936</v>
      </c>
      <c r="L80" s="56">
        <f t="shared" si="121"/>
        <v>-0.32160334334998486</v>
      </c>
      <c r="M80" s="56">
        <f t="shared" si="121"/>
        <v>-0.59988162658991739</v>
      </c>
      <c r="N80" s="56">
        <f t="shared" si="121"/>
        <v>-0.2839329783088716</v>
      </c>
      <c r="O80" s="56">
        <f t="shared" si="121"/>
        <v>-0.72502101020134702</v>
      </c>
      <c r="P80" s="56">
        <f t="shared" si="121"/>
        <v>-3.2284387471995912E-2</v>
      </c>
      <c r="Q80" s="56">
        <f t="shared" si="121"/>
        <v>-5.3566592573888898E-2</v>
      </c>
      <c r="R80" s="56">
        <f t="shared" si="121"/>
        <v>5.3135149539703316E-2</v>
      </c>
      <c r="S80" s="56">
        <f t="shared" si="121"/>
        <v>3.5902296315408387E-2</v>
      </c>
      <c r="T80" s="56">
        <f t="shared" si="121"/>
        <v>5.9987373034000079E-3</v>
      </c>
      <c r="U80" s="56">
        <f t="shared" si="121"/>
        <v>2.7526654879200311E-2</v>
      </c>
      <c r="V80" s="56">
        <f t="shared" si="121"/>
        <v>0.10411378361005974</v>
      </c>
      <c r="W80" s="56">
        <f t="shared" si="121"/>
        <v>-0.39160583973543905</v>
      </c>
      <c r="X80" s="56">
        <f t="shared" si="121"/>
        <v>0.1450470759846175</v>
      </c>
      <c r="Y80" s="56">
        <f t="shared" si="121"/>
        <v>-0.13632018301366547</v>
      </c>
      <c r="AM80" s="56">
        <f t="shared" ref="AM80:AP80" si="122">AM35/AM71</f>
        <v>-0.72739147158090667</v>
      </c>
      <c r="AN80" s="56">
        <f t="shared" si="122"/>
        <v>-0.45130381278629839</v>
      </c>
      <c r="AO80" s="56">
        <f t="shared" si="122"/>
        <v>-1.8350539031042996</v>
      </c>
      <c r="AP80" s="56">
        <f t="shared" si="122"/>
        <v>-0.62370990659077841</v>
      </c>
      <c r="AQ80" s="56">
        <f t="shared" ref="AQ80" si="123">AQ35/AQ71</f>
        <v>0.15293223594036159</v>
      </c>
    </row>
    <row r="82" spans="2:103">
      <c r="B82" s="1" t="s">
        <v>89</v>
      </c>
      <c r="C82" s="48">
        <f t="shared" ref="C82:V82" si="124">C35</f>
        <v>-17.492000000000008</v>
      </c>
      <c r="D82" s="48">
        <f t="shared" si="124"/>
        <v>-151.00399999999996</v>
      </c>
      <c r="E82" s="48">
        <f t="shared" si="124"/>
        <v>-196.499</v>
      </c>
      <c r="F82" s="48">
        <f t="shared" si="124"/>
        <v>-189.10199999999989</v>
      </c>
      <c r="G82" s="48">
        <f t="shared" si="124"/>
        <v>-167.24999999999997</v>
      </c>
      <c r="H82" s="48">
        <f t="shared" si="124"/>
        <v>-81.408999999999963</v>
      </c>
      <c r="I82" s="48">
        <f t="shared" si="124"/>
        <v>-48.176000000000009</v>
      </c>
      <c r="J82" s="48">
        <f t="shared" si="124"/>
        <v>-121.97900000000001</v>
      </c>
      <c r="K82" s="48">
        <f t="shared" si="124"/>
        <v>-105.02000000000007</v>
      </c>
      <c r="L82" s="48">
        <f t="shared" si="124"/>
        <v>-233.63099999999994</v>
      </c>
      <c r="M82" s="48">
        <f t="shared" si="124"/>
        <v>-258.45299999999997</v>
      </c>
      <c r="N82" s="48">
        <f t="shared" si="124"/>
        <v>-109.30000000000011</v>
      </c>
      <c r="O82" s="48">
        <f t="shared" si="124"/>
        <v>-516.75799999999992</v>
      </c>
      <c r="P82" s="48">
        <f t="shared" si="124"/>
        <v>-23.935999999999961</v>
      </c>
      <c r="Q82" s="48">
        <f t="shared" si="124"/>
        <v>-40.943999999999996</v>
      </c>
      <c r="R82" s="48">
        <f t="shared" si="124"/>
        <v>45.66100000000003</v>
      </c>
      <c r="S82" s="48">
        <f t="shared" si="124"/>
        <v>34.509000000000022</v>
      </c>
      <c r="T82" s="48">
        <f t="shared" si="124"/>
        <v>6.4610000000000118</v>
      </c>
      <c r="U82" s="48">
        <f t="shared" si="124"/>
        <v>33.612000000000002</v>
      </c>
      <c r="V82" s="48">
        <f t="shared" si="124"/>
        <v>159.05899999999988</v>
      </c>
      <c r="W82" s="48">
        <f>W35</f>
        <v>-447.49700000000013</v>
      </c>
      <c r="X82" s="48">
        <f>X35</f>
        <v>196.88400000000013</v>
      </c>
      <c r="Y82" s="48">
        <f>Y35</f>
        <v>-179.95900000000003</v>
      </c>
      <c r="AM82" s="48">
        <f t="shared" ref="AM82:AM87" si="125">SUM(C82:F82)</f>
        <v>-554.09699999999987</v>
      </c>
      <c r="AN82" s="48">
        <f t="shared" ref="AN82:AN87" si="126">SUM(G82:J82)</f>
        <v>-418.81399999999996</v>
      </c>
      <c r="AO82" s="48">
        <f t="shared" ref="AO82:AO87" si="127">SUM(K82:N82)</f>
        <v>-706.40400000000011</v>
      </c>
      <c r="AP82" s="48">
        <f t="shared" ref="AP82:AP87" si="128">SUM(O82:R82)</f>
        <v>-535.97699999999975</v>
      </c>
      <c r="AQ82" s="48">
        <f t="shared" ref="AQ82:AQ87" si="129">SUM(S82:V82)</f>
        <v>233.64099999999991</v>
      </c>
    </row>
    <row r="83" spans="2:103" s="2" customFormat="1" ht="15">
      <c r="B83" s="2" t="s">
        <v>90</v>
      </c>
      <c r="C83" s="46">
        <v>627.79999999999995</v>
      </c>
      <c r="D83" s="46">
        <v>-107.6</v>
      </c>
      <c r="E83" s="46">
        <v>-283.2</v>
      </c>
      <c r="F83" s="46">
        <v>-129.5</v>
      </c>
      <c r="G83" s="46">
        <v>-180.4</v>
      </c>
      <c r="H83" s="46">
        <v>-109.5</v>
      </c>
      <c r="I83" s="46">
        <v>-124</v>
      </c>
      <c r="J83" s="46">
        <v>-29.3</v>
      </c>
      <c r="K83" s="46">
        <v>-101.2</v>
      </c>
      <c r="L83" s="46">
        <v>-66.8</v>
      </c>
      <c r="M83" s="46">
        <v>-65</v>
      </c>
      <c r="N83" s="46">
        <v>-92.4</v>
      </c>
      <c r="O83" s="46">
        <v>-209.4</v>
      </c>
      <c r="P83" s="46">
        <v>-122.2</v>
      </c>
      <c r="Q83" s="46">
        <v>-115.9</v>
      </c>
      <c r="R83" s="46">
        <v>-53.5</v>
      </c>
      <c r="S83" s="46">
        <v>-241.1</v>
      </c>
      <c r="T83" s="46">
        <v>14.9</v>
      </c>
      <c r="U83" s="46">
        <v>-70.7</v>
      </c>
      <c r="V83" s="46">
        <v>92</v>
      </c>
      <c r="W83" s="46">
        <v>-583.4</v>
      </c>
      <c r="X83" s="46">
        <f>-322.1-W83</f>
        <v>261.29999999999995</v>
      </c>
      <c r="Y83" s="46">
        <v>-14.6</v>
      </c>
      <c r="Z83" s="34"/>
      <c r="AA83" s="34"/>
      <c r="AB83" s="34"/>
      <c r="AC83" s="34"/>
      <c r="AD83" s="34"/>
      <c r="AM83" s="46">
        <f t="shared" si="125"/>
        <v>107.49999999999994</v>
      </c>
      <c r="AN83" s="46">
        <f t="shared" si="126"/>
        <v>-443.2</v>
      </c>
      <c r="AO83" s="46">
        <f t="shared" si="127"/>
        <v>-325.39999999999998</v>
      </c>
      <c r="AP83" s="46">
        <f t="shared" si="128"/>
        <v>-501</v>
      </c>
      <c r="AQ83" s="46">
        <f t="shared" si="129"/>
        <v>-204.89999999999998</v>
      </c>
      <c r="AR83" s="34"/>
      <c r="AS83" s="34"/>
      <c r="AT83" s="34"/>
      <c r="AU83" s="34"/>
      <c r="AV83" s="34"/>
      <c r="AW83" s="34"/>
      <c r="AX83" s="34"/>
      <c r="AY83" s="34"/>
      <c r="AZ83" s="34"/>
      <c r="BA83" s="34"/>
      <c r="BB83" s="34"/>
      <c r="BC83" s="34"/>
      <c r="BD83" s="34"/>
      <c r="BE83" s="34"/>
      <c r="BF83" s="34"/>
      <c r="BG83" s="34"/>
      <c r="BH83" s="34"/>
      <c r="BI83" s="34"/>
      <c r="BJ83" s="34"/>
      <c r="BK83" s="34"/>
      <c r="BL83" s="34"/>
      <c r="BM83" s="34"/>
      <c r="BN83" s="34"/>
      <c r="BO83" s="34"/>
      <c r="BP83" s="34"/>
      <c r="BQ83" s="34"/>
      <c r="BR83" s="34"/>
      <c r="BS83" s="34"/>
      <c r="BT83" s="34"/>
      <c r="BU83" s="34"/>
      <c r="BV83" s="34"/>
      <c r="BW83" s="34"/>
      <c r="BX83" s="34"/>
      <c r="BY83" s="34"/>
      <c r="BZ83" s="34"/>
      <c r="CA83" s="34"/>
      <c r="CB83" s="34"/>
      <c r="CC83" s="34"/>
      <c r="CD83" s="34"/>
      <c r="CE83" s="34"/>
      <c r="CF83" s="34"/>
      <c r="CG83" s="34"/>
      <c r="CH83" s="34"/>
      <c r="CI83" s="34"/>
      <c r="CJ83" s="34"/>
      <c r="CK83" s="34"/>
      <c r="CL83" s="34"/>
      <c r="CM83" s="34"/>
      <c r="CN83" s="34"/>
      <c r="CO83" s="34"/>
      <c r="CP83" s="34"/>
      <c r="CQ83" s="34"/>
      <c r="CR83" s="34"/>
      <c r="CS83" s="34"/>
      <c r="CT83" s="34"/>
      <c r="CU83" s="34"/>
      <c r="CV83" s="34"/>
      <c r="CW83" s="34"/>
      <c r="CX83" s="34"/>
      <c r="CY83" s="34"/>
    </row>
    <row r="84" spans="2:103">
      <c r="B84" s="1" t="s">
        <v>91</v>
      </c>
      <c r="C84" s="48">
        <v>-9.1</v>
      </c>
      <c r="D84" s="48">
        <v>-19.2</v>
      </c>
      <c r="E84" s="48">
        <v>-25.3</v>
      </c>
      <c r="F84" s="48">
        <v>-28.6</v>
      </c>
      <c r="G84" s="48">
        <v>-21.1</v>
      </c>
      <c r="H84" s="48">
        <v>-5.9</v>
      </c>
      <c r="I84" s="48">
        <v>-9.1999999999999993</v>
      </c>
      <c r="J84" s="48">
        <v>-2.2000000000000002</v>
      </c>
      <c r="K84" s="48">
        <v>-5.6</v>
      </c>
      <c r="L84" s="48">
        <v>-9.1</v>
      </c>
      <c r="M84" s="48">
        <v>-8.1999999999999993</v>
      </c>
      <c r="N84" s="48">
        <v>-8</v>
      </c>
      <c r="O84" s="48">
        <v>-9.5</v>
      </c>
      <c r="P84" s="48">
        <v>-17.899999999999999</v>
      </c>
      <c r="Q84" s="48">
        <v>-29.7</v>
      </c>
      <c r="R84" s="48">
        <v>-19</v>
      </c>
      <c r="S84" s="48">
        <v>-32.4</v>
      </c>
      <c r="T84" s="48">
        <v>-29.2</v>
      </c>
      <c r="U84" s="48">
        <v>-37.299999999999997</v>
      </c>
      <c r="V84" s="48">
        <v>-38.1</v>
      </c>
      <c r="W84" s="48">
        <v>-43.7</v>
      </c>
      <c r="X84" s="48">
        <f>-75.44-W84</f>
        <v>-31.739999999999995</v>
      </c>
      <c r="Y84" s="48">
        <v>-22.9</v>
      </c>
      <c r="AM84" s="48">
        <f t="shared" si="125"/>
        <v>-82.199999999999989</v>
      </c>
      <c r="AN84" s="48">
        <f t="shared" si="126"/>
        <v>-38.400000000000006</v>
      </c>
      <c r="AO84" s="48">
        <f t="shared" si="127"/>
        <v>-30.9</v>
      </c>
      <c r="AP84" s="48">
        <f t="shared" si="128"/>
        <v>-76.099999999999994</v>
      </c>
      <c r="AQ84" s="48">
        <f t="shared" si="129"/>
        <v>-137</v>
      </c>
    </row>
    <row r="85" spans="2:103" s="2" customFormat="1" ht="15">
      <c r="B85" s="2" t="s">
        <v>92</v>
      </c>
      <c r="C85" s="46">
        <f t="shared" ref="C85:Y85" si="130">C83+C84</f>
        <v>618.69999999999993</v>
      </c>
      <c r="D85" s="46">
        <f t="shared" si="130"/>
        <v>-126.8</v>
      </c>
      <c r="E85" s="46">
        <f t="shared" si="130"/>
        <v>-308.5</v>
      </c>
      <c r="F85" s="46">
        <f t="shared" si="130"/>
        <v>-158.1</v>
      </c>
      <c r="G85" s="46">
        <f t="shared" si="130"/>
        <v>-201.5</v>
      </c>
      <c r="H85" s="46">
        <f t="shared" si="130"/>
        <v>-115.4</v>
      </c>
      <c r="I85" s="46">
        <f t="shared" si="130"/>
        <v>-133.19999999999999</v>
      </c>
      <c r="J85" s="46">
        <f t="shared" si="130"/>
        <v>-31.5</v>
      </c>
      <c r="K85" s="46">
        <f t="shared" si="130"/>
        <v>-106.8</v>
      </c>
      <c r="L85" s="46">
        <f t="shared" si="130"/>
        <v>-75.899999999999991</v>
      </c>
      <c r="M85" s="46">
        <f t="shared" si="130"/>
        <v>-73.2</v>
      </c>
      <c r="N85" s="46">
        <f t="shared" si="130"/>
        <v>-100.4</v>
      </c>
      <c r="O85" s="46">
        <f t="shared" si="130"/>
        <v>-218.9</v>
      </c>
      <c r="P85" s="46">
        <f t="shared" si="130"/>
        <v>-140.1</v>
      </c>
      <c r="Q85" s="46">
        <f t="shared" si="130"/>
        <v>-145.6</v>
      </c>
      <c r="R85" s="46">
        <f t="shared" si="130"/>
        <v>-72.5</v>
      </c>
      <c r="S85" s="46">
        <f t="shared" si="130"/>
        <v>-273.5</v>
      </c>
      <c r="T85" s="46">
        <f t="shared" si="130"/>
        <v>-14.299999999999999</v>
      </c>
      <c r="U85" s="46">
        <f t="shared" si="130"/>
        <v>-108</v>
      </c>
      <c r="V85" s="46">
        <f t="shared" si="130"/>
        <v>53.9</v>
      </c>
      <c r="W85" s="46">
        <f t="shared" si="130"/>
        <v>-627.1</v>
      </c>
      <c r="X85" s="46">
        <f t="shared" si="130"/>
        <v>229.55999999999995</v>
      </c>
      <c r="Y85" s="46">
        <f t="shared" si="130"/>
        <v>-37.5</v>
      </c>
      <c r="Z85" s="34"/>
      <c r="AA85" s="34"/>
      <c r="AB85" s="34"/>
      <c r="AC85" s="34"/>
      <c r="AD85" s="34"/>
      <c r="AM85" s="46">
        <f t="shared" si="125"/>
        <v>25.299999999999926</v>
      </c>
      <c r="AN85" s="46">
        <f t="shared" si="126"/>
        <v>-481.59999999999997</v>
      </c>
      <c r="AO85" s="46">
        <f t="shared" si="127"/>
        <v>-356.29999999999995</v>
      </c>
      <c r="AP85" s="46">
        <f t="shared" si="128"/>
        <v>-577.1</v>
      </c>
      <c r="AQ85" s="46">
        <f t="shared" si="129"/>
        <v>-341.90000000000003</v>
      </c>
      <c r="AR85" s="34"/>
      <c r="AS85" s="34"/>
      <c r="AT85" s="34"/>
      <c r="AU85" s="34"/>
      <c r="AV85" s="34"/>
      <c r="AW85" s="34"/>
      <c r="AX85" s="34"/>
      <c r="AY85" s="34"/>
      <c r="AZ85" s="34"/>
      <c r="BA85" s="34"/>
      <c r="BB85" s="34"/>
      <c r="BC85" s="34"/>
      <c r="BD85" s="34"/>
      <c r="BE85" s="34"/>
      <c r="BF85" s="34"/>
      <c r="BG85" s="34"/>
      <c r="BH85" s="34"/>
      <c r="BI85" s="34"/>
      <c r="BJ85" s="34"/>
      <c r="BK85" s="34"/>
      <c r="BL85" s="34"/>
      <c r="BM85" s="34"/>
      <c r="BN85" s="34"/>
      <c r="BO85" s="34"/>
      <c r="BP85" s="34"/>
      <c r="BQ85" s="34"/>
      <c r="BR85" s="34"/>
      <c r="BS85" s="34"/>
      <c r="BT85" s="34"/>
      <c r="BU85" s="34"/>
      <c r="BV85" s="34"/>
      <c r="BW85" s="34"/>
      <c r="BX85" s="34"/>
      <c r="BY85" s="34"/>
      <c r="BZ85" s="34"/>
      <c r="CA85" s="34"/>
      <c r="CB85" s="34"/>
      <c r="CC85" s="34"/>
      <c r="CD85" s="34"/>
      <c r="CE85" s="34"/>
      <c r="CF85" s="34"/>
      <c r="CG85" s="34"/>
      <c r="CH85" s="34"/>
      <c r="CI85" s="34"/>
      <c r="CJ85" s="34"/>
      <c r="CK85" s="34"/>
      <c r="CL85" s="34"/>
      <c r="CM85" s="34"/>
      <c r="CN85" s="34"/>
      <c r="CO85" s="34"/>
      <c r="CP85" s="34"/>
      <c r="CQ85" s="34"/>
      <c r="CR85" s="34"/>
      <c r="CS85" s="34"/>
      <c r="CT85" s="34"/>
      <c r="CU85" s="34"/>
      <c r="CV85" s="34"/>
      <c r="CW85" s="34"/>
      <c r="CX85" s="34"/>
      <c r="CY85" s="34"/>
    </row>
    <row r="86" spans="2:103">
      <c r="B86" s="1" t="s">
        <v>93</v>
      </c>
      <c r="C86" s="48">
        <f t="shared" ref="C86:V86" si="131">C36</f>
        <v>76.432000000000002</v>
      </c>
      <c r="D86" s="48">
        <f t="shared" si="131"/>
        <v>77.968000000000004</v>
      </c>
      <c r="E86" s="48">
        <f t="shared" si="131"/>
        <v>78.501000000000005</v>
      </c>
      <c r="F86" s="48">
        <f t="shared" si="131"/>
        <v>77.77</v>
      </c>
      <c r="G86" s="48">
        <f t="shared" si="131"/>
        <v>79.453999999999994</v>
      </c>
      <c r="H86" s="48">
        <f t="shared" si="131"/>
        <v>79.745999999999995</v>
      </c>
      <c r="I86" s="48">
        <f t="shared" si="131"/>
        <v>79.88</v>
      </c>
      <c r="J86" s="48">
        <f t="shared" si="131"/>
        <v>87.12</v>
      </c>
      <c r="K86" s="48">
        <f t="shared" si="131"/>
        <v>87.253</v>
      </c>
      <c r="L86" s="48">
        <f t="shared" si="131"/>
        <v>87.510999999999996</v>
      </c>
      <c r="M86" s="48">
        <f t="shared" si="131"/>
        <v>87.62</v>
      </c>
      <c r="N86" s="48">
        <f t="shared" si="131"/>
        <v>87.980999999999995</v>
      </c>
      <c r="O86" s="48">
        <f t="shared" si="131"/>
        <v>88.186000000000007</v>
      </c>
      <c r="P86" s="48">
        <f t="shared" si="131"/>
        <v>88.742999999999995</v>
      </c>
      <c r="Q86" s="48">
        <f t="shared" si="131"/>
        <v>88.888999999999996</v>
      </c>
      <c r="R86" s="48">
        <f t="shared" si="131"/>
        <v>92.397999999999996</v>
      </c>
      <c r="S86" s="48">
        <f t="shared" si="131"/>
        <v>93.99</v>
      </c>
      <c r="T86" s="48">
        <f t="shared" si="131"/>
        <v>94.617999999999995</v>
      </c>
      <c r="U86" s="48">
        <f t="shared" si="131"/>
        <v>95.39</v>
      </c>
      <c r="V86" s="48">
        <f t="shared" si="131"/>
        <v>97.031999999999996</v>
      </c>
      <c r="W86" s="48">
        <f>W36</f>
        <v>97.361999999999995</v>
      </c>
      <c r="X86" s="48">
        <f>X36</f>
        <v>98.004999999999995</v>
      </c>
      <c r="Y86" s="48">
        <f>Y36</f>
        <v>100.23</v>
      </c>
      <c r="AM86" s="48">
        <f>AM36</f>
        <v>77.667749999999998</v>
      </c>
      <c r="AN86" s="48">
        <f t="shared" ref="AN86:AQ86" si="132">AN36</f>
        <v>81.55</v>
      </c>
      <c r="AO86" s="48">
        <f t="shared" si="132"/>
        <v>87.591250000000002</v>
      </c>
      <c r="AP86" s="48">
        <f t="shared" si="132"/>
        <v>89.554000000000002</v>
      </c>
      <c r="AQ86" s="48">
        <f t="shared" si="132"/>
        <v>95.257499999999993</v>
      </c>
    </row>
    <row r="87" spans="2:103">
      <c r="B87" s="1" t="s">
        <v>94</v>
      </c>
      <c r="C87" s="39">
        <f t="shared" ref="C87:V87" si="133">C85/C86</f>
        <v>8.0947770567301642</v>
      </c>
      <c r="D87" s="39">
        <f t="shared" si="133"/>
        <v>-1.6263082290170325</v>
      </c>
      <c r="E87" s="39">
        <f t="shared" si="133"/>
        <v>-3.9298862434873438</v>
      </c>
      <c r="F87" s="39">
        <f t="shared" si="133"/>
        <v>-2.0329175774720332</v>
      </c>
      <c r="G87" s="39">
        <f t="shared" si="133"/>
        <v>-2.5360585999446221</v>
      </c>
      <c r="H87" s="39">
        <f t="shared" si="133"/>
        <v>-1.4470945251172473</v>
      </c>
      <c r="I87" s="39">
        <f t="shared" si="133"/>
        <v>-1.6675012518778167</v>
      </c>
      <c r="J87" s="39">
        <f t="shared" si="133"/>
        <v>-0.36157024793388426</v>
      </c>
      <c r="K87" s="39">
        <f t="shared" si="133"/>
        <v>-1.2240266810310247</v>
      </c>
      <c r="L87" s="39">
        <f t="shared" si="133"/>
        <v>-0.86731953697249486</v>
      </c>
      <c r="M87" s="39">
        <f t="shared" si="133"/>
        <v>-0.83542570189454457</v>
      </c>
      <c r="N87" s="39">
        <f t="shared" si="133"/>
        <v>-1.1411554767506622</v>
      </c>
      <c r="O87" s="39">
        <f t="shared" si="133"/>
        <v>-2.4822534189100312</v>
      </c>
      <c r="P87" s="39">
        <f t="shared" si="133"/>
        <v>-1.5787160677461884</v>
      </c>
      <c r="Q87" s="39">
        <f t="shared" si="133"/>
        <v>-1.6379979525025594</v>
      </c>
      <c r="R87" s="39">
        <f t="shared" si="133"/>
        <v>-0.78464901837702117</v>
      </c>
      <c r="S87" s="39">
        <f t="shared" si="133"/>
        <v>-2.9098840302159807</v>
      </c>
      <c r="T87" s="39">
        <f t="shared" si="133"/>
        <v>-0.15113403369337758</v>
      </c>
      <c r="U87" s="39">
        <f t="shared" si="133"/>
        <v>-1.1321941503302233</v>
      </c>
      <c r="V87" s="39">
        <f t="shared" si="133"/>
        <v>0.55548684969906836</v>
      </c>
      <c r="W87" s="39">
        <f>W85/W86</f>
        <v>-6.4409112384708616</v>
      </c>
      <c r="X87" s="39">
        <f>X85/X86</f>
        <v>2.3423294729860715</v>
      </c>
      <c r="Y87" s="39">
        <f>Y85/Y86</f>
        <v>-0.37413947919784496</v>
      </c>
      <c r="AM87" s="39">
        <f t="shared" si="125"/>
        <v>0.50566500675375448</v>
      </c>
      <c r="AN87" s="39">
        <f t="shared" si="126"/>
        <v>-6.0122246248735705</v>
      </c>
      <c r="AO87" s="39">
        <f t="shared" si="127"/>
        <v>-4.0679273966487264</v>
      </c>
      <c r="AP87" s="39">
        <f t="shared" si="128"/>
        <v>-6.4836164575357991</v>
      </c>
      <c r="AQ87" s="39">
        <f t="shared" si="129"/>
        <v>-3.637725364540513</v>
      </c>
    </row>
    <row r="89" spans="2:103">
      <c r="B89" s="1" t="s">
        <v>1625</v>
      </c>
      <c r="C89" s="56">
        <f>C85/C23</f>
        <v>5.4427573587627771</v>
      </c>
      <c r="D89" s="56">
        <f t="shared" ref="D89:Y89" si="134">D85/D23</f>
        <v>-0.92312844444120867</v>
      </c>
      <c r="E89" s="56">
        <f t="shared" si="134"/>
        <v>-2.1434923987660155</v>
      </c>
      <c r="F89" s="56">
        <f t="shared" si="134"/>
        <v>-1.089278086287911</v>
      </c>
      <c r="G89" s="56">
        <f t="shared" si="134"/>
        <v>-1.3713920139385152</v>
      </c>
      <c r="H89" s="56">
        <f t="shared" si="134"/>
        <v>-0.70327688022963153</v>
      </c>
      <c r="I89" s="56">
        <f t="shared" si="134"/>
        <v>-0.70338490785235241</v>
      </c>
      <c r="J89" s="56">
        <f t="shared" si="134"/>
        <v>-0.15636246308108512</v>
      </c>
      <c r="K89" s="56">
        <f t="shared" si="134"/>
        <v>-0.50656927382251105</v>
      </c>
      <c r="L89" s="56">
        <f t="shared" si="134"/>
        <v>-0.32500203393894755</v>
      </c>
      <c r="M89" s="56">
        <f t="shared" si="134"/>
        <v>-0.31788217514786732</v>
      </c>
      <c r="N89" s="56">
        <f t="shared" si="134"/>
        <v>-0.38858699859117868</v>
      </c>
      <c r="O89" s="56">
        <f t="shared" si="134"/>
        <v>-0.86352788023432414</v>
      </c>
      <c r="P89" s="56">
        <f t="shared" si="134"/>
        <v>-0.53629257611832881</v>
      </c>
      <c r="Q89" s="56">
        <f t="shared" si="134"/>
        <v>-0.43880798534092003</v>
      </c>
      <c r="R89" s="56">
        <f t="shared" si="134"/>
        <v>-0.18271399589208534</v>
      </c>
      <c r="S89" s="56">
        <f t="shared" si="134"/>
        <v>-0.66149563316136861</v>
      </c>
      <c r="T89" s="56">
        <f t="shared" si="134"/>
        <v>-3.9401863184607366E-2</v>
      </c>
      <c r="U89" s="56">
        <f t="shared" si="134"/>
        <v>-0.23117873326897431</v>
      </c>
      <c r="V89" s="56">
        <f t="shared" si="134"/>
        <v>8.1862143542762722E-2</v>
      </c>
      <c r="W89" s="56">
        <f t="shared" si="134"/>
        <v>-0.8419009158743499</v>
      </c>
      <c r="X89" s="56">
        <f t="shared" si="134"/>
        <v>0.37565784306024652</v>
      </c>
      <c r="Y89" s="56">
        <f t="shared" si="134"/>
        <v>-9.3904237710439403E-2</v>
      </c>
    </row>
  </sheetData>
  <mergeCells count="1">
    <mergeCell ref="AZ60:BA60"/>
  </mergeCells>
  <conditionalFormatting sqref="AZ60:BA60">
    <cfRule type="colorScale" priority="1">
      <colorScale>
        <cfvo type="min"/>
        <cfvo type="percentile" val="50"/>
        <cfvo type="max"/>
        <color rgb="FFF8696B"/>
        <color rgb="FFFCFCFF"/>
        <color rgb="FF63BE7B"/>
      </colorScale>
    </cfRule>
    <cfRule type="containsText" dxfId="4" priority="2" operator="containsText" text="Strong Sell">
      <formula>NOT(ISERROR(SEARCH("Strong Sell",AZ60)))</formula>
    </cfRule>
    <cfRule type="containsText" dxfId="3" priority="3" operator="containsText" text="Sell">
      <formula>NOT(ISERROR(SEARCH("Sell",AZ60)))</formula>
    </cfRule>
    <cfRule type="containsText" dxfId="2" priority="4" operator="containsText" text="Hold">
      <formula>NOT(ISERROR(SEARCH("Hold",AZ60)))</formula>
    </cfRule>
    <cfRule type="beginsWith" dxfId="1" priority="5" operator="beginsWith" text="Buy">
      <formula>LEFT(AZ60,LEN("Buy"))="Buy"</formula>
    </cfRule>
    <cfRule type="beginsWith" dxfId="0" priority="6" operator="beginsWith" text="Strong">
      <formula>LEFT(AZ60,LEN("Strong"))="Strong"</formula>
    </cfRule>
  </conditionalFormatting>
  <pageMargins left="0.7" right="0.7" top="0.75" bottom="0.75" header="0.3" footer="0.3"/>
  <ignoredErrors>
    <ignoredError sqref="Z37:AA37 AM82:AQ82 J35:W43" formula="1"/>
    <ignoredError sqref="AM5:AQ10 F74:Y80 P5:V9" formulaRange="1"/>
    <ignoredError sqref="AM11:AQ11 AM36:AQ36" formula="1" formulaRange="1"/>
  </ignoredError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FD4A5-C172-4508-BDD9-9132B91E029B}">
  <dimension ref="A1:CA1545"/>
  <sheetViews>
    <sheetView topLeftCell="H162" zoomScale="85" zoomScaleNormal="85" workbookViewId="0">
      <selection activeCell="AA122" sqref="AA122"/>
    </sheetView>
  </sheetViews>
  <sheetFormatPr defaultRowHeight="14.25"/>
  <cols>
    <col min="1" max="7" width="9.140625" style="1" hidden="1" customWidth="1"/>
    <col min="8" max="8" width="3.140625" style="1" customWidth="1"/>
    <col min="9" max="28" width="9.140625" style="1"/>
    <col min="29" max="29" width="2.85546875" style="1" customWidth="1"/>
    <col min="30" max="16384" width="9.140625" style="1"/>
  </cols>
  <sheetData>
    <row r="1" spans="8:79">
      <c r="CA1" s="1">
        <v>0</v>
      </c>
    </row>
    <row r="2" spans="8:79" ht="15">
      <c r="H2" s="2" t="s">
        <v>116</v>
      </c>
      <c r="AC2" s="2" t="s">
        <v>95</v>
      </c>
    </row>
    <row r="27" spans="8:29">
      <c r="I27" s="1" t="s">
        <v>12</v>
      </c>
      <c r="J27" s="1" t="s">
        <v>13</v>
      </c>
    </row>
    <row r="28" spans="8:29">
      <c r="J28" s="1" t="s">
        <v>14</v>
      </c>
    </row>
    <row r="29" spans="8:29">
      <c r="J29" s="1" t="s">
        <v>15</v>
      </c>
    </row>
    <row r="31" spans="8:29" ht="15">
      <c r="H31" s="2" t="s">
        <v>1442</v>
      </c>
    </row>
    <row r="32" spans="8:29" ht="15">
      <c r="AC32" s="2" t="s">
        <v>96</v>
      </c>
    </row>
    <row r="33" spans="29:29" ht="15">
      <c r="AC33" s="2" t="s">
        <v>97</v>
      </c>
    </row>
    <row r="59" spans="8:31">
      <c r="I59" s="1" t="s">
        <v>12</v>
      </c>
      <c r="J59" s="1" t="s">
        <v>13</v>
      </c>
    </row>
    <row r="60" spans="8:31">
      <c r="J60" s="1" t="s">
        <v>14</v>
      </c>
    </row>
    <row r="61" spans="8:31">
      <c r="J61" s="1" t="s">
        <v>15</v>
      </c>
    </row>
    <row r="62" spans="8:31">
      <c r="AD62" s="1" t="s">
        <v>1604</v>
      </c>
    </row>
    <row r="63" spans="8:31" ht="15">
      <c r="H63" s="2" t="s">
        <v>11</v>
      </c>
      <c r="AE63" s="1" t="s">
        <v>1636</v>
      </c>
    </row>
    <row r="64" spans="8:31">
      <c r="AE64" s="1" t="s">
        <v>1637</v>
      </c>
    </row>
    <row r="65" spans="29:32">
      <c r="AF65" s="1" t="s">
        <v>1638</v>
      </c>
    </row>
    <row r="66" spans="29:32">
      <c r="AE66" s="1" t="s">
        <v>1639</v>
      </c>
    </row>
    <row r="79" spans="29:32" ht="15">
      <c r="AC79" s="2" t="s">
        <v>98</v>
      </c>
    </row>
    <row r="95" spans="9:10">
      <c r="I95" s="1" t="s">
        <v>12</v>
      </c>
      <c r="J95" s="1" t="s">
        <v>13</v>
      </c>
    </row>
    <row r="96" spans="9:10">
      <c r="J96" s="1" t="s">
        <v>14</v>
      </c>
    </row>
    <row r="97" spans="8:10">
      <c r="J97" s="1" t="s">
        <v>15</v>
      </c>
    </row>
    <row r="99" spans="8:10" ht="15">
      <c r="H99" s="2" t="s">
        <v>190</v>
      </c>
    </row>
    <row r="128" spans="9:10">
      <c r="I128" s="1" t="s">
        <v>12</v>
      </c>
      <c r="J128" s="1" t="s">
        <v>13</v>
      </c>
    </row>
    <row r="129" spans="8:29">
      <c r="J129" s="1" t="s">
        <v>14</v>
      </c>
    </row>
    <row r="130" spans="8:29">
      <c r="J130" s="1" t="s">
        <v>15</v>
      </c>
    </row>
    <row r="132" spans="8:29" ht="15">
      <c r="H132" s="2" t="s">
        <v>191</v>
      </c>
      <c r="AC132" s="2" t="s">
        <v>99</v>
      </c>
    </row>
    <row r="148" ht="15" customHeight="1"/>
    <row r="161" spans="8:10">
      <c r="I161" s="1" t="s">
        <v>12</v>
      </c>
      <c r="J161" s="1" t="s">
        <v>13</v>
      </c>
    </row>
    <row r="162" spans="8:10">
      <c r="J162" s="1" t="s">
        <v>14</v>
      </c>
    </row>
    <row r="163" spans="8:10">
      <c r="J163" s="1" t="s">
        <v>15</v>
      </c>
    </row>
    <row r="165" spans="8:10" ht="15">
      <c r="H165" s="2" t="s">
        <v>1473</v>
      </c>
    </row>
    <row r="183" spans="1:29" ht="15">
      <c r="A183" s="1" t="s">
        <v>1441</v>
      </c>
      <c r="AC183" s="2" t="s">
        <v>100</v>
      </c>
    </row>
    <row r="184" spans="1:29">
      <c r="A184" s="24" t="s">
        <v>16</v>
      </c>
      <c r="B184" s="24" t="s">
        <v>17</v>
      </c>
      <c r="C184" s="24" t="s">
        <v>18</v>
      </c>
      <c r="D184" s="24" t="s">
        <v>19</v>
      </c>
      <c r="E184" s="24" t="s">
        <v>20</v>
      </c>
      <c r="F184" s="24" t="s">
        <v>21</v>
      </c>
      <c r="G184" s="24" t="s">
        <v>22</v>
      </c>
    </row>
    <row r="185" spans="1:29">
      <c r="A185" s="52">
        <v>20.94</v>
      </c>
      <c r="B185" s="52">
        <v>21.549900000000001</v>
      </c>
      <c r="C185" s="52">
        <v>18.3001</v>
      </c>
      <c r="D185" s="52">
        <v>21.26</v>
      </c>
      <c r="E185" s="52">
        <v>43041864</v>
      </c>
      <c r="F185" s="52" t="s">
        <v>192</v>
      </c>
      <c r="G185" s="25">
        <f>A185/D185-1</f>
        <v>-1.5051740357478804E-2</v>
      </c>
    </row>
    <row r="186" spans="1:29">
      <c r="A186" s="52">
        <v>36.18</v>
      </c>
      <c r="B186" s="52">
        <v>38.090000000000003</v>
      </c>
      <c r="C186" s="52">
        <v>35.770000000000003</v>
      </c>
      <c r="D186" s="52">
        <v>37.049999999999997</v>
      </c>
      <c r="E186" s="52">
        <v>3233810</v>
      </c>
      <c r="F186" s="52" t="s">
        <v>193</v>
      </c>
      <c r="G186" s="25">
        <f t="shared" ref="G186:G243" si="0">A186/D186-1</f>
        <v>-2.3481781376518129E-2</v>
      </c>
    </row>
    <row r="187" spans="1:29">
      <c r="A187" s="52">
        <v>37.31</v>
      </c>
      <c r="B187" s="52">
        <v>37.840000000000003</v>
      </c>
      <c r="C187" s="52">
        <v>36.799999999999997</v>
      </c>
      <c r="D187" s="52">
        <v>37.6</v>
      </c>
      <c r="E187" s="52">
        <v>3199528</v>
      </c>
      <c r="F187" s="52" t="s">
        <v>194</v>
      </c>
      <c r="G187" s="25">
        <f t="shared" si="0"/>
        <v>-7.7127659574467433E-3</v>
      </c>
    </row>
    <row r="188" spans="1:29">
      <c r="A188" s="52">
        <v>37.81</v>
      </c>
      <c r="B188" s="52">
        <v>39.635899999999999</v>
      </c>
      <c r="C188" s="52">
        <v>37.76</v>
      </c>
      <c r="D188" s="52">
        <v>39.305</v>
      </c>
      <c r="E188" s="52">
        <v>2367951</v>
      </c>
      <c r="F188" s="52" t="s">
        <v>195</v>
      </c>
      <c r="G188" s="25">
        <f t="shared" si="0"/>
        <v>-3.8035873298562506E-2</v>
      </c>
    </row>
    <row r="189" spans="1:29">
      <c r="A189" s="52">
        <v>39.07</v>
      </c>
      <c r="B189" s="52">
        <v>40.9</v>
      </c>
      <c r="C189" s="52">
        <v>38.950000000000003</v>
      </c>
      <c r="D189" s="52">
        <v>40</v>
      </c>
      <c r="E189" s="52">
        <v>3397782</v>
      </c>
      <c r="F189" s="52" t="s">
        <v>196</v>
      </c>
      <c r="G189" s="25">
        <f t="shared" si="0"/>
        <v>-2.3249999999999993E-2</v>
      </c>
    </row>
    <row r="190" spans="1:29">
      <c r="A190" s="52">
        <v>39.71</v>
      </c>
      <c r="B190" s="52">
        <v>43.915599999999998</v>
      </c>
      <c r="C190" s="52">
        <v>39.410499999999999</v>
      </c>
      <c r="D190" s="52">
        <v>43.795000000000002</v>
      </c>
      <c r="E190" s="52">
        <v>5629632</v>
      </c>
      <c r="F190" s="52" t="s">
        <v>197</v>
      </c>
      <c r="G190" s="25">
        <f t="shared" si="0"/>
        <v>-9.3275488069414325E-2</v>
      </c>
    </row>
    <row r="191" spans="1:29">
      <c r="A191" s="52">
        <v>43.01</v>
      </c>
      <c r="B191" s="52">
        <v>43.54</v>
      </c>
      <c r="C191" s="52">
        <v>40.450000000000003</v>
      </c>
      <c r="D191" s="52">
        <v>40.450000000000003</v>
      </c>
      <c r="E191" s="52">
        <v>4851881</v>
      </c>
      <c r="F191" s="52" t="s">
        <v>198</v>
      </c>
      <c r="G191" s="25">
        <f t="shared" si="0"/>
        <v>6.3288009888751384E-2</v>
      </c>
    </row>
    <row r="192" spans="1:29">
      <c r="A192" s="52">
        <v>39.21</v>
      </c>
      <c r="B192" s="52">
        <v>40.49</v>
      </c>
      <c r="C192" s="52">
        <v>37.909999999999997</v>
      </c>
      <c r="D192" s="52">
        <v>39.54</v>
      </c>
      <c r="E192" s="52">
        <v>2864373</v>
      </c>
      <c r="F192" s="52" t="s">
        <v>199</v>
      </c>
      <c r="G192" s="25">
        <f t="shared" si="0"/>
        <v>-8.3459787556904308E-3</v>
      </c>
    </row>
    <row r="193" spans="1:16">
      <c r="A193" s="52">
        <v>39.54</v>
      </c>
      <c r="B193" s="52">
        <v>40.28</v>
      </c>
      <c r="C193" s="52">
        <v>38.634999999999998</v>
      </c>
      <c r="D193" s="52">
        <v>39.049999999999997</v>
      </c>
      <c r="E193" s="52">
        <v>2338059</v>
      </c>
      <c r="F193" s="52" t="s">
        <v>200</v>
      </c>
      <c r="G193" s="25">
        <f t="shared" si="0"/>
        <v>1.2548015364916898E-2</v>
      </c>
    </row>
    <row r="194" spans="1:16">
      <c r="A194" s="52">
        <v>38.869999999999997</v>
      </c>
      <c r="B194" s="52">
        <v>39.119999999999997</v>
      </c>
      <c r="C194" s="52">
        <v>37.150300000000001</v>
      </c>
      <c r="D194" s="52">
        <v>37.72</v>
      </c>
      <c r="E194" s="52">
        <v>2211270</v>
      </c>
      <c r="F194" s="52" t="s">
        <v>201</v>
      </c>
      <c r="G194" s="25">
        <f t="shared" si="0"/>
        <v>3.0487804878048808E-2</v>
      </c>
      <c r="I194" s="1" t="s">
        <v>12</v>
      </c>
      <c r="J194" s="1" t="s">
        <v>13</v>
      </c>
    </row>
    <row r="195" spans="1:16">
      <c r="A195" s="52">
        <v>37.74</v>
      </c>
      <c r="B195" s="52">
        <v>39.01</v>
      </c>
      <c r="C195" s="52">
        <v>37.07</v>
      </c>
      <c r="D195" s="52">
        <v>37.85</v>
      </c>
      <c r="E195" s="52">
        <v>2210050</v>
      </c>
      <c r="F195" s="52" t="s">
        <v>202</v>
      </c>
      <c r="G195" s="25">
        <f t="shared" si="0"/>
        <v>-2.9062087186261243E-3</v>
      </c>
      <c r="J195" s="1" t="s">
        <v>14</v>
      </c>
    </row>
    <row r="196" spans="1:16">
      <c r="A196" s="52">
        <v>37.6</v>
      </c>
      <c r="B196" s="52">
        <v>38.15</v>
      </c>
      <c r="C196" s="52">
        <v>36.96</v>
      </c>
      <c r="D196" s="52">
        <v>38.049999999999997</v>
      </c>
      <c r="E196" s="52">
        <v>3093450</v>
      </c>
      <c r="F196" s="52" t="s">
        <v>203</v>
      </c>
      <c r="G196" s="25">
        <f t="shared" si="0"/>
        <v>-1.1826544021024898E-2</v>
      </c>
      <c r="J196" s="1" t="s">
        <v>15</v>
      </c>
    </row>
    <row r="197" spans="1:16">
      <c r="A197" s="52">
        <v>39.99</v>
      </c>
      <c r="B197" s="52">
        <v>40.700000000000003</v>
      </c>
      <c r="C197" s="52">
        <v>37.145000000000003</v>
      </c>
      <c r="D197" s="52">
        <v>38.020000000000003</v>
      </c>
      <c r="E197" s="52">
        <v>4912564</v>
      </c>
      <c r="F197" s="52" t="s">
        <v>204</v>
      </c>
      <c r="G197" s="25">
        <f t="shared" si="0"/>
        <v>5.1814834297738033E-2</v>
      </c>
    </row>
    <row r="198" spans="1:16">
      <c r="A198" s="52">
        <v>37.94</v>
      </c>
      <c r="B198" s="52">
        <v>38.36</v>
      </c>
      <c r="C198" s="52">
        <v>35.85</v>
      </c>
      <c r="D198" s="52">
        <v>35.99</v>
      </c>
      <c r="E198" s="52">
        <v>3664098</v>
      </c>
      <c r="F198" s="52" t="s">
        <v>205</v>
      </c>
      <c r="G198" s="25">
        <f t="shared" si="0"/>
        <v>5.4181717143650943E-2</v>
      </c>
      <c r="I198" s="26"/>
      <c r="J198" s="26" t="s">
        <v>23</v>
      </c>
      <c r="K198" s="27">
        <f>MIN(G185:G428)</f>
        <v>-0.25705204608661103</v>
      </c>
    </row>
    <row r="199" spans="1:16">
      <c r="A199" s="52">
        <v>36.43</v>
      </c>
      <c r="B199" s="52">
        <v>36.72</v>
      </c>
      <c r="C199" s="52">
        <v>35.25</v>
      </c>
      <c r="D199" s="52">
        <v>35.64</v>
      </c>
      <c r="E199" s="52">
        <v>4052764</v>
      </c>
      <c r="F199" s="52" t="s">
        <v>206</v>
      </c>
      <c r="G199" s="25">
        <f t="shared" si="0"/>
        <v>2.2166105499438871E-2</v>
      </c>
      <c r="I199" s="26"/>
      <c r="J199" s="26" t="s">
        <v>24</v>
      </c>
      <c r="K199" s="27">
        <f>MAX(G185:G428)</f>
        <v>0.14624098867147284</v>
      </c>
    </row>
    <row r="200" spans="1:16">
      <c r="A200" s="52">
        <v>35.270000000000003</v>
      </c>
      <c r="B200" s="52">
        <v>35.700000000000003</v>
      </c>
      <c r="C200" s="52">
        <v>34.1</v>
      </c>
      <c r="D200" s="52">
        <v>35.700000000000003</v>
      </c>
      <c r="E200" s="52">
        <v>3896257</v>
      </c>
      <c r="F200" s="52" t="s">
        <v>207</v>
      </c>
      <c r="G200" s="25">
        <f t="shared" si="0"/>
        <v>-1.2044817927170826E-2</v>
      </c>
      <c r="I200" s="26"/>
      <c r="J200" s="26" t="s">
        <v>25</v>
      </c>
      <c r="K200" s="27">
        <f>AVERAGE(G185:G428)</f>
        <v>-3.2638117687302437E-3</v>
      </c>
    </row>
    <row r="201" spans="1:16">
      <c r="A201" s="52">
        <v>35.74</v>
      </c>
      <c r="B201" s="52">
        <v>37.416699999999999</v>
      </c>
      <c r="C201" s="52">
        <v>35.561199999999999</v>
      </c>
      <c r="D201" s="52">
        <v>36.25</v>
      </c>
      <c r="E201" s="52">
        <v>5227734</v>
      </c>
      <c r="F201" s="52" t="s">
        <v>208</v>
      </c>
      <c r="G201" s="25">
        <f t="shared" si="0"/>
        <v>-1.406896551724135E-2</v>
      </c>
      <c r="I201" s="26"/>
      <c r="J201" s="26" t="s">
        <v>26</v>
      </c>
      <c r="K201" s="27">
        <f>MEDIAN(G185:G428)</f>
        <v>-2.8354551027935937E-3</v>
      </c>
    </row>
    <row r="202" spans="1:16" ht="15">
      <c r="A202" s="52">
        <v>36.200000000000003</v>
      </c>
      <c r="B202" s="52">
        <v>37.32</v>
      </c>
      <c r="C202" s="52">
        <v>34.9</v>
      </c>
      <c r="D202" s="52">
        <v>36.57</v>
      </c>
      <c r="E202" s="52">
        <v>5670168</v>
      </c>
      <c r="F202" s="52" t="s">
        <v>209</v>
      </c>
      <c r="G202" s="25">
        <f t="shared" si="0"/>
        <v>-1.0117582718074836E-2</v>
      </c>
      <c r="I202" s="26"/>
      <c r="J202" s="26" t="s">
        <v>27</v>
      </c>
      <c r="K202" s="27">
        <f>_xlfn.STDEV.P(G185:G428)</f>
        <v>3.263689140468902E-2</v>
      </c>
      <c r="M202" s="2"/>
    </row>
    <row r="203" spans="1:16" ht="15">
      <c r="A203" s="52">
        <v>36.369999999999997</v>
      </c>
      <c r="B203" s="52">
        <v>39.214399999999998</v>
      </c>
      <c r="C203" s="52">
        <v>36.21</v>
      </c>
      <c r="D203" s="52">
        <v>37.700000000000003</v>
      </c>
      <c r="E203" s="52">
        <v>8369292</v>
      </c>
      <c r="F203" s="52" t="s">
        <v>210</v>
      </c>
      <c r="G203" s="25">
        <f t="shared" si="0"/>
        <v>-3.5278514588859555E-2</v>
      </c>
      <c r="I203" s="26"/>
      <c r="J203" s="28" t="s">
        <v>28</v>
      </c>
      <c r="K203" s="27">
        <f>3*K202</f>
        <v>9.7910674214067059E-2</v>
      </c>
      <c r="L203" s="26"/>
      <c r="M203" s="2" t="s">
        <v>110</v>
      </c>
    </row>
    <row r="204" spans="1:16" ht="15">
      <c r="A204" s="52">
        <v>36.270000000000003</v>
      </c>
      <c r="B204" s="52">
        <v>39.659999999999997</v>
      </c>
      <c r="C204" s="52">
        <v>35.932400000000001</v>
      </c>
      <c r="D204" s="52">
        <v>37.32</v>
      </c>
      <c r="E204" s="52">
        <v>6625629</v>
      </c>
      <c r="F204" s="52" t="s">
        <v>211</v>
      </c>
      <c r="G204" s="25">
        <f t="shared" si="0"/>
        <v>-2.8135048231511139E-2</v>
      </c>
      <c r="I204" s="26"/>
      <c r="J204" s="28" t="s">
        <v>29</v>
      </c>
      <c r="K204" s="51">
        <v>0.6</v>
      </c>
      <c r="L204" s="26"/>
      <c r="M204" s="2" t="s">
        <v>30</v>
      </c>
    </row>
    <row r="205" spans="1:16">
      <c r="A205" s="52">
        <v>36.520000000000003</v>
      </c>
      <c r="B205" s="52">
        <v>38.03</v>
      </c>
      <c r="C205" s="52">
        <v>35.46</v>
      </c>
      <c r="D205" s="52">
        <v>37.26</v>
      </c>
      <c r="E205" s="52">
        <v>9244275</v>
      </c>
      <c r="F205" s="52" t="s">
        <v>212</v>
      </c>
      <c r="G205" s="25">
        <f t="shared" si="0"/>
        <v>-1.9860440150295089E-2</v>
      </c>
    </row>
    <row r="206" spans="1:16">
      <c r="A206" s="52">
        <v>36.72</v>
      </c>
      <c r="B206" s="52">
        <v>40</v>
      </c>
      <c r="C206" s="52">
        <v>36.585000000000001</v>
      </c>
      <c r="D206" s="52">
        <v>39.99</v>
      </c>
      <c r="E206" s="52">
        <v>20751470</v>
      </c>
      <c r="F206" s="52" t="s">
        <v>213</v>
      </c>
      <c r="G206" s="25">
        <f t="shared" si="0"/>
        <v>-8.1770442610652694E-2</v>
      </c>
    </row>
    <row r="207" spans="1:16">
      <c r="A207" s="52">
        <v>46.75</v>
      </c>
      <c r="B207" s="52">
        <v>63.919899999999998</v>
      </c>
      <c r="C207" s="52">
        <v>46.52</v>
      </c>
      <c r="D207" s="52">
        <v>62.924999999999997</v>
      </c>
      <c r="E207" s="52">
        <v>15763443</v>
      </c>
      <c r="F207" s="52" t="s">
        <v>214</v>
      </c>
      <c r="G207" s="25">
        <f t="shared" si="0"/>
        <v>-0.25705204608661103</v>
      </c>
      <c r="I207" s="29" t="s">
        <v>31</v>
      </c>
      <c r="J207" s="30">
        <v>1255</v>
      </c>
    </row>
    <row r="208" spans="1:16" ht="15" thickBot="1">
      <c r="A208" s="52">
        <v>63.66</v>
      </c>
      <c r="B208" s="52">
        <v>64.8</v>
      </c>
      <c r="C208" s="52">
        <v>63.12</v>
      </c>
      <c r="D208" s="52">
        <v>63.41</v>
      </c>
      <c r="E208" s="52">
        <v>2092060</v>
      </c>
      <c r="F208" s="52" t="s">
        <v>215</v>
      </c>
      <c r="G208" s="25">
        <f t="shared" si="0"/>
        <v>3.942595805078053E-3</v>
      </c>
      <c r="I208" s="1" t="s">
        <v>32</v>
      </c>
      <c r="L208" s="1" t="s">
        <v>33</v>
      </c>
      <c r="P208" s="1" t="s">
        <v>34</v>
      </c>
    </row>
    <row r="209" spans="1:17" ht="15" customHeight="1">
      <c r="A209" s="52">
        <v>63.51</v>
      </c>
      <c r="B209" s="52">
        <v>64.3</v>
      </c>
      <c r="C209" s="52">
        <v>63.018700000000003</v>
      </c>
      <c r="D209" s="52">
        <v>63.5</v>
      </c>
      <c r="E209" s="52">
        <v>1396031</v>
      </c>
      <c r="F209" s="52" t="s">
        <v>216</v>
      </c>
      <c r="G209" s="25">
        <f t="shared" si="0"/>
        <v>1.5748031496065629E-4</v>
      </c>
      <c r="I209" s="74" t="s">
        <v>35</v>
      </c>
      <c r="J209" s="74" t="s">
        <v>36</v>
      </c>
      <c r="L209" s="31" t="s">
        <v>37</v>
      </c>
      <c r="M209" s="32" t="s">
        <v>38</v>
      </c>
      <c r="P209" s="31" t="s">
        <v>39</v>
      </c>
      <c r="Q209" s="32" t="s">
        <v>40</v>
      </c>
    </row>
    <row r="210" spans="1:17">
      <c r="A210" s="52">
        <v>62.78</v>
      </c>
      <c r="B210" s="52">
        <v>64</v>
      </c>
      <c r="C210" s="52">
        <v>60.530099999999997</v>
      </c>
      <c r="D210" s="52">
        <v>62.45</v>
      </c>
      <c r="E210" s="52">
        <v>1360542</v>
      </c>
      <c r="F210" s="52" t="s">
        <v>217</v>
      </c>
      <c r="G210" s="25">
        <f t="shared" si="0"/>
        <v>5.2842273819055929E-3</v>
      </c>
      <c r="I210" s="72">
        <v>-0.1</v>
      </c>
      <c r="J210" s="1">
        <v>0</v>
      </c>
      <c r="L210" s="72">
        <v>-0.10249999999999999</v>
      </c>
      <c r="M210" s="1">
        <f>_xlfn.NORM.DIST(L210,$K$200,$K$202,FALSE)</f>
        <v>0.12011649383551139</v>
      </c>
      <c r="O210" s="1" t="s">
        <v>101</v>
      </c>
      <c r="P210" s="72">
        <f>K200</f>
        <v>-3.2638117687302437E-3</v>
      </c>
      <c r="Q210" s="1">
        <v>0</v>
      </c>
    </row>
    <row r="211" spans="1:17">
      <c r="A211" s="52">
        <v>62.4</v>
      </c>
      <c r="B211" s="52">
        <v>62.51</v>
      </c>
      <c r="C211" s="52">
        <v>59.616900000000001</v>
      </c>
      <c r="D211" s="52">
        <v>59.98</v>
      </c>
      <c r="E211" s="52">
        <v>1577083</v>
      </c>
      <c r="F211" s="52" t="s">
        <v>218</v>
      </c>
      <c r="G211" s="25">
        <f t="shared" si="0"/>
        <v>4.0346782260753722E-2</v>
      </c>
      <c r="I211" s="72">
        <v>-9.7500000000000003E-2</v>
      </c>
      <c r="J211" s="1">
        <v>1</v>
      </c>
      <c r="L211" s="72">
        <v>-0.1</v>
      </c>
      <c r="M211" s="1">
        <f t="shared" ref="M211:M274" si="1">_xlfn.NORM.DIST(L211,$K$200,$K$202,FALSE)</f>
        <v>0.15117537501492906</v>
      </c>
      <c r="P211" s="72">
        <f>K200</f>
        <v>-3.2638117687302437E-3</v>
      </c>
      <c r="Q211" s="1">
        <v>20</v>
      </c>
    </row>
    <row r="212" spans="1:17">
      <c r="A212" s="52">
        <v>60.85</v>
      </c>
      <c r="B212" s="52">
        <v>62.132599999999996</v>
      </c>
      <c r="C212" s="52">
        <v>60.55</v>
      </c>
      <c r="D212" s="52">
        <v>61.37</v>
      </c>
      <c r="E212" s="52">
        <v>1995899</v>
      </c>
      <c r="F212" s="52" t="s">
        <v>219</v>
      </c>
      <c r="G212" s="25">
        <f t="shared" si="0"/>
        <v>-8.4731953723317099E-3</v>
      </c>
      <c r="I212" s="72">
        <v>-9.5000000000000001E-2</v>
      </c>
      <c r="J212" s="1">
        <v>0</v>
      </c>
      <c r="L212" s="72">
        <v>-9.7500000000000003E-2</v>
      </c>
      <c r="M212" s="1">
        <f t="shared" si="1"/>
        <v>0.18915210760711276</v>
      </c>
      <c r="O212" s="38" t="s">
        <v>102</v>
      </c>
      <c r="P212" s="72">
        <f>($K$202*-3)+$K$200</f>
        <v>-0.1011744859827973</v>
      </c>
      <c r="Q212" s="1">
        <v>0</v>
      </c>
    </row>
    <row r="213" spans="1:17">
      <c r="A213" s="52">
        <v>61.51</v>
      </c>
      <c r="B213" s="52">
        <v>62.47</v>
      </c>
      <c r="C213" s="52">
        <v>60.18</v>
      </c>
      <c r="D213" s="52">
        <v>60.59</v>
      </c>
      <c r="E213" s="52">
        <v>1155727</v>
      </c>
      <c r="F213" s="52" t="s">
        <v>220</v>
      </c>
      <c r="G213" s="25">
        <f t="shared" si="0"/>
        <v>1.5184023766297905E-2</v>
      </c>
      <c r="I213" s="72">
        <v>-9.2499999999999999E-2</v>
      </c>
      <c r="J213" s="1">
        <v>2</v>
      </c>
      <c r="L213" s="72">
        <v>-9.5000000000000001E-2</v>
      </c>
      <c r="M213" s="1">
        <f t="shared" si="1"/>
        <v>0.23528434795000719</v>
      </c>
      <c r="O213" s="39"/>
      <c r="P213" s="72">
        <f>($K$202*-3)+$K$200</f>
        <v>-0.1011744859827973</v>
      </c>
      <c r="Q213" s="1">
        <v>2</v>
      </c>
    </row>
    <row r="214" spans="1:17">
      <c r="A214" s="52">
        <v>60.44</v>
      </c>
      <c r="B214" s="52">
        <v>61.924100000000003</v>
      </c>
      <c r="C214" s="52">
        <v>59.96</v>
      </c>
      <c r="D214" s="52">
        <v>61.68</v>
      </c>
      <c r="E214" s="52">
        <v>1312947</v>
      </c>
      <c r="F214" s="52" t="s">
        <v>221</v>
      </c>
      <c r="G214" s="25">
        <f t="shared" si="0"/>
        <v>-2.0103761348897575E-2</v>
      </c>
      <c r="I214" s="72">
        <v>-0.09</v>
      </c>
      <c r="J214" s="1">
        <v>1</v>
      </c>
      <c r="L214" s="72">
        <v>-9.2499999999999999E-2</v>
      </c>
      <c r="M214" s="1">
        <f t="shared" si="1"/>
        <v>0.29095552723921025</v>
      </c>
      <c r="O214" s="38" t="s">
        <v>103</v>
      </c>
      <c r="P214" s="72">
        <f>($K$202*-2)+$K$200</f>
        <v>-6.8537594578108277E-2</v>
      </c>
      <c r="Q214" s="1">
        <v>0</v>
      </c>
    </row>
    <row r="215" spans="1:17">
      <c r="A215" s="52">
        <v>61.76</v>
      </c>
      <c r="B215" s="52">
        <v>61.91</v>
      </c>
      <c r="C215" s="52">
        <v>58.76</v>
      </c>
      <c r="D215" s="52">
        <v>59.63</v>
      </c>
      <c r="E215" s="52">
        <v>1562239</v>
      </c>
      <c r="F215" s="52" t="s">
        <v>222</v>
      </c>
      <c r="G215" s="25">
        <f t="shared" si="0"/>
        <v>3.5720275029347492E-2</v>
      </c>
      <c r="I215" s="72">
        <v>-8.7499999999999994E-2</v>
      </c>
      <c r="J215" s="1">
        <v>0</v>
      </c>
      <c r="L215" s="72">
        <v>-0.09</v>
      </c>
      <c r="M215" s="1">
        <f t="shared" si="1"/>
        <v>0.35769420879866709</v>
      </c>
      <c r="O215" s="39"/>
      <c r="P215" s="72">
        <f>($K$202*-2)+$K$200</f>
        <v>-6.8537594578108277E-2</v>
      </c>
      <c r="Q215" s="1">
        <v>5</v>
      </c>
    </row>
    <row r="216" spans="1:17">
      <c r="A216" s="52">
        <v>59.49</v>
      </c>
      <c r="B216" s="52">
        <v>62.78</v>
      </c>
      <c r="C216" s="52">
        <v>59.06</v>
      </c>
      <c r="D216" s="52">
        <v>61.65</v>
      </c>
      <c r="E216" s="52">
        <v>1930012</v>
      </c>
      <c r="F216" s="52" t="s">
        <v>223</v>
      </c>
      <c r="G216" s="25">
        <f t="shared" si="0"/>
        <v>-3.5036496350364876E-2</v>
      </c>
      <c r="I216" s="72">
        <v>-8.5000000000000006E-2</v>
      </c>
      <c r="J216" s="1">
        <v>1</v>
      </c>
      <c r="L216" s="72">
        <v>-8.7499999999999994E-2</v>
      </c>
      <c r="M216" s="1">
        <f t="shared" si="1"/>
        <v>0.4371685670369746</v>
      </c>
      <c r="O216" s="40" t="s">
        <v>104</v>
      </c>
      <c r="P216" s="72">
        <f>($K$202*-1)+$K$200</f>
        <v>-3.5900703173419264E-2</v>
      </c>
      <c r="Q216" s="1">
        <v>0</v>
      </c>
    </row>
    <row r="217" spans="1:17">
      <c r="A217" s="52">
        <v>59.31</v>
      </c>
      <c r="B217" s="52">
        <v>59.33</v>
      </c>
      <c r="C217" s="52">
        <v>55.52</v>
      </c>
      <c r="D217" s="52">
        <v>55.66</v>
      </c>
      <c r="E217" s="52">
        <v>2509219</v>
      </c>
      <c r="F217" s="52" t="s">
        <v>224</v>
      </c>
      <c r="G217" s="25">
        <f t="shared" si="0"/>
        <v>6.5576715774344319E-2</v>
      </c>
      <c r="I217" s="72">
        <v>-8.2500000000000004E-2</v>
      </c>
      <c r="J217" s="1">
        <v>1</v>
      </c>
      <c r="L217" s="72">
        <v>-8.5000000000000006E-2</v>
      </c>
      <c r="M217" s="1">
        <f t="shared" si="1"/>
        <v>0.53117505268641463</v>
      </c>
      <c r="P217" s="72">
        <f>($K$202*-1)+$K$200</f>
        <v>-3.5900703173419264E-2</v>
      </c>
      <c r="Q217" s="1">
        <v>10</v>
      </c>
    </row>
    <row r="218" spans="1:17">
      <c r="A218" s="52">
        <v>55.23</v>
      </c>
      <c r="B218" s="52">
        <v>56.11</v>
      </c>
      <c r="C218" s="52">
        <v>52.8</v>
      </c>
      <c r="D218" s="52">
        <v>53.4</v>
      </c>
      <c r="E218" s="52">
        <v>1467400</v>
      </c>
      <c r="F218" s="52" t="s">
        <v>225</v>
      </c>
      <c r="G218" s="25">
        <f t="shared" si="0"/>
        <v>3.4269662921348365E-2</v>
      </c>
      <c r="I218" s="72">
        <v>-0.08</v>
      </c>
      <c r="J218" s="1">
        <v>2</v>
      </c>
      <c r="L218" s="72">
        <v>-8.2500000000000004E-2</v>
      </c>
      <c r="M218" s="1">
        <f t="shared" si="1"/>
        <v>0.64162035541010454</v>
      </c>
      <c r="O218" s="1" t="s">
        <v>105</v>
      </c>
      <c r="P218" s="72">
        <f>($K$202*1)+$K$200</f>
        <v>2.9373079635958775E-2</v>
      </c>
      <c r="Q218" s="1">
        <v>0</v>
      </c>
    </row>
    <row r="219" spans="1:17">
      <c r="A219" s="52">
        <v>53.79</v>
      </c>
      <c r="B219" s="52">
        <v>55.49</v>
      </c>
      <c r="C219" s="52">
        <v>53.557499999999997</v>
      </c>
      <c r="D219" s="52">
        <v>53.7</v>
      </c>
      <c r="E219" s="52">
        <v>1912279</v>
      </c>
      <c r="F219" s="52" t="s">
        <v>226</v>
      </c>
      <c r="G219" s="25">
        <f t="shared" si="0"/>
        <v>1.6759776536312554E-3</v>
      </c>
      <c r="I219" s="72">
        <v>-7.7499999999999999E-2</v>
      </c>
      <c r="J219" s="1">
        <v>1</v>
      </c>
      <c r="L219" s="72">
        <v>-0.08</v>
      </c>
      <c r="M219" s="1">
        <f t="shared" si="1"/>
        <v>0.77049587791407026</v>
      </c>
      <c r="P219" s="72">
        <f>($K$202*1)+$K$200</f>
        <v>2.9373079635958775E-2</v>
      </c>
      <c r="Q219" s="1">
        <v>10</v>
      </c>
    </row>
    <row r="220" spans="1:17">
      <c r="A220" s="52">
        <v>53.94</v>
      </c>
      <c r="B220" s="52">
        <v>55.01</v>
      </c>
      <c r="C220" s="52">
        <v>53.02</v>
      </c>
      <c r="D220" s="52">
        <v>54.59</v>
      </c>
      <c r="E220" s="52">
        <v>1440158</v>
      </c>
      <c r="F220" s="52" t="s">
        <v>227</v>
      </c>
      <c r="G220" s="25">
        <f t="shared" si="0"/>
        <v>-1.1906942663491571E-2</v>
      </c>
      <c r="I220" s="72">
        <v>-7.4999999999999997E-2</v>
      </c>
      <c r="J220" s="1">
        <v>0</v>
      </c>
      <c r="L220" s="72">
        <v>-7.7499999999999999E-2</v>
      </c>
      <c r="M220" s="1">
        <f t="shared" si="1"/>
        <v>0.91984410204724198</v>
      </c>
      <c r="O220" s="41" t="s">
        <v>106</v>
      </c>
      <c r="P220" s="72">
        <f>($K$202*2)+$K$200</f>
        <v>6.2009971040647795E-2</v>
      </c>
      <c r="Q220" s="1">
        <v>0</v>
      </c>
    </row>
    <row r="221" spans="1:17">
      <c r="A221" s="52">
        <v>54.42</v>
      </c>
      <c r="B221" s="52">
        <v>56.34</v>
      </c>
      <c r="C221" s="52">
        <v>53.23</v>
      </c>
      <c r="D221" s="52">
        <v>54.09</v>
      </c>
      <c r="E221" s="52">
        <v>2215742</v>
      </c>
      <c r="F221" s="52" t="s">
        <v>228</v>
      </c>
      <c r="G221" s="25">
        <f t="shared" si="0"/>
        <v>6.1009428729894566E-3</v>
      </c>
      <c r="I221" s="72">
        <v>-7.2499999999999995E-2</v>
      </c>
      <c r="J221" s="1">
        <v>0</v>
      </c>
      <c r="L221" s="72">
        <v>-7.4999999999999997E-2</v>
      </c>
      <c r="M221" s="1">
        <f t="shared" si="1"/>
        <v>1.0917164611637316</v>
      </c>
      <c r="P221" s="72">
        <f>($K$202*2)+$K$200</f>
        <v>6.2009971040647795E-2</v>
      </c>
      <c r="Q221" s="1">
        <v>5</v>
      </c>
    </row>
    <row r="222" spans="1:17">
      <c r="A222" s="52">
        <v>54.63</v>
      </c>
      <c r="B222" s="52">
        <v>54.64</v>
      </c>
      <c r="C222" s="52">
        <v>51.39</v>
      </c>
      <c r="D222" s="52">
        <v>53.34</v>
      </c>
      <c r="E222" s="52">
        <v>2310611</v>
      </c>
      <c r="F222" s="52" t="s">
        <v>229</v>
      </c>
      <c r="G222" s="25">
        <f t="shared" si="0"/>
        <v>2.4184476940382504E-2</v>
      </c>
      <c r="I222" s="72">
        <v>-6.9999999999999993E-2</v>
      </c>
      <c r="J222" s="1">
        <v>0</v>
      </c>
      <c r="L222" s="72">
        <v>-7.2499999999999995E-2</v>
      </c>
      <c r="M222" s="1">
        <f t="shared" si="1"/>
        <v>1.2881226349739385</v>
      </c>
      <c r="O222" s="41" t="s">
        <v>107</v>
      </c>
      <c r="P222" s="72">
        <f>($K$202*3)+$K$200</f>
        <v>9.4646862445336821E-2</v>
      </c>
      <c r="Q222" s="1">
        <v>0</v>
      </c>
    </row>
    <row r="223" spans="1:17">
      <c r="A223" s="52">
        <v>51.03</v>
      </c>
      <c r="B223" s="52">
        <v>51.8</v>
      </c>
      <c r="C223" s="52">
        <v>49.085000000000001</v>
      </c>
      <c r="D223" s="52">
        <v>51.22</v>
      </c>
      <c r="E223" s="52">
        <v>4036734</v>
      </c>
      <c r="F223" s="52" t="s">
        <v>230</v>
      </c>
      <c r="G223" s="25">
        <f t="shared" si="0"/>
        <v>-3.7094884810620066E-3</v>
      </c>
      <c r="I223" s="72">
        <v>-6.7499999999999991E-2</v>
      </c>
      <c r="J223" s="1">
        <v>0</v>
      </c>
      <c r="L223" s="72">
        <v>-6.9999999999999993E-2</v>
      </c>
      <c r="M223" s="1">
        <f t="shared" si="1"/>
        <v>1.5109715497323066</v>
      </c>
      <c r="O223" s="41"/>
      <c r="P223" s="72">
        <f>($K$202*3)+$K$200</f>
        <v>9.4646862445336821E-2</v>
      </c>
      <c r="Q223" s="1">
        <v>2</v>
      </c>
    </row>
    <row r="224" spans="1:17">
      <c r="A224" s="52">
        <v>50.31</v>
      </c>
      <c r="B224" s="52">
        <v>54.465000000000003</v>
      </c>
      <c r="C224" s="52">
        <v>49.86</v>
      </c>
      <c r="D224" s="52">
        <v>53.34</v>
      </c>
      <c r="E224" s="52">
        <v>2905054</v>
      </c>
      <c r="F224" s="52" t="s">
        <v>231</v>
      </c>
      <c r="G224" s="25">
        <f t="shared" si="0"/>
        <v>-5.6805399325084327E-2</v>
      </c>
      <c r="I224" s="72">
        <v>-6.4999999999999988E-2</v>
      </c>
      <c r="J224" s="1">
        <v>1</v>
      </c>
      <c r="L224" s="72">
        <v>-6.7499999999999991E-2</v>
      </c>
      <c r="M224" s="1">
        <f t="shared" si="1"/>
        <v>1.7620047895911095</v>
      </c>
    </row>
    <row r="225" spans="1:13">
      <c r="A225" s="52">
        <v>55.65</v>
      </c>
      <c r="B225" s="52">
        <v>57.7</v>
      </c>
      <c r="C225" s="52">
        <v>48.01</v>
      </c>
      <c r="D225" s="52">
        <v>48.55</v>
      </c>
      <c r="E225" s="52">
        <v>4270638</v>
      </c>
      <c r="F225" s="52" t="s">
        <v>232</v>
      </c>
      <c r="G225" s="25">
        <f t="shared" si="0"/>
        <v>0.14624098867147284</v>
      </c>
      <c r="I225" s="72">
        <v>-6.2499999999999986E-2</v>
      </c>
      <c r="J225" s="1">
        <v>3</v>
      </c>
      <c r="L225" s="72">
        <v>-6.4999999999999988E-2</v>
      </c>
      <c r="M225" s="1">
        <f t="shared" si="1"/>
        <v>2.0427235908007897</v>
      </c>
    </row>
    <row r="226" spans="1:13">
      <c r="A226" s="52">
        <v>49.3</v>
      </c>
      <c r="B226" s="52">
        <v>55.36</v>
      </c>
      <c r="C226" s="52">
        <v>48.94</v>
      </c>
      <c r="D226" s="52">
        <v>53.99</v>
      </c>
      <c r="E226" s="52">
        <v>3550239</v>
      </c>
      <c r="F226" s="52" t="s">
        <v>233</v>
      </c>
      <c r="G226" s="25">
        <f t="shared" si="0"/>
        <v>-8.6867938507131037E-2</v>
      </c>
      <c r="I226" s="72">
        <v>-5.9999999999999984E-2</v>
      </c>
      <c r="J226" s="1">
        <v>4</v>
      </c>
      <c r="L226" s="72">
        <v>-6.2499999999999986E-2</v>
      </c>
      <c r="M226" s="1">
        <f t="shared" si="1"/>
        <v>2.3543110804456195</v>
      </c>
    </row>
    <row r="227" spans="1:13">
      <c r="A227" s="52">
        <v>52.4</v>
      </c>
      <c r="B227" s="52">
        <v>55.17</v>
      </c>
      <c r="C227" s="52">
        <v>50.609499999999997</v>
      </c>
      <c r="D227" s="52">
        <v>51.59</v>
      </c>
      <c r="E227" s="52">
        <v>4155802</v>
      </c>
      <c r="F227" s="52" t="s">
        <v>234</v>
      </c>
      <c r="G227" s="25">
        <f t="shared" si="0"/>
        <v>1.5700717193254388E-2</v>
      </c>
      <c r="I227" s="72">
        <v>-5.7499999999999982E-2</v>
      </c>
      <c r="J227" s="1">
        <v>5</v>
      </c>
      <c r="L227" s="72">
        <v>-5.9999999999999984E-2</v>
      </c>
      <c r="M227" s="1">
        <f t="shared" si="1"/>
        <v>2.6975519119825675</v>
      </c>
    </row>
    <row r="228" spans="1:13">
      <c r="A228" s="52">
        <v>54.43</v>
      </c>
      <c r="B228" s="52">
        <v>59.45</v>
      </c>
      <c r="C228" s="52">
        <v>54.26</v>
      </c>
      <c r="D228" s="52">
        <v>59.215000000000003</v>
      </c>
      <c r="E228" s="52">
        <v>4577350</v>
      </c>
      <c r="F228" s="52" t="s">
        <v>235</v>
      </c>
      <c r="G228" s="25">
        <f t="shared" si="0"/>
        <v>-8.0807227898336609E-2</v>
      </c>
      <c r="I228" s="72">
        <v>-5.4999999999999979E-2</v>
      </c>
      <c r="J228" s="1">
        <v>2</v>
      </c>
      <c r="L228" s="72">
        <v>-5.7499999999999982E-2</v>
      </c>
      <c r="M228" s="1">
        <f t="shared" si="1"/>
        <v>3.0727519133198138</v>
      </c>
    </row>
    <row r="229" spans="1:13">
      <c r="A229" s="52">
        <v>58.61</v>
      </c>
      <c r="B229" s="52">
        <v>60.24</v>
      </c>
      <c r="C229" s="52">
        <v>57.139899999999997</v>
      </c>
      <c r="D229" s="52">
        <v>57.22</v>
      </c>
      <c r="E229" s="52">
        <v>3759773</v>
      </c>
      <c r="F229" s="52" t="s">
        <v>236</v>
      </c>
      <c r="G229" s="25">
        <f t="shared" si="0"/>
        <v>2.4292205522544519E-2</v>
      </c>
      <c r="I229" s="72">
        <v>-5.2499999999999977E-2</v>
      </c>
      <c r="J229" s="1">
        <v>4</v>
      </c>
      <c r="L229" s="72">
        <v>-5.4999999999999979E-2</v>
      </c>
      <c r="M229" s="1">
        <f t="shared" si="1"/>
        <v>3.4796607689748269</v>
      </c>
    </row>
    <row r="230" spans="1:13">
      <c r="A230" s="52">
        <v>62.47</v>
      </c>
      <c r="B230" s="52">
        <v>64.224999999999994</v>
      </c>
      <c r="C230" s="52">
        <v>60.7</v>
      </c>
      <c r="D230" s="52">
        <v>61.69</v>
      </c>
      <c r="E230" s="52">
        <v>3804942</v>
      </c>
      <c r="F230" s="52" t="s">
        <v>237</v>
      </c>
      <c r="G230" s="25">
        <f t="shared" si="0"/>
        <v>1.26438644837088E-2</v>
      </c>
      <c r="I230" s="72">
        <v>-4.9999999999999975E-2</v>
      </c>
      <c r="J230" s="1">
        <v>6</v>
      </c>
      <c r="L230" s="72">
        <v>-5.2499999999999977E-2</v>
      </c>
      <c r="M230" s="1">
        <f t="shared" si="1"/>
        <v>3.9174010742011753</v>
      </c>
    </row>
    <row r="231" spans="1:13">
      <c r="A231" s="52">
        <v>61.91</v>
      </c>
      <c r="B231" s="52">
        <v>65.69</v>
      </c>
      <c r="C231" s="52">
        <v>61.524999999999999</v>
      </c>
      <c r="D231" s="52">
        <v>64.37</v>
      </c>
      <c r="E231" s="52">
        <v>3549418</v>
      </c>
      <c r="F231" s="52" t="s">
        <v>238</v>
      </c>
      <c r="G231" s="25">
        <f t="shared" si="0"/>
        <v>-3.8216560509554243E-2</v>
      </c>
      <c r="I231" s="72">
        <v>-4.7499999999999973E-2</v>
      </c>
      <c r="J231" s="1">
        <v>4</v>
      </c>
      <c r="L231" s="72">
        <v>-4.9999999999999975E-2</v>
      </c>
      <c r="M231" s="1">
        <f t="shared" si="1"/>
        <v>4.3844072948358281</v>
      </c>
    </row>
    <row r="232" spans="1:13">
      <c r="A232" s="52">
        <v>63.82</v>
      </c>
      <c r="B232" s="52">
        <v>67.47</v>
      </c>
      <c r="C232" s="52">
        <v>62.5</v>
      </c>
      <c r="D232" s="52">
        <v>65.900000000000006</v>
      </c>
      <c r="E232" s="52">
        <v>4635376</v>
      </c>
      <c r="F232" s="52" t="s">
        <v>239</v>
      </c>
      <c r="G232" s="25">
        <f t="shared" si="0"/>
        <v>-3.1562974203338423E-2</v>
      </c>
      <c r="I232" s="72">
        <v>-4.4999999999999971E-2</v>
      </c>
      <c r="J232" s="1">
        <v>8</v>
      </c>
      <c r="L232" s="72">
        <v>-4.7499999999999973E-2</v>
      </c>
      <c r="M232" s="1">
        <f t="shared" si="1"/>
        <v>4.8783782139553278</v>
      </c>
    </row>
    <row r="233" spans="1:13">
      <c r="A233" s="52">
        <v>70.41</v>
      </c>
      <c r="B233" s="52">
        <v>72.05</v>
      </c>
      <c r="C233" s="52">
        <v>69.805000000000007</v>
      </c>
      <c r="D233" s="52">
        <v>71.88</v>
      </c>
      <c r="E233" s="52">
        <v>984550</v>
      </c>
      <c r="F233" s="52" t="s">
        <v>240</v>
      </c>
      <c r="G233" s="25">
        <f t="shared" si="0"/>
        <v>-2.0450751252086841E-2</v>
      </c>
      <c r="I233" s="72">
        <v>-4.2499999999999968E-2</v>
      </c>
      <c r="J233" s="1">
        <v>9</v>
      </c>
      <c r="L233" s="72">
        <v>-4.4999999999999971E-2</v>
      </c>
      <c r="M233" s="1">
        <f t="shared" si="1"/>
        <v>5.3962463225307875</v>
      </c>
    </row>
    <row r="234" spans="1:13">
      <c r="A234" s="52">
        <v>71.81</v>
      </c>
      <c r="B234" s="52">
        <v>73.95</v>
      </c>
      <c r="C234" s="52">
        <v>71.25</v>
      </c>
      <c r="D234" s="52">
        <v>72.98</v>
      </c>
      <c r="E234" s="52">
        <v>1364994</v>
      </c>
      <c r="F234" s="52" t="s">
        <v>241</v>
      </c>
      <c r="G234" s="25">
        <f t="shared" si="0"/>
        <v>-1.6031789531378515E-2</v>
      </c>
      <c r="I234" s="72">
        <v>-3.9999999999999966E-2</v>
      </c>
      <c r="J234" s="1">
        <v>4</v>
      </c>
      <c r="L234" s="72">
        <v>-4.2499999999999968E-2</v>
      </c>
      <c r="M234" s="1">
        <f t="shared" si="1"/>
        <v>5.9341673010242841</v>
      </c>
    </row>
    <row r="235" spans="1:13">
      <c r="A235" s="52">
        <v>72.88</v>
      </c>
      <c r="B235" s="52">
        <v>74.400000000000006</v>
      </c>
      <c r="C235" s="52">
        <v>70.91</v>
      </c>
      <c r="D235" s="52">
        <v>73.88</v>
      </c>
      <c r="E235" s="52">
        <v>1387471</v>
      </c>
      <c r="F235" s="52" t="s">
        <v>242</v>
      </c>
      <c r="G235" s="25">
        <f t="shared" si="0"/>
        <v>-1.3535462912831586E-2</v>
      </c>
      <c r="I235" s="72">
        <v>-3.7499999999999964E-2</v>
      </c>
      <c r="J235" s="1">
        <v>11</v>
      </c>
      <c r="L235" s="72">
        <v>-3.9999999999999966E-2</v>
      </c>
      <c r="M235" s="1">
        <f t="shared" si="1"/>
        <v>6.4875322367541504</v>
      </c>
    </row>
    <row r="236" spans="1:13">
      <c r="A236" s="52">
        <v>73.61</v>
      </c>
      <c r="B236" s="52">
        <v>76.259900000000002</v>
      </c>
      <c r="C236" s="52">
        <v>72.17</v>
      </c>
      <c r="D236" s="52">
        <v>76.13</v>
      </c>
      <c r="E236" s="52">
        <v>1304104</v>
      </c>
      <c r="F236" s="52" t="s">
        <v>243</v>
      </c>
      <c r="G236" s="25">
        <f t="shared" si="0"/>
        <v>-3.3101274136345671E-2</v>
      </c>
      <c r="I236" s="72">
        <v>-3.4999999999999962E-2</v>
      </c>
      <c r="J236" s="1">
        <v>12</v>
      </c>
      <c r="L236" s="72">
        <v>-3.7499999999999964E-2</v>
      </c>
      <c r="M236" s="1">
        <f t="shared" si="1"/>
        <v>7.0510045334928213</v>
      </c>
    </row>
    <row r="237" spans="1:13">
      <c r="A237" s="52">
        <v>76.33</v>
      </c>
      <c r="B237" s="52">
        <v>76.67</v>
      </c>
      <c r="C237" s="52">
        <v>74.44</v>
      </c>
      <c r="D237" s="52">
        <v>74.67</v>
      </c>
      <c r="E237" s="52">
        <v>1876115</v>
      </c>
      <c r="F237" s="52" t="s">
        <v>244</v>
      </c>
      <c r="G237" s="25">
        <f t="shared" si="0"/>
        <v>2.2231150395071619E-2</v>
      </c>
      <c r="I237" s="72">
        <v>-3.2499999999999959E-2</v>
      </c>
      <c r="J237" s="1">
        <v>21</v>
      </c>
      <c r="L237" s="72">
        <v>-3.4999999999999962E-2</v>
      </c>
      <c r="M237" s="1">
        <f t="shared" si="1"/>
        <v>7.6185826128090444</v>
      </c>
    </row>
    <row r="238" spans="1:13">
      <c r="A238" s="52">
        <v>74.099999999999994</v>
      </c>
      <c r="B238" s="52">
        <v>75.496700000000004</v>
      </c>
      <c r="C238" s="52">
        <v>73.05</v>
      </c>
      <c r="D238" s="52">
        <v>73.319999999999993</v>
      </c>
      <c r="E238" s="52">
        <v>2592706</v>
      </c>
      <c r="F238" s="52" t="s">
        <v>245</v>
      </c>
      <c r="G238" s="25">
        <f t="shared" si="0"/>
        <v>1.0638297872340496E-2</v>
      </c>
      <c r="I238" s="72">
        <v>-2.9999999999999961E-2</v>
      </c>
      <c r="J238" s="1">
        <v>19</v>
      </c>
      <c r="L238" s="72">
        <v>-3.2499999999999959E-2</v>
      </c>
      <c r="M238" s="1">
        <f t="shared" si="1"/>
        <v>8.1836885109528055</v>
      </c>
    </row>
    <row r="239" spans="1:13">
      <c r="A239" s="52">
        <v>73.45</v>
      </c>
      <c r="B239" s="52">
        <v>80.260000000000005</v>
      </c>
      <c r="C239" s="52">
        <v>73.06</v>
      </c>
      <c r="D239" s="52">
        <v>80.180000000000007</v>
      </c>
      <c r="E239" s="52">
        <v>3593087</v>
      </c>
      <c r="F239" s="52" t="s">
        <v>246</v>
      </c>
      <c r="G239" s="25">
        <f t="shared" si="0"/>
        <v>-8.3936143676727415E-2</v>
      </c>
      <c r="I239" s="72">
        <v>-2.7499999999999962E-2</v>
      </c>
      <c r="J239" s="1">
        <v>19</v>
      </c>
      <c r="L239" s="72">
        <v>-2.9999999999999961E-2</v>
      </c>
      <c r="M239" s="1">
        <f t="shared" si="1"/>
        <v>8.7392813818424138</v>
      </c>
    </row>
    <row r="240" spans="1:13">
      <c r="A240" s="52">
        <v>79.97</v>
      </c>
      <c r="B240" s="52">
        <v>80.98</v>
      </c>
      <c r="C240" s="52">
        <v>75.125</v>
      </c>
      <c r="D240" s="52">
        <v>75.180000000000007</v>
      </c>
      <c r="E240" s="52">
        <v>5039865</v>
      </c>
      <c r="F240" s="52" t="s">
        <v>247</v>
      </c>
      <c r="G240" s="25">
        <f t="shared" si="0"/>
        <v>6.3713753657887562E-2</v>
      </c>
      <c r="I240" s="72">
        <v>-2.4999999999999963E-2</v>
      </c>
      <c r="J240" s="1">
        <v>21</v>
      </c>
      <c r="L240" s="72">
        <v>-2.7499999999999962E-2</v>
      </c>
      <c r="M240" s="1">
        <f t="shared" si="1"/>
        <v>9.2779937769342027</v>
      </c>
    </row>
    <row r="241" spans="1:13">
      <c r="A241" s="52">
        <v>73.540000000000006</v>
      </c>
      <c r="B241" s="52">
        <v>81.87</v>
      </c>
      <c r="C241" s="52">
        <v>73.06</v>
      </c>
      <c r="D241" s="52">
        <v>78.614999999999995</v>
      </c>
      <c r="E241" s="52">
        <v>13410891</v>
      </c>
      <c r="F241" s="52" t="s">
        <v>248</v>
      </c>
      <c r="G241" s="25">
        <f t="shared" si="0"/>
        <v>-6.4555110347897848E-2</v>
      </c>
      <c r="I241" s="72">
        <v>-2.2499999999999964E-2</v>
      </c>
      <c r="J241" s="1">
        <v>21</v>
      </c>
      <c r="L241" s="72">
        <v>-2.4999999999999963E-2</v>
      </c>
      <c r="M241" s="1">
        <f t="shared" si="1"/>
        <v>9.7922874446451953</v>
      </c>
    </row>
    <row r="242" spans="1:13">
      <c r="A242" s="52">
        <v>101.35</v>
      </c>
      <c r="B242" s="52">
        <v>103.3165</v>
      </c>
      <c r="C242" s="52">
        <v>97.35</v>
      </c>
      <c r="D242" s="52">
        <v>97.35</v>
      </c>
      <c r="E242" s="52">
        <v>925423</v>
      </c>
      <c r="F242" s="52" t="s">
        <v>249</v>
      </c>
      <c r="G242" s="25">
        <f t="shared" si="0"/>
        <v>4.1088854648176687E-2</v>
      </c>
      <c r="I242" s="72">
        <v>-1.9999999999999966E-2</v>
      </c>
      <c r="J242" s="1">
        <v>32</v>
      </c>
      <c r="L242" s="72">
        <v>-2.2499999999999964E-2</v>
      </c>
      <c r="M242" s="1">
        <f t="shared" si="1"/>
        <v>10.274624337724566</v>
      </c>
    </row>
    <row r="243" spans="1:13">
      <c r="A243" s="52">
        <v>97.19</v>
      </c>
      <c r="B243" s="52">
        <v>100</v>
      </c>
      <c r="C243" s="52">
        <v>97.06</v>
      </c>
      <c r="D243" s="52">
        <v>99</v>
      </c>
      <c r="E243" s="52">
        <v>874165</v>
      </c>
      <c r="F243" s="52" t="s">
        <v>250</v>
      </c>
      <c r="G243" s="25">
        <f t="shared" si="0"/>
        <v>-1.8282828282828345E-2</v>
      </c>
      <c r="I243" s="72">
        <v>-1.7499999999999967E-2</v>
      </c>
      <c r="J243" s="1">
        <v>30</v>
      </c>
      <c r="L243" s="72">
        <v>-1.9999999999999966E-2</v>
      </c>
      <c r="M243" s="1">
        <f t="shared" si="1"/>
        <v>10.717647598840312</v>
      </c>
    </row>
    <row r="244" spans="1:13">
      <c r="A244" s="52">
        <v>98.37</v>
      </c>
      <c r="B244" s="52">
        <v>100.005</v>
      </c>
      <c r="C244" s="52">
        <v>97.11</v>
      </c>
      <c r="D244" s="52">
        <v>99.65</v>
      </c>
      <c r="E244" s="52">
        <v>736577</v>
      </c>
      <c r="F244" s="52" t="s">
        <v>251</v>
      </c>
      <c r="G244" s="25">
        <f t="shared" ref="G244:G307" si="2">A244/D244-1</f>
        <v>-1.2844957350727548E-2</v>
      </c>
      <c r="I244" s="72">
        <v>-1.4999999999999966E-2</v>
      </c>
      <c r="J244" s="1">
        <v>40</v>
      </c>
      <c r="L244" s="72">
        <v>-1.7499999999999967E-2</v>
      </c>
      <c r="M244" s="1">
        <f t="shared" si="1"/>
        <v>11.114366571010773</v>
      </c>
    </row>
    <row r="245" spans="1:13">
      <c r="A245" s="52">
        <v>99.77</v>
      </c>
      <c r="B245" s="52">
        <v>102.4</v>
      </c>
      <c r="C245" s="52">
        <v>99.02</v>
      </c>
      <c r="D245" s="52">
        <v>101.72</v>
      </c>
      <c r="E245" s="52">
        <v>756307</v>
      </c>
      <c r="F245" s="52" t="s">
        <v>252</v>
      </c>
      <c r="G245" s="25">
        <f t="shared" si="2"/>
        <v>-1.9170271333071254E-2</v>
      </c>
      <c r="I245" s="72">
        <v>-1.2499999999999966E-2</v>
      </c>
      <c r="J245" s="1">
        <v>54</v>
      </c>
      <c r="L245" s="72">
        <v>-1.4999999999999966E-2</v>
      </c>
      <c r="M245" s="1">
        <f t="shared" si="1"/>
        <v>11.458339400653683</v>
      </c>
    </row>
    <row r="246" spans="1:13">
      <c r="A246" s="52">
        <v>100.71</v>
      </c>
      <c r="B246" s="52">
        <v>101.56</v>
      </c>
      <c r="C246" s="52">
        <v>97.91</v>
      </c>
      <c r="D246" s="52">
        <v>99.16</v>
      </c>
      <c r="E246" s="52">
        <v>1019724</v>
      </c>
      <c r="F246" s="52" t="s">
        <v>253</v>
      </c>
      <c r="G246" s="25">
        <f t="shared" si="2"/>
        <v>1.5631302944735692E-2</v>
      </c>
      <c r="I246" s="72">
        <v>-9.9999999999999655E-3</v>
      </c>
      <c r="J246" s="1">
        <v>60</v>
      </c>
      <c r="L246" s="72">
        <v>-1.2499999999999966E-2</v>
      </c>
      <c r="M246" s="1">
        <f t="shared" si="1"/>
        <v>11.743846605403938</v>
      </c>
    </row>
    <row r="247" spans="1:13">
      <c r="A247" s="52">
        <v>99.69</v>
      </c>
      <c r="B247" s="52">
        <v>102.145</v>
      </c>
      <c r="C247" s="52">
        <v>98.82</v>
      </c>
      <c r="D247" s="52">
        <v>101.84</v>
      </c>
      <c r="E247" s="52">
        <v>1639269</v>
      </c>
      <c r="F247" s="52" t="s">
        <v>254</v>
      </c>
      <c r="G247" s="25">
        <f t="shared" si="2"/>
        <v>-2.111154752553035E-2</v>
      </c>
      <c r="I247" s="72">
        <v>-7.499999999999965E-3</v>
      </c>
      <c r="J247" s="1">
        <v>75</v>
      </c>
      <c r="L247" s="72">
        <v>-9.9999999999999655E-3</v>
      </c>
      <c r="M247" s="1">
        <f t="shared" si="1"/>
        <v>11.966049089956003</v>
      </c>
    </row>
    <row r="248" spans="1:13">
      <c r="A248" s="52">
        <v>103.03</v>
      </c>
      <c r="B248" s="52">
        <v>104.85</v>
      </c>
      <c r="C248" s="52">
        <v>102</v>
      </c>
      <c r="D248" s="52">
        <v>104.02</v>
      </c>
      <c r="E248" s="52">
        <v>1160008</v>
      </c>
      <c r="F248" s="52" t="s">
        <v>255</v>
      </c>
      <c r="G248" s="25">
        <f t="shared" si="2"/>
        <v>-9.5174004999037942E-3</v>
      </c>
      <c r="I248" s="72">
        <v>-4.9999999999999645E-3</v>
      </c>
      <c r="J248" s="1">
        <v>59</v>
      </c>
      <c r="L248" s="72">
        <v>-7.499999999999965E-3</v>
      </c>
      <c r="M248" s="1">
        <f t="shared" si="1"/>
        <v>12.121124517322682</v>
      </c>
    </row>
    <row r="249" spans="1:13">
      <c r="A249" s="52">
        <v>105.56</v>
      </c>
      <c r="B249" s="52">
        <v>107.23</v>
      </c>
      <c r="C249" s="52">
        <v>104.39</v>
      </c>
      <c r="D249" s="52">
        <v>106.79</v>
      </c>
      <c r="E249" s="52">
        <v>888973</v>
      </c>
      <c r="F249" s="52" t="s">
        <v>256</v>
      </c>
      <c r="G249" s="25">
        <f t="shared" si="2"/>
        <v>-1.1517932390673336E-2</v>
      </c>
      <c r="I249" s="72">
        <v>-2.4999999999999645E-3</v>
      </c>
      <c r="J249" s="1">
        <v>71</v>
      </c>
      <c r="L249" s="72">
        <v>-4.9999999999999645E-3</v>
      </c>
      <c r="M249" s="1">
        <f t="shared" si="1"/>
        <v>12.206376668092446</v>
      </c>
    </row>
    <row r="250" spans="1:13">
      <c r="A250" s="52">
        <v>107.67</v>
      </c>
      <c r="B250" s="52">
        <v>107.77</v>
      </c>
      <c r="C250" s="52">
        <v>102.94</v>
      </c>
      <c r="D250" s="52">
        <v>102.94</v>
      </c>
      <c r="E250" s="52">
        <v>1958690</v>
      </c>
      <c r="F250" s="52" t="s">
        <v>257</v>
      </c>
      <c r="G250" s="25">
        <f t="shared" si="2"/>
        <v>4.5949096561103575E-2</v>
      </c>
      <c r="I250" s="72">
        <v>3.5561831257524545E-17</v>
      </c>
      <c r="J250" s="1">
        <v>59</v>
      </c>
      <c r="L250" s="72">
        <v>-2.4999999999999645E-3</v>
      </c>
      <c r="M250" s="1">
        <f t="shared" si="1"/>
        <v>12.220313416415525</v>
      </c>
    </row>
    <row r="251" spans="1:13">
      <c r="A251" s="52">
        <v>102.86</v>
      </c>
      <c r="B251" s="52">
        <v>103.59</v>
      </c>
      <c r="C251" s="52">
        <v>99.5</v>
      </c>
      <c r="D251" s="52">
        <v>100.25</v>
      </c>
      <c r="E251" s="52">
        <v>1197234</v>
      </c>
      <c r="F251" s="52" t="s">
        <v>258</v>
      </c>
      <c r="G251" s="25">
        <f t="shared" si="2"/>
        <v>2.6034912718204462E-2</v>
      </c>
      <c r="I251" s="72">
        <v>2.5000000000000356E-3</v>
      </c>
      <c r="J251" s="1">
        <v>66</v>
      </c>
      <c r="L251" s="72">
        <v>3.5561831257524545E-17</v>
      </c>
      <c r="M251" s="1">
        <f t="shared" si="1"/>
        <v>12.162690171778912</v>
      </c>
    </row>
    <row r="252" spans="1:13">
      <c r="A252" s="52">
        <v>101.22</v>
      </c>
      <c r="B252" s="52">
        <v>107.35</v>
      </c>
      <c r="C252" s="52">
        <v>100.145</v>
      </c>
      <c r="D252" s="52">
        <v>106.75</v>
      </c>
      <c r="E252" s="52">
        <v>1355498</v>
      </c>
      <c r="F252" s="52" t="s">
        <v>259</v>
      </c>
      <c r="G252" s="25">
        <f t="shared" si="2"/>
        <v>-5.1803278688524634E-2</v>
      </c>
      <c r="I252" s="72">
        <v>5.0000000000000357E-3</v>
      </c>
      <c r="J252" s="1">
        <v>50</v>
      </c>
      <c r="L252" s="72">
        <v>2.5000000000000356E-3</v>
      </c>
      <c r="M252" s="1">
        <f t="shared" si="1"/>
        <v>12.034517019344927</v>
      </c>
    </row>
    <row r="253" spans="1:13">
      <c r="A253" s="52">
        <v>106.75</v>
      </c>
      <c r="B253" s="52">
        <v>108.48</v>
      </c>
      <c r="C253" s="52">
        <v>103.456</v>
      </c>
      <c r="D253" s="52">
        <v>104.21</v>
      </c>
      <c r="E253" s="52">
        <v>1279873</v>
      </c>
      <c r="F253" s="52" t="s">
        <v>260</v>
      </c>
      <c r="G253" s="25">
        <f t="shared" si="2"/>
        <v>2.4373860474042885E-2</v>
      </c>
      <c r="I253" s="72">
        <v>7.5000000000000362E-3</v>
      </c>
      <c r="J253" s="1">
        <v>47</v>
      </c>
      <c r="L253" s="72">
        <v>5.0000000000000357E-3</v>
      </c>
      <c r="M253" s="1">
        <f t="shared" si="1"/>
        <v>11.838029267594321</v>
      </c>
    </row>
    <row r="254" spans="1:13">
      <c r="A254" s="52">
        <v>103.06</v>
      </c>
      <c r="B254" s="52">
        <v>109.495</v>
      </c>
      <c r="C254" s="52">
        <v>101</v>
      </c>
      <c r="D254" s="52">
        <v>101</v>
      </c>
      <c r="E254" s="52">
        <v>1589566</v>
      </c>
      <c r="F254" s="52" t="s">
        <v>261</v>
      </c>
      <c r="G254" s="25">
        <f t="shared" si="2"/>
        <v>2.0396039603960414E-2</v>
      </c>
      <c r="I254" s="72">
        <v>1.0000000000000037E-2</v>
      </c>
      <c r="J254" s="1">
        <v>49</v>
      </c>
      <c r="L254" s="72">
        <v>7.5000000000000362E-3</v>
      </c>
      <c r="M254" s="1">
        <f t="shared" si="1"/>
        <v>11.576622603226795</v>
      </c>
    </row>
    <row r="255" spans="1:13">
      <c r="A255" s="52">
        <v>106.86</v>
      </c>
      <c r="B255" s="52">
        <v>109.55</v>
      </c>
      <c r="C255" s="52">
        <v>106.37</v>
      </c>
      <c r="D255" s="52">
        <v>106.88</v>
      </c>
      <c r="E255" s="52">
        <v>1077753</v>
      </c>
      <c r="F255" s="52" t="s">
        <v>262</v>
      </c>
      <c r="G255" s="25">
        <f t="shared" si="2"/>
        <v>-1.8712574850299202E-4</v>
      </c>
      <c r="I255" s="72">
        <v>1.2500000000000037E-2</v>
      </c>
      <c r="J255" s="1">
        <v>36</v>
      </c>
      <c r="L255" s="72">
        <v>1.0000000000000037E-2</v>
      </c>
      <c r="M255" s="1">
        <f t="shared" si="1"/>
        <v>11.254755481748839</v>
      </c>
    </row>
    <row r="256" spans="1:13">
      <c r="A256" s="52">
        <v>106.95</v>
      </c>
      <c r="B256" s="52">
        <v>107.105</v>
      </c>
      <c r="C256" s="52">
        <v>103.33</v>
      </c>
      <c r="D256" s="52">
        <v>105.75</v>
      </c>
      <c r="E256" s="52">
        <v>1069640</v>
      </c>
      <c r="F256" s="52" t="s">
        <v>263</v>
      </c>
      <c r="G256" s="25">
        <f t="shared" si="2"/>
        <v>1.134751773049647E-2</v>
      </c>
      <c r="I256" s="72">
        <v>1.5000000000000038E-2</v>
      </c>
      <c r="J256" s="1">
        <v>43</v>
      </c>
      <c r="L256" s="72">
        <v>1.2500000000000037E-2</v>
      </c>
      <c r="M256" s="1">
        <f t="shared" si="1"/>
        <v>10.877822673942147</v>
      </c>
    </row>
    <row r="257" spans="1:13">
      <c r="A257" s="52">
        <v>105.56</v>
      </c>
      <c r="B257" s="52">
        <v>107.54</v>
      </c>
      <c r="C257" s="52">
        <v>105.47</v>
      </c>
      <c r="D257" s="52">
        <v>105.49</v>
      </c>
      <c r="E257" s="52">
        <v>741526</v>
      </c>
      <c r="F257" s="52" t="s">
        <v>264</v>
      </c>
      <c r="G257" s="25">
        <f t="shared" si="2"/>
        <v>6.6357000663574972E-4</v>
      </c>
      <c r="I257" s="72">
        <v>1.7500000000000036E-2</v>
      </c>
      <c r="J257" s="1">
        <v>39</v>
      </c>
      <c r="L257" s="72">
        <v>1.5000000000000038E-2</v>
      </c>
      <c r="M257" s="1">
        <f t="shared" si="1"/>
        <v>10.452004978150201</v>
      </c>
    </row>
    <row r="258" spans="1:13">
      <c r="A258" s="52">
        <v>106.28</v>
      </c>
      <c r="B258" s="52">
        <v>110</v>
      </c>
      <c r="C258" s="52">
        <v>106.02</v>
      </c>
      <c r="D258" s="52">
        <v>109.5</v>
      </c>
      <c r="E258" s="52">
        <v>709354</v>
      </c>
      <c r="F258" s="52" t="s">
        <v>265</v>
      </c>
      <c r="G258" s="25">
        <f t="shared" si="2"/>
        <v>-2.9406392694063865E-2</v>
      </c>
      <c r="I258" s="72">
        <v>2.0000000000000035E-2</v>
      </c>
      <c r="J258" s="1">
        <v>29</v>
      </c>
      <c r="L258" s="72">
        <v>1.7500000000000036E-2</v>
      </c>
      <c r="M258" s="1">
        <f t="shared" si="1"/>
        <v>9.9841009434398362</v>
      </c>
    </row>
    <row r="259" spans="1:13">
      <c r="A259" s="52">
        <v>108.41</v>
      </c>
      <c r="B259" s="52">
        <v>109.83</v>
      </c>
      <c r="C259" s="52">
        <v>105.93</v>
      </c>
      <c r="D259" s="52">
        <v>107.3</v>
      </c>
      <c r="E259" s="52">
        <v>836110</v>
      </c>
      <c r="F259" s="52" t="s">
        <v>266</v>
      </c>
      <c r="G259" s="25">
        <f t="shared" si="2"/>
        <v>1.0344827586206806E-2</v>
      </c>
      <c r="I259" s="72">
        <v>2.2500000000000034E-2</v>
      </c>
      <c r="J259" s="1">
        <v>28</v>
      </c>
      <c r="L259" s="72">
        <v>2.0000000000000035E-2</v>
      </c>
      <c r="M259" s="1">
        <f t="shared" si="1"/>
        <v>9.4813469923631608</v>
      </c>
    </row>
    <row r="260" spans="1:13">
      <c r="A260" s="52">
        <v>107.12</v>
      </c>
      <c r="B260" s="52">
        <v>107.46</v>
      </c>
      <c r="C260" s="52">
        <v>104.74</v>
      </c>
      <c r="D260" s="52">
        <v>105.96</v>
      </c>
      <c r="E260" s="52">
        <v>713514</v>
      </c>
      <c r="F260" s="52" t="s">
        <v>267</v>
      </c>
      <c r="G260" s="25">
        <f t="shared" si="2"/>
        <v>1.0947527368818433E-2</v>
      </c>
      <c r="I260" s="72">
        <v>2.5000000000000033E-2</v>
      </c>
      <c r="J260" s="1">
        <v>22</v>
      </c>
      <c r="L260" s="72">
        <v>2.2500000000000034E-2</v>
      </c>
      <c r="M260" s="1">
        <f t="shared" si="1"/>
        <v>8.9512325651488034</v>
      </c>
    </row>
    <row r="261" spans="1:13">
      <c r="A261" s="52">
        <v>105.35</v>
      </c>
      <c r="B261" s="52">
        <v>106.0956</v>
      </c>
      <c r="C261" s="52">
        <v>101.15</v>
      </c>
      <c r="D261" s="52">
        <v>102.6</v>
      </c>
      <c r="E261" s="52">
        <v>1307036</v>
      </c>
      <c r="F261" s="52" t="s">
        <v>268</v>
      </c>
      <c r="G261" s="25">
        <f t="shared" si="2"/>
        <v>2.6803118908382162E-2</v>
      </c>
      <c r="I261" s="72">
        <v>2.7500000000000031E-2</v>
      </c>
      <c r="J261" s="1">
        <v>26</v>
      </c>
      <c r="L261" s="72">
        <v>2.5000000000000033E-2</v>
      </c>
      <c r="M261" s="1">
        <f t="shared" si="1"/>
        <v>8.4013168289471469</v>
      </c>
    </row>
    <row r="262" spans="1:13">
      <c r="A262" s="52">
        <v>107.95</v>
      </c>
      <c r="B262" s="52">
        <v>111.205</v>
      </c>
      <c r="C262" s="52">
        <v>107.61</v>
      </c>
      <c r="D262" s="52">
        <v>109.84</v>
      </c>
      <c r="E262" s="52">
        <v>630902</v>
      </c>
      <c r="F262" s="52" t="s">
        <v>269</v>
      </c>
      <c r="G262" s="25">
        <f t="shared" si="2"/>
        <v>-1.720684632192282E-2</v>
      </c>
      <c r="I262" s="72">
        <v>3.000000000000003E-2</v>
      </c>
      <c r="J262" s="1">
        <v>20</v>
      </c>
      <c r="L262" s="72">
        <v>2.7500000000000031E-2</v>
      </c>
      <c r="M262" s="1">
        <f t="shared" si="1"/>
        <v>7.8390531232545602</v>
      </c>
    </row>
    <row r="263" spans="1:13">
      <c r="A263" s="52">
        <v>109.46</v>
      </c>
      <c r="B263" s="52">
        <v>110.105</v>
      </c>
      <c r="C263" s="52">
        <v>107.74</v>
      </c>
      <c r="D263" s="52">
        <v>109.4</v>
      </c>
      <c r="E263" s="52">
        <v>712626</v>
      </c>
      <c r="F263" s="52" t="s">
        <v>270</v>
      </c>
      <c r="G263" s="25">
        <f t="shared" si="2"/>
        <v>5.4844606946979901E-4</v>
      </c>
      <c r="I263" s="72">
        <v>3.2500000000000029E-2</v>
      </c>
      <c r="J263" s="1">
        <v>12</v>
      </c>
      <c r="L263" s="72">
        <v>3.000000000000003E-2</v>
      </c>
      <c r="M263" s="1">
        <f t="shared" si="1"/>
        <v>7.2716266788089037</v>
      </c>
    </row>
    <row r="264" spans="1:13">
      <c r="A264" s="52">
        <v>109.81</v>
      </c>
      <c r="B264" s="52">
        <v>110.34</v>
      </c>
      <c r="C264" s="52">
        <v>108.16500000000001</v>
      </c>
      <c r="D264" s="52">
        <v>109</v>
      </c>
      <c r="E264" s="52">
        <v>639621</v>
      </c>
      <c r="F264" s="52" t="s">
        <v>271</v>
      </c>
      <c r="G264" s="25">
        <f t="shared" si="2"/>
        <v>7.4311926605505896E-3</v>
      </c>
      <c r="I264" s="72">
        <v>3.5000000000000031E-2</v>
      </c>
      <c r="J264" s="1">
        <v>17</v>
      </c>
      <c r="L264" s="72">
        <v>3.2500000000000029E-2</v>
      </c>
      <c r="M264" s="1">
        <f t="shared" si="1"/>
        <v>6.7058102981882728</v>
      </c>
    </row>
    <row r="265" spans="1:13">
      <c r="A265" s="52">
        <v>109.68</v>
      </c>
      <c r="B265" s="52">
        <v>111.59</v>
      </c>
      <c r="C265" s="52">
        <v>109.55</v>
      </c>
      <c r="D265" s="52">
        <v>110.52</v>
      </c>
      <c r="E265" s="52">
        <v>654227</v>
      </c>
      <c r="F265" s="52" t="s">
        <v>272</v>
      </c>
      <c r="G265" s="25">
        <f t="shared" si="2"/>
        <v>-7.6004343105319228E-3</v>
      </c>
      <c r="I265" s="72">
        <v>3.7500000000000033E-2</v>
      </c>
      <c r="J265" s="1">
        <v>16</v>
      </c>
      <c r="L265" s="72">
        <v>3.5000000000000031E-2</v>
      </c>
      <c r="M265" s="1">
        <f t="shared" si="1"/>
        <v>6.1478416777452063</v>
      </c>
    </row>
    <row r="266" spans="1:13">
      <c r="A266" s="52">
        <v>112.74</v>
      </c>
      <c r="B266" s="52">
        <v>114.4122</v>
      </c>
      <c r="C266" s="52">
        <v>110.81</v>
      </c>
      <c r="D266" s="52">
        <v>112</v>
      </c>
      <c r="E266" s="52">
        <v>604097</v>
      </c>
      <c r="F266" s="52" t="s">
        <v>273</v>
      </c>
      <c r="G266" s="25">
        <f t="shared" si="2"/>
        <v>6.6071428571428115E-3</v>
      </c>
      <c r="I266" s="72">
        <v>4.0000000000000036E-2</v>
      </c>
      <c r="J266" s="1">
        <v>15</v>
      </c>
      <c r="L266" s="72">
        <v>3.7500000000000033E-2</v>
      </c>
      <c r="M266" s="1">
        <f t="shared" si="1"/>
        <v>5.6033249436326686</v>
      </c>
    </row>
    <row r="267" spans="1:13">
      <c r="A267" s="52">
        <v>111.82</v>
      </c>
      <c r="B267" s="52">
        <v>112.37</v>
      </c>
      <c r="C267" s="52">
        <v>109.52</v>
      </c>
      <c r="D267" s="52">
        <v>112</v>
      </c>
      <c r="E267" s="52">
        <v>881455</v>
      </c>
      <c r="F267" s="52" t="s">
        <v>274</v>
      </c>
      <c r="G267" s="25">
        <f t="shared" si="2"/>
        <v>-1.607142857142918E-3</v>
      </c>
      <c r="I267" s="72">
        <v>4.2500000000000038E-2</v>
      </c>
      <c r="J267" s="1">
        <v>14</v>
      </c>
      <c r="L267" s="72">
        <v>4.0000000000000036E-2</v>
      </c>
      <c r="M267" s="1">
        <f t="shared" si="1"/>
        <v>5.0771578322234818</v>
      </c>
    </row>
    <row r="268" spans="1:13">
      <c r="A268" s="52">
        <v>112.11</v>
      </c>
      <c r="B268" s="52">
        <v>119.265</v>
      </c>
      <c r="C268" s="52">
        <v>112.06</v>
      </c>
      <c r="D268" s="52">
        <v>118.78</v>
      </c>
      <c r="E268" s="52">
        <v>886389</v>
      </c>
      <c r="F268" s="52" t="s">
        <v>275</v>
      </c>
      <c r="G268" s="25">
        <f t="shared" si="2"/>
        <v>-5.6154234719649754E-2</v>
      </c>
      <c r="I268" s="72">
        <v>4.500000000000004E-2</v>
      </c>
      <c r="J268" s="1">
        <v>4</v>
      </c>
      <c r="L268" s="72">
        <v>4.2500000000000038E-2</v>
      </c>
      <c r="M268" s="1">
        <f t="shared" si="1"/>
        <v>4.5734848273635178</v>
      </c>
    </row>
    <row r="269" spans="1:13">
      <c r="A269" s="52">
        <v>119.02</v>
      </c>
      <c r="B269" s="52">
        <v>120.05</v>
      </c>
      <c r="C269" s="52">
        <v>114.455</v>
      </c>
      <c r="D269" s="52">
        <v>114.71</v>
      </c>
      <c r="E269" s="52">
        <v>842406</v>
      </c>
      <c r="F269" s="52" t="s">
        <v>276</v>
      </c>
      <c r="G269" s="25">
        <f t="shared" si="2"/>
        <v>3.7573010199633883E-2</v>
      </c>
      <c r="I269" s="72">
        <v>4.7500000000000042E-2</v>
      </c>
      <c r="J269" s="1">
        <v>8</v>
      </c>
      <c r="L269" s="72">
        <v>4.500000000000004E-2</v>
      </c>
      <c r="M269" s="1">
        <f t="shared" si="1"/>
        <v>4.0956755277698766</v>
      </c>
    </row>
    <row r="270" spans="1:13">
      <c r="A270" s="52">
        <v>114.08</v>
      </c>
      <c r="B270" s="52">
        <v>115.11499999999999</v>
      </c>
      <c r="C270" s="52">
        <v>112.86669999999999</v>
      </c>
      <c r="D270" s="52">
        <v>113.14</v>
      </c>
      <c r="E270" s="52">
        <v>563571</v>
      </c>
      <c r="F270" s="52" t="s">
        <v>277</v>
      </c>
      <c r="G270" s="25">
        <f t="shared" si="2"/>
        <v>8.3082906133993273E-3</v>
      </c>
      <c r="I270" s="72">
        <v>5.0000000000000044E-2</v>
      </c>
      <c r="J270" s="1">
        <v>6</v>
      </c>
      <c r="L270" s="72">
        <v>4.7500000000000042E-2</v>
      </c>
      <c r="M270" s="1">
        <f t="shared" si="1"/>
        <v>3.6463266027635663</v>
      </c>
    </row>
    <row r="271" spans="1:13">
      <c r="A271" s="52">
        <v>113.81</v>
      </c>
      <c r="B271" s="52">
        <v>114.8</v>
      </c>
      <c r="C271" s="52">
        <v>111.48</v>
      </c>
      <c r="D271" s="52">
        <v>111.48</v>
      </c>
      <c r="E271" s="52">
        <v>604282</v>
      </c>
      <c r="F271" s="52" t="s">
        <v>278</v>
      </c>
      <c r="G271" s="25">
        <f t="shared" si="2"/>
        <v>2.0900609974883411E-2</v>
      </c>
      <c r="I271" s="72">
        <v>5.2500000000000047E-2</v>
      </c>
      <c r="J271" s="1">
        <v>8</v>
      </c>
      <c r="L271" s="72">
        <v>5.0000000000000044E-2</v>
      </c>
      <c r="M271" s="1">
        <f t="shared" si="1"/>
        <v>3.2272849378156598</v>
      </c>
    </row>
    <row r="272" spans="1:13">
      <c r="A272" s="52">
        <v>113.72</v>
      </c>
      <c r="B272" s="52">
        <v>116.15</v>
      </c>
      <c r="C272" s="52">
        <v>112.78</v>
      </c>
      <c r="D272" s="52">
        <v>114.87</v>
      </c>
      <c r="E272" s="52">
        <v>724637</v>
      </c>
      <c r="F272" s="52" t="s">
        <v>279</v>
      </c>
      <c r="G272" s="25">
        <f t="shared" si="2"/>
        <v>-1.0011317141116138E-2</v>
      </c>
      <c r="I272" s="72">
        <v>5.5000000000000049E-2</v>
      </c>
      <c r="J272" s="1">
        <v>6</v>
      </c>
      <c r="L272" s="72">
        <v>5.2500000000000047E-2</v>
      </c>
      <c r="M272" s="1">
        <f t="shared" si="1"/>
        <v>2.8396889955113718</v>
      </c>
    </row>
    <row r="273" spans="1:13">
      <c r="A273" s="52">
        <v>114.45</v>
      </c>
      <c r="B273" s="52">
        <v>116.24</v>
      </c>
      <c r="C273" s="52">
        <v>113.46</v>
      </c>
      <c r="D273" s="52">
        <v>115.53</v>
      </c>
      <c r="E273" s="52">
        <v>767899</v>
      </c>
      <c r="F273" s="52" t="s">
        <v>280</v>
      </c>
      <c r="G273" s="25">
        <f t="shared" si="2"/>
        <v>-9.3482212412360211E-3</v>
      </c>
      <c r="I273" s="72">
        <v>5.7500000000000051E-2</v>
      </c>
      <c r="J273" s="1">
        <v>6</v>
      </c>
      <c r="L273" s="72">
        <v>5.5000000000000049E-2</v>
      </c>
      <c r="M273" s="1">
        <f t="shared" si="1"/>
        <v>2.4840250327332631</v>
      </c>
    </row>
    <row r="274" spans="1:13">
      <c r="A274" s="52">
        <v>115.45</v>
      </c>
      <c r="B274" s="52">
        <v>117.5</v>
      </c>
      <c r="C274" s="52">
        <v>113.38</v>
      </c>
      <c r="D274" s="52">
        <v>117.24</v>
      </c>
      <c r="E274" s="52">
        <v>907025</v>
      </c>
      <c r="F274" s="52" t="s">
        <v>281</v>
      </c>
      <c r="G274" s="25">
        <f t="shared" si="2"/>
        <v>-1.526782668031379E-2</v>
      </c>
      <c r="I274" s="72">
        <v>6.0000000000000053E-2</v>
      </c>
      <c r="J274" s="1">
        <v>2</v>
      </c>
      <c r="L274" s="72">
        <v>5.7500000000000051E-2</v>
      </c>
      <c r="M274" s="1">
        <f t="shared" si="1"/>
        <v>2.1601946197943636</v>
      </c>
    </row>
    <row r="275" spans="1:13">
      <c r="A275" s="52">
        <v>117.51</v>
      </c>
      <c r="B275" s="52">
        <v>118.28</v>
      </c>
      <c r="C275" s="52">
        <v>116.54</v>
      </c>
      <c r="D275" s="52">
        <v>117.12</v>
      </c>
      <c r="E275" s="52">
        <v>1220638</v>
      </c>
      <c r="F275" s="52" t="s">
        <v>282</v>
      </c>
      <c r="G275" s="25">
        <f t="shared" si="2"/>
        <v>3.3299180327868161E-3</v>
      </c>
      <c r="I275" s="72">
        <v>6.2500000000000056E-2</v>
      </c>
      <c r="J275" s="1">
        <v>2</v>
      </c>
      <c r="L275" s="72">
        <v>6.0000000000000053E-2</v>
      </c>
      <c r="M275" s="1">
        <f t="shared" ref="M275:M292" si="3">_xlfn.NORM.DIST(L275,$K$200,$K$202,FALSE)</f>
        <v>1.8675898903156516</v>
      </c>
    </row>
    <row r="276" spans="1:13">
      <c r="A276" s="52">
        <v>116.89</v>
      </c>
      <c r="B276" s="52">
        <v>119.43600000000001</v>
      </c>
      <c r="C276" s="52">
        <v>116.31</v>
      </c>
      <c r="D276" s="52">
        <v>116.47</v>
      </c>
      <c r="E276" s="52">
        <v>858011</v>
      </c>
      <c r="F276" s="52" t="s">
        <v>283</v>
      </c>
      <c r="G276" s="25">
        <f t="shared" si="2"/>
        <v>3.6060788185798831E-3</v>
      </c>
      <c r="I276" s="72">
        <v>6.5000000000000058E-2</v>
      </c>
      <c r="J276" s="1">
        <v>2</v>
      </c>
      <c r="L276" s="72">
        <v>6.2500000000000056E-2</v>
      </c>
      <c r="M276" s="1">
        <f t="shared" si="3"/>
        <v>1.6051730918262681</v>
      </c>
    </row>
    <row r="277" spans="1:13">
      <c r="A277" s="52">
        <v>116.46</v>
      </c>
      <c r="B277" s="52">
        <v>119</v>
      </c>
      <c r="C277" s="52">
        <v>116</v>
      </c>
      <c r="D277" s="52">
        <v>118.95</v>
      </c>
      <c r="E277" s="52">
        <v>1126210</v>
      </c>
      <c r="F277" s="52" t="s">
        <v>284</v>
      </c>
      <c r="G277" s="25">
        <f t="shared" si="2"/>
        <v>-2.0933165195460401E-2</v>
      </c>
      <c r="I277" s="72">
        <v>6.750000000000006E-2</v>
      </c>
      <c r="J277" s="1">
        <v>2</v>
      </c>
      <c r="L277" s="72">
        <v>6.5000000000000058E-2</v>
      </c>
      <c r="M277" s="1">
        <f t="shared" si="3"/>
        <v>1.37155728012522</v>
      </c>
    </row>
    <row r="278" spans="1:13">
      <c r="A278" s="52">
        <v>119.14</v>
      </c>
      <c r="B278" s="52">
        <v>120</v>
      </c>
      <c r="C278" s="52">
        <v>114.06</v>
      </c>
      <c r="D278" s="52">
        <v>116.09</v>
      </c>
      <c r="E278" s="52">
        <v>794823</v>
      </c>
      <c r="F278" s="52" t="s">
        <v>285</v>
      </c>
      <c r="G278" s="25">
        <f t="shared" si="2"/>
        <v>2.627271944181242E-2</v>
      </c>
      <c r="I278" s="72">
        <v>7.0000000000000062E-2</v>
      </c>
      <c r="J278" s="1">
        <v>0</v>
      </c>
      <c r="L278" s="72">
        <v>6.750000000000006E-2</v>
      </c>
      <c r="M278" s="1">
        <f t="shared" si="3"/>
        <v>1.1650853752367221</v>
      </c>
    </row>
    <row r="279" spans="1:13">
      <c r="A279" s="52">
        <v>116.09</v>
      </c>
      <c r="B279" s="52">
        <v>118.2</v>
      </c>
      <c r="C279" s="52">
        <v>115.5</v>
      </c>
      <c r="D279" s="52">
        <v>117</v>
      </c>
      <c r="E279" s="52">
        <v>731771</v>
      </c>
      <c r="F279" s="52" t="s">
        <v>286</v>
      </c>
      <c r="G279" s="25">
        <f t="shared" si="2"/>
        <v>-7.7777777777777724E-3</v>
      </c>
      <c r="I279" s="72">
        <v>7.2500000000000064E-2</v>
      </c>
      <c r="J279" s="1">
        <v>1</v>
      </c>
      <c r="L279" s="72">
        <v>7.0000000000000062E-2</v>
      </c>
      <c r="M279" s="1">
        <f t="shared" si="3"/>
        <v>0.98390524157039017</v>
      </c>
    </row>
    <row r="280" spans="1:13">
      <c r="A280" s="52">
        <v>116.79</v>
      </c>
      <c r="B280" s="52">
        <v>119.51</v>
      </c>
      <c r="C280" s="52">
        <v>116.21</v>
      </c>
      <c r="D280" s="52">
        <v>118.53</v>
      </c>
      <c r="E280" s="52">
        <v>1198306</v>
      </c>
      <c r="F280" s="52" t="s">
        <v>287</v>
      </c>
      <c r="G280" s="25">
        <f t="shared" si="2"/>
        <v>-1.4679827891672992E-2</v>
      </c>
      <c r="I280" s="72">
        <v>7.5000000000000067E-2</v>
      </c>
      <c r="J280" s="1">
        <v>0</v>
      </c>
      <c r="L280" s="72">
        <v>7.2500000000000064E-2</v>
      </c>
      <c r="M280" s="1">
        <f t="shared" si="3"/>
        <v>0.82603893841116949</v>
      </c>
    </row>
    <row r="281" spans="1:13">
      <c r="A281" s="52">
        <v>118</v>
      </c>
      <c r="B281" s="52">
        <v>118.45</v>
      </c>
      <c r="C281" s="52">
        <v>115.61</v>
      </c>
      <c r="D281" s="52">
        <v>117.75</v>
      </c>
      <c r="E281" s="52">
        <v>649140</v>
      </c>
      <c r="F281" s="52" t="s">
        <v>288</v>
      </c>
      <c r="G281" s="25">
        <f t="shared" si="2"/>
        <v>2.1231422505307851E-3</v>
      </c>
      <c r="I281" s="72">
        <v>7.7499999999999999E-2</v>
      </c>
      <c r="J281" s="1">
        <v>0</v>
      </c>
      <c r="L281" s="72">
        <v>7.5000000000000067E-2</v>
      </c>
      <c r="M281" s="1">
        <f t="shared" si="3"/>
        <v>0.68944478014425958</v>
      </c>
    </row>
    <row r="282" spans="1:13">
      <c r="A282" s="52">
        <v>117.06</v>
      </c>
      <c r="B282" s="52">
        <v>119.77</v>
      </c>
      <c r="C282" s="52">
        <v>114.42</v>
      </c>
      <c r="D282" s="52">
        <v>119.35</v>
      </c>
      <c r="E282" s="52">
        <v>829539</v>
      </c>
      <c r="F282" s="52" t="s">
        <v>289</v>
      </c>
      <c r="G282" s="25">
        <f t="shared" si="2"/>
        <v>-1.9187264348554556E-2</v>
      </c>
      <c r="I282" s="72">
        <v>0.08</v>
      </c>
      <c r="J282" s="1">
        <v>0</v>
      </c>
      <c r="L282" s="72">
        <v>7.7499999999999999E-2</v>
      </c>
      <c r="M282" s="1">
        <f t="shared" si="3"/>
        <v>0.57207132337141053</v>
      </c>
    </row>
    <row r="283" spans="1:13">
      <c r="A283" s="52">
        <v>119.33</v>
      </c>
      <c r="B283" s="52">
        <v>123.015</v>
      </c>
      <c r="C283" s="52">
        <v>118.64</v>
      </c>
      <c r="D283" s="52">
        <v>119.91</v>
      </c>
      <c r="E283" s="52">
        <v>659356</v>
      </c>
      <c r="F283" s="52" t="s">
        <v>290</v>
      </c>
      <c r="G283" s="25">
        <f t="shared" si="2"/>
        <v>-4.8369610541239005E-3</v>
      </c>
      <c r="I283" s="72">
        <v>8.2500000000000004E-2</v>
      </c>
      <c r="J283" s="1">
        <v>1</v>
      </c>
      <c r="L283" s="72">
        <v>0.08</v>
      </c>
      <c r="M283" s="1">
        <f t="shared" si="3"/>
        <v>0.47190283962397855</v>
      </c>
    </row>
    <row r="284" spans="1:13">
      <c r="A284" s="52">
        <v>118.83</v>
      </c>
      <c r="B284" s="52">
        <v>123.51</v>
      </c>
      <c r="C284" s="52">
        <v>118.36</v>
      </c>
      <c r="D284" s="52">
        <v>120.53</v>
      </c>
      <c r="E284" s="52">
        <v>1297319</v>
      </c>
      <c r="F284" s="52" t="s">
        <v>291</v>
      </c>
      <c r="G284" s="25">
        <f t="shared" si="2"/>
        <v>-1.4104372355430161E-2</v>
      </c>
      <c r="I284" s="72">
        <v>8.5000000000000006E-2</v>
      </c>
      <c r="J284" s="1">
        <v>0</v>
      </c>
      <c r="L284" s="72">
        <v>8.2500000000000004E-2</v>
      </c>
      <c r="M284" s="1">
        <f t="shared" si="3"/>
        <v>0.38699622218836244</v>
      </c>
    </row>
    <row r="285" spans="1:13">
      <c r="A285" s="52">
        <v>118.43</v>
      </c>
      <c r="B285" s="52">
        <v>127.91</v>
      </c>
      <c r="C285" s="52">
        <v>116.29</v>
      </c>
      <c r="D285" s="52">
        <v>124.88</v>
      </c>
      <c r="E285" s="52">
        <v>1518361</v>
      </c>
      <c r="F285" s="52" t="s">
        <v>292</v>
      </c>
      <c r="G285" s="25">
        <f t="shared" si="2"/>
        <v>-5.1649583600256177E-2</v>
      </c>
      <c r="I285" s="72">
        <v>8.7499999999999994E-2</v>
      </c>
      <c r="J285" s="1">
        <v>0</v>
      </c>
      <c r="L285" s="72">
        <v>8.5000000000000006E-2</v>
      </c>
      <c r="M285" s="1">
        <f t="shared" si="3"/>
        <v>0.31550960333326605</v>
      </c>
    </row>
    <row r="286" spans="1:13">
      <c r="A286" s="52">
        <v>124.79</v>
      </c>
      <c r="B286" s="52">
        <v>128.75</v>
      </c>
      <c r="C286" s="52">
        <v>123.5</v>
      </c>
      <c r="D286" s="52">
        <v>124.75</v>
      </c>
      <c r="E286" s="52">
        <v>760720</v>
      </c>
      <c r="F286" s="52" t="s">
        <v>293</v>
      </c>
      <c r="G286" s="25">
        <f t="shared" si="2"/>
        <v>3.2064128256514834E-4</v>
      </c>
      <c r="I286" s="72">
        <v>0.09</v>
      </c>
      <c r="J286" s="1">
        <v>1</v>
      </c>
      <c r="L286" s="72">
        <v>8.7499999999999994E-2</v>
      </c>
      <c r="M286" s="1">
        <f t="shared" si="3"/>
        <v>0.25572321866153797</v>
      </c>
    </row>
    <row r="287" spans="1:13">
      <c r="A287" s="52">
        <v>126.27</v>
      </c>
      <c r="B287" s="52">
        <v>128</v>
      </c>
      <c r="C287" s="52">
        <v>123.4</v>
      </c>
      <c r="D287" s="52">
        <v>123.55</v>
      </c>
      <c r="E287" s="52">
        <v>727838</v>
      </c>
      <c r="F287" s="52" t="s">
        <v>294</v>
      </c>
      <c r="G287" s="25">
        <f t="shared" si="2"/>
        <v>2.2015378389315998E-2</v>
      </c>
      <c r="I287" s="72">
        <v>9.2499999999999999E-2</v>
      </c>
      <c r="J287" s="1">
        <v>1</v>
      </c>
      <c r="L287" s="72">
        <v>0.09</v>
      </c>
      <c r="M287" s="1">
        <f t="shared" si="3"/>
        <v>0.20605324756564938</v>
      </c>
    </row>
    <row r="288" spans="1:13">
      <c r="A288" s="52">
        <v>124.49</v>
      </c>
      <c r="B288" s="52">
        <v>129.84</v>
      </c>
      <c r="C288" s="52">
        <v>123.38</v>
      </c>
      <c r="D288" s="52">
        <v>128.79</v>
      </c>
      <c r="E288" s="52">
        <v>575952</v>
      </c>
      <c r="F288" s="52" t="s">
        <v>295</v>
      </c>
      <c r="G288" s="25">
        <f t="shared" si="2"/>
        <v>-3.3387685379299592E-2</v>
      </c>
      <c r="I288" s="72">
        <v>9.5000000000000001E-2</v>
      </c>
      <c r="J288" s="1">
        <v>1</v>
      </c>
      <c r="L288" s="72">
        <v>9.2499999999999999E-2</v>
      </c>
      <c r="M288" s="1">
        <f t="shared" si="3"/>
        <v>0.165059485758628</v>
      </c>
    </row>
    <row r="289" spans="1:13">
      <c r="A289" s="52">
        <v>127.89</v>
      </c>
      <c r="B289" s="52">
        <v>128.94999999999999</v>
      </c>
      <c r="C289" s="52">
        <v>125.79</v>
      </c>
      <c r="D289" s="52">
        <v>125.94</v>
      </c>
      <c r="E289" s="52">
        <v>665880</v>
      </c>
      <c r="F289" s="52" t="s">
        <v>296</v>
      </c>
      <c r="G289" s="25">
        <f t="shared" si="2"/>
        <v>1.5483563601715211E-2</v>
      </c>
      <c r="I289" s="72">
        <v>9.7500000000000003E-2</v>
      </c>
      <c r="J289" s="1">
        <v>1</v>
      </c>
      <c r="L289" s="72">
        <v>9.5000000000000001E-2</v>
      </c>
      <c r="M289" s="1">
        <f t="shared" si="3"/>
        <v>0.13144777341236272</v>
      </c>
    </row>
    <row r="290" spans="1:13">
      <c r="A290" s="52">
        <v>126.29</v>
      </c>
      <c r="B290" s="52">
        <v>127.285</v>
      </c>
      <c r="C290" s="52">
        <v>124.54</v>
      </c>
      <c r="D290" s="52">
        <v>124.54</v>
      </c>
      <c r="E290" s="52">
        <v>397586</v>
      </c>
      <c r="F290" s="52" t="s">
        <v>297</v>
      </c>
      <c r="G290" s="25">
        <f t="shared" si="2"/>
        <v>1.4051710293881525E-2</v>
      </c>
      <c r="I290" s="72">
        <v>0.1</v>
      </c>
      <c r="J290" s="1">
        <v>0</v>
      </c>
      <c r="L290" s="72">
        <v>9.7500000000000003E-2</v>
      </c>
      <c r="M290" s="1">
        <f t="shared" si="3"/>
        <v>0.10406811844514584</v>
      </c>
    </row>
    <row r="291" spans="1:13" ht="15.75" thickBot="1">
      <c r="A291" s="52">
        <v>124.09</v>
      </c>
      <c r="B291" s="52">
        <v>126.8866</v>
      </c>
      <c r="C291" s="52">
        <v>121.28</v>
      </c>
      <c r="D291" s="52">
        <v>122.72</v>
      </c>
      <c r="E291" s="52">
        <v>593051</v>
      </c>
      <c r="F291" s="52" t="s">
        <v>298</v>
      </c>
      <c r="G291" s="25">
        <f t="shared" si="2"/>
        <v>1.1163624511082215E-2</v>
      </c>
      <c r="I291" s="73" t="s">
        <v>1629</v>
      </c>
      <c r="J291" s="75">
        <v>6</v>
      </c>
      <c r="L291" s="72">
        <v>0.1</v>
      </c>
      <c r="M291" s="1">
        <f t="shared" si="3"/>
        <v>8.1909428056944941E-2</v>
      </c>
    </row>
    <row r="292" spans="1:13">
      <c r="A292" s="52">
        <v>121.59</v>
      </c>
      <c r="B292" s="52">
        <v>122.795</v>
      </c>
      <c r="C292" s="52">
        <v>120.29</v>
      </c>
      <c r="D292" s="52">
        <v>121.67</v>
      </c>
      <c r="E292" s="52">
        <v>379087</v>
      </c>
      <c r="F292" s="52" t="s">
        <v>299</v>
      </c>
      <c r="G292" s="25">
        <f t="shared" si="2"/>
        <v>-6.5751623243193169E-4</v>
      </c>
      <c r="L292" s="72">
        <v>0.10249999999999999</v>
      </c>
      <c r="M292" s="1">
        <f t="shared" si="3"/>
        <v>6.4091702270767575E-2</v>
      </c>
    </row>
    <row r="293" spans="1:13">
      <c r="A293" s="52">
        <v>121.19</v>
      </c>
      <c r="B293" s="52">
        <v>121.63</v>
      </c>
      <c r="C293" s="52">
        <v>119.26</v>
      </c>
      <c r="D293" s="52">
        <v>120.21</v>
      </c>
      <c r="E293" s="52">
        <v>444800</v>
      </c>
      <c r="F293" s="52" t="s">
        <v>300</v>
      </c>
      <c r="G293" s="25">
        <f t="shared" si="2"/>
        <v>8.1523999667250102E-3</v>
      </c>
    </row>
    <row r="294" spans="1:13">
      <c r="A294" s="52">
        <v>121.5</v>
      </c>
      <c r="B294" s="52">
        <v>123.574</v>
      </c>
      <c r="C294" s="52">
        <v>120.83</v>
      </c>
      <c r="D294" s="52">
        <v>122.24</v>
      </c>
      <c r="E294" s="52">
        <v>478250</v>
      </c>
      <c r="F294" s="52" t="s">
        <v>301</v>
      </c>
      <c r="G294" s="25">
        <f t="shared" si="2"/>
        <v>-6.0536649214659732E-3</v>
      </c>
    </row>
    <row r="295" spans="1:13">
      <c r="A295" s="52">
        <v>123.37</v>
      </c>
      <c r="B295" s="52">
        <v>123.9</v>
      </c>
      <c r="C295" s="52">
        <v>120.74</v>
      </c>
      <c r="D295" s="52">
        <v>120.82</v>
      </c>
      <c r="E295" s="52">
        <v>392803</v>
      </c>
      <c r="F295" s="52" t="s">
        <v>302</v>
      </c>
      <c r="G295" s="25">
        <f t="shared" si="2"/>
        <v>2.1105777189207142E-2</v>
      </c>
    </row>
    <row r="296" spans="1:13">
      <c r="A296" s="52">
        <v>121.9</v>
      </c>
      <c r="B296" s="52">
        <v>122.1808</v>
      </c>
      <c r="C296" s="52">
        <v>120</v>
      </c>
      <c r="D296" s="52">
        <v>120.21</v>
      </c>
      <c r="E296" s="52">
        <v>204864</v>
      </c>
      <c r="F296" s="52" t="s">
        <v>303</v>
      </c>
      <c r="G296" s="25">
        <f t="shared" si="2"/>
        <v>1.4058730554862509E-2</v>
      </c>
    </row>
    <row r="297" spans="1:13">
      <c r="A297" s="52">
        <v>120.66</v>
      </c>
      <c r="B297" s="52">
        <v>121.065</v>
      </c>
      <c r="C297" s="52">
        <v>117.395</v>
      </c>
      <c r="D297" s="52">
        <v>119</v>
      </c>
      <c r="E297" s="52">
        <v>509527</v>
      </c>
      <c r="F297" s="52" t="s">
        <v>304</v>
      </c>
      <c r="G297" s="25">
        <f t="shared" si="2"/>
        <v>1.3949579831932679E-2</v>
      </c>
    </row>
    <row r="298" spans="1:13">
      <c r="A298" s="52">
        <v>118.97</v>
      </c>
      <c r="B298" s="52">
        <v>121</v>
      </c>
      <c r="C298" s="52">
        <v>118.56</v>
      </c>
      <c r="D298" s="52">
        <v>119.59</v>
      </c>
      <c r="E298" s="52">
        <v>1952948</v>
      </c>
      <c r="F298" s="52" t="s">
        <v>305</v>
      </c>
      <c r="G298" s="25">
        <f t="shared" si="2"/>
        <v>-5.1843799648800815E-3</v>
      </c>
    </row>
    <row r="299" spans="1:13">
      <c r="A299" s="52">
        <v>119.47</v>
      </c>
      <c r="B299" s="52">
        <v>122.5</v>
      </c>
      <c r="C299" s="52">
        <v>117.97</v>
      </c>
      <c r="D299" s="52">
        <v>120.53</v>
      </c>
      <c r="E299" s="52">
        <v>1031269</v>
      </c>
      <c r="F299" s="52" t="s">
        <v>306</v>
      </c>
      <c r="G299" s="25">
        <f t="shared" si="2"/>
        <v>-8.7944909980918196E-3</v>
      </c>
    </row>
    <row r="300" spans="1:13">
      <c r="A300" s="52">
        <v>120.25</v>
      </c>
      <c r="B300" s="52">
        <v>126.04</v>
      </c>
      <c r="C300" s="52">
        <v>119.84</v>
      </c>
      <c r="D300" s="52">
        <v>126.04</v>
      </c>
      <c r="E300" s="52">
        <v>942784</v>
      </c>
      <c r="F300" s="52" t="s">
        <v>307</v>
      </c>
      <c r="G300" s="25">
        <f t="shared" si="2"/>
        <v>-4.593779752459537E-2</v>
      </c>
    </row>
    <row r="301" spans="1:13">
      <c r="A301" s="52">
        <v>125.76</v>
      </c>
      <c r="B301" s="52">
        <v>127.87</v>
      </c>
      <c r="C301" s="52">
        <v>124.9006</v>
      </c>
      <c r="D301" s="52">
        <v>125.1</v>
      </c>
      <c r="E301" s="52">
        <v>566207</v>
      </c>
      <c r="F301" s="52" t="s">
        <v>308</v>
      </c>
      <c r="G301" s="25">
        <f t="shared" si="2"/>
        <v>5.2757793764988126E-3</v>
      </c>
    </row>
    <row r="302" spans="1:13">
      <c r="A302" s="52">
        <v>126.79</v>
      </c>
      <c r="B302" s="52">
        <v>128.72999999999999</v>
      </c>
      <c r="C302" s="52">
        <v>123</v>
      </c>
      <c r="D302" s="52">
        <v>123.455</v>
      </c>
      <c r="E302" s="52">
        <v>741421</v>
      </c>
      <c r="F302" s="52" t="s">
        <v>309</v>
      </c>
      <c r="G302" s="25">
        <f t="shared" si="2"/>
        <v>2.701389170142976E-2</v>
      </c>
    </row>
    <row r="303" spans="1:13">
      <c r="A303" s="52">
        <v>123.71</v>
      </c>
      <c r="B303" s="52">
        <v>125.91</v>
      </c>
      <c r="C303" s="52">
        <v>122.12</v>
      </c>
      <c r="D303" s="52">
        <v>123.19</v>
      </c>
      <c r="E303" s="52">
        <v>730761</v>
      </c>
      <c r="F303" s="52" t="s">
        <v>310</v>
      </c>
      <c r="G303" s="25">
        <f t="shared" si="2"/>
        <v>4.2211218443055643E-3</v>
      </c>
    </row>
    <row r="304" spans="1:13">
      <c r="A304" s="52">
        <v>124.47</v>
      </c>
      <c r="B304" s="52">
        <v>126.72</v>
      </c>
      <c r="C304" s="52">
        <v>123.74</v>
      </c>
      <c r="D304" s="52">
        <v>125.39</v>
      </c>
      <c r="E304" s="52">
        <v>739839</v>
      </c>
      <c r="F304" s="52" t="s">
        <v>311</v>
      </c>
      <c r="G304" s="25">
        <f t="shared" si="2"/>
        <v>-7.3371082223463446E-3</v>
      </c>
    </row>
    <row r="305" spans="1:7">
      <c r="A305" s="52">
        <v>125.39</v>
      </c>
      <c r="B305" s="52">
        <v>127.56</v>
      </c>
      <c r="C305" s="52">
        <v>124.48</v>
      </c>
      <c r="D305" s="52">
        <v>126.7</v>
      </c>
      <c r="E305" s="52">
        <v>364755</v>
      </c>
      <c r="F305" s="52" t="s">
        <v>312</v>
      </c>
      <c r="G305" s="25">
        <f t="shared" si="2"/>
        <v>-1.0339384372533567E-2</v>
      </c>
    </row>
    <row r="306" spans="1:7">
      <c r="A306" s="52">
        <v>126.7</v>
      </c>
      <c r="B306" s="52">
        <v>129.37</v>
      </c>
      <c r="C306" s="52">
        <v>126</v>
      </c>
      <c r="D306" s="52">
        <v>129.08000000000001</v>
      </c>
      <c r="E306" s="52">
        <v>486109</v>
      </c>
      <c r="F306" s="52" t="s">
        <v>313</v>
      </c>
      <c r="G306" s="25">
        <f t="shared" si="2"/>
        <v>-1.8438177874186668E-2</v>
      </c>
    </row>
    <row r="307" spans="1:7">
      <c r="A307" s="52">
        <v>129</v>
      </c>
      <c r="B307" s="52">
        <v>131.31</v>
      </c>
      <c r="C307" s="52">
        <v>127.8</v>
      </c>
      <c r="D307" s="52">
        <v>128.36000000000001</v>
      </c>
      <c r="E307" s="52">
        <v>775177</v>
      </c>
      <c r="F307" s="52" t="s">
        <v>314</v>
      </c>
      <c r="G307" s="25">
        <f t="shared" si="2"/>
        <v>4.9859769398565845E-3</v>
      </c>
    </row>
    <row r="308" spans="1:7">
      <c r="A308" s="52">
        <v>128.16999999999999</v>
      </c>
      <c r="B308" s="52">
        <v>129.06</v>
      </c>
      <c r="C308" s="52">
        <v>125.52</v>
      </c>
      <c r="D308" s="52">
        <v>126.34</v>
      </c>
      <c r="E308" s="52">
        <v>619494</v>
      </c>
      <c r="F308" s="52" t="s">
        <v>315</v>
      </c>
      <c r="G308" s="25">
        <f t="shared" ref="G308:G371" si="4">A308/D308-1</f>
        <v>1.4484723761279072E-2</v>
      </c>
    </row>
    <row r="309" spans="1:7">
      <c r="A309" s="52">
        <v>126.28</v>
      </c>
      <c r="B309" s="52">
        <v>127.87</v>
      </c>
      <c r="C309" s="52">
        <v>124.42</v>
      </c>
      <c r="D309" s="52">
        <v>125.55</v>
      </c>
      <c r="E309" s="52">
        <v>608714</v>
      </c>
      <c r="F309" s="52" t="s">
        <v>316</v>
      </c>
      <c r="G309" s="25">
        <f t="shared" si="4"/>
        <v>5.8144165671047965E-3</v>
      </c>
    </row>
    <row r="310" spans="1:7">
      <c r="A310" s="52">
        <v>126.53</v>
      </c>
      <c r="B310" s="52">
        <v>127.96</v>
      </c>
      <c r="C310" s="52">
        <v>124.81</v>
      </c>
      <c r="D310" s="52">
        <v>126.01</v>
      </c>
      <c r="E310" s="52">
        <v>489671</v>
      </c>
      <c r="F310" s="52" t="s">
        <v>317</v>
      </c>
      <c r="G310" s="25">
        <f t="shared" si="4"/>
        <v>4.1266566145543582E-3</v>
      </c>
    </row>
    <row r="311" spans="1:7">
      <c r="A311" s="52">
        <v>126.01</v>
      </c>
      <c r="B311" s="52">
        <v>128.49</v>
      </c>
      <c r="C311" s="52">
        <v>125.02</v>
      </c>
      <c r="D311" s="52">
        <v>127.17</v>
      </c>
      <c r="E311" s="52">
        <v>1075016</v>
      </c>
      <c r="F311" s="52" t="s">
        <v>318</v>
      </c>
      <c r="G311" s="25">
        <f t="shared" si="4"/>
        <v>-9.1216481874655253E-3</v>
      </c>
    </row>
    <row r="312" spans="1:7">
      <c r="A312" s="52">
        <v>127.95</v>
      </c>
      <c r="B312" s="52">
        <v>132.65</v>
      </c>
      <c r="C312" s="52">
        <v>125.7</v>
      </c>
      <c r="D312" s="52">
        <v>132</v>
      </c>
      <c r="E312" s="52">
        <v>1135069</v>
      </c>
      <c r="F312" s="52" t="s">
        <v>319</v>
      </c>
      <c r="G312" s="25">
        <f t="shared" si="4"/>
        <v>-3.0681818181818143E-2</v>
      </c>
    </row>
    <row r="313" spans="1:7">
      <c r="A313" s="52">
        <v>133.34</v>
      </c>
      <c r="B313" s="52">
        <v>138.81</v>
      </c>
      <c r="C313" s="52">
        <v>133.15</v>
      </c>
      <c r="D313" s="52">
        <v>137.11000000000001</v>
      </c>
      <c r="E313" s="52">
        <v>777554</v>
      </c>
      <c r="F313" s="52" t="s">
        <v>320</v>
      </c>
      <c r="G313" s="25">
        <f t="shared" si="4"/>
        <v>-2.7496170957625354E-2</v>
      </c>
    </row>
    <row r="314" spans="1:7">
      <c r="A314" s="52">
        <v>137.94</v>
      </c>
      <c r="B314" s="52">
        <v>138.10499999999999</v>
      </c>
      <c r="C314" s="52">
        <v>130</v>
      </c>
      <c r="D314" s="52">
        <v>130.94</v>
      </c>
      <c r="E314" s="52">
        <v>2917222</v>
      </c>
      <c r="F314" s="52" t="s">
        <v>321</v>
      </c>
      <c r="G314" s="25">
        <f t="shared" si="4"/>
        <v>5.3459599816710002E-2</v>
      </c>
    </row>
    <row r="315" spans="1:7">
      <c r="A315" s="52">
        <v>130.5</v>
      </c>
      <c r="B315" s="52">
        <v>131</v>
      </c>
      <c r="C315" s="52">
        <v>115.75</v>
      </c>
      <c r="D315" s="52">
        <v>116.11</v>
      </c>
      <c r="E315" s="52">
        <v>3403489</v>
      </c>
      <c r="F315" s="52" t="s">
        <v>322</v>
      </c>
      <c r="G315" s="25">
        <f t="shared" si="4"/>
        <v>0.12393420032727587</v>
      </c>
    </row>
    <row r="316" spans="1:7">
      <c r="A316" s="52">
        <v>114.65</v>
      </c>
      <c r="B316" s="52">
        <v>115.3</v>
      </c>
      <c r="C316" s="52">
        <v>113</v>
      </c>
      <c r="D316" s="52">
        <v>113.06</v>
      </c>
      <c r="E316" s="52">
        <v>1368085</v>
      </c>
      <c r="F316" s="52" t="s">
        <v>323</v>
      </c>
      <c r="G316" s="25">
        <f t="shared" si="4"/>
        <v>1.4063329205731501E-2</v>
      </c>
    </row>
    <row r="317" spans="1:7">
      <c r="A317" s="52">
        <v>114.23</v>
      </c>
      <c r="B317" s="52">
        <v>114.83</v>
      </c>
      <c r="C317" s="52">
        <v>110.5</v>
      </c>
      <c r="D317" s="52">
        <v>110.68</v>
      </c>
      <c r="E317" s="52">
        <v>913720</v>
      </c>
      <c r="F317" s="52" t="s">
        <v>324</v>
      </c>
      <c r="G317" s="25">
        <f t="shared" si="4"/>
        <v>3.2074448861582949E-2</v>
      </c>
    </row>
    <row r="318" spans="1:7">
      <c r="A318" s="52">
        <v>110.5</v>
      </c>
      <c r="B318" s="52">
        <v>111.78</v>
      </c>
      <c r="C318" s="52">
        <v>109.0304</v>
      </c>
      <c r="D318" s="52">
        <v>110.87</v>
      </c>
      <c r="E318" s="52">
        <v>917373</v>
      </c>
      <c r="F318" s="52" t="s">
        <v>325</v>
      </c>
      <c r="G318" s="25">
        <f t="shared" si="4"/>
        <v>-3.3372418147380456E-3</v>
      </c>
    </row>
    <row r="319" spans="1:7">
      <c r="A319" s="52">
        <v>110.86</v>
      </c>
      <c r="B319" s="52">
        <v>111.375</v>
      </c>
      <c r="C319" s="52">
        <v>108.72</v>
      </c>
      <c r="D319" s="52">
        <v>110.46</v>
      </c>
      <c r="E319" s="52">
        <v>1198256</v>
      </c>
      <c r="F319" s="52" t="s">
        <v>326</v>
      </c>
      <c r="G319" s="25">
        <f t="shared" si="4"/>
        <v>3.6212203512584473E-3</v>
      </c>
    </row>
    <row r="320" spans="1:7">
      <c r="A320" s="52">
        <v>106.62</v>
      </c>
      <c r="B320" s="52">
        <v>106.99</v>
      </c>
      <c r="C320" s="52">
        <v>103.625</v>
      </c>
      <c r="D320" s="52">
        <v>104.38</v>
      </c>
      <c r="E320" s="52">
        <v>1052040</v>
      </c>
      <c r="F320" s="52" t="s">
        <v>327</v>
      </c>
      <c r="G320" s="25">
        <f t="shared" si="4"/>
        <v>2.1460049817972893E-2</v>
      </c>
    </row>
    <row r="321" spans="1:7">
      <c r="A321" s="52">
        <v>104.67</v>
      </c>
      <c r="B321" s="52">
        <v>105.98</v>
      </c>
      <c r="C321" s="52">
        <v>102.155</v>
      </c>
      <c r="D321" s="52">
        <v>102.88</v>
      </c>
      <c r="E321" s="52">
        <v>1229788</v>
      </c>
      <c r="F321" s="52" t="s">
        <v>328</v>
      </c>
      <c r="G321" s="25">
        <f t="shared" si="4"/>
        <v>1.739891135303262E-2</v>
      </c>
    </row>
    <row r="322" spans="1:7">
      <c r="A322" s="52">
        <v>104.54</v>
      </c>
      <c r="B322" s="52">
        <v>108.7</v>
      </c>
      <c r="C322" s="52">
        <v>102.57</v>
      </c>
      <c r="D322" s="52">
        <v>108.54</v>
      </c>
      <c r="E322" s="52">
        <v>1571012</v>
      </c>
      <c r="F322" s="52" t="s">
        <v>329</v>
      </c>
      <c r="G322" s="25">
        <f t="shared" si="4"/>
        <v>-3.6852773171181075E-2</v>
      </c>
    </row>
    <row r="323" spans="1:7">
      <c r="A323" s="52">
        <v>109.11</v>
      </c>
      <c r="B323" s="52">
        <v>112.58</v>
      </c>
      <c r="C323" s="52">
        <v>109.01</v>
      </c>
      <c r="D323" s="52">
        <v>112.58</v>
      </c>
      <c r="E323" s="52">
        <v>1453243</v>
      </c>
      <c r="F323" s="52" t="s">
        <v>330</v>
      </c>
      <c r="G323" s="25">
        <f t="shared" si="4"/>
        <v>-3.0822526203588496E-2</v>
      </c>
    </row>
    <row r="324" spans="1:7">
      <c r="A324" s="52">
        <v>112.48</v>
      </c>
      <c r="B324" s="52">
        <v>116.3</v>
      </c>
      <c r="C324" s="52">
        <v>111.53</v>
      </c>
      <c r="D324" s="52">
        <v>113.63</v>
      </c>
      <c r="E324" s="52">
        <v>961893</v>
      </c>
      <c r="F324" s="52" t="s">
        <v>331</v>
      </c>
      <c r="G324" s="25">
        <f t="shared" si="4"/>
        <v>-1.0120566751738003E-2</v>
      </c>
    </row>
    <row r="325" spans="1:7">
      <c r="A325" s="52">
        <v>114.32</v>
      </c>
      <c r="B325" s="52">
        <v>118.72499999999999</v>
      </c>
      <c r="C325" s="52">
        <v>114.12</v>
      </c>
      <c r="D325" s="52">
        <v>118</v>
      </c>
      <c r="E325" s="52">
        <v>1110098</v>
      </c>
      <c r="F325" s="52" t="s">
        <v>332</v>
      </c>
      <c r="G325" s="25">
        <f t="shared" si="4"/>
        <v>-3.1186440677966165E-2</v>
      </c>
    </row>
    <row r="326" spans="1:7">
      <c r="A326" s="52">
        <v>117.84</v>
      </c>
      <c r="B326" s="52">
        <v>122.63</v>
      </c>
      <c r="C326" s="52">
        <v>117.53</v>
      </c>
      <c r="D326" s="52">
        <v>121.88</v>
      </c>
      <c r="E326" s="52">
        <v>1143559</v>
      </c>
      <c r="F326" s="52" t="s">
        <v>333</v>
      </c>
      <c r="G326" s="25">
        <f t="shared" si="4"/>
        <v>-3.3147358057105336E-2</v>
      </c>
    </row>
    <row r="327" spans="1:7">
      <c r="A327" s="52">
        <v>121.61</v>
      </c>
      <c r="B327" s="52">
        <v>121.9599</v>
      </c>
      <c r="C327" s="52">
        <v>116.32</v>
      </c>
      <c r="D327" s="52">
        <v>120.5</v>
      </c>
      <c r="E327" s="52">
        <v>1484714</v>
      </c>
      <c r="F327" s="52" t="s">
        <v>334</v>
      </c>
      <c r="G327" s="25">
        <f t="shared" si="4"/>
        <v>9.2116182572614669E-3</v>
      </c>
    </row>
    <row r="328" spans="1:7">
      <c r="A328" s="52">
        <v>120.42</v>
      </c>
      <c r="B328" s="52">
        <v>132.9999</v>
      </c>
      <c r="C328" s="52">
        <v>117.52</v>
      </c>
      <c r="D328" s="52">
        <v>132.4</v>
      </c>
      <c r="E328" s="52">
        <v>2393564</v>
      </c>
      <c r="F328" s="52" t="s">
        <v>335</v>
      </c>
      <c r="G328" s="25">
        <f t="shared" si="4"/>
        <v>-9.0483383685800667E-2</v>
      </c>
    </row>
    <row r="329" spans="1:7">
      <c r="A329" s="52">
        <v>127.97</v>
      </c>
      <c r="B329" s="52">
        <v>128.32</v>
      </c>
      <c r="C329" s="52">
        <v>122.45</v>
      </c>
      <c r="D329" s="52">
        <v>126.5</v>
      </c>
      <c r="E329" s="52">
        <v>1453723</v>
      </c>
      <c r="F329" s="52" t="s">
        <v>336</v>
      </c>
      <c r="G329" s="25">
        <f t="shared" si="4"/>
        <v>1.1620553359683816E-2</v>
      </c>
    </row>
    <row r="330" spans="1:7">
      <c r="A330" s="52">
        <v>125.01</v>
      </c>
      <c r="B330" s="52">
        <v>125.25</v>
      </c>
      <c r="C330" s="52">
        <v>121.1765</v>
      </c>
      <c r="D330" s="52">
        <v>123</v>
      </c>
      <c r="E330" s="52">
        <v>825790</v>
      </c>
      <c r="F330" s="52" t="s">
        <v>337</v>
      </c>
      <c r="G330" s="25">
        <f t="shared" si="4"/>
        <v>1.6341463414634161E-2</v>
      </c>
    </row>
    <row r="331" spans="1:7">
      <c r="A331" s="52">
        <v>123.07</v>
      </c>
      <c r="B331" s="52">
        <v>124.03</v>
      </c>
      <c r="C331" s="52">
        <v>121.0125</v>
      </c>
      <c r="D331" s="52">
        <v>123.3</v>
      </c>
      <c r="E331" s="52">
        <v>973205</v>
      </c>
      <c r="F331" s="52" t="s">
        <v>338</v>
      </c>
      <c r="G331" s="25">
        <f t="shared" si="4"/>
        <v>-1.8653690186537508E-3</v>
      </c>
    </row>
    <row r="332" spans="1:7">
      <c r="A332" s="52">
        <v>123.29</v>
      </c>
      <c r="B332" s="52">
        <v>126.51</v>
      </c>
      <c r="C332" s="52">
        <v>122.679</v>
      </c>
      <c r="D332" s="52">
        <v>125.91</v>
      </c>
      <c r="E332" s="52">
        <v>1141434</v>
      </c>
      <c r="F332" s="52" t="s">
        <v>339</v>
      </c>
      <c r="G332" s="25">
        <f t="shared" si="4"/>
        <v>-2.0808514017949253E-2</v>
      </c>
    </row>
    <row r="333" spans="1:7">
      <c r="A333" s="52">
        <v>126</v>
      </c>
      <c r="B333" s="52">
        <v>128.19</v>
      </c>
      <c r="C333" s="52">
        <v>125.92</v>
      </c>
      <c r="D333" s="52">
        <v>127.32</v>
      </c>
      <c r="E333" s="52">
        <v>652347</v>
      </c>
      <c r="F333" s="52" t="s">
        <v>340</v>
      </c>
      <c r="G333" s="25">
        <f t="shared" si="4"/>
        <v>-1.0367577756833168E-2</v>
      </c>
    </row>
    <row r="334" spans="1:7">
      <c r="A334" s="52">
        <v>127.78</v>
      </c>
      <c r="B334" s="52">
        <v>130.85499999999999</v>
      </c>
      <c r="C334" s="52">
        <v>127.4</v>
      </c>
      <c r="D334" s="52">
        <v>129.32</v>
      </c>
      <c r="E334" s="52">
        <v>658068</v>
      </c>
      <c r="F334" s="52" t="s">
        <v>341</v>
      </c>
      <c r="G334" s="25">
        <f t="shared" si="4"/>
        <v>-1.1908444169501986E-2</v>
      </c>
    </row>
    <row r="335" spans="1:7">
      <c r="A335" s="52">
        <v>130.21</v>
      </c>
      <c r="B335" s="52">
        <v>131.16999999999999</v>
      </c>
      <c r="C335" s="52">
        <v>129.26009999999999</v>
      </c>
      <c r="D335" s="52">
        <v>130.07</v>
      </c>
      <c r="E335" s="52">
        <v>431757</v>
      </c>
      <c r="F335" s="52" t="s">
        <v>342</v>
      </c>
      <c r="G335" s="25">
        <f t="shared" si="4"/>
        <v>1.0763435073422034E-3</v>
      </c>
    </row>
    <row r="336" spans="1:7">
      <c r="A336" s="52">
        <v>130.26</v>
      </c>
      <c r="B336" s="52">
        <v>132.80000000000001</v>
      </c>
      <c r="C336" s="52">
        <v>129.26</v>
      </c>
      <c r="D336" s="52">
        <v>131.37</v>
      </c>
      <c r="E336" s="52">
        <v>515932</v>
      </c>
      <c r="F336" s="52" t="s">
        <v>343</v>
      </c>
      <c r="G336" s="25">
        <f t="shared" si="4"/>
        <v>-8.4494176752684114E-3</v>
      </c>
    </row>
    <row r="337" spans="1:7">
      <c r="A337" s="52">
        <v>131.13999999999999</v>
      </c>
      <c r="B337" s="52">
        <v>133.36000000000001</v>
      </c>
      <c r="C337" s="52">
        <v>130.93</v>
      </c>
      <c r="D337" s="52">
        <v>132.1</v>
      </c>
      <c r="E337" s="52">
        <v>849647</v>
      </c>
      <c r="F337" s="52" t="s">
        <v>344</v>
      </c>
      <c r="G337" s="25">
        <f t="shared" si="4"/>
        <v>-7.2672218016655021E-3</v>
      </c>
    </row>
    <row r="338" spans="1:7">
      <c r="A338" s="52">
        <v>132.02000000000001</v>
      </c>
      <c r="B338" s="52">
        <v>132.88</v>
      </c>
      <c r="C338" s="52">
        <v>129.53</v>
      </c>
      <c r="D338" s="52">
        <v>129.9</v>
      </c>
      <c r="E338" s="52">
        <v>737633</v>
      </c>
      <c r="F338" s="52" t="s">
        <v>345</v>
      </c>
      <c r="G338" s="25">
        <f t="shared" si="4"/>
        <v>1.6320246343341172E-2</v>
      </c>
    </row>
    <row r="339" spans="1:7">
      <c r="A339" s="52">
        <v>129.88</v>
      </c>
      <c r="B339" s="52">
        <v>131</v>
      </c>
      <c r="C339" s="52">
        <v>126.78</v>
      </c>
      <c r="D339" s="52">
        <v>131</v>
      </c>
      <c r="E339" s="52">
        <v>737382</v>
      </c>
      <c r="F339" s="52" t="s">
        <v>346</v>
      </c>
      <c r="G339" s="25">
        <f t="shared" si="4"/>
        <v>-8.5496183206107412E-3</v>
      </c>
    </row>
    <row r="340" spans="1:7">
      <c r="A340" s="52">
        <v>128.41999999999999</v>
      </c>
      <c r="B340" s="52">
        <v>128.54</v>
      </c>
      <c r="C340" s="52">
        <v>126.205</v>
      </c>
      <c r="D340" s="52">
        <v>126.26</v>
      </c>
      <c r="E340" s="52">
        <v>514391</v>
      </c>
      <c r="F340" s="52" t="s">
        <v>347</v>
      </c>
      <c r="G340" s="25">
        <f t="shared" si="4"/>
        <v>1.710755583716117E-2</v>
      </c>
    </row>
    <row r="341" spans="1:7">
      <c r="A341" s="52">
        <v>127.31</v>
      </c>
      <c r="B341" s="52">
        <v>129.24</v>
      </c>
      <c r="C341" s="52">
        <v>126.58</v>
      </c>
      <c r="D341" s="52">
        <v>127.73</v>
      </c>
      <c r="E341" s="52">
        <v>859182</v>
      </c>
      <c r="F341" s="52" t="s">
        <v>348</v>
      </c>
      <c r="G341" s="25">
        <f t="shared" si="4"/>
        <v>-3.2881860173804567E-3</v>
      </c>
    </row>
    <row r="342" spans="1:7">
      <c r="A342" s="52">
        <v>127.08</v>
      </c>
      <c r="B342" s="52">
        <v>130.04</v>
      </c>
      <c r="C342" s="52">
        <v>124.26</v>
      </c>
      <c r="D342" s="52">
        <v>124.98</v>
      </c>
      <c r="E342" s="52">
        <v>1028079</v>
      </c>
      <c r="F342" s="52" t="s">
        <v>349</v>
      </c>
      <c r="G342" s="25">
        <f t="shared" si="4"/>
        <v>1.6802688430148871E-2</v>
      </c>
    </row>
    <row r="343" spans="1:7">
      <c r="A343" s="52">
        <v>124.25</v>
      </c>
      <c r="B343" s="52">
        <v>127.18</v>
      </c>
      <c r="C343" s="52">
        <v>124.21</v>
      </c>
      <c r="D343" s="52">
        <v>125.6</v>
      </c>
      <c r="E343" s="52">
        <v>896123</v>
      </c>
      <c r="F343" s="52" t="s">
        <v>350</v>
      </c>
      <c r="G343" s="25">
        <f t="shared" si="4"/>
        <v>-1.0748407643312086E-2</v>
      </c>
    </row>
    <row r="344" spans="1:7">
      <c r="A344" s="52">
        <v>125.92</v>
      </c>
      <c r="B344" s="52">
        <v>126.345</v>
      </c>
      <c r="C344" s="52">
        <v>123.66</v>
      </c>
      <c r="D344" s="52">
        <v>123.66</v>
      </c>
      <c r="E344" s="52">
        <v>612987</v>
      </c>
      <c r="F344" s="52" t="s">
        <v>351</v>
      </c>
      <c r="G344" s="25">
        <f t="shared" si="4"/>
        <v>1.8275917839236655E-2</v>
      </c>
    </row>
    <row r="345" spans="1:7">
      <c r="A345" s="52">
        <v>123.73</v>
      </c>
      <c r="B345" s="52">
        <v>124.98</v>
      </c>
      <c r="C345" s="52">
        <v>123.22</v>
      </c>
      <c r="D345" s="52">
        <v>124.37</v>
      </c>
      <c r="E345" s="52">
        <v>656161</v>
      </c>
      <c r="F345" s="52" t="s">
        <v>352</v>
      </c>
      <c r="G345" s="25">
        <f t="shared" si="4"/>
        <v>-5.1459355149955366E-3</v>
      </c>
    </row>
    <row r="346" spans="1:7">
      <c r="A346" s="52">
        <v>124.37</v>
      </c>
      <c r="B346" s="52">
        <v>124.94</v>
      </c>
      <c r="C346" s="52">
        <v>122.74</v>
      </c>
      <c r="D346" s="52">
        <v>124.42</v>
      </c>
      <c r="E346" s="52">
        <v>414738</v>
      </c>
      <c r="F346" s="52" t="s">
        <v>353</v>
      </c>
      <c r="G346" s="25">
        <f t="shared" si="4"/>
        <v>-4.0186465198521759E-4</v>
      </c>
    </row>
    <row r="347" spans="1:7">
      <c r="A347" s="52">
        <v>124.51</v>
      </c>
      <c r="B347" s="52">
        <v>125.96</v>
      </c>
      <c r="C347" s="52">
        <v>122.17</v>
      </c>
      <c r="D347" s="52">
        <v>122.41</v>
      </c>
      <c r="E347" s="52">
        <v>868402</v>
      </c>
      <c r="F347" s="52" t="s">
        <v>354</v>
      </c>
      <c r="G347" s="25">
        <f t="shared" si="4"/>
        <v>1.7155461155134555E-2</v>
      </c>
    </row>
    <row r="348" spans="1:7">
      <c r="A348" s="52">
        <v>122.41</v>
      </c>
      <c r="B348" s="52">
        <v>124.66</v>
      </c>
      <c r="C348" s="52">
        <v>118.43</v>
      </c>
      <c r="D348" s="52">
        <v>119.69</v>
      </c>
      <c r="E348" s="52">
        <v>1083137</v>
      </c>
      <c r="F348" s="52" t="s">
        <v>355</v>
      </c>
      <c r="G348" s="25">
        <f t="shared" si="4"/>
        <v>2.2725373882529931E-2</v>
      </c>
    </row>
    <row r="349" spans="1:7">
      <c r="A349" s="52">
        <v>117.99</v>
      </c>
      <c r="B349" s="52">
        <v>119.64</v>
      </c>
      <c r="C349" s="52">
        <v>116.16500000000001</v>
      </c>
      <c r="D349" s="52">
        <v>119.64</v>
      </c>
      <c r="E349" s="52">
        <v>1099448</v>
      </c>
      <c r="F349" s="52" t="s">
        <v>356</v>
      </c>
      <c r="G349" s="25">
        <f t="shared" si="4"/>
        <v>-1.3791374122367195E-2</v>
      </c>
    </row>
    <row r="350" spans="1:7">
      <c r="A350" s="52">
        <v>119.72</v>
      </c>
      <c r="B350" s="52">
        <v>120.89</v>
      </c>
      <c r="C350" s="52">
        <v>117.53</v>
      </c>
      <c r="D350" s="52">
        <v>117.86</v>
      </c>
      <c r="E350" s="52">
        <v>809027</v>
      </c>
      <c r="F350" s="52" t="s">
        <v>357</v>
      </c>
      <c r="G350" s="25">
        <f t="shared" si="4"/>
        <v>1.5781435601561089E-2</v>
      </c>
    </row>
    <row r="351" spans="1:7">
      <c r="A351" s="52">
        <v>117.79</v>
      </c>
      <c r="B351" s="52">
        <v>121</v>
      </c>
      <c r="C351" s="52">
        <v>116.58</v>
      </c>
      <c r="D351" s="52">
        <v>120.32</v>
      </c>
      <c r="E351" s="52">
        <v>884154</v>
      </c>
      <c r="F351" s="52" t="s">
        <v>358</v>
      </c>
      <c r="G351" s="25">
        <f t="shared" si="4"/>
        <v>-2.102726063829774E-2</v>
      </c>
    </row>
    <row r="352" spans="1:7">
      <c r="A352" s="52">
        <v>120.4</v>
      </c>
      <c r="B352" s="52">
        <v>121.88</v>
      </c>
      <c r="C352" s="52">
        <v>118.63</v>
      </c>
      <c r="D352" s="52">
        <v>119.91</v>
      </c>
      <c r="E352" s="52">
        <v>893683</v>
      </c>
      <c r="F352" s="52" t="s">
        <v>359</v>
      </c>
      <c r="G352" s="25">
        <f t="shared" si="4"/>
        <v>4.086398131932345E-3</v>
      </c>
    </row>
    <row r="353" spans="1:7">
      <c r="A353" s="52">
        <v>118.76</v>
      </c>
      <c r="B353" s="52">
        <v>122.22</v>
      </c>
      <c r="C353" s="52">
        <v>118.27</v>
      </c>
      <c r="D353" s="52">
        <v>121.96</v>
      </c>
      <c r="E353" s="52">
        <v>1381145</v>
      </c>
      <c r="F353" s="52" t="s">
        <v>360</v>
      </c>
      <c r="G353" s="25">
        <f t="shared" si="4"/>
        <v>-2.6238110856018237E-2</v>
      </c>
    </row>
    <row r="354" spans="1:7">
      <c r="A354" s="52">
        <v>122.52</v>
      </c>
      <c r="B354" s="52">
        <v>124</v>
      </c>
      <c r="C354" s="52">
        <v>119.755</v>
      </c>
      <c r="D354" s="52">
        <v>121.73</v>
      </c>
      <c r="E354" s="52">
        <v>822535</v>
      </c>
      <c r="F354" s="52" t="s">
        <v>361</v>
      </c>
      <c r="G354" s="25">
        <f t="shared" si="4"/>
        <v>6.4897724472192664E-3</v>
      </c>
    </row>
    <row r="355" spans="1:7">
      <c r="A355" s="52">
        <v>122.33</v>
      </c>
      <c r="B355" s="52">
        <v>125.73</v>
      </c>
      <c r="C355" s="52">
        <v>121.66</v>
      </c>
      <c r="D355" s="52">
        <v>125</v>
      </c>
      <c r="E355" s="52">
        <v>723108</v>
      </c>
      <c r="F355" s="52" t="s">
        <v>362</v>
      </c>
      <c r="G355" s="25">
        <f t="shared" si="4"/>
        <v>-2.1360000000000046E-2</v>
      </c>
    </row>
    <row r="356" spans="1:7">
      <c r="A356" s="52">
        <v>124.89</v>
      </c>
      <c r="B356" s="52">
        <v>127.9</v>
      </c>
      <c r="C356" s="52">
        <v>123.68</v>
      </c>
      <c r="D356" s="52">
        <v>124.93</v>
      </c>
      <c r="E356" s="52">
        <v>676671</v>
      </c>
      <c r="F356" s="52" t="s">
        <v>363</v>
      </c>
      <c r="G356" s="25">
        <f t="shared" si="4"/>
        <v>-3.2017930040828535E-4</v>
      </c>
    </row>
    <row r="357" spans="1:7">
      <c r="A357" s="52">
        <v>124.53</v>
      </c>
      <c r="B357" s="52">
        <v>125.74</v>
      </c>
      <c r="C357" s="52">
        <v>123.47</v>
      </c>
      <c r="D357" s="52">
        <v>125.59</v>
      </c>
      <c r="E357" s="52">
        <v>768359</v>
      </c>
      <c r="F357" s="52" t="s">
        <v>364</v>
      </c>
      <c r="G357" s="25">
        <f t="shared" si="4"/>
        <v>-8.4401624333148018E-3</v>
      </c>
    </row>
    <row r="358" spans="1:7">
      <c r="A358" s="52">
        <v>124.84</v>
      </c>
      <c r="B358" s="52">
        <v>125.76</v>
      </c>
      <c r="C358" s="52">
        <v>123.6</v>
      </c>
      <c r="D358" s="52">
        <v>124.59</v>
      </c>
      <c r="E358" s="52">
        <v>582823</v>
      </c>
      <c r="F358" s="52" t="s">
        <v>365</v>
      </c>
      <c r="G358" s="25">
        <f t="shared" si="4"/>
        <v>2.0065815876073589E-3</v>
      </c>
    </row>
    <row r="359" spans="1:7">
      <c r="A359" s="52">
        <v>124.62</v>
      </c>
      <c r="B359" s="52">
        <v>125.92</v>
      </c>
      <c r="C359" s="52">
        <v>123.65</v>
      </c>
      <c r="D359" s="52">
        <v>125.56</v>
      </c>
      <c r="E359" s="52">
        <v>716713</v>
      </c>
      <c r="F359" s="52" t="s">
        <v>366</v>
      </c>
      <c r="G359" s="25">
        <f t="shared" si="4"/>
        <v>-7.4864606562599079E-3</v>
      </c>
    </row>
    <row r="360" spans="1:7">
      <c r="A360" s="52">
        <v>125.49</v>
      </c>
      <c r="B360" s="52">
        <v>125.84</v>
      </c>
      <c r="C360" s="52">
        <v>123.27</v>
      </c>
      <c r="D360" s="52">
        <v>125.03</v>
      </c>
      <c r="E360" s="52">
        <v>628440</v>
      </c>
      <c r="F360" s="52" t="s">
        <v>367</v>
      </c>
      <c r="G360" s="25">
        <f t="shared" si="4"/>
        <v>3.6791170119170324E-3</v>
      </c>
    </row>
    <row r="361" spans="1:7">
      <c r="A361" s="52">
        <v>124.79</v>
      </c>
      <c r="B361" s="52">
        <v>127.29</v>
      </c>
      <c r="C361" s="52">
        <v>124.57</v>
      </c>
      <c r="D361" s="52">
        <v>127.21</v>
      </c>
      <c r="E361" s="52">
        <v>753950</v>
      </c>
      <c r="F361" s="52" t="s">
        <v>368</v>
      </c>
      <c r="G361" s="25">
        <f t="shared" si="4"/>
        <v>-1.9023661661818903E-2</v>
      </c>
    </row>
    <row r="362" spans="1:7">
      <c r="A362" s="52">
        <v>127.21</v>
      </c>
      <c r="B362" s="52">
        <v>129.01</v>
      </c>
      <c r="C362" s="52">
        <v>125.05</v>
      </c>
      <c r="D362" s="52">
        <v>127.1</v>
      </c>
      <c r="E362" s="52">
        <v>997763</v>
      </c>
      <c r="F362" s="52" t="s">
        <v>369</v>
      </c>
      <c r="G362" s="25">
        <f t="shared" si="4"/>
        <v>8.6546026750600191E-4</v>
      </c>
    </row>
    <row r="363" spans="1:7">
      <c r="A363" s="52">
        <v>127.1</v>
      </c>
      <c r="B363" s="52">
        <v>128.65</v>
      </c>
      <c r="C363" s="52">
        <v>125.61</v>
      </c>
      <c r="D363" s="52">
        <v>126.41</v>
      </c>
      <c r="E363" s="52">
        <v>636891</v>
      </c>
      <c r="F363" s="52" t="s">
        <v>370</v>
      </c>
      <c r="G363" s="25">
        <f t="shared" si="4"/>
        <v>5.4584289217625148E-3</v>
      </c>
    </row>
    <row r="364" spans="1:7">
      <c r="A364" s="52">
        <v>125.01</v>
      </c>
      <c r="B364" s="52">
        <v>128.08000000000001</v>
      </c>
      <c r="C364" s="52">
        <v>123.61</v>
      </c>
      <c r="D364" s="52">
        <v>126.07</v>
      </c>
      <c r="E364" s="52">
        <v>624885</v>
      </c>
      <c r="F364" s="52" t="s">
        <v>371</v>
      </c>
      <c r="G364" s="25">
        <f t="shared" si="4"/>
        <v>-8.4080272864280881E-3</v>
      </c>
    </row>
    <row r="365" spans="1:7">
      <c r="A365" s="52">
        <v>125.69</v>
      </c>
      <c r="B365" s="52">
        <v>127.36</v>
      </c>
      <c r="C365" s="52">
        <v>124.315</v>
      </c>
      <c r="D365" s="52">
        <v>124.78</v>
      </c>
      <c r="E365" s="52">
        <v>528843</v>
      </c>
      <c r="F365" s="52" t="s">
        <v>372</v>
      </c>
      <c r="G365" s="25">
        <f t="shared" si="4"/>
        <v>7.2928353902868004E-3</v>
      </c>
    </row>
    <row r="366" spans="1:7">
      <c r="A366" s="52">
        <v>124.33</v>
      </c>
      <c r="B366" s="52">
        <v>126.66679999999999</v>
      </c>
      <c r="C366" s="52">
        <v>123.91</v>
      </c>
      <c r="D366" s="52">
        <v>125.76</v>
      </c>
      <c r="E366" s="52">
        <v>670774</v>
      </c>
      <c r="F366" s="52" t="s">
        <v>373</v>
      </c>
      <c r="G366" s="25">
        <f t="shared" si="4"/>
        <v>-1.1370865139949116E-2</v>
      </c>
    </row>
    <row r="367" spans="1:7">
      <c r="A367" s="52">
        <v>124.65</v>
      </c>
      <c r="B367" s="52">
        <v>125.95</v>
      </c>
      <c r="C367" s="52">
        <v>120.42</v>
      </c>
      <c r="D367" s="52">
        <v>124.12</v>
      </c>
      <c r="E367" s="52">
        <v>1243867</v>
      </c>
      <c r="F367" s="52" t="s">
        <v>374</v>
      </c>
      <c r="G367" s="25">
        <f t="shared" si="4"/>
        <v>4.2700612310666575E-3</v>
      </c>
    </row>
    <row r="368" spans="1:7">
      <c r="A368" s="52">
        <v>125.34</v>
      </c>
      <c r="B368" s="52">
        <v>128</v>
      </c>
      <c r="C368" s="52">
        <v>124.49</v>
      </c>
      <c r="D368" s="52">
        <v>128</v>
      </c>
      <c r="E368" s="52">
        <v>624710</v>
      </c>
      <c r="F368" s="52" t="s">
        <v>375</v>
      </c>
      <c r="G368" s="25">
        <f t="shared" si="4"/>
        <v>-2.0781249999999973E-2</v>
      </c>
    </row>
    <row r="369" spans="1:7">
      <c r="A369" s="52">
        <v>128.38999999999999</v>
      </c>
      <c r="B369" s="52">
        <v>128.59</v>
      </c>
      <c r="C369" s="52">
        <v>125.34010000000001</v>
      </c>
      <c r="D369" s="52">
        <v>126.46</v>
      </c>
      <c r="E369" s="52">
        <v>871261</v>
      </c>
      <c r="F369" s="52" t="s">
        <v>376</v>
      </c>
      <c r="G369" s="25">
        <f t="shared" si="4"/>
        <v>1.5261742843586834E-2</v>
      </c>
    </row>
    <row r="370" spans="1:7">
      <c r="A370" s="52">
        <v>126.94</v>
      </c>
      <c r="B370" s="52">
        <v>127.86</v>
      </c>
      <c r="C370" s="52">
        <v>124.71</v>
      </c>
      <c r="D370" s="52">
        <v>127.57</v>
      </c>
      <c r="E370" s="52">
        <v>619106</v>
      </c>
      <c r="F370" s="52" t="s">
        <v>377</v>
      </c>
      <c r="G370" s="25">
        <f t="shared" si="4"/>
        <v>-4.9384651563847415E-3</v>
      </c>
    </row>
    <row r="371" spans="1:7">
      <c r="A371" s="52">
        <v>127.69</v>
      </c>
      <c r="B371" s="52">
        <v>129.93</v>
      </c>
      <c r="C371" s="52">
        <v>127.29</v>
      </c>
      <c r="D371" s="52">
        <v>128.51</v>
      </c>
      <c r="E371" s="52">
        <v>945755</v>
      </c>
      <c r="F371" s="52" t="s">
        <v>378</v>
      </c>
      <c r="G371" s="25">
        <f t="shared" si="4"/>
        <v>-6.3808263948330612E-3</v>
      </c>
    </row>
    <row r="372" spans="1:7">
      <c r="A372" s="52">
        <v>128.91999999999999</v>
      </c>
      <c r="B372" s="52">
        <v>134.55000000000001</v>
      </c>
      <c r="C372" s="52">
        <v>126.815</v>
      </c>
      <c r="D372" s="52">
        <v>134</v>
      </c>
      <c r="E372" s="52">
        <v>1160484</v>
      </c>
      <c r="F372" s="52" t="s">
        <v>379</v>
      </c>
      <c r="G372" s="25">
        <f t="shared" ref="G372:G435" si="5">A372/D372-1</f>
        <v>-3.7910447761194122E-2</v>
      </c>
    </row>
    <row r="373" spans="1:7">
      <c r="A373" s="52">
        <v>133.77000000000001</v>
      </c>
      <c r="B373" s="52">
        <v>135.27000000000001</v>
      </c>
      <c r="C373" s="52">
        <v>133.22</v>
      </c>
      <c r="D373" s="52">
        <v>134.84</v>
      </c>
      <c r="E373" s="52">
        <v>422992</v>
      </c>
      <c r="F373" s="52" t="s">
        <v>380</v>
      </c>
      <c r="G373" s="25">
        <f t="shared" si="5"/>
        <v>-7.9353307623849512E-3</v>
      </c>
    </row>
    <row r="374" spans="1:7">
      <c r="A374" s="52">
        <v>134.79</v>
      </c>
      <c r="B374" s="52">
        <v>135.38</v>
      </c>
      <c r="C374" s="52">
        <v>132.715</v>
      </c>
      <c r="D374" s="52">
        <v>133.96</v>
      </c>
      <c r="E374" s="52">
        <v>454836</v>
      </c>
      <c r="F374" s="52" t="s">
        <v>381</v>
      </c>
      <c r="G374" s="25">
        <f t="shared" si="5"/>
        <v>6.1958793669751877E-3</v>
      </c>
    </row>
    <row r="375" spans="1:7">
      <c r="A375" s="52">
        <v>135.1</v>
      </c>
      <c r="B375" s="52">
        <v>138.71</v>
      </c>
      <c r="C375" s="52">
        <v>133.97</v>
      </c>
      <c r="D375" s="52">
        <v>135.44999999999999</v>
      </c>
      <c r="E375" s="52">
        <v>1186633</v>
      </c>
      <c r="F375" s="52" t="s">
        <v>382</v>
      </c>
      <c r="G375" s="25">
        <f t="shared" si="5"/>
        <v>-2.5839793281653423E-3</v>
      </c>
    </row>
    <row r="376" spans="1:7">
      <c r="A376" s="52">
        <v>135.78</v>
      </c>
      <c r="B376" s="52">
        <v>138.71</v>
      </c>
      <c r="C376" s="52">
        <v>134.53</v>
      </c>
      <c r="D376" s="52">
        <v>138.16999999999999</v>
      </c>
      <c r="E376" s="52">
        <v>770347</v>
      </c>
      <c r="F376" s="52" t="s">
        <v>383</v>
      </c>
      <c r="G376" s="25">
        <f t="shared" si="5"/>
        <v>-1.7297532025765228E-2</v>
      </c>
    </row>
    <row r="377" spans="1:7">
      <c r="A377" s="52">
        <v>137.25</v>
      </c>
      <c r="B377" s="52">
        <v>140.1</v>
      </c>
      <c r="C377" s="52">
        <v>136.80000000000001</v>
      </c>
      <c r="D377" s="52">
        <v>139.1</v>
      </c>
      <c r="E377" s="52">
        <v>469545</v>
      </c>
      <c r="F377" s="52" t="s">
        <v>384</v>
      </c>
      <c r="G377" s="25">
        <f t="shared" si="5"/>
        <v>-1.329978432782164E-2</v>
      </c>
    </row>
    <row r="378" spans="1:7">
      <c r="A378" s="52">
        <v>138.91</v>
      </c>
      <c r="B378" s="52">
        <v>140.97</v>
      </c>
      <c r="C378" s="52">
        <v>138.13999999999999</v>
      </c>
      <c r="D378" s="52">
        <v>140.37</v>
      </c>
      <c r="E378" s="52">
        <v>545251</v>
      </c>
      <c r="F378" s="52" t="s">
        <v>385</v>
      </c>
      <c r="G378" s="25">
        <f t="shared" si="5"/>
        <v>-1.0401082852461441E-2</v>
      </c>
    </row>
    <row r="379" spans="1:7">
      <c r="A379" s="52">
        <v>140.65</v>
      </c>
      <c r="B379" s="52">
        <v>140.88999999999999</v>
      </c>
      <c r="C379" s="52">
        <v>138.13999999999999</v>
      </c>
      <c r="D379" s="52">
        <v>140.01</v>
      </c>
      <c r="E379" s="52">
        <v>379720</v>
      </c>
      <c r="F379" s="52" t="s">
        <v>386</v>
      </c>
      <c r="G379" s="25">
        <f t="shared" si="5"/>
        <v>4.5711020641383548E-3</v>
      </c>
    </row>
    <row r="380" spans="1:7">
      <c r="A380" s="52">
        <v>140.35</v>
      </c>
      <c r="B380" s="52">
        <v>141.72</v>
      </c>
      <c r="C380" s="52">
        <v>139.57</v>
      </c>
      <c r="D380" s="52">
        <v>141.01</v>
      </c>
      <c r="E380" s="52">
        <v>651397</v>
      </c>
      <c r="F380" s="52" t="s">
        <v>387</v>
      </c>
      <c r="G380" s="25">
        <f t="shared" si="5"/>
        <v>-4.680519112119641E-3</v>
      </c>
    </row>
    <row r="381" spans="1:7">
      <c r="A381" s="52">
        <v>140.56</v>
      </c>
      <c r="B381" s="52">
        <v>143.49</v>
      </c>
      <c r="C381" s="52">
        <v>140.41</v>
      </c>
      <c r="D381" s="52">
        <v>142.01</v>
      </c>
      <c r="E381" s="52">
        <v>510423</v>
      </c>
      <c r="F381" s="52" t="s">
        <v>388</v>
      </c>
      <c r="G381" s="25">
        <f t="shared" si="5"/>
        <v>-1.0210548552918697E-2</v>
      </c>
    </row>
    <row r="382" spans="1:7">
      <c r="A382" s="52">
        <v>141.43</v>
      </c>
      <c r="B382" s="52">
        <v>144.22</v>
      </c>
      <c r="C382" s="52">
        <v>140.09</v>
      </c>
      <c r="D382" s="52">
        <v>144.09</v>
      </c>
      <c r="E382" s="52">
        <v>771051</v>
      </c>
      <c r="F382" s="52" t="s">
        <v>389</v>
      </c>
      <c r="G382" s="25">
        <f t="shared" si="5"/>
        <v>-1.8460684294538066E-2</v>
      </c>
    </row>
    <row r="383" spans="1:7">
      <c r="A383" s="52">
        <v>143.44999999999999</v>
      </c>
      <c r="B383" s="52">
        <v>143.52000000000001</v>
      </c>
      <c r="C383" s="52">
        <v>141.09</v>
      </c>
      <c r="D383" s="52">
        <v>141.25</v>
      </c>
      <c r="E383" s="52">
        <v>885040</v>
      </c>
      <c r="F383" s="52" t="s">
        <v>390</v>
      </c>
      <c r="G383" s="25">
        <f t="shared" si="5"/>
        <v>1.5575221238937953E-2</v>
      </c>
    </row>
    <row r="384" spans="1:7">
      <c r="A384" s="52">
        <v>140.49</v>
      </c>
      <c r="B384" s="52">
        <v>142.94999999999999</v>
      </c>
      <c r="C384" s="52">
        <v>138.4</v>
      </c>
      <c r="D384" s="52">
        <v>139.72</v>
      </c>
      <c r="E384" s="52">
        <v>1380263</v>
      </c>
      <c r="F384" s="52" t="s">
        <v>391</v>
      </c>
      <c r="G384" s="25">
        <f t="shared" si="5"/>
        <v>5.5110220440881541E-3</v>
      </c>
    </row>
    <row r="385" spans="1:7">
      <c r="A385" s="52">
        <v>137.28</v>
      </c>
      <c r="B385" s="52">
        <v>137.47999999999999</v>
      </c>
      <c r="C385" s="52">
        <v>133.07</v>
      </c>
      <c r="D385" s="52">
        <v>133.07</v>
      </c>
      <c r="E385" s="52">
        <v>693415</v>
      </c>
      <c r="F385" s="52" t="s">
        <v>392</v>
      </c>
      <c r="G385" s="25">
        <f t="shared" si="5"/>
        <v>3.1637484030961227E-2</v>
      </c>
    </row>
    <row r="386" spans="1:7">
      <c r="A386" s="52">
        <v>133.46</v>
      </c>
      <c r="B386" s="52">
        <v>134.81</v>
      </c>
      <c r="C386" s="52">
        <v>132.30009999999999</v>
      </c>
      <c r="D386" s="52">
        <v>133.83000000000001</v>
      </c>
      <c r="E386" s="52">
        <v>845219</v>
      </c>
      <c r="F386" s="52" t="s">
        <v>393</v>
      </c>
      <c r="G386" s="25">
        <f t="shared" si="5"/>
        <v>-2.7647014869610631E-3</v>
      </c>
    </row>
    <row r="387" spans="1:7">
      <c r="A387" s="52">
        <v>133.34</v>
      </c>
      <c r="B387" s="52">
        <v>135.69499999999999</v>
      </c>
      <c r="C387" s="52">
        <v>132.12</v>
      </c>
      <c r="D387" s="52">
        <v>133.76</v>
      </c>
      <c r="E387" s="52">
        <v>1015024</v>
      </c>
      <c r="F387" s="52" t="s">
        <v>394</v>
      </c>
      <c r="G387" s="25">
        <f t="shared" si="5"/>
        <v>-3.139952153109915E-3</v>
      </c>
    </row>
    <row r="388" spans="1:7">
      <c r="A388" s="52">
        <v>133.08000000000001</v>
      </c>
      <c r="B388" s="52">
        <v>133.77000000000001</v>
      </c>
      <c r="C388" s="52">
        <v>130.22</v>
      </c>
      <c r="D388" s="52">
        <v>133</v>
      </c>
      <c r="E388" s="52">
        <v>1070906</v>
      </c>
      <c r="F388" s="52" t="s">
        <v>395</v>
      </c>
      <c r="G388" s="25">
        <f t="shared" si="5"/>
        <v>6.0150375939849177E-4</v>
      </c>
    </row>
    <row r="389" spans="1:7">
      <c r="A389" s="52">
        <v>133.46</v>
      </c>
      <c r="B389" s="52">
        <v>133.68</v>
      </c>
      <c r="C389" s="52">
        <v>128</v>
      </c>
      <c r="D389" s="52">
        <v>129.09</v>
      </c>
      <c r="E389" s="52">
        <v>1404075</v>
      </c>
      <c r="F389" s="52" t="s">
        <v>396</v>
      </c>
      <c r="G389" s="25">
        <f t="shared" si="5"/>
        <v>3.3852351072894971E-2</v>
      </c>
    </row>
    <row r="390" spans="1:7">
      <c r="A390" s="52">
        <v>128.65</v>
      </c>
      <c r="B390" s="52">
        <v>128.9</v>
      </c>
      <c r="C390" s="52">
        <v>125.13</v>
      </c>
      <c r="D390" s="52">
        <v>126.03</v>
      </c>
      <c r="E390" s="52">
        <v>1363735</v>
      </c>
      <c r="F390" s="52" t="s">
        <v>397</v>
      </c>
      <c r="G390" s="25">
        <f t="shared" si="5"/>
        <v>2.0788701102911977E-2</v>
      </c>
    </row>
    <row r="391" spans="1:7">
      <c r="A391" s="52">
        <v>125.34</v>
      </c>
      <c r="B391" s="52">
        <v>133.38999999999999</v>
      </c>
      <c r="C391" s="52">
        <v>123.5</v>
      </c>
      <c r="D391" s="52">
        <v>133.38</v>
      </c>
      <c r="E391" s="52">
        <v>3304028</v>
      </c>
      <c r="F391" s="52" t="s">
        <v>398</v>
      </c>
      <c r="G391" s="25">
        <f t="shared" si="5"/>
        <v>-6.0278902384165445E-2</v>
      </c>
    </row>
    <row r="392" spans="1:7">
      <c r="A392" s="52">
        <v>136.4</v>
      </c>
      <c r="B392" s="52">
        <v>137.59</v>
      </c>
      <c r="C392" s="52">
        <v>130</v>
      </c>
      <c r="D392" s="52">
        <v>135</v>
      </c>
      <c r="E392" s="52">
        <v>3473227</v>
      </c>
      <c r="F392" s="52" t="s">
        <v>399</v>
      </c>
      <c r="G392" s="25">
        <f t="shared" si="5"/>
        <v>1.0370370370370363E-2</v>
      </c>
    </row>
    <row r="393" spans="1:7">
      <c r="A393" s="52">
        <v>140.06</v>
      </c>
      <c r="B393" s="52">
        <v>145</v>
      </c>
      <c r="C393" s="52">
        <v>139.91</v>
      </c>
      <c r="D393" s="52">
        <v>144.11000000000001</v>
      </c>
      <c r="E393" s="52">
        <v>1545662</v>
      </c>
      <c r="F393" s="52" t="s">
        <v>400</v>
      </c>
      <c r="G393" s="25">
        <f t="shared" si="5"/>
        <v>-2.8103532024148281E-2</v>
      </c>
    </row>
    <row r="394" spans="1:7">
      <c r="A394" s="52">
        <v>142.85</v>
      </c>
      <c r="B394" s="52">
        <v>144.44990000000001</v>
      </c>
      <c r="C394" s="52">
        <v>140.69999999999999</v>
      </c>
      <c r="D394" s="52">
        <v>141.65</v>
      </c>
      <c r="E394" s="52">
        <v>821294</v>
      </c>
      <c r="F394" s="52" t="s">
        <v>401</v>
      </c>
      <c r="G394" s="25">
        <f t="shared" si="5"/>
        <v>8.4715848923402337E-3</v>
      </c>
    </row>
    <row r="395" spans="1:7">
      <c r="A395" s="52">
        <v>140.65</v>
      </c>
      <c r="B395" s="52">
        <v>142.38999999999999</v>
      </c>
      <c r="C395" s="52">
        <v>136.78</v>
      </c>
      <c r="D395" s="52">
        <v>137</v>
      </c>
      <c r="E395" s="52">
        <v>1084779</v>
      </c>
      <c r="F395" s="52" t="s">
        <v>402</v>
      </c>
      <c r="G395" s="25">
        <f t="shared" si="5"/>
        <v>2.6642335766423386E-2</v>
      </c>
    </row>
    <row r="396" spans="1:7">
      <c r="A396" s="52">
        <v>143.94</v>
      </c>
      <c r="B396" s="52">
        <v>144.68</v>
      </c>
      <c r="C396" s="52">
        <v>140.38999999999999</v>
      </c>
      <c r="D396" s="52">
        <v>140.44</v>
      </c>
      <c r="E396" s="52">
        <v>1181646</v>
      </c>
      <c r="F396" s="52" t="s">
        <v>403</v>
      </c>
      <c r="G396" s="25">
        <f t="shared" si="5"/>
        <v>2.4921674736542387E-2</v>
      </c>
    </row>
    <row r="397" spans="1:7">
      <c r="A397" s="52">
        <v>144.01</v>
      </c>
      <c r="B397" s="52">
        <v>144.94999999999999</v>
      </c>
      <c r="C397" s="52">
        <v>140.63</v>
      </c>
      <c r="D397" s="52">
        <v>143.52000000000001</v>
      </c>
      <c r="E397" s="52">
        <v>1324088</v>
      </c>
      <c r="F397" s="52" t="s">
        <v>404</v>
      </c>
      <c r="G397" s="25">
        <f t="shared" si="5"/>
        <v>3.4141583054625446E-3</v>
      </c>
    </row>
    <row r="398" spans="1:7">
      <c r="A398" s="52">
        <v>142.24</v>
      </c>
      <c r="B398" s="52">
        <v>144.26990000000001</v>
      </c>
      <c r="C398" s="52">
        <v>141.21</v>
      </c>
      <c r="D398" s="52">
        <v>143.35</v>
      </c>
      <c r="E398" s="52">
        <v>1040382</v>
      </c>
      <c r="F398" s="52" t="s">
        <v>405</v>
      </c>
      <c r="G398" s="25">
        <f t="shared" si="5"/>
        <v>-7.7432856644574777E-3</v>
      </c>
    </row>
    <row r="399" spans="1:7">
      <c r="A399" s="52">
        <v>143.04</v>
      </c>
      <c r="B399" s="52">
        <v>146.38</v>
      </c>
      <c r="C399" s="52">
        <v>142.86000000000001</v>
      </c>
      <c r="D399" s="52">
        <v>145.99</v>
      </c>
      <c r="E399" s="52">
        <v>924904</v>
      </c>
      <c r="F399" s="52" t="s">
        <v>406</v>
      </c>
      <c r="G399" s="25">
        <f t="shared" si="5"/>
        <v>-2.0206863483800408E-2</v>
      </c>
    </row>
    <row r="400" spans="1:7">
      <c r="A400" s="52">
        <v>146.03</v>
      </c>
      <c r="B400" s="52">
        <v>150.47999999999999</v>
      </c>
      <c r="C400" s="52">
        <v>145.05000000000001</v>
      </c>
      <c r="D400" s="52">
        <v>147.72</v>
      </c>
      <c r="E400" s="52">
        <v>1373519</v>
      </c>
      <c r="F400" s="52" t="s">
        <v>407</v>
      </c>
      <c r="G400" s="25">
        <f t="shared" si="5"/>
        <v>-1.1440563227728129E-2</v>
      </c>
    </row>
    <row r="401" spans="1:7">
      <c r="A401" s="52">
        <v>144.24</v>
      </c>
      <c r="B401" s="52">
        <v>148.12</v>
      </c>
      <c r="C401" s="52">
        <v>143.31</v>
      </c>
      <c r="D401" s="52">
        <v>147.94</v>
      </c>
      <c r="E401" s="52">
        <v>964539</v>
      </c>
      <c r="F401" s="52" t="s">
        <v>408</v>
      </c>
      <c r="G401" s="25">
        <f t="shared" si="5"/>
        <v>-2.5010139245639995E-2</v>
      </c>
    </row>
    <row r="402" spans="1:7">
      <c r="A402" s="52">
        <v>147.56</v>
      </c>
      <c r="B402" s="52">
        <v>149.91</v>
      </c>
      <c r="C402" s="52">
        <v>146.13999999999999</v>
      </c>
      <c r="D402" s="52">
        <v>146.13999999999999</v>
      </c>
      <c r="E402" s="52">
        <v>1092786</v>
      </c>
      <c r="F402" s="52" t="s">
        <v>409</v>
      </c>
      <c r="G402" s="25">
        <f t="shared" si="5"/>
        <v>9.7167100041057886E-3</v>
      </c>
    </row>
    <row r="403" spans="1:7">
      <c r="A403" s="52">
        <v>146</v>
      </c>
      <c r="B403" s="52">
        <v>147.6</v>
      </c>
      <c r="C403" s="52">
        <v>145.04</v>
      </c>
      <c r="D403" s="52">
        <v>146.13</v>
      </c>
      <c r="E403" s="52">
        <v>827277</v>
      </c>
      <c r="F403" s="52" t="s">
        <v>410</v>
      </c>
      <c r="G403" s="25">
        <f t="shared" si="5"/>
        <v>-8.8961883254634611E-4</v>
      </c>
    </row>
    <row r="404" spans="1:7">
      <c r="A404" s="52">
        <v>147.63999999999999</v>
      </c>
      <c r="B404" s="52">
        <v>149.29499999999999</v>
      </c>
      <c r="C404" s="52">
        <v>145.41</v>
      </c>
      <c r="D404" s="52">
        <v>145.55000000000001</v>
      </c>
      <c r="E404" s="52">
        <v>1230758</v>
      </c>
      <c r="F404" s="52" t="s">
        <v>411</v>
      </c>
      <c r="G404" s="25">
        <f t="shared" si="5"/>
        <v>1.4359326691858243E-2</v>
      </c>
    </row>
    <row r="405" spans="1:7">
      <c r="A405" s="52">
        <v>146.35</v>
      </c>
      <c r="B405" s="52">
        <v>147.33000000000001</v>
      </c>
      <c r="C405" s="52">
        <v>144.34</v>
      </c>
      <c r="D405" s="52">
        <v>145.38999999999999</v>
      </c>
      <c r="E405" s="52">
        <v>1221356</v>
      </c>
      <c r="F405" s="52" t="s">
        <v>412</v>
      </c>
      <c r="G405" s="25">
        <f t="shared" si="5"/>
        <v>6.6029300502097321E-3</v>
      </c>
    </row>
    <row r="406" spans="1:7">
      <c r="A406" s="52">
        <v>145.61000000000001</v>
      </c>
      <c r="B406" s="52">
        <v>147.24</v>
      </c>
      <c r="C406" s="52">
        <v>143.74010000000001</v>
      </c>
      <c r="D406" s="52">
        <v>144.35</v>
      </c>
      <c r="E406" s="52">
        <v>1435320</v>
      </c>
      <c r="F406" s="52" t="s">
        <v>413</v>
      </c>
      <c r="G406" s="25">
        <f t="shared" si="5"/>
        <v>8.7287842050571829E-3</v>
      </c>
    </row>
    <row r="407" spans="1:7">
      <c r="A407" s="52">
        <v>143.78</v>
      </c>
      <c r="B407" s="52">
        <v>147.85</v>
      </c>
      <c r="C407" s="52">
        <v>143.62</v>
      </c>
      <c r="D407" s="52">
        <v>147.57</v>
      </c>
      <c r="E407" s="52">
        <v>693812</v>
      </c>
      <c r="F407" s="52" t="s">
        <v>414</v>
      </c>
      <c r="G407" s="25">
        <f t="shared" si="5"/>
        <v>-2.568272684149886E-2</v>
      </c>
    </row>
    <row r="408" spans="1:7">
      <c r="A408" s="52">
        <v>146.9</v>
      </c>
      <c r="B408" s="52">
        <v>149.21</v>
      </c>
      <c r="C408" s="52">
        <v>144.703</v>
      </c>
      <c r="D408" s="52">
        <v>147.52000000000001</v>
      </c>
      <c r="E408" s="52">
        <v>1133529</v>
      </c>
      <c r="F408" s="52" t="s">
        <v>415</v>
      </c>
      <c r="G408" s="25">
        <f t="shared" si="5"/>
        <v>-4.2028199566160884E-3</v>
      </c>
    </row>
    <row r="409" spans="1:7">
      <c r="A409" s="52">
        <v>148.97999999999999</v>
      </c>
      <c r="B409" s="52">
        <v>153.30000000000001</v>
      </c>
      <c r="C409" s="52">
        <v>148.37</v>
      </c>
      <c r="D409" s="52">
        <v>152.11000000000001</v>
      </c>
      <c r="E409" s="52">
        <v>1506074</v>
      </c>
      <c r="F409" s="52" t="s">
        <v>416</v>
      </c>
      <c r="G409" s="25">
        <f t="shared" si="5"/>
        <v>-2.0577213858392063E-2</v>
      </c>
    </row>
    <row r="410" spans="1:7">
      <c r="A410" s="52">
        <v>152.66999999999999</v>
      </c>
      <c r="B410" s="52">
        <v>154.13</v>
      </c>
      <c r="C410" s="52">
        <v>150.745</v>
      </c>
      <c r="D410" s="52">
        <v>152.32</v>
      </c>
      <c r="E410" s="52">
        <v>970707</v>
      </c>
      <c r="F410" s="52" t="s">
        <v>417</v>
      </c>
      <c r="G410" s="25">
        <f t="shared" si="5"/>
        <v>2.2977941176469674E-3</v>
      </c>
    </row>
    <row r="411" spans="1:7">
      <c r="A411" s="52">
        <v>152.11000000000001</v>
      </c>
      <c r="B411" s="52">
        <v>153.26</v>
      </c>
      <c r="C411" s="52">
        <v>150.33000000000001</v>
      </c>
      <c r="D411" s="52">
        <v>152.80000000000001</v>
      </c>
      <c r="E411" s="52">
        <v>1190103</v>
      </c>
      <c r="F411" s="52" t="s">
        <v>418</v>
      </c>
      <c r="G411" s="25">
        <f t="shared" si="5"/>
        <v>-4.51570680628266E-3</v>
      </c>
    </row>
    <row r="412" spans="1:7">
      <c r="A412" s="52">
        <v>152.11000000000001</v>
      </c>
      <c r="B412" s="52">
        <v>152.8099</v>
      </c>
      <c r="C412" s="52">
        <v>149.02000000000001</v>
      </c>
      <c r="D412" s="52">
        <v>150.06</v>
      </c>
      <c r="E412" s="52">
        <v>1402278</v>
      </c>
      <c r="F412" s="52" t="s">
        <v>419</v>
      </c>
      <c r="G412" s="25">
        <f t="shared" si="5"/>
        <v>1.3661202185792476E-2</v>
      </c>
    </row>
    <row r="413" spans="1:7">
      <c r="A413" s="52">
        <v>149.25</v>
      </c>
      <c r="B413" s="52">
        <v>152.26</v>
      </c>
      <c r="C413" s="52">
        <v>148.56</v>
      </c>
      <c r="D413" s="52">
        <v>151</v>
      </c>
      <c r="E413" s="52">
        <v>1120800</v>
      </c>
      <c r="F413" s="52" t="s">
        <v>420</v>
      </c>
      <c r="G413" s="25">
        <f t="shared" si="5"/>
        <v>-1.1589403973509937E-2</v>
      </c>
    </row>
    <row r="414" spans="1:7">
      <c r="A414" s="52">
        <v>150.25</v>
      </c>
      <c r="B414" s="52">
        <v>152.35499999999999</v>
      </c>
      <c r="C414" s="52">
        <v>148.20500000000001</v>
      </c>
      <c r="D414" s="52">
        <v>151.22999999999999</v>
      </c>
      <c r="E414" s="52">
        <v>1943335</v>
      </c>
      <c r="F414" s="52" t="s">
        <v>421</v>
      </c>
      <c r="G414" s="25">
        <f t="shared" si="5"/>
        <v>-6.4801957283606715E-3</v>
      </c>
    </row>
    <row r="415" spans="1:7">
      <c r="A415" s="52">
        <v>151.47499999999999</v>
      </c>
      <c r="B415" s="52">
        <v>154.9</v>
      </c>
      <c r="C415" s="52">
        <v>150.47</v>
      </c>
      <c r="D415" s="52">
        <v>152.97999999999999</v>
      </c>
      <c r="E415" s="52">
        <v>1397597</v>
      </c>
      <c r="F415" s="52" t="s">
        <v>422</v>
      </c>
      <c r="G415" s="25">
        <f t="shared" si="5"/>
        <v>-9.8378873055301463E-3</v>
      </c>
    </row>
    <row r="416" spans="1:7">
      <c r="A416" s="52">
        <v>151.72999999999999</v>
      </c>
      <c r="B416" s="52">
        <v>152.58000000000001</v>
      </c>
      <c r="C416" s="52">
        <v>150.97999999999999</v>
      </c>
      <c r="D416" s="52">
        <v>152.57</v>
      </c>
      <c r="E416" s="52">
        <v>961922</v>
      </c>
      <c r="F416" s="52" t="s">
        <v>423</v>
      </c>
      <c r="G416" s="25">
        <f t="shared" si="5"/>
        <v>-5.5056695287408752E-3</v>
      </c>
    </row>
    <row r="417" spans="1:7">
      <c r="A417" s="52">
        <v>153.11000000000001</v>
      </c>
      <c r="B417" s="52">
        <v>155.94999999999999</v>
      </c>
      <c r="C417" s="52">
        <v>151.24719999999999</v>
      </c>
      <c r="D417" s="52">
        <v>154</v>
      </c>
      <c r="E417" s="52">
        <v>615327</v>
      </c>
      <c r="F417" s="52" t="s">
        <v>424</v>
      </c>
      <c r="G417" s="25">
        <f t="shared" si="5"/>
        <v>-5.7792207792206618E-3</v>
      </c>
    </row>
    <row r="418" spans="1:7">
      <c r="A418" s="52">
        <v>154.19999999999999</v>
      </c>
      <c r="B418" s="52">
        <v>156.69999999999999</v>
      </c>
      <c r="C418" s="52">
        <v>153.65</v>
      </c>
      <c r="D418" s="52">
        <v>156.46</v>
      </c>
      <c r="E418" s="52">
        <v>1327133</v>
      </c>
      <c r="F418" s="52" t="s">
        <v>425</v>
      </c>
      <c r="G418" s="25">
        <f t="shared" si="5"/>
        <v>-1.4444586475776733E-2</v>
      </c>
    </row>
    <row r="419" spans="1:7">
      <c r="A419" s="52">
        <v>156.75</v>
      </c>
      <c r="B419" s="52">
        <v>162.94999999999999</v>
      </c>
      <c r="C419" s="52">
        <v>155.18</v>
      </c>
      <c r="D419" s="52">
        <v>158</v>
      </c>
      <c r="E419" s="52">
        <v>1651211</v>
      </c>
      <c r="F419" s="52" t="s">
        <v>426</v>
      </c>
      <c r="G419" s="25">
        <f t="shared" si="5"/>
        <v>-7.9113924050633333E-3</v>
      </c>
    </row>
    <row r="420" spans="1:7">
      <c r="A420" s="52">
        <v>158</v>
      </c>
      <c r="B420" s="52">
        <v>159.77000000000001</v>
      </c>
      <c r="C420" s="52">
        <v>156</v>
      </c>
      <c r="D420" s="52">
        <v>157.96</v>
      </c>
      <c r="E420" s="52">
        <v>1925528</v>
      </c>
      <c r="F420" s="52" t="s">
        <v>427</v>
      </c>
      <c r="G420" s="25">
        <f t="shared" si="5"/>
        <v>2.5322866548482814E-4</v>
      </c>
    </row>
    <row r="421" spans="1:7">
      <c r="A421" s="52">
        <v>157.96</v>
      </c>
      <c r="B421" s="52">
        <v>158.7372</v>
      </c>
      <c r="C421" s="52">
        <v>152.74</v>
      </c>
      <c r="D421" s="52">
        <v>156.72</v>
      </c>
      <c r="E421" s="52">
        <v>1234772</v>
      </c>
      <c r="F421" s="52" t="s">
        <v>428</v>
      </c>
      <c r="G421" s="25">
        <f t="shared" si="5"/>
        <v>7.9122001020930366E-3</v>
      </c>
    </row>
    <row r="422" spans="1:7">
      <c r="A422" s="52">
        <v>156.91</v>
      </c>
      <c r="B422" s="52">
        <v>157.84</v>
      </c>
      <c r="C422" s="52">
        <v>151.26009999999999</v>
      </c>
      <c r="D422" s="52">
        <v>155.75</v>
      </c>
      <c r="E422" s="52">
        <v>2267092</v>
      </c>
      <c r="F422" s="52" t="s">
        <v>429</v>
      </c>
      <c r="G422" s="25">
        <f t="shared" si="5"/>
        <v>7.4478330658105385E-3</v>
      </c>
    </row>
    <row r="423" spans="1:7">
      <c r="A423" s="52">
        <v>158.06</v>
      </c>
      <c r="B423" s="52">
        <v>164.52</v>
      </c>
      <c r="C423" s="52">
        <v>157.38</v>
      </c>
      <c r="D423" s="52">
        <v>164.52</v>
      </c>
      <c r="E423" s="52">
        <v>2330687</v>
      </c>
      <c r="F423" s="52" t="s">
        <v>430</v>
      </c>
      <c r="G423" s="25">
        <f t="shared" si="5"/>
        <v>-3.926574276683692E-2</v>
      </c>
    </row>
    <row r="424" spans="1:7">
      <c r="A424" s="52">
        <v>163.85</v>
      </c>
      <c r="B424" s="52">
        <v>168.30500000000001</v>
      </c>
      <c r="C424" s="52">
        <v>162</v>
      </c>
      <c r="D424" s="52">
        <v>162.25</v>
      </c>
      <c r="E424" s="52">
        <v>4542939</v>
      </c>
      <c r="F424" s="52" t="s">
        <v>431</v>
      </c>
      <c r="G424" s="25">
        <f t="shared" si="5"/>
        <v>9.8613251155623693E-3</v>
      </c>
    </row>
    <row r="425" spans="1:7">
      <c r="A425" s="52">
        <v>160.72</v>
      </c>
      <c r="B425" s="52">
        <v>173.25</v>
      </c>
      <c r="C425" s="52">
        <v>157.251</v>
      </c>
      <c r="D425" s="52">
        <v>161.97</v>
      </c>
      <c r="E425" s="52">
        <v>15011554</v>
      </c>
      <c r="F425" s="52" t="s">
        <v>432</v>
      </c>
      <c r="G425" s="25">
        <f t="shared" si="5"/>
        <v>-7.7174785454096062E-3</v>
      </c>
    </row>
    <row r="426" spans="1:7">
      <c r="A426" s="52">
        <v>123.5</v>
      </c>
      <c r="B426" s="52">
        <v>123.73</v>
      </c>
      <c r="C426" s="52">
        <v>115.74</v>
      </c>
      <c r="D426" s="52">
        <v>117.53</v>
      </c>
      <c r="E426" s="52">
        <v>2155138</v>
      </c>
      <c r="F426" s="52" t="s">
        <v>433</v>
      </c>
      <c r="G426" s="25">
        <f t="shared" si="5"/>
        <v>5.0795541563856128E-2</v>
      </c>
    </row>
    <row r="427" spans="1:7">
      <c r="A427" s="52">
        <v>117.52</v>
      </c>
      <c r="B427" s="52">
        <v>120.29</v>
      </c>
      <c r="C427" s="52">
        <v>116.77</v>
      </c>
      <c r="D427" s="52">
        <v>117.01</v>
      </c>
      <c r="E427" s="52">
        <v>1467811</v>
      </c>
      <c r="F427" s="52" t="s">
        <v>434</v>
      </c>
      <c r="G427" s="25">
        <f t="shared" si="5"/>
        <v>4.3586018289034634E-3</v>
      </c>
    </row>
    <row r="428" spans="1:7">
      <c r="A428" s="52">
        <v>116.83</v>
      </c>
      <c r="B428" s="52">
        <v>122.55</v>
      </c>
      <c r="C428" s="52">
        <v>116.5</v>
      </c>
      <c r="D428" s="52">
        <v>122.53</v>
      </c>
      <c r="E428" s="52">
        <v>1422151</v>
      </c>
      <c r="F428" s="52" t="s">
        <v>435</v>
      </c>
      <c r="G428" s="25">
        <f t="shared" si="5"/>
        <v>-4.6519219782910293E-2</v>
      </c>
    </row>
    <row r="429" spans="1:7">
      <c r="A429" s="52">
        <v>122.84</v>
      </c>
      <c r="B429" s="52">
        <v>125.89</v>
      </c>
      <c r="C429" s="52">
        <v>120.34</v>
      </c>
      <c r="D429" s="52">
        <v>124.09</v>
      </c>
      <c r="E429" s="52">
        <v>1000460</v>
      </c>
      <c r="F429" s="52" t="s">
        <v>436</v>
      </c>
      <c r="G429" s="25">
        <f t="shared" si="5"/>
        <v>-1.007333387057785E-2</v>
      </c>
    </row>
    <row r="430" spans="1:7">
      <c r="A430" s="52">
        <v>125</v>
      </c>
      <c r="B430" s="52">
        <v>125.84</v>
      </c>
      <c r="C430" s="52">
        <v>122.22</v>
      </c>
      <c r="D430" s="52">
        <v>122.22</v>
      </c>
      <c r="E430" s="52">
        <v>2162067</v>
      </c>
      <c r="F430" s="52" t="s">
        <v>437</v>
      </c>
      <c r="G430" s="25">
        <f t="shared" si="5"/>
        <v>2.2745868106692768E-2</v>
      </c>
    </row>
    <row r="431" spans="1:7">
      <c r="A431" s="52">
        <v>119.98</v>
      </c>
      <c r="B431" s="52">
        <v>123.53</v>
      </c>
      <c r="C431" s="52">
        <v>118.7</v>
      </c>
      <c r="D431" s="52">
        <v>122.93</v>
      </c>
      <c r="E431" s="52">
        <v>701721</v>
      </c>
      <c r="F431" s="52" t="s">
        <v>438</v>
      </c>
      <c r="G431" s="25">
        <f t="shared" si="5"/>
        <v>-2.3997396892540546E-2</v>
      </c>
    </row>
    <row r="432" spans="1:7">
      <c r="A432" s="52">
        <v>121.38</v>
      </c>
      <c r="B432" s="52">
        <v>122.56</v>
      </c>
      <c r="C432" s="52">
        <v>119.62</v>
      </c>
      <c r="D432" s="52">
        <v>121.48</v>
      </c>
      <c r="E432" s="52">
        <v>682470</v>
      </c>
      <c r="F432" s="52" t="s">
        <v>439</v>
      </c>
      <c r="G432" s="25">
        <f t="shared" si="5"/>
        <v>-8.2318077049725602E-4</v>
      </c>
    </row>
    <row r="433" spans="1:7">
      <c r="A433" s="52">
        <v>122.59</v>
      </c>
      <c r="B433" s="52">
        <v>124.41</v>
      </c>
      <c r="C433" s="52">
        <v>121.68</v>
      </c>
      <c r="D433" s="52">
        <v>123.13</v>
      </c>
      <c r="E433" s="52">
        <v>1636235</v>
      </c>
      <c r="F433" s="52" t="s">
        <v>440</v>
      </c>
      <c r="G433" s="25">
        <f t="shared" si="5"/>
        <v>-4.3856087062453808E-3</v>
      </c>
    </row>
    <row r="434" spans="1:7">
      <c r="A434" s="52">
        <v>123.32</v>
      </c>
      <c r="B434" s="52">
        <v>124.6</v>
      </c>
      <c r="C434" s="52">
        <v>116.52</v>
      </c>
      <c r="D434" s="52">
        <v>117.53</v>
      </c>
      <c r="E434" s="52">
        <v>1485701</v>
      </c>
      <c r="F434" s="52" t="s">
        <v>441</v>
      </c>
      <c r="G434" s="25">
        <f t="shared" si="5"/>
        <v>4.926401769760913E-2</v>
      </c>
    </row>
    <row r="435" spans="1:7">
      <c r="A435" s="52">
        <v>117.44</v>
      </c>
      <c r="B435" s="52">
        <v>119.44</v>
      </c>
      <c r="C435" s="52">
        <v>116.93</v>
      </c>
      <c r="D435" s="52">
        <v>119.2</v>
      </c>
      <c r="E435" s="52">
        <v>1283601</v>
      </c>
      <c r="F435" s="52" t="s">
        <v>442</v>
      </c>
      <c r="G435" s="25">
        <f t="shared" si="5"/>
        <v>-1.4765100671141007E-2</v>
      </c>
    </row>
    <row r="436" spans="1:7">
      <c r="A436" s="52">
        <v>119.79</v>
      </c>
      <c r="B436" s="52">
        <v>122.53</v>
      </c>
      <c r="C436" s="52">
        <v>116.5</v>
      </c>
      <c r="D436" s="52">
        <v>119.75</v>
      </c>
      <c r="E436" s="52">
        <v>1795025</v>
      </c>
      <c r="F436" s="52" t="s">
        <v>443</v>
      </c>
      <c r="G436" s="25">
        <f t="shared" ref="G436:G499" si="6">A436/D436-1</f>
        <v>3.3402922755754183E-4</v>
      </c>
    </row>
    <row r="437" spans="1:7">
      <c r="A437" s="52">
        <v>119.72</v>
      </c>
      <c r="B437" s="52">
        <v>124.22</v>
      </c>
      <c r="C437" s="52">
        <v>118.87</v>
      </c>
      <c r="D437" s="52">
        <v>123.79</v>
      </c>
      <c r="E437" s="52">
        <v>1125314</v>
      </c>
      <c r="F437" s="52" t="s">
        <v>444</v>
      </c>
      <c r="G437" s="25">
        <f t="shared" si="6"/>
        <v>-3.2878261572017231E-2</v>
      </c>
    </row>
    <row r="438" spans="1:7">
      <c r="A438" s="52">
        <v>124.23</v>
      </c>
      <c r="B438" s="52">
        <v>128.53</v>
      </c>
      <c r="C438" s="52">
        <v>122.64</v>
      </c>
      <c r="D438" s="52">
        <v>128.53</v>
      </c>
      <c r="E438" s="52">
        <v>1809623</v>
      </c>
      <c r="F438" s="52" t="s">
        <v>445</v>
      </c>
      <c r="G438" s="25">
        <f t="shared" si="6"/>
        <v>-3.3455224461215294E-2</v>
      </c>
    </row>
    <row r="439" spans="1:7">
      <c r="A439" s="52">
        <v>129.86000000000001</v>
      </c>
      <c r="B439" s="52">
        <v>130.81</v>
      </c>
      <c r="C439" s="52">
        <v>125.4</v>
      </c>
      <c r="D439" s="52">
        <v>125.48</v>
      </c>
      <c r="E439" s="52">
        <v>16976044</v>
      </c>
      <c r="F439" s="52" t="s">
        <v>446</v>
      </c>
      <c r="G439" s="25">
        <f t="shared" si="6"/>
        <v>3.49059611093403E-2</v>
      </c>
    </row>
    <row r="440" spans="1:7">
      <c r="A440" s="52">
        <v>124.45</v>
      </c>
      <c r="B440" s="52">
        <v>125.72499999999999</v>
      </c>
      <c r="C440" s="52">
        <v>120.23</v>
      </c>
      <c r="D440" s="52">
        <v>122.95</v>
      </c>
      <c r="E440" s="52">
        <v>4369473</v>
      </c>
      <c r="F440" s="52" t="s">
        <v>447</v>
      </c>
      <c r="G440" s="25">
        <f t="shared" si="6"/>
        <v>1.2200081333875623E-2</v>
      </c>
    </row>
    <row r="441" spans="1:7">
      <c r="A441" s="52">
        <v>116.25</v>
      </c>
      <c r="B441" s="52">
        <v>117.08</v>
      </c>
      <c r="C441" s="52">
        <v>112.395</v>
      </c>
      <c r="D441" s="52">
        <v>113.37</v>
      </c>
      <c r="E441" s="52">
        <v>1942588</v>
      </c>
      <c r="F441" s="52" t="s">
        <v>448</v>
      </c>
      <c r="G441" s="25">
        <f t="shared" si="6"/>
        <v>2.5403545911616865E-2</v>
      </c>
    </row>
    <row r="442" spans="1:7">
      <c r="A442" s="52">
        <v>113.33</v>
      </c>
      <c r="B442" s="52">
        <v>120</v>
      </c>
      <c r="C442" s="52">
        <v>109.91</v>
      </c>
      <c r="D442" s="52">
        <v>119.02</v>
      </c>
      <c r="E442" s="52">
        <v>2977049</v>
      </c>
      <c r="F442" s="52" t="s">
        <v>449</v>
      </c>
      <c r="G442" s="25">
        <f t="shared" si="6"/>
        <v>-4.7807091245168909E-2</v>
      </c>
    </row>
    <row r="443" spans="1:7">
      <c r="A443" s="52">
        <v>123.46</v>
      </c>
      <c r="B443" s="52">
        <v>129</v>
      </c>
      <c r="C443" s="52">
        <v>123.31</v>
      </c>
      <c r="D443" s="52">
        <v>128</v>
      </c>
      <c r="E443" s="52">
        <v>1033844</v>
      </c>
      <c r="F443" s="52" t="s">
        <v>450</v>
      </c>
      <c r="G443" s="25">
        <f t="shared" si="6"/>
        <v>-3.5468750000000049E-2</v>
      </c>
    </row>
    <row r="444" spans="1:7">
      <c r="A444" s="52">
        <v>127.13</v>
      </c>
      <c r="B444" s="52">
        <v>129.84</v>
      </c>
      <c r="C444" s="52">
        <v>125.5</v>
      </c>
      <c r="D444" s="52">
        <v>128.12</v>
      </c>
      <c r="E444" s="52">
        <v>847705</v>
      </c>
      <c r="F444" s="52" t="s">
        <v>451</v>
      </c>
      <c r="G444" s="25">
        <f t="shared" si="6"/>
        <v>-7.727130814861094E-3</v>
      </c>
    </row>
    <row r="445" spans="1:7">
      <c r="A445" s="52">
        <v>128.30000000000001</v>
      </c>
      <c r="B445" s="52">
        <v>130.94</v>
      </c>
      <c r="C445" s="52">
        <v>127.66</v>
      </c>
      <c r="D445" s="52">
        <v>128.93</v>
      </c>
      <c r="E445" s="52">
        <v>723257</v>
      </c>
      <c r="F445" s="52" t="s">
        <v>452</v>
      </c>
      <c r="G445" s="25">
        <f t="shared" si="6"/>
        <v>-4.8863724501667649E-3</v>
      </c>
    </row>
    <row r="446" spans="1:7">
      <c r="A446" s="52">
        <v>129.12</v>
      </c>
      <c r="B446" s="52">
        <v>131.02500000000001</v>
      </c>
      <c r="C446" s="52">
        <v>127.68</v>
      </c>
      <c r="D446" s="52">
        <v>130.11000000000001</v>
      </c>
      <c r="E446" s="52">
        <v>748484</v>
      </c>
      <c r="F446" s="52" t="s">
        <v>453</v>
      </c>
      <c r="G446" s="25">
        <f t="shared" si="6"/>
        <v>-7.6089462762278792E-3</v>
      </c>
    </row>
    <row r="447" spans="1:7">
      <c r="A447" s="52">
        <v>130.83000000000001</v>
      </c>
      <c r="B447" s="52">
        <v>132.15</v>
      </c>
      <c r="C447" s="52">
        <v>128.75</v>
      </c>
      <c r="D447" s="52">
        <v>132.15</v>
      </c>
      <c r="E447" s="52">
        <v>779919</v>
      </c>
      <c r="F447" s="52" t="s">
        <v>454</v>
      </c>
      <c r="G447" s="25">
        <f t="shared" si="6"/>
        <v>-9.9886492622019984E-3</v>
      </c>
    </row>
    <row r="448" spans="1:7">
      <c r="A448" s="52">
        <v>131.38</v>
      </c>
      <c r="B448" s="52">
        <v>133.12</v>
      </c>
      <c r="C448" s="52">
        <v>129.5</v>
      </c>
      <c r="D448" s="52">
        <v>132.88</v>
      </c>
      <c r="E448" s="52">
        <v>849008</v>
      </c>
      <c r="F448" s="52" t="s">
        <v>455</v>
      </c>
      <c r="G448" s="25">
        <f t="shared" si="6"/>
        <v>-1.1288380493678529E-2</v>
      </c>
    </row>
    <row r="449" spans="1:7">
      <c r="A449" s="52">
        <v>132.74</v>
      </c>
      <c r="B449" s="52">
        <v>133.06</v>
      </c>
      <c r="C449" s="52">
        <v>129.56</v>
      </c>
      <c r="D449" s="52">
        <v>132.04</v>
      </c>
      <c r="E449" s="52">
        <v>1010128</v>
      </c>
      <c r="F449" s="52" t="s">
        <v>456</v>
      </c>
      <c r="G449" s="25">
        <f t="shared" si="6"/>
        <v>5.3014238109665435E-3</v>
      </c>
    </row>
    <row r="450" spans="1:7">
      <c r="A450" s="52">
        <v>132.5</v>
      </c>
      <c r="B450" s="52">
        <v>134.715</v>
      </c>
      <c r="C450" s="52">
        <v>132.1</v>
      </c>
      <c r="D450" s="52">
        <v>134</v>
      </c>
      <c r="E450" s="52">
        <v>762810</v>
      </c>
      <c r="F450" s="52" t="s">
        <v>457</v>
      </c>
      <c r="G450" s="25">
        <f t="shared" si="6"/>
        <v>-1.1194029850746245E-2</v>
      </c>
    </row>
    <row r="451" spans="1:7">
      <c r="A451" s="52">
        <v>132.66</v>
      </c>
      <c r="B451" s="52">
        <v>134.33510000000001</v>
      </c>
      <c r="C451" s="52">
        <v>130.88999999999999</v>
      </c>
      <c r="D451" s="52">
        <v>133.55000000000001</v>
      </c>
      <c r="E451" s="52">
        <v>1227464</v>
      </c>
      <c r="F451" s="52" t="s">
        <v>458</v>
      </c>
      <c r="G451" s="25">
        <f t="shared" si="6"/>
        <v>-6.6641707225759683E-3</v>
      </c>
    </row>
    <row r="452" spans="1:7">
      <c r="A452" s="52">
        <v>131.69999999999999</v>
      </c>
      <c r="B452" s="52">
        <v>133.55000000000001</v>
      </c>
      <c r="C452" s="52">
        <v>129.78</v>
      </c>
      <c r="D452" s="52">
        <v>132.25</v>
      </c>
      <c r="E452" s="52">
        <v>634187</v>
      </c>
      <c r="F452" s="52" t="s">
        <v>459</v>
      </c>
      <c r="G452" s="25">
        <f t="shared" si="6"/>
        <v>-4.1587901701324315E-3</v>
      </c>
    </row>
    <row r="453" spans="1:7">
      <c r="A453" s="52">
        <v>131.82</v>
      </c>
      <c r="B453" s="52">
        <v>132.87</v>
      </c>
      <c r="C453" s="52">
        <v>129.44</v>
      </c>
      <c r="D453" s="52">
        <v>132.87</v>
      </c>
      <c r="E453" s="52">
        <v>735589</v>
      </c>
      <c r="F453" s="52" t="s">
        <v>460</v>
      </c>
      <c r="G453" s="25">
        <f t="shared" si="6"/>
        <v>-7.9024610521563066E-3</v>
      </c>
    </row>
    <row r="454" spans="1:7">
      <c r="A454" s="52">
        <v>132.30000000000001</v>
      </c>
      <c r="B454" s="52">
        <v>133.38999999999999</v>
      </c>
      <c r="C454" s="52">
        <v>129.48500000000001</v>
      </c>
      <c r="D454" s="52">
        <v>133.22</v>
      </c>
      <c r="E454" s="52">
        <v>1279163</v>
      </c>
      <c r="F454" s="52" t="s">
        <v>461</v>
      </c>
      <c r="G454" s="25">
        <f t="shared" si="6"/>
        <v>-6.9058699894909426E-3</v>
      </c>
    </row>
    <row r="455" spans="1:7">
      <c r="A455" s="52">
        <v>132.58000000000001</v>
      </c>
      <c r="B455" s="52">
        <v>137.13999999999999</v>
      </c>
      <c r="C455" s="52">
        <v>129.44499999999999</v>
      </c>
      <c r="D455" s="52">
        <v>137.13999999999999</v>
      </c>
      <c r="E455" s="52">
        <v>1579021</v>
      </c>
      <c r="F455" s="52" t="s">
        <v>462</v>
      </c>
      <c r="G455" s="25">
        <f t="shared" si="6"/>
        <v>-3.3250692722764819E-2</v>
      </c>
    </row>
    <row r="456" spans="1:7">
      <c r="A456" s="52">
        <v>136.04</v>
      </c>
      <c r="B456" s="52">
        <v>146.68</v>
      </c>
      <c r="C456" s="52">
        <v>132.30000000000001</v>
      </c>
      <c r="D456" s="52">
        <v>135.1</v>
      </c>
      <c r="E456" s="52">
        <v>2003305</v>
      </c>
      <c r="F456" s="52" t="s">
        <v>463</v>
      </c>
      <c r="G456" s="25">
        <f t="shared" si="6"/>
        <v>6.9578090303479279E-3</v>
      </c>
    </row>
    <row r="457" spans="1:7">
      <c r="A457" s="52">
        <v>135.04</v>
      </c>
      <c r="B457" s="52">
        <v>135.16</v>
      </c>
      <c r="C457" s="52">
        <v>132.62</v>
      </c>
      <c r="D457" s="52">
        <v>133.6</v>
      </c>
      <c r="E457" s="52">
        <v>823447</v>
      </c>
      <c r="F457" s="52" t="s">
        <v>464</v>
      </c>
      <c r="G457" s="25">
        <f t="shared" si="6"/>
        <v>1.0778443113772518E-2</v>
      </c>
    </row>
    <row r="458" spans="1:7">
      <c r="A458" s="52">
        <v>133.66</v>
      </c>
      <c r="B458" s="52">
        <v>134.465</v>
      </c>
      <c r="C458" s="52">
        <v>131.16</v>
      </c>
      <c r="D458" s="52">
        <v>132.55000000000001</v>
      </c>
      <c r="E458" s="52">
        <v>1196284</v>
      </c>
      <c r="F458" s="52" t="s">
        <v>465</v>
      </c>
      <c r="G458" s="25">
        <f t="shared" si="6"/>
        <v>8.3741984156919802E-3</v>
      </c>
    </row>
    <row r="459" spans="1:7">
      <c r="A459" s="52">
        <v>130.63</v>
      </c>
      <c r="B459" s="52">
        <v>142.79</v>
      </c>
      <c r="C459" s="52">
        <v>130.05000000000001</v>
      </c>
      <c r="D459" s="52">
        <v>140</v>
      </c>
      <c r="E459" s="52">
        <v>2230600</v>
      </c>
      <c r="F459" s="52" t="s">
        <v>466</v>
      </c>
      <c r="G459" s="25">
        <f t="shared" si="6"/>
        <v>-6.6928571428571448E-2</v>
      </c>
    </row>
    <row r="460" spans="1:7">
      <c r="A460" s="52">
        <v>130.9</v>
      </c>
      <c r="B460" s="52">
        <v>131.61000000000001</v>
      </c>
      <c r="C460" s="52">
        <v>127</v>
      </c>
      <c r="D460" s="52">
        <v>127.06</v>
      </c>
      <c r="E460" s="52">
        <v>1189315</v>
      </c>
      <c r="F460" s="52" t="s">
        <v>467</v>
      </c>
      <c r="G460" s="25">
        <f t="shared" si="6"/>
        <v>3.0221942389422329E-2</v>
      </c>
    </row>
    <row r="461" spans="1:7">
      <c r="A461" s="52">
        <v>126.66</v>
      </c>
      <c r="B461" s="52">
        <v>129.69999999999999</v>
      </c>
      <c r="C461" s="52">
        <v>126.53</v>
      </c>
      <c r="D461" s="52">
        <v>128.65</v>
      </c>
      <c r="E461" s="52">
        <v>1092772</v>
      </c>
      <c r="F461" s="52" t="s">
        <v>468</v>
      </c>
      <c r="G461" s="25">
        <f t="shared" si="6"/>
        <v>-1.5468324912553455E-2</v>
      </c>
    </row>
    <row r="462" spans="1:7">
      <c r="A462" s="52">
        <v>128.80000000000001</v>
      </c>
      <c r="B462" s="52">
        <v>131.80000000000001</v>
      </c>
      <c r="C462" s="52">
        <v>127.47</v>
      </c>
      <c r="D462" s="52">
        <v>129.02000000000001</v>
      </c>
      <c r="E462" s="52">
        <v>1035308</v>
      </c>
      <c r="F462" s="52" t="s">
        <v>469</v>
      </c>
      <c r="G462" s="25">
        <f t="shared" si="6"/>
        <v>-1.7051619903890591E-3</v>
      </c>
    </row>
    <row r="463" spans="1:7">
      <c r="A463" s="52">
        <v>128.77000000000001</v>
      </c>
      <c r="B463" s="52">
        <v>131.46</v>
      </c>
      <c r="C463" s="52">
        <v>125.62</v>
      </c>
      <c r="D463" s="52">
        <v>127.53</v>
      </c>
      <c r="E463" s="52">
        <v>1236000</v>
      </c>
      <c r="F463" s="52" t="s">
        <v>470</v>
      </c>
      <c r="G463" s="25">
        <f t="shared" si="6"/>
        <v>9.7232023837530157E-3</v>
      </c>
    </row>
    <row r="464" spans="1:7">
      <c r="A464" s="52">
        <v>127.39</v>
      </c>
      <c r="B464" s="52">
        <v>130.61000000000001</v>
      </c>
      <c r="C464" s="52">
        <v>121.8</v>
      </c>
      <c r="D464" s="52">
        <v>123</v>
      </c>
      <c r="E464" s="52">
        <v>1694410</v>
      </c>
      <c r="F464" s="52" t="s">
        <v>471</v>
      </c>
      <c r="G464" s="25">
        <f t="shared" si="6"/>
        <v>3.5691056910569063E-2</v>
      </c>
    </row>
    <row r="465" spans="1:7">
      <c r="A465" s="52">
        <v>124.25</v>
      </c>
      <c r="B465" s="52">
        <v>125.13</v>
      </c>
      <c r="C465" s="52">
        <v>117.21</v>
      </c>
      <c r="D465" s="52">
        <v>117.66</v>
      </c>
      <c r="E465" s="52">
        <v>1500200</v>
      </c>
      <c r="F465" s="52" t="s">
        <v>472</v>
      </c>
      <c r="G465" s="25">
        <f t="shared" si="6"/>
        <v>5.6008839027706925E-2</v>
      </c>
    </row>
    <row r="466" spans="1:7">
      <c r="A466" s="52">
        <v>117.12</v>
      </c>
      <c r="B466" s="52">
        <v>119.91</v>
      </c>
      <c r="C466" s="52">
        <v>117.06</v>
      </c>
      <c r="D466" s="52">
        <v>117.5</v>
      </c>
      <c r="E466" s="52">
        <v>568912</v>
      </c>
      <c r="F466" s="52" t="s">
        <v>473</v>
      </c>
      <c r="G466" s="25">
        <f t="shared" si="6"/>
        <v>-3.2340425531914851E-3</v>
      </c>
    </row>
    <row r="467" spans="1:7">
      <c r="A467" s="52">
        <v>116.96</v>
      </c>
      <c r="B467" s="52">
        <v>118.43</v>
      </c>
      <c r="C467" s="52">
        <v>114.48</v>
      </c>
      <c r="D467" s="52">
        <v>116.63</v>
      </c>
      <c r="E467" s="52">
        <v>889164</v>
      </c>
      <c r="F467" s="52" t="s">
        <v>474</v>
      </c>
      <c r="G467" s="25">
        <f t="shared" si="6"/>
        <v>2.8294606876446693E-3</v>
      </c>
    </row>
    <row r="468" spans="1:7">
      <c r="A468" s="52">
        <v>115.62</v>
      </c>
      <c r="B468" s="52">
        <v>117.74</v>
      </c>
      <c r="C468" s="52">
        <v>114.37</v>
      </c>
      <c r="D468" s="52">
        <v>116.55</v>
      </c>
      <c r="E468" s="52">
        <v>641236</v>
      </c>
      <c r="F468" s="52" t="s">
        <v>475</v>
      </c>
      <c r="G468" s="25">
        <f t="shared" si="6"/>
        <v>-7.979407979407882E-3</v>
      </c>
    </row>
    <row r="469" spans="1:7">
      <c r="A469" s="52">
        <v>116.55</v>
      </c>
      <c r="B469" s="52">
        <v>118.9</v>
      </c>
      <c r="C469" s="52">
        <v>115.79</v>
      </c>
      <c r="D469" s="52">
        <v>117.55</v>
      </c>
      <c r="E469" s="52">
        <v>498572</v>
      </c>
      <c r="F469" s="52" t="s">
        <v>476</v>
      </c>
      <c r="G469" s="25">
        <f t="shared" si="6"/>
        <v>-8.5070182900893743E-3</v>
      </c>
    </row>
    <row r="470" spans="1:7">
      <c r="A470" s="52">
        <v>117.89</v>
      </c>
      <c r="B470" s="52">
        <v>119.08</v>
      </c>
      <c r="C470" s="52">
        <v>115.9301</v>
      </c>
      <c r="D470" s="52">
        <v>117</v>
      </c>
      <c r="E470" s="52">
        <v>546229</v>
      </c>
      <c r="F470" s="52" t="s">
        <v>477</v>
      </c>
      <c r="G470" s="25">
        <f t="shared" si="6"/>
        <v>7.6068376068376686E-3</v>
      </c>
    </row>
    <row r="471" spans="1:7">
      <c r="A471" s="52">
        <v>117.29</v>
      </c>
      <c r="B471" s="52">
        <v>118.69</v>
      </c>
      <c r="C471" s="52">
        <v>116.943</v>
      </c>
      <c r="D471" s="52">
        <v>117.6</v>
      </c>
      <c r="E471" s="52">
        <v>592917</v>
      </c>
      <c r="F471" s="52" t="s">
        <v>478</v>
      </c>
      <c r="G471" s="25">
        <f t="shared" si="6"/>
        <v>-2.6360544217686188E-3</v>
      </c>
    </row>
    <row r="472" spans="1:7">
      <c r="A472" s="52">
        <v>118.31</v>
      </c>
      <c r="B472" s="52">
        <v>122.985</v>
      </c>
      <c r="C472" s="52">
        <v>117.78</v>
      </c>
      <c r="D472" s="52">
        <v>122.18</v>
      </c>
      <c r="E472" s="52">
        <v>860486</v>
      </c>
      <c r="F472" s="52" t="s">
        <v>479</v>
      </c>
      <c r="G472" s="25">
        <f t="shared" si="6"/>
        <v>-3.1674578490751393E-2</v>
      </c>
    </row>
    <row r="473" spans="1:7">
      <c r="A473" s="52">
        <v>122.87</v>
      </c>
      <c r="B473" s="52">
        <v>124.82</v>
      </c>
      <c r="C473" s="52">
        <v>121.49</v>
      </c>
      <c r="D473" s="52">
        <v>124.17</v>
      </c>
      <c r="E473" s="52">
        <v>656117</v>
      </c>
      <c r="F473" s="52" t="s">
        <v>480</v>
      </c>
      <c r="G473" s="25">
        <f t="shared" si="6"/>
        <v>-1.0469517596843003E-2</v>
      </c>
    </row>
    <row r="474" spans="1:7">
      <c r="A474" s="52">
        <v>124.45</v>
      </c>
      <c r="B474" s="52">
        <v>127.49209999999999</v>
      </c>
      <c r="C474" s="52">
        <v>123.4</v>
      </c>
      <c r="D474" s="52">
        <v>127.28</v>
      </c>
      <c r="E474" s="52">
        <v>618223</v>
      </c>
      <c r="F474" s="52" t="s">
        <v>481</v>
      </c>
      <c r="G474" s="25">
        <f t="shared" si="6"/>
        <v>-2.2234443746071642E-2</v>
      </c>
    </row>
    <row r="475" spans="1:7">
      <c r="A475" s="52">
        <v>126.31</v>
      </c>
      <c r="B475" s="52">
        <v>126.47</v>
      </c>
      <c r="C475" s="52">
        <v>123.87</v>
      </c>
      <c r="D475" s="52">
        <v>124.13</v>
      </c>
      <c r="E475" s="52">
        <v>523340</v>
      </c>
      <c r="F475" s="52" t="s">
        <v>482</v>
      </c>
      <c r="G475" s="25">
        <f t="shared" si="6"/>
        <v>1.7562233142673023E-2</v>
      </c>
    </row>
    <row r="476" spans="1:7">
      <c r="A476" s="52">
        <v>126.98</v>
      </c>
      <c r="B476" s="52">
        <v>127.41</v>
      </c>
      <c r="C476" s="52">
        <v>126.07</v>
      </c>
      <c r="D476" s="52">
        <v>126.46</v>
      </c>
      <c r="E476" s="52">
        <v>286092</v>
      </c>
      <c r="F476" s="52" t="s">
        <v>483</v>
      </c>
      <c r="G476" s="25">
        <f t="shared" si="6"/>
        <v>4.1119721651114993E-3</v>
      </c>
    </row>
    <row r="477" spans="1:7">
      <c r="A477" s="52">
        <v>126.39</v>
      </c>
      <c r="B477" s="52">
        <v>126.6802</v>
      </c>
      <c r="C477" s="52">
        <v>124.37</v>
      </c>
      <c r="D477" s="52">
        <v>126.17</v>
      </c>
      <c r="E477" s="52">
        <v>559199</v>
      </c>
      <c r="F477" s="52" t="s">
        <v>484</v>
      </c>
      <c r="G477" s="25">
        <f t="shared" si="6"/>
        <v>1.7436791630340842E-3</v>
      </c>
    </row>
    <row r="478" spans="1:7">
      <c r="A478" s="52">
        <v>126.08</v>
      </c>
      <c r="B478" s="52">
        <v>127.64</v>
      </c>
      <c r="C478" s="52">
        <v>123.85</v>
      </c>
      <c r="D478" s="52">
        <v>125.43</v>
      </c>
      <c r="E478" s="52">
        <v>303511</v>
      </c>
      <c r="F478" s="52" t="s">
        <v>485</v>
      </c>
      <c r="G478" s="25">
        <f t="shared" si="6"/>
        <v>5.1821733237662482E-3</v>
      </c>
    </row>
    <row r="479" spans="1:7">
      <c r="A479" s="52">
        <v>125.79</v>
      </c>
      <c r="B479" s="52">
        <v>128.23009999999999</v>
      </c>
      <c r="C479" s="52">
        <v>124.87</v>
      </c>
      <c r="D479" s="52">
        <v>127.22</v>
      </c>
      <c r="E479" s="52">
        <v>747118</v>
      </c>
      <c r="F479" s="52" t="s">
        <v>486</v>
      </c>
      <c r="G479" s="25">
        <f t="shared" si="6"/>
        <v>-1.1240371010847294E-2</v>
      </c>
    </row>
    <row r="480" spans="1:7">
      <c r="A480" s="52">
        <v>126.92</v>
      </c>
      <c r="B480" s="52">
        <v>128.6</v>
      </c>
      <c r="C480" s="52">
        <v>125.17</v>
      </c>
      <c r="D480" s="52">
        <v>126.07</v>
      </c>
      <c r="E480" s="52">
        <v>851048</v>
      </c>
      <c r="F480" s="52" t="s">
        <v>487</v>
      </c>
      <c r="G480" s="25">
        <f t="shared" si="6"/>
        <v>6.7422860315697886E-3</v>
      </c>
    </row>
    <row r="481" spans="1:7">
      <c r="A481" s="52">
        <v>127</v>
      </c>
      <c r="B481" s="52">
        <v>128.80000000000001</v>
      </c>
      <c r="C481" s="52">
        <v>125.8</v>
      </c>
      <c r="D481" s="52">
        <v>127.68</v>
      </c>
      <c r="E481" s="52">
        <v>519194</v>
      </c>
      <c r="F481" s="52" t="s">
        <v>488</v>
      </c>
      <c r="G481" s="25">
        <f t="shared" si="6"/>
        <v>-5.3258145363409559E-3</v>
      </c>
    </row>
    <row r="482" spans="1:7">
      <c r="A482" s="52">
        <v>128.4</v>
      </c>
      <c r="B482" s="52">
        <v>129.38</v>
      </c>
      <c r="C482" s="52">
        <v>126.11</v>
      </c>
      <c r="D482" s="52">
        <v>129.38</v>
      </c>
      <c r="E482" s="52">
        <v>858391</v>
      </c>
      <c r="F482" s="52" t="s">
        <v>489</v>
      </c>
      <c r="G482" s="25">
        <f t="shared" si="6"/>
        <v>-7.574586489411006E-3</v>
      </c>
    </row>
    <row r="483" spans="1:7">
      <c r="A483" s="52">
        <v>129.46</v>
      </c>
      <c r="B483" s="52">
        <v>131.16</v>
      </c>
      <c r="C483" s="52">
        <v>127.83</v>
      </c>
      <c r="D483" s="52">
        <v>131.16</v>
      </c>
      <c r="E483" s="52">
        <v>811626</v>
      </c>
      <c r="F483" s="52" t="s">
        <v>490</v>
      </c>
      <c r="G483" s="25">
        <f t="shared" si="6"/>
        <v>-1.2961268679475335E-2</v>
      </c>
    </row>
    <row r="484" spans="1:7">
      <c r="A484" s="52">
        <v>130.22999999999999</v>
      </c>
      <c r="B484" s="52">
        <v>130.32</v>
      </c>
      <c r="C484" s="52">
        <v>127.355</v>
      </c>
      <c r="D484" s="52">
        <v>129.25</v>
      </c>
      <c r="E484" s="52">
        <v>592604</v>
      </c>
      <c r="F484" s="52" t="s">
        <v>491</v>
      </c>
      <c r="G484" s="25">
        <f t="shared" si="6"/>
        <v>7.5822050290135223E-3</v>
      </c>
    </row>
    <row r="485" spans="1:7">
      <c r="A485" s="52">
        <v>128.25</v>
      </c>
      <c r="B485" s="52">
        <v>129.97</v>
      </c>
      <c r="C485" s="52">
        <v>128</v>
      </c>
      <c r="D485" s="52">
        <v>129.83000000000001</v>
      </c>
      <c r="E485" s="52">
        <v>530108</v>
      </c>
      <c r="F485" s="52" t="s">
        <v>492</v>
      </c>
      <c r="G485" s="25">
        <f t="shared" si="6"/>
        <v>-1.2169760455980949E-2</v>
      </c>
    </row>
    <row r="486" spans="1:7">
      <c r="A486" s="52">
        <v>127.94</v>
      </c>
      <c r="B486" s="52">
        <v>128.94999999999999</v>
      </c>
      <c r="C486" s="52">
        <v>126</v>
      </c>
      <c r="D486" s="52">
        <v>127</v>
      </c>
      <c r="E486" s="52">
        <v>396054</v>
      </c>
      <c r="F486" s="52" t="s">
        <v>493</v>
      </c>
      <c r="G486" s="25">
        <f t="shared" si="6"/>
        <v>7.4015748031495132E-3</v>
      </c>
    </row>
    <row r="487" spans="1:7">
      <c r="A487" s="52">
        <v>127.54</v>
      </c>
      <c r="B487" s="52">
        <v>128.19</v>
      </c>
      <c r="C487" s="52">
        <v>124.745</v>
      </c>
      <c r="D487" s="52">
        <v>125.14</v>
      </c>
      <c r="E487" s="52">
        <v>628292</v>
      </c>
      <c r="F487" s="52" t="s">
        <v>494</v>
      </c>
      <c r="G487" s="25">
        <f t="shared" si="6"/>
        <v>1.917852005753562E-2</v>
      </c>
    </row>
    <row r="488" spans="1:7">
      <c r="A488" s="52">
        <v>124.94</v>
      </c>
      <c r="B488" s="52">
        <v>128.435</v>
      </c>
      <c r="C488" s="52">
        <v>124.27</v>
      </c>
      <c r="D488" s="52">
        <v>126.98</v>
      </c>
      <c r="E488" s="52">
        <v>458091</v>
      </c>
      <c r="F488" s="52" t="s">
        <v>495</v>
      </c>
      <c r="G488" s="25">
        <f t="shared" si="6"/>
        <v>-1.6065522129469212E-2</v>
      </c>
    </row>
    <row r="489" spans="1:7">
      <c r="A489" s="52">
        <v>126.08</v>
      </c>
      <c r="B489" s="52">
        <v>126.11</v>
      </c>
      <c r="C489" s="52">
        <v>122.72</v>
      </c>
      <c r="D489" s="52">
        <v>124.37</v>
      </c>
      <c r="E489" s="52">
        <v>551513</v>
      </c>
      <c r="F489" s="52" t="s">
        <v>496</v>
      </c>
      <c r="G489" s="25">
        <f t="shared" si="6"/>
        <v>1.3749296454128812E-2</v>
      </c>
    </row>
    <row r="490" spans="1:7">
      <c r="A490" s="52">
        <v>124.06</v>
      </c>
      <c r="B490" s="52">
        <v>125.6</v>
      </c>
      <c r="C490" s="52">
        <v>122.65</v>
      </c>
      <c r="D490" s="52">
        <v>123.8</v>
      </c>
      <c r="E490" s="52">
        <v>811173</v>
      </c>
      <c r="F490" s="52" t="s">
        <v>497</v>
      </c>
      <c r="G490" s="25">
        <f t="shared" si="6"/>
        <v>2.1001615508886573E-3</v>
      </c>
    </row>
    <row r="491" spans="1:7">
      <c r="A491" s="52">
        <v>123.97</v>
      </c>
      <c r="B491" s="52">
        <v>125.40989999999999</v>
      </c>
      <c r="C491" s="52">
        <v>122.33</v>
      </c>
      <c r="D491" s="52">
        <v>123.72</v>
      </c>
      <c r="E491" s="52">
        <v>523125</v>
      </c>
      <c r="F491" s="52" t="s">
        <v>498</v>
      </c>
      <c r="G491" s="25">
        <f t="shared" si="6"/>
        <v>2.0206918849012823E-3</v>
      </c>
    </row>
    <row r="492" spans="1:7">
      <c r="A492" s="52">
        <v>123.05</v>
      </c>
      <c r="B492" s="52">
        <v>125.245</v>
      </c>
      <c r="C492" s="52">
        <v>121.6</v>
      </c>
      <c r="D492" s="52">
        <v>123.49</v>
      </c>
      <c r="E492" s="52">
        <v>1245799</v>
      </c>
      <c r="F492" s="52" t="s">
        <v>499</v>
      </c>
      <c r="G492" s="25">
        <f t="shared" si="6"/>
        <v>-3.5630415418251848E-3</v>
      </c>
    </row>
    <row r="493" spans="1:7">
      <c r="A493" s="52">
        <v>123.76</v>
      </c>
      <c r="B493" s="52">
        <v>125</v>
      </c>
      <c r="C493" s="52">
        <v>120.58</v>
      </c>
      <c r="D493" s="52">
        <v>121.17</v>
      </c>
      <c r="E493" s="52">
        <v>644210</v>
      </c>
      <c r="F493" s="52" t="s">
        <v>500</v>
      </c>
      <c r="G493" s="25">
        <f t="shared" si="6"/>
        <v>2.1374927787406239E-2</v>
      </c>
    </row>
    <row r="494" spans="1:7">
      <c r="A494" s="52">
        <v>121.96</v>
      </c>
      <c r="B494" s="52">
        <v>122.905</v>
      </c>
      <c r="C494" s="52">
        <v>121.08</v>
      </c>
      <c r="D494" s="52">
        <v>122.36</v>
      </c>
      <c r="E494" s="52">
        <v>684537</v>
      </c>
      <c r="F494" s="52" t="s">
        <v>501</v>
      </c>
      <c r="G494" s="25">
        <f t="shared" si="6"/>
        <v>-3.2690421706440542E-3</v>
      </c>
    </row>
    <row r="495" spans="1:7">
      <c r="A495" s="52">
        <v>122</v>
      </c>
      <c r="B495" s="52">
        <v>123.245</v>
      </c>
      <c r="C495" s="52">
        <v>120.99</v>
      </c>
      <c r="D495" s="52">
        <v>122.25</v>
      </c>
      <c r="E495" s="52">
        <v>732440</v>
      </c>
      <c r="F495" s="52" t="s">
        <v>502</v>
      </c>
      <c r="G495" s="25">
        <f t="shared" si="6"/>
        <v>-2.0449897750510759E-3</v>
      </c>
    </row>
    <row r="496" spans="1:7">
      <c r="A496" s="52">
        <v>121.58</v>
      </c>
      <c r="B496" s="52">
        <v>125.43</v>
      </c>
      <c r="C496" s="52">
        <v>121.045</v>
      </c>
      <c r="D496" s="52">
        <v>124.03</v>
      </c>
      <c r="E496" s="52">
        <v>928530</v>
      </c>
      <c r="F496" s="52" t="s">
        <v>503</v>
      </c>
      <c r="G496" s="25">
        <f t="shared" si="6"/>
        <v>-1.9753285495444639E-2</v>
      </c>
    </row>
    <row r="497" spans="1:7">
      <c r="A497" s="52">
        <v>124.37</v>
      </c>
      <c r="B497" s="52">
        <v>125.5</v>
      </c>
      <c r="C497" s="52">
        <v>120.09</v>
      </c>
      <c r="D497" s="52">
        <v>120.97</v>
      </c>
      <c r="E497" s="52">
        <v>1275070</v>
      </c>
      <c r="F497" s="52" t="s">
        <v>504</v>
      </c>
      <c r="G497" s="25">
        <f t="shared" si="6"/>
        <v>2.8106142018682334E-2</v>
      </c>
    </row>
    <row r="498" spans="1:7">
      <c r="A498" s="52">
        <v>120.78</v>
      </c>
      <c r="B498" s="52">
        <v>122.67</v>
      </c>
      <c r="C498" s="52">
        <v>119.645</v>
      </c>
      <c r="D498" s="52">
        <v>120.41</v>
      </c>
      <c r="E498" s="52">
        <v>957718</v>
      </c>
      <c r="F498" s="52" t="s">
        <v>505</v>
      </c>
      <c r="G498" s="25">
        <f t="shared" si="6"/>
        <v>3.0728344821859821E-3</v>
      </c>
    </row>
    <row r="499" spans="1:7">
      <c r="A499" s="52">
        <v>120.31</v>
      </c>
      <c r="B499" s="52">
        <v>123.59</v>
      </c>
      <c r="C499" s="52">
        <v>119.86</v>
      </c>
      <c r="D499" s="52">
        <v>122.77</v>
      </c>
      <c r="E499" s="52">
        <v>878610</v>
      </c>
      <c r="F499" s="52" t="s">
        <v>506</v>
      </c>
      <c r="G499" s="25">
        <f t="shared" si="6"/>
        <v>-2.0037468436914452E-2</v>
      </c>
    </row>
    <row r="500" spans="1:7">
      <c r="A500" s="52">
        <v>122.85</v>
      </c>
      <c r="B500" s="52">
        <v>124.24</v>
      </c>
      <c r="C500" s="52">
        <v>121.08</v>
      </c>
      <c r="D500" s="52">
        <v>122.09</v>
      </c>
      <c r="E500" s="52">
        <v>998216</v>
      </c>
      <c r="F500" s="52" t="s">
        <v>507</v>
      </c>
      <c r="G500" s="25">
        <f t="shared" ref="G500:G563" si="7">A500/D500-1</f>
        <v>6.2249160455400965E-3</v>
      </c>
    </row>
    <row r="501" spans="1:7">
      <c r="A501" s="52">
        <v>123.88</v>
      </c>
      <c r="B501" s="52">
        <v>128.66999999999999</v>
      </c>
      <c r="C501" s="52">
        <v>123.31</v>
      </c>
      <c r="D501" s="52">
        <v>128.66999999999999</v>
      </c>
      <c r="E501" s="52">
        <v>850501</v>
      </c>
      <c r="F501" s="52" t="s">
        <v>508</v>
      </c>
      <c r="G501" s="25">
        <f t="shared" si="7"/>
        <v>-3.722701484417501E-2</v>
      </c>
    </row>
    <row r="502" spans="1:7">
      <c r="A502" s="52">
        <v>128.66999999999999</v>
      </c>
      <c r="B502" s="52">
        <v>130.59</v>
      </c>
      <c r="C502" s="52">
        <v>124.9</v>
      </c>
      <c r="D502" s="52">
        <v>127.18</v>
      </c>
      <c r="E502" s="52">
        <v>1675429</v>
      </c>
      <c r="F502" s="52" t="s">
        <v>509</v>
      </c>
      <c r="G502" s="25">
        <f t="shared" si="7"/>
        <v>1.1715678565812127E-2</v>
      </c>
    </row>
    <row r="503" spans="1:7">
      <c r="A503" s="52">
        <v>127.9</v>
      </c>
      <c r="B503" s="52">
        <v>138</v>
      </c>
      <c r="C503" s="52">
        <v>127.31</v>
      </c>
      <c r="D503" s="52">
        <v>136.66999999999999</v>
      </c>
      <c r="E503" s="52">
        <v>2108102</v>
      </c>
      <c r="F503" s="52" t="s">
        <v>510</v>
      </c>
      <c r="G503" s="25">
        <f t="shared" si="7"/>
        <v>-6.4169166605692385E-2</v>
      </c>
    </row>
    <row r="504" spans="1:7">
      <c r="A504" s="52">
        <v>137.5</v>
      </c>
      <c r="B504" s="52">
        <v>142.6</v>
      </c>
      <c r="C504" s="52">
        <v>136.25</v>
      </c>
      <c r="D504" s="52">
        <v>141.13999999999999</v>
      </c>
      <c r="E504" s="52">
        <v>1044189</v>
      </c>
      <c r="F504" s="52" t="s">
        <v>511</v>
      </c>
      <c r="G504" s="25">
        <f t="shared" si="7"/>
        <v>-2.5789995748901728E-2</v>
      </c>
    </row>
    <row r="505" spans="1:7">
      <c r="A505" s="52">
        <v>141.53</v>
      </c>
      <c r="B505" s="52">
        <v>142.16</v>
      </c>
      <c r="C505" s="52">
        <v>137.96</v>
      </c>
      <c r="D505" s="52">
        <v>138.72999999999999</v>
      </c>
      <c r="E505" s="52">
        <v>877918</v>
      </c>
      <c r="F505" s="52" t="s">
        <v>512</v>
      </c>
      <c r="G505" s="25">
        <f t="shared" si="7"/>
        <v>2.0183089454335779E-2</v>
      </c>
    </row>
    <row r="506" spans="1:7">
      <c r="A506" s="52">
        <v>137.65</v>
      </c>
      <c r="B506" s="52">
        <v>138.97</v>
      </c>
      <c r="C506" s="52">
        <v>135.34610000000001</v>
      </c>
      <c r="D506" s="52">
        <v>136.30000000000001</v>
      </c>
      <c r="E506" s="52">
        <v>630454</v>
      </c>
      <c r="F506" s="52" t="s">
        <v>513</v>
      </c>
      <c r="G506" s="25">
        <f t="shared" si="7"/>
        <v>9.904622157006493E-3</v>
      </c>
    </row>
    <row r="507" spans="1:7">
      <c r="A507" s="52">
        <v>136.53</v>
      </c>
      <c r="B507" s="52">
        <v>137.51</v>
      </c>
      <c r="C507" s="52">
        <v>135.13999999999999</v>
      </c>
      <c r="D507" s="52">
        <v>136.12</v>
      </c>
      <c r="E507" s="52">
        <v>570786</v>
      </c>
      <c r="F507" s="52" t="s">
        <v>514</v>
      </c>
      <c r="G507" s="25">
        <f t="shared" si="7"/>
        <v>3.0120481927711218E-3</v>
      </c>
    </row>
    <row r="508" spans="1:7">
      <c r="A508" s="52">
        <v>134.78</v>
      </c>
      <c r="B508" s="52">
        <v>136.5</v>
      </c>
      <c r="C508" s="52">
        <v>131.76</v>
      </c>
      <c r="D508" s="52">
        <v>132.28</v>
      </c>
      <c r="E508" s="52">
        <v>763563</v>
      </c>
      <c r="F508" s="52" t="s">
        <v>515</v>
      </c>
      <c r="G508" s="25">
        <f t="shared" si="7"/>
        <v>1.8899304505594294E-2</v>
      </c>
    </row>
    <row r="509" spans="1:7">
      <c r="A509" s="52">
        <v>132.29</v>
      </c>
      <c r="B509" s="52">
        <v>136.25</v>
      </c>
      <c r="C509" s="52">
        <v>130.5</v>
      </c>
      <c r="D509" s="52">
        <v>134.82</v>
      </c>
      <c r="E509" s="52">
        <v>805983</v>
      </c>
      <c r="F509" s="52" t="s">
        <v>516</v>
      </c>
      <c r="G509" s="25">
        <f t="shared" si="7"/>
        <v>-1.8765761756415977E-2</v>
      </c>
    </row>
    <row r="510" spans="1:7">
      <c r="A510" s="52">
        <v>136.13999999999999</v>
      </c>
      <c r="B510" s="52">
        <v>136.35</v>
      </c>
      <c r="C510" s="52">
        <v>132.1</v>
      </c>
      <c r="D510" s="52">
        <v>134.34</v>
      </c>
      <c r="E510" s="52">
        <v>1008778</v>
      </c>
      <c r="F510" s="52" t="s">
        <v>517</v>
      </c>
      <c r="G510" s="25">
        <f t="shared" si="7"/>
        <v>1.3398838767306742E-2</v>
      </c>
    </row>
    <row r="511" spans="1:7">
      <c r="A511" s="52">
        <v>134.61000000000001</v>
      </c>
      <c r="B511" s="52">
        <v>143</v>
      </c>
      <c r="C511" s="52">
        <v>134.06</v>
      </c>
      <c r="D511" s="52">
        <v>140.06</v>
      </c>
      <c r="E511" s="52">
        <v>2766289</v>
      </c>
      <c r="F511" s="52" t="s">
        <v>518</v>
      </c>
      <c r="G511" s="25">
        <f t="shared" si="7"/>
        <v>-3.8911894902184718E-2</v>
      </c>
    </row>
    <row r="512" spans="1:7">
      <c r="A512" s="52">
        <v>124.89</v>
      </c>
      <c r="B512" s="52">
        <v>125.61499999999999</v>
      </c>
      <c r="C512" s="52">
        <v>123.19</v>
      </c>
      <c r="D512" s="52">
        <v>124.56</v>
      </c>
      <c r="E512" s="52">
        <v>771621</v>
      </c>
      <c r="F512" s="52" t="s">
        <v>519</v>
      </c>
      <c r="G512" s="25">
        <f t="shared" si="7"/>
        <v>2.6493256262041243E-3</v>
      </c>
    </row>
    <row r="513" spans="1:7">
      <c r="A513" s="52">
        <v>124.3</v>
      </c>
      <c r="B513" s="52">
        <v>126.14</v>
      </c>
      <c r="C513" s="52">
        <v>122.01</v>
      </c>
      <c r="D513" s="52">
        <v>125.64</v>
      </c>
      <c r="E513" s="52">
        <v>923520</v>
      </c>
      <c r="F513" s="52" t="s">
        <v>520</v>
      </c>
      <c r="G513" s="25">
        <f t="shared" si="7"/>
        <v>-1.0665393186883199E-2</v>
      </c>
    </row>
    <row r="514" spans="1:7">
      <c r="A514" s="52">
        <v>124.19</v>
      </c>
      <c r="B514" s="52">
        <v>126.46559999999999</v>
      </c>
      <c r="C514" s="52">
        <v>122.49</v>
      </c>
      <c r="D514" s="52">
        <v>124.6</v>
      </c>
      <c r="E514" s="52">
        <v>807898</v>
      </c>
      <c r="F514" s="52" t="s">
        <v>521</v>
      </c>
      <c r="G514" s="25">
        <f t="shared" si="7"/>
        <v>-3.2905296950240803E-3</v>
      </c>
    </row>
    <row r="515" spans="1:7">
      <c r="A515" s="52">
        <v>127.32</v>
      </c>
      <c r="B515" s="52">
        <v>127.625</v>
      </c>
      <c r="C515" s="52">
        <v>125.42</v>
      </c>
      <c r="D515" s="52">
        <v>126.87</v>
      </c>
      <c r="E515" s="52">
        <v>884569</v>
      </c>
      <c r="F515" s="52" t="s">
        <v>522</v>
      </c>
      <c r="G515" s="25">
        <f t="shared" si="7"/>
        <v>3.546937810356976E-3</v>
      </c>
    </row>
    <row r="516" spans="1:7">
      <c r="A516" s="52">
        <v>126.87</v>
      </c>
      <c r="B516" s="52">
        <v>129.19999999999999</v>
      </c>
      <c r="C516" s="52">
        <v>126.33</v>
      </c>
      <c r="D516" s="52">
        <v>128</v>
      </c>
      <c r="E516" s="52">
        <v>775106</v>
      </c>
      <c r="F516" s="52" t="s">
        <v>523</v>
      </c>
      <c r="G516" s="25">
        <f t="shared" si="7"/>
        <v>-8.8281249999999645E-3</v>
      </c>
    </row>
    <row r="517" spans="1:7">
      <c r="A517" s="52">
        <v>127.38</v>
      </c>
      <c r="B517" s="52">
        <v>127.88</v>
      </c>
      <c r="C517" s="52">
        <v>125.02</v>
      </c>
      <c r="D517" s="52">
        <v>125.99</v>
      </c>
      <c r="E517" s="52">
        <v>414006</v>
      </c>
      <c r="F517" s="52" t="s">
        <v>524</v>
      </c>
      <c r="G517" s="25">
        <f t="shared" si="7"/>
        <v>1.1032621636637874E-2</v>
      </c>
    </row>
    <row r="518" spans="1:7">
      <c r="A518" s="52">
        <v>126.05</v>
      </c>
      <c r="B518" s="52">
        <v>127.95</v>
      </c>
      <c r="C518" s="52">
        <v>125.69</v>
      </c>
      <c r="D518" s="52">
        <v>126.68</v>
      </c>
      <c r="E518" s="52">
        <v>515017</v>
      </c>
      <c r="F518" s="52" t="s">
        <v>525</v>
      </c>
      <c r="G518" s="25">
        <f t="shared" si="7"/>
        <v>-4.9731607199242633E-3</v>
      </c>
    </row>
    <row r="519" spans="1:7">
      <c r="A519" s="52">
        <v>126.41</v>
      </c>
      <c r="B519" s="52">
        <v>127.715</v>
      </c>
      <c r="C519" s="52">
        <v>125.05500000000001</v>
      </c>
      <c r="D519" s="52">
        <v>126.07</v>
      </c>
      <c r="E519" s="52">
        <v>1146140</v>
      </c>
      <c r="F519" s="52" t="s">
        <v>526</v>
      </c>
      <c r="G519" s="25">
        <f t="shared" si="7"/>
        <v>2.696914412627871E-3</v>
      </c>
    </row>
    <row r="520" spans="1:7">
      <c r="A520" s="52">
        <v>125.55</v>
      </c>
      <c r="B520" s="52">
        <v>125.61</v>
      </c>
      <c r="C520" s="52">
        <v>121.42</v>
      </c>
      <c r="D520" s="52">
        <v>121.42</v>
      </c>
      <c r="E520" s="52">
        <v>878187</v>
      </c>
      <c r="F520" s="52" t="s">
        <v>527</v>
      </c>
      <c r="G520" s="25">
        <f t="shared" si="7"/>
        <v>3.4014165705814392E-2</v>
      </c>
    </row>
    <row r="521" spans="1:7">
      <c r="A521" s="52">
        <v>121.27</v>
      </c>
      <c r="B521" s="52">
        <v>122.965</v>
      </c>
      <c r="C521" s="52">
        <v>120.04</v>
      </c>
      <c r="D521" s="52">
        <v>122</v>
      </c>
      <c r="E521" s="52">
        <v>788567</v>
      </c>
      <c r="F521" s="52" t="s">
        <v>528</v>
      </c>
      <c r="G521" s="25">
        <f t="shared" si="7"/>
        <v>-5.9836065573770636E-3</v>
      </c>
    </row>
    <row r="522" spans="1:7">
      <c r="A522" s="52">
        <v>122.83</v>
      </c>
      <c r="B522" s="52">
        <v>124.09</v>
      </c>
      <c r="C522" s="52">
        <v>118.91</v>
      </c>
      <c r="D522" s="52">
        <v>119.98</v>
      </c>
      <c r="E522" s="52">
        <v>919721</v>
      </c>
      <c r="F522" s="52" t="s">
        <v>529</v>
      </c>
      <c r="G522" s="25">
        <f t="shared" si="7"/>
        <v>2.3753958993165458E-2</v>
      </c>
    </row>
    <row r="523" spans="1:7">
      <c r="A523" s="52">
        <v>118.99</v>
      </c>
      <c r="B523" s="52">
        <v>123.45</v>
      </c>
      <c r="C523" s="52">
        <v>118.81</v>
      </c>
      <c r="D523" s="52">
        <v>120.76</v>
      </c>
      <c r="E523" s="52">
        <v>834648</v>
      </c>
      <c r="F523" s="52" t="s">
        <v>530</v>
      </c>
      <c r="G523" s="25">
        <f t="shared" si="7"/>
        <v>-1.4657171248757983E-2</v>
      </c>
    </row>
    <row r="524" spans="1:7">
      <c r="A524" s="52">
        <v>119.09</v>
      </c>
      <c r="B524" s="52">
        <v>120.41</v>
      </c>
      <c r="C524" s="52">
        <v>117.49</v>
      </c>
      <c r="D524" s="52">
        <v>120.11</v>
      </c>
      <c r="E524" s="52">
        <v>692078</v>
      </c>
      <c r="F524" s="52" t="s">
        <v>531</v>
      </c>
      <c r="G524" s="25">
        <f t="shared" si="7"/>
        <v>-8.4922154691532414E-3</v>
      </c>
    </row>
    <row r="525" spans="1:7">
      <c r="A525" s="52">
        <v>120.5</v>
      </c>
      <c r="B525" s="52">
        <v>123.15</v>
      </c>
      <c r="C525" s="52">
        <v>115.98</v>
      </c>
      <c r="D525" s="52">
        <v>118.8</v>
      </c>
      <c r="E525" s="52">
        <v>1157601</v>
      </c>
      <c r="F525" s="52" t="s">
        <v>532</v>
      </c>
      <c r="G525" s="25">
        <f t="shared" si="7"/>
        <v>1.4309764309764272E-2</v>
      </c>
    </row>
    <row r="526" spans="1:7">
      <c r="A526" s="52">
        <v>118.73</v>
      </c>
      <c r="B526" s="52">
        <v>121</v>
      </c>
      <c r="C526" s="52">
        <v>117.63</v>
      </c>
      <c r="D526" s="52">
        <v>120.85</v>
      </c>
      <c r="E526" s="52">
        <v>667154</v>
      </c>
      <c r="F526" s="52" t="s">
        <v>533</v>
      </c>
      <c r="G526" s="25">
        <f t="shared" si="7"/>
        <v>-1.7542407943731853E-2</v>
      </c>
    </row>
    <row r="527" spans="1:7">
      <c r="A527" s="52">
        <v>120.02</v>
      </c>
      <c r="B527" s="52">
        <v>121.25</v>
      </c>
      <c r="C527" s="52">
        <v>119.3</v>
      </c>
      <c r="D527" s="52">
        <v>120.18</v>
      </c>
      <c r="E527" s="52">
        <v>821748</v>
      </c>
      <c r="F527" s="52" t="s">
        <v>534</v>
      </c>
      <c r="G527" s="25">
        <f t="shared" si="7"/>
        <v>-1.3313363288401936E-3</v>
      </c>
    </row>
    <row r="528" spans="1:7">
      <c r="A528" s="52">
        <v>120.22</v>
      </c>
      <c r="B528" s="52">
        <v>122</v>
      </c>
      <c r="C528" s="52">
        <v>119.37</v>
      </c>
      <c r="D528" s="52">
        <v>122</v>
      </c>
      <c r="E528" s="52">
        <v>1300338</v>
      </c>
      <c r="F528" s="52" t="s">
        <v>535</v>
      </c>
      <c r="G528" s="25">
        <f t="shared" si="7"/>
        <v>-1.4590163934426248E-2</v>
      </c>
    </row>
    <row r="529" spans="1:7">
      <c r="A529" s="52">
        <v>121.13</v>
      </c>
      <c r="B529" s="52">
        <v>122.48</v>
      </c>
      <c r="C529" s="52">
        <v>118.75</v>
      </c>
      <c r="D529" s="52">
        <v>121.7</v>
      </c>
      <c r="E529" s="52">
        <v>1267325</v>
      </c>
      <c r="F529" s="52" t="s">
        <v>536</v>
      </c>
      <c r="G529" s="25">
        <f t="shared" si="7"/>
        <v>-4.6836483155300312E-3</v>
      </c>
    </row>
    <row r="530" spans="1:7">
      <c r="A530" s="52">
        <v>121.05</v>
      </c>
      <c r="B530" s="52">
        <v>121.55</v>
      </c>
      <c r="C530" s="52">
        <v>117.37</v>
      </c>
      <c r="D530" s="52">
        <v>117.92</v>
      </c>
      <c r="E530" s="52">
        <v>1599534</v>
      </c>
      <c r="F530" s="52" t="s">
        <v>537</v>
      </c>
      <c r="G530" s="25">
        <f t="shared" si="7"/>
        <v>2.654341926729975E-2</v>
      </c>
    </row>
    <row r="531" spans="1:7">
      <c r="A531" s="52">
        <v>115.64</v>
      </c>
      <c r="B531" s="52">
        <v>117.64</v>
      </c>
      <c r="C531" s="52">
        <v>114.48</v>
      </c>
      <c r="D531" s="52">
        <v>116.8</v>
      </c>
      <c r="E531" s="52">
        <v>2445837</v>
      </c>
      <c r="F531" s="52" t="s">
        <v>538</v>
      </c>
      <c r="G531" s="25">
        <f t="shared" si="7"/>
        <v>-9.9315068493149861E-3</v>
      </c>
    </row>
    <row r="532" spans="1:7">
      <c r="A532" s="52">
        <v>116.8</v>
      </c>
      <c r="B532" s="52">
        <v>120.56</v>
      </c>
      <c r="C532" s="52">
        <v>115.33</v>
      </c>
      <c r="D532" s="52">
        <v>118.01</v>
      </c>
      <c r="E532" s="52">
        <v>1344570</v>
      </c>
      <c r="F532" s="52" t="s">
        <v>539</v>
      </c>
      <c r="G532" s="25">
        <f t="shared" si="7"/>
        <v>-1.025336835861379E-2</v>
      </c>
    </row>
    <row r="533" spans="1:7">
      <c r="A533" s="52">
        <v>117.05</v>
      </c>
      <c r="B533" s="52">
        <v>118.46</v>
      </c>
      <c r="C533" s="52">
        <v>113.55</v>
      </c>
      <c r="D533" s="52">
        <v>114.82</v>
      </c>
      <c r="E533" s="52">
        <v>1128491</v>
      </c>
      <c r="F533" s="52" t="s">
        <v>540</v>
      </c>
      <c r="G533" s="25">
        <f t="shared" si="7"/>
        <v>1.9421703535969392E-2</v>
      </c>
    </row>
    <row r="534" spans="1:7">
      <c r="A534" s="52">
        <v>115.39</v>
      </c>
      <c r="B534" s="52">
        <v>116.61499999999999</v>
      </c>
      <c r="C534" s="52">
        <v>113.62</v>
      </c>
      <c r="D534" s="52">
        <v>115.41</v>
      </c>
      <c r="E534" s="52">
        <v>970222</v>
      </c>
      <c r="F534" s="52" t="s">
        <v>541</v>
      </c>
      <c r="G534" s="25">
        <f t="shared" si="7"/>
        <v>-1.7329520838749168E-4</v>
      </c>
    </row>
    <row r="535" spans="1:7">
      <c r="A535" s="52">
        <v>116.8</v>
      </c>
      <c r="B535" s="52">
        <v>117.97</v>
      </c>
      <c r="C535" s="52">
        <v>115.6925</v>
      </c>
      <c r="D535" s="52">
        <v>116.73</v>
      </c>
      <c r="E535" s="52">
        <v>987649</v>
      </c>
      <c r="F535" s="52" t="s">
        <v>542</v>
      </c>
      <c r="G535" s="25">
        <f t="shared" si="7"/>
        <v>5.9967446243458511E-4</v>
      </c>
    </row>
    <row r="536" spans="1:7">
      <c r="A536" s="52">
        <v>116.06</v>
      </c>
      <c r="B536" s="52">
        <v>119.33</v>
      </c>
      <c r="C536" s="52">
        <v>115.575</v>
      </c>
      <c r="D536" s="52">
        <v>119.26</v>
      </c>
      <c r="E536" s="52">
        <v>1186238</v>
      </c>
      <c r="F536" s="52" t="s">
        <v>543</v>
      </c>
      <c r="G536" s="25">
        <f t="shared" si="7"/>
        <v>-2.6832131477444232E-2</v>
      </c>
    </row>
    <row r="537" spans="1:7">
      <c r="A537" s="52">
        <v>119.19</v>
      </c>
      <c r="B537" s="52">
        <v>121.91</v>
      </c>
      <c r="C537" s="52">
        <v>114.01</v>
      </c>
      <c r="D537" s="52">
        <v>121.91</v>
      </c>
      <c r="E537" s="52">
        <v>2390738</v>
      </c>
      <c r="F537" s="52" t="s">
        <v>544</v>
      </c>
      <c r="G537" s="25">
        <f t="shared" si="7"/>
        <v>-2.2311541300959692E-2</v>
      </c>
    </row>
    <row r="538" spans="1:7">
      <c r="A538" s="52">
        <v>119.77</v>
      </c>
      <c r="B538" s="52">
        <v>120.09</v>
      </c>
      <c r="C538" s="52">
        <v>107.91</v>
      </c>
      <c r="D538" s="52">
        <v>107.91</v>
      </c>
      <c r="E538" s="52">
        <v>5249691</v>
      </c>
      <c r="F538" s="52" t="s">
        <v>545</v>
      </c>
      <c r="G538" s="25">
        <f t="shared" si="7"/>
        <v>0.10990640348438507</v>
      </c>
    </row>
    <row r="539" spans="1:7">
      <c r="A539" s="52">
        <v>102.61</v>
      </c>
      <c r="B539" s="52">
        <v>102.93</v>
      </c>
      <c r="C539" s="52">
        <v>94.75</v>
      </c>
      <c r="D539" s="52">
        <v>97.15</v>
      </c>
      <c r="E539" s="52">
        <v>2182267</v>
      </c>
      <c r="F539" s="52" t="s">
        <v>546</v>
      </c>
      <c r="G539" s="25">
        <f t="shared" si="7"/>
        <v>5.6201749871332973E-2</v>
      </c>
    </row>
    <row r="540" spans="1:7">
      <c r="A540" s="52">
        <v>97.34</v>
      </c>
      <c r="B540" s="52">
        <v>98.02</v>
      </c>
      <c r="C540" s="52">
        <v>91.343900000000005</v>
      </c>
      <c r="D540" s="52">
        <v>93.98</v>
      </c>
      <c r="E540" s="52">
        <v>1115332</v>
      </c>
      <c r="F540" s="52" t="s">
        <v>547</v>
      </c>
      <c r="G540" s="25">
        <f t="shared" si="7"/>
        <v>3.5752287720791642E-2</v>
      </c>
    </row>
    <row r="541" spans="1:7">
      <c r="A541" s="52">
        <v>94.28</v>
      </c>
      <c r="B541" s="52">
        <v>95.05</v>
      </c>
      <c r="C541" s="52">
        <v>93.55</v>
      </c>
      <c r="D541" s="52">
        <v>93.98</v>
      </c>
      <c r="E541" s="52">
        <v>783358</v>
      </c>
      <c r="F541" s="52" t="s">
        <v>548</v>
      </c>
      <c r="G541" s="25">
        <f t="shared" si="7"/>
        <v>3.1921685464992855E-3</v>
      </c>
    </row>
    <row r="542" spans="1:7">
      <c r="A542" s="52">
        <v>93.7</v>
      </c>
      <c r="B542" s="52">
        <v>95</v>
      </c>
      <c r="C542" s="52">
        <v>93</v>
      </c>
      <c r="D542" s="52">
        <v>94</v>
      </c>
      <c r="E542" s="52">
        <v>987525</v>
      </c>
      <c r="F542" s="52" t="s">
        <v>549</v>
      </c>
      <c r="G542" s="25">
        <f t="shared" si="7"/>
        <v>-3.1914893617021045E-3</v>
      </c>
    </row>
    <row r="543" spans="1:7">
      <c r="A543" s="52">
        <v>96.21</v>
      </c>
      <c r="B543" s="52">
        <v>97.297399999999996</v>
      </c>
      <c r="C543" s="52">
        <v>95</v>
      </c>
      <c r="D543" s="52">
        <v>95.5</v>
      </c>
      <c r="E543" s="52">
        <v>1148225</v>
      </c>
      <c r="F543" s="52" t="s">
        <v>550</v>
      </c>
      <c r="G543" s="25">
        <f t="shared" si="7"/>
        <v>7.4345549738219496E-3</v>
      </c>
    </row>
    <row r="544" spans="1:7">
      <c r="A544" s="52">
        <v>96.43</v>
      </c>
      <c r="B544" s="52">
        <v>98.2</v>
      </c>
      <c r="C544" s="52">
        <v>96.34</v>
      </c>
      <c r="D544" s="52">
        <v>98.05</v>
      </c>
      <c r="E544" s="52">
        <v>730028</v>
      </c>
      <c r="F544" s="52" t="s">
        <v>551</v>
      </c>
      <c r="G544" s="25">
        <f t="shared" si="7"/>
        <v>-1.652218255991833E-2</v>
      </c>
    </row>
    <row r="545" spans="1:7">
      <c r="A545" s="52">
        <v>97.78</v>
      </c>
      <c r="B545" s="52">
        <v>99.49</v>
      </c>
      <c r="C545" s="52">
        <v>96.94</v>
      </c>
      <c r="D545" s="52">
        <v>97.34</v>
      </c>
      <c r="E545" s="52">
        <v>1093081</v>
      </c>
      <c r="F545" s="52" t="s">
        <v>552</v>
      </c>
      <c r="G545" s="25">
        <f t="shared" si="7"/>
        <v>4.5202383398397217E-3</v>
      </c>
    </row>
    <row r="546" spans="1:7">
      <c r="A546" s="52">
        <v>96.84</v>
      </c>
      <c r="B546" s="52">
        <v>97.644999999999996</v>
      </c>
      <c r="C546" s="52">
        <v>95.36</v>
      </c>
      <c r="D546" s="52">
        <v>96.71</v>
      </c>
      <c r="E546" s="52">
        <v>917234</v>
      </c>
      <c r="F546" s="52" t="s">
        <v>553</v>
      </c>
      <c r="G546" s="25">
        <f t="shared" si="7"/>
        <v>1.344225002585242E-3</v>
      </c>
    </row>
    <row r="547" spans="1:7">
      <c r="A547" s="52">
        <v>96.31</v>
      </c>
      <c r="B547" s="52">
        <v>96.47</v>
      </c>
      <c r="C547" s="52">
        <v>94.2</v>
      </c>
      <c r="D547" s="52">
        <v>94.99</v>
      </c>
      <c r="E547" s="52">
        <v>864431</v>
      </c>
      <c r="F547" s="52" t="s">
        <v>554</v>
      </c>
      <c r="G547" s="25">
        <f t="shared" si="7"/>
        <v>1.3896199599958026E-2</v>
      </c>
    </row>
    <row r="548" spans="1:7">
      <c r="A548" s="52">
        <v>94.54</v>
      </c>
      <c r="B548" s="52">
        <v>94.94</v>
      </c>
      <c r="C548" s="52">
        <v>91.99</v>
      </c>
      <c r="D548" s="52">
        <v>91.99</v>
      </c>
      <c r="E548" s="52">
        <v>1029331</v>
      </c>
      <c r="F548" s="52" t="s">
        <v>555</v>
      </c>
      <c r="G548" s="25">
        <f t="shared" si="7"/>
        <v>2.7720404391781805E-2</v>
      </c>
    </row>
    <row r="549" spans="1:7">
      <c r="A549" s="52">
        <v>90.75</v>
      </c>
      <c r="B549" s="52">
        <v>93.08</v>
      </c>
      <c r="C549" s="52">
        <v>89.92</v>
      </c>
      <c r="D549" s="52">
        <v>91.3</v>
      </c>
      <c r="E549" s="52">
        <v>1059342</v>
      </c>
      <c r="F549" s="52" t="s">
        <v>556</v>
      </c>
      <c r="G549" s="25">
        <f t="shared" si="7"/>
        <v>-6.0240963855421326E-3</v>
      </c>
    </row>
    <row r="550" spans="1:7">
      <c r="A550" s="52">
        <v>90.29</v>
      </c>
      <c r="B550" s="52">
        <v>94.55</v>
      </c>
      <c r="C550" s="52">
        <v>90.15</v>
      </c>
      <c r="D550" s="52">
        <v>94.55</v>
      </c>
      <c r="E550" s="52">
        <v>1340193</v>
      </c>
      <c r="F550" s="52" t="s">
        <v>557</v>
      </c>
      <c r="G550" s="25">
        <f t="shared" si="7"/>
        <v>-4.5055526176626004E-2</v>
      </c>
    </row>
    <row r="551" spans="1:7">
      <c r="A551" s="52">
        <v>95.54</v>
      </c>
      <c r="B551" s="52">
        <v>95.97</v>
      </c>
      <c r="C551" s="52">
        <v>94.58</v>
      </c>
      <c r="D551" s="52">
        <v>94.98</v>
      </c>
      <c r="E551" s="52">
        <v>883653</v>
      </c>
      <c r="F551" s="52" t="s">
        <v>558</v>
      </c>
      <c r="G551" s="25">
        <f t="shared" si="7"/>
        <v>5.8959781006528988E-3</v>
      </c>
    </row>
    <row r="552" spans="1:7">
      <c r="A552" s="52">
        <v>93.93</v>
      </c>
      <c r="B552" s="52">
        <v>94.5</v>
      </c>
      <c r="C552" s="52">
        <v>92.09</v>
      </c>
      <c r="D552" s="52">
        <v>93.99</v>
      </c>
      <c r="E552" s="52">
        <v>1280152</v>
      </c>
      <c r="F552" s="52" t="s">
        <v>559</v>
      </c>
      <c r="G552" s="25">
        <f t="shared" si="7"/>
        <v>-6.3836578359388607E-4</v>
      </c>
    </row>
    <row r="553" spans="1:7">
      <c r="A553" s="52">
        <v>92.99</v>
      </c>
      <c r="B553" s="52">
        <v>95.5</v>
      </c>
      <c r="C553" s="52">
        <v>91.6</v>
      </c>
      <c r="D553" s="52">
        <v>94.49</v>
      </c>
      <c r="E553" s="52">
        <v>3385359</v>
      </c>
      <c r="F553" s="52" t="s">
        <v>560</v>
      </c>
      <c r="G553" s="25">
        <f t="shared" si="7"/>
        <v>-1.5874695734998445E-2</v>
      </c>
    </row>
    <row r="554" spans="1:7">
      <c r="A554" s="52">
        <v>94.52</v>
      </c>
      <c r="B554" s="52">
        <v>96.55</v>
      </c>
      <c r="C554" s="52">
        <v>93.28</v>
      </c>
      <c r="D554" s="52">
        <v>93.83</v>
      </c>
      <c r="E554" s="52">
        <v>1831534</v>
      </c>
      <c r="F554" s="52" t="s">
        <v>561</v>
      </c>
      <c r="G554" s="25">
        <f t="shared" si="7"/>
        <v>7.3537248214856632E-3</v>
      </c>
    </row>
    <row r="555" spans="1:7">
      <c r="A555" s="52">
        <v>92.11</v>
      </c>
      <c r="B555" s="52">
        <v>92.47</v>
      </c>
      <c r="C555" s="52">
        <v>87</v>
      </c>
      <c r="D555" s="52">
        <v>87</v>
      </c>
      <c r="E555" s="52">
        <v>1478530</v>
      </c>
      <c r="F555" s="52" t="s">
        <v>562</v>
      </c>
      <c r="G555" s="25">
        <f t="shared" si="7"/>
        <v>5.8735632183908093E-2</v>
      </c>
    </row>
    <row r="556" spans="1:7">
      <c r="A556" s="52">
        <v>86.81</v>
      </c>
      <c r="B556" s="52">
        <v>88.91</v>
      </c>
      <c r="C556" s="52">
        <v>86.23</v>
      </c>
      <c r="D556" s="52">
        <v>88.73</v>
      </c>
      <c r="E556" s="52">
        <v>820570</v>
      </c>
      <c r="F556" s="52" t="s">
        <v>563</v>
      </c>
      <c r="G556" s="25">
        <f t="shared" si="7"/>
        <v>-2.1638679138960892E-2</v>
      </c>
    </row>
    <row r="557" spans="1:7">
      <c r="A557" s="52">
        <v>87.71</v>
      </c>
      <c r="B557" s="52">
        <v>88.1</v>
      </c>
      <c r="C557" s="52">
        <v>85.61</v>
      </c>
      <c r="D557" s="52">
        <v>87.52</v>
      </c>
      <c r="E557" s="52">
        <v>1228929</v>
      </c>
      <c r="F557" s="52" t="s">
        <v>564</v>
      </c>
      <c r="G557" s="25">
        <f t="shared" si="7"/>
        <v>2.1709323583181117E-3</v>
      </c>
    </row>
    <row r="558" spans="1:7">
      <c r="A558" s="52">
        <v>87.03</v>
      </c>
      <c r="B558" s="52">
        <v>89.65</v>
      </c>
      <c r="C558" s="52">
        <v>87.01</v>
      </c>
      <c r="D558" s="52">
        <v>88.13</v>
      </c>
      <c r="E558" s="52">
        <v>614084</v>
      </c>
      <c r="F558" s="52" t="s">
        <v>565</v>
      </c>
      <c r="G558" s="25">
        <f t="shared" si="7"/>
        <v>-1.2481561329853563E-2</v>
      </c>
    </row>
    <row r="559" spans="1:7">
      <c r="A559" s="52">
        <v>88.41</v>
      </c>
      <c r="B559" s="52">
        <v>90</v>
      </c>
      <c r="C559" s="52">
        <v>87.025000000000006</v>
      </c>
      <c r="D559" s="52">
        <v>87.89</v>
      </c>
      <c r="E559" s="52">
        <v>689913</v>
      </c>
      <c r="F559" s="52" t="s">
        <v>566</v>
      </c>
      <c r="G559" s="25">
        <f t="shared" si="7"/>
        <v>5.9164865172374181E-3</v>
      </c>
    </row>
    <row r="560" spans="1:7">
      <c r="A560" s="52">
        <v>87.38</v>
      </c>
      <c r="B560" s="52">
        <v>89.013000000000005</v>
      </c>
      <c r="C560" s="52">
        <v>86.280100000000004</v>
      </c>
      <c r="D560" s="52">
        <v>88.64</v>
      </c>
      <c r="E560" s="52">
        <v>2014721</v>
      </c>
      <c r="F560" s="52" t="s">
        <v>567</v>
      </c>
      <c r="G560" s="25">
        <f t="shared" si="7"/>
        <v>-1.4214801444043412E-2</v>
      </c>
    </row>
    <row r="561" spans="1:7">
      <c r="A561" s="52">
        <v>88.14</v>
      </c>
      <c r="B561" s="52">
        <v>89.32</v>
      </c>
      <c r="C561" s="52">
        <v>83.97</v>
      </c>
      <c r="D561" s="52">
        <v>85.08</v>
      </c>
      <c r="E561" s="52">
        <v>1153342</v>
      </c>
      <c r="F561" s="52" t="s">
        <v>568</v>
      </c>
      <c r="G561" s="25">
        <f t="shared" si="7"/>
        <v>3.5966149506347023E-2</v>
      </c>
    </row>
    <row r="562" spans="1:7">
      <c r="A562" s="52">
        <v>86.12</v>
      </c>
      <c r="B562" s="52">
        <v>86.94</v>
      </c>
      <c r="C562" s="52">
        <v>84</v>
      </c>
      <c r="D562" s="52">
        <v>84.38</v>
      </c>
      <c r="E562" s="52">
        <v>1318854</v>
      </c>
      <c r="F562" s="52" t="s">
        <v>569</v>
      </c>
      <c r="G562" s="25">
        <f t="shared" si="7"/>
        <v>2.0621000237023068E-2</v>
      </c>
    </row>
    <row r="563" spans="1:7">
      <c r="A563" s="52">
        <v>84.44</v>
      </c>
      <c r="B563" s="52">
        <v>84.5</v>
      </c>
      <c r="C563" s="52">
        <v>78.67</v>
      </c>
      <c r="D563" s="52">
        <v>81.28</v>
      </c>
      <c r="E563" s="52">
        <v>1319361</v>
      </c>
      <c r="F563" s="52" t="s">
        <v>570</v>
      </c>
      <c r="G563" s="25">
        <f t="shared" si="7"/>
        <v>3.8877952755905554E-2</v>
      </c>
    </row>
    <row r="564" spans="1:7">
      <c r="A564" s="52">
        <v>81.28</v>
      </c>
      <c r="B564" s="52">
        <v>81.900000000000006</v>
      </c>
      <c r="C564" s="52">
        <v>80.222200000000001</v>
      </c>
      <c r="D564" s="52">
        <v>81.010000000000005</v>
      </c>
      <c r="E564" s="52">
        <v>1269781</v>
      </c>
      <c r="F564" s="52" t="s">
        <v>571</v>
      </c>
      <c r="G564" s="25">
        <f t="shared" ref="G564:G627" si="8">A564/D564-1</f>
        <v>3.3329218614985834E-3</v>
      </c>
    </row>
    <row r="565" spans="1:7">
      <c r="A565" s="52">
        <v>80.400000000000006</v>
      </c>
      <c r="B565" s="52">
        <v>83.5</v>
      </c>
      <c r="C565" s="52">
        <v>80.14</v>
      </c>
      <c r="D565" s="52">
        <v>82.72</v>
      </c>
      <c r="E565" s="52">
        <v>1135246</v>
      </c>
      <c r="F565" s="52" t="s">
        <v>572</v>
      </c>
      <c r="G565" s="25">
        <f t="shared" si="8"/>
        <v>-2.8046421663442844E-2</v>
      </c>
    </row>
    <row r="566" spans="1:7">
      <c r="A566" s="52">
        <v>82.61</v>
      </c>
      <c r="B566" s="52">
        <v>82.9</v>
      </c>
      <c r="C566" s="52">
        <v>81.599999999999994</v>
      </c>
      <c r="D566" s="52">
        <v>81.97</v>
      </c>
      <c r="E566" s="52">
        <v>927946</v>
      </c>
      <c r="F566" s="52" t="s">
        <v>573</v>
      </c>
      <c r="G566" s="25">
        <f t="shared" si="8"/>
        <v>7.8077345370257678E-3</v>
      </c>
    </row>
    <row r="567" spans="1:7">
      <c r="A567" s="52">
        <v>82.58</v>
      </c>
      <c r="B567" s="52">
        <v>84.04</v>
      </c>
      <c r="C567" s="52">
        <v>81.64</v>
      </c>
      <c r="D567" s="52">
        <v>82.5</v>
      </c>
      <c r="E567" s="52">
        <v>651631</v>
      </c>
      <c r="F567" s="52" t="s">
        <v>574</v>
      </c>
      <c r="G567" s="25">
        <f t="shared" si="8"/>
        <v>9.6969696969684271E-4</v>
      </c>
    </row>
    <row r="568" spans="1:7">
      <c r="A568" s="52">
        <v>82.87</v>
      </c>
      <c r="B568" s="52">
        <v>84.23</v>
      </c>
      <c r="C568" s="52">
        <v>82.28</v>
      </c>
      <c r="D568" s="52">
        <v>83.83</v>
      </c>
      <c r="E568" s="52">
        <v>394791</v>
      </c>
      <c r="F568" s="52" t="s">
        <v>575</v>
      </c>
      <c r="G568" s="25">
        <f t="shared" si="8"/>
        <v>-1.1451747584396932E-2</v>
      </c>
    </row>
    <row r="569" spans="1:7">
      <c r="A569" s="52">
        <v>83.77</v>
      </c>
      <c r="B569" s="52">
        <v>85.23</v>
      </c>
      <c r="C569" s="52">
        <v>82.06</v>
      </c>
      <c r="D569" s="52">
        <v>84.42</v>
      </c>
      <c r="E569" s="52">
        <v>606935</v>
      </c>
      <c r="F569" s="52" t="s">
        <v>576</v>
      </c>
      <c r="G569" s="25">
        <f t="shared" si="8"/>
        <v>-7.69959725183611E-3</v>
      </c>
    </row>
    <row r="570" spans="1:7">
      <c r="A570" s="52">
        <v>84.08</v>
      </c>
      <c r="B570" s="52">
        <v>85.4</v>
      </c>
      <c r="C570" s="52">
        <v>83.415000000000006</v>
      </c>
      <c r="D570" s="52">
        <v>85.03</v>
      </c>
      <c r="E570" s="52">
        <v>1013092</v>
      </c>
      <c r="F570" s="52" t="s">
        <v>577</v>
      </c>
      <c r="G570" s="25">
        <f t="shared" si="8"/>
        <v>-1.1172527343290661E-2</v>
      </c>
    </row>
    <row r="571" spans="1:7">
      <c r="A571" s="52">
        <v>83.06</v>
      </c>
      <c r="B571" s="52">
        <v>85.94</v>
      </c>
      <c r="C571" s="52">
        <v>82.62</v>
      </c>
      <c r="D571" s="52">
        <v>83</v>
      </c>
      <c r="E571" s="52">
        <v>1378179</v>
      </c>
      <c r="F571" s="52" t="s">
        <v>578</v>
      </c>
      <c r="G571" s="25">
        <f t="shared" si="8"/>
        <v>7.2289156626514917E-4</v>
      </c>
    </row>
    <row r="572" spans="1:7">
      <c r="A572" s="52">
        <v>83.15</v>
      </c>
      <c r="B572" s="52">
        <v>85.495000000000005</v>
      </c>
      <c r="C572" s="52">
        <v>82.77</v>
      </c>
      <c r="D572" s="52">
        <v>82.98</v>
      </c>
      <c r="E572" s="52">
        <v>1434370</v>
      </c>
      <c r="F572" s="52" t="s">
        <v>579</v>
      </c>
      <c r="G572" s="25">
        <f t="shared" si="8"/>
        <v>2.0486864304651853E-3</v>
      </c>
    </row>
    <row r="573" spans="1:7">
      <c r="A573" s="52">
        <v>82.98</v>
      </c>
      <c r="B573" s="52">
        <v>83.426500000000004</v>
      </c>
      <c r="C573" s="52">
        <v>81.180000000000007</v>
      </c>
      <c r="D573" s="52">
        <v>83.08</v>
      </c>
      <c r="E573" s="52">
        <v>1408697</v>
      </c>
      <c r="F573" s="52" t="s">
        <v>580</v>
      </c>
      <c r="G573" s="25">
        <f t="shared" si="8"/>
        <v>-1.2036591237361005E-3</v>
      </c>
    </row>
    <row r="574" spans="1:7">
      <c r="A574" s="52">
        <v>83.76</v>
      </c>
      <c r="B574" s="52">
        <v>84.71</v>
      </c>
      <c r="C574" s="52">
        <v>81.459999999999994</v>
      </c>
      <c r="D574" s="52">
        <v>81.77</v>
      </c>
      <c r="E574" s="52">
        <v>1172656</v>
      </c>
      <c r="F574" s="52" t="s">
        <v>581</v>
      </c>
      <c r="G574" s="25">
        <f t="shared" si="8"/>
        <v>2.4336553748318668E-2</v>
      </c>
    </row>
    <row r="575" spans="1:7">
      <c r="A575" s="52">
        <v>82.5</v>
      </c>
      <c r="B575" s="52">
        <v>82.56</v>
      </c>
      <c r="C575" s="52">
        <v>80.680000000000007</v>
      </c>
      <c r="D575" s="52">
        <v>81.93</v>
      </c>
      <c r="E575" s="52">
        <v>1655079</v>
      </c>
      <c r="F575" s="52" t="s">
        <v>582</v>
      </c>
      <c r="G575" s="25">
        <f t="shared" si="8"/>
        <v>6.9571585499816901E-3</v>
      </c>
    </row>
    <row r="576" spans="1:7">
      <c r="A576" s="52">
        <v>79.67</v>
      </c>
      <c r="B576" s="52">
        <v>80.3</v>
      </c>
      <c r="C576" s="52">
        <v>76.609899999999996</v>
      </c>
      <c r="D576" s="52">
        <v>79.739999999999995</v>
      </c>
      <c r="E576" s="52">
        <v>882564</v>
      </c>
      <c r="F576" s="52" t="s">
        <v>583</v>
      </c>
      <c r="G576" s="25">
        <f t="shared" si="8"/>
        <v>-8.7785302232246121E-4</v>
      </c>
    </row>
    <row r="577" spans="1:7">
      <c r="A577" s="52">
        <v>79.45</v>
      </c>
      <c r="B577" s="52">
        <v>79.66</v>
      </c>
      <c r="C577" s="52">
        <v>76.25</v>
      </c>
      <c r="D577" s="52">
        <v>78.81</v>
      </c>
      <c r="E577" s="52">
        <v>1272006</v>
      </c>
      <c r="F577" s="52" t="s">
        <v>584</v>
      </c>
      <c r="G577" s="25">
        <f t="shared" si="8"/>
        <v>8.1207968531913366E-3</v>
      </c>
    </row>
    <row r="578" spans="1:7">
      <c r="A578" s="52">
        <v>79.150000000000006</v>
      </c>
      <c r="B578" s="52">
        <v>80.254999999999995</v>
      </c>
      <c r="C578" s="52">
        <v>75.849999999999994</v>
      </c>
      <c r="D578" s="52">
        <v>79.88</v>
      </c>
      <c r="E578" s="52">
        <v>2080035</v>
      </c>
      <c r="F578" s="52" t="s">
        <v>585</v>
      </c>
      <c r="G578" s="25">
        <f t="shared" si="8"/>
        <v>-9.1387080620930483E-3</v>
      </c>
    </row>
    <row r="579" spans="1:7">
      <c r="A579" s="52">
        <v>80.69</v>
      </c>
      <c r="B579" s="52">
        <v>83.471599999999995</v>
      </c>
      <c r="C579" s="52">
        <v>80.400000000000006</v>
      </c>
      <c r="D579" s="52">
        <v>82.93</v>
      </c>
      <c r="E579" s="52">
        <v>1076072</v>
      </c>
      <c r="F579" s="52" t="s">
        <v>586</v>
      </c>
      <c r="G579" s="25">
        <f t="shared" si="8"/>
        <v>-2.7010731942602284E-2</v>
      </c>
    </row>
    <row r="580" spans="1:7">
      <c r="A580" s="52">
        <v>82.93</v>
      </c>
      <c r="B580" s="52">
        <v>84.19</v>
      </c>
      <c r="C580" s="52">
        <v>80.62</v>
      </c>
      <c r="D580" s="52">
        <v>80.62</v>
      </c>
      <c r="E580" s="52">
        <v>2180577</v>
      </c>
      <c r="F580" s="52" t="s">
        <v>587</v>
      </c>
      <c r="G580" s="25">
        <f t="shared" si="8"/>
        <v>2.8652939717191739E-2</v>
      </c>
    </row>
    <row r="581" spans="1:7">
      <c r="A581" s="52">
        <v>80.099999999999994</v>
      </c>
      <c r="B581" s="52">
        <v>83.11</v>
      </c>
      <c r="C581" s="52">
        <v>79.66</v>
      </c>
      <c r="D581" s="52">
        <v>81.5</v>
      </c>
      <c r="E581" s="52">
        <v>2576126</v>
      </c>
      <c r="F581" s="52" t="s">
        <v>588</v>
      </c>
      <c r="G581" s="25">
        <f t="shared" si="8"/>
        <v>-1.7177914110429571E-2</v>
      </c>
    </row>
    <row r="582" spans="1:7">
      <c r="A582" s="52">
        <v>78.010000000000005</v>
      </c>
      <c r="B582" s="52">
        <v>81.27</v>
      </c>
      <c r="C582" s="52">
        <v>77.8</v>
      </c>
      <c r="D582" s="52">
        <v>78.42</v>
      </c>
      <c r="E582" s="52">
        <v>2292546</v>
      </c>
      <c r="F582" s="52" t="s">
        <v>589</v>
      </c>
      <c r="G582" s="25">
        <f t="shared" si="8"/>
        <v>-5.22825809742411E-3</v>
      </c>
    </row>
    <row r="583" spans="1:7">
      <c r="A583" s="52">
        <v>77.760000000000005</v>
      </c>
      <c r="B583" s="52">
        <v>82.22</v>
      </c>
      <c r="C583" s="52">
        <v>75.69</v>
      </c>
      <c r="D583" s="52">
        <v>79.430000000000007</v>
      </c>
      <c r="E583" s="52">
        <v>3736881</v>
      </c>
      <c r="F583" s="52" t="s">
        <v>590</v>
      </c>
      <c r="G583" s="25">
        <f t="shared" si="8"/>
        <v>-2.1024801712199448E-2</v>
      </c>
    </row>
    <row r="584" spans="1:7">
      <c r="A584" s="52">
        <v>76.52</v>
      </c>
      <c r="B584" s="52">
        <v>76.769900000000007</v>
      </c>
      <c r="C584" s="52">
        <v>68</v>
      </c>
      <c r="D584" s="52">
        <v>68.400000000000006</v>
      </c>
      <c r="E584" s="52">
        <v>6757246</v>
      </c>
      <c r="F584" s="52" t="s">
        <v>591</v>
      </c>
      <c r="G584" s="25">
        <f t="shared" si="8"/>
        <v>0.11871345029239744</v>
      </c>
    </row>
    <row r="585" spans="1:7">
      <c r="A585" s="52">
        <v>67.31</v>
      </c>
      <c r="B585" s="52">
        <v>68</v>
      </c>
      <c r="C585" s="52">
        <v>55.25</v>
      </c>
      <c r="D585" s="52">
        <v>57.63</v>
      </c>
      <c r="E585" s="52">
        <v>23555193</v>
      </c>
      <c r="F585" s="52" t="s">
        <v>592</v>
      </c>
      <c r="G585" s="25">
        <f t="shared" si="8"/>
        <v>0.16796807218462595</v>
      </c>
    </row>
    <row r="586" spans="1:7">
      <c r="A586" s="52">
        <v>107.65</v>
      </c>
      <c r="B586" s="52">
        <v>109.96</v>
      </c>
      <c r="C586" s="52">
        <v>106.92</v>
      </c>
      <c r="D586" s="52">
        <v>107.95</v>
      </c>
      <c r="E586" s="52">
        <v>742405</v>
      </c>
      <c r="F586" s="52" t="s">
        <v>593</v>
      </c>
      <c r="G586" s="25">
        <f t="shared" si="8"/>
        <v>-2.7790643816582028E-3</v>
      </c>
    </row>
    <row r="587" spans="1:7">
      <c r="A587" s="52">
        <v>106.83</v>
      </c>
      <c r="B587" s="52">
        <v>111.9</v>
      </c>
      <c r="C587" s="52">
        <v>106.05</v>
      </c>
      <c r="D587" s="52">
        <v>111.9</v>
      </c>
      <c r="E587" s="52">
        <v>928743</v>
      </c>
      <c r="F587" s="52" t="s">
        <v>594</v>
      </c>
      <c r="G587" s="25">
        <f t="shared" si="8"/>
        <v>-4.5308310991957201E-2</v>
      </c>
    </row>
    <row r="588" spans="1:7">
      <c r="A588" s="52">
        <v>111.6</v>
      </c>
      <c r="B588" s="52">
        <v>112.23</v>
      </c>
      <c r="C588" s="52">
        <v>105.92</v>
      </c>
      <c r="D588" s="52">
        <v>107.39</v>
      </c>
      <c r="E588" s="52">
        <v>1131201</v>
      </c>
      <c r="F588" s="52" t="s">
        <v>595</v>
      </c>
      <c r="G588" s="25">
        <f t="shared" si="8"/>
        <v>3.9202905298444835E-2</v>
      </c>
    </row>
    <row r="589" spans="1:7">
      <c r="A589" s="52">
        <v>107.24</v>
      </c>
      <c r="B589" s="52">
        <v>112.66</v>
      </c>
      <c r="C589" s="52">
        <v>106.52</v>
      </c>
      <c r="D589" s="52">
        <v>112.39</v>
      </c>
      <c r="E589" s="52">
        <v>1095355</v>
      </c>
      <c r="F589" s="52" t="s">
        <v>596</v>
      </c>
      <c r="G589" s="25">
        <f t="shared" si="8"/>
        <v>-4.5822582080256247E-2</v>
      </c>
    </row>
    <row r="590" spans="1:7">
      <c r="A590" s="52">
        <v>113.42</v>
      </c>
      <c r="B590" s="52">
        <v>113.9499</v>
      </c>
      <c r="C590" s="52">
        <v>110.72</v>
      </c>
      <c r="D590" s="52">
        <v>111.63</v>
      </c>
      <c r="E590" s="52">
        <v>827315</v>
      </c>
      <c r="F590" s="52" t="s">
        <v>597</v>
      </c>
      <c r="G590" s="25">
        <f t="shared" si="8"/>
        <v>1.6035116008241479E-2</v>
      </c>
    </row>
    <row r="591" spans="1:7">
      <c r="A591" s="52">
        <v>111.4</v>
      </c>
      <c r="B591" s="52">
        <v>113.42</v>
      </c>
      <c r="C591" s="52">
        <v>109.78</v>
      </c>
      <c r="D591" s="52">
        <v>111</v>
      </c>
      <c r="E591" s="52">
        <v>869857</v>
      </c>
      <c r="F591" s="52" t="s">
        <v>598</v>
      </c>
      <c r="G591" s="25">
        <f t="shared" si="8"/>
        <v>3.6036036036035668E-3</v>
      </c>
    </row>
    <row r="592" spans="1:7">
      <c r="A592" s="52">
        <v>111.2</v>
      </c>
      <c r="B592" s="52">
        <v>113.9628</v>
      </c>
      <c r="C592" s="52">
        <v>111</v>
      </c>
      <c r="D592" s="52">
        <v>113.18</v>
      </c>
      <c r="E592" s="52">
        <v>1012591</v>
      </c>
      <c r="F592" s="52" t="s">
        <v>599</v>
      </c>
      <c r="G592" s="25">
        <f t="shared" si="8"/>
        <v>-1.749425693585438E-2</v>
      </c>
    </row>
    <row r="593" spans="1:7">
      <c r="A593" s="52">
        <v>113</v>
      </c>
      <c r="B593" s="52">
        <v>114.985</v>
      </c>
      <c r="C593" s="52">
        <v>111.78</v>
      </c>
      <c r="D593" s="52">
        <v>114.55</v>
      </c>
      <c r="E593" s="52">
        <v>753839</v>
      </c>
      <c r="F593" s="52" t="s">
        <v>600</v>
      </c>
      <c r="G593" s="25">
        <f t="shared" si="8"/>
        <v>-1.3531209079004736E-2</v>
      </c>
    </row>
    <row r="594" spans="1:7">
      <c r="A594" s="52">
        <v>113.82</v>
      </c>
      <c r="B594" s="52">
        <v>118.32</v>
      </c>
      <c r="C594" s="52">
        <v>112.77</v>
      </c>
      <c r="D594" s="52">
        <v>118.32</v>
      </c>
      <c r="E594" s="52">
        <v>937919</v>
      </c>
      <c r="F594" s="52" t="s">
        <v>601</v>
      </c>
      <c r="G594" s="25">
        <f t="shared" si="8"/>
        <v>-3.8032454361054735E-2</v>
      </c>
    </row>
    <row r="595" spans="1:7">
      <c r="A595" s="52">
        <v>118.65</v>
      </c>
      <c r="B595" s="52">
        <v>119.985</v>
      </c>
      <c r="C595" s="52">
        <v>116.57</v>
      </c>
      <c r="D595" s="52">
        <v>117</v>
      </c>
      <c r="E595" s="52">
        <v>710316</v>
      </c>
      <c r="F595" s="52" t="s">
        <v>602</v>
      </c>
      <c r="G595" s="25">
        <f t="shared" si="8"/>
        <v>1.4102564102564052E-2</v>
      </c>
    </row>
    <row r="596" spans="1:7">
      <c r="A596" s="52">
        <v>117.55</v>
      </c>
      <c r="B596" s="52">
        <v>119.06</v>
      </c>
      <c r="C596" s="52">
        <v>116.44</v>
      </c>
      <c r="D596" s="52">
        <v>117.75</v>
      </c>
      <c r="E596" s="52">
        <v>664279</v>
      </c>
      <c r="F596" s="52" t="s">
        <v>603</v>
      </c>
      <c r="G596" s="25">
        <f t="shared" si="8"/>
        <v>-1.6985138004246281E-3</v>
      </c>
    </row>
    <row r="597" spans="1:7">
      <c r="A597" s="52">
        <v>117.96</v>
      </c>
      <c r="B597" s="52">
        <v>118.73</v>
      </c>
      <c r="C597" s="52">
        <v>114.12</v>
      </c>
      <c r="D597" s="52">
        <v>116.7</v>
      </c>
      <c r="E597" s="52">
        <v>780404</v>
      </c>
      <c r="F597" s="52" t="s">
        <v>604</v>
      </c>
      <c r="G597" s="25">
        <f t="shared" si="8"/>
        <v>1.0796915167095023E-2</v>
      </c>
    </row>
    <row r="598" spans="1:7">
      <c r="A598" s="52">
        <v>117.21</v>
      </c>
      <c r="B598" s="52">
        <v>125</v>
      </c>
      <c r="C598" s="52">
        <v>116.82</v>
      </c>
      <c r="D598" s="52">
        <v>125</v>
      </c>
      <c r="E598" s="52">
        <v>1120421</v>
      </c>
      <c r="F598" s="52" t="s">
        <v>605</v>
      </c>
      <c r="G598" s="25">
        <f t="shared" si="8"/>
        <v>-6.2320000000000042E-2</v>
      </c>
    </row>
    <row r="599" spans="1:7">
      <c r="A599" s="52">
        <v>124.76</v>
      </c>
      <c r="B599" s="52">
        <v>124.85</v>
      </c>
      <c r="C599" s="52">
        <v>122.4</v>
      </c>
      <c r="D599" s="52">
        <v>122.9</v>
      </c>
      <c r="E599" s="52">
        <v>781923</v>
      </c>
      <c r="F599" s="52" t="s">
        <v>606</v>
      </c>
      <c r="G599" s="25">
        <f t="shared" si="8"/>
        <v>1.513425549227021E-2</v>
      </c>
    </row>
    <row r="600" spans="1:7">
      <c r="A600" s="52">
        <v>122.86</v>
      </c>
      <c r="B600" s="52">
        <v>124.0099</v>
      </c>
      <c r="C600" s="52">
        <v>121.5</v>
      </c>
      <c r="D600" s="52">
        <v>123.4</v>
      </c>
      <c r="E600" s="52">
        <v>1456409</v>
      </c>
      <c r="F600" s="52" t="s">
        <v>607</v>
      </c>
      <c r="G600" s="25">
        <f t="shared" si="8"/>
        <v>-4.3760129659643487E-3</v>
      </c>
    </row>
    <row r="601" spans="1:7">
      <c r="A601" s="52">
        <v>123.43</v>
      </c>
      <c r="B601" s="52">
        <v>124.1</v>
      </c>
      <c r="C601" s="52">
        <v>121.12</v>
      </c>
      <c r="D601" s="52">
        <v>122.97</v>
      </c>
      <c r="E601" s="52">
        <v>1012847</v>
      </c>
      <c r="F601" s="52" t="s">
        <v>608</v>
      </c>
      <c r="G601" s="25">
        <f t="shared" si="8"/>
        <v>3.7407497763681796E-3</v>
      </c>
    </row>
    <row r="602" spans="1:7">
      <c r="A602" s="52">
        <v>123.94</v>
      </c>
      <c r="B602" s="52">
        <v>124.16</v>
      </c>
      <c r="C602" s="52">
        <v>119.85</v>
      </c>
      <c r="D602" s="52">
        <v>120.79</v>
      </c>
      <c r="E602" s="52">
        <v>879476</v>
      </c>
      <c r="F602" s="52" t="s">
        <v>609</v>
      </c>
      <c r="G602" s="25">
        <f t="shared" si="8"/>
        <v>2.6078317741534907E-2</v>
      </c>
    </row>
    <row r="603" spans="1:7">
      <c r="A603" s="52">
        <v>121.41</v>
      </c>
      <c r="B603" s="52">
        <v>122.655</v>
      </c>
      <c r="C603" s="52">
        <v>117</v>
      </c>
      <c r="D603" s="52">
        <v>117.89</v>
      </c>
      <c r="E603" s="52">
        <v>1111735</v>
      </c>
      <c r="F603" s="52" t="s">
        <v>610</v>
      </c>
      <c r="G603" s="25">
        <f t="shared" si="8"/>
        <v>2.9858342522690595E-2</v>
      </c>
    </row>
    <row r="604" spans="1:7">
      <c r="A604" s="52">
        <v>117.81</v>
      </c>
      <c r="B604" s="52">
        <v>120.63</v>
      </c>
      <c r="C604" s="52">
        <v>116.815</v>
      </c>
      <c r="D604" s="52">
        <v>119.99</v>
      </c>
      <c r="E604" s="52">
        <v>1409372</v>
      </c>
      <c r="F604" s="52" t="s">
        <v>611</v>
      </c>
      <c r="G604" s="25">
        <f t="shared" si="8"/>
        <v>-1.8168180681723434E-2</v>
      </c>
    </row>
    <row r="605" spans="1:7">
      <c r="A605" s="52">
        <v>120.45</v>
      </c>
      <c r="B605" s="52">
        <v>121.075</v>
      </c>
      <c r="C605" s="52">
        <v>117.71</v>
      </c>
      <c r="D605" s="52">
        <v>117.97</v>
      </c>
      <c r="E605" s="52">
        <v>916399</v>
      </c>
      <c r="F605" s="52" t="s">
        <v>612</v>
      </c>
      <c r="G605" s="25">
        <f t="shared" si="8"/>
        <v>2.1022293803509395E-2</v>
      </c>
    </row>
    <row r="606" spans="1:7">
      <c r="A606" s="52">
        <v>118.59</v>
      </c>
      <c r="B606" s="52">
        <v>121.67</v>
      </c>
      <c r="C606" s="52">
        <v>118.09</v>
      </c>
      <c r="D606" s="52">
        <v>120.4</v>
      </c>
      <c r="E606" s="52">
        <v>916815</v>
      </c>
      <c r="F606" s="52" t="s">
        <v>613</v>
      </c>
      <c r="G606" s="25">
        <f t="shared" si="8"/>
        <v>-1.5033222591362194E-2</v>
      </c>
    </row>
    <row r="607" spans="1:7">
      <c r="A607" s="52">
        <v>121.22</v>
      </c>
      <c r="B607" s="52">
        <v>124.1</v>
      </c>
      <c r="C607" s="52">
        <v>120.84</v>
      </c>
      <c r="D607" s="52">
        <v>124</v>
      </c>
      <c r="E607" s="52">
        <v>782490</v>
      </c>
      <c r="F607" s="52" t="s">
        <v>614</v>
      </c>
      <c r="G607" s="25">
        <f t="shared" si="8"/>
        <v>-2.2419354838709715E-2</v>
      </c>
    </row>
    <row r="608" spans="1:7">
      <c r="A608" s="52">
        <v>123.59</v>
      </c>
      <c r="B608" s="52">
        <v>124.51</v>
      </c>
      <c r="C608" s="52">
        <v>121.3078</v>
      </c>
      <c r="D608" s="52">
        <v>122.94</v>
      </c>
      <c r="E608" s="52">
        <v>936882</v>
      </c>
      <c r="F608" s="52" t="s">
        <v>615</v>
      </c>
      <c r="G608" s="25">
        <f t="shared" si="8"/>
        <v>5.2871319342768786E-3</v>
      </c>
    </row>
    <row r="609" spans="1:7">
      <c r="A609" s="52">
        <v>123.44</v>
      </c>
      <c r="B609" s="52">
        <v>124.15</v>
      </c>
      <c r="C609" s="52">
        <v>119.34</v>
      </c>
      <c r="D609" s="52">
        <v>120.52</v>
      </c>
      <c r="E609" s="52">
        <v>857954</v>
      </c>
      <c r="F609" s="52" t="s">
        <v>616</v>
      </c>
      <c r="G609" s="25">
        <f t="shared" si="8"/>
        <v>2.422834384334549E-2</v>
      </c>
    </row>
    <row r="610" spans="1:7">
      <c r="A610" s="52">
        <v>119.41</v>
      </c>
      <c r="B610" s="52">
        <v>119.94</v>
      </c>
      <c r="C610" s="52">
        <v>114.92</v>
      </c>
      <c r="D610" s="52">
        <v>114.92</v>
      </c>
      <c r="E610" s="52">
        <v>807590</v>
      </c>
      <c r="F610" s="52" t="s">
        <v>617</v>
      </c>
      <c r="G610" s="25">
        <f t="shared" si="8"/>
        <v>3.9070657848938373E-2</v>
      </c>
    </row>
    <row r="611" spans="1:7">
      <c r="A611" s="52">
        <v>114.74</v>
      </c>
      <c r="B611" s="52">
        <v>120.3</v>
      </c>
      <c r="C611" s="52">
        <v>110.56</v>
      </c>
      <c r="D611" s="52">
        <v>120</v>
      </c>
      <c r="E611" s="52">
        <v>1712917</v>
      </c>
      <c r="F611" s="52" t="s">
        <v>618</v>
      </c>
      <c r="G611" s="25">
        <f t="shared" si="8"/>
        <v>-4.3833333333333391E-2</v>
      </c>
    </row>
    <row r="612" spans="1:7">
      <c r="A612" s="52">
        <v>119.93</v>
      </c>
      <c r="B612" s="52">
        <v>121.82</v>
      </c>
      <c r="C612" s="52">
        <v>119.6474</v>
      </c>
      <c r="D612" s="52">
        <v>120</v>
      </c>
      <c r="E612" s="52">
        <v>553449</v>
      </c>
      <c r="F612" s="52" t="s">
        <v>619</v>
      </c>
      <c r="G612" s="25">
        <f t="shared" si="8"/>
        <v>-5.8333333333326909E-4</v>
      </c>
    </row>
    <row r="613" spans="1:7">
      <c r="A613" s="52">
        <v>119.55</v>
      </c>
      <c r="B613" s="52">
        <v>119.795</v>
      </c>
      <c r="C613" s="52">
        <v>117.27</v>
      </c>
      <c r="D613" s="52">
        <v>117.32</v>
      </c>
      <c r="E613" s="52">
        <v>838200</v>
      </c>
      <c r="F613" s="52" t="s">
        <v>620</v>
      </c>
      <c r="G613" s="25">
        <f t="shared" si="8"/>
        <v>1.900784180020465E-2</v>
      </c>
    </row>
    <row r="614" spans="1:7">
      <c r="A614" s="52">
        <v>117.97</v>
      </c>
      <c r="B614" s="52">
        <v>118.85</v>
      </c>
      <c r="C614" s="52">
        <v>117.41</v>
      </c>
      <c r="D614" s="52">
        <v>118.85</v>
      </c>
      <c r="E614" s="52">
        <v>732301</v>
      </c>
      <c r="F614" s="52" t="s">
        <v>621</v>
      </c>
      <c r="G614" s="25">
        <f t="shared" si="8"/>
        <v>-7.4042911232645725E-3</v>
      </c>
    </row>
    <row r="615" spans="1:7">
      <c r="A615" s="52">
        <v>119.11</v>
      </c>
      <c r="B615" s="52">
        <v>120.1058</v>
      </c>
      <c r="C615" s="52">
        <v>118.1</v>
      </c>
      <c r="D615" s="52">
        <v>118.66</v>
      </c>
      <c r="E615" s="52">
        <v>727003</v>
      </c>
      <c r="F615" s="52" t="s">
        <v>622</v>
      </c>
      <c r="G615" s="25">
        <f t="shared" si="8"/>
        <v>3.7923478847126102E-3</v>
      </c>
    </row>
    <row r="616" spans="1:7">
      <c r="A616" s="52">
        <v>118.05</v>
      </c>
      <c r="B616" s="52">
        <v>118.65</v>
      </c>
      <c r="C616" s="52">
        <v>116.98</v>
      </c>
      <c r="D616" s="52">
        <v>117.79</v>
      </c>
      <c r="E616" s="52">
        <v>722219</v>
      </c>
      <c r="F616" s="52" t="s">
        <v>623</v>
      </c>
      <c r="G616" s="25">
        <f t="shared" si="8"/>
        <v>2.2073181084980575E-3</v>
      </c>
    </row>
    <row r="617" spans="1:7">
      <c r="A617" s="52">
        <v>118.4</v>
      </c>
      <c r="B617" s="52">
        <v>120.05</v>
      </c>
      <c r="C617" s="52">
        <v>117.4</v>
      </c>
      <c r="D617" s="52">
        <v>119.4</v>
      </c>
      <c r="E617" s="52">
        <v>1031400</v>
      </c>
      <c r="F617" s="52" t="s">
        <v>624</v>
      </c>
      <c r="G617" s="25">
        <f t="shared" si="8"/>
        <v>-8.3752093802345051E-3</v>
      </c>
    </row>
    <row r="618" spans="1:7">
      <c r="A618" s="52">
        <v>119.72</v>
      </c>
      <c r="B618" s="52">
        <v>120.48</v>
      </c>
      <c r="C618" s="52">
        <v>119</v>
      </c>
      <c r="D618" s="52">
        <v>119.47</v>
      </c>
      <c r="E618" s="52">
        <v>628981</v>
      </c>
      <c r="F618" s="52" t="s">
        <v>625</v>
      </c>
      <c r="G618" s="25">
        <f t="shared" si="8"/>
        <v>2.0925755419771708E-3</v>
      </c>
    </row>
    <row r="619" spans="1:7">
      <c r="A619" s="52">
        <v>118.98</v>
      </c>
      <c r="B619" s="52">
        <v>120.53</v>
      </c>
      <c r="C619" s="52">
        <v>118.03</v>
      </c>
      <c r="D619" s="52">
        <v>119.69</v>
      </c>
      <c r="E619" s="52">
        <v>536332</v>
      </c>
      <c r="F619" s="52" t="s">
        <v>626</v>
      </c>
      <c r="G619" s="25">
        <f t="shared" si="8"/>
        <v>-5.9319909766897272E-3</v>
      </c>
    </row>
    <row r="620" spans="1:7">
      <c r="A620" s="52">
        <v>119.85</v>
      </c>
      <c r="B620" s="52">
        <v>120.7925</v>
      </c>
      <c r="C620" s="52">
        <v>117.88</v>
      </c>
      <c r="D620" s="52">
        <v>118.03</v>
      </c>
      <c r="E620" s="52">
        <v>653302</v>
      </c>
      <c r="F620" s="52" t="s">
        <v>627</v>
      </c>
      <c r="G620" s="25">
        <f t="shared" si="8"/>
        <v>1.541980852325664E-2</v>
      </c>
    </row>
    <row r="621" spans="1:7">
      <c r="A621" s="52">
        <v>118.4</v>
      </c>
      <c r="B621" s="52">
        <v>120.63</v>
      </c>
      <c r="C621" s="52">
        <v>118.22</v>
      </c>
      <c r="D621" s="52">
        <v>120.05</v>
      </c>
      <c r="E621" s="52">
        <v>801349</v>
      </c>
      <c r="F621" s="52" t="s">
        <v>628</v>
      </c>
      <c r="G621" s="25">
        <f t="shared" si="8"/>
        <v>-1.3744273219491787E-2</v>
      </c>
    </row>
    <row r="622" spans="1:7">
      <c r="A622" s="52">
        <v>119.91</v>
      </c>
      <c r="B622" s="52">
        <v>122.54989999999999</v>
      </c>
      <c r="C622" s="52">
        <v>119.45</v>
      </c>
      <c r="D622" s="52">
        <v>121.89</v>
      </c>
      <c r="E622" s="52">
        <v>675539</v>
      </c>
      <c r="F622" s="52" t="s">
        <v>629</v>
      </c>
      <c r="G622" s="25">
        <f t="shared" si="8"/>
        <v>-1.6244154565591917E-2</v>
      </c>
    </row>
    <row r="623" spans="1:7">
      <c r="A623" s="52">
        <v>122</v>
      </c>
      <c r="B623" s="52">
        <v>122.87</v>
      </c>
      <c r="C623" s="52">
        <v>121.65</v>
      </c>
      <c r="D623" s="52">
        <v>122.62</v>
      </c>
      <c r="E623" s="52">
        <v>690198</v>
      </c>
      <c r="F623" s="52" t="s">
        <v>630</v>
      </c>
      <c r="G623" s="25">
        <f t="shared" si="8"/>
        <v>-5.0562714076007875E-3</v>
      </c>
    </row>
    <row r="624" spans="1:7">
      <c r="A624" s="52">
        <v>122.86</v>
      </c>
      <c r="B624" s="52">
        <v>123.17</v>
      </c>
      <c r="C624" s="52">
        <v>120.16079999999999</v>
      </c>
      <c r="D624" s="52">
        <v>120.77</v>
      </c>
      <c r="E624" s="52">
        <v>1115090</v>
      </c>
      <c r="F624" s="52" t="s">
        <v>631</v>
      </c>
      <c r="G624" s="25">
        <f t="shared" si="8"/>
        <v>1.7305622257183018E-2</v>
      </c>
    </row>
    <row r="625" spans="1:7">
      <c r="A625" s="52">
        <v>120.57</v>
      </c>
      <c r="B625" s="52">
        <v>122.55</v>
      </c>
      <c r="C625" s="52">
        <v>119.36</v>
      </c>
      <c r="D625" s="52">
        <v>122.04</v>
      </c>
      <c r="E625" s="52">
        <v>913593</v>
      </c>
      <c r="F625" s="52" t="s">
        <v>632</v>
      </c>
      <c r="G625" s="25">
        <f t="shared" si="8"/>
        <v>-1.2045231071779905E-2</v>
      </c>
    </row>
    <row r="626" spans="1:7">
      <c r="A626" s="52">
        <v>122.51</v>
      </c>
      <c r="B626" s="52">
        <v>123.34</v>
      </c>
      <c r="C626" s="52">
        <v>121.17</v>
      </c>
      <c r="D626" s="52">
        <v>121.53</v>
      </c>
      <c r="E626" s="52">
        <v>596173</v>
      </c>
      <c r="F626" s="52" t="s">
        <v>633</v>
      </c>
      <c r="G626" s="25">
        <f t="shared" si="8"/>
        <v>8.0638525466962818E-3</v>
      </c>
    </row>
    <row r="627" spans="1:7">
      <c r="A627" s="52">
        <v>121.01</v>
      </c>
      <c r="B627" s="52">
        <v>121.4</v>
      </c>
      <c r="C627" s="52">
        <v>119.35</v>
      </c>
      <c r="D627" s="52">
        <v>119.83</v>
      </c>
      <c r="E627" s="52">
        <v>755161</v>
      </c>
      <c r="F627" s="52" t="s">
        <v>634</v>
      </c>
      <c r="G627" s="25">
        <f t="shared" si="8"/>
        <v>9.8472836518401774E-3</v>
      </c>
    </row>
    <row r="628" spans="1:7">
      <c r="A628" s="52">
        <v>119.73</v>
      </c>
      <c r="B628" s="52">
        <v>120.735</v>
      </c>
      <c r="C628" s="52">
        <v>119.145</v>
      </c>
      <c r="D628" s="52">
        <v>120.11</v>
      </c>
      <c r="E628" s="52">
        <v>917840</v>
      </c>
      <c r="F628" s="52" t="s">
        <v>635</v>
      </c>
      <c r="G628" s="25">
        <f t="shared" ref="G628:G691" si="9">A628/D628-1</f>
        <v>-3.1637665473315257E-3</v>
      </c>
    </row>
    <row r="629" spans="1:7">
      <c r="A629" s="52">
        <v>120.02</v>
      </c>
      <c r="B629" s="52">
        <v>121.22499999999999</v>
      </c>
      <c r="C629" s="52">
        <v>118.63</v>
      </c>
      <c r="D629" s="52">
        <v>118.9</v>
      </c>
      <c r="E629" s="52">
        <v>610044</v>
      </c>
      <c r="F629" s="52" t="s">
        <v>636</v>
      </c>
      <c r="G629" s="25">
        <f t="shared" si="9"/>
        <v>9.4196804037005588E-3</v>
      </c>
    </row>
    <row r="630" spans="1:7">
      <c r="A630" s="52">
        <v>118.6</v>
      </c>
      <c r="B630" s="52">
        <v>119.69</v>
      </c>
      <c r="C630" s="52">
        <v>117.245</v>
      </c>
      <c r="D630" s="52">
        <v>119.69</v>
      </c>
      <c r="E630" s="52">
        <v>895500</v>
      </c>
      <c r="F630" s="52" t="s">
        <v>637</v>
      </c>
      <c r="G630" s="25">
        <f t="shared" si="9"/>
        <v>-9.1068593867491554E-3</v>
      </c>
    </row>
    <row r="631" spans="1:7">
      <c r="A631" s="52">
        <v>119</v>
      </c>
      <c r="B631" s="52">
        <v>119.745</v>
      </c>
      <c r="C631" s="52">
        <v>115.61499999999999</v>
      </c>
      <c r="D631" s="52">
        <v>116.66</v>
      </c>
      <c r="E631" s="52">
        <v>1289542</v>
      </c>
      <c r="F631" s="52" t="s">
        <v>638</v>
      </c>
      <c r="G631" s="25">
        <f t="shared" si="9"/>
        <v>2.0058289045088218E-2</v>
      </c>
    </row>
    <row r="632" spans="1:7">
      <c r="A632" s="52">
        <v>116</v>
      </c>
      <c r="B632" s="52">
        <v>116.87</v>
      </c>
      <c r="C632" s="52">
        <v>113.55500000000001</v>
      </c>
      <c r="D632" s="52">
        <v>114.46</v>
      </c>
      <c r="E632" s="52">
        <v>756721</v>
      </c>
      <c r="F632" s="52" t="s">
        <v>639</v>
      </c>
      <c r="G632" s="25">
        <f t="shared" si="9"/>
        <v>1.3454481915079475E-2</v>
      </c>
    </row>
    <row r="633" spans="1:7">
      <c r="A633" s="52">
        <v>114.46</v>
      </c>
      <c r="B633" s="52">
        <v>115.52</v>
      </c>
      <c r="C633" s="52">
        <v>113.45010000000001</v>
      </c>
      <c r="D633" s="52">
        <v>114.5</v>
      </c>
      <c r="E633" s="52">
        <v>720915</v>
      </c>
      <c r="F633" s="52" t="s">
        <v>640</v>
      </c>
      <c r="G633" s="25">
        <f t="shared" si="9"/>
        <v>-3.4934497816596632E-4</v>
      </c>
    </row>
    <row r="634" spans="1:7">
      <c r="A634" s="52">
        <v>113.69</v>
      </c>
      <c r="B634" s="52">
        <v>114.17</v>
      </c>
      <c r="C634" s="52">
        <v>112.23</v>
      </c>
      <c r="D634" s="52">
        <v>113.3</v>
      </c>
      <c r="E634" s="52">
        <v>431688</v>
      </c>
      <c r="F634" s="52" t="s">
        <v>641</v>
      </c>
      <c r="G634" s="25">
        <f t="shared" si="9"/>
        <v>3.4421888790820976E-3</v>
      </c>
    </row>
    <row r="635" spans="1:7">
      <c r="A635" s="52">
        <v>113.76</v>
      </c>
      <c r="B635" s="52">
        <v>114.26900000000001</v>
      </c>
      <c r="C635" s="52">
        <v>111.315</v>
      </c>
      <c r="D635" s="52">
        <v>112.09</v>
      </c>
      <c r="E635" s="52">
        <v>551306</v>
      </c>
      <c r="F635" s="52" t="s">
        <v>642</v>
      </c>
      <c r="G635" s="25">
        <f t="shared" si="9"/>
        <v>1.4898742082255279E-2</v>
      </c>
    </row>
    <row r="636" spans="1:7">
      <c r="A636" s="52">
        <v>111.89</v>
      </c>
      <c r="B636" s="52">
        <v>112.13</v>
      </c>
      <c r="C636" s="52">
        <v>108.01</v>
      </c>
      <c r="D636" s="52">
        <v>108.8</v>
      </c>
      <c r="E636" s="52">
        <v>1219474</v>
      </c>
      <c r="F636" s="52" t="s">
        <v>643</v>
      </c>
      <c r="G636" s="25">
        <f t="shared" si="9"/>
        <v>2.8400735294117574E-2</v>
      </c>
    </row>
    <row r="637" spans="1:7">
      <c r="A637" s="52">
        <v>110.92</v>
      </c>
      <c r="B637" s="52">
        <v>114.36</v>
      </c>
      <c r="C637" s="52">
        <v>109.73</v>
      </c>
      <c r="D637" s="52">
        <v>114.15</v>
      </c>
      <c r="E637" s="52">
        <v>813318</v>
      </c>
      <c r="F637" s="52" t="s">
        <v>644</v>
      </c>
      <c r="G637" s="25">
        <f t="shared" si="9"/>
        <v>-2.829610162067453E-2</v>
      </c>
    </row>
    <row r="638" spans="1:7">
      <c r="A638" s="52">
        <v>113.97</v>
      </c>
      <c r="B638" s="52">
        <v>114.91</v>
      </c>
      <c r="C638" s="52">
        <v>112.78</v>
      </c>
      <c r="D638" s="52">
        <v>113</v>
      </c>
      <c r="E638" s="52">
        <v>1216018</v>
      </c>
      <c r="F638" s="52" t="s">
        <v>645</v>
      </c>
      <c r="G638" s="25">
        <f t="shared" si="9"/>
        <v>8.5840707964601748E-3</v>
      </c>
    </row>
    <row r="639" spans="1:7">
      <c r="A639" s="52">
        <v>114.08</v>
      </c>
      <c r="B639" s="52">
        <v>114.65</v>
      </c>
      <c r="C639" s="52">
        <v>112.32</v>
      </c>
      <c r="D639" s="52">
        <v>112.75</v>
      </c>
      <c r="E639" s="52">
        <v>1172724</v>
      </c>
      <c r="F639" s="52" t="s">
        <v>646</v>
      </c>
      <c r="G639" s="25">
        <f t="shared" si="9"/>
        <v>1.1796008869179531E-2</v>
      </c>
    </row>
    <row r="640" spans="1:7">
      <c r="A640" s="52">
        <v>112.41</v>
      </c>
      <c r="B640" s="52">
        <v>112.6</v>
      </c>
      <c r="C640" s="52">
        <v>107.28</v>
      </c>
      <c r="D640" s="52">
        <v>108.02</v>
      </c>
      <c r="E640" s="52">
        <v>1078197</v>
      </c>
      <c r="F640" s="52" t="s">
        <v>647</v>
      </c>
      <c r="G640" s="25">
        <f t="shared" si="9"/>
        <v>4.0640622107017244E-2</v>
      </c>
    </row>
    <row r="641" spans="1:7">
      <c r="A641" s="52">
        <v>108.02</v>
      </c>
      <c r="B641" s="52">
        <v>111.77</v>
      </c>
      <c r="C641" s="52">
        <v>107.54</v>
      </c>
      <c r="D641" s="52">
        <v>108.02</v>
      </c>
      <c r="E641" s="52">
        <v>1887149</v>
      </c>
      <c r="F641" s="52" t="s">
        <v>648</v>
      </c>
      <c r="G641" s="25">
        <f t="shared" si="9"/>
        <v>0</v>
      </c>
    </row>
    <row r="642" spans="1:7">
      <c r="A642" s="52">
        <v>106</v>
      </c>
      <c r="B642" s="52">
        <v>106.84</v>
      </c>
      <c r="C642" s="52">
        <v>103.99</v>
      </c>
      <c r="D642" s="52">
        <v>104.14</v>
      </c>
      <c r="E642" s="52">
        <v>1283604</v>
      </c>
      <c r="F642" s="52" t="s">
        <v>649</v>
      </c>
      <c r="G642" s="25">
        <f t="shared" si="9"/>
        <v>1.7860572306510392E-2</v>
      </c>
    </row>
    <row r="643" spans="1:7">
      <c r="A643" s="52">
        <v>103.36</v>
      </c>
      <c r="B643" s="52">
        <v>104.325</v>
      </c>
      <c r="C643" s="52">
        <v>102.51</v>
      </c>
      <c r="D643" s="52">
        <v>103.74</v>
      </c>
      <c r="E643" s="52">
        <v>694789</v>
      </c>
      <c r="F643" s="52" t="s">
        <v>650</v>
      </c>
      <c r="G643" s="25">
        <f t="shared" si="9"/>
        <v>-3.66300366300365E-3</v>
      </c>
    </row>
    <row r="644" spans="1:7">
      <c r="A644" s="52">
        <v>103.1</v>
      </c>
      <c r="B644" s="52">
        <v>103.87</v>
      </c>
      <c r="C644" s="52">
        <v>100.72499999999999</v>
      </c>
      <c r="D644" s="52">
        <v>102.95</v>
      </c>
      <c r="E644" s="52">
        <v>940683</v>
      </c>
      <c r="F644" s="52" t="s">
        <v>651</v>
      </c>
      <c r="G644" s="25">
        <f t="shared" si="9"/>
        <v>1.4570179698882857E-3</v>
      </c>
    </row>
    <row r="645" spans="1:7">
      <c r="A645" s="52">
        <v>102.5</v>
      </c>
      <c r="B645" s="52">
        <v>105.5</v>
      </c>
      <c r="C645" s="52">
        <v>101.6001</v>
      </c>
      <c r="D645" s="52">
        <v>105</v>
      </c>
      <c r="E645" s="52">
        <v>1026034</v>
      </c>
      <c r="F645" s="52" t="s">
        <v>652</v>
      </c>
      <c r="G645" s="25">
        <f t="shared" si="9"/>
        <v>-2.3809523809523836E-2</v>
      </c>
    </row>
    <row r="646" spans="1:7">
      <c r="A646" s="52">
        <v>105.31</v>
      </c>
      <c r="B646" s="52">
        <v>107.11499999999999</v>
      </c>
      <c r="C646" s="52">
        <v>105.14</v>
      </c>
      <c r="D646" s="52">
        <v>106.8</v>
      </c>
      <c r="E646" s="52">
        <v>757422</v>
      </c>
      <c r="F646" s="52" t="s">
        <v>653</v>
      </c>
      <c r="G646" s="25">
        <f t="shared" si="9"/>
        <v>-1.3951310861423205E-2</v>
      </c>
    </row>
    <row r="647" spans="1:7">
      <c r="A647" s="52">
        <v>107.35</v>
      </c>
      <c r="B647" s="52">
        <v>114.14</v>
      </c>
      <c r="C647" s="52">
        <v>106.2</v>
      </c>
      <c r="D647" s="52">
        <v>108.04</v>
      </c>
      <c r="E647" s="52">
        <v>1384563</v>
      </c>
      <c r="F647" s="52" t="s">
        <v>654</v>
      </c>
      <c r="G647" s="25">
        <f t="shared" si="9"/>
        <v>-6.3865235098112816E-3</v>
      </c>
    </row>
    <row r="648" spans="1:7">
      <c r="A648" s="52">
        <v>105.19</v>
      </c>
      <c r="B648" s="52">
        <v>107.1</v>
      </c>
      <c r="C648" s="52">
        <v>104.85</v>
      </c>
      <c r="D648" s="52">
        <v>106.79</v>
      </c>
      <c r="E648" s="52">
        <v>1001850</v>
      </c>
      <c r="F648" s="52" t="s">
        <v>655</v>
      </c>
      <c r="G648" s="25">
        <f t="shared" si="9"/>
        <v>-1.4982676280550722E-2</v>
      </c>
    </row>
    <row r="649" spans="1:7">
      <c r="A649" s="52">
        <v>107.53</v>
      </c>
      <c r="B649" s="52">
        <v>108.03</v>
      </c>
      <c r="C649" s="52">
        <v>105.5</v>
      </c>
      <c r="D649" s="52">
        <v>108</v>
      </c>
      <c r="E649" s="52">
        <v>866935</v>
      </c>
      <c r="F649" s="52" t="s">
        <v>656</v>
      </c>
      <c r="G649" s="25">
        <f t="shared" si="9"/>
        <v>-4.351851851851829E-3</v>
      </c>
    </row>
    <row r="650" spans="1:7">
      <c r="A650" s="52">
        <v>108.39</v>
      </c>
      <c r="B650" s="52">
        <v>109.49</v>
      </c>
      <c r="C650" s="52">
        <v>108.04</v>
      </c>
      <c r="D650" s="52">
        <v>108.61</v>
      </c>
      <c r="E650" s="52">
        <v>806521</v>
      </c>
      <c r="F650" s="52" t="s">
        <v>657</v>
      </c>
      <c r="G650" s="25">
        <f t="shared" si="9"/>
        <v>-2.0255961697818181E-3</v>
      </c>
    </row>
    <row r="651" spans="1:7">
      <c r="A651" s="52">
        <v>108.53</v>
      </c>
      <c r="B651" s="52">
        <v>109.48</v>
      </c>
      <c r="C651" s="52">
        <v>105.61</v>
      </c>
      <c r="D651" s="52">
        <v>106.47</v>
      </c>
      <c r="E651" s="52">
        <v>965331</v>
      </c>
      <c r="F651" s="52" t="s">
        <v>658</v>
      </c>
      <c r="G651" s="25">
        <f t="shared" si="9"/>
        <v>1.9348173194327023E-2</v>
      </c>
    </row>
    <row r="652" spans="1:7">
      <c r="A652" s="52">
        <v>105.52</v>
      </c>
      <c r="B652" s="52">
        <v>105.63500000000001</v>
      </c>
      <c r="C652" s="52">
        <v>102.53</v>
      </c>
      <c r="D652" s="52">
        <v>105.07</v>
      </c>
      <c r="E652" s="52">
        <v>1373463</v>
      </c>
      <c r="F652" s="52" t="s">
        <v>659</v>
      </c>
      <c r="G652" s="25">
        <f t="shared" si="9"/>
        <v>4.2828590463501737E-3</v>
      </c>
    </row>
    <row r="653" spans="1:7">
      <c r="A653" s="52">
        <v>104.13</v>
      </c>
      <c r="B653" s="52">
        <v>105.48</v>
      </c>
      <c r="C653" s="52">
        <v>102.69</v>
      </c>
      <c r="D653" s="52">
        <v>103.74</v>
      </c>
      <c r="E653" s="52">
        <v>665826</v>
      </c>
      <c r="F653" s="52" t="s">
        <v>660</v>
      </c>
      <c r="G653" s="25">
        <f t="shared" si="9"/>
        <v>3.759398496240518E-3</v>
      </c>
    </row>
    <row r="654" spans="1:7">
      <c r="A654" s="52">
        <v>104.26</v>
      </c>
      <c r="B654" s="52">
        <v>105.4</v>
      </c>
      <c r="C654" s="52">
        <v>103.935</v>
      </c>
      <c r="D654" s="52">
        <v>104.56</v>
      </c>
      <c r="E654" s="52">
        <v>609043</v>
      </c>
      <c r="F654" s="52" t="s">
        <v>661</v>
      </c>
      <c r="G654" s="25">
        <f t="shared" si="9"/>
        <v>-2.8691660290741661E-3</v>
      </c>
    </row>
    <row r="655" spans="1:7">
      <c r="A655" s="52">
        <v>104.49</v>
      </c>
      <c r="B655" s="52">
        <v>106.38</v>
      </c>
      <c r="C655" s="52">
        <v>103.05</v>
      </c>
      <c r="D655" s="52">
        <v>105.81</v>
      </c>
      <c r="E655" s="52">
        <v>1285303</v>
      </c>
      <c r="F655" s="52" t="s">
        <v>662</v>
      </c>
      <c r="G655" s="25">
        <f t="shared" si="9"/>
        <v>-1.2475191380776907E-2</v>
      </c>
    </row>
    <row r="656" spans="1:7">
      <c r="A656" s="52">
        <v>105.87</v>
      </c>
      <c r="B656" s="52">
        <v>107.31</v>
      </c>
      <c r="C656" s="52">
        <v>105.38500000000001</v>
      </c>
      <c r="D656" s="52">
        <v>105.59</v>
      </c>
      <c r="E656" s="52">
        <v>1078327</v>
      </c>
      <c r="F656" s="52" t="s">
        <v>663</v>
      </c>
      <c r="G656" s="25">
        <f t="shared" si="9"/>
        <v>2.6517662657448149E-3</v>
      </c>
    </row>
    <row r="657" spans="1:7">
      <c r="A657" s="52">
        <v>104.81</v>
      </c>
      <c r="B657" s="52">
        <v>106.44</v>
      </c>
      <c r="C657" s="52">
        <v>104.495</v>
      </c>
      <c r="D657" s="52">
        <v>106</v>
      </c>
      <c r="E657" s="52">
        <v>1194679</v>
      </c>
      <c r="F657" s="52" t="s">
        <v>664</v>
      </c>
      <c r="G657" s="25">
        <f t="shared" si="9"/>
        <v>-1.1226415094339637E-2</v>
      </c>
    </row>
    <row r="658" spans="1:7">
      <c r="A658" s="52">
        <v>105.91</v>
      </c>
      <c r="B658" s="52">
        <v>107.68519999999999</v>
      </c>
      <c r="C658" s="52">
        <v>105.65</v>
      </c>
      <c r="D658" s="52">
        <v>107.19</v>
      </c>
      <c r="E658" s="52">
        <v>1403430</v>
      </c>
      <c r="F658" s="52" t="s">
        <v>665</v>
      </c>
      <c r="G658" s="25">
        <f t="shared" si="9"/>
        <v>-1.1941412445190758E-2</v>
      </c>
    </row>
    <row r="659" spans="1:7">
      <c r="A659" s="52">
        <v>106.62</v>
      </c>
      <c r="B659" s="52">
        <v>108.14</v>
      </c>
      <c r="C659" s="52">
        <v>106.54</v>
      </c>
      <c r="D659" s="52">
        <v>107.25</v>
      </c>
      <c r="E659" s="52">
        <v>698930</v>
      </c>
      <c r="F659" s="52" t="s">
        <v>666</v>
      </c>
      <c r="G659" s="25">
        <f t="shared" si="9"/>
        <v>-5.8741258741258351E-3</v>
      </c>
    </row>
    <row r="660" spans="1:7">
      <c r="A660" s="52">
        <v>107.29</v>
      </c>
      <c r="B660" s="52">
        <v>109.91</v>
      </c>
      <c r="C660" s="52">
        <v>107.1</v>
      </c>
      <c r="D660" s="52">
        <v>108.12</v>
      </c>
      <c r="E660" s="52">
        <v>635448</v>
      </c>
      <c r="F660" s="52" t="s">
        <v>667</v>
      </c>
      <c r="G660" s="25">
        <f t="shared" si="9"/>
        <v>-7.676655567887547E-3</v>
      </c>
    </row>
    <row r="661" spans="1:7">
      <c r="A661" s="52">
        <v>107.83499999999999</v>
      </c>
      <c r="B661" s="52">
        <v>109</v>
      </c>
      <c r="C661" s="52">
        <v>106.35</v>
      </c>
      <c r="D661" s="52">
        <v>108.58</v>
      </c>
      <c r="E661" s="52">
        <v>626923</v>
      </c>
      <c r="F661" s="52" t="s">
        <v>668</v>
      </c>
      <c r="G661" s="25">
        <f t="shared" si="9"/>
        <v>-6.8613004236508512E-3</v>
      </c>
    </row>
    <row r="662" spans="1:7">
      <c r="A662" s="52">
        <v>108.5</v>
      </c>
      <c r="B662" s="52">
        <v>109.82</v>
      </c>
      <c r="C662" s="52">
        <v>107.86</v>
      </c>
      <c r="D662" s="52">
        <v>108.33</v>
      </c>
      <c r="E662" s="52">
        <v>617275</v>
      </c>
      <c r="F662" s="52" t="s">
        <v>669</v>
      </c>
      <c r="G662" s="25">
        <f t="shared" si="9"/>
        <v>1.5692790547401358E-3</v>
      </c>
    </row>
    <row r="663" spans="1:7">
      <c r="A663" s="52">
        <v>107.99</v>
      </c>
      <c r="B663" s="52">
        <v>109.74</v>
      </c>
      <c r="C663" s="52">
        <v>106.89</v>
      </c>
      <c r="D663" s="52">
        <v>109.07</v>
      </c>
      <c r="E663" s="52">
        <v>781004</v>
      </c>
      <c r="F663" s="52" t="s">
        <v>670</v>
      </c>
      <c r="G663" s="25">
        <f t="shared" si="9"/>
        <v>-9.9018978637571697E-3</v>
      </c>
    </row>
    <row r="664" spans="1:7">
      <c r="A664" s="52">
        <v>108.5</v>
      </c>
      <c r="B664" s="52">
        <v>109.64</v>
      </c>
      <c r="C664" s="52">
        <v>107.6</v>
      </c>
      <c r="D664" s="52">
        <v>109.64</v>
      </c>
      <c r="E664" s="52">
        <v>945727</v>
      </c>
      <c r="F664" s="52" t="s">
        <v>671</v>
      </c>
      <c r="G664" s="25">
        <f t="shared" si="9"/>
        <v>-1.0397665085735142E-2</v>
      </c>
    </row>
    <row r="665" spans="1:7">
      <c r="A665" s="52">
        <v>109.5</v>
      </c>
      <c r="B665" s="52">
        <v>110.36</v>
      </c>
      <c r="C665" s="52">
        <v>108.46</v>
      </c>
      <c r="D665" s="52">
        <v>108.83</v>
      </c>
      <c r="E665" s="52">
        <v>1182428</v>
      </c>
      <c r="F665" s="52" t="s">
        <v>672</v>
      </c>
      <c r="G665" s="25">
        <f t="shared" si="9"/>
        <v>6.1563907010935282E-3</v>
      </c>
    </row>
    <row r="666" spans="1:7">
      <c r="A666" s="52">
        <v>109</v>
      </c>
      <c r="B666" s="52">
        <v>111.05</v>
      </c>
      <c r="C666" s="52">
        <v>108.59</v>
      </c>
      <c r="D666" s="52">
        <v>110</v>
      </c>
      <c r="E666" s="52">
        <v>842440</v>
      </c>
      <c r="F666" s="52" t="s">
        <v>673</v>
      </c>
      <c r="G666" s="25">
        <f t="shared" si="9"/>
        <v>-9.0909090909090384E-3</v>
      </c>
    </row>
    <row r="667" spans="1:7">
      <c r="A667" s="52">
        <v>110</v>
      </c>
      <c r="B667" s="52">
        <v>111.55</v>
      </c>
      <c r="C667" s="52">
        <v>109</v>
      </c>
      <c r="D667" s="52">
        <v>111.33</v>
      </c>
      <c r="E667" s="52">
        <v>986464</v>
      </c>
      <c r="F667" s="52" t="s">
        <v>674</v>
      </c>
      <c r="G667" s="25">
        <f t="shared" si="9"/>
        <v>-1.1946465463037792E-2</v>
      </c>
    </row>
    <row r="668" spans="1:7">
      <c r="A668" s="52">
        <v>111.89</v>
      </c>
      <c r="B668" s="52">
        <v>114.2</v>
      </c>
      <c r="C668" s="52">
        <v>111.08</v>
      </c>
      <c r="D668" s="52">
        <v>113.57</v>
      </c>
      <c r="E668" s="52">
        <v>789374</v>
      </c>
      <c r="F668" s="52" t="s">
        <v>675</v>
      </c>
      <c r="G668" s="25">
        <f t="shared" si="9"/>
        <v>-1.4792638901118149E-2</v>
      </c>
    </row>
    <row r="669" spans="1:7">
      <c r="A669" s="52">
        <v>113.49</v>
      </c>
      <c r="B669" s="52">
        <v>114.47499999999999</v>
      </c>
      <c r="C669" s="52">
        <v>111.67</v>
      </c>
      <c r="D669" s="52">
        <v>114.06</v>
      </c>
      <c r="E669" s="52">
        <v>504328</v>
      </c>
      <c r="F669" s="52" t="s">
        <v>676</v>
      </c>
      <c r="G669" s="25">
        <f t="shared" si="9"/>
        <v>-4.9973698053656923E-3</v>
      </c>
    </row>
    <row r="670" spans="1:7">
      <c r="A670" s="52">
        <v>114.52</v>
      </c>
      <c r="B670" s="52">
        <v>116.355</v>
      </c>
      <c r="C670" s="52">
        <v>110.2</v>
      </c>
      <c r="D670" s="52">
        <v>112.64</v>
      </c>
      <c r="E670" s="52">
        <v>1668325</v>
      </c>
      <c r="F670" s="52" t="s">
        <v>677</v>
      </c>
      <c r="G670" s="25">
        <f t="shared" si="9"/>
        <v>1.6690340909090828E-2</v>
      </c>
    </row>
    <row r="671" spans="1:7">
      <c r="A671" s="52">
        <v>112.24</v>
      </c>
      <c r="B671" s="52">
        <v>115</v>
      </c>
      <c r="C671" s="52">
        <v>110.99</v>
      </c>
      <c r="D671" s="52">
        <v>111.47</v>
      </c>
      <c r="E671" s="52">
        <v>1622088</v>
      </c>
      <c r="F671" s="52" t="s">
        <v>678</v>
      </c>
      <c r="G671" s="25">
        <f t="shared" si="9"/>
        <v>6.907688167219872E-3</v>
      </c>
    </row>
    <row r="672" spans="1:7">
      <c r="A672" s="52">
        <v>111.91</v>
      </c>
      <c r="B672" s="52">
        <v>113</v>
      </c>
      <c r="C672" s="52">
        <v>105.87</v>
      </c>
      <c r="D672" s="52">
        <v>106.7</v>
      </c>
      <c r="E672" s="52">
        <v>1839441</v>
      </c>
      <c r="F672" s="52" t="s">
        <v>679</v>
      </c>
      <c r="G672" s="25">
        <f t="shared" si="9"/>
        <v>4.8828491096532201E-2</v>
      </c>
    </row>
    <row r="673" spans="1:7">
      <c r="A673" s="52">
        <v>106.4</v>
      </c>
      <c r="B673" s="52">
        <v>107.93</v>
      </c>
      <c r="C673" s="52">
        <v>105.04</v>
      </c>
      <c r="D673" s="52">
        <v>107.47</v>
      </c>
      <c r="E673" s="52">
        <v>1940879</v>
      </c>
      <c r="F673" s="52" t="s">
        <v>680</v>
      </c>
      <c r="G673" s="25">
        <f t="shared" si="9"/>
        <v>-9.9562668651715924E-3</v>
      </c>
    </row>
    <row r="674" spans="1:7">
      <c r="A674" s="52">
        <v>108.28</v>
      </c>
      <c r="B674" s="52">
        <v>114.505</v>
      </c>
      <c r="C674" s="52">
        <v>107.84</v>
      </c>
      <c r="D674" s="52">
        <v>114</v>
      </c>
      <c r="E674" s="52">
        <v>2129684</v>
      </c>
      <c r="F674" s="52" t="s">
        <v>681</v>
      </c>
      <c r="G674" s="25">
        <f t="shared" si="9"/>
        <v>-5.0175438596491206E-2</v>
      </c>
    </row>
    <row r="675" spans="1:7">
      <c r="A675" s="52">
        <v>114.09</v>
      </c>
      <c r="B675" s="52">
        <v>120</v>
      </c>
      <c r="C675" s="52">
        <v>109.0201</v>
      </c>
      <c r="D675" s="52">
        <v>119.96</v>
      </c>
      <c r="E675" s="52">
        <v>4749294</v>
      </c>
      <c r="F675" s="52" t="s">
        <v>682</v>
      </c>
      <c r="G675" s="25">
        <f t="shared" si="9"/>
        <v>-4.8932977659219667E-2</v>
      </c>
    </row>
    <row r="676" spans="1:7">
      <c r="A676" s="52">
        <v>123.92</v>
      </c>
      <c r="B676" s="52">
        <v>130.41999999999999</v>
      </c>
      <c r="C676" s="52">
        <v>122.62</v>
      </c>
      <c r="D676" s="52">
        <v>126.95</v>
      </c>
      <c r="E676" s="52">
        <v>2505281</v>
      </c>
      <c r="F676" s="52" t="s">
        <v>683</v>
      </c>
      <c r="G676" s="25">
        <f t="shared" si="9"/>
        <v>-2.3867664434816915E-2</v>
      </c>
    </row>
    <row r="677" spans="1:7">
      <c r="A677" s="52">
        <v>126.87</v>
      </c>
      <c r="B677" s="52">
        <v>132.41</v>
      </c>
      <c r="C677" s="52">
        <v>126.2</v>
      </c>
      <c r="D677" s="52">
        <v>131.82</v>
      </c>
      <c r="E677" s="52">
        <v>1226140</v>
      </c>
      <c r="F677" s="52" t="s">
        <v>684</v>
      </c>
      <c r="G677" s="25">
        <f t="shared" si="9"/>
        <v>-3.7551206190259312E-2</v>
      </c>
    </row>
    <row r="678" spans="1:7">
      <c r="A678" s="52">
        <v>131.4</v>
      </c>
      <c r="B678" s="52">
        <v>132.04</v>
      </c>
      <c r="C678" s="52">
        <v>128.755</v>
      </c>
      <c r="D678" s="52">
        <v>130.15</v>
      </c>
      <c r="E678" s="52">
        <v>843839</v>
      </c>
      <c r="F678" s="52" t="s">
        <v>685</v>
      </c>
      <c r="G678" s="25">
        <f t="shared" si="9"/>
        <v>9.6043027276220272E-3</v>
      </c>
    </row>
    <row r="679" spans="1:7">
      <c r="A679" s="52">
        <v>130.44</v>
      </c>
      <c r="B679" s="52">
        <v>132.89769999999999</v>
      </c>
      <c r="C679" s="52">
        <v>130.25</v>
      </c>
      <c r="D679" s="52">
        <v>132.75</v>
      </c>
      <c r="E679" s="52">
        <v>1552282</v>
      </c>
      <c r="F679" s="52" t="s">
        <v>686</v>
      </c>
      <c r="G679" s="25">
        <f t="shared" si="9"/>
        <v>-1.7401129943502847E-2</v>
      </c>
    </row>
    <row r="680" spans="1:7">
      <c r="A680" s="52">
        <v>131.61000000000001</v>
      </c>
      <c r="B680" s="52">
        <v>132.54499999999999</v>
      </c>
      <c r="C680" s="52">
        <v>130.25</v>
      </c>
      <c r="D680" s="52">
        <v>130.47999999999999</v>
      </c>
      <c r="E680" s="52">
        <v>695615</v>
      </c>
      <c r="F680" s="52" t="s">
        <v>687</v>
      </c>
      <c r="G680" s="25">
        <f t="shared" si="9"/>
        <v>8.6603310852240156E-3</v>
      </c>
    </row>
    <row r="681" spans="1:7">
      <c r="A681" s="52">
        <v>130.41999999999999</v>
      </c>
      <c r="B681" s="52">
        <v>131.27000000000001</v>
      </c>
      <c r="C681" s="52">
        <v>129.57</v>
      </c>
      <c r="D681" s="52">
        <v>130.04</v>
      </c>
      <c r="E681" s="52">
        <v>708154</v>
      </c>
      <c r="F681" s="52" t="s">
        <v>688</v>
      </c>
      <c r="G681" s="25">
        <f t="shared" si="9"/>
        <v>2.9221777914487657E-3</v>
      </c>
    </row>
    <row r="682" spans="1:7">
      <c r="A682" s="52">
        <v>129.85</v>
      </c>
      <c r="B682" s="52">
        <v>133.69</v>
      </c>
      <c r="C682" s="52">
        <v>129.785</v>
      </c>
      <c r="D682" s="52">
        <v>130.78</v>
      </c>
      <c r="E682" s="52">
        <v>614920</v>
      </c>
      <c r="F682" s="52" t="s">
        <v>689</v>
      </c>
      <c r="G682" s="25">
        <f t="shared" si="9"/>
        <v>-7.1111790793699781E-3</v>
      </c>
    </row>
    <row r="683" spans="1:7">
      <c r="A683" s="52">
        <v>130.07</v>
      </c>
      <c r="B683" s="52">
        <v>130.16</v>
      </c>
      <c r="C683" s="52">
        <v>128.38999999999999</v>
      </c>
      <c r="D683" s="52">
        <v>128.38999999999999</v>
      </c>
      <c r="E683" s="52">
        <v>758350</v>
      </c>
      <c r="F683" s="52" t="s">
        <v>690</v>
      </c>
      <c r="G683" s="25">
        <f t="shared" si="9"/>
        <v>1.3085131240750947E-2</v>
      </c>
    </row>
    <row r="684" spans="1:7">
      <c r="A684" s="52">
        <v>127.67</v>
      </c>
      <c r="B684" s="52">
        <v>130.1</v>
      </c>
      <c r="C684" s="52">
        <v>125.49</v>
      </c>
      <c r="D684" s="52">
        <v>125.88</v>
      </c>
      <c r="E684" s="52">
        <v>757393</v>
      </c>
      <c r="F684" s="52" t="s">
        <v>691</v>
      </c>
      <c r="G684" s="25">
        <f t="shared" si="9"/>
        <v>1.4219891960597364E-2</v>
      </c>
    </row>
    <row r="685" spans="1:7">
      <c r="A685" s="52">
        <v>125.91</v>
      </c>
      <c r="B685" s="52">
        <v>129.07499999999999</v>
      </c>
      <c r="C685" s="52">
        <v>125.79</v>
      </c>
      <c r="D685" s="52">
        <v>127.39</v>
      </c>
      <c r="E685" s="52">
        <v>511377</v>
      </c>
      <c r="F685" s="52" t="s">
        <v>692</v>
      </c>
      <c r="G685" s="25">
        <f t="shared" si="9"/>
        <v>-1.1617866394536547E-2</v>
      </c>
    </row>
    <row r="686" spans="1:7">
      <c r="A686" s="52">
        <v>127.9</v>
      </c>
      <c r="B686" s="52">
        <v>128.80000000000001</v>
      </c>
      <c r="C686" s="52">
        <v>125.985</v>
      </c>
      <c r="D686" s="52">
        <v>127.95</v>
      </c>
      <c r="E686" s="52">
        <v>662741</v>
      </c>
      <c r="F686" s="52" t="s">
        <v>693</v>
      </c>
      <c r="G686" s="25">
        <f t="shared" si="9"/>
        <v>-3.9077764751849209E-4</v>
      </c>
    </row>
    <row r="687" spans="1:7">
      <c r="A687" s="52">
        <v>128.6</v>
      </c>
      <c r="B687" s="52">
        <v>130.33000000000001</v>
      </c>
      <c r="C687" s="52">
        <v>126.03</v>
      </c>
      <c r="D687" s="52">
        <v>127.69</v>
      </c>
      <c r="E687" s="52">
        <v>768463</v>
      </c>
      <c r="F687" s="52" t="s">
        <v>694</v>
      </c>
      <c r="G687" s="25">
        <f t="shared" si="9"/>
        <v>7.1266348187015716E-3</v>
      </c>
    </row>
    <row r="688" spans="1:7">
      <c r="A688" s="52">
        <v>126.17</v>
      </c>
      <c r="B688" s="52">
        <v>127.6199</v>
      </c>
      <c r="C688" s="52">
        <v>125.35</v>
      </c>
      <c r="D688" s="52">
        <v>125.48</v>
      </c>
      <c r="E688" s="52">
        <v>1035346</v>
      </c>
      <c r="F688" s="52" t="s">
        <v>695</v>
      </c>
      <c r="G688" s="25">
        <f t="shared" si="9"/>
        <v>5.4988842843481933E-3</v>
      </c>
    </row>
    <row r="689" spans="1:7">
      <c r="A689" s="52">
        <v>125.16</v>
      </c>
      <c r="B689" s="52">
        <v>126.3963</v>
      </c>
      <c r="C689" s="52">
        <v>123.68</v>
      </c>
      <c r="D689" s="52">
        <v>125.88</v>
      </c>
      <c r="E689" s="52">
        <v>869181</v>
      </c>
      <c r="F689" s="52" t="s">
        <v>696</v>
      </c>
      <c r="G689" s="25">
        <f t="shared" si="9"/>
        <v>-5.7197330791229906E-3</v>
      </c>
    </row>
    <row r="690" spans="1:7">
      <c r="A690" s="52">
        <v>124.28</v>
      </c>
      <c r="B690" s="52">
        <v>125.54</v>
      </c>
      <c r="C690" s="52">
        <v>122.46</v>
      </c>
      <c r="D690" s="52">
        <v>123.45</v>
      </c>
      <c r="E690" s="52">
        <v>603555</v>
      </c>
      <c r="F690" s="52" t="s">
        <v>697</v>
      </c>
      <c r="G690" s="25">
        <f t="shared" si="9"/>
        <v>6.7233697853381624E-3</v>
      </c>
    </row>
    <row r="691" spans="1:7">
      <c r="A691" s="52">
        <v>123.6</v>
      </c>
      <c r="B691" s="52">
        <v>125.92</v>
      </c>
      <c r="C691" s="52">
        <v>122.93</v>
      </c>
      <c r="D691" s="52">
        <v>124.94</v>
      </c>
      <c r="E691" s="52">
        <v>1030600</v>
      </c>
      <c r="F691" s="52" t="s">
        <v>698</v>
      </c>
      <c r="G691" s="25">
        <f t="shared" si="9"/>
        <v>-1.0725148071074164E-2</v>
      </c>
    </row>
    <row r="692" spans="1:7">
      <c r="A692" s="52">
        <v>124.82</v>
      </c>
      <c r="B692" s="52">
        <v>127.94</v>
      </c>
      <c r="C692" s="52">
        <v>124.07</v>
      </c>
      <c r="D692" s="52">
        <v>127.03</v>
      </c>
      <c r="E692" s="52">
        <v>898758</v>
      </c>
      <c r="F692" s="52" t="s">
        <v>699</v>
      </c>
      <c r="G692" s="25">
        <f t="shared" ref="G692:G755" si="10">A692/D692-1</f>
        <v>-1.7397465165708947E-2</v>
      </c>
    </row>
    <row r="693" spans="1:7">
      <c r="A693" s="52">
        <v>126.82</v>
      </c>
      <c r="B693" s="52">
        <v>129.66999999999999</v>
      </c>
      <c r="C693" s="52">
        <v>126.41</v>
      </c>
      <c r="D693" s="52">
        <v>128.85</v>
      </c>
      <c r="E693" s="52">
        <v>1343651</v>
      </c>
      <c r="F693" s="52" t="s">
        <v>700</v>
      </c>
      <c r="G693" s="25">
        <f t="shared" si="10"/>
        <v>-1.5754753589445114E-2</v>
      </c>
    </row>
    <row r="694" spans="1:7">
      <c r="A694" s="52">
        <v>128.86000000000001</v>
      </c>
      <c r="B694" s="52">
        <v>131.16999999999999</v>
      </c>
      <c r="C694" s="52">
        <v>125.5</v>
      </c>
      <c r="D694" s="52">
        <v>129.30000000000001</v>
      </c>
      <c r="E694" s="52">
        <v>1302790</v>
      </c>
      <c r="F694" s="52" t="s">
        <v>701</v>
      </c>
      <c r="G694" s="25">
        <f t="shared" si="10"/>
        <v>-3.4029389017787848E-3</v>
      </c>
    </row>
    <row r="695" spans="1:7">
      <c r="A695" s="52">
        <v>131.36000000000001</v>
      </c>
      <c r="B695" s="52">
        <v>139.16</v>
      </c>
      <c r="C695" s="52">
        <v>128.44999999999999</v>
      </c>
      <c r="D695" s="52">
        <v>134.74</v>
      </c>
      <c r="E695" s="52">
        <v>5524772</v>
      </c>
      <c r="F695" s="52" t="s">
        <v>702</v>
      </c>
      <c r="G695" s="25">
        <f t="shared" si="10"/>
        <v>-2.5085349562119608E-2</v>
      </c>
    </row>
    <row r="696" spans="1:7">
      <c r="A696" s="52">
        <v>146.91</v>
      </c>
      <c r="B696" s="52">
        <v>150.16</v>
      </c>
      <c r="C696" s="52">
        <v>146.69</v>
      </c>
      <c r="D696" s="52">
        <v>149</v>
      </c>
      <c r="E696" s="52">
        <v>1299799</v>
      </c>
      <c r="F696" s="52" t="s">
        <v>703</v>
      </c>
      <c r="G696" s="25">
        <f t="shared" si="10"/>
        <v>-1.402684563758394E-2</v>
      </c>
    </row>
    <row r="697" spans="1:7">
      <c r="A697" s="52">
        <v>149.07</v>
      </c>
      <c r="B697" s="52">
        <v>152.21</v>
      </c>
      <c r="C697" s="52">
        <v>148.495</v>
      </c>
      <c r="D697" s="52">
        <v>150.35</v>
      </c>
      <c r="E697" s="52">
        <v>960258</v>
      </c>
      <c r="F697" s="52" t="s">
        <v>704</v>
      </c>
      <c r="G697" s="25">
        <f t="shared" si="10"/>
        <v>-8.5134685733289084E-3</v>
      </c>
    </row>
    <row r="698" spans="1:7">
      <c r="A698" s="52">
        <v>149.1</v>
      </c>
      <c r="B698" s="52">
        <v>149.84</v>
      </c>
      <c r="C698" s="52">
        <v>145.78</v>
      </c>
      <c r="D698" s="52">
        <v>147.11000000000001</v>
      </c>
      <c r="E698" s="52">
        <v>1414741</v>
      </c>
      <c r="F698" s="52" t="s">
        <v>705</v>
      </c>
      <c r="G698" s="25">
        <f t="shared" si="10"/>
        <v>1.3527292502209187E-2</v>
      </c>
    </row>
    <row r="699" spans="1:7">
      <c r="A699" s="52">
        <v>146.43</v>
      </c>
      <c r="B699" s="52">
        <v>149</v>
      </c>
      <c r="C699" s="52">
        <v>144.36000000000001</v>
      </c>
      <c r="D699" s="52">
        <v>149</v>
      </c>
      <c r="E699" s="52">
        <v>1317310</v>
      </c>
      <c r="F699" s="52" t="s">
        <v>706</v>
      </c>
      <c r="G699" s="25">
        <f t="shared" si="10"/>
        <v>-1.724832214765093E-2</v>
      </c>
    </row>
    <row r="700" spans="1:7">
      <c r="A700" s="52">
        <v>148.77000000000001</v>
      </c>
      <c r="B700" s="52">
        <v>150</v>
      </c>
      <c r="C700" s="52">
        <v>145.77000000000001</v>
      </c>
      <c r="D700" s="52">
        <v>149.36000000000001</v>
      </c>
      <c r="E700" s="52">
        <v>1411583</v>
      </c>
      <c r="F700" s="52" t="s">
        <v>707</v>
      </c>
      <c r="G700" s="25">
        <f t="shared" si="10"/>
        <v>-3.950187466523869E-3</v>
      </c>
    </row>
    <row r="701" spans="1:7">
      <c r="A701" s="52">
        <v>149.13999999999999</v>
      </c>
      <c r="B701" s="52">
        <v>153.9999</v>
      </c>
      <c r="C701" s="52">
        <v>147.82</v>
      </c>
      <c r="D701" s="52">
        <v>153.79</v>
      </c>
      <c r="E701" s="52">
        <v>2447187</v>
      </c>
      <c r="F701" s="52" t="s">
        <v>708</v>
      </c>
      <c r="G701" s="25">
        <f t="shared" si="10"/>
        <v>-3.0236036153195922E-2</v>
      </c>
    </row>
    <row r="702" spans="1:7">
      <c r="A702" s="52">
        <v>157.19</v>
      </c>
      <c r="B702" s="52">
        <v>159.88999999999999</v>
      </c>
      <c r="C702" s="52">
        <v>147.08000000000001</v>
      </c>
      <c r="D702" s="52">
        <v>151.5</v>
      </c>
      <c r="E702" s="52">
        <v>7881487</v>
      </c>
      <c r="F702" s="52" t="s">
        <v>709</v>
      </c>
      <c r="G702" s="25">
        <f t="shared" si="10"/>
        <v>3.7557755775577517E-2</v>
      </c>
    </row>
    <row r="703" spans="1:7">
      <c r="A703" s="52">
        <v>120.2</v>
      </c>
      <c r="B703" s="52">
        <v>121</v>
      </c>
      <c r="C703" s="52">
        <v>113.31</v>
      </c>
      <c r="D703" s="52">
        <v>120.69</v>
      </c>
      <c r="E703" s="52">
        <v>19</v>
      </c>
      <c r="F703" s="52" t="s">
        <v>710</v>
      </c>
      <c r="G703" s="25">
        <f t="shared" si="10"/>
        <v>-4.0599884000330766E-3</v>
      </c>
    </row>
    <row r="704" spans="1:7">
      <c r="A704" s="52">
        <v>121.27</v>
      </c>
      <c r="B704" s="52">
        <v>134.88999999999999</v>
      </c>
      <c r="C704" s="52">
        <v>121</v>
      </c>
      <c r="D704" s="52">
        <v>131.5</v>
      </c>
      <c r="E704" s="52">
        <v>4488405</v>
      </c>
      <c r="F704" s="52" t="s">
        <v>711</v>
      </c>
      <c r="G704" s="25">
        <f t="shared" si="10"/>
        <v>-7.7794676806083651E-2</v>
      </c>
    </row>
    <row r="705" spans="1:7">
      <c r="A705" s="52">
        <v>125.37</v>
      </c>
      <c r="B705" s="52">
        <v>128.72</v>
      </c>
      <c r="C705" s="52">
        <v>124.76</v>
      </c>
      <c r="D705" s="52">
        <v>126.27</v>
      </c>
      <c r="E705" s="52">
        <v>1400075</v>
      </c>
      <c r="F705" s="52" t="s">
        <v>712</v>
      </c>
      <c r="G705" s="25">
        <f t="shared" si="10"/>
        <v>-7.1275837491089344E-3</v>
      </c>
    </row>
    <row r="706" spans="1:7">
      <c r="A706" s="52">
        <v>126.81</v>
      </c>
      <c r="B706" s="52">
        <v>131.72720000000001</v>
      </c>
      <c r="C706" s="52">
        <v>126.13</v>
      </c>
      <c r="D706" s="52">
        <v>131.25</v>
      </c>
      <c r="E706" s="52">
        <v>951966</v>
      </c>
      <c r="F706" s="52" t="s">
        <v>713</v>
      </c>
      <c r="G706" s="25">
        <f t="shared" si="10"/>
        <v>-3.382857142857143E-2</v>
      </c>
    </row>
    <row r="707" spans="1:7">
      <c r="A707" s="52">
        <v>131</v>
      </c>
      <c r="B707" s="52">
        <v>132.44999999999999</v>
      </c>
      <c r="C707" s="52">
        <v>129.19999999999999</v>
      </c>
      <c r="D707" s="52">
        <v>130.13</v>
      </c>
      <c r="E707" s="52">
        <v>1080759</v>
      </c>
      <c r="F707" s="52" t="s">
        <v>714</v>
      </c>
      <c r="G707" s="25">
        <f t="shared" si="10"/>
        <v>6.6856220702375957E-3</v>
      </c>
    </row>
    <row r="708" spans="1:7">
      <c r="A708" s="52">
        <v>130.16999999999999</v>
      </c>
      <c r="B708" s="52">
        <v>131.06</v>
      </c>
      <c r="C708" s="52">
        <v>124.88</v>
      </c>
      <c r="D708" s="52">
        <v>125.38</v>
      </c>
      <c r="E708" s="52">
        <v>1129696</v>
      </c>
      <c r="F708" s="52" t="s">
        <v>715</v>
      </c>
      <c r="G708" s="25">
        <f t="shared" si="10"/>
        <v>3.8203860264794942E-2</v>
      </c>
    </row>
    <row r="709" spans="1:7">
      <c r="A709" s="52">
        <v>125.43</v>
      </c>
      <c r="B709" s="52">
        <v>126.97</v>
      </c>
      <c r="C709" s="52">
        <v>120.01</v>
      </c>
      <c r="D709" s="52">
        <v>120.45</v>
      </c>
      <c r="E709" s="52">
        <v>1371240</v>
      </c>
      <c r="F709" s="52" t="s">
        <v>716</v>
      </c>
      <c r="G709" s="25">
        <f t="shared" si="10"/>
        <v>4.1344956413449596E-2</v>
      </c>
    </row>
    <row r="710" spans="1:7">
      <c r="A710" s="52">
        <v>123.69</v>
      </c>
      <c r="B710" s="52">
        <v>127.14</v>
      </c>
      <c r="C710" s="52">
        <v>123.61</v>
      </c>
      <c r="D710" s="52">
        <v>124.64</v>
      </c>
      <c r="E710" s="52">
        <v>994988</v>
      </c>
      <c r="F710" s="52" t="s">
        <v>717</v>
      </c>
      <c r="G710" s="25">
        <f t="shared" si="10"/>
        <v>-7.6219512195122574E-3</v>
      </c>
    </row>
    <row r="711" spans="1:7">
      <c r="A711" s="52">
        <v>125.11</v>
      </c>
      <c r="B711" s="52">
        <v>126.5</v>
      </c>
      <c r="C711" s="52">
        <v>122.54</v>
      </c>
      <c r="D711" s="52">
        <v>122.84</v>
      </c>
      <c r="E711" s="52">
        <v>975397</v>
      </c>
      <c r="F711" s="52" t="s">
        <v>718</v>
      </c>
      <c r="G711" s="25">
        <f t="shared" si="10"/>
        <v>1.8479322696190126E-2</v>
      </c>
    </row>
    <row r="712" spans="1:7">
      <c r="A712" s="52">
        <v>122.77</v>
      </c>
      <c r="B712" s="52">
        <v>124.285</v>
      </c>
      <c r="C712" s="52">
        <v>121.23009999999999</v>
      </c>
      <c r="D712" s="52">
        <v>121.41</v>
      </c>
      <c r="E712" s="52">
        <v>933790</v>
      </c>
      <c r="F712" s="52" t="s">
        <v>719</v>
      </c>
      <c r="G712" s="25">
        <f t="shared" si="10"/>
        <v>1.1201713203195851E-2</v>
      </c>
    </row>
    <row r="713" spans="1:7">
      <c r="A713" s="52">
        <v>122.13</v>
      </c>
      <c r="B713" s="52">
        <v>123.91</v>
      </c>
      <c r="C713" s="52">
        <v>121.9</v>
      </c>
      <c r="D713" s="52">
        <v>122.34</v>
      </c>
      <c r="E713" s="52">
        <v>731479</v>
      </c>
      <c r="F713" s="52" t="s">
        <v>720</v>
      </c>
      <c r="G713" s="25">
        <f t="shared" si="10"/>
        <v>-1.716527709661686E-3</v>
      </c>
    </row>
    <row r="714" spans="1:7">
      <c r="A714" s="52">
        <v>122.28</v>
      </c>
      <c r="B714" s="52">
        <v>123.45</v>
      </c>
      <c r="C714" s="52">
        <v>119.52</v>
      </c>
      <c r="D714" s="52">
        <v>122.53</v>
      </c>
      <c r="E714" s="52">
        <v>1223600</v>
      </c>
      <c r="F714" s="52" t="s">
        <v>721</v>
      </c>
      <c r="G714" s="25">
        <f t="shared" si="10"/>
        <v>-2.0403166571452136E-3</v>
      </c>
    </row>
    <row r="715" spans="1:7">
      <c r="A715" s="52">
        <v>123.295</v>
      </c>
      <c r="B715" s="52">
        <v>127.55</v>
      </c>
      <c r="C715" s="52">
        <v>121.71</v>
      </c>
      <c r="D715" s="52">
        <v>126.75</v>
      </c>
      <c r="E715" s="52">
        <v>1498729</v>
      </c>
      <c r="F715" s="52" t="s">
        <v>722</v>
      </c>
      <c r="G715" s="25">
        <f t="shared" si="10"/>
        <v>-2.7258382642998069E-2</v>
      </c>
    </row>
    <row r="716" spans="1:7">
      <c r="A716" s="52">
        <v>126.68</v>
      </c>
      <c r="B716" s="52">
        <v>127.89</v>
      </c>
      <c r="C716" s="52">
        <v>125.745</v>
      </c>
      <c r="D716" s="52">
        <v>127.17</v>
      </c>
      <c r="E716" s="52">
        <v>567066</v>
      </c>
      <c r="F716" s="52" t="s">
        <v>723</v>
      </c>
      <c r="G716" s="25">
        <f t="shared" si="10"/>
        <v>-3.8531100102224825E-3</v>
      </c>
    </row>
    <row r="717" spans="1:7">
      <c r="A717" s="52">
        <v>127.98</v>
      </c>
      <c r="B717" s="52">
        <v>128.29</v>
      </c>
      <c r="C717" s="52">
        <v>125.51</v>
      </c>
      <c r="D717" s="52">
        <v>126.64</v>
      </c>
      <c r="E717" s="52">
        <v>800549</v>
      </c>
      <c r="F717" s="52" t="s">
        <v>724</v>
      </c>
      <c r="G717" s="25">
        <f t="shared" si="10"/>
        <v>1.0581174984207298E-2</v>
      </c>
    </row>
    <row r="718" spans="1:7">
      <c r="A718" s="52">
        <v>126.27</v>
      </c>
      <c r="B718" s="52">
        <v>126.52</v>
      </c>
      <c r="C718" s="52">
        <v>122.265</v>
      </c>
      <c r="D718" s="52">
        <v>125.15</v>
      </c>
      <c r="E718" s="52">
        <v>948323</v>
      </c>
      <c r="F718" s="52" t="s">
        <v>725</v>
      </c>
      <c r="G718" s="25">
        <f t="shared" si="10"/>
        <v>8.949260886935706E-3</v>
      </c>
    </row>
    <row r="719" spans="1:7">
      <c r="A719" s="52">
        <v>124.12</v>
      </c>
      <c r="B719" s="52">
        <v>126.37</v>
      </c>
      <c r="C719" s="52">
        <v>122.51</v>
      </c>
      <c r="D719" s="52">
        <v>125.03</v>
      </c>
      <c r="E719" s="52">
        <v>1073398</v>
      </c>
      <c r="F719" s="52" t="s">
        <v>726</v>
      </c>
      <c r="G719" s="25">
        <f t="shared" si="10"/>
        <v>-7.2782532192273708E-3</v>
      </c>
    </row>
    <row r="720" spans="1:7">
      <c r="A720" s="52">
        <v>125.55</v>
      </c>
      <c r="B720" s="52">
        <v>126.1099</v>
      </c>
      <c r="C720" s="52">
        <v>121.41</v>
      </c>
      <c r="D720" s="52">
        <v>125.21</v>
      </c>
      <c r="E720" s="52">
        <v>1153181</v>
      </c>
      <c r="F720" s="52" t="s">
        <v>727</v>
      </c>
      <c r="G720" s="25">
        <f t="shared" si="10"/>
        <v>2.715438064052389E-3</v>
      </c>
    </row>
    <row r="721" spans="1:7">
      <c r="A721" s="52">
        <v>125.21</v>
      </c>
      <c r="B721" s="52">
        <v>126.82</v>
      </c>
      <c r="C721" s="52">
        <v>122.47</v>
      </c>
      <c r="D721" s="52">
        <v>122.7</v>
      </c>
      <c r="E721" s="52">
        <v>1353078</v>
      </c>
      <c r="F721" s="52" t="s">
        <v>728</v>
      </c>
      <c r="G721" s="25">
        <f t="shared" si="10"/>
        <v>2.0456397718011443E-2</v>
      </c>
    </row>
    <row r="722" spans="1:7">
      <c r="A722" s="52">
        <v>122.63</v>
      </c>
      <c r="B722" s="52">
        <v>124.96</v>
      </c>
      <c r="C722" s="52">
        <v>120.36</v>
      </c>
      <c r="D722" s="52">
        <v>123.66</v>
      </c>
      <c r="E722" s="52">
        <v>1783995</v>
      </c>
      <c r="F722" s="52" t="s">
        <v>729</v>
      </c>
      <c r="G722" s="25">
        <f t="shared" si="10"/>
        <v>-8.3292899886786564E-3</v>
      </c>
    </row>
    <row r="723" spans="1:7">
      <c r="A723" s="52">
        <v>124.72</v>
      </c>
      <c r="B723" s="52">
        <v>131.2099</v>
      </c>
      <c r="C723" s="52">
        <v>121</v>
      </c>
      <c r="D723" s="52">
        <v>121.88</v>
      </c>
      <c r="E723" s="52">
        <v>5378267</v>
      </c>
      <c r="F723" s="52" t="s">
        <v>730</v>
      </c>
      <c r="G723" s="25">
        <f t="shared" si="10"/>
        <v>2.3301608139153274E-2</v>
      </c>
    </row>
    <row r="724" spans="1:7">
      <c r="A724" s="52">
        <v>137.68</v>
      </c>
      <c r="B724" s="52">
        <v>140.5</v>
      </c>
      <c r="C724" s="52">
        <v>136.87</v>
      </c>
      <c r="D724" s="52">
        <v>139.94</v>
      </c>
      <c r="E724" s="52">
        <v>790387</v>
      </c>
      <c r="F724" s="52" t="s">
        <v>731</v>
      </c>
      <c r="G724" s="25">
        <f t="shared" si="10"/>
        <v>-1.6149778476489907E-2</v>
      </c>
    </row>
    <row r="725" spans="1:7">
      <c r="A725" s="52">
        <v>139.1</v>
      </c>
      <c r="B725" s="52">
        <v>141.69</v>
      </c>
      <c r="C725" s="52">
        <v>138.35</v>
      </c>
      <c r="D725" s="52">
        <v>140.63999999999999</v>
      </c>
      <c r="E725" s="52">
        <v>829210</v>
      </c>
      <c r="F725" s="52" t="s">
        <v>732</v>
      </c>
      <c r="G725" s="25">
        <f t="shared" si="10"/>
        <v>-1.0949943117178562E-2</v>
      </c>
    </row>
    <row r="726" spans="1:7">
      <c r="A726" s="52">
        <v>140.38</v>
      </c>
      <c r="B726" s="52">
        <v>141.34</v>
      </c>
      <c r="C726" s="52">
        <v>136.94</v>
      </c>
      <c r="D726" s="52">
        <v>139</v>
      </c>
      <c r="E726" s="52">
        <v>1207121</v>
      </c>
      <c r="F726" s="52" t="s">
        <v>733</v>
      </c>
      <c r="G726" s="25">
        <f t="shared" si="10"/>
        <v>9.9280575539568705E-3</v>
      </c>
    </row>
    <row r="727" spans="1:7">
      <c r="A727" s="52">
        <v>142.55000000000001</v>
      </c>
      <c r="B727" s="52">
        <v>143.12</v>
      </c>
      <c r="C727" s="52">
        <v>137.19</v>
      </c>
      <c r="D727" s="52">
        <v>138</v>
      </c>
      <c r="E727" s="52">
        <v>1056314</v>
      </c>
      <c r="F727" s="52" t="s">
        <v>734</v>
      </c>
      <c r="G727" s="25">
        <f t="shared" si="10"/>
        <v>3.2971014492753747E-2</v>
      </c>
    </row>
    <row r="728" spans="1:7">
      <c r="A728" s="52">
        <v>137.54</v>
      </c>
      <c r="B728" s="52">
        <v>139.36500000000001</v>
      </c>
      <c r="C728" s="52">
        <v>136.33009999999999</v>
      </c>
      <c r="D728" s="52">
        <v>138.6</v>
      </c>
      <c r="E728" s="52">
        <v>857976</v>
      </c>
      <c r="F728" s="52" t="s">
        <v>735</v>
      </c>
      <c r="G728" s="25">
        <f t="shared" si="10"/>
        <v>-7.6479076479076813E-3</v>
      </c>
    </row>
    <row r="729" spans="1:7">
      <c r="A729" s="52">
        <v>138.58000000000001</v>
      </c>
      <c r="B729" s="52">
        <v>141.94</v>
      </c>
      <c r="C729" s="52">
        <v>137.56</v>
      </c>
      <c r="D729" s="52">
        <v>141.62</v>
      </c>
      <c r="E729" s="52">
        <v>853101</v>
      </c>
      <c r="F729" s="52" t="s">
        <v>736</v>
      </c>
      <c r="G729" s="25">
        <f t="shared" si="10"/>
        <v>-2.1465894647648587E-2</v>
      </c>
    </row>
    <row r="730" spans="1:7">
      <c r="A730" s="52">
        <v>137.55000000000001</v>
      </c>
      <c r="B730" s="52">
        <v>138.96</v>
      </c>
      <c r="C730" s="52">
        <v>135.88999999999999</v>
      </c>
      <c r="D730" s="52">
        <v>137.24</v>
      </c>
      <c r="E730" s="52">
        <v>798477</v>
      </c>
      <c r="F730" s="52" t="s">
        <v>737</v>
      </c>
      <c r="G730" s="25">
        <f t="shared" si="10"/>
        <v>2.2588166715242775E-3</v>
      </c>
    </row>
    <row r="731" spans="1:7">
      <c r="A731" s="52">
        <v>137.83000000000001</v>
      </c>
      <c r="B731" s="52">
        <v>139.18</v>
      </c>
      <c r="C731" s="52">
        <v>136.72999999999999</v>
      </c>
      <c r="D731" s="52">
        <v>137.38</v>
      </c>
      <c r="E731" s="52">
        <v>1244375</v>
      </c>
      <c r="F731" s="52" t="s">
        <v>738</v>
      </c>
      <c r="G731" s="25">
        <f t="shared" si="10"/>
        <v>3.2755859659341358E-3</v>
      </c>
    </row>
    <row r="732" spans="1:7">
      <c r="A732" s="52">
        <v>136.03</v>
      </c>
      <c r="B732" s="52">
        <v>137.63999999999999</v>
      </c>
      <c r="C732" s="52">
        <v>134.04</v>
      </c>
      <c r="D732" s="52">
        <v>136.66</v>
      </c>
      <c r="E732" s="52">
        <v>749828</v>
      </c>
      <c r="F732" s="52" t="s">
        <v>739</v>
      </c>
      <c r="G732" s="25">
        <f t="shared" si="10"/>
        <v>-4.6099809746816822E-3</v>
      </c>
    </row>
    <row r="733" spans="1:7">
      <c r="A733" s="52">
        <v>136.56</v>
      </c>
      <c r="B733" s="52">
        <v>137.63</v>
      </c>
      <c r="C733" s="52">
        <v>134.79</v>
      </c>
      <c r="D733" s="52">
        <v>135.5</v>
      </c>
      <c r="E733" s="52">
        <v>1184657</v>
      </c>
      <c r="F733" s="52" t="s">
        <v>740</v>
      </c>
      <c r="G733" s="25">
        <f t="shared" si="10"/>
        <v>7.8228782287823595E-3</v>
      </c>
    </row>
    <row r="734" spans="1:7">
      <c r="A734" s="52">
        <v>133.9</v>
      </c>
      <c r="B734" s="52">
        <v>134.62</v>
      </c>
      <c r="C734" s="52">
        <v>131.08000000000001</v>
      </c>
      <c r="D734" s="52">
        <v>131.62</v>
      </c>
      <c r="E734" s="52">
        <v>973965</v>
      </c>
      <c r="F734" s="52" t="s">
        <v>741</v>
      </c>
      <c r="G734" s="25">
        <f t="shared" si="10"/>
        <v>1.7322595350250714E-2</v>
      </c>
    </row>
    <row r="735" spans="1:7">
      <c r="A735" s="52">
        <v>131.13999999999999</v>
      </c>
      <c r="B735" s="52">
        <v>132.24</v>
      </c>
      <c r="C735" s="52">
        <v>129.41</v>
      </c>
      <c r="D735" s="52">
        <v>131.51</v>
      </c>
      <c r="E735" s="52">
        <v>981540</v>
      </c>
      <c r="F735" s="52" t="s">
        <v>742</v>
      </c>
      <c r="G735" s="25">
        <f t="shared" si="10"/>
        <v>-2.813474260512594E-3</v>
      </c>
    </row>
    <row r="736" spans="1:7">
      <c r="A736" s="52">
        <v>130.19</v>
      </c>
      <c r="B736" s="52">
        <v>130.54</v>
      </c>
      <c r="C736" s="52">
        <v>126.99</v>
      </c>
      <c r="D736" s="52">
        <v>128.97</v>
      </c>
      <c r="E736" s="52">
        <v>969145</v>
      </c>
      <c r="F736" s="52" t="s">
        <v>743</v>
      </c>
      <c r="G736" s="25">
        <f t="shared" si="10"/>
        <v>9.4595642397456992E-3</v>
      </c>
    </row>
    <row r="737" spans="1:7">
      <c r="A737" s="52">
        <v>128.38</v>
      </c>
      <c r="B737" s="52">
        <v>131.12</v>
      </c>
      <c r="C737" s="52">
        <v>125.67</v>
      </c>
      <c r="D737" s="52">
        <v>130.19999999999999</v>
      </c>
      <c r="E737" s="52">
        <v>991267</v>
      </c>
      <c r="F737" s="52" t="s">
        <v>744</v>
      </c>
      <c r="G737" s="25">
        <f t="shared" si="10"/>
        <v>-1.3978494623655857E-2</v>
      </c>
    </row>
    <row r="738" spans="1:7">
      <c r="A738" s="52">
        <v>129.11000000000001</v>
      </c>
      <c r="B738" s="52">
        <v>131.94</v>
      </c>
      <c r="C738" s="52">
        <v>128.71010000000001</v>
      </c>
      <c r="D738" s="52">
        <v>131.94</v>
      </c>
      <c r="E738" s="52">
        <v>1677771</v>
      </c>
      <c r="F738" s="52" t="s">
        <v>745</v>
      </c>
      <c r="G738" s="25">
        <f t="shared" si="10"/>
        <v>-2.1449143550098415E-2</v>
      </c>
    </row>
    <row r="739" spans="1:7">
      <c r="A739" s="52">
        <v>131.16999999999999</v>
      </c>
      <c r="B739" s="52">
        <v>137.09</v>
      </c>
      <c r="C739" s="52">
        <v>130.44499999999999</v>
      </c>
      <c r="D739" s="52">
        <v>132.68</v>
      </c>
      <c r="E739" s="52">
        <v>2109650</v>
      </c>
      <c r="F739" s="52" t="s">
        <v>746</v>
      </c>
      <c r="G739" s="25">
        <f t="shared" si="10"/>
        <v>-1.1380765752185829E-2</v>
      </c>
    </row>
    <row r="740" spans="1:7">
      <c r="A740" s="52">
        <v>131.38</v>
      </c>
      <c r="B740" s="52">
        <v>131.77000000000001</v>
      </c>
      <c r="C740" s="52">
        <v>123.3</v>
      </c>
      <c r="D740" s="52">
        <v>123.89</v>
      </c>
      <c r="E740" s="52">
        <v>2689043</v>
      </c>
      <c r="F740" s="52" t="s">
        <v>747</v>
      </c>
      <c r="G740" s="25">
        <f t="shared" si="10"/>
        <v>6.0456856889175903E-2</v>
      </c>
    </row>
    <row r="741" spans="1:7">
      <c r="A741" s="52">
        <v>122.69</v>
      </c>
      <c r="B741" s="52">
        <v>125.0838</v>
      </c>
      <c r="C741" s="52">
        <v>117.11</v>
      </c>
      <c r="D741" s="52">
        <v>119.31</v>
      </c>
      <c r="E741" s="52">
        <v>7412688</v>
      </c>
      <c r="F741" s="52" t="s">
        <v>748</v>
      </c>
      <c r="G741" s="25">
        <f t="shared" si="10"/>
        <v>2.8329561646131873E-2</v>
      </c>
    </row>
    <row r="742" spans="1:7">
      <c r="A742" s="52">
        <v>149.66999999999999</v>
      </c>
      <c r="B742" s="52">
        <v>150.80500000000001</v>
      </c>
      <c r="C742" s="52">
        <v>143.75</v>
      </c>
      <c r="D742" s="52">
        <v>145.51</v>
      </c>
      <c r="E742" s="52">
        <v>1939450</v>
      </c>
      <c r="F742" s="52" t="s">
        <v>749</v>
      </c>
      <c r="G742" s="25">
        <f t="shared" si="10"/>
        <v>2.8589100405470358E-2</v>
      </c>
    </row>
    <row r="743" spans="1:7">
      <c r="A743" s="52">
        <v>145.47</v>
      </c>
      <c r="B743" s="52">
        <v>145.80500000000001</v>
      </c>
      <c r="C743" s="52">
        <v>142.86000000000001</v>
      </c>
      <c r="D743" s="52">
        <v>143.84</v>
      </c>
      <c r="E743" s="52">
        <v>1029653</v>
      </c>
      <c r="F743" s="52" t="s">
        <v>750</v>
      </c>
      <c r="G743" s="25">
        <f t="shared" si="10"/>
        <v>1.133203559510565E-2</v>
      </c>
    </row>
    <row r="744" spans="1:7">
      <c r="A744" s="52">
        <v>144.9</v>
      </c>
      <c r="B744" s="52">
        <v>148.26</v>
      </c>
      <c r="C744" s="52">
        <v>143.72999999999999</v>
      </c>
      <c r="D744" s="52">
        <v>143.81</v>
      </c>
      <c r="E744" s="52">
        <v>1214123</v>
      </c>
      <c r="F744" s="52" t="s">
        <v>751</v>
      </c>
      <c r="G744" s="25">
        <f t="shared" si="10"/>
        <v>7.5794451011752528E-3</v>
      </c>
    </row>
    <row r="745" spans="1:7">
      <c r="A745" s="52">
        <v>142.77000000000001</v>
      </c>
      <c r="B745" s="52">
        <v>149</v>
      </c>
      <c r="C745" s="52">
        <v>142.21</v>
      </c>
      <c r="D745" s="52">
        <v>143.04</v>
      </c>
      <c r="E745" s="52">
        <v>1202652</v>
      </c>
      <c r="F745" s="52" t="s">
        <v>752</v>
      </c>
      <c r="G745" s="25">
        <f t="shared" si="10"/>
        <v>-1.8875838926173394E-3</v>
      </c>
    </row>
    <row r="746" spans="1:7">
      <c r="A746" s="52">
        <v>143.91999999999999</v>
      </c>
      <c r="B746" s="52">
        <v>148.5</v>
      </c>
      <c r="C746" s="52">
        <v>141</v>
      </c>
      <c r="D746" s="52">
        <v>148.44999999999999</v>
      </c>
      <c r="E746" s="52">
        <v>1815541</v>
      </c>
      <c r="F746" s="52" t="s">
        <v>753</v>
      </c>
      <c r="G746" s="25">
        <f t="shared" si="10"/>
        <v>-3.0515325025260998E-2</v>
      </c>
    </row>
    <row r="747" spans="1:7">
      <c r="A747" s="52">
        <v>148.44</v>
      </c>
      <c r="B747" s="52">
        <v>153.79</v>
      </c>
      <c r="C747" s="52">
        <v>146.86000000000001</v>
      </c>
      <c r="D747" s="52">
        <v>152.35</v>
      </c>
      <c r="E747" s="52">
        <v>2179420</v>
      </c>
      <c r="F747" s="52" t="s">
        <v>754</v>
      </c>
      <c r="G747" s="25">
        <f t="shared" si="10"/>
        <v>-2.5664588119461706E-2</v>
      </c>
    </row>
    <row r="748" spans="1:7">
      <c r="A748" s="52">
        <v>152.96</v>
      </c>
      <c r="B748" s="52">
        <v>155.87</v>
      </c>
      <c r="C748" s="52">
        <v>151.41499999999999</v>
      </c>
      <c r="D748" s="52">
        <v>155.36000000000001</v>
      </c>
      <c r="E748" s="52">
        <v>1533989</v>
      </c>
      <c r="F748" s="52" t="s">
        <v>755</v>
      </c>
      <c r="G748" s="25">
        <f t="shared" si="10"/>
        <v>-1.5447991761071145E-2</v>
      </c>
    </row>
    <row r="749" spans="1:7">
      <c r="A749" s="52">
        <v>155.61000000000001</v>
      </c>
      <c r="B749" s="52">
        <v>158.19999999999999</v>
      </c>
      <c r="C749" s="52">
        <v>154.54499999999999</v>
      </c>
      <c r="D749" s="52">
        <v>156.66</v>
      </c>
      <c r="E749" s="52">
        <v>1122332</v>
      </c>
      <c r="F749" s="52" t="s">
        <v>756</v>
      </c>
      <c r="G749" s="25">
        <f t="shared" si="10"/>
        <v>-6.7024128686326012E-3</v>
      </c>
    </row>
    <row r="750" spans="1:7">
      <c r="A750" s="52">
        <v>155.99</v>
      </c>
      <c r="B750" s="52">
        <v>159.83500000000001</v>
      </c>
      <c r="C750" s="52">
        <v>154.38</v>
      </c>
      <c r="D750" s="52">
        <v>155.83000000000001</v>
      </c>
      <c r="E750" s="52">
        <v>2304123</v>
      </c>
      <c r="F750" s="52" t="s">
        <v>757</v>
      </c>
      <c r="G750" s="25">
        <f t="shared" si="10"/>
        <v>1.026759930693677E-3</v>
      </c>
    </row>
    <row r="751" spans="1:7">
      <c r="A751" s="52">
        <v>155.61000000000001</v>
      </c>
      <c r="B751" s="52">
        <v>157</v>
      </c>
      <c r="C751" s="52">
        <v>148.51</v>
      </c>
      <c r="D751" s="52">
        <v>150.03</v>
      </c>
      <c r="E751" s="52">
        <v>3174053</v>
      </c>
      <c r="F751" s="52" t="s">
        <v>758</v>
      </c>
      <c r="G751" s="25">
        <f t="shared" si="10"/>
        <v>3.7192561487702447E-2</v>
      </c>
    </row>
    <row r="752" spans="1:7">
      <c r="A752" s="52">
        <v>153</v>
      </c>
      <c r="B752" s="52">
        <v>153.91499999999999</v>
      </c>
      <c r="C752" s="52">
        <v>144.49</v>
      </c>
      <c r="D752" s="52">
        <v>145</v>
      </c>
      <c r="E752" s="52">
        <v>3142917</v>
      </c>
      <c r="F752" s="52" t="s">
        <v>759</v>
      </c>
      <c r="G752" s="25">
        <f t="shared" si="10"/>
        <v>5.5172413793103559E-2</v>
      </c>
    </row>
    <row r="753" spans="1:7">
      <c r="A753" s="52">
        <v>145.63</v>
      </c>
      <c r="B753" s="52">
        <v>152.30000000000001</v>
      </c>
      <c r="C753" s="52">
        <v>143</v>
      </c>
      <c r="D753" s="52">
        <v>144</v>
      </c>
      <c r="E753" s="52">
        <v>7074112</v>
      </c>
      <c r="F753" s="52" t="s">
        <v>760</v>
      </c>
      <c r="G753" s="25">
        <f t="shared" si="10"/>
        <v>1.1319444444444438E-2</v>
      </c>
    </row>
    <row r="754" spans="1:7">
      <c r="A754" s="52">
        <v>122.13</v>
      </c>
      <c r="B754" s="52">
        <v>122.38</v>
      </c>
      <c r="C754" s="52">
        <v>117.9</v>
      </c>
      <c r="D754" s="52">
        <v>118.04</v>
      </c>
      <c r="E754" s="52">
        <v>1634230</v>
      </c>
      <c r="F754" s="52" t="s">
        <v>761</v>
      </c>
      <c r="G754" s="25">
        <f t="shared" si="10"/>
        <v>3.4649271433412343E-2</v>
      </c>
    </row>
    <row r="755" spans="1:7">
      <c r="A755" s="52">
        <v>118.13</v>
      </c>
      <c r="B755" s="52">
        <v>125.505</v>
      </c>
      <c r="C755" s="52">
        <v>117.25</v>
      </c>
      <c r="D755" s="52">
        <v>123.48</v>
      </c>
      <c r="E755" s="52">
        <v>1837742</v>
      </c>
      <c r="F755" s="52" t="s">
        <v>762</v>
      </c>
      <c r="G755" s="25">
        <f t="shared" si="10"/>
        <v>-4.332685455134444E-2</v>
      </c>
    </row>
    <row r="756" spans="1:7">
      <c r="A756" s="52">
        <v>123.06</v>
      </c>
      <c r="B756" s="52">
        <v>126.71</v>
      </c>
      <c r="C756" s="52">
        <v>122.43</v>
      </c>
      <c r="D756" s="52">
        <v>123.53</v>
      </c>
      <c r="E756" s="52">
        <v>793378</v>
      </c>
      <c r="F756" s="52" t="s">
        <v>763</v>
      </c>
      <c r="G756" s="25">
        <f t="shared" ref="G756:G819" si="11">A756/D756-1</f>
        <v>-3.8047437869342948E-3</v>
      </c>
    </row>
    <row r="757" spans="1:7">
      <c r="A757" s="52">
        <v>124.82</v>
      </c>
      <c r="B757" s="52">
        <v>127.57</v>
      </c>
      <c r="C757" s="52">
        <v>124.33</v>
      </c>
      <c r="D757" s="52">
        <v>127.02</v>
      </c>
      <c r="E757" s="52">
        <v>555791</v>
      </c>
      <c r="F757" s="52" t="s">
        <v>764</v>
      </c>
      <c r="G757" s="25">
        <f t="shared" si="11"/>
        <v>-1.7320107069752844E-2</v>
      </c>
    </row>
    <row r="758" spans="1:7">
      <c r="A758" s="52">
        <v>126.49</v>
      </c>
      <c r="B758" s="52">
        <v>126.825</v>
      </c>
      <c r="C758" s="52">
        <v>122</v>
      </c>
      <c r="D758" s="52">
        <v>122.12</v>
      </c>
      <c r="E758" s="52">
        <v>771012</v>
      </c>
      <c r="F758" s="52" t="s">
        <v>765</v>
      </c>
      <c r="G758" s="25">
        <f t="shared" si="11"/>
        <v>3.578447428758591E-2</v>
      </c>
    </row>
    <row r="759" spans="1:7">
      <c r="A759" s="52">
        <v>121.91</v>
      </c>
      <c r="B759" s="52">
        <v>124.58</v>
      </c>
      <c r="C759" s="52">
        <v>121.83</v>
      </c>
      <c r="D759" s="52">
        <v>124.19</v>
      </c>
      <c r="E759" s="52">
        <v>1088118</v>
      </c>
      <c r="F759" s="52" t="s">
        <v>766</v>
      </c>
      <c r="G759" s="25">
        <f t="shared" si="11"/>
        <v>-1.8358966100330165E-2</v>
      </c>
    </row>
    <row r="760" spans="1:7">
      <c r="A760" s="52">
        <v>124.57</v>
      </c>
      <c r="B760" s="52">
        <v>124.8</v>
      </c>
      <c r="C760" s="52">
        <v>120.51</v>
      </c>
      <c r="D760" s="52">
        <v>121.32</v>
      </c>
      <c r="E760" s="52">
        <v>823311</v>
      </c>
      <c r="F760" s="52" t="s">
        <v>767</v>
      </c>
      <c r="G760" s="25">
        <f t="shared" si="11"/>
        <v>2.6788658094295981E-2</v>
      </c>
    </row>
    <row r="761" spans="1:7">
      <c r="A761" s="52">
        <v>122.05</v>
      </c>
      <c r="B761" s="52">
        <v>125.96</v>
      </c>
      <c r="C761" s="52">
        <v>121.42</v>
      </c>
      <c r="D761" s="52">
        <v>123.64</v>
      </c>
      <c r="E761" s="52">
        <v>1017961</v>
      </c>
      <c r="F761" s="52" t="s">
        <v>768</v>
      </c>
      <c r="G761" s="25">
        <f t="shared" si="11"/>
        <v>-1.2859915884826933E-2</v>
      </c>
    </row>
    <row r="762" spans="1:7">
      <c r="A762" s="52">
        <v>124.72</v>
      </c>
      <c r="B762" s="52">
        <v>125.44</v>
      </c>
      <c r="C762" s="52">
        <v>119.79</v>
      </c>
      <c r="D762" s="52">
        <v>120.97</v>
      </c>
      <c r="E762" s="52">
        <v>1159761</v>
      </c>
      <c r="F762" s="52" t="s">
        <v>769</v>
      </c>
      <c r="G762" s="25">
        <f t="shared" si="11"/>
        <v>3.0999421344134914E-2</v>
      </c>
    </row>
    <row r="763" spans="1:7">
      <c r="A763" s="52">
        <v>120.36</v>
      </c>
      <c r="B763" s="52">
        <v>123.4943</v>
      </c>
      <c r="C763" s="52">
        <v>119.51</v>
      </c>
      <c r="D763" s="52">
        <v>120.16</v>
      </c>
      <c r="E763" s="52">
        <v>835081</v>
      </c>
      <c r="F763" s="52" t="s">
        <v>770</v>
      </c>
      <c r="G763" s="25">
        <f t="shared" si="11"/>
        <v>1.6644474034621659E-3</v>
      </c>
    </row>
    <row r="764" spans="1:7">
      <c r="A764" s="52">
        <v>120.2</v>
      </c>
      <c r="B764" s="52">
        <v>120.95</v>
      </c>
      <c r="C764" s="52">
        <v>119.69</v>
      </c>
      <c r="D764" s="52">
        <v>120.67</v>
      </c>
      <c r="E764" s="52">
        <v>656977</v>
      </c>
      <c r="F764" s="52" t="s">
        <v>771</v>
      </c>
      <c r="G764" s="25">
        <f t="shared" si="11"/>
        <v>-3.8949200298333819E-3</v>
      </c>
    </row>
    <row r="765" spans="1:7">
      <c r="A765" s="52">
        <v>120.45</v>
      </c>
      <c r="B765" s="52">
        <v>121.6</v>
      </c>
      <c r="C765" s="52">
        <v>119.43</v>
      </c>
      <c r="D765" s="52">
        <v>120.43</v>
      </c>
      <c r="E765" s="52">
        <v>624341</v>
      </c>
      <c r="F765" s="52" t="s">
        <v>772</v>
      </c>
      <c r="G765" s="25">
        <f t="shared" si="11"/>
        <v>1.66071576849669E-4</v>
      </c>
    </row>
    <row r="766" spans="1:7">
      <c r="A766" s="52">
        <v>121.13</v>
      </c>
      <c r="B766" s="52">
        <v>123.09</v>
      </c>
      <c r="C766" s="52">
        <v>120.8901</v>
      </c>
      <c r="D766" s="52">
        <v>122.32</v>
      </c>
      <c r="E766" s="52">
        <v>937910</v>
      </c>
      <c r="F766" s="52" t="s">
        <v>773</v>
      </c>
      <c r="G766" s="25">
        <f t="shared" si="11"/>
        <v>-9.7285807717462092E-3</v>
      </c>
    </row>
    <row r="767" spans="1:7">
      <c r="A767" s="52">
        <v>121.36</v>
      </c>
      <c r="B767" s="52">
        <v>121.91</v>
      </c>
      <c r="C767" s="52">
        <v>119.64</v>
      </c>
      <c r="D767" s="52">
        <v>121.29</v>
      </c>
      <c r="E767" s="52">
        <v>1126434</v>
      </c>
      <c r="F767" s="52" t="s">
        <v>774</v>
      </c>
      <c r="G767" s="25">
        <f t="shared" si="11"/>
        <v>5.7712919449248723E-4</v>
      </c>
    </row>
    <row r="768" spans="1:7">
      <c r="A768" s="52">
        <v>120.79</v>
      </c>
      <c r="B768" s="52">
        <v>120.98</v>
      </c>
      <c r="C768" s="52">
        <v>116.25</v>
      </c>
      <c r="D768" s="52">
        <v>117.9</v>
      </c>
      <c r="E768" s="52">
        <v>1120523</v>
      </c>
      <c r="F768" s="52" t="s">
        <v>775</v>
      </c>
      <c r="G768" s="25">
        <f t="shared" si="11"/>
        <v>2.451229855810011E-2</v>
      </c>
    </row>
    <row r="769" spans="1:7">
      <c r="A769" s="52">
        <v>117.84</v>
      </c>
      <c r="B769" s="52">
        <v>121.11</v>
      </c>
      <c r="C769" s="52">
        <v>117.67</v>
      </c>
      <c r="D769" s="52">
        <v>119.05</v>
      </c>
      <c r="E769" s="52">
        <v>781975</v>
      </c>
      <c r="F769" s="52" t="s">
        <v>776</v>
      </c>
      <c r="G769" s="25">
        <f t="shared" si="11"/>
        <v>-1.0163796724065421E-2</v>
      </c>
    </row>
    <row r="770" spans="1:7">
      <c r="A770" s="52">
        <v>119</v>
      </c>
      <c r="B770" s="52">
        <v>121.05</v>
      </c>
      <c r="C770" s="52">
        <v>118.85</v>
      </c>
      <c r="D770" s="52">
        <v>120.21</v>
      </c>
      <c r="E770" s="52">
        <v>777184</v>
      </c>
      <c r="F770" s="52" t="s">
        <v>777</v>
      </c>
      <c r="G770" s="25">
        <f t="shared" si="11"/>
        <v>-1.0065718326262352E-2</v>
      </c>
    </row>
    <row r="771" spans="1:7">
      <c r="A771" s="52">
        <v>120.25</v>
      </c>
      <c r="B771" s="52">
        <v>122.86</v>
      </c>
      <c r="C771" s="52">
        <v>118.74</v>
      </c>
      <c r="D771" s="52">
        <v>122.86</v>
      </c>
      <c r="E771" s="52">
        <v>1080450</v>
      </c>
      <c r="F771" s="52" t="s">
        <v>778</v>
      </c>
      <c r="G771" s="25">
        <f t="shared" si="11"/>
        <v>-2.1243692007162585E-2</v>
      </c>
    </row>
    <row r="772" spans="1:7">
      <c r="A772" s="52">
        <v>122.36</v>
      </c>
      <c r="B772" s="52">
        <v>125.48</v>
      </c>
      <c r="C772" s="52">
        <v>119.7</v>
      </c>
      <c r="D772" s="52">
        <v>125</v>
      </c>
      <c r="E772" s="52">
        <v>720551</v>
      </c>
      <c r="F772" s="52" t="s">
        <v>779</v>
      </c>
      <c r="G772" s="25">
        <f t="shared" si="11"/>
        <v>-2.1120000000000028E-2</v>
      </c>
    </row>
    <row r="773" spans="1:7">
      <c r="A773" s="52">
        <v>124.97</v>
      </c>
      <c r="B773" s="52">
        <v>125.56</v>
      </c>
      <c r="C773" s="52">
        <v>120.64</v>
      </c>
      <c r="D773" s="52">
        <v>120.64</v>
      </c>
      <c r="E773" s="52">
        <v>841185</v>
      </c>
      <c r="F773" s="52" t="s">
        <v>780</v>
      </c>
      <c r="G773" s="25">
        <f t="shared" si="11"/>
        <v>3.5891909814323553E-2</v>
      </c>
    </row>
    <row r="774" spans="1:7">
      <c r="A774" s="52">
        <v>120.86</v>
      </c>
      <c r="B774" s="52">
        <v>123</v>
      </c>
      <c r="C774" s="52">
        <v>120.72</v>
      </c>
      <c r="D774" s="52">
        <v>122.69</v>
      </c>
      <c r="E774" s="52">
        <v>601372</v>
      </c>
      <c r="F774" s="52" t="s">
        <v>781</v>
      </c>
      <c r="G774" s="25">
        <f t="shared" si="11"/>
        <v>-1.4915641046540085E-2</v>
      </c>
    </row>
    <row r="775" spans="1:7">
      <c r="A775" s="52">
        <v>122.89</v>
      </c>
      <c r="B775" s="52">
        <v>126.11</v>
      </c>
      <c r="C775" s="52">
        <v>121.89</v>
      </c>
      <c r="D775" s="52">
        <v>124.53</v>
      </c>
      <c r="E775" s="52">
        <v>724377</v>
      </c>
      <c r="F775" s="52" t="s">
        <v>782</v>
      </c>
      <c r="G775" s="25">
        <f t="shared" si="11"/>
        <v>-1.3169517385368978E-2</v>
      </c>
    </row>
    <row r="776" spans="1:7">
      <c r="A776" s="52">
        <v>124.47</v>
      </c>
      <c r="B776" s="52">
        <v>125.33</v>
      </c>
      <c r="C776" s="52">
        <v>122.3</v>
      </c>
      <c r="D776" s="52">
        <v>123.59</v>
      </c>
      <c r="E776" s="52">
        <v>945001</v>
      </c>
      <c r="F776" s="52" t="s">
        <v>783</v>
      </c>
      <c r="G776" s="25">
        <f t="shared" si="11"/>
        <v>7.1203171777651786E-3</v>
      </c>
    </row>
    <row r="777" spans="1:7">
      <c r="A777" s="52">
        <v>123.16</v>
      </c>
      <c r="B777" s="52">
        <v>128.4</v>
      </c>
      <c r="C777" s="52">
        <v>122.55</v>
      </c>
      <c r="D777" s="52">
        <v>127.57</v>
      </c>
      <c r="E777" s="52">
        <v>1457269</v>
      </c>
      <c r="F777" s="52" t="s">
        <v>784</v>
      </c>
      <c r="G777" s="25">
        <f t="shared" si="11"/>
        <v>-3.4569256094693079E-2</v>
      </c>
    </row>
    <row r="778" spans="1:7">
      <c r="A778" s="52">
        <v>128.37</v>
      </c>
      <c r="B778" s="52">
        <v>133.4699</v>
      </c>
      <c r="C778" s="52">
        <v>127.83</v>
      </c>
      <c r="D778" s="52">
        <v>128.94999999999999</v>
      </c>
      <c r="E778" s="52">
        <v>1779799</v>
      </c>
      <c r="F778" s="52" t="s">
        <v>785</v>
      </c>
      <c r="G778" s="25">
        <f t="shared" si="11"/>
        <v>-4.4978673904613187E-3</v>
      </c>
    </row>
    <row r="779" spans="1:7">
      <c r="A779" s="52">
        <v>128.33000000000001</v>
      </c>
      <c r="B779" s="52">
        <v>129.91</v>
      </c>
      <c r="C779" s="52">
        <v>128.01</v>
      </c>
      <c r="D779" s="52">
        <v>129.65</v>
      </c>
      <c r="E779" s="52">
        <v>671706</v>
      </c>
      <c r="F779" s="52" t="s">
        <v>786</v>
      </c>
      <c r="G779" s="25">
        <f t="shared" si="11"/>
        <v>-1.0181257231006491E-2</v>
      </c>
    </row>
    <row r="780" spans="1:7">
      <c r="A780" s="52">
        <v>130.22</v>
      </c>
      <c r="B780" s="52">
        <v>130.79</v>
      </c>
      <c r="C780" s="52">
        <v>127.05</v>
      </c>
      <c r="D780" s="52">
        <v>128.4</v>
      </c>
      <c r="E780" s="52">
        <v>734624</v>
      </c>
      <c r="F780" s="52" t="s">
        <v>787</v>
      </c>
      <c r="G780" s="25">
        <f t="shared" si="11"/>
        <v>1.4174454828660421E-2</v>
      </c>
    </row>
    <row r="781" spans="1:7">
      <c r="A781" s="52">
        <v>127.8</v>
      </c>
      <c r="B781" s="52">
        <v>129.1808</v>
      </c>
      <c r="C781" s="52">
        <v>127.46</v>
      </c>
      <c r="D781" s="52">
        <v>128.72</v>
      </c>
      <c r="E781" s="52">
        <v>558467</v>
      </c>
      <c r="F781" s="52" t="s">
        <v>788</v>
      </c>
      <c r="G781" s="25">
        <f t="shared" si="11"/>
        <v>-7.1472964574269549E-3</v>
      </c>
    </row>
    <row r="782" spans="1:7">
      <c r="A782" s="52">
        <v>128.75</v>
      </c>
      <c r="B782" s="52">
        <v>131.94999999999999</v>
      </c>
      <c r="C782" s="52">
        <v>126.97</v>
      </c>
      <c r="D782" s="52">
        <v>130.37</v>
      </c>
      <c r="E782" s="52">
        <v>736292</v>
      </c>
      <c r="F782" s="52" t="s">
        <v>789</v>
      </c>
      <c r="G782" s="25">
        <f t="shared" si="11"/>
        <v>-1.2426171665260499E-2</v>
      </c>
    </row>
    <row r="783" spans="1:7">
      <c r="A783" s="52">
        <v>130</v>
      </c>
      <c r="B783" s="52">
        <v>131.85</v>
      </c>
      <c r="C783" s="52">
        <v>125.78</v>
      </c>
      <c r="D783" s="52">
        <v>125.78</v>
      </c>
      <c r="E783" s="52">
        <v>1800332</v>
      </c>
      <c r="F783" s="52" t="s">
        <v>790</v>
      </c>
      <c r="G783" s="25">
        <f t="shared" si="11"/>
        <v>3.3550643981555162E-2</v>
      </c>
    </row>
    <row r="784" spans="1:7">
      <c r="A784" s="52">
        <v>126.7</v>
      </c>
      <c r="B784" s="52">
        <v>130.68</v>
      </c>
      <c r="C784" s="52">
        <v>121.35</v>
      </c>
      <c r="D784" s="52">
        <v>121.47</v>
      </c>
      <c r="E784" s="52">
        <v>1426896</v>
      </c>
      <c r="F784" s="52" t="s">
        <v>791</v>
      </c>
      <c r="G784" s="25">
        <f t="shared" si="11"/>
        <v>4.3055898575780072E-2</v>
      </c>
    </row>
    <row r="785" spans="1:7">
      <c r="A785" s="52">
        <v>121.6</v>
      </c>
      <c r="B785" s="52">
        <v>122.64</v>
      </c>
      <c r="C785" s="52">
        <v>118.095</v>
      </c>
      <c r="D785" s="52">
        <v>120</v>
      </c>
      <c r="E785" s="52">
        <v>848649</v>
      </c>
      <c r="F785" s="52" t="s">
        <v>792</v>
      </c>
      <c r="G785" s="25">
        <f t="shared" si="11"/>
        <v>1.3333333333333197E-2</v>
      </c>
    </row>
    <row r="786" spans="1:7">
      <c r="A786" s="52">
        <v>120.13</v>
      </c>
      <c r="B786" s="52">
        <v>122.41</v>
      </c>
      <c r="C786" s="52">
        <v>118.78</v>
      </c>
      <c r="D786" s="52">
        <v>120</v>
      </c>
      <c r="E786" s="52">
        <v>908111</v>
      </c>
      <c r="F786" s="52" t="s">
        <v>793</v>
      </c>
      <c r="G786" s="25">
        <f t="shared" si="11"/>
        <v>1.083333333333325E-3</v>
      </c>
    </row>
    <row r="787" spans="1:7">
      <c r="A787" s="52">
        <v>119.13</v>
      </c>
      <c r="B787" s="52">
        <v>121.994</v>
      </c>
      <c r="C787" s="52">
        <v>118.73</v>
      </c>
      <c r="D787" s="52">
        <v>118.93</v>
      </c>
      <c r="E787" s="52">
        <v>1030590</v>
      </c>
      <c r="F787" s="52" t="s">
        <v>794</v>
      </c>
      <c r="G787" s="25">
        <f t="shared" si="11"/>
        <v>1.6816614815435837E-3</v>
      </c>
    </row>
    <row r="788" spans="1:7">
      <c r="A788" s="52">
        <v>117.53</v>
      </c>
      <c r="B788" s="52">
        <v>122.97</v>
      </c>
      <c r="C788" s="52">
        <v>116.1</v>
      </c>
      <c r="D788" s="52">
        <v>122.96</v>
      </c>
      <c r="E788" s="52">
        <v>1330588</v>
      </c>
      <c r="F788" s="52" t="s">
        <v>795</v>
      </c>
      <c r="G788" s="25">
        <f t="shared" si="11"/>
        <v>-4.4160702667534135E-2</v>
      </c>
    </row>
    <row r="789" spans="1:7">
      <c r="A789" s="52">
        <v>122.27</v>
      </c>
      <c r="B789" s="52">
        <v>122.97</v>
      </c>
      <c r="C789" s="52">
        <v>120.15</v>
      </c>
      <c r="D789" s="52">
        <v>122.1</v>
      </c>
      <c r="E789" s="52">
        <v>743760</v>
      </c>
      <c r="F789" s="52" t="s">
        <v>796</v>
      </c>
      <c r="G789" s="25">
        <f t="shared" si="11"/>
        <v>1.3923013923013983E-3</v>
      </c>
    </row>
    <row r="790" spans="1:7">
      <c r="A790" s="52">
        <v>121.61</v>
      </c>
      <c r="B790" s="52">
        <v>126.2</v>
      </c>
      <c r="C790" s="52">
        <v>120.52</v>
      </c>
      <c r="D790" s="52">
        <v>125.87</v>
      </c>
      <c r="E790" s="52">
        <v>1149153</v>
      </c>
      <c r="F790" s="52" t="s">
        <v>797</v>
      </c>
      <c r="G790" s="25">
        <f t="shared" si="11"/>
        <v>-3.3844442678954478E-2</v>
      </c>
    </row>
    <row r="791" spans="1:7">
      <c r="A791" s="52">
        <v>124.98</v>
      </c>
      <c r="B791" s="52">
        <v>125.485</v>
      </c>
      <c r="C791" s="52">
        <v>121.96</v>
      </c>
      <c r="D791" s="52">
        <v>125</v>
      </c>
      <c r="E791" s="52">
        <v>1218433</v>
      </c>
      <c r="F791" s="52" t="s">
        <v>798</v>
      </c>
      <c r="G791" s="25">
        <f t="shared" si="11"/>
        <v>-1.5999999999993797E-4</v>
      </c>
    </row>
    <row r="792" spans="1:7">
      <c r="A792" s="52">
        <v>124.84</v>
      </c>
      <c r="B792" s="52">
        <v>129.72</v>
      </c>
      <c r="C792" s="52">
        <v>122.95</v>
      </c>
      <c r="D792" s="52">
        <v>128.69</v>
      </c>
      <c r="E792" s="52">
        <v>1271054</v>
      </c>
      <c r="F792" s="52" t="s">
        <v>799</v>
      </c>
      <c r="G792" s="25">
        <f t="shared" si="11"/>
        <v>-2.9916854456445652E-2</v>
      </c>
    </row>
    <row r="793" spans="1:7">
      <c r="A793" s="52">
        <v>129.58000000000001</v>
      </c>
      <c r="B793" s="52">
        <v>129.63</v>
      </c>
      <c r="C793" s="52">
        <v>125.36</v>
      </c>
      <c r="D793" s="52">
        <v>127.17</v>
      </c>
      <c r="E793" s="52">
        <v>596379</v>
      </c>
      <c r="F793" s="52" t="s">
        <v>800</v>
      </c>
      <c r="G793" s="25">
        <f t="shared" si="11"/>
        <v>1.8951010458441608E-2</v>
      </c>
    </row>
    <row r="794" spans="1:7">
      <c r="A794" s="52">
        <v>127.26</v>
      </c>
      <c r="B794" s="52">
        <v>129.285</v>
      </c>
      <c r="C794" s="52">
        <v>126.755</v>
      </c>
      <c r="D794" s="52">
        <v>127.28</v>
      </c>
      <c r="E794" s="52">
        <v>999793</v>
      </c>
      <c r="F794" s="52" t="s">
        <v>801</v>
      </c>
      <c r="G794" s="25">
        <f t="shared" si="11"/>
        <v>-1.5713387806404189E-4</v>
      </c>
    </row>
    <row r="795" spans="1:7">
      <c r="A795" s="52">
        <v>126.37</v>
      </c>
      <c r="B795" s="52">
        <v>127.63500000000001</v>
      </c>
      <c r="C795" s="52">
        <v>125.36</v>
      </c>
      <c r="D795" s="52">
        <v>126.15</v>
      </c>
      <c r="E795" s="52">
        <v>475073</v>
      </c>
      <c r="F795" s="52" t="s">
        <v>802</v>
      </c>
      <c r="G795" s="25">
        <f t="shared" si="11"/>
        <v>1.7439556084026808E-3</v>
      </c>
    </row>
    <row r="796" spans="1:7">
      <c r="A796" s="52">
        <v>126.63</v>
      </c>
      <c r="B796" s="52">
        <v>129.71</v>
      </c>
      <c r="C796" s="52">
        <v>125.82</v>
      </c>
      <c r="D796" s="52">
        <v>129.71</v>
      </c>
      <c r="E796" s="52">
        <v>505959</v>
      </c>
      <c r="F796" s="52" t="s">
        <v>803</v>
      </c>
      <c r="G796" s="25">
        <f t="shared" si="11"/>
        <v>-2.3745277927684882E-2</v>
      </c>
    </row>
    <row r="797" spans="1:7">
      <c r="A797" s="52">
        <v>129.94999999999999</v>
      </c>
      <c r="B797" s="52">
        <v>132.19</v>
      </c>
      <c r="C797" s="52">
        <v>128.38999999999999</v>
      </c>
      <c r="D797" s="52">
        <v>131.68</v>
      </c>
      <c r="E797" s="52">
        <v>502687</v>
      </c>
      <c r="F797" s="52" t="s">
        <v>804</v>
      </c>
      <c r="G797" s="25">
        <f t="shared" si="11"/>
        <v>-1.3137910085054827E-2</v>
      </c>
    </row>
    <row r="798" spans="1:7">
      <c r="A798" s="52">
        <v>132.13</v>
      </c>
      <c r="B798" s="52">
        <v>134.08000000000001</v>
      </c>
      <c r="C798" s="52">
        <v>129.66999999999999</v>
      </c>
      <c r="D798" s="52">
        <v>131.19999999999999</v>
      </c>
      <c r="E798" s="52">
        <v>743906</v>
      </c>
      <c r="F798" s="52" t="s">
        <v>805</v>
      </c>
      <c r="G798" s="25">
        <f t="shared" si="11"/>
        <v>7.0884146341463339E-3</v>
      </c>
    </row>
    <row r="799" spans="1:7">
      <c r="A799" s="52">
        <v>131.41</v>
      </c>
      <c r="B799" s="52">
        <v>133.13999999999999</v>
      </c>
      <c r="C799" s="52">
        <v>126.13</v>
      </c>
      <c r="D799" s="52">
        <v>127.25</v>
      </c>
      <c r="E799" s="52">
        <v>1253095</v>
      </c>
      <c r="F799" s="52" t="s">
        <v>806</v>
      </c>
      <c r="G799" s="25">
        <f t="shared" si="11"/>
        <v>3.2691552062868334E-2</v>
      </c>
    </row>
    <row r="800" spans="1:7">
      <c r="A800" s="52">
        <v>127.44</v>
      </c>
      <c r="B800" s="52">
        <v>127.92</v>
      </c>
      <c r="C800" s="52">
        <v>123</v>
      </c>
      <c r="D800" s="52">
        <v>123</v>
      </c>
      <c r="E800" s="52">
        <v>744001</v>
      </c>
      <c r="F800" s="52" t="s">
        <v>807</v>
      </c>
      <c r="G800" s="25">
        <f t="shared" si="11"/>
        <v>3.6097560975609788E-2</v>
      </c>
    </row>
    <row r="801" spans="1:7">
      <c r="A801" s="52">
        <v>123</v>
      </c>
      <c r="B801" s="52">
        <v>125.39</v>
      </c>
      <c r="C801" s="52">
        <v>121.99</v>
      </c>
      <c r="D801" s="52">
        <v>124.23</v>
      </c>
      <c r="E801" s="52">
        <v>1125625</v>
      </c>
      <c r="F801" s="52" t="s">
        <v>808</v>
      </c>
      <c r="G801" s="25">
        <f t="shared" si="11"/>
        <v>-9.9009900990099098E-3</v>
      </c>
    </row>
    <row r="802" spans="1:7">
      <c r="A802" s="52">
        <v>123.56</v>
      </c>
      <c r="B802" s="52">
        <v>125.74</v>
      </c>
      <c r="C802" s="52">
        <v>123.17</v>
      </c>
      <c r="D802" s="52">
        <v>124.17</v>
      </c>
      <c r="E802" s="52">
        <v>1119236</v>
      </c>
      <c r="F802" s="52" t="s">
        <v>809</v>
      </c>
      <c r="G802" s="25">
        <f t="shared" si="11"/>
        <v>-4.912619795441775E-3</v>
      </c>
    </row>
    <row r="803" spans="1:7">
      <c r="A803" s="52">
        <v>124.65</v>
      </c>
      <c r="B803" s="52">
        <v>126.21</v>
      </c>
      <c r="C803" s="52">
        <v>122.69</v>
      </c>
      <c r="D803" s="52">
        <v>125.76</v>
      </c>
      <c r="E803" s="52">
        <v>430870</v>
      </c>
      <c r="F803" s="52" t="s">
        <v>810</v>
      </c>
      <c r="G803" s="25">
        <f t="shared" si="11"/>
        <v>-8.8263358778626344E-3</v>
      </c>
    </row>
    <row r="804" spans="1:7">
      <c r="A804" s="52">
        <v>126.32</v>
      </c>
      <c r="B804" s="52">
        <v>127.7599</v>
      </c>
      <c r="C804" s="52">
        <v>122.01</v>
      </c>
      <c r="D804" s="52">
        <v>122.58</v>
      </c>
      <c r="E804" s="52">
        <v>902688</v>
      </c>
      <c r="F804" s="52" t="s">
        <v>811</v>
      </c>
      <c r="G804" s="25">
        <f t="shared" si="11"/>
        <v>3.0510686898352013E-2</v>
      </c>
    </row>
    <row r="805" spans="1:7">
      <c r="A805" s="52">
        <v>122.88</v>
      </c>
      <c r="B805" s="52">
        <v>123.79</v>
      </c>
      <c r="C805" s="52">
        <v>121.67</v>
      </c>
      <c r="D805" s="52">
        <v>122.84</v>
      </c>
      <c r="E805" s="52">
        <v>666393</v>
      </c>
      <c r="F805" s="52" t="s">
        <v>812</v>
      </c>
      <c r="G805" s="25">
        <f t="shared" si="11"/>
        <v>3.2562683165093809E-4</v>
      </c>
    </row>
    <row r="806" spans="1:7">
      <c r="A806" s="52">
        <v>121.51</v>
      </c>
      <c r="B806" s="52">
        <v>122.95</v>
      </c>
      <c r="C806" s="52">
        <v>118.46</v>
      </c>
      <c r="D806" s="52">
        <v>119.06</v>
      </c>
      <c r="E806" s="52">
        <v>616873</v>
      </c>
      <c r="F806" s="52" t="s">
        <v>813</v>
      </c>
      <c r="G806" s="25">
        <f t="shared" si="11"/>
        <v>2.0577859902570106E-2</v>
      </c>
    </row>
    <row r="807" spans="1:7">
      <c r="A807" s="52">
        <v>118.36</v>
      </c>
      <c r="B807" s="52">
        <v>119.65</v>
      </c>
      <c r="C807" s="52">
        <v>116.91</v>
      </c>
      <c r="D807" s="52">
        <v>119.11</v>
      </c>
      <c r="E807" s="52">
        <v>686087</v>
      </c>
      <c r="F807" s="52" t="s">
        <v>814</v>
      </c>
      <c r="G807" s="25">
        <f t="shared" si="11"/>
        <v>-6.2967005289228384E-3</v>
      </c>
    </row>
    <row r="808" spans="1:7">
      <c r="A808" s="52">
        <v>119.34</v>
      </c>
      <c r="B808" s="52">
        <v>121</v>
      </c>
      <c r="C808" s="52">
        <v>118.56</v>
      </c>
      <c r="D808" s="52">
        <v>120.2</v>
      </c>
      <c r="E808" s="52">
        <v>815923</v>
      </c>
      <c r="F808" s="52" t="s">
        <v>815</v>
      </c>
      <c r="G808" s="25">
        <f t="shared" si="11"/>
        <v>-7.1547420965057951E-3</v>
      </c>
    </row>
    <row r="809" spans="1:7">
      <c r="A809" s="52">
        <v>119.76</v>
      </c>
      <c r="B809" s="52">
        <v>121.39</v>
      </c>
      <c r="C809" s="52">
        <v>118.2</v>
      </c>
      <c r="D809" s="52">
        <v>119.59</v>
      </c>
      <c r="E809" s="52">
        <v>611699</v>
      </c>
      <c r="F809" s="52" t="s">
        <v>816</v>
      </c>
      <c r="G809" s="25">
        <f t="shared" si="11"/>
        <v>1.4215235387573522E-3</v>
      </c>
    </row>
    <row r="810" spans="1:7">
      <c r="A810" s="52">
        <v>120.1</v>
      </c>
      <c r="B810" s="52">
        <v>123.03</v>
      </c>
      <c r="C810" s="52">
        <v>119.36</v>
      </c>
      <c r="D810" s="52">
        <v>123.03</v>
      </c>
      <c r="E810" s="52">
        <v>654980</v>
      </c>
      <c r="F810" s="52" t="s">
        <v>817</v>
      </c>
      <c r="G810" s="25">
        <f t="shared" si="11"/>
        <v>-2.3815329594407908E-2</v>
      </c>
    </row>
    <row r="811" spans="1:7">
      <c r="A811" s="52">
        <v>122.96</v>
      </c>
      <c r="B811" s="52">
        <v>125.08</v>
      </c>
      <c r="C811" s="52">
        <v>120.6</v>
      </c>
      <c r="D811" s="52">
        <v>124.73</v>
      </c>
      <c r="E811" s="52">
        <v>928625</v>
      </c>
      <c r="F811" s="52" t="s">
        <v>818</v>
      </c>
      <c r="G811" s="25">
        <f t="shared" si="11"/>
        <v>-1.419065180790513E-2</v>
      </c>
    </row>
    <row r="812" spans="1:7">
      <c r="A812" s="52">
        <v>126.25</v>
      </c>
      <c r="B812" s="52">
        <v>127.32</v>
      </c>
      <c r="C812" s="52">
        <v>120.86</v>
      </c>
      <c r="D812" s="52">
        <v>122.17</v>
      </c>
      <c r="E812" s="52">
        <v>1019921</v>
      </c>
      <c r="F812" s="52" t="s">
        <v>819</v>
      </c>
      <c r="G812" s="25">
        <f t="shared" si="11"/>
        <v>3.3396087419169884E-2</v>
      </c>
    </row>
    <row r="813" spans="1:7">
      <c r="A813" s="52">
        <v>122.98</v>
      </c>
      <c r="B813" s="52">
        <v>123.65</v>
      </c>
      <c r="C813" s="52">
        <v>120.1</v>
      </c>
      <c r="D813" s="52">
        <v>122.57</v>
      </c>
      <c r="E813" s="52">
        <v>940271</v>
      </c>
      <c r="F813" s="52" t="s">
        <v>820</v>
      </c>
      <c r="G813" s="25">
        <f t="shared" si="11"/>
        <v>3.3450273313209156E-3</v>
      </c>
    </row>
    <row r="814" spans="1:7">
      <c r="A814" s="52">
        <v>122.81</v>
      </c>
      <c r="B814" s="52">
        <v>123.34</v>
      </c>
      <c r="C814" s="52">
        <v>116.3</v>
      </c>
      <c r="D814" s="52">
        <v>118.52</v>
      </c>
      <c r="E814" s="52">
        <v>1487446</v>
      </c>
      <c r="F814" s="52" t="s">
        <v>821</v>
      </c>
      <c r="G814" s="25">
        <f t="shared" si="11"/>
        <v>3.6196422544718221E-2</v>
      </c>
    </row>
    <row r="815" spans="1:7">
      <c r="A815" s="52">
        <v>117.1</v>
      </c>
      <c r="B815" s="52">
        <v>120.39</v>
      </c>
      <c r="C815" s="52">
        <v>116.39</v>
      </c>
      <c r="D815" s="52">
        <v>118</v>
      </c>
      <c r="E815" s="52">
        <v>883544</v>
      </c>
      <c r="F815" s="52" t="s">
        <v>822</v>
      </c>
      <c r="G815" s="25">
        <f t="shared" si="11"/>
        <v>-7.6271186440678429E-3</v>
      </c>
    </row>
    <row r="816" spans="1:7">
      <c r="A816" s="52">
        <v>118.13</v>
      </c>
      <c r="B816" s="52">
        <v>123.74</v>
      </c>
      <c r="C816" s="52">
        <v>116.83</v>
      </c>
      <c r="D816" s="52">
        <v>120.16</v>
      </c>
      <c r="E816" s="52">
        <v>2221271</v>
      </c>
      <c r="F816" s="52" t="s">
        <v>823</v>
      </c>
      <c r="G816" s="25">
        <f t="shared" si="11"/>
        <v>-1.6894141145139874E-2</v>
      </c>
    </row>
    <row r="817" spans="1:7">
      <c r="A817" s="52">
        <v>114.57</v>
      </c>
      <c r="B817" s="52">
        <v>115.48</v>
      </c>
      <c r="C817" s="52">
        <v>113.7901</v>
      </c>
      <c r="D817" s="52">
        <v>114.57</v>
      </c>
      <c r="E817" s="52">
        <v>214741</v>
      </c>
      <c r="F817" s="52" t="s">
        <v>824</v>
      </c>
      <c r="G817" s="25">
        <f t="shared" si="11"/>
        <v>0</v>
      </c>
    </row>
    <row r="818" spans="1:7">
      <c r="A818" s="52">
        <v>114.74</v>
      </c>
      <c r="B818" s="52">
        <v>118.8</v>
      </c>
      <c r="C818" s="52">
        <v>111.3664</v>
      </c>
      <c r="D818" s="52">
        <v>112.69</v>
      </c>
      <c r="E818" s="52">
        <v>785243</v>
      </c>
      <c r="F818" s="52" t="s">
        <v>825</v>
      </c>
      <c r="G818" s="25">
        <f t="shared" si="11"/>
        <v>1.8191498802023309E-2</v>
      </c>
    </row>
    <row r="819" spans="1:7">
      <c r="A819" s="52">
        <v>111.98</v>
      </c>
      <c r="B819" s="52">
        <v>112.12</v>
      </c>
      <c r="C819" s="52">
        <v>108.91</v>
      </c>
      <c r="D819" s="52">
        <v>109.72</v>
      </c>
      <c r="E819" s="52">
        <v>902550</v>
      </c>
      <c r="F819" s="52" t="s">
        <v>826</v>
      </c>
      <c r="G819" s="25">
        <f t="shared" si="11"/>
        <v>2.0597885526795423E-2</v>
      </c>
    </row>
    <row r="820" spans="1:7">
      <c r="A820" s="52">
        <v>110.55</v>
      </c>
      <c r="B820" s="52">
        <v>113.045</v>
      </c>
      <c r="C820" s="52">
        <v>110.09</v>
      </c>
      <c r="D820" s="52">
        <v>112</v>
      </c>
      <c r="E820" s="52">
        <v>442041</v>
      </c>
      <c r="F820" s="52" t="s">
        <v>827</v>
      </c>
      <c r="G820" s="25">
        <f t="shared" ref="G820:G883" si="12">A820/D820-1</f>
        <v>-1.2946428571428581E-2</v>
      </c>
    </row>
    <row r="821" spans="1:7">
      <c r="A821" s="52">
        <v>112</v>
      </c>
      <c r="B821" s="52">
        <v>113.09</v>
      </c>
      <c r="C821" s="52">
        <v>110.49</v>
      </c>
      <c r="D821" s="52">
        <v>111.13</v>
      </c>
      <c r="E821" s="52">
        <v>847606</v>
      </c>
      <c r="F821" s="52" t="s">
        <v>828</v>
      </c>
      <c r="G821" s="25">
        <f t="shared" si="12"/>
        <v>7.8286691262485775E-3</v>
      </c>
    </row>
    <row r="822" spans="1:7">
      <c r="A822" s="52">
        <v>109.96</v>
      </c>
      <c r="B822" s="52">
        <v>110.54</v>
      </c>
      <c r="C822" s="52">
        <v>107.81</v>
      </c>
      <c r="D822" s="52">
        <v>108.52</v>
      </c>
      <c r="E822" s="52">
        <v>398718</v>
      </c>
      <c r="F822" s="52" t="s">
        <v>829</v>
      </c>
      <c r="G822" s="25">
        <f t="shared" si="12"/>
        <v>1.3269443420567573E-2</v>
      </c>
    </row>
    <row r="823" spans="1:7">
      <c r="A823" s="52">
        <v>109.27</v>
      </c>
      <c r="B823" s="52">
        <v>110.89</v>
      </c>
      <c r="C823" s="52">
        <v>107.51</v>
      </c>
      <c r="D823" s="52">
        <v>109.88</v>
      </c>
      <c r="E823" s="52">
        <v>754660</v>
      </c>
      <c r="F823" s="52" t="s">
        <v>830</v>
      </c>
      <c r="G823" s="25">
        <f t="shared" si="12"/>
        <v>-5.5515107389879637E-3</v>
      </c>
    </row>
    <row r="824" spans="1:7">
      <c r="A824" s="52">
        <v>109.68</v>
      </c>
      <c r="B824" s="52">
        <v>110.49</v>
      </c>
      <c r="C824" s="52">
        <v>108.25</v>
      </c>
      <c r="D824" s="52">
        <v>110</v>
      </c>
      <c r="E824" s="52">
        <v>818382</v>
      </c>
      <c r="F824" s="52" t="s">
        <v>831</v>
      </c>
      <c r="G824" s="25">
        <f t="shared" si="12"/>
        <v>-2.9090909090908612E-3</v>
      </c>
    </row>
    <row r="825" spans="1:7">
      <c r="A825" s="52">
        <v>108.23</v>
      </c>
      <c r="B825" s="52">
        <v>109.41</v>
      </c>
      <c r="C825" s="52">
        <v>106.05</v>
      </c>
      <c r="D825" s="52">
        <v>107.51</v>
      </c>
      <c r="E825" s="52">
        <v>835643</v>
      </c>
      <c r="F825" s="52" t="s">
        <v>832</v>
      </c>
      <c r="G825" s="25">
        <f t="shared" si="12"/>
        <v>6.6970514370756629E-3</v>
      </c>
    </row>
    <row r="826" spans="1:7">
      <c r="A826" s="52">
        <v>106.9</v>
      </c>
      <c r="B826" s="52">
        <v>107.98</v>
      </c>
      <c r="C826" s="52">
        <v>103.96</v>
      </c>
      <c r="D826" s="52">
        <v>105.96</v>
      </c>
      <c r="E826" s="52">
        <v>781022</v>
      </c>
      <c r="F826" s="52" t="s">
        <v>833</v>
      </c>
      <c r="G826" s="25">
        <f t="shared" si="12"/>
        <v>8.8712721781805115E-3</v>
      </c>
    </row>
    <row r="827" spans="1:7">
      <c r="A827" s="52">
        <v>106.88</v>
      </c>
      <c r="B827" s="52">
        <v>108.215</v>
      </c>
      <c r="C827" s="52">
        <v>105.075</v>
      </c>
      <c r="D827" s="52">
        <v>107.72</v>
      </c>
      <c r="E827" s="52">
        <v>1115320</v>
      </c>
      <c r="F827" s="52" t="s">
        <v>834</v>
      </c>
      <c r="G827" s="25">
        <f t="shared" si="12"/>
        <v>-7.797994801336805E-3</v>
      </c>
    </row>
    <row r="828" spans="1:7">
      <c r="A828" s="52">
        <v>103.94</v>
      </c>
      <c r="B828" s="52">
        <v>105.75</v>
      </c>
      <c r="C828" s="52">
        <v>103.24</v>
      </c>
      <c r="D828" s="52">
        <v>105.22</v>
      </c>
      <c r="E828" s="52">
        <v>865202</v>
      </c>
      <c r="F828" s="52" t="s">
        <v>835</v>
      </c>
      <c r="G828" s="25">
        <f t="shared" si="12"/>
        <v>-1.2164987644934455E-2</v>
      </c>
    </row>
    <row r="829" spans="1:7">
      <c r="A829" s="52">
        <v>105.16</v>
      </c>
      <c r="B829" s="52">
        <v>107.9615</v>
      </c>
      <c r="C829" s="52">
        <v>100.39</v>
      </c>
      <c r="D829" s="52">
        <v>100.39</v>
      </c>
      <c r="E829" s="52">
        <v>1532398</v>
      </c>
      <c r="F829" s="52" t="s">
        <v>836</v>
      </c>
      <c r="G829" s="25">
        <f t="shared" si="12"/>
        <v>4.7514692698475969E-2</v>
      </c>
    </row>
    <row r="830" spans="1:7">
      <c r="A830" s="52">
        <v>100.39</v>
      </c>
      <c r="B830" s="52">
        <v>104.2</v>
      </c>
      <c r="C830" s="52">
        <v>100.21</v>
      </c>
      <c r="D830" s="52">
        <v>103.18</v>
      </c>
      <c r="E830" s="52">
        <v>905462</v>
      </c>
      <c r="F830" s="52" t="s">
        <v>837</v>
      </c>
      <c r="G830" s="25">
        <f t="shared" si="12"/>
        <v>-2.7040124055049519E-2</v>
      </c>
    </row>
    <row r="831" spans="1:7">
      <c r="A831" s="52">
        <v>103.63</v>
      </c>
      <c r="B831" s="52">
        <v>105.79</v>
      </c>
      <c r="C831" s="52">
        <v>100.15</v>
      </c>
      <c r="D831" s="52">
        <v>105.01</v>
      </c>
      <c r="E831" s="52">
        <v>1251986</v>
      </c>
      <c r="F831" s="52" t="s">
        <v>838</v>
      </c>
      <c r="G831" s="25">
        <f t="shared" si="12"/>
        <v>-1.3141605561375225E-2</v>
      </c>
    </row>
    <row r="832" spans="1:7">
      <c r="A832" s="52">
        <v>105.01</v>
      </c>
      <c r="B832" s="52">
        <v>111.75</v>
      </c>
      <c r="C832" s="52">
        <v>102.03</v>
      </c>
      <c r="D832" s="52">
        <v>106.89</v>
      </c>
      <c r="E832" s="52">
        <v>2410241</v>
      </c>
      <c r="F832" s="52" t="s">
        <v>839</v>
      </c>
      <c r="G832" s="25">
        <f t="shared" si="12"/>
        <v>-1.758817475909813E-2</v>
      </c>
    </row>
    <row r="833" spans="1:7">
      <c r="A833" s="52">
        <v>113.42</v>
      </c>
      <c r="B833" s="52">
        <v>117.49</v>
      </c>
      <c r="C833" s="52">
        <v>112.02</v>
      </c>
      <c r="D833" s="52">
        <v>113.51</v>
      </c>
      <c r="E833" s="52">
        <v>775543</v>
      </c>
      <c r="F833" s="52" t="s">
        <v>840</v>
      </c>
      <c r="G833" s="25">
        <f t="shared" si="12"/>
        <v>-7.9288168443314433E-4</v>
      </c>
    </row>
    <row r="834" spans="1:7">
      <c r="A834" s="52">
        <v>114.08</v>
      </c>
      <c r="B834" s="52">
        <v>116.95</v>
      </c>
      <c r="C834" s="52">
        <v>113.7201</v>
      </c>
      <c r="D834" s="52">
        <v>114.92</v>
      </c>
      <c r="E834" s="52">
        <v>572512</v>
      </c>
      <c r="F834" s="52" t="s">
        <v>841</v>
      </c>
      <c r="G834" s="25">
        <f t="shared" si="12"/>
        <v>-7.3094326487992412E-3</v>
      </c>
    </row>
    <row r="835" spans="1:7">
      <c r="A835" s="52">
        <v>114.02</v>
      </c>
      <c r="B835" s="52">
        <v>116.4102</v>
      </c>
      <c r="C835" s="52">
        <v>113.46</v>
      </c>
      <c r="D835" s="52">
        <v>114.36</v>
      </c>
      <c r="E835" s="52">
        <v>972754</v>
      </c>
      <c r="F835" s="52" t="s">
        <v>842</v>
      </c>
      <c r="G835" s="25">
        <f t="shared" si="12"/>
        <v>-2.9730675061210299E-3</v>
      </c>
    </row>
    <row r="836" spans="1:7">
      <c r="A836" s="52">
        <v>115.28</v>
      </c>
      <c r="B836" s="52">
        <v>115.85</v>
      </c>
      <c r="C836" s="52">
        <v>111.27</v>
      </c>
      <c r="D836" s="52">
        <v>111.9</v>
      </c>
      <c r="E836" s="52">
        <v>1024733</v>
      </c>
      <c r="F836" s="52" t="s">
        <v>843</v>
      </c>
      <c r="G836" s="25">
        <f t="shared" si="12"/>
        <v>3.0205540661304653E-2</v>
      </c>
    </row>
    <row r="837" spans="1:7">
      <c r="A837" s="52">
        <v>111.74</v>
      </c>
      <c r="B837" s="52">
        <v>116</v>
      </c>
      <c r="C837" s="52">
        <v>111.17</v>
      </c>
      <c r="D837" s="52">
        <v>114.79</v>
      </c>
      <c r="E837" s="52">
        <v>1111438</v>
      </c>
      <c r="F837" s="52" t="s">
        <v>844</v>
      </c>
      <c r="G837" s="25">
        <f t="shared" si="12"/>
        <v>-2.6570258733339291E-2</v>
      </c>
    </row>
    <row r="838" spans="1:7">
      <c r="A838" s="52">
        <v>114.31</v>
      </c>
      <c r="B838" s="52">
        <v>116.16</v>
      </c>
      <c r="C838" s="52">
        <v>111.86</v>
      </c>
      <c r="D838" s="52">
        <v>112.44</v>
      </c>
      <c r="E838" s="52">
        <v>934819</v>
      </c>
      <c r="F838" s="52" t="s">
        <v>845</v>
      </c>
      <c r="G838" s="25">
        <f t="shared" si="12"/>
        <v>1.6631092138029269E-2</v>
      </c>
    </row>
    <row r="839" spans="1:7">
      <c r="A839" s="52">
        <v>112.1</v>
      </c>
      <c r="B839" s="52">
        <v>113.73</v>
      </c>
      <c r="C839" s="52">
        <v>110.73</v>
      </c>
      <c r="D839" s="52">
        <v>110.73</v>
      </c>
      <c r="E839" s="52">
        <v>914285</v>
      </c>
      <c r="F839" s="52" t="s">
        <v>846</v>
      </c>
      <c r="G839" s="25">
        <f t="shared" si="12"/>
        <v>1.2372437460489438E-2</v>
      </c>
    </row>
    <row r="840" spans="1:7">
      <c r="A840" s="52">
        <v>110.6</v>
      </c>
      <c r="B840" s="52">
        <v>113.75</v>
      </c>
      <c r="C840" s="52">
        <v>108.22</v>
      </c>
      <c r="D840" s="52">
        <v>113.05</v>
      </c>
      <c r="E840" s="52">
        <v>997345</v>
      </c>
      <c r="F840" s="52" t="s">
        <v>847</v>
      </c>
      <c r="G840" s="25">
        <f t="shared" si="12"/>
        <v>-2.1671826625387025E-2</v>
      </c>
    </row>
    <row r="841" spans="1:7">
      <c r="A841" s="52">
        <v>112.7</v>
      </c>
      <c r="B841" s="52">
        <v>114.315</v>
      </c>
      <c r="C841" s="52">
        <v>111.32</v>
      </c>
      <c r="D841" s="52">
        <v>112.86</v>
      </c>
      <c r="E841" s="52">
        <v>1202595</v>
      </c>
      <c r="F841" s="52" t="s">
        <v>848</v>
      </c>
      <c r="G841" s="25">
        <f t="shared" si="12"/>
        <v>-1.4176856282118733E-3</v>
      </c>
    </row>
    <row r="842" spans="1:7">
      <c r="A842" s="52">
        <v>112.11</v>
      </c>
      <c r="B842" s="52">
        <v>113.83499999999999</v>
      </c>
      <c r="C842" s="52">
        <v>111.2</v>
      </c>
      <c r="D842" s="52">
        <v>112.93</v>
      </c>
      <c r="E842" s="52">
        <v>871161</v>
      </c>
      <c r="F842" s="52" t="s">
        <v>849</v>
      </c>
      <c r="G842" s="25">
        <f t="shared" si="12"/>
        <v>-7.2611352165058429E-3</v>
      </c>
    </row>
    <row r="843" spans="1:7">
      <c r="A843" s="52">
        <v>112.25</v>
      </c>
      <c r="B843" s="52">
        <v>117.99</v>
      </c>
      <c r="C843" s="52">
        <v>110.23</v>
      </c>
      <c r="D843" s="52">
        <v>116.32</v>
      </c>
      <c r="E843" s="52">
        <v>1374071</v>
      </c>
      <c r="F843" s="52" t="s">
        <v>850</v>
      </c>
      <c r="G843" s="25">
        <f t="shared" si="12"/>
        <v>-3.4989683631361679E-2</v>
      </c>
    </row>
    <row r="844" spans="1:7">
      <c r="A844" s="52">
        <v>116.83</v>
      </c>
      <c r="B844" s="52">
        <v>118.75</v>
      </c>
      <c r="C844" s="52">
        <v>115.72</v>
      </c>
      <c r="D844" s="52">
        <v>115.72</v>
      </c>
      <c r="E844" s="52">
        <v>1210858</v>
      </c>
      <c r="F844" s="52" t="s">
        <v>851</v>
      </c>
      <c r="G844" s="25">
        <f t="shared" si="12"/>
        <v>9.5921189077081692E-3</v>
      </c>
    </row>
    <row r="845" spans="1:7">
      <c r="A845" s="52">
        <v>114.41</v>
      </c>
      <c r="B845" s="52">
        <v>116.98</v>
      </c>
      <c r="C845" s="52">
        <v>112.94</v>
      </c>
      <c r="D845" s="52">
        <v>114.765</v>
      </c>
      <c r="E845" s="52">
        <v>988101</v>
      </c>
      <c r="F845" s="52" t="s">
        <v>852</v>
      </c>
      <c r="G845" s="25">
        <f t="shared" si="12"/>
        <v>-3.0932775672025681E-3</v>
      </c>
    </row>
    <row r="846" spans="1:7">
      <c r="A846" s="52">
        <v>112.45</v>
      </c>
      <c r="B846" s="52">
        <v>114.96</v>
      </c>
      <c r="C846" s="52">
        <v>110.8308</v>
      </c>
      <c r="D846" s="52">
        <v>114</v>
      </c>
      <c r="E846" s="52">
        <v>829019</v>
      </c>
      <c r="F846" s="52" t="s">
        <v>853</v>
      </c>
      <c r="G846" s="25">
        <f t="shared" si="12"/>
        <v>-1.3596491228070162E-2</v>
      </c>
    </row>
    <row r="847" spans="1:7">
      <c r="A847" s="52">
        <v>112.97</v>
      </c>
      <c r="B847" s="52">
        <v>113.75</v>
      </c>
      <c r="C847" s="52">
        <v>106.38500000000001</v>
      </c>
      <c r="D847" s="52">
        <v>109.1</v>
      </c>
      <c r="E847" s="52">
        <v>1173865</v>
      </c>
      <c r="F847" s="52" t="s">
        <v>854</v>
      </c>
      <c r="G847" s="25">
        <f t="shared" si="12"/>
        <v>3.5472043996333635E-2</v>
      </c>
    </row>
    <row r="848" spans="1:7">
      <c r="A848" s="52">
        <v>112.13</v>
      </c>
      <c r="B848" s="52">
        <v>112.57</v>
      </c>
      <c r="C848" s="52">
        <v>107.98</v>
      </c>
      <c r="D848" s="52">
        <v>109.45</v>
      </c>
      <c r="E848" s="52">
        <v>1033588</v>
      </c>
      <c r="F848" s="52" t="s">
        <v>855</v>
      </c>
      <c r="G848" s="25">
        <f t="shared" si="12"/>
        <v>2.4486066697121833E-2</v>
      </c>
    </row>
    <row r="849" spans="1:7">
      <c r="A849" s="52">
        <v>108.98</v>
      </c>
      <c r="B849" s="52">
        <v>111.47</v>
      </c>
      <c r="C849" s="52">
        <v>106.17</v>
      </c>
      <c r="D849" s="52">
        <v>108.98</v>
      </c>
      <c r="E849" s="52">
        <v>1102871</v>
      </c>
      <c r="F849" s="52" t="s">
        <v>856</v>
      </c>
      <c r="G849" s="25">
        <f t="shared" si="12"/>
        <v>0</v>
      </c>
    </row>
    <row r="850" spans="1:7">
      <c r="A850" s="52">
        <v>108.7</v>
      </c>
      <c r="B850" s="52">
        <v>110.55</v>
      </c>
      <c r="C850" s="52">
        <v>107.62</v>
      </c>
      <c r="D850" s="52">
        <v>110.25</v>
      </c>
      <c r="E850" s="52">
        <v>746953</v>
      </c>
      <c r="F850" s="52" t="s">
        <v>857</v>
      </c>
      <c r="G850" s="25">
        <f t="shared" si="12"/>
        <v>-1.4058956916099707E-2</v>
      </c>
    </row>
    <row r="851" spans="1:7">
      <c r="A851" s="52">
        <v>111.34</v>
      </c>
      <c r="B851" s="52">
        <v>114.54</v>
      </c>
      <c r="C851" s="52">
        <v>111.16500000000001</v>
      </c>
      <c r="D851" s="52">
        <v>114.3</v>
      </c>
      <c r="E851" s="52">
        <v>1245637</v>
      </c>
      <c r="F851" s="52" t="s">
        <v>858</v>
      </c>
      <c r="G851" s="25">
        <f t="shared" si="12"/>
        <v>-2.5896762904636828E-2</v>
      </c>
    </row>
    <row r="852" spans="1:7">
      <c r="A852" s="52">
        <v>114.82</v>
      </c>
      <c r="B852" s="52">
        <v>118.44</v>
      </c>
      <c r="C852" s="52">
        <v>111.05</v>
      </c>
      <c r="D852" s="52">
        <v>111.61</v>
      </c>
      <c r="E852" s="52">
        <v>1392527</v>
      </c>
      <c r="F852" s="52" t="s">
        <v>859</v>
      </c>
      <c r="G852" s="25">
        <f t="shared" si="12"/>
        <v>2.8760863721888574E-2</v>
      </c>
    </row>
    <row r="853" spans="1:7">
      <c r="A853" s="52">
        <v>110.62</v>
      </c>
      <c r="B853" s="52">
        <v>112.24</v>
      </c>
      <c r="C853" s="52">
        <v>109.68</v>
      </c>
      <c r="D853" s="52">
        <v>111.36</v>
      </c>
      <c r="E853" s="52">
        <v>565682</v>
      </c>
      <c r="F853" s="52" t="s">
        <v>860</v>
      </c>
      <c r="G853" s="25">
        <f t="shared" si="12"/>
        <v>-6.6451149425287293E-3</v>
      </c>
    </row>
    <row r="854" spans="1:7">
      <c r="A854" s="52">
        <v>111.47</v>
      </c>
      <c r="B854" s="52">
        <v>112.09</v>
      </c>
      <c r="C854" s="52">
        <v>107.03</v>
      </c>
      <c r="D854" s="52">
        <v>111.33</v>
      </c>
      <c r="E854" s="52">
        <v>957141</v>
      </c>
      <c r="F854" s="52" t="s">
        <v>861</v>
      </c>
      <c r="G854" s="25">
        <f t="shared" si="12"/>
        <v>1.2575226803197559E-3</v>
      </c>
    </row>
    <row r="855" spans="1:7">
      <c r="A855" s="52">
        <v>109.94</v>
      </c>
      <c r="B855" s="52">
        <v>112.298</v>
      </c>
      <c r="C855" s="52">
        <v>108.65</v>
      </c>
      <c r="D855" s="52">
        <v>110.47</v>
      </c>
      <c r="E855" s="52">
        <v>636214</v>
      </c>
      <c r="F855" s="52" t="s">
        <v>862</v>
      </c>
      <c r="G855" s="25">
        <f t="shared" si="12"/>
        <v>-4.7976826287680074E-3</v>
      </c>
    </row>
    <row r="856" spans="1:7">
      <c r="A856" s="52">
        <v>110.54</v>
      </c>
      <c r="B856" s="52">
        <v>113.67</v>
      </c>
      <c r="C856" s="52">
        <v>108.82</v>
      </c>
      <c r="D856" s="52">
        <v>109.26</v>
      </c>
      <c r="E856" s="52">
        <v>1034815</v>
      </c>
      <c r="F856" s="52" t="s">
        <v>863</v>
      </c>
      <c r="G856" s="25">
        <f t="shared" si="12"/>
        <v>1.1715174812374274E-2</v>
      </c>
    </row>
    <row r="857" spans="1:7">
      <c r="A857" s="52">
        <v>109.63</v>
      </c>
      <c r="B857" s="52">
        <v>111.602</v>
      </c>
      <c r="C857" s="52">
        <v>108.28</v>
      </c>
      <c r="D857" s="52">
        <v>109.94</v>
      </c>
      <c r="E857" s="52">
        <v>896643</v>
      </c>
      <c r="F857" s="52" t="s">
        <v>864</v>
      </c>
      <c r="G857" s="25">
        <f t="shared" si="12"/>
        <v>-2.819719847189428E-3</v>
      </c>
    </row>
    <row r="858" spans="1:7">
      <c r="A858" s="52">
        <v>109.91</v>
      </c>
      <c r="B858" s="52">
        <v>111</v>
      </c>
      <c r="C858" s="52">
        <v>108.93</v>
      </c>
      <c r="D858" s="52">
        <v>110.11</v>
      </c>
      <c r="E858" s="52">
        <v>749704</v>
      </c>
      <c r="F858" s="52" t="s">
        <v>865</v>
      </c>
      <c r="G858" s="25">
        <f t="shared" si="12"/>
        <v>-1.8163654527291184E-3</v>
      </c>
    </row>
    <row r="859" spans="1:7">
      <c r="A859" s="52">
        <v>108.33</v>
      </c>
      <c r="B859" s="52">
        <v>109.94</v>
      </c>
      <c r="C859" s="52">
        <v>107.21</v>
      </c>
      <c r="D859" s="52">
        <v>108.14</v>
      </c>
      <c r="E859" s="52">
        <v>658793</v>
      </c>
      <c r="F859" s="52" t="s">
        <v>866</v>
      </c>
      <c r="G859" s="25">
        <f t="shared" si="12"/>
        <v>1.7569816904012825E-3</v>
      </c>
    </row>
    <row r="860" spans="1:7">
      <c r="A860" s="52">
        <v>106.15</v>
      </c>
      <c r="B860" s="52">
        <v>110.38</v>
      </c>
      <c r="C860" s="52">
        <v>106.01</v>
      </c>
      <c r="D860" s="52">
        <v>108.07</v>
      </c>
      <c r="E860" s="52">
        <v>581405</v>
      </c>
      <c r="F860" s="52" t="s">
        <v>867</v>
      </c>
      <c r="G860" s="25">
        <f t="shared" si="12"/>
        <v>-1.7766262607569083E-2</v>
      </c>
    </row>
    <row r="861" spans="1:7">
      <c r="A861" s="52">
        <v>108.19</v>
      </c>
      <c r="B861" s="52">
        <v>109.7</v>
      </c>
      <c r="C861" s="52">
        <v>104.68</v>
      </c>
      <c r="D861" s="52">
        <v>109.57</v>
      </c>
      <c r="E861" s="52">
        <v>846360</v>
      </c>
      <c r="F861" s="52" t="s">
        <v>868</v>
      </c>
      <c r="G861" s="25">
        <f t="shared" si="12"/>
        <v>-1.2594688327096759E-2</v>
      </c>
    </row>
    <row r="862" spans="1:7">
      <c r="A862" s="52">
        <v>110.87</v>
      </c>
      <c r="B862" s="52">
        <v>111.44499999999999</v>
      </c>
      <c r="C862" s="52">
        <v>107.33</v>
      </c>
      <c r="D862" s="52">
        <v>109.97</v>
      </c>
      <c r="E862" s="52">
        <v>677500</v>
      </c>
      <c r="F862" s="52" t="s">
        <v>869</v>
      </c>
      <c r="G862" s="25">
        <f t="shared" si="12"/>
        <v>8.1840501955079414E-3</v>
      </c>
    </row>
    <row r="863" spans="1:7">
      <c r="A863" s="52">
        <v>110.14</v>
      </c>
      <c r="B863" s="52">
        <v>115.4</v>
      </c>
      <c r="C863" s="52">
        <v>110.07</v>
      </c>
      <c r="D863" s="52">
        <v>114.11</v>
      </c>
      <c r="E863" s="52">
        <v>1024571</v>
      </c>
      <c r="F863" s="52" t="s">
        <v>870</v>
      </c>
      <c r="G863" s="25">
        <f t="shared" si="12"/>
        <v>-3.4790991148891393E-2</v>
      </c>
    </row>
    <row r="864" spans="1:7">
      <c r="A864" s="52">
        <v>113.9</v>
      </c>
      <c r="B864" s="52">
        <v>116.25</v>
      </c>
      <c r="C864" s="52">
        <v>112.97</v>
      </c>
      <c r="D864" s="52">
        <v>115.25</v>
      </c>
      <c r="E864" s="52">
        <v>986938</v>
      </c>
      <c r="F864" s="52" t="s">
        <v>871</v>
      </c>
      <c r="G864" s="25">
        <f t="shared" si="12"/>
        <v>-1.1713665943600793E-2</v>
      </c>
    </row>
    <row r="865" spans="1:7">
      <c r="A865" s="52">
        <v>115.25</v>
      </c>
      <c r="B865" s="52">
        <v>115.78</v>
      </c>
      <c r="C865" s="52">
        <v>110.94</v>
      </c>
      <c r="D865" s="52">
        <v>111.52</v>
      </c>
      <c r="E865" s="52">
        <v>1349837</v>
      </c>
      <c r="F865" s="52" t="s">
        <v>872</v>
      </c>
      <c r="G865" s="25">
        <f t="shared" si="12"/>
        <v>3.3446915351506457E-2</v>
      </c>
    </row>
    <row r="866" spans="1:7">
      <c r="A866" s="52">
        <v>111.99</v>
      </c>
      <c r="B866" s="52">
        <v>112.39</v>
      </c>
      <c r="C866" s="52">
        <v>108.17</v>
      </c>
      <c r="D866" s="52">
        <v>109.83</v>
      </c>
      <c r="E866" s="52">
        <v>1836379</v>
      </c>
      <c r="F866" s="52" t="s">
        <v>873</v>
      </c>
      <c r="G866" s="25">
        <f t="shared" si="12"/>
        <v>1.9666757716470862E-2</v>
      </c>
    </row>
    <row r="867" spans="1:7">
      <c r="A867" s="52">
        <v>110.68</v>
      </c>
      <c r="B867" s="52">
        <v>112.11</v>
      </c>
      <c r="C867" s="52">
        <v>106.655</v>
      </c>
      <c r="D867" s="52">
        <v>108.4</v>
      </c>
      <c r="E867" s="52">
        <v>1663178</v>
      </c>
      <c r="F867" s="52" t="s">
        <v>874</v>
      </c>
      <c r="G867" s="25">
        <f t="shared" si="12"/>
        <v>2.1033210332103369E-2</v>
      </c>
    </row>
    <row r="868" spans="1:7">
      <c r="A868" s="52">
        <v>107.57</v>
      </c>
      <c r="B868" s="52">
        <v>107.67</v>
      </c>
      <c r="C868" s="52">
        <v>103.05</v>
      </c>
      <c r="D868" s="52">
        <v>104.57</v>
      </c>
      <c r="E868" s="52">
        <v>4615568</v>
      </c>
      <c r="F868" s="52" t="s">
        <v>875</v>
      </c>
      <c r="G868" s="25">
        <f t="shared" si="12"/>
        <v>2.8688916515252849E-2</v>
      </c>
    </row>
    <row r="869" spans="1:7">
      <c r="A869" s="52">
        <v>105.16</v>
      </c>
      <c r="B869" s="52">
        <v>112.71</v>
      </c>
      <c r="C869" s="52">
        <v>104.45010000000001</v>
      </c>
      <c r="D869" s="52">
        <v>110.672</v>
      </c>
      <c r="E869" s="52">
        <v>3070837</v>
      </c>
      <c r="F869" s="52" t="s">
        <v>876</v>
      </c>
      <c r="G869" s="25">
        <f t="shared" si="12"/>
        <v>-4.9804828682954994E-2</v>
      </c>
    </row>
    <row r="870" spans="1:7">
      <c r="A870" s="52">
        <v>116.55</v>
      </c>
      <c r="B870" s="52">
        <v>117.98</v>
      </c>
      <c r="C870" s="52">
        <v>114.61</v>
      </c>
      <c r="D870" s="52">
        <v>117.43</v>
      </c>
      <c r="E870" s="52">
        <v>766403</v>
      </c>
      <c r="F870" s="52" t="s">
        <v>877</v>
      </c>
      <c r="G870" s="25">
        <f t="shared" si="12"/>
        <v>-7.4938261091714864E-3</v>
      </c>
    </row>
    <row r="871" spans="1:7">
      <c r="A871" s="52">
        <v>118.44</v>
      </c>
      <c r="B871" s="52">
        <v>120.23</v>
      </c>
      <c r="C871" s="52">
        <v>117.49</v>
      </c>
      <c r="D871" s="52">
        <v>118.27</v>
      </c>
      <c r="E871" s="52">
        <v>769998</v>
      </c>
      <c r="F871" s="52" t="s">
        <v>878</v>
      </c>
      <c r="G871" s="25">
        <f t="shared" si="12"/>
        <v>1.4373890251120347E-3</v>
      </c>
    </row>
    <row r="872" spans="1:7">
      <c r="A872" s="52">
        <v>119.24</v>
      </c>
      <c r="B872" s="52">
        <v>119.33</v>
      </c>
      <c r="C872" s="52">
        <v>113.1</v>
      </c>
      <c r="D872" s="52">
        <v>113.63</v>
      </c>
      <c r="E872" s="52">
        <v>1383425</v>
      </c>
      <c r="F872" s="52" t="s">
        <v>879</v>
      </c>
      <c r="G872" s="25">
        <f t="shared" si="12"/>
        <v>4.9370764762826758E-2</v>
      </c>
    </row>
    <row r="873" spans="1:7">
      <c r="A873" s="52">
        <v>112.9</v>
      </c>
      <c r="B873" s="52">
        <v>113.91</v>
      </c>
      <c r="C873" s="52">
        <v>107.98</v>
      </c>
      <c r="D873" s="52">
        <v>108.57</v>
      </c>
      <c r="E873" s="52">
        <v>835762</v>
      </c>
      <c r="F873" s="52" t="s">
        <v>880</v>
      </c>
      <c r="G873" s="25">
        <f t="shared" si="12"/>
        <v>3.9882103711891048E-2</v>
      </c>
    </row>
    <row r="874" spans="1:7">
      <c r="A874" s="52">
        <v>108.68</v>
      </c>
      <c r="B874" s="52">
        <v>109.56</v>
      </c>
      <c r="C874" s="52">
        <v>106.34</v>
      </c>
      <c r="D874" s="52">
        <v>108.96</v>
      </c>
      <c r="E874" s="52">
        <v>620007</v>
      </c>
      <c r="F874" s="52" t="s">
        <v>881</v>
      </c>
      <c r="G874" s="25">
        <f t="shared" si="12"/>
        <v>-2.5697503671070487E-3</v>
      </c>
    </row>
    <row r="875" spans="1:7">
      <c r="A875" s="52">
        <v>109.38</v>
      </c>
      <c r="B875" s="52">
        <v>113.3</v>
      </c>
      <c r="C875" s="52">
        <v>109.17</v>
      </c>
      <c r="D875" s="52">
        <v>110.99</v>
      </c>
      <c r="E875" s="52">
        <v>644458</v>
      </c>
      <c r="F875" s="52" t="s">
        <v>882</v>
      </c>
      <c r="G875" s="25">
        <f t="shared" si="12"/>
        <v>-1.4505811334354468E-2</v>
      </c>
    </row>
    <row r="876" spans="1:7">
      <c r="A876" s="52">
        <v>110.08</v>
      </c>
      <c r="B876" s="52">
        <v>110.24</v>
      </c>
      <c r="C876" s="52">
        <v>106.67</v>
      </c>
      <c r="D876" s="52">
        <v>108.93</v>
      </c>
      <c r="E876" s="52">
        <v>662842</v>
      </c>
      <c r="F876" s="52" t="s">
        <v>883</v>
      </c>
      <c r="G876" s="25">
        <f t="shared" si="12"/>
        <v>1.0557238593592144E-2</v>
      </c>
    </row>
    <row r="877" spans="1:7">
      <c r="A877" s="52">
        <v>109.38</v>
      </c>
      <c r="B877" s="52">
        <v>110.83</v>
      </c>
      <c r="C877" s="52">
        <v>108.95</v>
      </c>
      <c r="D877" s="52">
        <v>109.18</v>
      </c>
      <c r="E877" s="52">
        <v>601708</v>
      </c>
      <c r="F877" s="52" t="s">
        <v>884</v>
      </c>
      <c r="G877" s="25">
        <f t="shared" si="12"/>
        <v>1.8318373328447546E-3</v>
      </c>
    </row>
    <row r="878" spans="1:7">
      <c r="A878" s="52">
        <v>109.31</v>
      </c>
      <c r="B878" s="52">
        <v>110.76</v>
      </c>
      <c r="C878" s="52">
        <v>107.46</v>
      </c>
      <c r="D878" s="52">
        <v>110.54</v>
      </c>
      <c r="E878" s="52">
        <v>492823</v>
      </c>
      <c r="F878" s="52" t="s">
        <v>885</v>
      </c>
      <c r="G878" s="25">
        <f t="shared" si="12"/>
        <v>-1.1127193776008681E-2</v>
      </c>
    </row>
    <row r="879" spans="1:7">
      <c r="A879" s="52">
        <v>110.28</v>
      </c>
      <c r="B879" s="52">
        <v>111.9432</v>
      </c>
      <c r="C879" s="52">
        <v>109.5201</v>
      </c>
      <c r="D879" s="52">
        <v>111.01</v>
      </c>
      <c r="E879" s="52">
        <v>606521</v>
      </c>
      <c r="F879" s="52" t="s">
        <v>886</v>
      </c>
      <c r="G879" s="25">
        <f t="shared" si="12"/>
        <v>-6.5759841455724777E-3</v>
      </c>
    </row>
    <row r="880" spans="1:7">
      <c r="A880" s="52">
        <v>111.89</v>
      </c>
      <c r="B880" s="52">
        <v>114.02</v>
      </c>
      <c r="C880" s="52">
        <v>110.66</v>
      </c>
      <c r="D880" s="52">
        <v>113.9</v>
      </c>
      <c r="E880" s="52">
        <v>813779</v>
      </c>
      <c r="F880" s="52" t="s">
        <v>887</v>
      </c>
      <c r="G880" s="25">
        <f t="shared" si="12"/>
        <v>-1.764705882352946E-2</v>
      </c>
    </row>
    <row r="881" spans="1:7">
      <c r="A881" s="52">
        <v>113.81</v>
      </c>
      <c r="B881" s="52">
        <v>116.91</v>
      </c>
      <c r="C881" s="52">
        <v>113.35</v>
      </c>
      <c r="D881" s="52">
        <v>115.29</v>
      </c>
      <c r="E881" s="52">
        <v>878311</v>
      </c>
      <c r="F881" s="52" t="s">
        <v>888</v>
      </c>
      <c r="G881" s="25">
        <f t="shared" si="12"/>
        <v>-1.2837193165062044E-2</v>
      </c>
    </row>
    <row r="882" spans="1:7">
      <c r="A882" s="52">
        <v>114.75</v>
      </c>
      <c r="B882" s="52">
        <v>116.63</v>
      </c>
      <c r="C882" s="52">
        <v>108.29</v>
      </c>
      <c r="D882" s="52">
        <v>108.74</v>
      </c>
      <c r="E882" s="52">
        <v>1775384</v>
      </c>
      <c r="F882" s="52" t="s">
        <v>889</v>
      </c>
      <c r="G882" s="25">
        <f t="shared" si="12"/>
        <v>5.5269450064373782E-2</v>
      </c>
    </row>
    <row r="883" spans="1:7">
      <c r="A883" s="52">
        <v>109.09</v>
      </c>
      <c r="B883" s="52">
        <v>110.01</v>
      </c>
      <c r="C883" s="52">
        <v>106.02</v>
      </c>
      <c r="D883" s="52">
        <v>107.85</v>
      </c>
      <c r="E883" s="52">
        <v>892881</v>
      </c>
      <c r="F883" s="52" t="s">
        <v>890</v>
      </c>
      <c r="G883" s="25">
        <f t="shared" si="12"/>
        <v>1.1497450162262446E-2</v>
      </c>
    </row>
    <row r="884" spans="1:7">
      <c r="A884" s="52">
        <v>107.73</v>
      </c>
      <c r="B884" s="52">
        <v>111.48</v>
      </c>
      <c r="C884" s="52">
        <v>107.42</v>
      </c>
      <c r="D884" s="52">
        <v>108.19</v>
      </c>
      <c r="E884" s="52">
        <v>873089</v>
      </c>
      <c r="F884" s="52" t="s">
        <v>891</v>
      </c>
      <c r="G884" s="25">
        <f t="shared" ref="G884:G947" si="13">A884/D884-1</f>
        <v>-4.2517792771974428E-3</v>
      </c>
    </row>
    <row r="885" spans="1:7">
      <c r="A885" s="52">
        <v>107.86</v>
      </c>
      <c r="B885" s="52">
        <v>109.11</v>
      </c>
      <c r="C885" s="52">
        <v>106.925</v>
      </c>
      <c r="D885" s="52">
        <v>108.31</v>
      </c>
      <c r="E885" s="52">
        <v>774371</v>
      </c>
      <c r="F885" s="52" t="s">
        <v>892</v>
      </c>
      <c r="G885" s="25">
        <f t="shared" si="13"/>
        <v>-4.1547410211429936E-3</v>
      </c>
    </row>
    <row r="886" spans="1:7">
      <c r="A886" s="52">
        <v>108.65</v>
      </c>
      <c r="B886" s="52">
        <v>109.15</v>
      </c>
      <c r="C886" s="52">
        <v>106.13500000000001</v>
      </c>
      <c r="D886" s="52">
        <v>109</v>
      </c>
      <c r="E886" s="52">
        <v>573102</v>
      </c>
      <c r="F886" s="52" t="s">
        <v>893</v>
      </c>
      <c r="G886" s="25">
        <f t="shared" si="13"/>
        <v>-3.2110091743118296E-3</v>
      </c>
    </row>
    <row r="887" spans="1:7">
      <c r="A887" s="52">
        <v>109</v>
      </c>
      <c r="B887" s="52">
        <v>110.33</v>
      </c>
      <c r="C887" s="52">
        <v>106.83</v>
      </c>
      <c r="D887" s="52">
        <v>107.33</v>
      </c>
      <c r="E887" s="52">
        <v>847508</v>
      </c>
      <c r="F887" s="52" t="s">
        <v>894</v>
      </c>
      <c r="G887" s="25">
        <f t="shared" si="13"/>
        <v>1.5559489425137407E-2</v>
      </c>
    </row>
    <row r="888" spans="1:7">
      <c r="A888" s="52">
        <v>107.83</v>
      </c>
      <c r="B888" s="52">
        <v>109.5</v>
      </c>
      <c r="C888" s="52">
        <v>106.745</v>
      </c>
      <c r="D888" s="52">
        <v>109.25</v>
      </c>
      <c r="E888" s="52">
        <v>1127215</v>
      </c>
      <c r="F888" s="52" t="s">
        <v>895</v>
      </c>
      <c r="G888" s="25">
        <f t="shared" si="13"/>
        <v>-1.2997711670480583E-2</v>
      </c>
    </row>
    <row r="889" spans="1:7">
      <c r="A889" s="52">
        <v>109.04</v>
      </c>
      <c r="B889" s="52">
        <v>109.37</v>
      </c>
      <c r="C889" s="52">
        <v>107.4</v>
      </c>
      <c r="D889" s="52">
        <v>108.16</v>
      </c>
      <c r="E889" s="52">
        <v>1243935</v>
      </c>
      <c r="F889" s="52" t="s">
        <v>896</v>
      </c>
      <c r="G889" s="25">
        <f t="shared" si="13"/>
        <v>8.1360946745563378E-3</v>
      </c>
    </row>
    <row r="890" spans="1:7">
      <c r="A890" s="52">
        <v>109</v>
      </c>
      <c r="B890" s="52">
        <v>110.96</v>
      </c>
      <c r="C890" s="52">
        <v>108.61</v>
      </c>
      <c r="D890" s="52">
        <v>109.3</v>
      </c>
      <c r="E890" s="52">
        <v>1028741</v>
      </c>
      <c r="F890" s="52" t="s">
        <v>897</v>
      </c>
      <c r="G890" s="25">
        <f t="shared" si="13"/>
        <v>-2.7447392497712553E-3</v>
      </c>
    </row>
    <row r="891" spans="1:7">
      <c r="A891" s="52">
        <v>109.26</v>
      </c>
      <c r="B891" s="52">
        <v>113.42</v>
      </c>
      <c r="C891" s="52">
        <v>108.69</v>
      </c>
      <c r="D891" s="52">
        <v>112.31</v>
      </c>
      <c r="E891" s="52">
        <v>1022232</v>
      </c>
      <c r="F891" s="52" t="s">
        <v>898</v>
      </c>
      <c r="G891" s="25">
        <f t="shared" si="13"/>
        <v>-2.7156976226515916E-2</v>
      </c>
    </row>
    <row r="892" spans="1:7">
      <c r="A892" s="52">
        <v>113.07</v>
      </c>
      <c r="B892" s="52">
        <v>113.6</v>
      </c>
      <c r="C892" s="52">
        <v>109.31</v>
      </c>
      <c r="D892" s="52">
        <v>109.31</v>
      </c>
      <c r="E892" s="52">
        <v>1014283</v>
      </c>
      <c r="F892" s="52" t="s">
        <v>899</v>
      </c>
      <c r="G892" s="25">
        <f t="shared" si="13"/>
        <v>3.4397584850425211E-2</v>
      </c>
    </row>
    <row r="893" spans="1:7">
      <c r="A893" s="52">
        <v>109.1</v>
      </c>
      <c r="B893" s="52">
        <v>112.89</v>
      </c>
      <c r="C893" s="52">
        <v>107.75</v>
      </c>
      <c r="D893" s="52">
        <v>112.46</v>
      </c>
      <c r="E893" s="52">
        <v>1999590</v>
      </c>
      <c r="F893" s="52" t="s">
        <v>900</v>
      </c>
      <c r="G893" s="25">
        <f t="shared" si="13"/>
        <v>-2.9877289703005516E-2</v>
      </c>
    </row>
    <row r="894" spans="1:7">
      <c r="A894" s="52">
        <v>111.47</v>
      </c>
      <c r="B894" s="52">
        <v>111.9</v>
      </c>
      <c r="C894" s="52">
        <v>105.45</v>
      </c>
      <c r="D894" s="52">
        <v>105.95</v>
      </c>
      <c r="E894" s="52">
        <v>2184157</v>
      </c>
      <c r="F894" s="52" t="s">
        <v>901</v>
      </c>
      <c r="G894" s="25">
        <f t="shared" si="13"/>
        <v>5.2100047192071619E-2</v>
      </c>
    </row>
    <row r="895" spans="1:7">
      <c r="A895" s="52">
        <v>106.02</v>
      </c>
      <c r="B895" s="52">
        <v>107.03019999999999</v>
      </c>
      <c r="C895" s="52">
        <v>99.45</v>
      </c>
      <c r="D895" s="52">
        <v>100.6</v>
      </c>
      <c r="E895" s="52">
        <v>1407874</v>
      </c>
      <c r="F895" s="52" t="s">
        <v>902</v>
      </c>
      <c r="G895" s="25">
        <f t="shared" si="13"/>
        <v>5.3876739562624287E-2</v>
      </c>
    </row>
    <row r="896" spans="1:7">
      <c r="A896" s="52">
        <v>101.45</v>
      </c>
      <c r="B896" s="52">
        <v>103.16</v>
      </c>
      <c r="C896" s="52">
        <v>96.19</v>
      </c>
      <c r="D896" s="52">
        <v>96.2</v>
      </c>
      <c r="E896" s="52">
        <v>1599223</v>
      </c>
      <c r="F896" s="52" t="s">
        <v>903</v>
      </c>
      <c r="G896" s="25">
        <f t="shared" si="13"/>
        <v>5.4573804573804674E-2</v>
      </c>
    </row>
    <row r="897" spans="1:7">
      <c r="A897" s="52">
        <v>96.11</v>
      </c>
      <c r="B897" s="52">
        <v>96.23</v>
      </c>
      <c r="C897" s="52">
        <v>92.534999999999997</v>
      </c>
      <c r="D897" s="52">
        <v>94.34</v>
      </c>
      <c r="E897" s="52">
        <v>2391878</v>
      </c>
      <c r="F897" s="52" t="s">
        <v>904</v>
      </c>
      <c r="G897" s="25">
        <f t="shared" si="13"/>
        <v>1.8761924952300113E-2</v>
      </c>
    </row>
    <row r="898" spans="1:7">
      <c r="A898" s="52">
        <v>94.01</v>
      </c>
      <c r="B898" s="52">
        <v>94.71</v>
      </c>
      <c r="C898" s="52">
        <v>90.95</v>
      </c>
      <c r="D898" s="52">
        <v>91.35</v>
      </c>
      <c r="E898" s="52">
        <v>1143387</v>
      </c>
      <c r="F898" s="52" t="s">
        <v>905</v>
      </c>
      <c r="G898" s="25">
        <f t="shared" si="13"/>
        <v>2.911877394636031E-2</v>
      </c>
    </row>
    <row r="899" spans="1:7">
      <c r="A899" s="52">
        <v>91.55</v>
      </c>
      <c r="B899" s="52">
        <v>93.919899999999998</v>
      </c>
      <c r="C899" s="52">
        <v>90.4</v>
      </c>
      <c r="D899" s="52">
        <v>92.76</v>
      </c>
      <c r="E899" s="52">
        <v>829088</v>
      </c>
      <c r="F899" s="52" t="s">
        <v>906</v>
      </c>
      <c r="G899" s="25">
        <f t="shared" si="13"/>
        <v>-1.3044415696421008E-2</v>
      </c>
    </row>
    <row r="900" spans="1:7">
      <c r="A900" s="52">
        <v>92.95</v>
      </c>
      <c r="B900" s="52">
        <v>96.02</v>
      </c>
      <c r="C900" s="52">
        <v>89.75</v>
      </c>
      <c r="D900" s="52">
        <v>96.02</v>
      </c>
      <c r="E900" s="52">
        <v>3663802</v>
      </c>
      <c r="F900" s="52" t="s">
        <v>907</v>
      </c>
      <c r="G900" s="25">
        <f t="shared" si="13"/>
        <v>-3.1972505727973277E-2</v>
      </c>
    </row>
    <row r="901" spans="1:7">
      <c r="A901" s="52">
        <v>85.93</v>
      </c>
      <c r="B901" s="52">
        <v>86.52</v>
      </c>
      <c r="C901" s="52">
        <v>84.047399999999996</v>
      </c>
      <c r="D901" s="52">
        <v>86.52</v>
      </c>
      <c r="E901" s="52">
        <v>379335</v>
      </c>
      <c r="F901" s="52" t="s">
        <v>908</v>
      </c>
      <c r="G901" s="25">
        <f t="shared" si="13"/>
        <v>-6.8192325473878102E-3</v>
      </c>
    </row>
    <row r="902" spans="1:7">
      <c r="A902" s="52">
        <v>85.86</v>
      </c>
      <c r="B902" s="52">
        <v>86.28</v>
      </c>
      <c r="C902" s="52">
        <v>82.48</v>
      </c>
      <c r="D902" s="52">
        <v>82.83</v>
      </c>
      <c r="E902" s="52">
        <v>677404</v>
      </c>
      <c r="F902" s="52" t="s">
        <v>909</v>
      </c>
      <c r="G902" s="25">
        <f t="shared" si="13"/>
        <v>3.6580948931546509E-2</v>
      </c>
    </row>
    <row r="903" spans="1:7">
      <c r="A903" s="52">
        <v>82.54</v>
      </c>
      <c r="B903" s="52">
        <v>84.355000000000004</v>
      </c>
      <c r="C903" s="52">
        <v>81.260000000000005</v>
      </c>
      <c r="D903" s="52">
        <v>82.87</v>
      </c>
      <c r="E903" s="52">
        <v>561084</v>
      </c>
      <c r="F903" s="52" t="s">
        <v>910</v>
      </c>
      <c r="G903" s="25">
        <f t="shared" si="13"/>
        <v>-3.9821407023048483E-3</v>
      </c>
    </row>
    <row r="904" spans="1:7">
      <c r="A904" s="52">
        <v>83.2</v>
      </c>
      <c r="B904" s="52">
        <v>84.26</v>
      </c>
      <c r="C904" s="52">
        <v>82.1</v>
      </c>
      <c r="D904" s="52">
        <v>83.61</v>
      </c>
      <c r="E904" s="52">
        <v>422109</v>
      </c>
      <c r="F904" s="52" t="s">
        <v>911</v>
      </c>
      <c r="G904" s="25">
        <f t="shared" si="13"/>
        <v>-4.9037196507594194E-3</v>
      </c>
    </row>
    <row r="905" spans="1:7">
      <c r="A905" s="52">
        <v>83.99</v>
      </c>
      <c r="B905" s="52">
        <v>85.31</v>
      </c>
      <c r="C905" s="52">
        <v>83.8</v>
      </c>
      <c r="D905" s="52">
        <v>85.19</v>
      </c>
      <c r="E905" s="52">
        <v>572006</v>
      </c>
      <c r="F905" s="52" t="s">
        <v>912</v>
      </c>
      <c r="G905" s="25">
        <f t="shared" si="13"/>
        <v>-1.4086160347458687E-2</v>
      </c>
    </row>
    <row r="906" spans="1:7">
      <c r="A906" s="52">
        <v>84.66</v>
      </c>
      <c r="B906" s="52">
        <v>85.91</v>
      </c>
      <c r="C906" s="52">
        <v>84.11</v>
      </c>
      <c r="D906" s="52">
        <v>85.62</v>
      </c>
      <c r="E906" s="52">
        <v>461107</v>
      </c>
      <c r="F906" s="52" t="s">
        <v>913</v>
      </c>
      <c r="G906" s="25">
        <f t="shared" si="13"/>
        <v>-1.1212333566923749E-2</v>
      </c>
    </row>
    <row r="907" spans="1:7">
      <c r="A907" s="52">
        <v>85.45</v>
      </c>
      <c r="B907" s="52">
        <v>86.4</v>
      </c>
      <c r="C907" s="52">
        <v>84.01</v>
      </c>
      <c r="D907" s="52">
        <v>84.73</v>
      </c>
      <c r="E907" s="52">
        <v>412628</v>
      </c>
      <c r="F907" s="52" t="s">
        <v>914</v>
      </c>
      <c r="G907" s="25">
        <f t="shared" si="13"/>
        <v>8.4975805499822865E-3</v>
      </c>
    </row>
    <row r="908" spans="1:7">
      <c r="A908" s="52">
        <v>84.7</v>
      </c>
      <c r="B908" s="52">
        <v>85.935000000000002</v>
      </c>
      <c r="C908" s="52">
        <v>84.04</v>
      </c>
      <c r="D908" s="52">
        <v>84.75</v>
      </c>
      <c r="E908" s="52">
        <v>661504</v>
      </c>
      <c r="F908" s="52" t="s">
        <v>915</v>
      </c>
      <c r="G908" s="25">
        <f t="shared" si="13"/>
        <v>-5.8997050147491237E-4</v>
      </c>
    </row>
    <row r="909" spans="1:7">
      <c r="A909" s="52">
        <v>84.43</v>
      </c>
      <c r="B909" s="52">
        <v>85.83</v>
      </c>
      <c r="C909" s="52">
        <v>83.605000000000004</v>
      </c>
      <c r="D909" s="52">
        <v>83.72</v>
      </c>
      <c r="E909" s="52">
        <v>809983</v>
      </c>
      <c r="F909" s="52" t="s">
        <v>916</v>
      </c>
      <c r="G909" s="25">
        <f t="shared" si="13"/>
        <v>8.4806497849976292E-3</v>
      </c>
    </row>
    <row r="910" spans="1:7">
      <c r="A910" s="52">
        <v>83.59</v>
      </c>
      <c r="B910" s="52">
        <v>84.27</v>
      </c>
      <c r="C910" s="52">
        <v>81.45</v>
      </c>
      <c r="D910" s="52">
        <v>82.81</v>
      </c>
      <c r="E910" s="52">
        <v>1022306</v>
      </c>
      <c r="F910" s="52" t="s">
        <v>917</v>
      </c>
      <c r="G910" s="25">
        <f t="shared" si="13"/>
        <v>9.4191522762951951E-3</v>
      </c>
    </row>
    <row r="911" spans="1:7">
      <c r="A911" s="52">
        <v>82.25</v>
      </c>
      <c r="B911" s="52">
        <v>83.72</v>
      </c>
      <c r="C911" s="52">
        <v>80.09</v>
      </c>
      <c r="D911" s="52">
        <v>81.069999999999993</v>
      </c>
      <c r="E911" s="52">
        <v>742318</v>
      </c>
      <c r="F911" s="52" t="s">
        <v>918</v>
      </c>
      <c r="G911" s="25">
        <f t="shared" si="13"/>
        <v>1.4555322560749984E-2</v>
      </c>
    </row>
    <row r="912" spans="1:7">
      <c r="A912" s="52">
        <v>81.17</v>
      </c>
      <c r="B912" s="52">
        <v>82.8</v>
      </c>
      <c r="C912" s="52">
        <v>77.900000000000006</v>
      </c>
      <c r="D912" s="52">
        <v>78.319999999999993</v>
      </c>
      <c r="E912" s="52">
        <v>922490</v>
      </c>
      <c r="F912" s="52" t="s">
        <v>919</v>
      </c>
      <c r="G912" s="25">
        <f t="shared" si="13"/>
        <v>3.6389172625127753E-2</v>
      </c>
    </row>
    <row r="913" spans="1:7">
      <c r="A913" s="52">
        <v>79.11</v>
      </c>
      <c r="B913" s="52">
        <v>80.489999999999995</v>
      </c>
      <c r="C913" s="52">
        <v>77.39</v>
      </c>
      <c r="D913" s="52">
        <v>80.180000000000007</v>
      </c>
      <c r="E913" s="52">
        <v>780251</v>
      </c>
      <c r="F913" s="52" t="s">
        <v>920</v>
      </c>
      <c r="G913" s="25">
        <f t="shared" si="13"/>
        <v>-1.3344973808929961E-2</v>
      </c>
    </row>
    <row r="914" spans="1:7">
      <c r="A914" s="52">
        <v>80.12</v>
      </c>
      <c r="B914" s="52">
        <v>81.55</v>
      </c>
      <c r="C914" s="52">
        <v>78.84</v>
      </c>
      <c r="D914" s="52">
        <v>79.78</v>
      </c>
      <c r="E914" s="52">
        <v>666585</v>
      </c>
      <c r="F914" s="52" t="s">
        <v>921</v>
      </c>
      <c r="G914" s="25">
        <f t="shared" si="13"/>
        <v>4.2617197292555975E-3</v>
      </c>
    </row>
    <row r="915" spans="1:7">
      <c r="A915" s="52">
        <v>80.47</v>
      </c>
      <c r="B915" s="52">
        <v>80.75</v>
      </c>
      <c r="C915" s="52">
        <v>78.91</v>
      </c>
      <c r="D915" s="52">
        <v>79.41</v>
      </c>
      <c r="E915" s="52">
        <v>1036510</v>
      </c>
      <c r="F915" s="52" t="s">
        <v>922</v>
      </c>
      <c r="G915" s="25">
        <f t="shared" si="13"/>
        <v>1.334844478025432E-2</v>
      </c>
    </row>
    <row r="916" spans="1:7">
      <c r="A916" s="52">
        <v>79.7</v>
      </c>
      <c r="B916" s="52">
        <v>80.88</v>
      </c>
      <c r="C916" s="52">
        <v>76.260000000000005</v>
      </c>
      <c r="D916" s="52">
        <v>76.59</v>
      </c>
      <c r="E916" s="52">
        <v>1418870</v>
      </c>
      <c r="F916" s="52" t="s">
        <v>923</v>
      </c>
      <c r="G916" s="25">
        <f t="shared" si="13"/>
        <v>4.0605823214518777E-2</v>
      </c>
    </row>
    <row r="917" spans="1:7">
      <c r="A917" s="52">
        <v>75.97</v>
      </c>
      <c r="B917" s="52">
        <v>77.14</v>
      </c>
      <c r="C917" s="52">
        <v>72.02</v>
      </c>
      <c r="D917" s="52">
        <v>72.5</v>
      </c>
      <c r="E917" s="52">
        <v>2522699</v>
      </c>
      <c r="F917" s="52" t="s">
        <v>924</v>
      </c>
      <c r="G917" s="25">
        <f t="shared" si="13"/>
        <v>4.7862068965517146E-2</v>
      </c>
    </row>
    <row r="918" spans="1:7">
      <c r="A918" s="52">
        <v>75.739999999999995</v>
      </c>
      <c r="B918" s="52">
        <v>76</v>
      </c>
      <c r="C918" s="52">
        <v>73.069999999999993</v>
      </c>
      <c r="D918" s="52">
        <v>74.78</v>
      </c>
      <c r="E918" s="52">
        <v>1287879</v>
      </c>
      <c r="F918" s="52" t="s">
        <v>925</v>
      </c>
      <c r="G918" s="25">
        <f t="shared" si="13"/>
        <v>1.283765712757412E-2</v>
      </c>
    </row>
    <row r="919" spans="1:7">
      <c r="A919" s="52">
        <v>75.709999999999994</v>
      </c>
      <c r="B919" s="52">
        <v>76.34</v>
      </c>
      <c r="C919" s="52">
        <v>73.55</v>
      </c>
      <c r="D919" s="52">
        <v>74.569999999999993</v>
      </c>
      <c r="E919" s="52">
        <v>884857</v>
      </c>
      <c r="F919" s="52" t="s">
        <v>926</v>
      </c>
      <c r="G919" s="25">
        <f t="shared" si="13"/>
        <v>1.5287649188681751E-2</v>
      </c>
    </row>
    <row r="920" spans="1:7">
      <c r="A920" s="52">
        <v>74.959999999999994</v>
      </c>
      <c r="B920" s="52">
        <v>77.97</v>
      </c>
      <c r="C920" s="52">
        <v>74.540000000000006</v>
      </c>
      <c r="D920" s="52">
        <v>76.569999999999993</v>
      </c>
      <c r="E920" s="52">
        <v>743209</v>
      </c>
      <c r="F920" s="52" t="s">
        <v>927</v>
      </c>
      <c r="G920" s="25">
        <f t="shared" si="13"/>
        <v>-2.1026511688650884E-2</v>
      </c>
    </row>
    <row r="921" spans="1:7">
      <c r="A921" s="52">
        <v>77.069999999999993</v>
      </c>
      <c r="B921" s="52">
        <v>77.89</v>
      </c>
      <c r="C921" s="52">
        <v>73.59</v>
      </c>
      <c r="D921" s="52">
        <v>74.75</v>
      </c>
      <c r="E921" s="52">
        <v>739858</v>
      </c>
      <c r="F921" s="52" t="s">
        <v>928</v>
      </c>
      <c r="G921" s="25">
        <f t="shared" si="13"/>
        <v>3.1036789297658851E-2</v>
      </c>
    </row>
    <row r="922" spans="1:7">
      <c r="A922" s="52">
        <v>74.67</v>
      </c>
      <c r="B922" s="52">
        <v>77.25</v>
      </c>
      <c r="C922" s="52">
        <v>73.739999999999995</v>
      </c>
      <c r="D922" s="52">
        <v>76.83</v>
      </c>
      <c r="E922" s="52">
        <v>591761</v>
      </c>
      <c r="F922" s="52" t="s">
        <v>929</v>
      </c>
      <c r="G922" s="25">
        <f t="shared" si="13"/>
        <v>-2.8114017961733628E-2</v>
      </c>
    </row>
    <row r="923" spans="1:7">
      <c r="A923" s="52">
        <v>76.3</v>
      </c>
      <c r="B923" s="52">
        <v>76.790000000000006</v>
      </c>
      <c r="C923" s="52">
        <v>73.75</v>
      </c>
      <c r="D923" s="52">
        <v>75.77</v>
      </c>
      <c r="E923" s="52">
        <v>973842</v>
      </c>
      <c r="F923" s="52" t="s">
        <v>930</v>
      </c>
      <c r="G923" s="25">
        <f t="shared" si="13"/>
        <v>6.9948528441334812E-3</v>
      </c>
    </row>
    <row r="924" spans="1:7">
      <c r="A924" s="52">
        <v>75.22</v>
      </c>
      <c r="B924" s="52">
        <v>75.459999999999994</v>
      </c>
      <c r="C924" s="52">
        <v>70.325000000000003</v>
      </c>
      <c r="D924" s="52">
        <v>70.5</v>
      </c>
      <c r="E924" s="52">
        <v>1736987</v>
      </c>
      <c r="F924" s="52" t="s">
        <v>931</v>
      </c>
      <c r="G924" s="25">
        <f t="shared" si="13"/>
        <v>6.6950354609929041E-2</v>
      </c>
    </row>
    <row r="925" spans="1:7">
      <c r="A925" s="52">
        <v>71.819999999999993</v>
      </c>
      <c r="B925" s="52">
        <v>71.84</v>
      </c>
      <c r="C925" s="52">
        <v>68.61</v>
      </c>
      <c r="D925" s="52">
        <v>68.61</v>
      </c>
      <c r="E925" s="52">
        <v>597439</v>
      </c>
      <c r="F925" s="52" t="s">
        <v>932</v>
      </c>
      <c r="G925" s="25">
        <f t="shared" si="13"/>
        <v>4.6786182772190488E-2</v>
      </c>
    </row>
    <row r="926" spans="1:7">
      <c r="A926" s="52">
        <v>68.31</v>
      </c>
      <c r="B926" s="52">
        <v>69.92</v>
      </c>
      <c r="C926" s="52">
        <v>67.540000000000006</v>
      </c>
      <c r="D926" s="52">
        <v>67.91</v>
      </c>
      <c r="E926" s="52">
        <v>444552</v>
      </c>
      <c r="F926" s="52" t="s">
        <v>933</v>
      </c>
      <c r="G926" s="25">
        <f t="shared" si="13"/>
        <v>5.8901487262554841E-3</v>
      </c>
    </row>
    <row r="927" spans="1:7">
      <c r="A927" s="52">
        <v>68.569999999999993</v>
      </c>
      <c r="B927" s="52">
        <v>70.38</v>
      </c>
      <c r="C927" s="52">
        <v>67.209999999999994</v>
      </c>
      <c r="D927" s="52">
        <v>67.209999999999994</v>
      </c>
      <c r="E927" s="52">
        <v>650674</v>
      </c>
      <c r="F927" s="52" t="s">
        <v>934</v>
      </c>
      <c r="G927" s="25">
        <f t="shared" si="13"/>
        <v>2.0235084064871289E-2</v>
      </c>
    </row>
    <row r="928" spans="1:7">
      <c r="A928" s="52">
        <v>66.97</v>
      </c>
      <c r="B928" s="52">
        <v>69.36</v>
      </c>
      <c r="C928" s="52">
        <v>62.5</v>
      </c>
      <c r="D928" s="52">
        <v>62.51</v>
      </c>
      <c r="E928" s="52">
        <v>1026454</v>
      </c>
      <c r="F928" s="52" t="s">
        <v>935</v>
      </c>
      <c r="G928" s="25">
        <f t="shared" si="13"/>
        <v>7.1348584226523792E-2</v>
      </c>
    </row>
    <row r="929" spans="1:7">
      <c r="A929" s="52">
        <v>62.69</v>
      </c>
      <c r="B929" s="52">
        <v>63.69</v>
      </c>
      <c r="C929" s="52">
        <v>61.28</v>
      </c>
      <c r="D929" s="52">
        <v>63.69</v>
      </c>
      <c r="E929" s="52">
        <v>927039</v>
      </c>
      <c r="F929" s="52" t="s">
        <v>936</v>
      </c>
      <c r="G929" s="25">
        <f t="shared" si="13"/>
        <v>-1.5701051970481994E-2</v>
      </c>
    </row>
    <row r="930" spans="1:7">
      <c r="A930" s="52">
        <v>64.5</v>
      </c>
      <c r="B930" s="52">
        <v>65.454999999999998</v>
      </c>
      <c r="C930" s="52">
        <v>62.73</v>
      </c>
      <c r="D930" s="52">
        <v>65.22</v>
      </c>
      <c r="E930" s="52">
        <v>783534</v>
      </c>
      <c r="F930" s="52" t="s">
        <v>937</v>
      </c>
      <c r="G930" s="25">
        <f t="shared" si="13"/>
        <v>-1.1039558417663242E-2</v>
      </c>
    </row>
    <row r="931" spans="1:7">
      <c r="A931" s="52">
        <v>64.53</v>
      </c>
      <c r="B931" s="52">
        <v>67.59</v>
      </c>
      <c r="C931" s="52">
        <v>63.71</v>
      </c>
      <c r="D931" s="52">
        <v>67.56</v>
      </c>
      <c r="E931" s="52">
        <v>800701</v>
      </c>
      <c r="F931" s="52" t="s">
        <v>938</v>
      </c>
      <c r="G931" s="25">
        <f t="shared" si="13"/>
        <v>-4.4849023090586138E-2</v>
      </c>
    </row>
    <row r="932" spans="1:7">
      <c r="A932" s="52">
        <v>67</v>
      </c>
      <c r="B932" s="52">
        <v>68.059899999999999</v>
      </c>
      <c r="C932" s="52">
        <v>65.5</v>
      </c>
      <c r="D932" s="52">
        <v>66.75</v>
      </c>
      <c r="E932" s="52">
        <v>856473</v>
      </c>
      <c r="F932" s="52" t="s">
        <v>939</v>
      </c>
      <c r="G932" s="25">
        <f t="shared" si="13"/>
        <v>3.7453183520599342E-3</v>
      </c>
    </row>
    <row r="933" spans="1:7">
      <c r="A933" s="52">
        <v>69.150000000000006</v>
      </c>
      <c r="B933" s="52">
        <v>70.2</v>
      </c>
      <c r="C933" s="52">
        <v>68.5</v>
      </c>
      <c r="D933" s="52">
        <v>69.36</v>
      </c>
      <c r="E933" s="52">
        <v>577984</v>
      </c>
      <c r="F933" s="52" t="s">
        <v>940</v>
      </c>
      <c r="G933" s="25">
        <f t="shared" si="13"/>
        <v>-3.0276816608996171E-3</v>
      </c>
    </row>
    <row r="934" spans="1:7">
      <c r="A934" s="52">
        <v>70.739999999999995</v>
      </c>
      <c r="B934" s="52">
        <v>72.25</v>
      </c>
      <c r="C934" s="52">
        <v>70.48</v>
      </c>
      <c r="D934" s="52">
        <v>71.989999999999995</v>
      </c>
      <c r="E934" s="52">
        <v>540975</v>
      </c>
      <c r="F934" s="52" t="s">
        <v>941</v>
      </c>
      <c r="G934" s="25">
        <f t="shared" si="13"/>
        <v>-1.7363522711487667E-2</v>
      </c>
    </row>
    <row r="935" spans="1:7">
      <c r="A935" s="52">
        <v>72.260000000000005</v>
      </c>
      <c r="B935" s="52">
        <v>73.45</v>
      </c>
      <c r="C935" s="52">
        <v>71.13</v>
      </c>
      <c r="D935" s="52">
        <v>71.63</v>
      </c>
      <c r="E935" s="52">
        <v>512602</v>
      </c>
      <c r="F935" s="52" t="s">
        <v>942</v>
      </c>
      <c r="G935" s="25">
        <f t="shared" si="13"/>
        <v>8.7951975429290119E-3</v>
      </c>
    </row>
    <row r="936" spans="1:7">
      <c r="A936" s="52">
        <v>71.760000000000005</v>
      </c>
      <c r="B936" s="52">
        <v>71.98</v>
      </c>
      <c r="C936" s="52">
        <v>68.92</v>
      </c>
      <c r="D936" s="52">
        <v>68.92</v>
      </c>
      <c r="E936" s="52">
        <v>495367</v>
      </c>
      <c r="F936" s="52" t="s">
        <v>943</v>
      </c>
      <c r="G936" s="25">
        <f t="shared" si="13"/>
        <v>4.1207196749854846E-2</v>
      </c>
    </row>
    <row r="937" spans="1:7">
      <c r="A937" s="52">
        <v>70.010000000000005</v>
      </c>
      <c r="B937" s="52">
        <v>74.22</v>
      </c>
      <c r="C937" s="52">
        <v>69.739999999999995</v>
      </c>
      <c r="D937" s="52">
        <v>73.819999999999993</v>
      </c>
      <c r="E937" s="52">
        <v>553066</v>
      </c>
      <c r="F937" s="52" t="s">
        <v>944</v>
      </c>
      <c r="G937" s="25">
        <f t="shared" si="13"/>
        <v>-5.1612029260362902E-2</v>
      </c>
    </row>
    <row r="938" spans="1:7">
      <c r="A938" s="52">
        <v>72.98</v>
      </c>
      <c r="B938" s="52">
        <v>74.36</v>
      </c>
      <c r="C938" s="52">
        <v>71.81</v>
      </c>
      <c r="D938" s="52">
        <v>71.81</v>
      </c>
      <c r="E938" s="52">
        <v>621353</v>
      </c>
      <c r="F938" s="52" t="s">
        <v>945</v>
      </c>
      <c r="G938" s="25">
        <f t="shared" si="13"/>
        <v>1.6292995404539878E-2</v>
      </c>
    </row>
    <row r="939" spans="1:7">
      <c r="A939" s="52">
        <v>72.58</v>
      </c>
      <c r="B939" s="52">
        <v>73.33</v>
      </c>
      <c r="C939" s="52">
        <v>70.540000000000006</v>
      </c>
      <c r="D939" s="52">
        <v>71.84</v>
      </c>
      <c r="E939" s="52">
        <v>424307</v>
      </c>
      <c r="F939" s="52" t="s">
        <v>946</v>
      </c>
      <c r="G939" s="25">
        <f t="shared" si="13"/>
        <v>1.0300668151447701E-2</v>
      </c>
    </row>
    <row r="940" spans="1:7">
      <c r="A940" s="52">
        <v>72.599999999999994</v>
      </c>
      <c r="B940" s="52">
        <v>73.900000000000006</v>
      </c>
      <c r="C940" s="52">
        <v>70.12</v>
      </c>
      <c r="D940" s="52">
        <v>72.67</v>
      </c>
      <c r="E940" s="52">
        <v>476401</v>
      </c>
      <c r="F940" s="52" t="s">
        <v>947</v>
      </c>
      <c r="G940" s="25">
        <f t="shared" si="13"/>
        <v>-9.6325856612089478E-4</v>
      </c>
    </row>
    <row r="941" spans="1:7">
      <c r="A941" s="52">
        <v>72.819999999999993</v>
      </c>
      <c r="B941" s="52">
        <v>74.41</v>
      </c>
      <c r="C941" s="52">
        <v>72.12</v>
      </c>
      <c r="D941" s="52">
        <v>73.7</v>
      </c>
      <c r="E941" s="52">
        <v>603793</v>
      </c>
      <c r="F941" s="52" t="s">
        <v>948</v>
      </c>
      <c r="G941" s="25">
        <f t="shared" si="13"/>
        <v>-1.194029850746281E-2</v>
      </c>
    </row>
    <row r="942" spans="1:7">
      <c r="A942" s="52">
        <v>74.650000000000006</v>
      </c>
      <c r="B942" s="52">
        <v>75.064999999999998</v>
      </c>
      <c r="C942" s="52">
        <v>70.510000000000005</v>
      </c>
      <c r="D942" s="52">
        <v>71.03</v>
      </c>
      <c r="E942" s="52">
        <v>788389</v>
      </c>
      <c r="F942" s="52" t="s">
        <v>949</v>
      </c>
      <c r="G942" s="25">
        <f t="shared" si="13"/>
        <v>5.0964381247360357E-2</v>
      </c>
    </row>
    <row r="943" spans="1:7">
      <c r="A943" s="52">
        <v>70.900000000000006</v>
      </c>
      <c r="B943" s="52">
        <v>71.239999999999995</v>
      </c>
      <c r="C943" s="52">
        <v>69</v>
      </c>
      <c r="D943" s="52">
        <v>69.06</v>
      </c>
      <c r="E943" s="52">
        <v>596166</v>
      </c>
      <c r="F943" s="52" t="s">
        <v>950</v>
      </c>
      <c r="G943" s="25">
        <f t="shared" si="13"/>
        <v>2.6643498407182165E-2</v>
      </c>
    </row>
    <row r="944" spans="1:7">
      <c r="A944" s="52">
        <v>68.489999999999995</v>
      </c>
      <c r="B944" s="52">
        <v>70.5</v>
      </c>
      <c r="C944" s="52">
        <v>67.8</v>
      </c>
      <c r="D944" s="52">
        <v>68.47</v>
      </c>
      <c r="E944" s="52">
        <v>538185</v>
      </c>
      <c r="F944" s="52" t="s">
        <v>951</v>
      </c>
      <c r="G944" s="25">
        <f t="shared" si="13"/>
        <v>2.9209872937041581E-4</v>
      </c>
    </row>
    <row r="945" spans="1:7">
      <c r="A945" s="52">
        <v>68.84</v>
      </c>
      <c r="B945" s="52">
        <v>71.260000000000005</v>
      </c>
      <c r="C945" s="52">
        <v>68.819999999999993</v>
      </c>
      <c r="D945" s="52">
        <v>71.150000000000006</v>
      </c>
      <c r="E945" s="52">
        <v>650518</v>
      </c>
      <c r="F945" s="52" t="s">
        <v>952</v>
      </c>
      <c r="G945" s="25">
        <f t="shared" si="13"/>
        <v>-3.246661981728749E-2</v>
      </c>
    </row>
    <row r="946" spans="1:7">
      <c r="A946" s="52">
        <v>71.61</v>
      </c>
      <c r="B946" s="52">
        <v>73.180000000000007</v>
      </c>
      <c r="C946" s="52">
        <v>70.87</v>
      </c>
      <c r="D946" s="52">
        <v>71.7</v>
      </c>
      <c r="E946" s="52">
        <v>1059134</v>
      </c>
      <c r="F946" s="52" t="s">
        <v>953</v>
      </c>
      <c r="G946" s="25">
        <f t="shared" si="13"/>
        <v>-1.255230125523088E-3</v>
      </c>
    </row>
    <row r="947" spans="1:7">
      <c r="A947" s="52">
        <v>71.13</v>
      </c>
      <c r="B947" s="52">
        <v>71.19</v>
      </c>
      <c r="C947" s="52">
        <v>68.33</v>
      </c>
      <c r="D947" s="52">
        <v>69.83</v>
      </c>
      <c r="E947" s="52">
        <v>831638</v>
      </c>
      <c r="F947" s="52" t="s">
        <v>954</v>
      </c>
      <c r="G947" s="25">
        <f t="shared" si="13"/>
        <v>1.8616640412430163E-2</v>
      </c>
    </row>
    <row r="948" spans="1:7">
      <c r="A948" s="52">
        <v>69.22</v>
      </c>
      <c r="B948" s="52">
        <v>69.91</v>
      </c>
      <c r="C948" s="52">
        <v>67.47</v>
      </c>
      <c r="D948" s="52">
        <v>67.47</v>
      </c>
      <c r="E948" s="52">
        <v>825402</v>
      </c>
      <c r="F948" s="52" t="s">
        <v>955</v>
      </c>
      <c r="G948" s="25">
        <f t="shared" ref="G948:G1011" si="14">A948/D948-1</f>
        <v>2.5937453683118505E-2</v>
      </c>
    </row>
    <row r="949" spans="1:7">
      <c r="A949" s="52">
        <v>68.47</v>
      </c>
      <c r="B949" s="52">
        <v>71.56</v>
      </c>
      <c r="C949" s="52">
        <v>67.5</v>
      </c>
      <c r="D949" s="52">
        <v>70.489999999999995</v>
      </c>
      <c r="E949" s="52">
        <v>699184</v>
      </c>
      <c r="F949" s="52" t="s">
        <v>956</v>
      </c>
      <c r="G949" s="25">
        <f t="shared" si="14"/>
        <v>-2.8656547027947177E-2</v>
      </c>
    </row>
    <row r="950" spans="1:7">
      <c r="A950" s="52">
        <v>71.3</v>
      </c>
      <c r="B950" s="52">
        <v>72.397900000000007</v>
      </c>
      <c r="C950" s="52">
        <v>68.37</v>
      </c>
      <c r="D950" s="52">
        <v>68.75</v>
      </c>
      <c r="E950" s="52">
        <v>708906</v>
      </c>
      <c r="F950" s="52" t="s">
        <v>957</v>
      </c>
      <c r="G950" s="25">
        <f t="shared" si="14"/>
        <v>3.7090909090909063E-2</v>
      </c>
    </row>
    <row r="951" spans="1:7">
      <c r="A951" s="52">
        <v>67.53</v>
      </c>
      <c r="B951" s="52">
        <v>68.27</v>
      </c>
      <c r="C951" s="52">
        <v>64.825000000000003</v>
      </c>
      <c r="D951" s="52">
        <v>65.83</v>
      </c>
      <c r="E951" s="52">
        <v>547144</v>
      </c>
      <c r="F951" s="52" t="s">
        <v>958</v>
      </c>
      <c r="G951" s="25">
        <f t="shared" si="14"/>
        <v>2.5824092359106876E-2</v>
      </c>
    </row>
    <row r="952" spans="1:7">
      <c r="A952" s="52">
        <v>65.97</v>
      </c>
      <c r="B952" s="52">
        <v>67.53</v>
      </c>
      <c r="C952" s="52">
        <v>64.459999999999994</v>
      </c>
      <c r="D952" s="52">
        <v>64.459999999999994</v>
      </c>
      <c r="E952" s="52">
        <v>887805</v>
      </c>
      <c r="F952" s="52" t="s">
        <v>959</v>
      </c>
      <c r="G952" s="25">
        <f t="shared" si="14"/>
        <v>2.3425380080670299E-2</v>
      </c>
    </row>
    <row r="953" spans="1:7">
      <c r="A953" s="52">
        <v>63.28</v>
      </c>
      <c r="B953" s="52">
        <v>64.680000000000007</v>
      </c>
      <c r="C953" s="52">
        <v>61.28</v>
      </c>
      <c r="D953" s="52">
        <v>61.82</v>
      </c>
      <c r="E953" s="52">
        <v>937923</v>
      </c>
      <c r="F953" s="52" t="s">
        <v>960</v>
      </c>
      <c r="G953" s="25">
        <f t="shared" si="14"/>
        <v>2.3616952442575334E-2</v>
      </c>
    </row>
    <row r="954" spans="1:7">
      <c r="A954" s="52">
        <v>62.71</v>
      </c>
      <c r="B954" s="52">
        <v>66.650000000000006</v>
      </c>
      <c r="C954" s="52">
        <v>61.8</v>
      </c>
      <c r="D954" s="52">
        <v>64.84</v>
      </c>
      <c r="E954" s="52">
        <v>1007421</v>
      </c>
      <c r="F954" s="52" t="s">
        <v>961</v>
      </c>
      <c r="G954" s="25">
        <f t="shared" si="14"/>
        <v>-3.2850092535471997E-2</v>
      </c>
    </row>
    <row r="955" spans="1:7">
      <c r="A955" s="52">
        <v>65.42</v>
      </c>
      <c r="B955" s="52">
        <v>68.89</v>
      </c>
      <c r="C955" s="52">
        <v>64.02</v>
      </c>
      <c r="D955" s="52">
        <v>67.17</v>
      </c>
      <c r="E955" s="52">
        <v>1333676</v>
      </c>
      <c r="F955" s="52" t="s">
        <v>962</v>
      </c>
      <c r="G955" s="25">
        <f t="shared" si="14"/>
        <v>-2.6053297603096603E-2</v>
      </c>
    </row>
    <row r="956" spans="1:7">
      <c r="A956" s="52">
        <v>65.16</v>
      </c>
      <c r="B956" s="52">
        <v>68.58</v>
      </c>
      <c r="C956" s="52">
        <v>64.224999999999994</v>
      </c>
      <c r="D956" s="52">
        <v>68.180000000000007</v>
      </c>
      <c r="E956" s="52">
        <v>1393961</v>
      </c>
      <c r="F956" s="52" t="s">
        <v>963</v>
      </c>
      <c r="G956" s="25">
        <f t="shared" si="14"/>
        <v>-4.4294514520387351E-2</v>
      </c>
    </row>
    <row r="957" spans="1:7">
      <c r="A957" s="52">
        <v>70.16</v>
      </c>
      <c r="B957" s="52">
        <v>72.087299999999999</v>
      </c>
      <c r="C957" s="52">
        <v>69.241</v>
      </c>
      <c r="D957" s="52">
        <v>70.55</v>
      </c>
      <c r="E957" s="52">
        <v>840853</v>
      </c>
      <c r="F957" s="52" t="s">
        <v>964</v>
      </c>
      <c r="G957" s="25">
        <f t="shared" si="14"/>
        <v>-5.527994330262187E-3</v>
      </c>
    </row>
    <row r="958" spans="1:7">
      <c r="A958" s="52">
        <v>71.69</v>
      </c>
      <c r="B958" s="52">
        <v>77.260000000000005</v>
      </c>
      <c r="C958" s="52">
        <v>70.27</v>
      </c>
      <c r="D958" s="52">
        <v>74.319999999999993</v>
      </c>
      <c r="E958" s="52">
        <v>898025</v>
      </c>
      <c r="F958" s="52" t="s">
        <v>965</v>
      </c>
      <c r="G958" s="25">
        <f t="shared" si="14"/>
        <v>-3.5387513455328201E-2</v>
      </c>
    </row>
    <row r="959" spans="1:7">
      <c r="A959" s="52">
        <v>72.75</v>
      </c>
      <c r="B959" s="52">
        <v>74.23</v>
      </c>
      <c r="C959" s="52">
        <v>69.2</v>
      </c>
      <c r="D959" s="52">
        <v>74.23</v>
      </c>
      <c r="E959" s="52">
        <v>943568</v>
      </c>
      <c r="F959" s="52" t="s">
        <v>966</v>
      </c>
      <c r="G959" s="25">
        <f t="shared" si="14"/>
        <v>-1.9938030445911359E-2</v>
      </c>
    </row>
    <row r="960" spans="1:7">
      <c r="A960" s="52">
        <v>73.33</v>
      </c>
      <c r="B960" s="52">
        <v>74.3</v>
      </c>
      <c r="C960" s="52">
        <v>72.709999999999994</v>
      </c>
      <c r="D960" s="52">
        <v>72.81</v>
      </c>
      <c r="E960" s="52">
        <v>553950</v>
      </c>
      <c r="F960" s="52" t="s">
        <v>967</v>
      </c>
      <c r="G960" s="25">
        <f t="shared" si="14"/>
        <v>7.1418761159180999E-3</v>
      </c>
    </row>
    <row r="961" spans="1:7">
      <c r="A961" s="52">
        <v>73.78</v>
      </c>
      <c r="B961" s="52">
        <v>74.3</v>
      </c>
      <c r="C961" s="52">
        <v>71.37</v>
      </c>
      <c r="D961" s="52">
        <v>71.790000000000006</v>
      </c>
      <c r="E961" s="52">
        <v>536221</v>
      </c>
      <c r="F961" s="52" t="s">
        <v>968</v>
      </c>
      <c r="G961" s="25">
        <f t="shared" si="14"/>
        <v>2.7719738125086879E-2</v>
      </c>
    </row>
    <row r="962" spans="1:7">
      <c r="A962" s="52">
        <v>72.319999999999993</v>
      </c>
      <c r="B962" s="52">
        <v>74.63</v>
      </c>
      <c r="C962" s="52">
        <v>72.14</v>
      </c>
      <c r="D962" s="52">
        <v>73.31</v>
      </c>
      <c r="E962" s="52">
        <v>431797</v>
      </c>
      <c r="F962" s="52" t="s">
        <v>969</v>
      </c>
      <c r="G962" s="25">
        <f t="shared" si="14"/>
        <v>-1.3504296821716166E-2</v>
      </c>
    </row>
    <row r="963" spans="1:7">
      <c r="A963" s="52">
        <v>74.16</v>
      </c>
      <c r="B963" s="52">
        <v>74.92</v>
      </c>
      <c r="C963" s="52">
        <v>71.680000000000007</v>
      </c>
      <c r="D963" s="52">
        <v>74.900000000000006</v>
      </c>
      <c r="E963" s="52">
        <v>448281</v>
      </c>
      <c r="F963" s="52" t="s">
        <v>970</v>
      </c>
      <c r="G963" s="25">
        <f t="shared" si="14"/>
        <v>-9.8798397863819609E-3</v>
      </c>
    </row>
    <row r="964" spans="1:7">
      <c r="A964" s="52">
        <v>74</v>
      </c>
      <c r="B964" s="52">
        <v>74.180000000000007</v>
      </c>
      <c r="C964" s="52">
        <v>72.02</v>
      </c>
      <c r="D964" s="52">
        <v>72.319999999999993</v>
      </c>
      <c r="E964" s="52">
        <v>691119</v>
      </c>
      <c r="F964" s="52" t="s">
        <v>971</v>
      </c>
      <c r="G964" s="25">
        <f t="shared" si="14"/>
        <v>2.3230088495575396E-2</v>
      </c>
    </row>
    <row r="965" spans="1:7">
      <c r="A965" s="52">
        <v>72.81</v>
      </c>
      <c r="B965" s="52">
        <v>77.2</v>
      </c>
      <c r="C965" s="52">
        <v>72.739999999999995</v>
      </c>
      <c r="D965" s="52">
        <v>76.23</v>
      </c>
      <c r="E965" s="52">
        <v>710588</v>
      </c>
      <c r="F965" s="52" t="s">
        <v>972</v>
      </c>
      <c r="G965" s="25">
        <f t="shared" si="14"/>
        <v>-4.4864226682408526E-2</v>
      </c>
    </row>
    <row r="966" spans="1:7">
      <c r="A966" s="52">
        <v>76.7</v>
      </c>
      <c r="B966" s="52">
        <v>76.959999999999994</v>
      </c>
      <c r="C966" s="52">
        <v>74.03</v>
      </c>
      <c r="D966" s="52">
        <v>75.569999999999993</v>
      </c>
      <c r="E966" s="52">
        <v>905325</v>
      </c>
      <c r="F966" s="52" t="s">
        <v>973</v>
      </c>
      <c r="G966" s="25">
        <f t="shared" si="14"/>
        <v>1.4953023686648192E-2</v>
      </c>
    </row>
    <row r="967" spans="1:7">
      <c r="A967" s="52">
        <v>76.400000000000006</v>
      </c>
      <c r="B967" s="52">
        <v>78.400000000000006</v>
      </c>
      <c r="C967" s="52">
        <v>75.5</v>
      </c>
      <c r="D967" s="52">
        <v>77.61</v>
      </c>
      <c r="E967" s="52">
        <v>655679</v>
      </c>
      <c r="F967" s="52" t="s">
        <v>974</v>
      </c>
      <c r="G967" s="25">
        <f t="shared" si="14"/>
        <v>-1.5590774384744099E-2</v>
      </c>
    </row>
    <row r="968" spans="1:7">
      <c r="A968" s="52">
        <v>77.349999999999994</v>
      </c>
      <c r="B968" s="52">
        <v>81.400000000000006</v>
      </c>
      <c r="C968" s="52">
        <v>75.87</v>
      </c>
      <c r="D968" s="52">
        <v>81.069999999999993</v>
      </c>
      <c r="E968" s="52">
        <v>1312525</v>
      </c>
      <c r="F968" s="52" t="s">
        <v>975</v>
      </c>
      <c r="G968" s="25">
        <f t="shared" si="14"/>
        <v>-4.5886271123720235E-2</v>
      </c>
    </row>
    <row r="969" spans="1:7">
      <c r="A969" s="52">
        <v>81.069999999999993</v>
      </c>
      <c r="B969" s="52">
        <v>81.96</v>
      </c>
      <c r="C969" s="52">
        <v>80.150000000000006</v>
      </c>
      <c r="D969" s="52">
        <v>81.87</v>
      </c>
      <c r="E969" s="52">
        <v>453871</v>
      </c>
      <c r="F969" s="52" t="s">
        <v>976</v>
      </c>
      <c r="G969" s="25">
        <f t="shared" si="14"/>
        <v>-9.7715891046782355E-3</v>
      </c>
    </row>
    <row r="970" spans="1:7">
      <c r="A970" s="52">
        <v>81.67</v>
      </c>
      <c r="B970" s="52">
        <v>83.575000000000003</v>
      </c>
      <c r="C970" s="52">
        <v>80.02</v>
      </c>
      <c r="D970" s="52">
        <v>80.27</v>
      </c>
      <c r="E970" s="52">
        <v>392932</v>
      </c>
      <c r="F970" s="52" t="s">
        <v>977</v>
      </c>
      <c r="G970" s="25">
        <f t="shared" si="14"/>
        <v>1.7441136165441629E-2</v>
      </c>
    </row>
    <row r="971" spans="1:7">
      <c r="A971" s="52">
        <v>80.02</v>
      </c>
      <c r="B971" s="52">
        <v>81.25</v>
      </c>
      <c r="C971" s="52">
        <v>79.47</v>
      </c>
      <c r="D971" s="52">
        <v>81.25</v>
      </c>
      <c r="E971" s="52">
        <v>702056</v>
      </c>
      <c r="F971" s="52" t="s">
        <v>978</v>
      </c>
      <c r="G971" s="25">
        <f t="shared" si="14"/>
        <v>-1.5138461538461545E-2</v>
      </c>
    </row>
    <row r="972" spans="1:7">
      <c r="A972" s="52">
        <v>81.45</v>
      </c>
      <c r="B972" s="52">
        <v>83.56</v>
      </c>
      <c r="C972" s="52">
        <v>81.28</v>
      </c>
      <c r="D972" s="52">
        <v>83.39</v>
      </c>
      <c r="E972" s="52">
        <v>593023</v>
      </c>
      <c r="F972" s="52" t="s">
        <v>979</v>
      </c>
      <c r="G972" s="25">
        <f t="shared" si="14"/>
        <v>-2.3264180357357001E-2</v>
      </c>
    </row>
    <row r="973" spans="1:7">
      <c r="A973" s="52">
        <v>83.24</v>
      </c>
      <c r="B973" s="52">
        <v>84.45</v>
      </c>
      <c r="C973" s="52">
        <v>81.900000000000006</v>
      </c>
      <c r="D973" s="52">
        <v>82.03</v>
      </c>
      <c r="E973" s="52">
        <v>403176</v>
      </c>
      <c r="F973" s="52" t="s">
        <v>980</v>
      </c>
      <c r="G973" s="25">
        <f t="shared" si="14"/>
        <v>1.4750700963062302E-2</v>
      </c>
    </row>
    <row r="974" spans="1:7">
      <c r="A974" s="52">
        <v>82.34</v>
      </c>
      <c r="B974" s="52">
        <v>85.62</v>
      </c>
      <c r="C974" s="52">
        <v>81.775000000000006</v>
      </c>
      <c r="D974" s="52">
        <v>84.28</v>
      </c>
      <c r="E974" s="52">
        <v>476707</v>
      </c>
      <c r="F974" s="52" t="s">
        <v>981</v>
      </c>
      <c r="G974" s="25">
        <f t="shared" si="14"/>
        <v>-2.3018509729473169E-2</v>
      </c>
    </row>
    <row r="975" spans="1:7">
      <c r="A975" s="52">
        <v>84.34</v>
      </c>
      <c r="B975" s="52">
        <v>87.681100000000001</v>
      </c>
      <c r="C975" s="52">
        <v>83.784999999999997</v>
      </c>
      <c r="D975" s="52">
        <v>87.5</v>
      </c>
      <c r="E975" s="52">
        <v>586638</v>
      </c>
      <c r="F975" s="52" t="s">
        <v>982</v>
      </c>
      <c r="G975" s="25">
        <f t="shared" si="14"/>
        <v>-3.6114285714285654E-2</v>
      </c>
    </row>
    <row r="976" spans="1:7">
      <c r="A976" s="52">
        <v>87.94</v>
      </c>
      <c r="B976" s="52">
        <v>89.55</v>
      </c>
      <c r="C976" s="52">
        <v>86.514300000000006</v>
      </c>
      <c r="D976" s="52">
        <v>87.9</v>
      </c>
      <c r="E976" s="52">
        <v>589752</v>
      </c>
      <c r="F976" s="52" t="s">
        <v>983</v>
      </c>
      <c r="G976" s="25">
        <f t="shared" si="14"/>
        <v>4.550625711035039E-4</v>
      </c>
    </row>
    <row r="977" spans="1:7">
      <c r="A977" s="52">
        <v>88.44</v>
      </c>
      <c r="B977" s="52">
        <v>89.21</v>
      </c>
      <c r="C977" s="52">
        <v>86.38</v>
      </c>
      <c r="D977" s="52">
        <v>87.81</v>
      </c>
      <c r="E977" s="52">
        <v>807778</v>
      </c>
      <c r="F977" s="52" t="s">
        <v>984</v>
      </c>
      <c r="G977" s="25">
        <f t="shared" si="14"/>
        <v>7.1745814827468557E-3</v>
      </c>
    </row>
    <row r="978" spans="1:7">
      <c r="A978" s="52">
        <v>88.13</v>
      </c>
      <c r="B978" s="52">
        <v>89.44</v>
      </c>
      <c r="C978" s="52">
        <v>85.02</v>
      </c>
      <c r="D978" s="52">
        <v>85.79</v>
      </c>
      <c r="E978" s="52">
        <v>970372</v>
      </c>
      <c r="F978" s="52" t="s">
        <v>985</v>
      </c>
      <c r="G978" s="25">
        <f t="shared" si="14"/>
        <v>2.7275906282783424E-2</v>
      </c>
    </row>
    <row r="979" spans="1:7">
      <c r="A979" s="52">
        <v>86.67</v>
      </c>
      <c r="B979" s="52">
        <v>88.25</v>
      </c>
      <c r="C979" s="52">
        <v>85.37</v>
      </c>
      <c r="D979" s="52">
        <v>85.82</v>
      </c>
      <c r="E979" s="52">
        <v>1000250</v>
      </c>
      <c r="F979" s="52" t="s">
        <v>986</v>
      </c>
      <c r="G979" s="25">
        <f t="shared" si="14"/>
        <v>9.9044511768819898E-3</v>
      </c>
    </row>
    <row r="980" spans="1:7">
      <c r="A980" s="52">
        <v>85.62</v>
      </c>
      <c r="B980" s="52">
        <v>86.055000000000007</v>
      </c>
      <c r="C980" s="52">
        <v>83.42</v>
      </c>
      <c r="D980" s="52">
        <v>83.5</v>
      </c>
      <c r="E980" s="52">
        <v>1062832</v>
      </c>
      <c r="F980" s="52" t="s">
        <v>987</v>
      </c>
      <c r="G980" s="25">
        <f t="shared" si="14"/>
        <v>2.5389221556886277E-2</v>
      </c>
    </row>
    <row r="981" spans="1:7">
      <c r="A981" s="52">
        <v>82.56</v>
      </c>
      <c r="B981" s="52">
        <v>82.67</v>
      </c>
      <c r="C981" s="52">
        <v>78.39</v>
      </c>
      <c r="D981" s="52">
        <v>78.42</v>
      </c>
      <c r="E981" s="52">
        <v>546691</v>
      </c>
      <c r="F981" s="52" t="s">
        <v>988</v>
      </c>
      <c r="G981" s="25">
        <f t="shared" si="14"/>
        <v>5.2792654934965544E-2</v>
      </c>
    </row>
    <row r="982" spans="1:7">
      <c r="A982" s="52">
        <v>78.12</v>
      </c>
      <c r="B982" s="52">
        <v>79.7</v>
      </c>
      <c r="C982" s="52">
        <v>77.989999999999995</v>
      </c>
      <c r="D982" s="52">
        <v>78.989999999999995</v>
      </c>
      <c r="E982" s="52">
        <v>624719</v>
      </c>
      <c r="F982" s="52" t="s">
        <v>989</v>
      </c>
      <c r="G982" s="25">
        <f t="shared" si="14"/>
        <v>-1.1014052411697617E-2</v>
      </c>
    </row>
    <row r="983" spans="1:7">
      <c r="A983" s="52">
        <v>78.59</v>
      </c>
      <c r="B983" s="52">
        <v>79.319999999999993</v>
      </c>
      <c r="C983" s="52">
        <v>77.25</v>
      </c>
      <c r="D983" s="52">
        <v>78.650000000000006</v>
      </c>
      <c r="E983" s="52">
        <v>805308</v>
      </c>
      <c r="F983" s="52" t="s">
        <v>990</v>
      </c>
      <c r="G983" s="25">
        <f t="shared" si="14"/>
        <v>-7.6287349014625416E-4</v>
      </c>
    </row>
    <row r="984" spans="1:7">
      <c r="A984" s="52">
        <v>78.72</v>
      </c>
      <c r="B984" s="52">
        <v>79.290000000000006</v>
      </c>
      <c r="C984" s="52">
        <v>76.400000000000006</v>
      </c>
      <c r="D984" s="52">
        <v>76.5</v>
      </c>
      <c r="E984" s="52">
        <v>822607</v>
      </c>
      <c r="F984" s="52" t="s">
        <v>991</v>
      </c>
      <c r="G984" s="25">
        <f t="shared" si="14"/>
        <v>2.9019607843137285E-2</v>
      </c>
    </row>
    <row r="985" spans="1:7">
      <c r="A985" s="52">
        <v>76.069999999999993</v>
      </c>
      <c r="B985" s="52">
        <v>77.77</v>
      </c>
      <c r="C985" s="52">
        <v>74.180000000000007</v>
      </c>
      <c r="D985" s="52">
        <v>77.25</v>
      </c>
      <c r="E985" s="52">
        <v>772594</v>
      </c>
      <c r="F985" s="52" t="s">
        <v>992</v>
      </c>
      <c r="G985" s="25">
        <f t="shared" si="14"/>
        <v>-1.527508090614893E-2</v>
      </c>
    </row>
    <row r="986" spans="1:7">
      <c r="A986" s="52">
        <v>77.27</v>
      </c>
      <c r="B986" s="52">
        <v>80.37</v>
      </c>
      <c r="C986" s="52">
        <v>76.959999999999994</v>
      </c>
      <c r="D986" s="52">
        <v>80.25</v>
      </c>
      <c r="E986" s="52">
        <v>755536</v>
      </c>
      <c r="F986" s="52" t="s">
        <v>993</v>
      </c>
      <c r="G986" s="25">
        <f t="shared" si="14"/>
        <v>-3.713395638629291E-2</v>
      </c>
    </row>
    <row r="987" spans="1:7">
      <c r="A987" s="52">
        <v>80.44</v>
      </c>
      <c r="B987" s="52">
        <v>81.38</v>
      </c>
      <c r="C987" s="52">
        <v>79.5</v>
      </c>
      <c r="D987" s="52">
        <v>80.77</v>
      </c>
      <c r="E987" s="52">
        <v>478960</v>
      </c>
      <c r="F987" s="52" t="s">
        <v>994</v>
      </c>
      <c r="G987" s="25">
        <f t="shared" si="14"/>
        <v>-4.0856753745202035E-3</v>
      </c>
    </row>
    <row r="988" spans="1:7">
      <c r="A988" s="52">
        <v>80.12</v>
      </c>
      <c r="B988" s="52">
        <v>82.38</v>
      </c>
      <c r="C988" s="52">
        <v>79.734999999999999</v>
      </c>
      <c r="D988" s="52">
        <v>81.8</v>
      </c>
      <c r="E988" s="52">
        <v>397099</v>
      </c>
      <c r="F988" s="52" t="s">
        <v>995</v>
      </c>
      <c r="G988" s="25">
        <f t="shared" si="14"/>
        <v>-2.0537897310513364E-2</v>
      </c>
    </row>
    <row r="989" spans="1:7">
      <c r="A989" s="52">
        <v>82.16</v>
      </c>
      <c r="B989" s="52">
        <v>82.69</v>
      </c>
      <c r="C989" s="52">
        <v>80.55</v>
      </c>
      <c r="D989" s="52">
        <v>81.13</v>
      </c>
      <c r="E989" s="52">
        <v>589392</v>
      </c>
      <c r="F989" s="52" t="s">
        <v>996</v>
      </c>
      <c r="G989" s="25">
        <f t="shared" si="14"/>
        <v>1.2695673610255254E-2</v>
      </c>
    </row>
    <row r="990" spans="1:7">
      <c r="A990" s="52">
        <v>80.97</v>
      </c>
      <c r="B990" s="52">
        <v>82.495000000000005</v>
      </c>
      <c r="C990" s="52">
        <v>79.569999999999993</v>
      </c>
      <c r="D990" s="52">
        <v>81.819999999999993</v>
      </c>
      <c r="E990" s="52">
        <v>899490</v>
      </c>
      <c r="F990" s="52" t="s">
        <v>997</v>
      </c>
      <c r="G990" s="25">
        <f t="shared" si="14"/>
        <v>-1.0388658029821474E-2</v>
      </c>
    </row>
    <row r="991" spans="1:7">
      <c r="A991" s="52">
        <v>81.040000000000006</v>
      </c>
      <c r="B991" s="52">
        <v>81.45</v>
      </c>
      <c r="C991" s="52">
        <v>78.62</v>
      </c>
      <c r="D991" s="52">
        <v>78.92</v>
      </c>
      <c r="E991" s="52">
        <v>866704</v>
      </c>
      <c r="F991" s="52" t="s">
        <v>998</v>
      </c>
      <c r="G991" s="25">
        <f t="shared" si="14"/>
        <v>2.686264571718211E-2</v>
      </c>
    </row>
    <row r="992" spans="1:7">
      <c r="A992" s="52">
        <v>79.13</v>
      </c>
      <c r="B992" s="52">
        <v>79.760000000000005</v>
      </c>
      <c r="C992" s="52">
        <v>75.63</v>
      </c>
      <c r="D992" s="52">
        <v>75.63</v>
      </c>
      <c r="E992" s="52">
        <v>583030</v>
      </c>
      <c r="F992" s="52" t="s">
        <v>999</v>
      </c>
      <c r="G992" s="25">
        <f t="shared" si="14"/>
        <v>4.6277932037551262E-2</v>
      </c>
    </row>
    <row r="993" spans="1:7">
      <c r="A993" s="52">
        <v>76.5</v>
      </c>
      <c r="B993" s="52">
        <v>77.569999999999993</v>
      </c>
      <c r="C993" s="52">
        <v>73.570099999999996</v>
      </c>
      <c r="D993" s="52">
        <v>77.569999999999993</v>
      </c>
      <c r="E993" s="52">
        <v>582829</v>
      </c>
      <c r="F993" s="52" t="s">
        <v>1000</v>
      </c>
      <c r="G993" s="25">
        <f t="shared" si="14"/>
        <v>-1.3793992522882492E-2</v>
      </c>
    </row>
    <row r="994" spans="1:7">
      <c r="A994" s="52">
        <v>76.17</v>
      </c>
      <c r="B994" s="52">
        <v>76.36</v>
      </c>
      <c r="C994" s="52">
        <v>74.260000000000005</v>
      </c>
      <c r="D994" s="52">
        <v>74.680000000000007</v>
      </c>
      <c r="E994" s="52">
        <v>464976</v>
      </c>
      <c r="F994" s="52" t="s">
        <v>1001</v>
      </c>
      <c r="G994" s="25">
        <f t="shared" si="14"/>
        <v>1.9951794322442318E-2</v>
      </c>
    </row>
    <row r="995" spans="1:7">
      <c r="A995" s="52">
        <v>74.540000000000006</v>
      </c>
      <c r="B995" s="52">
        <v>79.2</v>
      </c>
      <c r="C995" s="52">
        <v>73.010000000000005</v>
      </c>
      <c r="D995" s="52">
        <v>78.150000000000006</v>
      </c>
      <c r="E995" s="52">
        <v>909537</v>
      </c>
      <c r="F995" s="52" t="s">
        <v>1002</v>
      </c>
      <c r="G995" s="25">
        <f t="shared" si="14"/>
        <v>-4.6193218170185513E-2</v>
      </c>
    </row>
    <row r="996" spans="1:7">
      <c r="A996" s="52">
        <v>77.849999999999994</v>
      </c>
      <c r="B996" s="52">
        <v>82.86</v>
      </c>
      <c r="C996" s="52">
        <v>77.599999999999994</v>
      </c>
      <c r="D996" s="52">
        <v>82.61</v>
      </c>
      <c r="E996" s="52">
        <v>1188726</v>
      </c>
      <c r="F996" s="52" t="s">
        <v>1003</v>
      </c>
      <c r="G996" s="25">
        <f t="shared" si="14"/>
        <v>-5.7620142839849953E-2</v>
      </c>
    </row>
    <row r="997" spans="1:7">
      <c r="A997" s="52">
        <v>82.29</v>
      </c>
      <c r="B997" s="52">
        <v>83.75</v>
      </c>
      <c r="C997" s="52">
        <v>81.02</v>
      </c>
      <c r="D997" s="52">
        <v>83.25</v>
      </c>
      <c r="E997" s="52">
        <v>642203</v>
      </c>
      <c r="F997" s="52" t="s">
        <v>1004</v>
      </c>
      <c r="G997" s="25">
        <f t="shared" si="14"/>
        <v>-1.1531531531531414E-2</v>
      </c>
    </row>
    <row r="998" spans="1:7">
      <c r="A998" s="52">
        <v>84.45</v>
      </c>
      <c r="B998" s="52">
        <v>85.05</v>
      </c>
      <c r="C998" s="52">
        <v>83.12</v>
      </c>
      <c r="D998" s="52">
        <v>83.46</v>
      </c>
      <c r="E998" s="52">
        <v>818766</v>
      </c>
      <c r="F998" s="52" t="s">
        <v>1005</v>
      </c>
      <c r="G998" s="25">
        <f t="shared" si="14"/>
        <v>1.1861969805895045E-2</v>
      </c>
    </row>
    <row r="999" spans="1:7">
      <c r="A999" s="52">
        <v>83.18</v>
      </c>
      <c r="B999" s="52">
        <v>84.32</v>
      </c>
      <c r="C999" s="52">
        <v>78.394999999999996</v>
      </c>
      <c r="D999" s="52">
        <v>79.680000000000007</v>
      </c>
      <c r="E999" s="52">
        <v>839949</v>
      </c>
      <c r="F999" s="52" t="s">
        <v>1006</v>
      </c>
      <c r="G999" s="25">
        <f t="shared" si="14"/>
        <v>4.3925702811244971E-2</v>
      </c>
    </row>
    <row r="1000" spans="1:7">
      <c r="A1000" s="52">
        <v>80.42</v>
      </c>
      <c r="B1000" s="52">
        <v>82.46</v>
      </c>
      <c r="C1000" s="52">
        <v>77.86</v>
      </c>
      <c r="D1000" s="52">
        <v>78.44</v>
      </c>
      <c r="E1000" s="52">
        <v>784359</v>
      </c>
      <c r="F1000" s="52" t="s">
        <v>1007</v>
      </c>
      <c r="G1000" s="25">
        <f t="shared" si="14"/>
        <v>2.5242223355431026E-2</v>
      </c>
    </row>
    <row r="1001" spans="1:7">
      <c r="A1001" s="52">
        <v>79.36</v>
      </c>
      <c r="B1001" s="52">
        <v>81.430000000000007</v>
      </c>
      <c r="C1001" s="52">
        <v>77.760000000000005</v>
      </c>
      <c r="D1001" s="52">
        <v>81.03</v>
      </c>
      <c r="E1001" s="52">
        <v>1117408</v>
      </c>
      <c r="F1001" s="52" t="s">
        <v>1008</v>
      </c>
      <c r="G1001" s="25">
        <f t="shared" si="14"/>
        <v>-2.060965074663712E-2</v>
      </c>
    </row>
    <row r="1002" spans="1:7">
      <c r="A1002" s="52">
        <v>81.47</v>
      </c>
      <c r="B1002" s="52">
        <v>83.14</v>
      </c>
      <c r="C1002" s="52">
        <v>79.260000000000005</v>
      </c>
      <c r="D1002" s="52">
        <v>79.48</v>
      </c>
      <c r="E1002" s="52">
        <v>967626</v>
      </c>
      <c r="F1002" s="52" t="s">
        <v>1009</v>
      </c>
      <c r="G1002" s="25">
        <f t="shared" si="14"/>
        <v>2.5037745344740792E-2</v>
      </c>
    </row>
    <row r="1003" spans="1:7">
      <c r="A1003" s="52">
        <v>79.56</v>
      </c>
      <c r="B1003" s="52">
        <v>83.284999999999997</v>
      </c>
      <c r="C1003" s="52">
        <v>77.040000000000006</v>
      </c>
      <c r="D1003" s="52">
        <v>79.87</v>
      </c>
      <c r="E1003" s="52">
        <v>1166638</v>
      </c>
      <c r="F1003" s="52" t="s">
        <v>1010</v>
      </c>
      <c r="G1003" s="25">
        <f t="shared" si="14"/>
        <v>-3.8813071240766384E-3</v>
      </c>
    </row>
    <row r="1004" spans="1:7">
      <c r="A1004" s="52">
        <v>76.02</v>
      </c>
      <c r="B1004" s="52">
        <v>76.569999999999993</v>
      </c>
      <c r="C1004" s="52">
        <v>74.000100000000003</v>
      </c>
      <c r="D1004" s="52">
        <v>76.099999999999994</v>
      </c>
      <c r="E1004" s="52">
        <v>691961</v>
      </c>
      <c r="F1004" s="52" t="s">
        <v>1011</v>
      </c>
      <c r="G1004" s="25">
        <f t="shared" si="14"/>
        <v>-1.051248357424428E-3</v>
      </c>
    </row>
    <row r="1005" spans="1:7">
      <c r="A1005" s="52">
        <v>76.61</v>
      </c>
      <c r="B1005" s="52">
        <v>76.86</v>
      </c>
      <c r="C1005" s="52">
        <v>74.513999999999996</v>
      </c>
      <c r="D1005" s="52">
        <v>75.010000000000005</v>
      </c>
      <c r="E1005" s="52">
        <v>889182</v>
      </c>
      <c r="F1005" s="52" t="s">
        <v>1012</v>
      </c>
      <c r="G1005" s="25">
        <f t="shared" si="14"/>
        <v>2.1330489268097441E-2</v>
      </c>
    </row>
    <row r="1006" spans="1:7">
      <c r="A1006" s="52">
        <v>76.03</v>
      </c>
      <c r="B1006" s="52">
        <v>76.7</v>
      </c>
      <c r="C1006" s="52">
        <v>74.77</v>
      </c>
      <c r="D1006" s="52">
        <v>75.37</v>
      </c>
      <c r="E1006" s="52">
        <v>609998</v>
      </c>
      <c r="F1006" s="52" t="s">
        <v>1013</v>
      </c>
      <c r="G1006" s="25">
        <f t="shared" si="14"/>
        <v>8.7567997877138204E-3</v>
      </c>
    </row>
    <row r="1007" spans="1:7">
      <c r="A1007" s="52">
        <v>75.819999999999993</v>
      </c>
      <c r="B1007" s="52">
        <v>76.05</v>
      </c>
      <c r="C1007" s="52">
        <v>71.239999999999995</v>
      </c>
      <c r="D1007" s="52">
        <v>71.36</v>
      </c>
      <c r="E1007" s="52">
        <v>913247</v>
      </c>
      <c r="F1007" s="52" t="s">
        <v>1014</v>
      </c>
      <c r="G1007" s="25">
        <f t="shared" si="14"/>
        <v>6.25E-2</v>
      </c>
    </row>
    <row r="1008" spans="1:7">
      <c r="A1008" s="52">
        <v>73.61</v>
      </c>
      <c r="B1008" s="52">
        <v>76.099999999999994</v>
      </c>
      <c r="C1008" s="52">
        <v>73.430000000000007</v>
      </c>
      <c r="D1008" s="52">
        <v>75.62</v>
      </c>
      <c r="E1008" s="52">
        <v>447416</v>
      </c>
      <c r="F1008" s="52" t="s">
        <v>1015</v>
      </c>
      <c r="G1008" s="25">
        <f t="shared" si="14"/>
        <v>-2.6580269769902243E-2</v>
      </c>
    </row>
    <row r="1009" spans="1:7">
      <c r="A1009" s="52">
        <v>75.040000000000006</v>
      </c>
      <c r="B1009" s="52">
        <v>76.569999999999993</v>
      </c>
      <c r="C1009" s="52">
        <v>72.959999999999994</v>
      </c>
      <c r="D1009" s="52">
        <v>73.61</v>
      </c>
      <c r="E1009" s="52">
        <v>533869</v>
      </c>
      <c r="F1009" s="52" t="s">
        <v>1016</v>
      </c>
      <c r="G1009" s="25">
        <f t="shared" si="14"/>
        <v>1.9426708327672904E-2</v>
      </c>
    </row>
    <row r="1010" spans="1:7">
      <c r="A1010" s="52">
        <v>74.58</v>
      </c>
      <c r="B1010" s="52">
        <v>77.260000000000005</v>
      </c>
      <c r="C1010" s="52">
        <v>74.19</v>
      </c>
      <c r="D1010" s="52">
        <v>75.97</v>
      </c>
      <c r="E1010" s="52">
        <v>569989</v>
      </c>
      <c r="F1010" s="52" t="s">
        <v>1017</v>
      </c>
      <c r="G1010" s="25">
        <f t="shared" si="14"/>
        <v>-1.8296696064235896E-2</v>
      </c>
    </row>
    <row r="1011" spans="1:7">
      <c r="A1011" s="52">
        <v>76.64</v>
      </c>
      <c r="B1011" s="52">
        <v>79.88</v>
      </c>
      <c r="C1011" s="52">
        <v>76.489999999999995</v>
      </c>
      <c r="D1011" s="52">
        <v>79.34</v>
      </c>
      <c r="E1011" s="52">
        <v>678552</v>
      </c>
      <c r="F1011" s="52" t="s">
        <v>1018</v>
      </c>
      <c r="G1011" s="25">
        <f t="shared" si="14"/>
        <v>-3.4030753718174989E-2</v>
      </c>
    </row>
    <row r="1012" spans="1:7">
      <c r="A1012" s="52">
        <v>79.989999999999995</v>
      </c>
      <c r="B1012" s="52">
        <v>81.319999999999993</v>
      </c>
      <c r="C1012" s="52">
        <v>79.47</v>
      </c>
      <c r="D1012" s="52">
        <v>80.98</v>
      </c>
      <c r="E1012" s="52">
        <v>510302</v>
      </c>
      <c r="F1012" s="52" t="s">
        <v>1019</v>
      </c>
      <c r="G1012" s="25">
        <f t="shared" ref="G1012:G1075" si="15">A1012/D1012-1</f>
        <v>-1.2225240800197712E-2</v>
      </c>
    </row>
    <row r="1013" spans="1:7">
      <c r="A1013" s="52">
        <v>81.349999999999994</v>
      </c>
      <c r="B1013" s="52">
        <v>81.96</v>
      </c>
      <c r="C1013" s="52">
        <v>80.209999999999994</v>
      </c>
      <c r="D1013" s="52">
        <v>80.209999999999994</v>
      </c>
      <c r="E1013" s="52">
        <v>590808</v>
      </c>
      <c r="F1013" s="52" t="s">
        <v>1020</v>
      </c>
      <c r="G1013" s="25">
        <f t="shared" si="15"/>
        <v>1.4212691684328593E-2</v>
      </c>
    </row>
    <row r="1014" spans="1:7">
      <c r="A1014" s="52">
        <v>78.63</v>
      </c>
      <c r="B1014" s="52">
        <v>81.59</v>
      </c>
      <c r="C1014" s="52">
        <v>78.59</v>
      </c>
      <c r="D1014" s="52">
        <v>80.03</v>
      </c>
      <c r="E1014" s="52">
        <v>607404</v>
      </c>
      <c r="F1014" s="52" t="s">
        <v>1021</v>
      </c>
      <c r="G1014" s="25">
        <f t="shared" si="15"/>
        <v>-1.7493439960015067E-2</v>
      </c>
    </row>
    <row r="1015" spans="1:7">
      <c r="A1015" s="52">
        <v>80.23</v>
      </c>
      <c r="B1015" s="52">
        <v>81.94</v>
      </c>
      <c r="C1015" s="52">
        <v>78.58</v>
      </c>
      <c r="D1015" s="52">
        <v>79.040000000000006</v>
      </c>
      <c r="E1015" s="52">
        <v>713664</v>
      </c>
      <c r="F1015" s="52" t="s">
        <v>1022</v>
      </c>
      <c r="G1015" s="25">
        <f t="shared" si="15"/>
        <v>1.5055668016194401E-2</v>
      </c>
    </row>
    <row r="1016" spans="1:7">
      <c r="A1016" s="52">
        <v>78.7</v>
      </c>
      <c r="B1016" s="52">
        <v>81.260000000000005</v>
      </c>
      <c r="C1016" s="52">
        <v>76.52</v>
      </c>
      <c r="D1016" s="52">
        <v>77.930000000000007</v>
      </c>
      <c r="E1016" s="52">
        <v>1104628</v>
      </c>
      <c r="F1016" s="52" t="s">
        <v>1023</v>
      </c>
      <c r="G1016" s="25">
        <f t="shared" si="15"/>
        <v>9.8806621326830157E-3</v>
      </c>
    </row>
    <row r="1017" spans="1:7">
      <c r="A1017" s="52">
        <v>78.89</v>
      </c>
      <c r="B1017" s="52">
        <v>79.099999999999994</v>
      </c>
      <c r="C1017" s="52">
        <v>75.02</v>
      </c>
      <c r="D1017" s="52">
        <v>75.849999999999994</v>
      </c>
      <c r="E1017" s="52">
        <v>696604</v>
      </c>
      <c r="F1017" s="52" t="s">
        <v>1024</v>
      </c>
      <c r="G1017" s="25">
        <f t="shared" si="15"/>
        <v>4.0079103493737778E-2</v>
      </c>
    </row>
    <row r="1018" spans="1:7">
      <c r="A1018" s="52">
        <v>75.41</v>
      </c>
      <c r="B1018" s="52">
        <v>76.14</v>
      </c>
      <c r="C1018" s="52">
        <v>74.06</v>
      </c>
      <c r="D1018" s="52">
        <v>75.59</v>
      </c>
      <c r="E1018" s="52">
        <v>561810</v>
      </c>
      <c r="F1018" s="52" t="s">
        <v>1025</v>
      </c>
      <c r="G1018" s="25">
        <f t="shared" si="15"/>
        <v>-2.3812673634079351E-3</v>
      </c>
    </row>
    <row r="1019" spans="1:7">
      <c r="A1019" s="52">
        <v>75.95</v>
      </c>
      <c r="B1019" s="52">
        <v>77.05</v>
      </c>
      <c r="C1019" s="52">
        <v>72.59</v>
      </c>
      <c r="D1019" s="52">
        <v>73.11</v>
      </c>
      <c r="E1019" s="52">
        <v>645529</v>
      </c>
      <c r="F1019" s="52" t="s">
        <v>1026</v>
      </c>
      <c r="G1019" s="25">
        <f t="shared" si="15"/>
        <v>3.884557516071685E-2</v>
      </c>
    </row>
    <row r="1020" spans="1:7">
      <c r="A1020" s="52">
        <v>73.11</v>
      </c>
      <c r="B1020" s="52">
        <v>73.7</v>
      </c>
      <c r="C1020" s="52">
        <v>69.05</v>
      </c>
      <c r="D1020" s="52">
        <v>69.22</v>
      </c>
      <c r="E1020" s="52">
        <v>702249</v>
      </c>
      <c r="F1020" s="52" t="s">
        <v>1027</v>
      </c>
      <c r="G1020" s="25">
        <f t="shared" si="15"/>
        <v>5.6197630742560012E-2</v>
      </c>
    </row>
    <row r="1021" spans="1:7">
      <c r="A1021" s="52">
        <v>69.48</v>
      </c>
      <c r="B1021" s="52">
        <v>71.599900000000005</v>
      </c>
      <c r="C1021" s="52">
        <v>69.19</v>
      </c>
      <c r="D1021" s="52">
        <v>71.040000000000006</v>
      </c>
      <c r="E1021" s="52">
        <v>489597</v>
      </c>
      <c r="F1021" s="52" t="s">
        <v>1028</v>
      </c>
      <c r="G1021" s="25">
        <f t="shared" si="15"/>
        <v>-2.195945945945954E-2</v>
      </c>
    </row>
    <row r="1022" spans="1:7">
      <c r="A1022" s="52">
        <v>71.42</v>
      </c>
      <c r="B1022" s="52">
        <v>73.97</v>
      </c>
      <c r="C1022" s="52">
        <v>71</v>
      </c>
      <c r="D1022" s="52">
        <v>73.94</v>
      </c>
      <c r="E1022" s="52">
        <v>524402</v>
      </c>
      <c r="F1022" s="52" t="s">
        <v>1029</v>
      </c>
      <c r="G1022" s="25">
        <f t="shared" si="15"/>
        <v>-3.4081687855017528E-2</v>
      </c>
    </row>
    <row r="1023" spans="1:7">
      <c r="A1023" s="52">
        <v>74.25</v>
      </c>
      <c r="B1023" s="52">
        <v>74.34</v>
      </c>
      <c r="C1023" s="52">
        <v>70.010000000000005</v>
      </c>
      <c r="D1023" s="52">
        <v>71.400000000000006</v>
      </c>
      <c r="E1023" s="52">
        <v>964544</v>
      </c>
      <c r="F1023" s="52" t="s">
        <v>1030</v>
      </c>
      <c r="G1023" s="25">
        <f t="shared" si="15"/>
        <v>3.991596638655448E-2</v>
      </c>
    </row>
    <row r="1024" spans="1:7">
      <c r="A1024" s="52">
        <v>71.569999999999993</v>
      </c>
      <c r="B1024" s="52">
        <v>71.59</v>
      </c>
      <c r="C1024" s="52">
        <v>69.62</v>
      </c>
      <c r="D1024" s="52">
        <v>69.77</v>
      </c>
      <c r="E1024" s="52">
        <v>800879</v>
      </c>
      <c r="F1024" s="52" t="s">
        <v>1031</v>
      </c>
      <c r="G1024" s="25">
        <f t="shared" si="15"/>
        <v>2.5799054034685298E-2</v>
      </c>
    </row>
    <row r="1025" spans="1:7">
      <c r="A1025" s="52">
        <v>69.69</v>
      </c>
      <c r="B1025" s="52">
        <v>69.7</v>
      </c>
      <c r="C1025" s="52">
        <v>65.64</v>
      </c>
      <c r="D1025" s="52">
        <v>67.069999999999993</v>
      </c>
      <c r="E1025" s="52">
        <v>662677</v>
      </c>
      <c r="F1025" s="52" t="s">
        <v>1032</v>
      </c>
      <c r="G1025" s="25">
        <f t="shared" si="15"/>
        <v>3.9063664827792E-2</v>
      </c>
    </row>
    <row r="1026" spans="1:7">
      <c r="A1026" s="52">
        <v>66.88</v>
      </c>
      <c r="B1026" s="52">
        <v>71.41</v>
      </c>
      <c r="C1026" s="52">
        <v>66.44</v>
      </c>
      <c r="D1026" s="52">
        <v>71.28</v>
      </c>
      <c r="E1026" s="52">
        <v>1127747</v>
      </c>
      <c r="F1026" s="52" t="s">
        <v>1033</v>
      </c>
      <c r="G1026" s="25">
        <f t="shared" si="15"/>
        <v>-6.1728395061728447E-2</v>
      </c>
    </row>
    <row r="1027" spans="1:7">
      <c r="A1027" s="52">
        <v>70.239999999999995</v>
      </c>
      <c r="B1027" s="52">
        <v>72.38</v>
      </c>
      <c r="C1027" s="52">
        <v>68.790000000000006</v>
      </c>
      <c r="D1027" s="52">
        <v>69.58</v>
      </c>
      <c r="E1027" s="52">
        <v>1274794</v>
      </c>
      <c r="F1027" s="52" t="s">
        <v>1034</v>
      </c>
      <c r="G1027" s="25">
        <f t="shared" si="15"/>
        <v>9.4854843345788531E-3</v>
      </c>
    </row>
    <row r="1028" spans="1:7">
      <c r="A1028" s="52">
        <v>68.709999999999994</v>
      </c>
      <c r="B1028" s="52">
        <v>69.34</v>
      </c>
      <c r="C1028" s="52">
        <v>64.72</v>
      </c>
      <c r="D1028" s="52">
        <v>65.78</v>
      </c>
      <c r="E1028" s="52">
        <v>2136061</v>
      </c>
      <c r="F1028" s="52" t="s">
        <v>1035</v>
      </c>
      <c r="G1028" s="25">
        <f t="shared" si="15"/>
        <v>4.4542414107631378E-2</v>
      </c>
    </row>
    <row r="1029" spans="1:7">
      <c r="A1029" s="52">
        <v>67.3</v>
      </c>
      <c r="B1029" s="52">
        <v>68</v>
      </c>
      <c r="C1029" s="52">
        <v>61.484000000000002</v>
      </c>
      <c r="D1029" s="52">
        <v>61.64</v>
      </c>
      <c r="E1029" s="52">
        <v>2422485</v>
      </c>
      <c r="F1029" s="52" t="s">
        <v>1036</v>
      </c>
      <c r="G1029" s="25">
        <f t="shared" si="15"/>
        <v>9.182349123945488E-2</v>
      </c>
    </row>
    <row r="1030" spans="1:7">
      <c r="A1030" s="52">
        <v>63.47</v>
      </c>
      <c r="B1030" s="52">
        <v>64.5</v>
      </c>
      <c r="C1030" s="52">
        <v>61.31</v>
      </c>
      <c r="D1030" s="52">
        <v>63.96</v>
      </c>
      <c r="E1030" s="52">
        <v>1538312</v>
      </c>
      <c r="F1030" s="52" t="s">
        <v>1037</v>
      </c>
      <c r="G1030" s="25">
        <f t="shared" si="15"/>
        <v>-7.6610381488431134E-3</v>
      </c>
    </row>
    <row r="1031" spans="1:7">
      <c r="A1031" s="52">
        <v>64.59</v>
      </c>
      <c r="B1031" s="52">
        <v>66.209999999999994</v>
      </c>
      <c r="C1031" s="52">
        <v>63.96</v>
      </c>
      <c r="D1031" s="52">
        <v>64.22</v>
      </c>
      <c r="E1031" s="52">
        <v>1584016</v>
      </c>
      <c r="F1031" s="52" t="s">
        <v>1038</v>
      </c>
      <c r="G1031" s="25">
        <f t="shared" si="15"/>
        <v>5.7614450327001521E-3</v>
      </c>
    </row>
    <row r="1032" spans="1:7">
      <c r="A1032" s="52">
        <v>63.15</v>
      </c>
      <c r="B1032" s="52">
        <v>68</v>
      </c>
      <c r="C1032" s="52">
        <v>63.01</v>
      </c>
      <c r="D1032" s="52">
        <v>67.31</v>
      </c>
      <c r="E1032" s="52">
        <v>2281736</v>
      </c>
      <c r="F1032" s="52" t="s">
        <v>1039</v>
      </c>
      <c r="G1032" s="25">
        <f t="shared" si="15"/>
        <v>-6.1803595305303882E-2</v>
      </c>
    </row>
    <row r="1033" spans="1:7">
      <c r="A1033" s="52">
        <v>66.12</v>
      </c>
      <c r="B1033" s="52">
        <v>69.92</v>
      </c>
      <c r="C1033" s="52">
        <v>65.17</v>
      </c>
      <c r="D1033" s="52">
        <v>69.92</v>
      </c>
      <c r="E1033" s="52">
        <v>1865418</v>
      </c>
      <c r="F1033" s="52" t="s">
        <v>1040</v>
      </c>
      <c r="G1033" s="25">
        <f t="shared" si="15"/>
        <v>-5.434782608695643E-2</v>
      </c>
    </row>
    <row r="1034" spans="1:7">
      <c r="A1034" s="52">
        <v>71.099999999999994</v>
      </c>
      <c r="B1034" s="52">
        <v>72.040000000000006</v>
      </c>
      <c r="C1034" s="52">
        <v>68.819999999999993</v>
      </c>
      <c r="D1034" s="52">
        <v>72</v>
      </c>
      <c r="E1034" s="52">
        <v>1218002</v>
      </c>
      <c r="F1034" s="52" t="s">
        <v>1041</v>
      </c>
      <c r="G1034" s="25">
        <f t="shared" si="15"/>
        <v>-1.2500000000000067E-2</v>
      </c>
    </row>
    <row r="1035" spans="1:7">
      <c r="A1035" s="52">
        <v>72.39</v>
      </c>
      <c r="B1035" s="52">
        <v>74.680000000000007</v>
      </c>
      <c r="C1035" s="52">
        <v>72.234999999999999</v>
      </c>
      <c r="D1035" s="52">
        <v>73.319999999999993</v>
      </c>
      <c r="E1035" s="52">
        <v>901393</v>
      </c>
      <c r="F1035" s="52" t="s">
        <v>1042</v>
      </c>
      <c r="G1035" s="25">
        <f t="shared" si="15"/>
        <v>-1.2684124386251994E-2</v>
      </c>
    </row>
    <row r="1036" spans="1:7">
      <c r="A1036" s="52">
        <v>73.95</v>
      </c>
      <c r="B1036" s="52">
        <v>76.530500000000004</v>
      </c>
      <c r="C1036" s="52">
        <v>72</v>
      </c>
      <c r="D1036" s="52">
        <v>75.69</v>
      </c>
      <c r="E1036" s="52">
        <v>1570283</v>
      </c>
      <c r="F1036" s="52" t="s">
        <v>1043</v>
      </c>
      <c r="G1036" s="25">
        <f t="shared" si="15"/>
        <v>-2.2988505747126409E-2</v>
      </c>
    </row>
    <row r="1037" spans="1:7">
      <c r="A1037" s="52">
        <v>76.34</v>
      </c>
      <c r="B1037" s="52">
        <v>77.84</v>
      </c>
      <c r="C1037" s="52">
        <v>73.75</v>
      </c>
      <c r="D1037" s="52">
        <v>75.87</v>
      </c>
      <c r="E1037" s="52">
        <v>1374586</v>
      </c>
      <c r="F1037" s="52" t="s">
        <v>1044</v>
      </c>
      <c r="G1037" s="25">
        <f t="shared" si="15"/>
        <v>6.1948069065507205E-3</v>
      </c>
    </row>
    <row r="1038" spans="1:7">
      <c r="A1038" s="52">
        <v>76.150000000000006</v>
      </c>
      <c r="B1038" s="52">
        <v>84.8</v>
      </c>
      <c r="C1038" s="52">
        <v>71.280100000000004</v>
      </c>
      <c r="D1038" s="52">
        <v>84.01</v>
      </c>
      <c r="E1038" s="52">
        <v>4886964</v>
      </c>
      <c r="F1038" s="52" t="s">
        <v>1045</v>
      </c>
      <c r="G1038" s="25">
        <f t="shared" si="15"/>
        <v>-9.3560290441614069E-2</v>
      </c>
    </row>
    <row r="1039" spans="1:7">
      <c r="A1039" s="52">
        <v>85.5</v>
      </c>
      <c r="B1039" s="52">
        <v>92</v>
      </c>
      <c r="C1039" s="52">
        <v>84.5</v>
      </c>
      <c r="D1039" s="52">
        <v>86.96</v>
      </c>
      <c r="E1039" s="52">
        <v>2664823</v>
      </c>
      <c r="F1039" s="52" t="s">
        <v>1046</v>
      </c>
      <c r="G1039" s="25">
        <f t="shared" si="15"/>
        <v>-1.6789328426862871E-2</v>
      </c>
    </row>
    <row r="1040" spans="1:7">
      <c r="A1040" s="52">
        <v>86.9</v>
      </c>
      <c r="B1040" s="52">
        <v>88.07</v>
      </c>
      <c r="C1040" s="52">
        <v>82.92</v>
      </c>
      <c r="D1040" s="52">
        <v>84.28</v>
      </c>
      <c r="E1040" s="52">
        <v>832936</v>
      </c>
      <c r="F1040" s="52" t="s">
        <v>1047</v>
      </c>
      <c r="G1040" s="25">
        <f t="shared" si="15"/>
        <v>3.1086853345989596E-2</v>
      </c>
    </row>
    <row r="1041" spans="1:7">
      <c r="A1041" s="52">
        <v>84.09</v>
      </c>
      <c r="B1041" s="52">
        <v>90</v>
      </c>
      <c r="C1041" s="52">
        <v>83.73</v>
      </c>
      <c r="D1041" s="52">
        <v>88.61</v>
      </c>
      <c r="E1041" s="52">
        <v>946792</v>
      </c>
      <c r="F1041" s="52" t="s">
        <v>1048</v>
      </c>
      <c r="G1041" s="25">
        <f t="shared" si="15"/>
        <v>-5.101004401309106E-2</v>
      </c>
    </row>
    <row r="1042" spans="1:7">
      <c r="A1042" s="52">
        <v>89.16</v>
      </c>
      <c r="B1042" s="52">
        <v>90.9</v>
      </c>
      <c r="C1042" s="52">
        <v>86.04</v>
      </c>
      <c r="D1042" s="52">
        <v>90</v>
      </c>
      <c r="E1042" s="52">
        <v>647656</v>
      </c>
      <c r="F1042" s="52" t="s">
        <v>1049</v>
      </c>
      <c r="G1042" s="25">
        <f t="shared" si="15"/>
        <v>-9.3333333333334156E-3</v>
      </c>
    </row>
    <row r="1043" spans="1:7">
      <c r="A1043" s="52">
        <v>90.42</v>
      </c>
      <c r="B1043" s="52">
        <v>91.74</v>
      </c>
      <c r="C1043" s="52">
        <v>88.62</v>
      </c>
      <c r="D1043" s="52">
        <v>90.1</v>
      </c>
      <c r="E1043" s="52">
        <v>411049</v>
      </c>
      <c r="F1043" s="52" t="s">
        <v>1050</v>
      </c>
      <c r="G1043" s="25">
        <f t="shared" si="15"/>
        <v>3.5516093229746026E-3</v>
      </c>
    </row>
    <row r="1044" spans="1:7">
      <c r="A1044" s="52">
        <v>90.05</v>
      </c>
      <c r="B1044" s="52">
        <v>92.5</v>
      </c>
      <c r="C1044" s="52">
        <v>89.76</v>
      </c>
      <c r="D1044" s="52">
        <v>90.87</v>
      </c>
      <c r="E1044" s="52">
        <v>311233</v>
      </c>
      <c r="F1044" s="52" t="s">
        <v>1051</v>
      </c>
      <c r="G1044" s="25">
        <f t="shared" si="15"/>
        <v>-9.0238802685155273E-3</v>
      </c>
    </row>
    <row r="1045" spans="1:7">
      <c r="A1045" s="52">
        <v>90.59</v>
      </c>
      <c r="B1045" s="52">
        <v>93.147599999999997</v>
      </c>
      <c r="C1045" s="52">
        <v>90.24</v>
      </c>
      <c r="D1045" s="52">
        <v>91</v>
      </c>
      <c r="E1045" s="52">
        <v>273931</v>
      </c>
      <c r="F1045" s="52" t="s">
        <v>1052</v>
      </c>
      <c r="G1045" s="25">
        <f t="shared" si="15"/>
        <v>-4.5054945054944229E-3</v>
      </c>
    </row>
    <row r="1046" spans="1:7">
      <c r="A1046" s="52">
        <v>90.96</v>
      </c>
      <c r="B1046" s="52">
        <v>91.17</v>
      </c>
      <c r="C1046" s="52">
        <v>88.6</v>
      </c>
      <c r="D1046" s="52">
        <v>89.73</v>
      </c>
      <c r="E1046" s="52">
        <v>336766</v>
      </c>
      <c r="F1046" s="52" t="s">
        <v>1053</v>
      </c>
      <c r="G1046" s="25">
        <f t="shared" si="15"/>
        <v>1.3707790036776801E-2</v>
      </c>
    </row>
    <row r="1047" spans="1:7">
      <c r="A1047" s="52">
        <v>90.11</v>
      </c>
      <c r="B1047" s="52">
        <v>93.27</v>
      </c>
      <c r="C1047" s="52">
        <v>89.75</v>
      </c>
      <c r="D1047" s="52">
        <v>90.33</v>
      </c>
      <c r="E1047" s="52">
        <v>361243</v>
      </c>
      <c r="F1047" s="52" t="s">
        <v>1054</v>
      </c>
      <c r="G1047" s="25">
        <f t="shared" si="15"/>
        <v>-2.4355142256171636E-3</v>
      </c>
    </row>
    <row r="1048" spans="1:7">
      <c r="A1048" s="52">
        <v>91.63</v>
      </c>
      <c r="B1048" s="52">
        <v>92.2577</v>
      </c>
      <c r="C1048" s="52">
        <v>90.17</v>
      </c>
      <c r="D1048" s="52">
        <v>91.59</v>
      </c>
      <c r="E1048" s="52">
        <v>499913</v>
      </c>
      <c r="F1048" s="52" t="s">
        <v>1055</v>
      </c>
      <c r="G1048" s="25">
        <f t="shared" si="15"/>
        <v>4.3672890053492175E-4</v>
      </c>
    </row>
    <row r="1049" spans="1:7">
      <c r="A1049" s="52">
        <v>91.56</v>
      </c>
      <c r="B1049" s="52">
        <v>93.5</v>
      </c>
      <c r="C1049" s="52">
        <v>90.7</v>
      </c>
      <c r="D1049" s="52">
        <v>91.06</v>
      </c>
      <c r="E1049" s="52">
        <v>493389</v>
      </c>
      <c r="F1049" s="52" t="s">
        <v>1056</v>
      </c>
      <c r="G1049" s="25">
        <f t="shared" si="15"/>
        <v>5.4908851306829654E-3</v>
      </c>
    </row>
    <row r="1050" spans="1:7">
      <c r="A1050" s="52">
        <v>90.87</v>
      </c>
      <c r="B1050" s="52">
        <v>91.55</v>
      </c>
      <c r="C1050" s="52">
        <v>88.83</v>
      </c>
      <c r="D1050" s="52">
        <v>90.69</v>
      </c>
      <c r="E1050" s="52">
        <v>565248</v>
      </c>
      <c r="F1050" s="52" t="s">
        <v>1057</v>
      </c>
      <c r="G1050" s="25">
        <f t="shared" si="15"/>
        <v>1.9847833278201499E-3</v>
      </c>
    </row>
    <row r="1051" spans="1:7">
      <c r="A1051" s="52">
        <v>91.13</v>
      </c>
      <c r="B1051" s="52">
        <v>92</v>
      </c>
      <c r="C1051" s="52">
        <v>89.54</v>
      </c>
      <c r="D1051" s="52">
        <v>89.86</v>
      </c>
      <c r="E1051" s="52">
        <v>2091953</v>
      </c>
      <c r="F1051" s="52" t="s">
        <v>1058</v>
      </c>
      <c r="G1051" s="25">
        <f t="shared" si="15"/>
        <v>1.4133095926997408E-2</v>
      </c>
    </row>
    <row r="1052" spans="1:7">
      <c r="A1052" s="52">
        <v>89.01</v>
      </c>
      <c r="B1052" s="52">
        <v>90.75</v>
      </c>
      <c r="C1052" s="52">
        <v>86.66</v>
      </c>
      <c r="D1052" s="52">
        <v>87.66</v>
      </c>
      <c r="E1052" s="52">
        <v>1057985</v>
      </c>
      <c r="F1052" s="52" t="s">
        <v>1059</v>
      </c>
      <c r="G1052" s="25">
        <f t="shared" si="15"/>
        <v>1.5400410677618215E-2</v>
      </c>
    </row>
    <row r="1053" spans="1:7">
      <c r="A1053" s="52">
        <v>87.9</v>
      </c>
      <c r="B1053" s="52">
        <v>90.5</v>
      </c>
      <c r="C1053" s="52">
        <v>85.54</v>
      </c>
      <c r="D1053" s="52">
        <v>86.44</v>
      </c>
      <c r="E1053" s="52">
        <v>1577320</v>
      </c>
      <c r="F1053" s="52" t="s">
        <v>1060</v>
      </c>
      <c r="G1053" s="25">
        <f t="shared" si="15"/>
        <v>1.6890328551596667E-2</v>
      </c>
    </row>
    <row r="1054" spans="1:7">
      <c r="A1054" s="52">
        <v>86.86</v>
      </c>
      <c r="B1054" s="52">
        <v>88.534999999999997</v>
      </c>
      <c r="C1054" s="52">
        <v>85.53</v>
      </c>
      <c r="D1054" s="52">
        <v>88.534999999999997</v>
      </c>
      <c r="E1054" s="52">
        <v>509857</v>
      </c>
      <c r="F1054" s="52" t="s">
        <v>1061</v>
      </c>
      <c r="G1054" s="25">
        <f t="shared" si="15"/>
        <v>-1.8919071553622824E-2</v>
      </c>
    </row>
    <row r="1055" spans="1:7">
      <c r="A1055" s="52">
        <v>87.33</v>
      </c>
      <c r="B1055" s="52">
        <v>87.45</v>
      </c>
      <c r="C1055" s="52">
        <v>83.73</v>
      </c>
      <c r="D1055" s="52">
        <v>85.68</v>
      </c>
      <c r="E1055" s="52">
        <v>620725</v>
      </c>
      <c r="F1055" s="52" t="s">
        <v>1062</v>
      </c>
      <c r="G1055" s="25">
        <f t="shared" si="15"/>
        <v>1.9257703081232425E-2</v>
      </c>
    </row>
    <row r="1056" spans="1:7">
      <c r="A1056" s="52">
        <v>85.6</v>
      </c>
      <c r="B1056" s="52">
        <v>87</v>
      </c>
      <c r="C1056" s="52">
        <v>82.21</v>
      </c>
      <c r="D1056" s="52">
        <v>82.86</v>
      </c>
      <c r="E1056" s="52">
        <v>647304</v>
      </c>
      <c r="F1056" s="52" t="s">
        <v>1063</v>
      </c>
      <c r="G1056" s="25">
        <f t="shared" si="15"/>
        <v>3.3067825247405258E-2</v>
      </c>
    </row>
    <row r="1057" spans="1:7">
      <c r="A1057" s="52">
        <v>84.61</v>
      </c>
      <c r="B1057" s="52">
        <v>86.87</v>
      </c>
      <c r="C1057" s="52">
        <v>84.180999999999997</v>
      </c>
      <c r="D1057" s="52">
        <v>85.3</v>
      </c>
      <c r="E1057" s="52">
        <v>545810</v>
      </c>
      <c r="F1057" s="52" t="s">
        <v>1064</v>
      </c>
      <c r="G1057" s="25">
        <f t="shared" si="15"/>
        <v>-8.0890973036341629E-3</v>
      </c>
    </row>
    <row r="1058" spans="1:7">
      <c r="A1058" s="52">
        <v>85.49</v>
      </c>
      <c r="B1058" s="52">
        <v>87.64</v>
      </c>
      <c r="C1058" s="52">
        <v>84.74</v>
      </c>
      <c r="D1058" s="52">
        <v>85.46</v>
      </c>
      <c r="E1058" s="52">
        <v>421992</v>
      </c>
      <c r="F1058" s="52" t="s">
        <v>1065</v>
      </c>
      <c r="G1058" s="25">
        <f t="shared" si="15"/>
        <v>3.5104142288799878E-4</v>
      </c>
    </row>
    <row r="1059" spans="1:7">
      <c r="A1059" s="52">
        <v>85.46</v>
      </c>
      <c r="B1059" s="52">
        <v>89.7</v>
      </c>
      <c r="C1059" s="52">
        <v>85.29</v>
      </c>
      <c r="D1059" s="52">
        <v>88.410499999999999</v>
      </c>
      <c r="E1059" s="52">
        <v>671685</v>
      </c>
      <c r="F1059" s="52" t="s">
        <v>1066</v>
      </c>
      <c r="G1059" s="25">
        <f t="shared" si="15"/>
        <v>-3.3372732876751132E-2</v>
      </c>
    </row>
    <row r="1060" spans="1:7">
      <c r="A1060" s="52">
        <v>86.02</v>
      </c>
      <c r="B1060" s="52">
        <v>88.2</v>
      </c>
      <c r="C1060" s="52">
        <v>84.865799999999993</v>
      </c>
      <c r="D1060" s="52">
        <v>86</v>
      </c>
      <c r="E1060" s="52">
        <v>1349843</v>
      </c>
      <c r="F1060" s="52" t="s">
        <v>1067</v>
      </c>
      <c r="G1060" s="25">
        <f t="shared" si="15"/>
        <v>2.3255813953482196E-4</v>
      </c>
    </row>
    <row r="1061" spans="1:7">
      <c r="A1061" s="52">
        <v>85.33</v>
      </c>
      <c r="B1061" s="52">
        <v>85.89</v>
      </c>
      <c r="C1061" s="52">
        <v>82.030100000000004</v>
      </c>
      <c r="D1061" s="52">
        <v>82.26</v>
      </c>
      <c r="E1061" s="52">
        <v>1068312</v>
      </c>
      <c r="F1061" s="52" t="s">
        <v>1068</v>
      </c>
      <c r="G1061" s="25">
        <f t="shared" si="15"/>
        <v>3.7320690493557018E-2</v>
      </c>
    </row>
    <row r="1062" spans="1:7">
      <c r="A1062" s="52">
        <v>81.7</v>
      </c>
      <c r="B1062" s="52">
        <v>82.27</v>
      </c>
      <c r="C1062" s="52">
        <v>76.709999999999994</v>
      </c>
      <c r="D1062" s="52">
        <v>77.709999999999994</v>
      </c>
      <c r="E1062" s="52">
        <v>818798</v>
      </c>
      <c r="F1062" s="52" t="s">
        <v>1069</v>
      </c>
      <c r="G1062" s="25">
        <f t="shared" si="15"/>
        <v>5.1344743276283689E-2</v>
      </c>
    </row>
    <row r="1063" spans="1:7">
      <c r="A1063" s="52">
        <v>78.5</v>
      </c>
      <c r="B1063" s="52">
        <v>83.39</v>
      </c>
      <c r="C1063" s="52">
        <v>76.23</v>
      </c>
      <c r="D1063" s="52">
        <v>83.39</v>
      </c>
      <c r="E1063" s="52">
        <v>1722237</v>
      </c>
      <c r="F1063" s="52" t="s">
        <v>1070</v>
      </c>
      <c r="G1063" s="25">
        <f t="shared" si="15"/>
        <v>-5.8640124715193642E-2</v>
      </c>
    </row>
    <row r="1064" spans="1:7">
      <c r="A1064" s="52">
        <v>83.19</v>
      </c>
      <c r="B1064" s="52">
        <v>85.25</v>
      </c>
      <c r="C1064" s="52">
        <v>81.72</v>
      </c>
      <c r="D1064" s="52">
        <v>82.1</v>
      </c>
      <c r="E1064" s="52">
        <v>734189</v>
      </c>
      <c r="F1064" s="52" t="s">
        <v>1071</v>
      </c>
      <c r="G1064" s="25">
        <f t="shared" si="15"/>
        <v>1.3276492082825886E-2</v>
      </c>
    </row>
    <row r="1065" spans="1:7">
      <c r="A1065" s="52">
        <v>82.19</v>
      </c>
      <c r="B1065" s="52">
        <v>85.28</v>
      </c>
      <c r="C1065" s="52">
        <v>80.25</v>
      </c>
      <c r="D1065" s="52">
        <v>80.66</v>
      </c>
      <c r="E1065" s="52">
        <v>852599</v>
      </c>
      <c r="F1065" s="52" t="s">
        <v>1072</v>
      </c>
      <c r="G1065" s="25">
        <f t="shared" si="15"/>
        <v>1.8968509794197841E-2</v>
      </c>
    </row>
    <row r="1066" spans="1:7">
      <c r="A1066" s="52">
        <v>80.81</v>
      </c>
      <c r="B1066" s="52">
        <v>80.905000000000001</v>
      </c>
      <c r="C1066" s="52">
        <v>77.69</v>
      </c>
      <c r="D1066" s="52">
        <v>79.349999999999994</v>
      </c>
      <c r="E1066" s="52">
        <v>1001692</v>
      </c>
      <c r="F1066" s="52" t="s">
        <v>1073</v>
      </c>
      <c r="G1066" s="25">
        <f t="shared" si="15"/>
        <v>1.8399495904221963E-2</v>
      </c>
    </row>
    <row r="1067" spans="1:7">
      <c r="A1067" s="52">
        <v>79.86</v>
      </c>
      <c r="B1067" s="52">
        <v>81.83</v>
      </c>
      <c r="C1067" s="52">
        <v>79.760000000000005</v>
      </c>
      <c r="D1067" s="52">
        <v>81.540000000000006</v>
      </c>
      <c r="E1067" s="52">
        <v>602960</v>
      </c>
      <c r="F1067" s="52" t="s">
        <v>1074</v>
      </c>
      <c r="G1067" s="25">
        <f t="shared" si="15"/>
        <v>-2.0603384841795469E-2</v>
      </c>
    </row>
    <row r="1068" spans="1:7">
      <c r="A1068" s="52">
        <v>79.62</v>
      </c>
      <c r="B1068" s="52">
        <v>81.44</v>
      </c>
      <c r="C1068" s="52">
        <v>78.680000000000007</v>
      </c>
      <c r="D1068" s="52">
        <v>80.56</v>
      </c>
      <c r="E1068" s="52">
        <v>473522</v>
      </c>
      <c r="F1068" s="52" t="s">
        <v>1075</v>
      </c>
      <c r="G1068" s="25">
        <f t="shared" si="15"/>
        <v>-1.1668321747765664E-2</v>
      </c>
    </row>
    <row r="1069" spans="1:7">
      <c r="A1069" s="52">
        <v>80.98</v>
      </c>
      <c r="B1069" s="52">
        <v>81.510000000000005</v>
      </c>
      <c r="C1069" s="52">
        <v>78.040000000000006</v>
      </c>
      <c r="D1069" s="52">
        <v>79.87</v>
      </c>
      <c r="E1069" s="52">
        <v>415328</v>
      </c>
      <c r="F1069" s="52" t="s">
        <v>1076</v>
      </c>
      <c r="G1069" s="25">
        <f t="shared" si="15"/>
        <v>1.3897583573306616E-2</v>
      </c>
    </row>
    <row r="1070" spans="1:7">
      <c r="A1070" s="52">
        <v>79.33</v>
      </c>
      <c r="B1070" s="52">
        <v>79.650000000000006</v>
      </c>
      <c r="C1070" s="52">
        <v>75.8</v>
      </c>
      <c r="D1070" s="52">
        <v>78.13</v>
      </c>
      <c r="E1070" s="52">
        <v>782132</v>
      </c>
      <c r="F1070" s="52" t="s">
        <v>1077</v>
      </c>
      <c r="G1070" s="25">
        <f t="shared" si="15"/>
        <v>1.5359017022910537E-2</v>
      </c>
    </row>
    <row r="1071" spans="1:7">
      <c r="A1071" s="52">
        <v>78.34</v>
      </c>
      <c r="B1071" s="52">
        <v>81.14</v>
      </c>
      <c r="C1071" s="52">
        <v>78.260000000000005</v>
      </c>
      <c r="D1071" s="52">
        <v>81.14</v>
      </c>
      <c r="E1071" s="52">
        <v>1484832</v>
      </c>
      <c r="F1071" s="52" t="s">
        <v>1078</v>
      </c>
      <c r="G1071" s="25">
        <f t="shared" si="15"/>
        <v>-3.4508257333004666E-2</v>
      </c>
    </row>
    <row r="1072" spans="1:7">
      <c r="A1072" s="52">
        <v>80.010000000000005</v>
      </c>
      <c r="B1072" s="52">
        <v>81.075000000000003</v>
      </c>
      <c r="C1072" s="52">
        <v>79.36</v>
      </c>
      <c r="D1072" s="52">
        <v>80.209999999999994</v>
      </c>
      <c r="E1072" s="52">
        <v>835757</v>
      </c>
      <c r="F1072" s="52" t="s">
        <v>1079</v>
      </c>
      <c r="G1072" s="25">
        <f t="shared" si="15"/>
        <v>-2.4934546814610048E-3</v>
      </c>
    </row>
    <row r="1073" spans="1:7">
      <c r="A1073" s="52">
        <v>80.91</v>
      </c>
      <c r="B1073" s="52">
        <v>82.974999999999994</v>
      </c>
      <c r="C1073" s="52">
        <v>80.52</v>
      </c>
      <c r="D1073" s="52">
        <v>81.78</v>
      </c>
      <c r="E1073" s="52">
        <v>1021688</v>
      </c>
      <c r="F1073" s="52" t="s">
        <v>1080</v>
      </c>
      <c r="G1073" s="25">
        <f t="shared" si="15"/>
        <v>-1.0638297872340496E-2</v>
      </c>
    </row>
    <row r="1074" spans="1:7">
      <c r="A1074" s="52">
        <v>79.72</v>
      </c>
      <c r="B1074" s="52">
        <v>82.8</v>
      </c>
      <c r="C1074" s="52">
        <v>79.05</v>
      </c>
      <c r="D1074" s="52">
        <v>82.001000000000005</v>
      </c>
      <c r="E1074" s="52">
        <v>1229766</v>
      </c>
      <c r="F1074" s="52" t="s">
        <v>1081</v>
      </c>
      <c r="G1074" s="25">
        <f t="shared" si="15"/>
        <v>-2.7816733942269023E-2</v>
      </c>
    </row>
    <row r="1075" spans="1:7">
      <c r="A1075" s="52">
        <v>83</v>
      </c>
      <c r="B1075" s="52">
        <v>84.44</v>
      </c>
      <c r="C1075" s="52">
        <v>82.47</v>
      </c>
      <c r="D1075" s="52">
        <v>83.53</v>
      </c>
      <c r="E1075" s="52">
        <v>599190</v>
      </c>
      <c r="F1075" s="52" t="s">
        <v>1082</v>
      </c>
      <c r="G1075" s="25">
        <f t="shared" si="15"/>
        <v>-6.3450257392553278E-3</v>
      </c>
    </row>
    <row r="1076" spans="1:7">
      <c r="A1076" s="52">
        <v>83.88</v>
      </c>
      <c r="B1076" s="52">
        <v>85.88</v>
      </c>
      <c r="C1076" s="52">
        <v>83.81</v>
      </c>
      <c r="D1076" s="52">
        <v>85.5</v>
      </c>
      <c r="E1076" s="52">
        <v>497391</v>
      </c>
      <c r="F1076" s="52" t="s">
        <v>1083</v>
      </c>
      <c r="G1076" s="25">
        <f t="shared" ref="G1076:G1139" si="16">A1076/D1076-1</f>
        <v>-1.8947368421052713E-2</v>
      </c>
    </row>
    <row r="1077" spans="1:7">
      <c r="A1077" s="52">
        <v>84.94</v>
      </c>
      <c r="B1077" s="52">
        <v>87.15</v>
      </c>
      <c r="C1077" s="52">
        <v>84.31</v>
      </c>
      <c r="D1077" s="52">
        <v>85.96</v>
      </c>
      <c r="E1077" s="52">
        <v>681916</v>
      </c>
      <c r="F1077" s="52" t="s">
        <v>1084</v>
      </c>
      <c r="G1077" s="25">
        <f t="shared" si="16"/>
        <v>-1.1865984178687672E-2</v>
      </c>
    </row>
    <row r="1078" spans="1:7">
      <c r="A1078" s="52">
        <v>86.1</v>
      </c>
      <c r="B1078" s="52">
        <v>86.8</v>
      </c>
      <c r="C1078" s="52">
        <v>85.56</v>
      </c>
      <c r="D1078" s="52">
        <v>86.27</v>
      </c>
      <c r="E1078" s="52">
        <v>390714</v>
      </c>
      <c r="F1078" s="52" t="s">
        <v>1085</v>
      </c>
      <c r="G1078" s="25">
        <f t="shared" si="16"/>
        <v>-1.970557551872032E-3</v>
      </c>
    </row>
    <row r="1079" spans="1:7">
      <c r="A1079" s="52">
        <v>86.12</v>
      </c>
      <c r="B1079" s="52">
        <v>88.479900000000001</v>
      </c>
      <c r="C1079" s="52">
        <v>85.57</v>
      </c>
      <c r="D1079" s="52">
        <v>87.55</v>
      </c>
      <c r="E1079" s="52">
        <v>652443</v>
      </c>
      <c r="F1079" s="52" t="s">
        <v>1086</v>
      </c>
      <c r="G1079" s="25">
        <f t="shared" si="16"/>
        <v>-1.6333523700742369E-2</v>
      </c>
    </row>
    <row r="1080" spans="1:7">
      <c r="A1080" s="52">
        <v>87.93</v>
      </c>
      <c r="B1080" s="52">
        <v>90.3</v>
      </c>
      <c r="C1080" s="52">
        <v>86.75</v>
      </c>
      <c r="D1080" s="52">
        <v>89.14</v>
      </c>
      <c r="E1080" s="52">
        <v>600334</v>
      </c>
      <c r="F1080" s="52" t="s">
        <v>1087</v>
      </c>
      <c r="G1080" s="25">
        <f t="shared" si="16"/>
        <v>-1.357415301772491E-2</v>
      </c>
    </row>
    <row r="1081" spans="1:7">
      <c r="A1081" s="52">
        <v>89.17</v>
      </c>
      <c r="B1081" s="52">
        <v>90.569900000000004</v>
      </c>
      <c r="C1081" s="52">
        <v>87.66</v>
      </c>
      <c r="D1081" s="52">
        <v>88.95</v>
      </c>
      <c r="E1081" s="52">
        <v>1632004</v>
      </c>
      <c r="F1081" s="52" t="s">
        <v>1088</v>
      </c>
      <c r="G1081" s="25">
        <f t="shared" si="16"/>
        <v>2.4732996065204294E-3</v>
      </c>
    </row>
    <row r="1082" spans="1:7">
      <c r="A1082" s="52">
        <v>88.93</v>
      </c>
      <c r="B1082" s="52">
        <v>91.9</v>
      </c>
      <c r="C1082" s="52">
        <v>87.91</v>
      </c>
      <c r="D1082" s="52">
        <v>91.56</v>
      </c>
      <c r="E1082" s="52">
        <v>1219505</v>
      </c>
      <c r="F1082" s="52" t="s">
        <v>1089</v>
      </c>
      <c r="G1082" s="25">
        <f t="shared" si="16"/>
        <v>-2.8724333770205335E-2</v>
      </c>
    </row>
    <row r="1083" spans="1:7">
      <c r="A1083" s="52">
        <v>86.97</v>
      </c>
      <c r="B1083" s="52">
        <v>92.5</v>
      </c>
      <c r="C1083" s="52">
        <v>86.394999999999996</v>
      </c>
      <c r="D1083" s="52">
        <v>90.68</v>
      </c>
      <c r="E1083" s="52">
        <v>1488833</v>
      </c>
      <c r="F1083" s="52" t="s">
        <v>1090</v>
      </c>
      <c r="G1083" s="25">
        <f t="shared" si="16"/>
        <v>-4.0913101014556807E-2</v>
      </c>
    </row>
    <row r="1084" spans="1:7">
      <c r="A1084" s="52">
        <v>86.53</v>
      </c>
      <c r="B1084" s="52">
        <v>86.55</v>
      </c>
      <c r="C1084" s="52">
        <v>81.03</v>
      </c>
      <c r="D1084" s="52">
        <v>81.95</v>
      </c>
      <c r="E1084" s="52">
        <v>1559801</v>
      </c>
      <c r="F1084" s="52" t="s">
        <v>1091</v>
      </c>
      <c r="G1084" s="25">
        <f t="shared" si="16"/>
        <v>5.5887736424649059E-2</v>
      </c>
    </row>
    <row r="1085" spans="1:7">
      <c r="A1085" s="52">
        <v>81.53</v>
      </c>
      <c r="B1085" s="52">
        <v>81.67</v>
      </c>
      <c r="C1085" s="52">
        <v>78.875</v>
      </c>
      <c r="D1085" s="52">
        <v>80</v>
      </c>
      <c r="E1085" s="52">
        <v>1063909</v>
      </c>
      <c r="F1085" s="52" t="s">
        <v>1092</v>
      </c>
      <c r="G1085" s="25">
        <f t="shared" si="16"/>
        <v>1.9125000000000059E-2</v>
      </c>
    </row>
    <row r="1086" spans="1:7">
      <c r="A1086" s="52">
        <v>80.06</v>
      </c>
      <c r="B1086" s="52">
        <v>81.92</v>
      </c>
      <c r="C1086" s="52">
        <v>78.91</v>
      </c>
      <c r="D1086" s="52">
        <v>79.25</v>
      </c>
      <c r="E1086" s="52">
        <v>1015671</v>
      </c>
      <c r="F1086" s="52" t="s">
        <v>1093</v>
      </c>
      <c r="G1086" s="25">
        <f t="shared" si="16"/>
        <v>1.0220820189274393E-2</v>
      </c>
    </row>
    <row r="1087" spans="1:7">
      <c r="A1087" s="52">
        <v>79.13</v>
      </c>
      <c r="B1087" s="52">
        <v>79.89</v>
      </c>
      <c r="C1087" s="52">
        <v>77.62</v>
      </c>
      <c r="D1087" s="52">
        <v>79.290000000000006</v>
      </c>
      <c r="E1087" s="52">
        <v>1035800</v>
      </c>
      <c r="F1087" s="52" t="s">
        <v>1094</v>
      </c>
      <c r="G1087" s="25">
        <f t="shared" si="16"/>
        <v>-2.0179089418591589E-3</v>
      </c>
    </row>
    <row r="1088" spans="1:7">
      <c r="A1088" s="52">
        <v>79.25</v>
      </c>
      <c r="B1088" s="52">
        <v>79.569999999999993</v>
      </c>
      <c r="C1088" s="52">
        <v>76.97</v>
      </c>
      <c r="D1088" s="52">
        <v>77.53</v>
      </c>
      <c r="E1088" s="52">
        <v>853881</v>
      </c>
      <c r="F1088" s="52" t="s">
        <v>1095</v>
      </c>
      <c r="G1088" s="25">
        <f t="shared" si="16"/>
        <v>2.2184960660389441E-2</v>
      </c>
    </row>
    <row r="1089" spans="1:7">
      <c r="A1089" s="52">
        <v>77.28</v>
      </c>
      <c r="B1089" s="52">
        <v>79.13</v>
      </c>
      <c r="C1089" s="52">
        <v>76.650000000000006</v>
      </c>
      <c r="D1089" s="52">
        <v>77.989999999999995</v>
      </c>
      <c r="E1089" s="52">
        <v>744706</v>
      </c>
      <c r="F1089" s="52" t="s">
        <v>1096</v>
      </c>
      <c r="G1089" s="25">
        <f t="shared" si="16"/>
        <v>-9.103731247595781E-3</v>
      </c>
    </row>
    <row r="1090" spans="1:7">
      <c r="A1090" s="52">
        <v>77.989999999999995</v>
      </c>
      <c r="B1090" s="52">
        <v>80</v>
      </c>
      <c r="C1090" s="52">
        <v>77.8</v>
      </c>
      <c r="D1090" s="52">
        <v>79.7</v>
      </c>
      <c r="E1090" s="52">
        <v>746229</v>
      </c>
      <c r="F1090" s="52" t="s">
        <v>1097</v>
      </c>
      <c r="G1090" s="25">
        <f t="shared" si="16"/>
        <v>-2.14554579673778E-2</v>
      </c>
    </row>
    <row r="1091" spans="1:7">
      <c r="A1091" s="52">
        <v>79.69</v>
      </c>
      <c r="B1091" s="52">
        <v>80.849999999999994</v>
      </c>
      <c r="C1091" s="52">
        <v>79.319999999999993</v>
      </c>
      <c r="D1091" s="52">
        <v>80.41</v>
      </c>
      <c r="E1091" s="52">
        <v>705067</v>
      </c>
      <c r="F1091" s="52" t="s">
        <v>1098</v>
      </c>
      <c r="G1091" s="25">
        <f t="shared" si="16"/>
        <v>-8.9541101853003457E-3</v>
      </c>
    </row>
    <row r="1092" spans="1:7">
      <c r="A1092" s="52">
        <v>80.239999999999995</v>
      </c>
      <c r="B1092" s="52">
        <v>81.510000000000005</v>
      </c>
      <c r="C1092" s="52">
        <v>79.05</v>
      </c>
      <c r="D1092" s="52">
        <v>80.66</v>
      </c>
      <c r="E1092" s="52">
        <v>713502</v>
      </c>
      <c r="F1092" s="52" t="s">
        <v>1099</v>
      </c>
      <c r="G1092" s="25">
        <f t="shared" si="16"/>
        <v>-5.2070419042896665E-3</v>
      </c>
    </row>
    <row r="1093" spans="1:7">
      <c r="A1093" s="52">
        <v>80.92</v>
      </c>
      <c r="B1093" s="52">
        <v>81.564999999999998</v>
      </c>
      <c r="C1093" s="52">
        <v>79.88</v>
      </c>
      <c r="D1093" s="52">
        <v>79.88</v>
      </c>
      <c r="E1093" s="52">
        <v>872653</v>
      </c>
      <c r="F1093" s="52" t="s">
        <v>1100</v>
      </c>
      <c r="G1093" s="25">
        <f t="shared" si="16"/>
        <v>1.3019529293941012E-2</v>
      </c>
    </row>
    <row r="1094" spans="1:7">
      <c r="A1094" s="52">
        <v>79.88</v>
      </c>
      <c r="B1094" s="52">
        <v>80.989999999999995</v>
      </c>
      <c r="C1094" s="52">
        <v>78.105000000000004</v>
      </c>
      <c r="D1094" s="52">
        <v>80.44</v>
      </c>
      <c r="E1094" s="52">
        <v>802735</v>
      </c>
      <c r="F1094" s="52" t="s">
        <v>1101</v>
      </c>
      <c r="G1094" s="25">
        <f t="shared" si="16"/>
        <v>-6.9617105917454403E-3</v>
      </c>
    </row>
    <row r="1095" spans="1:7">
      <c r="A1095" s="52">
        <v>80.44</v>
      </c>
      <c r="B1095" s="52">
        <v>82.59</v>
      </c>
      <c r="C1095" s="52">
        <v>80.05</v>
      </c>
      <c r="D1095" s="52">
        <v>81.09</v>
      </c>
      <c r="E1095" s="52">
        <v>974258</v>
      </c>
      <c r="F1095" s="52" t="s">
        <v>1102</v>
      </c>
      <c r="G1095" s="25">
        <f t="shared" si="16"/>
        <v>-8.0157849303243989E-3</v>
      </c>
    </row>
    <row r="1096" spans="1:7">
      <c r="A1096" s="52">
        <v>81.22</v>
      </c>
      <c r="B1096" s="52">
        <v>84.81</v>
      </c>
      <c r="C1096" s="52">
        <v>79.88</v>
      </c>
      <c r="D1096" s="52">
        <v>84.1</v>
      </c>
      <c r="E1096" s="52">
        <v>2155345</v>
      </c>
      <c r="F1096" s="52" t="s">
        <v>1103</v>
      </c>
      <c r="G1096" s="25">
        <f t="shared" si="16"/>
        <v>-3.4244946492271056E-2</v>
      </c>
    </row>
    <row r="1097" spans="1:7">
      <c r="A1097" s="52">
        <v>84.19</v>
      </c>
      <c r="B1097" s="52">
        <v>85.779899999999998</v>
      </c>
      <c r="C1097" s="52">
        <v>82.5</v>
      </c>
      <c r="D1097" s="52">
        <v>83.16</v>
      </c>
      <c r="E1097" s="52">
        <v>1901719</v>
      </c>
      <c r="F1097" s="52" t="s">
        <v>1104</v>
      </c>
      <c r="G1097" s="25">
        <f t="shared" si="16"/>
        <v>1.2385762385762389E-2</v>
      </c>
    </row>
    <row r="1098" spans="1:7">
      <c r="A1098" s="52">
        <v>83</v>
      </c>
      <c r="B1098" s="52">
        <v>85.75</v>
      </c>
      <c r="C1098" s="52">
        <v>82.27</v>
      </c>
      <c r="D1098" s="52">
        <v>83.5</v>
      </c>
      <c r="E1098" s="52">
        <v>3794318</v>
      </c>
      <c r="F1098" s="52" t="s">
        <v>1105</v>
      </c>
      <c r="G1098" s="25">
        <f t="shared" si="16"/>
        <v>-5.9880239520958556E-3</v>
      </c>
    </row>
    <row r="1099" spans="1:7">
      <c r="A1099" s="52">
        <v>83.22</v>
      </c>
      <c r="B1099" s="52">
        <v>89.71</v>
      </c>
      <c r="C1099" s="52">
        <v>83.01</v>
      </c>
      <c r="D1099" s="52">
        <v>88.9</v>
      </c>
      <c r="E1099" s="52">
        <v>2701712</v>
      </c>
      <c r="F1099" s="52" t="s">
        <v>1106</v>
      </c>
      <c r="G1099" s="25">
        <f t="shared" si="16"/>
        <v>-6.389201349831275E-2</v>
      </c>
    </row>
    <row r="1100" spans="1:7">
      <c r="A1100" s="52">
        <v>95.07</v>
      </c>
      <c r="B1100" s="52">
        <v>97</v>
      </c>
      <c r="C1100" s="52">
        <v>93.23</v>
      </c>
      <c r="D1100" s="52">
        <v>93.23</v>
      </c>
      <c r="E1100" s="52">
        <v>1148526</v>
      </c>
      <c r="F1100" s="52" t="s">
        <v>1107</v>
      </c>
      <c r="G1100" s="25">
        <f t="shared" si="16"/>
        <v>1.9736136436769192E-2</v>
      </c>
    </row>
    <row r="1101" spans="1:7">
      <c r="A1101" s="52">
        <v>91.29</v>
      </c>
      <c r="B1101" s="52">
        <v>97.95</v>
      </c>
      <c r="C1101" s="52">
        <v>90.51</v>
      </c>
      <c r="D1101" s="52">
        <v>96.17</v>
      </c>
      <c r="E1101" s="52">
        <v>2112338</v>
      </c>
      <c r="F1101" s="52" t="s">
        <v>1108</v>
      </c>
      <c r="G1101" s="25">
        <f t="shared" si="16"/>
        <v>-5.0743475096183821E-2</v>
      </c>
    </row>
    <row r="1102" spans="1:7">
      <c r="A1102" s="52">
        <v>99.42</v>
      </c>
      <c r="B1102" s="52">
        <v>101.24</v>
      </c>
      <c r="C1102" s="52">
        <v>94.5</v>
      </c>
      <c r="D1102" s="52">
        <v>94.97</v>
      </c>
      <c r="E1102" s="52">
        <v>1357529</v>
      </c>
      <c r="F1102" s="52" t="s">
        <v>1109</v>
      </c>
      <c r="G1102" s="25">
        <f t="shared" si="16"/>
        <v>4.6856902179635673E-2</v>
      </c>
    </row>
    <row r="1103" spans="1:7">
      <c r="A1103" s="52">
        <v>95</v>
      </c>
      <c r="B1103" s="52">
        <v>99.59</v>
      </c>
      <c r="C1103" s="52">
        <v>94.86</v>
      </c>
      <c r="D1103" s="52">
        <v>97.25</v>
      </c>
      <c r="E1103" s="52">
        <v>873371</v>
      </c>
      <c r="F1103" s="52" t="s">
        <v>1110</v>
      </c>
      <c r="G1103" s="25">
        <f t="shared" si="16"/>
        <v>-2.3136246786632397E-2</v>
      </c>
    </row>
    <row r="1104" spans="1:7">
      <c r="A1104" s="52">
        <v>97.28</v>
      </c>
      <c r="B1104" s="52">
        <v>98.79</v>
      </c>
      <c r="C1104" s="52">
        <v>93.74</v>
      </c>
      <c r="D1104" s="52">
        <v>94.52</v>
      </c>
      <c r="E1104" s="52">
        <v>863510</v>
      </c>
      <c r="F1104" s="52" t="s">
        <v>1111</v>
      </c>
      <c r="G1104" s="25">
        <f t="shared" si="16"/>
        <v>2.9200169276343724E-2</v>
      </c>
    </row>
    <row r="1105" spans="1:7">
      <c r="A1105" s="52">
        <v>95.18</v>
      </c>
      <c r="B1105" s="52">
        <v>96.9</v>
      </c>
      <c r="C1105" s="52">
        <v>93.49</v>
      </c>
      <c r="D1105" s="52">
        <v>94.85</v>
      </c>
      <c r="E1105" s="52">
        <v>1326736</v>
      </c>
      <c r="F1105" s="52" t="s">
        <v>1112</v>
      </c>
      <c r="G1105" s="25">
        <f t="shared" si="16"/>
        <v>3.4791776489195847E-3</v>
      </c>
    </row>
    <row r="1106" spans="1:7">
      <c r="A1106" s="52">
        <v>94.66</v>
      </c>
      <c r="B1106" s="52">
        <v>98.11</v>
      </c>
      <c r="C1106" s="52">
        <v>93.42</v>
      </c>
      <c r="D1106" s="52">
        <v>96.29</v>
      </c>
      <c r="E1106" s="52">
        <v>897436</v>
      </c>
      <c r="F1106" s="52" t="s">
        <v>1113</v>
      </c>
      <c r="G1106" s="25">
        <f t="shared" si="16"/>
        <v>-1.6928029909648035E-2</v>
      </c>
    </row>
    <row r="1107" spans="1:7">
      <c r="A1107" s="52">
        <v>96.05</v>
      </c>
      <c r="B1107" s="52">
        <v>96.2</v>
      </c>
      <c r="C1107" s="52">
        <v>90.912700000000001</v>
      </c>
      <c r="D1107" s="52">
        <v>91.72</v>
      </c>
      <c r="E1107" s="52">
        <v>840644</v>
      </c>
      <c r="F1107" s="52" t="s">
        <v>1114</v>
      </c>
      <c r="G1107" s="25">
        <f t="shared" si="16"/>
        <v>4.7208896641953713E-2</v>
      </c>
    </row>
    <row r="1108" spans="1:7">
      <c r="A1108" s="52">
        <v>92.48</v>
      </c>
      <c r="B1108" s="52">
        <v>93.5</v>
      </c>
      <c r="C1108" s="52">
        <v>88.91</v>
      </c>
      <c r="D1108" s="52">
        <v>88.98</v>
      </c>
      <c r="E1108" s="52">
        <v>1195190</v>
      </c>
      <c r="F1108" s="52" t="s">
        <v>1115</v>
      </c>
      <c r="G1108" s="25">
        <f t="shared" si="16"/>
        <v>3.9334681951000317E-2</v>
      </c>
    </row>
    <row r="1109" spans="1:7">
      <c r="A1109" s="52">
        <v>88.77</v>
      </c>
      <c r="B1109" s="52">
        <v>92.93</v>
      </c>
      <c r="C1109" s="52">
        <v>88.68</v>
      </c>
      <c r="D1109" s="52">
        <v>92.78</v>
      </c>
      <c r="E1109" s="52">
        <v>691637</v>
      </c>
      <c r="F1109" s="52" t="s">
        <v>1116</v>
      </c>
      <c r="G1109" s="25">
        <f t="shared" si="16"/>
        <v>-4.3220521664151801E-2</v>
      </c>
    </row>
    <row r="1110" spans="1:7">
      <c r="A1110" s="52">
        <v>92.01</v>
      </c>
      <c r="B1110" s="52">
        <v>93.01</v>
      </c>
      <c r="C1110" s="52">
        <v>89.15</v>
      </c>
      <c r="D1110" s="52">
        <v>90.56</v>
      </c>
      <c r="E1110" s="52">
        <v>794418</v>
      </c>
      <c r="F1110" s="52" t="s">
        <v>1117</v>
      </c>
      <c r="G1110" s="25">
        <f t="shared" si="16"/>
        <v>1.6011484098940043E-2</v>
      </c>
    </row>
    <row r="1111" spans="1:7">
      <c r="A1111" s="52">
        <v>91.08</v>
      </c>
      <c r="B1111" s="52">
        <v>91.55</v>
      </c>
      <c r="C1111" s="52">
        <v>89.700100000000006</v>
      </c>
      <c r="D1111" s="52">
        <v>90.43</v>
      </c>
      <c r="E1111" s="52">
        <v>950267</v>
      </c>
      <c r="F1111" s="52" t="s">
        <v>1118</v>
      </c>
      <c r="G1111" s="25">
        <f t="shared" si="16"/>
        <v>7.1878801282758698E-3</v>
      </c>
    </row>
    <row r="1112" spans="1:7">
      <c r="A1112" s="52">
        <v>90.57</v>
      </c>
      <c r="B1112" s="52">
        <v>91.8</v>
      </c>
      <c r="C1112" s="52">
        <v>90.01</v>
      </c>
      <c r="D1112" s="52">
        <v>90.1</v>
      </c>
      <c r="E1112" s="52">
        <v>968412</v>
      </c>
      <c r="F1112" s="52" t="s">
        <v>1119</v>
      </c>
      <c r="G1112" s="25">
        <f t="shared" si="16"/>
        <v>5.2164261931186839E-3</v>
      </c>
    </row>
    <row r="1113" spans="1:7">
      <c r="A1113" s="52">
        <v>90.54</v>
      </c>
      <c r="B1113" s="52">
        <v>90.69</v>
      </c>
      <c r="C1113" s="52">
        <v>86.991</v>
      </c>
      <c r="D1113" s="52">
        <v>87.14</v>
      </c>
      <c r="E1113" s="52">
        <v>1135094</v>
      </c>
      <c r="F1113" s="52" t="s">
        <v>1120</v>
      </c>
      <c r="G1113" s="25">
        <f t="shared" si="16"/>
        <v>3.9017672710580653E-2</v>
      </c>
    </row>
    <row r="1114" spans="1:7">
      <c r="A1114" s="52">
        <v>87.47</v>
      </c>
      <c r="B1114" s="52">
        <v>88.48</v>
      </c>
      <c r="C1114" s="52">
        <v>86.05</v>
      </c>
      <c r="D1114" s="52">
        <v>87.4</v>
      </c>
      <c r="E1114" s="52">
        <v>635671</v>
      </c>
      <c r="F1114" s="52" t="s">
        <v>1121</v>
      </c>
      <c r="G1114" s="25">
        <f t="shared" si="16"/>
        <v>8.0091533180759455E-4</v>
      </c>
    </row>
    <row r="1115" spans="1:7">
      <c r="A1115" s="52">
        <v>87.62</v>
      </c>
      <c r="B1115" s="52">
        <v>88.88</v>
      </c>
      <c r="C1115" s="52">
        <v>85.9</v>
      </c>
      <c r="D1115" s="52">
        <v>86.09</v>
      </c>
      <c r="E1115" s="52">
        <v>812925</v>
      </c>
      <c r="F1115" s="52" t="s">
        <v>1122</v>
      </c>
      <c r="G1115" s="25">
        <f t="shared" si="16"/>
        <v>1.7772098966198246E-2</v>
      </c>
    </row>
    <row r="1116" spans="1:7">
      <c r="A1116" s="52">
        <v>85.67</v>
      </c>
      <c r="B1116" s="52">
        <v>87.34</v>
      </c>
      <c r="C1116" s="52">
        <v>84.370099999999994</v>
      </c>
      <c r="D1116" s="52">
        <v>85</v>
      </c>
      <c r="E1116" s="52">
        <v>696913</v>
      </c>
      <c r="F1116" s="52" t="s">
        <v>1123</v>
      </c>
      <c r="G1116" s="25">
        <f t="shared" si="16"/>
        <v>7.8823529411764515E-3</v>
      </c>
    </row>
    <row r="1117" spans="1:7">
      <c r="A1117" s="52">
        <v>86.38</v>
      </c>
      <c r="B1117" s="52">
        <v>86.77</v>
      </c>
      <c r="C1117" s="52">
        <v>83.38</v>
      </c>
      <c r="D1117" s="52">
        <v>85.43</v>
      </c>
      <c r="E1117" s="52">
        <v>1930135</v>
      </c>
      <c r="F1117" s="52" t="s">
        <v>1124</v>
      </c>
      <c r="G1117" s="25">
        <f t="shared" si="16"/>
        <v>1.1120215381013487E-2</v>
      </c>
    </row>
    <row r="1118" spans="1:7">
      <c r="A1118" s="52">
        <v>85.63</v>
      </c>
      <c r="B1118" s="52">
        <v>85.85</v>
      </c>
      <c r="C1118" s="52">
        <v>83.577600000000004</v>
      </c>
      <c r="D1118" s="52">
        <v>83.93</v>
      </c>
      <c r="E1118" s="52">
        <v>511529</v>
      </c>
      <c r="F1118" s="52" t="s">
        <v>1125</v>
      </c>
      <c r="G1118" s="25">
        <f t="shared" si="16"/>
        <v>2.0254974383414615E-2</v>
      </c>
    </row>
    <row r="1119" spans="1:7">
      <c r="A1119" s="52">
        <v>84.05</v>
      </c>
      <c r="B1119" s="52">
        <v>84.546199999999999</v>
      </c>
      <c r="C1119" s="52">
        <v>80.680000000000007</v>
      </c>
      <c r="D1119" s="52">
        <v>82.5</v>
      </c>
      <c r="E1119" s="52">
        <v>1084116</v>
      </c>
      <c r="F1119" s="52" t="s">
        <v>1126</v>
      </c>
      <c r="G1119" s="25">
        <f t="shared" si="16"/>
        <v>1.8787878787878798E-2</v>
      </c>
    </row>
    <row r="1120" spans="1:7">
      <c r="A1120" s="52">
        <v>80.28</v>
      </c>
      <c r="B1120" s="52">
        <v>82.32</v>
      </c>
      <c r="C1120" s="52">
        <v>80.099999999999994</v>
      </c>
      <c r="D1120" s="52">
        <v>81.650000000000006</v>
      </c>
      <c r="E1120" s="52">
        <v>490823</v>
      </c>
      <c r="F1120" s="52" t="s">
        <v>1127</v>
      </c>
      <c r="G1120" s="25">
        <f t="shared" si="16"/>
        <v>-1.6778934476423868E-2</v>
      </c>
    </row>
    <row r="1121" spans="1:7">
      <c r="A1121" s="52">
        <v>81.84</v>
      </c>
      <c r="B1121" s="52">
        <v>82.83</v>
      </c>
      <c r="C1121" s="52">
        <v>79.95</v>
      </c>
      <c r="D1121" s="52">
        <v>80.94</v>
      </c>
      <c r="E1121" s="52">
        <v>616598</v>
      </c>
      <c r="F1121" s="52" t="s">
        <v>1128</v>
      </c>
      <c r="G1121" s="25">
        <f t="shared" si="16"/>
        <v>1.1119347664937163E-2</v>
      </c>
    </row>
    <row r="1122" spans="1:7">
      <c r="A1122" s="52">
        <v>80.47</v>
      </c>
      <c r="B1122" s="52">
        <v>82.15</v>
      </c>
      <c r="C1122" s="52">
        <v>79.75</v>
      </c>
      <c r="D1122" s="52">
        <v>80.67</v>
      </c>
      <c r="E1122" s="52">
        <v>584388</v>
      </c>
      <c r="F1122" s="52" t="s">
        <v>1129</v>
      </c>
      <c r="G1122" s="25">
        <f t="shared" si="16"/>
        <v>-2.4792363951903207E-3</v>
      </c>
    </row>
    <row r="1123" spans="1:7">
      <c r="A1123" s="52">
        <v>80.510000000000005</v>
      </c>
      <c r="B1123" s="52">
        <v>80.989000000000004</v>
      </c>
      <c r="C1123" s="52">
        <v>78.180000000000007</v>
      </c>
      <c r="D1123" s="52">
        <v>78.48</v>
      </c>
      <c r="E1123" s="52">
        <v>448336</v>
      </c>
      <c r="F1123" s="52" t="s">
        <v>1130</v>
      </c>
      <c r="G1123" s="25">
        <f t="shared" si="16"/>
        <v>2.5866462793068257E-2</v>
      </c>
    </row>
    <row r="1124" spans="1:7">
      <c r="A1124" s="52">
        <v>78.27</v>
      </c>
      <c r="B1124" s="52">
        <v>78.67</v>
      </c>
      <c r="C1124" s="52">
        <v>77.17</v>
      </c>
      <c r="D1124" s="52">
        <v>78.290000000000006</v>
      </c>
      <c r="E1124" s="52">
        <v>790442</v>
      </c>
      <c r="F1124" s="52" t="s">
        <v>1131</v>
      </c>
      <c r="G1124" s="25">
        <f t="shared" si="16"/>
        <v>-2.5546046749280737E-4</v>
      </c>
    </row>
    <row r="1125" spans="1:7">
      <c r="A1125" s="52">
        <v>78.569999999999993</v>
      </c>
      <c r="B1125" s="52">
        <v>82.25</v>
      </c>
      <c r="C1125" s="52">
        <v>78.28</v>
      </c>
      <c r="D1125" s="52">
        <v>80.75</v>
      </c>
      <c r="E1125" s="52">
        <v>937703</v>
      </c>
      <c r="F1125" s="52" t="s">
        <v>1132</v>
      </c>
      <c r="G1125" s="25">
        <f t="shared" si="16"/>
        <v>-2.6996904024767843E-2</v>
      </c>
    </row>
    <row r="1126" spans="1:7">
      <c r="A1126" s="52">
        <v>80.510000000000005</v>
      </c>
      <c r="B1126" s="52">
        <v>80.849999999999994</v>
      </c>
      <c r="C1126" s="52">
        <v>79.03</v>
      </c>
      <c r="D1126" s="52">
        <v>79.489999999999995</v>
      </c>
      <c r="E1126" s="52">
        <v>628000</v>
      </c>
      <c r="F1126" s="52" t="s">
        <v>1133</v>
      </c>
      <c r="G1126" s="25">
        <f t="shared" si="16"/>
        <v>1.2831802742483411E-2</v>
      </c>
    </row>
    <row r="1127" spans="1:7">
      <c r="A1127" s="52">
        <v>79.45</v>
      </c>
      <c r="B1127" s="52">
        <v>79.900599999999997</v>
      </c>
      <c r="C1127" s="52">
        <v>77.766000000000005</v>
      </c>
      <c r="D1127" s="52">
        <v>79.56</v>
      </c>
      <c r="E1127" s="52">
        <v>493911</v>
      </c>
      <c r="F1127" s="52" t="s">
        <v>1134</v>
      </c>
      <c r="G1127" s="25">
        <f t="shared" si="16"/>
        <v>-1.3826043237807895E-3</v>
      </c>
    </row>
    <row r="1128" spans="1:7">
      <c r="A1128" s="52">
        <v>79.33</v>
      </c>
      <c r="B1128" s="52">
        <v>81.25</v>
      </c>
      <c r="C1128" s="52">
        <v>78.06</v>
      </c>
      <c r="D1128" s="52">
        <v>78.12</v>
      </c>
      <c r="E1128" s="52">
        <v>481820</v>
      </c>
      <c r="F1128" s="52" t="s">
        <v>1135</v>
      </c>
      <c r="G1128" s="25">
        <f t="shared" si="16"/>
        <v>1.5488991295442789E-2</v>
      </c>
    </row>
    <row r="1129" spans="1:7">
      <c r="A1129" s="52">
        <v>78.12</v>
      </c>
      <c r="B1129" s="52">
        <v>79.650000000000006</v>
      </c>
      <c r="C1129" s="52">
        <v>76.099999999999994</v>
      </c>
      <c r="D1129" s="52">
        <v>76.099999999999994</v>
      </c>
      <c r="E1129" s="52">
        <v>777113</v>
      </c>
      <c r="F1129" s="52" t="s">
        <v>1136</v>
      </c>
      <c r="G1129" s="25">
        <f t="shared" si="16"/>
        <v>2.6544021024967224E-2</v>
      </c>
    </row>
    <row r="1130" spans="1:7">
      <c r="A1130" s="52">
        <v>75.88</v>
      </c>
      <c r="B1130" s="52">
        <v>78.94</v>
      </c>
      <c r="C1130" s="52">
        <v>75.349999999999994</v>
      </c>
      <c r="D1130" s="52">
        <v>78.180000000000007</v>
      </c>
      <c r="E1130" s="52">
        <v>1148315</v>
      </c>
      <c r="F1130" s="52" t="s">
        <v>1137</v>
      </c>
      <c r="G1130" s="25">
        <f t="shared" si="16"/>
        <v>-2.9419288820670353E-2</v>
      </c>
    </row>
    <row r="1131" spans="1:7">
      <c r="A1131" s="52">
        <v>78.69</v>
      </c>
      <c r="B1131" s="52">
        <v>80.33</v>
      </c>
      <c r="C1131" s="52">
        <v>77.260000000000005</v>
      </c>
      <c r="D1131" s="52">
        <v>78.099999999999994</v>
      </c>
      <c r="E1131" s="52">
        <v>517753</v>
      </c>
      <c r="F1131" s="52" t="s">
        <v>1138</v>
      </c>
      <c r="G1131" s="25">
        <f t="shared" si="16"/>
        <v>7.554417413572434E-3</v>
      </c>
    </row>
    <row r="1132" spans="1:7">
      <c r="A1132" s="52">
        <v>78.33</v>
      </c>
      <c r="B1132" s="52">
        <v>80.719899999999996</v>
      </c>
      <c r="C1132" s="52">
        <v>78.06</v>
      </c>
      <c r="D1132" s="52">
        <v>79.92</v>
      </c>
      <c r="E1132" s="52">
        <v>412133</v>
      </c>
      <c r="F1132" s="52" t="s">
        <v>1139</v>
      </c>
      <c r="G1132" s="25">
        <f t="shared" si="16"/>
        <v>-1.9894894894894932E-2</v>
      </c>
    </row>
    <row r="1133" spans="1:7">
      <c r="A1133" s="52">
        <v>79.94</v>
      </c>
      <c r="B1133" s="52">
        <v>81.03</v>
      </c>
      <c r="C1133" s="52">
        <v>76.380099999999999</v>
      </c>
      <c r="D1133" s="52">
        <v>77.16</v>
      </c>
      <c r="E1133" s="52">
        <v>762225</v>
      </c>
      <c r="F1133" s="52" t="s">
        <v>1140</v>
      </c>
      <c r="G1133" s="25">
        <f t="shared" si="16"/>
        <v>3.6029030585795763E-2</v>
      </c>
    </row>
    <row r="1134" spans="1:7">
      <c r="A1134" s="52">
        <v>77.349999999999994</v>
      </c>
      <c r="B1134" s="52">
        <v>77.790000000000006</v>
      </c>
      <c r="C1134" s="52">
        <v>73.0501</v>
      </c>
      <c r="D1134" s="52">
        <v>73.66</v>
      </c>
      <c r="E1134" s="52">
        <v>971922</v>
      </c>
      <c r="F1134" s="52" t="s">
        <v>1141</v>
      </c>
      <c r="G1134" s="25">
        <f t="shared" si="16"/>
        <v>5.0095031224545172E-2</v>
      </c>
    </row>
    <row r="1135" spans="1:7">
      <c r="A1135" s="52">
        <v>73.319999999999993</v>
      </c>
      <c r="B1135" s="52">
        <v>76.7</v>
      </c>
      <c r="C1135" s="52">
        <v>73.02</v>
      </c>
      <c r="D1135" s="52">
        <v>75.89</v>
      </c>
      <c r="E1135" s="52">
        <v>1258833</v>
      </c>
      <c r="F1135" s="52" t="s">
        <v>1142</v>
      </c>
      <c r="G1135" s="25">
        <f t="shared" si="16"/>
        <v>-3.3864804322045194E-2</v>
      </c>
    </row>
    <row r="1136" spans="1:7">
      <c r="A1136" s="52">
        <v>75.31</v>
      </c>
      <c r="B1136" s="52">
        <v>76.5</v>
      </c>
      <c r="C1136" s="52">
        <v>73.771000000000001</v>
      </c>
      <c r="D1136" s="52">
        <v>73.771000000000001</v>
      </c>
      <c r="E1136" s="52">
        <v>389080</v>
      </c>
      <c r="F1136" s="52" t="s">
        <v>1143</v>
      </c>
      <c r="G1136" s="25">
        <f t="shared" si="16"/>
        <v>2.0861856284990044E-2</v>
      </c>
    </row>
    <row r="1137" spans="1:7">
      <c r="A1137" s="52">
        <v>73.97</v>
      </c>
      <c r="B1137" s="52">
        <v>75.22</v>
      </c>
      <c r="C1137" s="52">
        <v>73.069999999999993</v>
      </c>
      <c r="D1137" s="52">
        <v>74.314999999999998</v>
      </c>
      <c r="E1137" s="52">
        <v>574519</v>
      </c>
      <c r="F1137" s="52" t="s">
        <v>1144</v>
      </c>
      <c r="G1137" s="25">
        <f t="shared" si="16"/>
        <v>-4.642400592074214E-3</v>
      </c>
    </row>
    <row r="1138" spans="1:7">
      <c r="A1138" s="52">
        <v>75</v>
      </c>
      <c r="B1138" s="52">
        <v>78.400000000000006</v>
      </c>
      <c r="C1138" s="52">
        <v>74.92</v>
      </c>
      <c r="D1138" s="52">
        <v>78.02</v>
      </c>
      <c r="E1138" s="52">
        <v>522835</v>
      </c>
      <c r="F1138" s="52" t="s">
        <v>1145</v>
      </c>
      <c r="G1138" s="25">
        <f t="shared" si="16"/>
        <v>-3.8708023583696405E-2</v>
      </c>
    </row>
    <row r="1139" spans="1:7">
      <c r="A1139" s="52">
        <v>77.89</v>
      </c>
      <c r="B1139" s="52">
        <v>77.91</v>
      </c>
      <c r="C1139" s="52">
        <v>75.23</v>
      </c>
      <c r="D1139" s="52">
        <v>75.385000000000005</v>
      </c>
      <c r="E1139" s="52">
        <v>355395</v>
      </c>
      <c r="F1139" s="52" t="s">
        <v>1146</v>
      </c>
      <c r="G1139" s="25">
        <f t="shared" si="16"/>
        <v>3.3229422298865829E-2</v>
      </c>
    </row>
    <row r="1140" spans="1:7">
      <c r="A1140" s="52">
        <v>76.53</v>
      </c>
      <c r="B1140" s="52">
        <v>79.31</v>
      </c>
      <c r="C1140" s="52">
        <v>76.224999999999994</v>
      </c>
      <c r="D1140" s="52">
        <v>79.31</v>
      </c>
      <c r="E1140" s="52">
        <v>896925</v>
      </c>
      <c r="F1140" s="52" t="s">
        <v>1147</v>
      </c>
      <c r="G1140" s="25">
        <f t="shared" ref="G1140:G1203" si="17">A1140/D1140-1</f>
        <v>-3.5052326314462201E-2</v>
      </c>
    </row>
    <row r="1141" spans="1:7">
      <c r="A1141" s="52">
        <v>79.94</v>
      </c>
      <c r="B1141" s="52">
        <v>81.5</v>
      </c>
      <c r="C1141" s="52">
        <v>79.39</v>
      </c>
      <c r="D1141" s="52">
        <v>80.78</v>
      </c>
      <c r="E1141" s="52">
        <v>398362</v>
      </c>
      <c r="F1141" s="52" t="s">
        <v>1148</v>
      </c>
      <c r="G1141" s="25">
        <f t="shared" si="17"/>
        <v>-1.0398613518197597E-2</v>
      </c>
    </row>
    <row r="1142" spans="1:7">
      <c r="A1142" s="52">
        <v>80.510000000000005</v>
      </c>
      <c r="B1142" s="52">
        <v>81.760000000000005</v>
      </c>
      <c r="C1142" s="52">
        <v>80.09</v>
      </c>
      <c r="D1142" s="52">
        <v>80.77</v>
      </c>
      <c r="E1142" s="52">
        <v>372377</v>
      </c>
      <c r="F1142" s="52" t="s">
        <v>1149</v>
      </c>
      <c r="G1142" s="25">
        <f t="shared" si="17"/>
        <v>-3.219016961743093E-3</v>
      </c>
    </row>
    <row r="1143" spans="1:7">
      <c r="A1143" s="52">
        <v>80.89</v>
      </c>
      <c r="B1143" s="52">
        <v>81.7</v>
      </c>
      <c r="C1143" s="52">
        <v>78.691199999999995</v>
      </c>
      <c r="D1143" s="52">
        <v>79.91</v>
      </c>
      <c r="E1143" s="52">
        <v>854972</v>
      </c>
      <c r="F1143" s="52" t="s">
        <v>1150</v>
      </c>
      <c r="G1143" s="25">
        <f t="shared" si="17"/>
        <v>1.2263796771367907E-2</v>
      </c>
    </row>
    <row r="1144" spans="1:7">
      <c r="A1144" s="52">
        <v>79.44</v>
      </c>
      <c r="B1144" s="52">
        <v>79.52</v>
      </c>
      <c r="C1144" s="52">
        <v>76.790000000000006</v>
      </c>
      <c r="D1144" s="52">
        <v>78.239999999999995</v>
      </c>
      <c r="E1144" s="52">
        <v>577269</v>
      </c>
      <c r="F1144" s="52" t="s">
        <v>1151</v>
      </c>
      <c r="G1144" s="25">
        <f t="shared" si="17"/>
        <v>1.5337423312883569E-2</v>
      </c>
    </row>
    <row r="1145" spans="1:7">
      <c r="A1145" s="52">
        <v>78.42</v>
      </c>
      <c r="B1145" s="52">
        <v>81.775000000000006</v>
      </c>
      <c r="C1145" s="52">
        <v>78.33</v>
      </c>
      <c r="D1145" s="52">
        <v>79.489999999999995</v>
      </c>
      <c r="E1145" s="52">
        <v>825859</v>
      </c>
      <c r="F1145" s="52" t="s">
        <v>1152</v>
      </c>
      <c r="G1145" s="25">
        <f t="shared" si="17"/>
        <v>-1.3460812680840317E-2</v>
      </c>
    </row>
    <row r="1146" spans="1:7">
      <c r="A1146" s="52">
        <v>79.8</v>
      </c>
      <c r="B1146" s="52">
        <v>80.114999999999995</v>
      </c>
      <c r="C1146" s="52">
        <v>76.5</v>
      </c>
      <c r="D1146" s="52">
        <v>78.069999999999993</v>
      </c>
      <c r="E1146" s="52">
        <v>1464175</v>
      </c>
      <c r="F1146" s="52" t="s">
        <v>1153</v>
      </c>
      <c r="G1146" s="25">
        <f t="shared" si="17"/>
        <v>2.2159600358652609E-2</v>
      </c>
    </row>
    <row r="1147" spans="1:7">
      <c r="A1147" s="52">
        <v>78.540000000000006</v>
      </c>
      <c r="B1147" s="52">
        <v>79.8</v>
      </c>
      <c r="C1147" s="52">
        <v>71.709999999999994</v>
      </c>
      <c r="D1147" s="52">
        <v>71.75</v>
      </c>
      <c r="E1147" s="52">
        <v>2503101</v>
      </c>
      <c r="F1147" s="52" t="s">
        <v>1154</v>
      </c>
      <c r="G1147" s="25">
        <f t="shared" si="17"/>
        <v>9.4634146341463499E-2</v>
      </c>
    </row>
    <row r="1148" spans="1:7">
      <c r="A1148" s="52">
        <v>67.5</v>
      </c>
      <c r="B1148" s="52">
        <v>70.41</v>
      </c>
      <c r="C1148" s="52">
        <v>67.28</v>
      </c>
      <c r="D1148" s="52">
        <v>68.739999999999995</v>
      </c>
      <c r="E1148" s="52">
        <v>597770</v>
      </c>
      <c r="F1148" s="52" t="s">
        <v>1155</v>
      </c>
      <c r="G1148" s="25">
        <f t="shared" si="17"/>
        <v>-1.8038987489089275E-2</v>
      </c>
    </row>
    <row r="1149" spans="1:7">
      <c r="A1149" s="52">
        <v>69.040000000000006</v>
      </c>
      <c r="B1149" s="52">
        <v>69.665000000000006</v>
      </c>
      <c r="C1149" s="52">
        <v>68.033000000000001</v>
      </c>
      <c r="D1149" s="52">
        <v>68.89</v>
      </c>
      <c r="E1149" s="52">
        <v>613056</v>
      </c>
      <c r="F1149" s="52" t="s">
        <v>1156</v>
      </c>
      <c r="G1149" s="25">
        <f t="shared" si="17"/>
        <v>2.1773842357382112E-3</v>
      </c>
    </row>
    <row r="1150" spans="1:7">
      <c r="A1150" s="52">
        <v>68.59</v>
      </c>
      <c r="B1150" s="52">
        <v>69.78</v>
      </c>
      <c r="C1150" s="52">
        <v>67.9024</v>
      </c>
      <c r="D1150" s="52">
        <v>68.28</v>
      </c>
      <c r="E1150" s="52">
        <v>521528</v>
      </c>
      <c r="F1150" s="52" t="s">
        <v>1157</v>
      </c>
      <c r="G1150" s="25">
        <f t="shared" si="17"/>
        <v>4.5401288810780205E-3</v>
      </c>
    </row>
    <row r="1151" spans="1:7">
      <c r="A1151" s="52">
        <v>67.78</v>
      </c>
      <c r="B1151" s="52">
        <v>68.709999999999994</v>
      </c>
      <c r="C1151" s="52">
        <v>67.39</v>
      </c>
      <c r="D1151" s="52">
        <v>68.64</v>
      </c>
      <c r="E1151" s="52">
        <v>642779</v>
      </c>
      <c r="F1151" s="52" t="s">
        <v>1158</v>
      </c>
      <c r="G1151" s="25">
        <f t="shared" si="17"/>
        <v>-1.2529137529137535E-2</v>
      </c>
    </row>
    <row r="1152" spans="1:7">
      <c r="A1152" s="52">
        <v>68.95</v>
      </c>
      <c r="B1152" s="52">
        <v>70.849999999999994</v>
      </c>
      <c r="C1152" s="52">
        <v>68.930000000000007</v>
      </c>
      <c r="D1152" s="52">
        <v>69.150000000000006</v>
      </c>
      <c r="E1152" s="52">
        <v>631583</v>
      </c>
      <c r="F1152" s="52" t="s">
        <v>1159</v>
      </c>
      <c r="G1152" s="25">
        <f t="shared" si="17"/>
        <v>-2.8922631959508172E-3</v>
      </c>
    </row>
    <row r="1153" spans="1:7">
      <c r="A1153" s="52">
        <v>69.06</v>
      </c>
      <c r="B1153" s="52">
        <v>69.94</v>
      </c>
      <c r="C1153" s="52">
        <v>66.27</v>
      </c>
      <c r="D1153" s="52">
        <v>66.27</v>
      </c>
      <c r="E1153" s="52">
        <v>824080</v>
      </c>
      <c r="F1153" s="52" t="s">
        <v>1160</v>
      </c>
      <c r="G1153" s="25">
        <f t="shared" si="17"/>
        <v>4.210049796287918E-2</v>
      </c>
    </row>
    <row r="1154" spans="1:7">
      <c r="A1154" s="52">
        <v>66.239999999999995</v>
      </c>
      <c r="B1154" s="52">
        <v>67.42</v>
      </c>
      <c r="C1154" s="52">
        <v>65.3</v>
      </c>
      <c r="D1154" s="52">
        <v>66.41</v>
      </c>
      <c r="E1154" s="52">
        <v>678662</v>
      </c>
      <c r="F1154" s="52" t="s">
        <v>1161</v>
      </c>
      <c r="G1154" s="25">
        <f t="shared" si="17"/>
        <v>-2.5598554434573817E-3</v>
      </c>
    </row>
    <row r="1155" spans="1:7">
      <c r="A1155" s="52">
        <v>66.58</v>
      </c>
      <c r="B1155" s="52">
        <v>67.56</v>
      </c>
      <c r="C1155" s="52">
        <v>65.510000000000005</v>
      </c>
      <c r="D1155" s="52">
        <v>66.31</v>
      </c>
      <c r="E1155" s="52">
        <v>411467</v>
      </c>
      <c r="F1155" s="52" t="s">
        <v>1162</v>
      </c>
      <c r="G1155" s="25">
        <f t="shared" si="17"/>
        <v>4.0717840446387044E-3</v>
      </c>
    </row>
    <row r="1156" spans="1:7">
      <c r="A1156" s="52">
        <v>66.790000000000006</v>
      </c>
      <c r="B1156" s="52">
        <v>69.459999999999994</v>
      </c>
      <c r="C1156" s="52">
        <v>65.692499999999995</v>
      </c>
      <c r="D1156" s="52">
        <v>69.459999999999994</v>
      </c>
      <c r="E1156" s="52">
        <v>659846</v>
      </c>
      <c r="F1156" s="52" t="s">
        <v>1163</v>
      </c>
      <c r="G1156" s="25">
        <f t="shared" si="17"/>
        <v>-3.8439389576734651E-2</v>
      </c>
    </row>
    <row r="1157" spans="1:7">
      <c r="A1157" s="52">
        <v>69.11</v>
      </c>
      <c r="B1157" s="52">
        <v>69.47</v>
      </c>
      <c r="C1157" s="52">
        <v>67.5</v>
      </c>
      <c r="D1157" s="52">
        <v>67.94</v>
      </c>
      <c r="E1157" s="52">
        <v>799557</v>
      </c>
      <c r="F1157" s="52" t="s">
        <v>1164</v>
      </c>
      <c r="G1157" s="25">
        <f t="shared" si="17"/>
        <v>1.7221077421254005E-2</v>
      </c>
    </row>
    <row r="1158" spans="1:7">
      <c r="A1158" s="52">
        <v>68.459999999999994</v>
      </c>
      <c r="B1158" s="52">
        <v>69.56</v>
      </c>
      <c r="C1158" s="52">
        <v>67.959999999999994</v>
      </c>
      <c r="D1158" s="52">
        <v>69.150000000000006</v>
      </c>
      <c r="E1158" s="52">
        <v>747215</v>
      </c>
      <c r="F1158" s="52" t="s">
        <v>1165</v>
      </c>
      <c r="G1158" s="25">
        <f t="shared" si="17"/>
        <v>-9.9783080260305024E-3</v>
      </c>
    </row>
    <row r="1159" spans="1:7">
      <c r="A1159" s="52">
        <v>69.27</v>
      </c>
      <c r="B1159" s="52">
        <v>69.84</v>
      </c>
      <c r="C1159" s="52">
        <v>66.22</v>
      </c>
      <c r="D1159" s="52">
        <v>66.239999999999995</v>
      </c>
      <c r="E1159" s="52">
        <v>1047783</v>
      </c>
      <c r="F1159" s="52" t="s">
        <v>1166</v>
      </c>
      <c r="G1159" s="25">
        <f t="shared" si="17"/>
        <v>4.574275362318847E-2</v>
      </c>
    </row>
    <row r="1160" spans="1:7">
      <c r="A1160" s="52">
        <v>65.97</v>
      </c>
      <c r="B1160" s="52">
        <v>66.91</v>
      </c>
      <c r="C1160" s="52">
        <v>65.36</v>
      </c>
      <c r="D1160" s="52">
        <v>66.349999999999994</v>
      </c>
      <c r="E1160" s="52">
        <v>920822</v>
      </c>
      <c r="F1160" s="52" t="s">
        <v>1167</v>
      </c>
      <c r="G1160" s="25">
        <f t="shared" si="17"/>
        <v>-5.7272042200451345E-3</v>
      </c>
    </row>
    <row r="1161" spans="1:7">
      <c r="A1161" s="52">
        <v>67.05</v>
      </c>
      <c r="B1161" s="52">
        <v>68.83</v>
      </c>
      <c r="C1161" s="52">
        <v>66.569999999999993</v>
      </c>
      <c r="D1161" s="52">
        <v>68.709999999999994</v>
      </c>
      <c r="E1161" s="52">
        <v>830324</v>
      </c>
      <c r="F1161" s="52" t="s">
        <v>1168</v>
      </c>
      <c r="G1161" s="25">
        <f t="shared" si="17"/>
        <v>-2.415951098821123E-2</v>
      </c>
    </row>
    <row r="1162" spans="1:7">
      <c r="A1162" s="52">
        <v>68.37</v>
      </c>
      <c r="B1162" s="52">
        <v>68.650000000000006</v>
      </c>
      <c r="C1162" s="52">
        <v>66.040000000000006</v>
      </c>
      <c r="D1162" s="52">
        <v>66.599999999999994</v>
      </c>
      <c r="E1162" s="52">
        <v>1183448</v>
      </c>
      <c r="F1162" s="52" t="s">
        <v>1169</v>
      </c>
      <c r="G1162" s="25">
        <f t="shared" si="17"/>
        <v>2.6576576576576638E-2</v>
      </c>
    </row>
    <row r="1163" spans="1:7">
      <c r="A1163" s="52">
        <v>66.849999999999994</v>
      </c>
      <c r="B1163" s="52">
        <v>69.31</v>
      </c>
      <c r="C1163" s="52">
        <v>65.88</v>
      </c>
      <c r="D1163" s="52">
        <v>69.290000000000006</v>
      </c>
      <c r="E1163" s="52">
        <v>1245025</v>
      </c>
      <c r="F1163" s="52" t="s">
        <v>1170</v>
      </c>
      <c r="G1163" s="25">
        <f t="shared" si="17"/>
        <v>-3.5214316640208021E-2</v>
      </c>
    </row>
    <row r="1164" spans="1:7">
      <c r="A1164" s="52">
        <v>69.28</v>
      </c>
      <c r="B1164" s="52">
        <v>71.459999999999994</v>
      </c>
      <c r="C1164" s="52">
        <v>68.569999999999993</v>
      </c>
      <c r="D1164" s="52">
        <v>70.069999999999993</v>
      </c>
      <c r="E1164" s="52">
        <v>936545</v>
      </c>
      <c r="F1164" s="52" t="s">
        <v>1171</v>
      </c>
      <c r="G1164" s="25">
        <f t="shared" si="17"/>
        <v>-1.1274439845868289E-2</v>
      </c>
    </row>
    <row r="1165" spans="1:7">
      <c r="A1165" s="52">
        <v>70.69</v>
      </c>
      <c r="B1165" s="52">
        <v>73.040000000000006</v>
      </c>
      <c r="C1165" s="52">
        <v>70.510000000000005</v>
      </c>
      <c r="D1165" s="52">
        <v>72.92</v>
      </c>
      <c r="E1165" s="52">
        <v>594094</v>
      </c>
      <c r="F1165" s="52" t="s">
        <v>1172</v>
      </c>
      <c r="G1165" s="25">
        <f t="shared" si="17"/>
        <v>-3.0581459133296796E-2</v>
      </c>
    </row>
    <row r="1166" spans="1:7">
      <c r="A1166" s="52">
        <v>73.05</v>
      </c>
      <c r="B1166" s="52">
        <v>73.180000000000007</v>
      </c>
      <c r="C1166" s="52">
        <v>71.8</v>
      </c>
      <c r="D1166" s="52">
        <v>73.010000000000005</v>
      </c>
      <c r="E1166" s="52">
        <v>303348</v>
      </c>
      <c r="F1166" s="52" t="s">
        <v>1173</v>
      </c>
      <c r="G1166" s="25">
        <f t="shared" si="17"/>
        <v>5.4787015477320011E-4</v>
      </c>
    </row>
    <row r="1167" spans="1:7">
      <c r="A1167" s="52">
        <v>72.94</v>
      </c>
      <c r="B1167" s="52">
        <v>73.260000000000005</v>
      </c>
      <c r="C1167" s="52">
        <v>70.94</v>
      </c>
      <c r="D1167" s="52">
        <v>71.680000000000007</v>
      </c>
      <c r="E1167" s="52">
        <v>455668</v>
      </c>
      <c r="F1167" s="52" t="s">
        <v>1174</v>
      </c>
      <c r="G1167" s="25">
        <f t="shared" si="17"/>
        <v>1.7578124999999778E-2</v>
      </c>
    </row>
    <row r="1168" spans="1:7">
      <c r="A1168" s="52">
        <v>71.989999999999995</v>
      </c>
      <c r="B1168" s="52">
        <v>73.69</v>
      </c>
      <c r="C1168" s="52">
        <v>71.34</v>
      </c>
      <c r="D1168" s="52">
        <v>73</v>
      </c>
      <c r="E1168" s="52">
        <v>728597</v>
      </c>
      <c r="F1168" s="52" t="s">
        <v>1175</v>
      </c>
      <c r="G1168" s="25">
        <f t="shared" si="17"/>
        <v>-1.383561643835618E-2</v>
      </c>
    </row>
    <row r="1169" spans="1:7">
      <c r="A1169" s="52">
        <v>73.23</v>
      </c>
      <c r="B1169" s="52">
        <v>75.11</v>
      </c>
      <c r="C1169" s="52">
        <v>72.78</v>
      </c>
      <c r="D1169" s="52">
        <v>74.94</v>
      </c>
      <c r="E1169" s="52">
        <v>758481</v>
      </c>
      <c r="F1169" s="52" t="s">
        <v>1176</v>
      </c>
      <c r="G1169" s="25">
        <f t="shared" si="17"/>
        <v>-2.2818254603682808E-2</v>
      </c>
    </row>
    <row r="1170" spans="1:7">
      <c r="A1170" s="52">
        <v>75.239999999999995</v>
      </c>
      <c r="B1170" s="52">
        <v>78.209999999999994</v>
      </c>
      <c r="C1170" s="52">
        <v>75.180000000000007</v>
      </c>
      <c r="D1170" s="52">
        <v>77.819999999999993</v>
      </c>
      <c r="E1170" s="52">
        <v>655527</v>
      </c>
      <c r="F1170" s="52" t="s">
        <v>1177</v>
      </c>
      <c r="G1170" s="25">
        <f t="shared" si="17"/>
        <v>-3.3153430994602884E-2</v>
      </c>
    </row>
    <row r="1171" spans="1:7">
      <c r="A1171" s="52">
        <v>78.27</v>
      </c>
      <c r="B1171" s="52">
        <v>78.53</v>
      </c>
      <c r="C1171" s="52">
        <v>77.02</v>
      </c>
      <c r="D1171" s="52">
        <v>77.63</v>
      </c>
      <c r="E1171" s="52">
        <v>629463</v>
      </c>
      <c r="F1171" s="52" t="s">
        <v>1178</v>
      </c>
      <c r="G1171" s="25">
        <f t="shared" si="17"/>
        <v>8.2442354759757475E-3</v>
      </c>
    </row>
    <row r="1172" spans="1:7">
      <c r="A1172" s="52">
        <v>77.739999999999995</v>
      </c>
      <c r="B1172" s="52">
        <v>79.08</v>
      </c>
      <c r="C1172" s="52">
        <v>77.13</v>
      </c>
      <c r="D1172" s="52">
        <v>78.88</v>
      </c>
      <c r="E1172" s="52">
        <v>730553</v>
      </c>
      <c r="F1172" s="52" t="s">
        <v>1179</v>
      </c>
      <c r="G1172" s="25">
        <f t="shared" si="17"/>
        <v>-1.4452332657200806E-2</v>
      </c>
    </row>
    <row r="1173" spans="1:7">
      <c r="A1173" s="52">
        <v>78.819999999999993</v>
      </c>
      <c r="B1173" s="52">
        <v>80.98</v>
      </c>
      <c r="C1173" s="52">
        <v>78.38</v>
      </c>
      <c r="D1173" s="52">
        <v>80.78</v>
      </c>
      <c r="E1173" s="52">
        <v>792895</v>
      </c>
      <c r="F1173" s="52" t="s">
        <v>1180</v>
      </c>
      <c r="G1173" s="25">
        <f t="shared" si="17"/>
        <v>-2.4263431542461134E-2</v>
      </c>
    </row>
    <row r="1174" spans="1:7">
      <c r="A1174" s="52">
        <v>80.78</v>
      </c>
      <c r="B1174" s="52">
        <v>81.239999999999995</v>
      </c>
      <c r="C1174" s="52">
        <v>79.680000000000007</v>
      </c>
      <c r="D1174" s="52">
        <v>80.98</v>
      </c>
      <c r="E1174" s="52">
        <v>462876</v>
      </c>
      <c r="F1174" s="52" t="s">
        <v>1181</v>
      </c>
      <c r="G1174" s="25">
        <f t="shared" si="17"/>
        <v>-2.4697456162016129E-3</v>
      </c>
    </row>
    <row r="1175" spans="1:7">
      <c r="A1175" s="52">
        <v>80.400000000000006</v>
      </c>
      <c r="B1175" s="52">
        <v>80.89</v>
      </c>
      <c r="C1175" s="52">
        <v>78.3</v>
      </c>
      <c r="D1175" s="52">
        <v>79.8</v>
      </c>
      <c r="E1175" s="52">
        <v>1231051</v>
      </c>
      <c r="F1175" s="52" t="s">
        <v>1182</v>
      </c>
      <c r="G1175" s="25">
        <f t="shared" si="17"/>
        <v>7.5187969924812581E-3</v>
      </c>
    </row>
    <row r="1176" spans="1:7">
      <c r="A1176" s="52">
        <v>79.680000000000007</v>
      </c>
      <c r="B1176" s="52">
        <v>80.465000000000003</v>
      </c>
      <c r="C1176" s="52">
        <v>78.09</v>
      </c>
      <c r="D1176" s="52">
        <v>78.510000000000005</v>
      </c>
      <c r="E1176" s="52">
        <v>631289</v>
      </c>
      <c r="F1176" s="52" t="s">
        <v>1183</v>
      </c>
      <c r="G1176" s="25">
        <f t="shared" si="17"/>
        <v>1.4902560183416069E-2</v>
      </c>
    </row>
    <row r="1177" spans="1:7">
      <c r="A1177" s="52">
        <v>78.36</v>
      </c>
      <c r="B1177" s="52">
        <v>80</v>
      </c>
      <c r="C1177" s="52">
        <v>78.025000000000006</v>
      </c>
      <c r="D1177" s="52">
        <v>79.61</v>
      </c>
      <c r="E1177" s="52">
        <v>578335</v>
      </c>
      <c r="F1177" s="52" t="s">
        <v>1184</v>
      </c>
      <c r="G1177" s="25">
        <f t="shared" si="17"/>
        <v>-1.5701545032031139E-2</v>
      </c>
    </row>
    <row r="1178" spans="1:7">
      <c r="A1178" s="52">
        <v>79.599999999999994</v>
      </c>
      <c r="B1178" s="52">
        <v>79.92</v>
      </c>
      <c r="C1178" s="52">
        <v>77.34</v>
      </c>
      <c r="D1178" s="52">
        <v>78.19</v>
      </c>
      <c r="E1178" s="52">
        <v>553548</v>
      </c>
      <c r="F1178" s="52" t="s">
        <v>1185</v>
      </c>
      <c r="G1178" s="25">
        <f t="shared" si="17"/>
        <v>1.8032996546872848E-2</v>
      </c>
    </row>
    <row r="1179" spans="1:7">
      <c r="A1179" s="52">
        <v>78.8</v>
      </c>
      <c r="B1179" s="52">
        <v>79.694999999999993</v>
      </c>
      <c r="C1179" s="52">
        <v>77.38</v>
      </c>
      <c r="D1179" s="52">
        <v>79.53</v>
      </c>
      <c r="E1179" s="52">
        <v>1019837</v>
      </c>
      <c r="F1179" s="52" t="s">
        <v>1186</v>
      </c>
      <c r="G1179" s="25">
        <f t="shared" si="17"/>
        <v>-9.1789261913743925E-3</v>
      </c>
    </row>
    <row r="1180" spans="1:7">
      <c r="A1180" s="52">
        <v>79.349999999999994</v>
      </c>
      <c r="B1180" s="52">
        <v>79.939899999999994</v>
      </c>
      <c r="C1180" s="52">
        <v>78.02</v>
      </c>
      <c r="D1180" s="52">
        <v>79.23</v>
      </c>
      <c r="E1180" s="52">
        <v>1431040</v>
      </c>
      <c r="F1180" s="52" t="s">
        <v>1187</v>
      </c>
      <c r="G1180" s="25">
        <f t="shared" si="17"/>
        <v>1.5145778114349362E-3</v>
      </c>
    </row>
    <row r="1181" spans="1:7">
      <c r="A1181" s="52">
        <v>80.09</v>
      </c>
      <c r="B1181" s="52">
        <v>82.555000000000007</v>
      </c>
      <c r="C1181" s="52">
        <v>79.62</v>
      </c>
      <c r="D1181" s="52">
        <v>81.77</v>
      </c>
      <c r="E1181" s="52">
        <v>611920</v>
      </c>
      <c r="F1181" s="52" t="s">
        <v>1188</v>
      </c>
      <c r="G1181" s="25">
        <f t="shared" si="17"/>
        <v>-2.0545432310138056E-2</v>
      </c>
    </row>
    <row r="1182" spans="1:7">
      <c r="A1182" s="52">
        <v>82.14</v>
      </c>
      <c r="B1182" s="52">
        <v>83.3</v>
      </c>
      <c r="C1182" s="52">
        <v>80.53</v>
      </c>
      <c r="D1182" s="52">
        <v>82.84</v>
      </c>
      <c r="E1182" s="52">
        <v>798181</v>
      </c>
      <c r="F1182" s="52" t="s">
        <v>1189</v>
      </c>
      <c r="G1182" s="25">
        <f t="shared" si="17"/>
        <v>-8.4500241429261713E-3</v>
      </c>
    </row>
    <row r="1183" spans="1:7">
      <c r="A1183" s="52">
        <v>83.14</v>
      </c>
      <c r="B1183" s="52">
        <v>90</v>
      </c>
      <c r="C1183" s="52">
        <v>83.01</v>
      </c>
      <c r="D1183" s="52">
        <v>86.69</v>
      </c>
      <c r="E1183" s="52">
        <v>1281369</v>
      </c>
      <c r="F1183" s="52" t="s">
        <v>1190</v>
      </c>
      <c r="G1183" s="25">
        <f t="shared" si="17"/>
        <v>-4.0950513323335991E-2</v>
      </c>
    </row>
    <row r="1184" spans="1:7">
      <c r="A1184" s="52">
        <v>86.12</v>
      </c>
      <c r="B1184" s="52">
        <v>87.67</v>
      </c>
      <c r="C1184" s="52">
        <v>85.54</v>
      </c>
      <c r="D1184" s="52">
        <v>86.05</v>
      </c>
      <c r="E1184" s="52">
        <v>793180</v>
      </c>
      <c r="F1184" s="52" t="s">
        <v>1191</v>
      </c>
      <c r="G1184" s="25">
        <f t="shared" si="17"/>
        <v>8.1348053457297453E-4</v>
      </c>
    </row>
    <row r="1185" spans="1:7">
      <c r="A1185" s="52">
        <v>86</v>
      </c>
      <c r="B1185" s="52">
        <v>86.78</v>
      </c>
      <c r="C1185" s="52">
        <v>84.75</v>
      </c>
      <c r="D1185" s="52">
        <v>86</v>
      </c>
      <c r="E1185" s="52">
        <v>1126851</v>
      </c>
      <c r="F1185" s="52" t="s">
        <v>1192</v>
      </c>
      <c r="G1185" s="25">
        <f t="shared" si="17"/>
        <v>0</v>
      </c>
    </row>
    <row r="1186" spans="1:7">
      <c r="A1186" s="52">
        <v>86.75</v>
      </c>
      <c r="B1186" s="52">
        <v>87.18</v>
      </c>
      <c r="C1186" s="52">
        <v>80.599999999999994</v>
      </c>
      <c r="D1186" s="52">
        <v>82.28</v>
      </c>
      <c r="E1186" s="52">
        <v>1405109</v>
      </c>
      <c r="F1186" s="52" t="s">
        <v>1193</v>
      </c>
      <c r="G1186" s="25">
        <f t="shared" si="17"/>
        <v>5.4326689353427327E-2</v>
      </c>
    </row>
    <row r="1187" spans="1:7">
      <c r="A1187" s="52">
        <v>82.71</v>
      </c>
      <c r="B1187" s="52">
        <v>84.11</v>
      </c>
      <c r="C1187" s="52">
        <v>79.45</v>
      </c>
      <c r="D1187" s="52">
        <v>79.45</v>
      </c>
      <c r="E1187" s="52">
        <v>1543052</v>
      </c>
      <c r="F1187" s="52" t="s">
        <v>1194</v>
      </c>
      <c r="G1187" s="25">
        <f t="shared" si="17"/>
        <v>4.1032095657646206E-2</v>
      </c>
    </row>
    <row r="1188" spans="1:7">
      <c r="A1188" s="52">
        <v>79.64</v>
      </c>
      <c r="B1188" s="52">
        <v>81.3</v>
      </c>
      <c r="C1188" s="52">
        <v>78.22</v>
      </c>
      <c r="D1188" s="52">
        <v>80.02</v>
      </c>
      <c r="E1188" s="52">
        <v>930886</v>
      </c>
      <c r="F1188" s="52" t="s">
        <v>1195</v>
      </c>
      <c r="G1188" s="25">
        <f t="shared" si="17"/>
        <v>-4.7488127968007277E-3</v>
      </c>
    </row>
    <row r="1189" spans="1:7">
      <c r="A1189" s="52">
        <v>79.59</v>
      </c>
      <c r="B1189" s="52">
        <v>80.909700000000001</v>
      </c>
      <c r="C1189" s="52">
        <v>72.3</v>
      </c>
      <c r="D1189" s="52">
        <v>73.099999999999994</v>
      </c>
      <c r="E1189" s="52">
        <v>2249017</v>
      </c>
      <c r="F1189" s="52" t="s">
        <v>1196</v>
      </c>
      <c r="G1189" s="25">
        <f t="shared" si="17"/>
        <v>8.8782489740082182E-2</v>
      </c>
    </row>
    <row r="1190" spans="1:7">
      <c r="A1190" s="52">
        <v>72.97</v>
      </c>
      <c r="B1190" s="52">
        <v>73.92</v>
      </c>
      <c r="C1190" s="52">
        <v>72.204999999999998</v>
      </c>
      <c r="D1190" s="52">
        <v>73.92</v>
      </c>
      <c r="E1190" s="52">
        <v>803605</v>
      </c>
      <c r="F1190" s="52" t="s">
        <v>1197</v>
      </c>
      <c r="G1190" s="25">
        <f t="shared" si="17"/>
        <v>-1.2851731601731586E-2</v>
      </c>
    </row>
    <row r="1191" spans="1:7">
      <c r="A1191" s="52">
        <v>73.760000000000005</v>
      </c>
      <c r="B1191" s="52">
        <v>75.81</v>
      </c>
      <c r="C1191" s="52">
        <v>73.56</v>
      </c>
      <c r="D1191" s="52">
        <v>75</v>
      </c>
      <c r="E1191" s="52">
        <v>638060</v>
      </c>
      <c r="F1191" s="52" t="s">
        <v>1198</v>
      </c>
      <c r="G1191" s="25">
        <f t="shared" si="17"/>
        <v>-1.6533333333333289E-2</v>
      </c>
    </row>
    <row r="1192" spans="1:7">
      <c r="A1192" s="52">
        <v>75.459999999999994</v>
      </c>
      <c r="B1192" s="52">
        <v>76.47</v>
      </c>
      <c r="C1192" s="52">
        <v>74.62</v>
      </c>
      <c r="D1192" s="52">
        <v>75.73</v>
      </c>
      <c r="E1192" s="52">
        <v>907545</v>
      </c>
      <c r="F1192" s="52" t="s">
        <v>1199</v>
      </c>
      <c r="G1192" s="25">
        <f t="shared" si="17"/>
        <v>-3.5652977683878762E-3</v>
      </c>
    </row>
    <row r="1193" spans="1:7">
      <c r="A1193" s="52">
        <v>75.66</v>
      </c>
      <c r="B1193" s="52">
        <v>76.577200000000005</v>
      </c>
      <c r="C1193" s="52">
        <v>73.89</v>
      </c>
      <c r="D1193" s="52">
        <v>76.010000000000005</v>
      </c>
      <c r="E1193" s="52">
        <v>906985</v>
      </c>
      <c r="F1193" s="52" t="s">
        <v>1200</v>
      </c>
      <c r="G1193" s="25">
        <f t="shared" si="17"/>
        <v>-4.6046572819367082E-3</v>
      </c>
    </row>
    <row r="1194" spans="1:7">
      <c r="A1194" s="52">
        <v>75.650000000000006</v>
      </c>
      <c r="B1194" s="52">
        <v>79.13</v>
      </c>
      <c r="C1194" s="52">
        <v>75.489999999999995</v>
      </c>
      <c r="D1194" s="52">
        <v>76.86</v>
      </c>
      <c r="E1194" s="52">
        <v>1199756</v>
      </c>
      <c r="F1194" s="52" t="s">
        <v>1201</v>
      </c>
      <c r="G1194" s="25">
        <f t="shared" si="17"/>
        <v>-1.5742909185532006E-2</v>
      </c>
    </row>
    <row r="1195" spans="1:7">
      <c r="A1195" s="52">
        <v>76.86</v>
      </c>
      <c r="B1195" s="52">
        <v>77</v>
      </c>
      <c r="C1195" s="52">
        <v>73.19</v>
      </c>
      <c r="D1195" s="52">
        <v>74.709999999999994</v>
      </c>
      <c r="E1195" s="52">
        <v>4661597</v>
      </c>
      <c r="F1195" s="52" t="s">
        <v>1202</v>
      </c>
      <c r="G1195" s="25">
        <f t="shared" si="17"/>
        <v>2.8777941373310245E-2</v>
      </c>
    </row>
    <row r="1196" spans="1:7">
      <c r="A1196" s="52">
        <v>74.95</v>
      </c>
      <c r="B1196" s="52">
        <v>75.98</v>
      </c>
      <c r="C1196" s="52">
        <v>73.81</v>
      </c>
      <c r="D1196" s="52">
        <v>75.5</v>
      </c>
      <c r="E1196" s="52">
        <v>899223</v>
      </c>
      <c r="F1196" s="52" t="s">
        <v>1203</v>
      </c>
      <c r="G1196" s="25">
        <f t="shared" si="17"/>
        <v>-7.2847682119204782E-3</v>
      </c>
    </row>
    <row r="1197" spans="1:7">
      <c r="A1197" s="52">
        <v>75.099999999999994</v>
      </c>
      <c r="B1197" s="52">
        <v>77.344999999999999</v>
      </c>
      <c r="C1197" s="52">
        <v>74.5</v>
      </c>
      <c r="D1197" s="52">
        <v>77.12</v>
      </c>
      <c r="E1197" s="52">
        <v>944581</v>
      </c>
      <c r="F1197" s="52" t="s">
        <v>1204</v>
      </c>
      <c r="G1197" s="25">
        <f t="shared" si="17"/>
        <v>-2.6192946058091415E-2</v>
      </c>
    </row>
    <row r="1198" spans="1:7">
      <c r="A1198" s="52">
        <v>77.209999999999994</v>
      </c>
      <c r="B1198" s="52">
        <v>79.849999999999994</v>
      </c>
      <c r="C1198" s="52">
        <v>76.730599999999995</v>
      </c>
      <c r="D1198" s="52">
        <v>79.760000000000005</v>
      </c>
      <c r="E1198" s="52">
        <v>1137929</v>
      </c>
      <c r="F1198" s="52" t="s">
        <v>1205</v>
      </c>
      <c r="G1198" s="25">
        <f t="shared" si="17"/>
        <v>-3.197091273821473E-2</v>
      </c>
    </row>
    <row r="1199" spans="1:7">
      <c r="A1199" s="52">
        <v>79.58</v>
      </c>
      <c r="B1199" s="52">
        <v>80.97</v>
      </c>
      <c r="C1199" s="52">
        <v>79.354200000000006</v>
      </c>
      <c r="D1199" s="52">
        <v>80.209999999999994</v>
      </c>
      <c r="E1199" s="52">
        <v>1095224</v>
      </c>
      <c r="F1199" s="52" t="s">
        <v>1206</v>
      </c>
      <c r="G1199" s="25">
        <f t="shared" si="17"/>
        <v>-7.8543822466026203E-3</v>
      </c>
    </row>
    <row r="1200" spans="1:7">
      <c r="A1200" s="52">
        <v>80.209999999999994</v>
      </c>
      <c r="B1200" s="52">
        <v>81.209999999999994</v>
      </c>
      <c r="C1200" s="52">
        <v>76.599999999999994</v>
      </c>
      <c r="D1200" s="52">
        <v>77.14</v>
      </c>
      <c r="E1200" s="52">
        <v>1567287</v>
      </c>
      <c r="F1200" s="52" t="s">
        <v>1207</v>
      </c>
      <c r="G1200" s="25">
        <f t="shared" si="17"/>
        <v>3.9797770287788303E-2</v>
      </c>
    </row>
    <row r="1201" spans="1:7">
      <c r="A1201" s="52">
        <v>76.92</v>
      </c>
      <c r="B1201" s="52">
        <v>79.246700000000004</v>
      </c>
      <c r="C1201" s="52">
        <v>75.14</v>
      </c>
      <c r="D1201" s="52">
        <v>79.13</v>
      </c>
      <c r="E1201" s="52">
        <v>1964890</v>
      </c>
      <c r="F1201" s="52" t="s">
        <v>1208</v>
      </c>
      <c r="G1201" s="25">
        <f t="shared" si="17"/>
        <v>-2.7928724883103717E-2</v>
      </c>
    </row>
    <row r="1202" spans="1:7">
      <c r="A1202" s="52">
        <v>81.44</v>
      </c>
      <c r="B1202" s="52">
        <v>85.48</v>
      </c>
      <c r="C1202" s="52">
        <v>77.25</v>
      </c>
      <c r="D1202" s="52">
        <v>79.27</v>
      </c>
      <c r="E1202" s="52">
        <v>4011203</v>
      </c>
      <c r="F1202" s="52" t="s">
        <v>1209</v>
      </c>
      <c r="G1202" s="25">
        <f t="shared" si="17"/>
        <v>2.737479500441542E-2</v>
      </c>
    </row>
    <row r="1203" spans="1:7">
      <c r="A1203" s="52">
        <v>75.13</v>
      </c>
      <c r="B1203" s="52">
        <v>76.22</v>
      </c>
      <c r="C1203" s="52">
        <v>74.435000000000002</v>
      </c>
      <c r="D1203" s="52">
        <v>75.19</v>
      </c>
      <c r="E1203" s="52">
        <v>571740</v>
      </c>
      <c r="F1203" s="52" t="s">
        <v>1210</v>
      </c>
      <c r="G1203" s="25">
        <f t="shared" si="17"/>
        <v>-7.9797845458173811E-4</v>
      </c>
    </row>
    <row r="1204" spans="1:7">
      <c r="A1204" s="52">
        <v>76.05</v>
      </c>
      <c r="B1204" s="52">
        <v>76.099999999999994</v>
      </c>
      <c r="C1204" s="52">
        <v>72.349999999999994</v>
      </c>
      <c r="D1204" s="52">
        <v>72.67</v>
      </c>
      <c r="E1204" s="52">
        <v>1070552</v>
      </c>
      <c r="F1204" s="52" t="s">
        <v>1211</v>
      </c>
      <c r="G1204" s="25">
        <f t="shared" ref="G1204:G1267" si="18">A1204/D1204-1</f>
        <v>4.6511627906976605E-2</v>
      </c>
    </row>
    <row r="1205" spans="1:7">
      <c r="A1205" s="52">
        <v>72.510000000000005</v>
      </c>
      <c r="B1205" s="52">
        <v>74.489999999999995</v>
      </c>
      <c r="C1205" s="52">
        <v>70.180000000000007</v>
      </c>
      <c r="D1205" s="52">
        <v>74.22</v>
      </c>
      <c r="E1205" s="52">
        <v>1079131</v>
      </c>
      <c r="F1205" s="52" t="s">
        <v>1212</v>
      </c>
      <c r="G1205" s="25">
        <f t="shared" si="18"/>
        <v>-2.303961196442994E-2</v>
      </c>
    </row>
    <row r="1206" spans="1:7">
      <c r="A1206" s="52">
        <v>73.89</v>
      </c>
      <c r="B1206" s="52">
        <v>74.400000000000006</v>
      </c>
      <c r="C1206" s="52">
        <v>69.78</v>
      </c>
      <c r="D1206" s="52">
        <v>70.28</v>
      </c>
      <c r="E1206" s="52">
        <v>1420355</v>
      </c>
      <c r="F1206" s="52" t="s">
        <v>1213</v>
      </c>
      <c r="G1206" s="25">
        <f t="shared" si="18"/>
        <v>5.1365964712578149E-2</v>
      </c>
    </row>
    <row r="1207" spans="1:7">
      <c r="A1207" s="52">
        <v>71.02</v>
      </c>
      <c r="B1207" s="52">
        <v>71.319999999999993</v>
      </c>
      <c r="C1207" s="52">
        <v>67.680000000000007</v>
      </c>
      <c r="D1207" s="52">
        <v>68.28</v>
      </c>
      <c r="E1207" s="52">
        <v>1324743</v>
      </c>
      <c r="F1207" s="52" t="s">
        <v>1214</v>
      </c>
      <c r="G1207" s="25">
        <f t="shared" si="18"/>
        <v>4.0128881077914347E-2</v>
      </c>
    </row>
    <row r="1208" spans="1:7">
      <c r="A1208" s="52">
        <v>70.03</v>
      </c>
      <c r="B1208" s="52">
        <v>74.37</v>
      </c>
      <c r="C1208" s="52">
        <v>70.010000000000005</v>
      </c>
      <c r="D1208" s="52">
        <v>74.37</v>
      </c>
      <c r="E1208" s="52">
        <v>1438916</v>
      </c>
      <c r="F1208" s="52" t="s">
        <v>1215</v>
      </c>
      <c r="G1208" s="25">
        <f t="shared" si="18"/>
        <v>-5.8356864327013591E-2</v>
      </c>
    </row>
    <row r="1209" spans="1:7">
      <c r="A1209" s="52">
        <v>74.569999999999993</v>
      </c>
      <c r="B1209" s="52">
        <v>76.88</v>
      </c>
      <c r="C1209" s="52">
        <v>74.040000000000006</v>
      </c>
      <c r="D1209" s="52">
        <v>75.010000000000005</v>
      </c>
      <c r="E1209" s="52">
        <v>1091244</v>
      </c>
      <c r="F1209" s="52" t="s">
        <v>1216</v>
      </c>
      <c r="G1209" s="25">
        <f t="shared" si="18"/>
        <v>-5.8658845487269407E-3</v>
      </c>
    </row>
    <row r="1210" spans="1:7">
      <c r="A1210" s="52">
        <v>74.61</v>
      </c>
      <c r="B1210" s="52">
        <v>76.94</v>
      </c>
      <c r="C1210" s="52">
        <v>72.540000000000006</v>
      </c>
      <c r="D1210" s="52">
        <v>72.540000000000006</v>
      </c>
      <c r="E1210" s="52">
        <v>2102599</v>
      </c>
      <c r="F1210" s="52" t="s">
        <v>1217</v>
      </c>
      <c r="G1210" s="25">
        <f t="shared" si="18"/>
        <v>2.8535980148883366E-2</v>
      </c>
    </row>
    <row r="1211" spans="1:7">
      <c r="A1211" s="52">
        <v>72.77</v>
      </c>
      <c r="B1211" s="52">
        <v>75.209999999999994</v>
      </c>
      <c r="C1211" s="52">
        <v>72.618899999999996</v>
      </c>
      <c r="D1211" s="52">
        <v>74.260000000000005</v>
      </c>
      <c r="E1211" s="52">
        <v>981643</v>
      </c>
      <c r="F1211" s="52" t="s">
        <v>1218</v>
      </c>
      <c r="G1211" s="25">
        <f t="shared" si="18"/>
        <v>-2.0064637759224513E-2</v>
      </c>
    </row>
    <row r="1212" spans="1:7">
      <c r="A1212" s="52">
        <v>74.02</v>
      </c>
      <c r="B1212" s="52">
        <v>76.885000000000005</v>
      </c>
      <c r="C1212" s="52">
        <v>73.62</v>
      </c>
      <c r="D1212" s="52">
        <v>76.28</v>
      </c>
      <c r="E1212" s="52">
        <v>1466027</v>
      </c>
      <c r="F1212" s="52" t="s">
        <v>1219</v>
      </c>
      <c r="G1212" s="25">
        <f t="shared" si="18"/>
        <v>-2.9627687467226105E-2</v>
      </c>
    </row>
    <row r="1213" spans="1:7">
      <c r="A1213" s="52">
        <v>77.11</v>
      </c>
      <c r="B1213" s="52">
        <v>78.52</v>
      </c>
      <c r="C1213" s="52">
        <v>71.25</v>
      </c>
      <c r="D1213" s="52">
        <v>71.25</v>
      </c>
      <c r="E1213" s="52">
        <v>3112650</v>
      </c>
      <c r="F1213" s="52" t="s">
        <v>1220</v>
      </c>
      <c r="G1213" s="25">
        <f t="shared" si="18"/>
        <v>8.2245614035087788E-2</v>
      </c>
    </row>
    <row r="1214" spans="1:7">
      <c r="A1214" s="52">
        <v>70.84</v>
      </c>
      <c r="B1214" s="52">
        <v>72.194999999999993</v>
      </c>
      <c r="C1214" s="52">
        <v>70.52</v>
      </c>
      <c r="D1214" s="52">
        <v>71.099999999999994</v>
      </c>
      <c r="E1214" s="52">
        <v>797691</v>
      </c>
      <c r="F1214" s="52" t="s">
        <v>1221</v>
      </c>
      <c r="G1214" s="25">
        <f t="shared" si="18"/>
        <v>-3.6568213783402248E-3</v>
      </c>
    </row>
    <row r="1215" spans="1:7">
      <c r="A1215" s="52">
        <v>71.41</v>
      </c>
      <c r="B1215" s="52">
        <v>71.48</v>
      </c>
      <c r="C1215" s="52">
        <v>69.25</v>
      </c>
      <c r="D1215" s="52">
        <v>70.36</v>
      </c>
      <c r="E1215" s="52">
        <v>710083</v>
      </c>
      <c r="F1215" s="52" t="s">
        <v>1222</v>
      </c>
      <c r="G1215" s="25">
        <f t="shared" si="18"/>
        <v>1.4923251847640762E-2</v>
      </c>
    </row>
    <row r="1216" spans="1:7">
      <c r="A1216" s="52">
        <v>70.05</v>
      </c>
      <c r="B1216" s="52">
        <v>71.181799999999996</v>
      </c>
      <c r="C1216" s="52">
        <v>69.75</v>
      </c>
      <c r="D1216" s="52">
        <v>70.11</v>
      </c>
      <c r="E1216" s="52">
        <v>578712</v>
      </c>
      <c r="F1216" s="52" t="s">
        <v>1223</v>
      </c>
      <c r="G1216" s="25">
        <f t="shared" si="18"/>
        <v>-8.5579803166457857E-4</v>
      </c>
    </row>
    <row r="1217" spans="1:7">
      <c r="A1217" s="52">
        <v>70.510000000000005</v>
      </c>
      <c r="B1217" s="52">
        <v>74</v>
      </c>
      <c r="C1217" s="52">
        <v>70.349999999999994</v>
      </c>
      <c r="D1217" s="52">
        <v>74</v>
      </c>
      <c r="E1217" s="52">
        <v>748366</v>
      </c>
      <c r="F1217" s="52" t="s">
        <v>1224</v>
      </c>
      <c r="G1217" s="25">
        <f t="shared" si="18"/>
        <v>-4.7162162162162069E-2</v>
      </c>
    </row>
    <row r="1218" spans="1:7">
      <c r="A1218" s="52">
        <v>73.3</v>
      </c>
      <c r="B1218" s="52">
        <v>73.61</v>
      </c>
      <c r="C1218" s="52">
        <v>70.19</v>
      </c>
      <c r="D1218" s="52">
        <v>71.37</v>
      </c>
      <c r="E1218" s="52">
        <v>703802</v>
      </c>
      <c r="F1218" s="52" t="s">
        <v>1225</v>
      </c>
      <c r="G1218" s="25">
        <f t="shared" si="18"/>
        <v>2.7042174583158163E-2</v>
      </c>
    </row>
    <row r="1219" spans="1:7">
      <c r="A1219" s="52">
        <v>70.94</v>
      </c>
      <c r="B1219" s="52">
        <v>71.599999999999994</v>
      </c>
      <c r="C1219" s="52">
        <v>70.040000000000006</v>
      </c>
      <c r="D1219" s="52">
        <v>71.27</v>
      </c>
      <c r="E1219" s="52">
        <v>784400</v>
      </c>
      <c r="F1219" s="52" t="s">
        <v>1226</v>
      </c>
      <c r="G1219" s="25">
        <f t="shared" si="18"/>
        <v>-4.6302792198681386E-3</v>
      </c>
    </row>
    <row r="1220" spans="1:7">
      <c r="A1220" s="52">
        <v>71.38</v>
      </c>
      <c r="B1220" s="52">
        <v>73.34</v>
      </c>
      <c r="C1220" s="52">
        <v>70.7</v>
      </c>
      <c r="D1220" s="52">
        <v>71.84</v>
      </c>
      <c r="E1220" s="52">
        <v>834445</v>
      </c>
      <c r="F1220" s="52" t="s">
        <v>1227</v>
      </c>
      <c r="G1220" s="25">
        <f t="shared" si="18"/>
        <v>-6.4031180400891952E-3</v>
      </c>
    </row>
    <row r="1221" spans="1:7">
      <c r="A1221" s="52">
        <v>72.16</v>
      </c>
      <c r="B1221" s="52">
        <v>72.48</v>
      </c>
      <c r="C1221" s="52">
        <v>70.235600000000005</v>
      </c>
      <c r="D1221" s="52">
        <v>70.56</v>
      </c>
      <c r="E1221" s="52">
        <v>499280</v>
      </c>
      <c r="F1221" s="52" t="s">
        <v>1228</v>
      </c>
      <c r="G1221" s="25">
        <f t="shared" si="18"/>
        <v>2.2675736961451198E-2</v>
      </c>
    </row>
    <row r="1222" spans="1:7">
      <c r="A1222" s="52">
        <v>71.3</v>
      </c>
      <c r="B1222" s="52">
        <v>71.905000000000001</v>
      </c>
      <c r="C1222" s="52">
        <v>69.674400000000006</v>
      </c>
      <c r="D1222" s="52">
        <v>69.674400000000006</v>
      </c>
      <c r="E1222" s="52">
        <v>651490</v>
      </c>
      <c r="F1222" s="52" t="s">
        <v>1229</v>
      </c>
      <c r="G1222" s="25">
        <f t="shared" si="18"/>
        <v>2.3331381396897388E-2</v>
      </c>
    </row>
    <row r="1223" spans="1:7">
      <c r="A1223" s="52">
        <v>70.319999999999993</v>
      </c>
      <c r="B1223" s="52">
        <v>72.92</v>
      </c>
      <c r="C1223" s="52">
        <v>70.040000000000006</v>
      </c>
      <c r="D1223" s="52">
        <v>71</v>
      </c>
      <c r="E1223" s="52">
        <v>711473</v>
      </c>
      <c r="F1223" s="52" t="s">
        <v>1230</v>
      </c>
      <c r="G1223" s="25">
        <f t="shared" si="18"/>
        <v>-9.5774647887324482E-3</v>
      </c>
    </row>
    <row r="1224" spans="1:7">
      <c r="A1224" s="52">
        <v>71.8</v>
      </c>
      <c r="B1224" s="52">
        <v>73</v>
      </c>
      <c r="C1224" s="52">
        <v>70.73</v>
      </c>
      <c r="D1224" s="52">
        <v>72.41</v>
      </c>
      <c r="E1224" s="52">
        <v>670438</v>
      </c>
      <c r="F1224" s="52" t="s">
        <v>1231</v>
      </c>
      <c r="G1224" s="25">
        <f t="shared" si="18"/>
        <v>-8.4242507940892608E-3</v>
      </c>
    </row>
    <row r="1225" spans="1:7">
      <c r="A1225" s="52">
        <v>72.63</v>
      </c>
      <c r="B1225" s="52">
        <v>75.77</v>
      </c>
      <c r="C1225" s="52">
        <v>72.47</v>
      </c>
      <c r="D1225" s="52">
        <v>73.88</v>
      </c>
      <c r="E1225" s="52">
        <v>717435</v>
      </c>
      <c r="F1225" s="52" t="s">
        <v>1232</v>
      </c>
      <c r="G1225" s="25">
        <f t="shared" si="18"/>
        <v>-1.6919328641039511E-2</v>
      </c>
    </row>
    <row r="1226" spans="1:7">
      <c r="A1226" s="52">
        <v>73.430000000000007</v>
      </c>
      <c r="B1226" s="52">
        <v>74.489999999999995</v>
      </c>
      <c r="C1226" s="52">
        <v>70.010000000000005</v>
      </c>
      <c r="D1226" s="52">
        <v>70.47</v>
      </c>
      <c r="E1226" s="52">
        <v>1238481</v>
      </c>
      <c r="F1226" s="52" t="s">
        <v>1233</v>
      </c>
      <c r="G1226" s="25">
        <f t="shared" si="18"/>
        <v>4.2003689513268272E-2</v>
      </c>
    </row>
    <row r="1227" spans="1:7">
      <c r="A1227" s="52">
        <v>69.989999999999995</v>
      </c>
      <c r="B1227" s="52">
        <v>70.34</v>
      </c>
      <c r="C1227" s="52">
        <v>68.040000000000006</v>
      </c>
      <c r="D1227" s="52">
        <v>69.27</v>
      </c>
      <c r="E1227" s="52">
        <v>1104920</v>
      </c>
      <c r="F1227" s="52" t="s">
        <v>1234</v>
      </c>
      <c r="G1227" s="25">
        <f t="shared" si="18"/>
        <v>1.039411000433077E-2</v>
      </c>
    </row>
    <row r="1228" spans="1:7">
      <c r="A1228" s="52">
        <v>69.38</v>
      </c>
      <c r="B1228" s="52">
        <v>70.7</v>
      </c>
      <c r="C1228" s="52">
        <v>68.34</v>
      </c>
      <c r="D1228" s="52">
        <v>70.42</v>
      </c>
      <c r="E1228" s="52">
        <v>1151744</v>
      </c>
      <c r="F1228" s="52" t="s">
        <v>1235</v>
      </c>
      <c r="G1228" s="25">
        <f t="shared" si="18"/>
        <v>-1.4768531667140095E-2</v>
      </c>
    </row>
    <row r="1229" spans="1:7">
      <c r="A1229" s="52">
        <v>70.540000000000006</v>
      </c>
      <c r="B1229" s="52">
        <v>71.62</v>
      </c>
      <c r="C1229" s="52">
        <v>70.001999999999995</v>
      </c>
      <c r="D1229" s="52">
        <v>71.62</v>
      </c>
      <c r="E1229" s="52">
        <v>781731</v>
      </c>
      <c r="F1229" s="52" t="s">
        <v>1236</v>
      </c>
      <c r="G1229" s="25">
        <f t="shared" si="18"/>
        <v>-1.5079586707623549E-2</v>
      </c>
    </row>
    <row r="1230" spans="1:7">
      <c r="A1230" s="52">
        <v>71.459999999999994</v>
      </c>
      <c r="B1230" s="52">
        <v>73.3</v>
      </c>
      <c r="C1230" s="52">
        <v>71.02</v>
      </c>
      <c r="D1230" s="52">
        <v>72.72</v>
      </c>
      <c r="E1230" s="52">
        <v>819533</v>
      </c>
      <c r="F1230" s="52" t="s">
        <v>1237</v>
      </c>
      <c r="G1230" s="25">
        <f t="shared" si="18"/>
        <v>-1.7326732673267342E-2</v>
      </c>
    </row>
    <row r="1231" spans="1:7">
      <c r="A1231" s="52">
        <v>71.83</v>
      </c>
      <c r="B1231" s="52">
        <v>74.5</v>
      </c>
      <c r="C1231" s="52">
        <v>71.709999999999994</v>
      </c>
      <c r="D1231" s="52">
        <v>73.94</v>
      </c>
      <c r="E1231" s="52">
        <v>745166</v>
      </c>
      <c r="F1231" s="52" t="s">
        <v>1238</v>
      </c>
      <c r="G1231" s="25">
        <f t="shared" si="18"/>
        <v>-2.8536651338923469E-2</v>
      </c>
    </row>
    <row r="1232" spans="1:7">
      <c r="A1232" s="52">
        <v>73.930000000000007</v>
      </c>
      <c r="B1232" s="52">
        <v>75.83</v>
      </c>
      <c r="C1232" s="52">
        <v>73.69</v>
      </c>
      <c r="D1232" s="52">
        <v>75.28</v>
      </c>
      <c r="E1232" s="52">
        <v>665965</v>
      </c>
      <c r="F1232" s="52" t="s">
        <v>1239</v>
      </c>
      <c r="G1232" s="25">
        <f t="shared" si="18"/>
        <v>-1.7933049946864954E-2</v>
      </c>
    </row>
    <row r="1233" spans="1:7">
      <c r="A1233" s="52">
        <v>75.61</v>
      </c>
      <c r="B1233" s="52">
        <v>77.237499999999997</v>
      </c>
      <c r="C1233" s="52">
        <v>75.239999999999995</v>
      </c>
      <c r="D1233" s="52">
        <v>76.59</v>
      </c>
      <c r="E1233" s="52">
        <v>663147</v>
      </c>
      <c r="F1233" s="52" t="s">
        <v>1240</v>
      </c>
      <c r="G1233" s="25">
        <f t="shared" si="18"/>
        <v>-1.2795404099751995E-2</v>
      </c>
    </row>
    <row r="1234" spans="1:7">
      <c r="A1234" s="52">
        <v>76.209999999999994</v>
      </c>
      <c r="B1234" s="52">
        <v>78.62</v>
      </c>
      <c r="C1234" s="52">
        <v>75.2</v>
      </c>
      <c r="D1234" s="52">
        <v>75.7</v>
      </c>
      <c r="E1234" s="52">
        <v>994158</v>
      </c>
      <c r="F1234" s="52" t="s">
        <v>1241</v>
      </c>
      <c r="G1234" s="25">
        <f t="shared" si="18"/>
        <v>6.7371202113604145E-3</v>
      </c>
    </row>
    <row r="1235" spans="1:7">
      <c r="A1235" s="52">
        <v>74.53</v>
      </c>
      <c r="B1235" s="52">
        <v>75.27</v>
      </c>
      <c r="C1235" s="52">
        <v>72.831100000000006</v>
      </c>
      <c r="D1235" s="52">
        <v>73.400000000000006</v>
      </c>
      <c r="E1235" s="52">
        <v>1230681</v>
      </c>
      <c r="F1235" s="52" t="s">
        <v>1242</v>
      </c>
      <c r="G1235" s="25">
        <f t="shared" si="18"/>
        <v>1.5395095367847444E-2</v>
      </c>
    </row>
    <row r="1236" spans="1:7">
      <c r="A1236" s="52">
        <v>73.099999999999994</v>
      </c>
      <c r="B1236" s="52">
        <v>73.5</v>
      </c>
      <c r="C1236" s="52">
        <v>69.555000000000007</v>
      </c>
      <c r="D1236" s="52">
        <v>71.42</v>
      </c>
      <c r="E1236" s="52">
        <v>1528372</v>
      </c>
      <c r="F1236" s="52" t="s">
        <v>1243</v>
      </c>
      <c r="G1236" s="25">
        <f t="shared" si="18"/>
        <v>2.3522822738728522E-2</v>
      </c>
    </row>
    <row r="1237" spans="1:7">
      <c r="A1237" s="52">
        <v>72.25</v>
      </c>
      <c r="B1237" s="52">
        <v>75</v>
      </c>
      <c r="C1237" s="52">
        <v>71.720200000000006</v>
      </c>
      <c r="D1237" s="52">
        <v>75</v>
      </c>
      <c r="E1237" s="52">
        <v>1020461</v>
      </c>
      <c r="F1237" s="52" t="s">
        <v>1244</v>
      </c>
      <c r="G1237" s="25">
        <f t="shared" si="18"/>
        <v>-3.6666666666666625E-2</v>
      </c>
    </row>
    <row r="1238" spans="1:7">
      <c r="A1238" s="52">
        <v>74.78</v>
      </c>
      <c r="B1238" s="52">
        <v>75.58</v>
      </c>
      <c r="C1238" s="52">
        <v>73.73</v>
      </c>
      <c r="D1238" s="52">
        <v>75.06</v>
      </c>
      <c r="E1238" s="52">
        <v>952239</v>
      </c>
      <c r="F1238" s="52" t="s">
        <v>1245</v>
      </c>
      <c r="G1238" s="25">
        <f t="shared" si="18"/>
        <v>-3.7303490540900874E-3</v>
      </c>
    </row>
    <row r="1239" spans="1:7">
      <c r="A1239" s="52">
        <v>74.69</v>
      </c>
      <c r="B1239" s="52">
        <v>75.48</v>
      </c>
      <c r="C1239" s="52">
        <v>72.14</v>
      </c>
      <c r="D1239" s="52">
        <v>73.88</v>
      </c>
      <c r="E1239" s="52">
        <v>1035813</v>
      </c>
      <c r="F1239" s="52" t="s">
        <v>1246</v>
      </c>
      <c r="G1239" s="25">
        <f t="shared" si="18"/>
        <v>1.0963724959393684E-2</v>
      </c>
    </row>
    <row r="1240" spans="1:7">
      <c r="A1240" s="52">
        <v>74.98</v>
      </c>
      <c r="B1240" s="52">
        <v>79.28</v>
      </c>
      <c r="C1240" s="52">
        <v>74.900000000000006</v>
      </c>
      <c r="D1240" s="52">
        <v>79.28</v>
      </c>
      <c r="E1240" s="52">
        <v>1357308</v>
      </c>
      <c r="F1240" s="52" t="s">
        <v>1247</v>
      </c>
      <c r="G1240" s="25">
        <f t="shared" si="18"/>
        <v>-5.4238143289606411E-2</v>
      </c>
    </row>
    <row r="1241" spans="1:7">
      <c r="A1241" s="52">
        <v>78.58</v>
      </c>
      <c r="B1241" s="52">
        <v>83.47</v>
      </c>
      <c r="C1241" s="52">
        <v>78.48</v>
      </c>
      <c r="D1241" s="52">
        <v>83</v>
      </c>
      <c r="E1241" s="52">
        <v>1431418</v>
      </c>
      <c r="F1241" s="52" t="s">
        <v>1248</v>
      </c>
      <c r="G1241" s="25">
        <f t="shared" si="18"/>
        <v>-5.3253012048192772E-2</v>
      </c>
    </row>
    <row r="1242" spans="1:7">
      <c r="A1242" s="52">
        <v>83.53</v>
      </c>
      <c r="B1242" s="52">
        <v>84.305000000000007</v>
      </c>
      <c r="C1242" s="52">
        <v>82.39</v>
      </c>
      <c r="D1242" s="52">
        <v>83.18</v>
      </c>
      <c r="E1242" s="52">
        <v>1130284</v>
      </c>
      <c r="F1242" s="52" t="s">
        <v>1249</v>
      </c>
      <c r="G1242" s="25">
        <f t="shared" si="18"/>
        <v>4.2077422457320601E-3</v>
      </c>
    </row>
    <row r="1243" spans="1:7">
      <c r="A1243" s="52">
        <v>82.64</v>
      </c>
      <c r="B1243" s="52">
        <v>85.95</v>
      </c>
      <c r="C1243" s="52">
        <v>81.99</v>
      </c>
      <c r="D1243" s="52">
        <v>85.91</v>
      </c>
      <c r="E1243" s="52">
        <v>2152911</v>
      </c>
      <c r="F1243" s="52" t="s">
        <v>1250</v>
      </c>
      <c r="G1243" s="25">
        <f t="shared" si="18"/>
        <v>-3.8063089279478435E-2</v>
      </c>
    </row>
    <row r="1244" spans="1:7">
      <c r="A1244" s="52">
        <v>83</v>
      </c>
      <c r="B1244" s="52">
        <v>86.19</v>
      </c>
      <c r="C1244" s="52">
        <v>82.401899999999998</v>
      </c>
      <c r="D1244" s="52">
        <v>84.12</v>
      </c>
      <c r="E1244" s="52">
        <v>856641</v>
      </c>
      <c r="F1244" s="52" t="s">
        <v>1251</v>
      </c>
      <c r="G1244" s="25">
        <f t="shared" si="18"/>
        <v>-1.3314312886352875E-2</v>
      </c>
    </row>
    <row r="1245" spans="1:7">
      <c r="A1245" s="52">
        <v>84.84</v>
      </c>
      <c r="B1245" s="52">
        <v>85.659899999999993</v>
      </c>
      <c r="C1245" s="52">
        <v>83</v>
      </c>
      <c r="D1245" s="52">
        <v>84.2</v>
      </c>
      <c r="E1245" s="52">
        <v>522814</v>
      </c>
      <c r="F1245" s="52" t="s">
        <v>1252</v>
      </c>
      <c r="G1245" s="25">
        <f t="shared" si="18"/>
        <v>7.6009501187648265E-3</v>
      </c>
    </row>
    <row r="1246" spans="1:7">
      <c r="A1246" s="52">
        <v>84.44</v>
      </c>
      <c r="B1246" s="52">
        <v>88.385000000000005</v>
      </c>
      <c r="C1246" s="52">
        <v>83.534999999999997</v>
      </c>
      <c r="D1246" s="52">
        <v>86.453999999999994</v>
      </c>
      <c r="E1246" s="52">
        <v>964662</v>
      </c>
      <c r="F1246" s="52" t="s">
        <v>1253</v>
      </c>
      <c r="G1246" s="25">
        <f t="shared" si="18"/>
        <v>-2.3295625419298083E-2</v>
      </c>
    </row>
    <row r="1247" spans="1:7">
      <c r="A1247" s="52">
        <v>85.94</v>
      </c>
      <c r="B1247" s="52">
        <v>87</v>
      </c>
      <c r="C1247" s="52">
        <v>85.02</v>
      </c>
      <c r="D1247" s="52">
        <v>86.52</v>
      </c>
      <c r="E1247" s="52">
        <v>830337</v>
      </c>
      <c r="F1247" s="52" t="s">
        <v>1254</v>
      </c>
      <c r="G1247" s="25">
        <f t="shared" si="18"/>
        <v>-6.7036523347202559E-3</v>
      </c>
    </row>
    <row r="1248" spans="1:7">
      <c r="A1248" s="52">
        <v>86.47</v>
      </c>
      <c r="B1248" s="52">
        <v>87.16</v>
      </c>
      <c r="C1248" s="52">
        <v>84.78</v>
      </c>
      <c r="D1248" s="52">
        <v>87.16</v>
      </c>
      <c r="E1248" s="52">
        <v>482242</v>
      </c>
      <c r="F1248" s="52" t="s">
        <v>1255</v>
      </c>
      <c r="G1248" s="25">
        <f t="shared" si="18"/>
        <v>-7.9164754474528864E-3</v>
      </c>
    </row>
    <row r="1249" spans="1:7">
      <c r="A1249" s="52">
        <v>87.17</v>
      </c>
      <c r="B1249" s="52">
        <v>87.6</v>
      </c>
      <c r="C1249" s="52">
        <v>84.46</v>
      </c>
      <c r="D1249" s="52">
        <v>84.69</v>
      </c>
      <c r="E1249" s="52">
        <v>670304</v>
      </c>
      <c r="F1249" s="52" t="s">
        <v>1256</v>
      </c>
      <c r="G1249" s="25">
        <f t="shared" si="18"/>
        <v>2.9283268390601025E-2</v>
      </c>
    </row>
    <row r="1250" spans="1:7">
      <c r="A1250" s="52">
        <v>84.51</v>
      </c>
      <c r="B1250" s="52">
        <v>87.64</v>
      </c>
      <c r="C1250" s="52">
        <v>84.41</v>
      </c>
      <c r="D1250" s="52">
        <v>87.64</v>
      </c>
      <c r="E1250" s="52">
        <v>824668</v>
      </c>
      <c r="F1250" s="52" t="s">
        <v>1257</v>
      </c>
      <c r="G1250" s="25">
        <f t="shared" si="18"/>
        <v>-3.5714285714285698E-2</v>
      </c>
    </row>
    <row r="1251" spans="1:7">
      <c r="A1251" s="52">
        <v>85.75</v>
      </c>
      <c r="B1251" s="52">
        <v>87.59</v>
      </c>
      <c r="C1251" s="52">
        <v>83.995000000000005</v>
      </c>
      <c r="D1251" s="52">
        <v>84.17</v>
      </c>
      <c r="E1251" s="52">
        <v>836740</v>
      </c>
      <c r="F1251" s="52" t="s">
        <v>1258</v>
      </c>
      <c r="G1251" s="25">
        <f t="shared" si="18"/>
        <v>1.877153380064156E-2</v>
      </c>
    </row>
    <row r="1252" spans="1:7">
      <c r="A1252" s="52">
        <v>83.21</v>
      </c>
      <c r="B1252" s="52">
        <v>86.05</v>
      </c>
      <c r="C1252" s="52">
        <v>82.62</v>
      </c>
      <c r="D1252" s="52">
        <v>84.23</v>
      </c>
      <c r="E1252" s="52">
        <v>1015998</v>
      </c>
      <c r="F1252" s="52" t="s">
        <v>1259</v>
      </c>
      <c r="G1252" s="25">
        <f t="shared" si="18"/>
        <v>-1.210969963196018E-2</v>
      </c>
    </row>
    <row r="1253" spans="1:7">
      <c r="A1253" s="52">
        <v>84.79</v>
      </c>
      <c r="B1253" s="52">
        <v>85.49</v>
      </c>
      <c r="C1253" s="52">
        <v>78.31</v>
      </c>
      <c r="D1253" s="52">
        <v>83</v>
      </c>
      <c r="E1253" s="52">
        <v>1777294</v>
      </c>
      <c r="F1253" s="52" t="s">
        <v>1260</v>
      </c>
      <c r="G1253" s="25">
        <f t="shared" si="18"/>
        <v>2.1566265060241063E-2</v>
      </c>
    </row>
    <row r="1254" spans="1:7">
      <c r="A1254" s="52">
        <v>82.16</v>
      </c>
      <c r="B1254" s="52">
        <v>89.49</v>
      </c>
      <c r="C1254" s="52">
        <v>81.97</v>
      </c>
      <c r="D1254" s="52">
        <v>86.41</v>
      </c>
      <c r="E1254" s="52">
        <v>1520502</v>
      </c>
      <c r="F1254" s="52" t="s">
        <v>1261</v>
      </c>
      <c r="G1254" s="25">
        <f t="shared" si="18"/>
        <v>-4.9184122208077774E-2</v>
      </c>
    </row>
    <row r="1255" spans="1:7">
      <c r="A1255" s="52">
        <v>87.11</v>
      </c>
      <c r="B1255" s="52">
        <v>91.62</v>
      </c>
      <c r="C1255" s="52">
        <v>86.86</v>
      </c>
      <c r="D1255" s="52">
        <v>88.36</v>
      </c>
      <c r="E1255" s="52">
        <v>1257486</v>
      </c>
      <c r="F1255" s="52" t="s">
        <v>1262</v>
      </c>
      <c r="G1255" s="25">
        <f t="shared" si="18"/>
        <v>-1.4146672702580299E-2</v>
      </c>
    </row>
    <row r="1256" spans="1:7">
      <c r="A1256" s="52">
        <v>88.93</v>
      </c>
      <c r="B1256" s="52">
        <v>90</v>
      </c>
      <c r="C1256" s="52">
        <v>85.1</v>
      </c>
      <c r="D1256" s="52">
        <v>85.34</v>
      </c>
      <c r="E1256" s="52">
        <v>1820589</v>
      </c>
      <c r="F1256" s="52" t="s">
        <v>1263</v>
      </c>
      <c r="G1256" s="25">
        <f t="shared" si="18"/>
        <v>4.206702601359269E-2</v>
      </c>
    </row>
    <row r="1257" spans="1:7">
      <c r="A1257" s="52">
        <v>87.03</v>
      </c>
      <c r="B1257" s="52">
        <v>88.73</v>
      </c>
      <c r="C1257" s="52">
        <v>86.151899999999998</v>
      </c>
      <c r="D1257" s="52">
        <v>87.59</v>
      </c>
      <c r="E1257" s="52">
        <v>1362275</v>
      </c>
      <c r="F1257" s="52" t="s">
        <v>1264</v>
      </c>
      <c r="G1257" s="25">
        <f t="shared" si="18"/>
        <v>-6.3934239068387244E-3</v>
      </c>
    </row>
    <row r="1258" spans="1:7">
      <c r="A1258" s="52">
        <v>87.06</v>
      </c>
      <c r="B1258" s="52">
        <v>87.68</v>
      </c>
      <c r="C1258" s="52">
        <v>82.27</v>
      </c>
      <c r="D1258" s="52">
        <v>85.87</v>
      </c>
      <c r="E1258" s="52">
        <v>1567277</v>
      </c>
      <c r="F1258" s="52" t="s">
        <v>1265</v>
      </c>
      <c r="G1258" s="25">
        <f t="shared" si="18"/>
        <v>1.3858157680214145E-2</v>
      </c>
    </row>
    <row r="1259" spans="1:7">
      <c r="A1259" s="52">
        <v>85.25</v>
      </c>
      <c r="B1259" s="52">
        <v>89.485200000000006</v>
      </c>
      <c r="C1259" s="52">
        <v>81.58</v>
      </c>
      <c r="D1259" s="52">
        <v>83.653800000000004</v>
      </c>
      <c r="E1259" s="52">
        <v>3120814</v>
      </c>
      <c r="F1259" s="52" t="s">
        <v>1266</v>
      </c>
      <c r="G1259" s="25">
        <f t="shared" si="18"/>
        <v>1.9081022021713245E-2</v>
      </c>
    </row>
    <row r="1260" spans="1:7">
      <c r="A1260" s="52">
        <v>84.29</v>
      </c>
      <c r="B1260" s="52">
        <v>85.42</v>
      </c>
      <c r="C1260" s="52">
        <v>82.8</v>
      </c>
      <c r="D1260" s="52">
        <v>84.23</v>
      </c>
      <c r="E1260" s="52">
        <v>983228</v>
      </c>
      <c r="F1260" s="52" t="s">
        <v>1267</v>
      </c>
      <c r="G1260" s="25">
        <f t="shared" si="18"/>
        <v>7.1233527246827855E-4</v>
      </c>
    </row>
    <row r="1261" spans="1:7">
      <c r="A1261" s="52">
        <v>83.82</v>
      </c>
      <c r="B1261" s="52">
        <v>84.778300000000002</v>
      </c>
      <c r="C1261" s="52">
        <v>77.010000000000005</v>
      </c>
      <c r="D1261" s="52">
        <v>81.2</v>
      </c>
      <c r="E1261" s="52">
        <v>1550960</v>
      </c>
      <c r="F1261" s="52" t="s">
        <v>1268</v>
      </c>
      <c r="G1261" s="25">
        <f t="shared" si="18"/>
        <v>3.2266009852216726E-2</v>
      </c>
    </row>
    <row r="1262" spans="1:7">
      <c r="A1262" s="52">
        <v>83.11</v>
      </c>
      <c r="B1262" s="52">
        <v>86.11</v>
      </c>
      <c r="C1262" s="52">
        <v>82.76</v>
      </c>
      <c r="D1262" s="52">
        <v>86.1</v>
      </c>
      <c r="E1262" s="52">
        <v>1314720</v>
      </c>
      <c r="F1262" s="52" t="s">
        <v>1269</v>
      </c>
      <c r="G1262" s="25">
        <f t="shared" si="18"/>
        <v>-3.4727061556329764E-2</v>
      </c>
    </row>
    <row r="1263" spans="1:7">
      <c r="A1263" s="52">
        <v>85.38</v>
      </c>
      <c r="B1263" s="52">
        <v>90.8</v>
      </c>
      <c r="C1263" s="52">
        <v>84.95</v>
      </c>
      <c r="D1263" s="52">
        <v>89</v>
      </c>
      <c r="E1263" s="52">
        <v>1962078</v>
      </c>
      <c r="F1263" s="52" t="s">
        <v>1270</v>
      </c>
      <c r="G1263" s="25">
        <f t="shared" si="18"/>
        <v>-4.0674157303370873E-2</v>
      </c>
    </row>
    <row r="1264" spans="1:7">
      <c r="A1264" s="52">
        <v>88.35</v>
      </c>
      <c r="B1264" s="52">
        <v>89.25</v>
      </c>
      <c r="C1264" s="52">
        <v>85.8</v>
      </c>
      <c r="D1264" s="52">
        <v>88.14</v>
      </c>
      <c r="E1264" s="52">
        <v>990300</v>
      </c>
      <c r="F1264" s="52" t="s">
        <v>1271</v>
      </c>
      <c r="G1264" s="25">
        <f t="shared" si="18"/>
        <v>2.3825731790332316E-3</v>
      </c>
    </row>
    <row r="1265" spans="1:7">
      <c r="A1265" s="52">
        <v>89.6</v>
      </c>
      <c r="B1265" s="52">
        <v>90.55</v>
      </c>
      <c r="C1265" s="52">
        <v>87.31</v>
      </c>
      <c r="D1265" s="52">
        <v>90.29</v>
      </c>
      <c r="E1265" s="52">
        <v>1197035</v>
      </c>
      <c r="F1265" s="52" t="s">
        <v>1272</v>
      </c>
      <c r="G1265" s="25">
        <f t="shared" si="18"/>
        <v>-7.6420423081183797E-3</v>
      </c>
    </row>
    <row r="1266" spans="1:7">
      <c r="A1266" s="52">
        <v>90.88</v>
      </c>
      <c r="B1266" s="52">
        <v>92.5</v>
      </c>
      <c r="C1266" s="52">
        <v>90</v>
      </c>
      <c r="D1266" s="52">
        <v>91.73</v>
      </c>
      <c r="E1266" s="52">
        <v>838776</v>
      </c>
      <c r="F1266" s="52" t="s">
        <v>1273</v>
      </c>
      <c r="G1266" s="25">
        <f t="shared" si="18"/>
        <v>-9.2663250844872147E-3</v>
      </c>
    </row>
    <row r="1267" spans="1:7">
      <c r="A1267" s="52">
        <v>91.07</v>
      </c>
      <c r="B1267" s="52">
        <v>92.4</v>
      </c>
      <c r="C1267" s="52">
        <v>89.39</v>
      </c>
      <c r="D1267" s="52">
        <v>90.83</v>
      </c>
      <c r="E1267" s="52">
        <v>795339</v>
      </c>
      <c r="F1267" s="52" t="s">
        <v>1274</v>
      </c>
      <c r="G1267" s="25">
        <f t="shared" si="18"/>
        <v>2.6422987999559222E-3</v>
      </c>
    </row>
    <row r="1268" spans="1:7">
      <c r="A1268" s="52">
        <v>90.77</v>
      </c>
      <c r="B1268" s="52">
        <v>93.965000000000003</v>
      </c>
      <c r="C1268" s="52">
        <v>90.33</v>
      </c>
      <c r="D1268" s="52">
        <v>93.8</v>
      </c>
      <c r="E1268" s="52">
        <v>1082254</v>
      </c>
      <c r="F1268" s="52" t="s">
        <v>1275</v>
      </c>
      <c r="G1268" s="25">
        <f t="shared" ref="G1268:G1331" si="19">A1268/D1268-1</f>
        <v>-3.2302771855010626E-2</v>
      </c>
    </row>
    <row r="1269" spans="1:7">
      <c r="A1269" s="52">
        <v>93.06</v>
      </c>
      <c r="B1269" s="52">
        <v>95.6</v>
      </c>
      <c r="C1269" s="52">
        <v>91.13</v>
      </c>
      <c r="D1269" s="52">
        <v>93.88</v>
      </c>
      <c r="E1269" s="52">
        <v>1148183</v>
      </c>
      <c r="F1269" s="52" t="s">
        <v>1276</v>
      </c>
      <c r="G1269" s="25">
        <f t="shared" si="19"/>
        <v>-8.7345547507455823E-3</v>
      </c>
    </row>
    <row r="1270" spans="1:7">
      <c r="A1270" s="52">
        <v>93.18</v>
      </c>
      <c r="B1270" s="52">
        <v>96.68</v>
      </c>
      <c r="C1270" s="52">
        <v>92.82</v>
      </c>
      <c r="D1270" s="52">
        <v>95.79</v>
      </c>
      <c r="E1270" s="52">
        <v>1069172</v>
      </c>
      <c r="F1270" s="52" t="s">
        <v>1277</v>
      </c>
      <c r="G1270" s="25">
        <f t="shared" si="19"/>
        <v>-2.7247103037895348E-2</v>
      </c>
    </row>
    <row r="1271" spans="1:7">
      <c r="A1271" s="52">
        <v>95.28</v>
      </c>
      <c r="B1271" s="52">
        <v>96.88</v>
      </c>
      <c r="C1271" s="52">
        <v>93.65</v>
      </c>
      <c r="D1271" s="52">
        <v>96.2</v>
      </c>
      <c r="E1271" s="52">
        <v>1155934</v>
      </c>
      <c r="F1271" s="52" t="s">
        <v>1278</v>
      </c>
      <c r="G1271" s="25">
        <f t="shared" si="19"/>
        <v>-9.5634095634096195E-3</v>
      </c>
    </row>
    <row r="1272" spans="1:7">
      <c r="A1272" s="52">
        <v>95.79</v>
      </c>
      <c r="B1272" s="52">
        <v>96.79</v>
      </c>
      <c r="C1272" s="52">
        <v>94.25</v>
      </c>
      <c r="D1272" s="52">
        <v>96.32</v>
      </c>
      <c r="E1272" s="52">
        <v>908285</v>
      </c>
      <c r="F1272" s="52" t="s">
        <v>1279</v>
      </c>
      <c r="G1272" s="25">
        <f t="shared" si="19"/>
        <v>-5.5024916943520186E-3</v>
      </c>
    </row>
    <row r="1273" spans="1:7">
      <c r="A1273" s="52">
        <v>95.73</v>
      </c>
      <c r="B1273" s="52">
        <v>95.73</v>
      </c>
      <c r="C1273" s="52">
        <v>92.314999999999998</v>
      </c>
      <c r="D1273" s="52">
        <v>93.39</v>
      </c>
      <c r="E1273" s="52">
        <v>1210894</v>
      </c>
      <c r="F1273" s="52" t="s">
        <v>1280</v>
      </c>
      <c r="G1273" s="25">
        <f t="shared" si="19"/>
        <v>2.5056215868936693E-2</v>
      </c>
    </row>
    <row r="1274" spans="1:7">
      <c r="A1274" s="52">
        <v>92.46</v>
      </c>
      <c r="B1274" s="52">
        <v>93.15</v>
      </c>
      <c r="C1274" s="52">
        <v>90.19</v>
      </c>
      <c r="D1274" s="52">
        <v>90.98</v>
      </c>
      <c r="E1274" s="52">
        <v>1147355</v>
      </c>
      <c r="F1274" s="52" t="s">
        <v>1281</v>
      </c>
      <c r="G1274" s="25">
        <f t="shared" si="19"/>
        <v>1.62673114970322E-2</v>
      </c>
    </row>
    <row r="1275" spans="1:7">
      <c r="A1275" s="52">
        <v>90.18</v>
      </c>
      <c r="B1275" s="52">
        <v>92.8</v>
      </c>
      <c r="C1275" s="52">
        <v>89.93</v>
      </c>
      <c r="D1275" s="52">
        <v>90.87</v>
      </c>
      <c r="E1275" s="52">
        <v>1297459</v>
      </c>
      <c r="F1275" s="52" t="s">
        <v>1282</v>
      </c>
      <c r="G1275" s="25">
        <f t="shared" si="19"/>
        <v>-7.5932651039947174E-3</v>
      </c>
    </row>
    <row r="1276" spans="1:7">
      <c r="A1276" s="52">
        <v>89.99</v>
      </c>
      <c r="B1276" s="52">
        <v>90.48</v>
      </c>
      <c r="C1276" s="52">
        <v>87.31</v>
      </c>
      <c r="D1276" s="52">
        <v>90</v>
      </c>
      <c r="E1276" s="52">
        <v>1125402</v>
      </c>
      <c r="F1276" s="52" t="s">
        <v>1283</v>
      </c>
      <c r="G1276" s="25">
        <f t="shared" si="19"/>
        <v>-1.1111111111117289E-4</v>
      </c>
    </row>
    <row r="1277" spans="1:7">
      <c r="A1277" s="52">
        <v>89.4</v>
      </c>
      <c r="B1277" s="52">
        <v>92.87</v>
      </c>
      <c r="C1277" s="52">
        <v>87.5</v>
      </c>
      <c r="D1277" s="52">
        <v>89.35</v>
      </c>
      <c r="E1277" s="52">
        <v>1441341</v>
      </c>
      <c r="F1277" s="52" t="s">
        <v>1284</v>
      </c>
      <c r="G1277" s="25">
        <f t="shared" si="19"/>
        <v>5.5959709009534286E-4</v>
      </c>
    </row>
    <row r="1278" spans="1:7">
      <c r="A1278" s="52">
        <v>90.13</v>
      </c>
      <c r="B1278" s="52">
        <v>92.4</v>
      </c>
      <c r="C1278" s="52">
        <v>88.62</v>
      </c>
      <c r="D1278" s="52">
        <v>91</v>
      </c>
      <c r="E1278" s="52">
        <v>1913190</v>
      </c>
      <c r="F1278" s="52" t="s">
        <v>1285</v>
      </c>
      <c r="G1278" s="25">
        <f t="shared" si="19"/>
        <v>-9.5604395604396153E-3</v>
      </c>
    </row>
    <row r="1279" spans="1:7">
      <c r="A1279" s="52">
        <v>90.49</v>
      </c>
      <c r="B1279" s="52">
        <v>92.7</v>
      </c>
      <c r="C1279" s="52">
        <v>86.8</v>
      </c>
      <c r="D1279" s="52">
        <v>90.31</v>
      </c>
      <c r="E1279" s="52">
        <v>1753244</v>
      </c>
      <c r="F1279" s="52" t="s">
        <v>1286</v>
      </c>
      <c r="G1279" s="25">
        <f t="shared" si="19"/>
        <v>1.9931347580555148E-3</v>
      </c>
    </row>
    <row r="1280" spans="1:7">
      <c r="A1280" s="52">
        <v>92.65</v>
      </c>
      <c r="B1280" s="52">
        <v>96.85</v>
      </c>
      <c r="C1280" s="52">
        <v>92.54</v>
      </c>
      <c r="D1280" s="52">
        <v>95.67</v>
      </c>
      <c r="E1280" s="52">
        <v>1612086</v>
      </c>
      <c r="F1280" s="52" t="s">
        <v>1287</v>
      </c>
      <c r="G1280" s="25">
        <f t="shared" si="19"/>
        <v>-3.1566844360823576E-2</v>
      </c>
    </row>
    <row r="1281" spans="1:7">
      <c r="A1281" s="52">
        <v>96.11</v>
      </c>
      <c r="B1281" s="52">
        <v>99.8399</v>
      </c>
      <c r="C1281" s="52">
        <v>91.533799999999999</v>
      </c>
      <c r="D1281" s="52">
        <v>98.94</v>
      </c>
      <c r="E1281" s="52">
        <v>2383627</v>
      </c>
      <c r="F1281" s="52" t="s">
        <v>1288</v>
      </c>
      <c r="G1281" s="25">
        <f t="shared" si="19"/>
        <v>-2.8603193854861542E-2</v>
      </c>
    </row>
    <row r="1282" spans="1:7">
      <c r="A1282" s="52">
        <v>98.24</v>
      </c>
      <c r="B1282" s="52">
        <v>98.79</v>
      </c>
      <c r="C1282" s="52">
        <v>95.45</v>
      </c>
      <c r="D1282" s="52">
        <v>95.76</v>
      </c>
      <c r="E1282" s="52">
        <v>1445680</v>
      </c>
      <c r="F1282" s="52" t="s">
        <v>1289</v>
      </c>
      <c r="G1282" s="25">
        <f t="shared" si="19"/>
        <v>2.589807852965742E-2</v>
      </c>
    </row>
    <row r="1283" spans="1:7">
      <c r="A1283" s="52">
        <v>96.92</v>
      </c>
      <c r="B1283" s="52">
        <v>99.03</v>
      </c>
      <c r="C1283" s="52">
        <v>94.28</v>
      </c>
      <c r="D1283" s="52">
        <v>99.03</v>
      </c>
      <c r="E1283" s="52">
        <v>1676675</v>
      </c>
      <c r="F1283" s="52" t="s">
        <v>1290</v>
      </c>
      <c r="G1283" s="25">
        <f t="shared" si="19"/>
        <v>-2.1306674745026788E-2</v>
      </c>
    </row>
    <row r="1284" spans="1:7">
      <c r="A1284" s="52">
        <v>96.76</v>
      </c>
      <c r="B1284" s="52">
        <v>103.34</v>
      </c>
      <c r="C1284" s="52">
        <v>96.37</v>
      </c>
      <c r="D1284" s="52">
        <v>99.53</v>
      </c>
      <c r="E1284" s="52">
        <v>2923016</v>
      </c>
      <c r="F1284" s="52" t="s">
        <v>1291</v>
      </c>
      <c r="G1284" s="25">
        <f t="shared" si="19"/>
        <v>-2.783080478247757E-2</v>
      </c>
    </row>
    <row r="1285" spans="1:7">
      <c r="A1285" s="52">
        <v>96.8</v>
      </c>
      <c r="B1285" s="52">
        <v>97.14</v>
      </c>
      <c r="C1285" s="52">
        <v>91.2</v>
      </c>
      <c r="D1285" s="52">
        <v>91.99</v>
      </c>
      <c r="E1285" s="52">
        <v>3496913</v>
      </c>
      <c r="F1285" s="52" t="s">
        <v>1292</v>
      </c>
      <c r="G1285" s="25">
        <f t="shared" si="19"/>
        <v>5.2288292205674658E-2</v>
      </c>
    </row>
    <row r="1286" spans="1:7">
      <c r="A1286" s="52">
        <v>90.32</v>
      </c>
      <c r="B1286" s="52">
        <v>92.79</v>
      </c>
      <c r="C1286" s="52">
        <v>89.41</v>
      </c>
      <c r="D1286" s="52">
        <v>89.948999999999998</v>
      </c>
      <c r="E1286" s="52">
        <v>3396952</v>
      </c>
      <c r="F1286" s="52" t="s">
        <v>1293</v>
      </c>
      <c r="G1286" s="25">
        <f t="shared" si="19"/>
        <v>4.1245594725900503E-3</v>
      </c>
    </row>
    <row r="1287" spans="1:7">
      <c r="A1287" s="52">
        <v>89.9</v>
      </c>
      <c r="B1287" s="52">
        <v>90.75</v>
      </c>
      <c r="C1287" s="52">
        <v>85.6</v>
      </c>
      <c r="D1287" s="52">
        <v>86.64</v>
      </c>
      <c r="E1287" s="52">
        <v>3998230</v>
      </c>
      <c r="F1287" s="52" t="s">
        <v>1294</v>
      </c>
      <c r="G1287" s="25">
        <f t="shared" si="19"/>
        <v>3.7626962142197629E-2</v>
      </c>
    </row>
    <row r="1288" spans="1:7">
      <c r="A1288" s="52">
        <v>87.22</v>
      </c>
      <c r="B1288" s="52">
        <v>87.8</v>
      </c>
      <c r="C1288" s="52">
        <v>83.779399999999995</v>
      </c>
      <c r="D1288" s="52">
        <v>87.4</v>
      </c>
      <c r="E1288" s="52">
        <v>4971597</v>
      </c>
      <c r="F1288" s="52" t="s">
        <v>1295</v>
      </c>
      <c r="G1288" s="25">
        <f t="shared" si="19"/>
        <v>-2.0594965675058141E-3</v>
      </c>
    </row>
    <row r="1289" spans="1:7">
      <c r="A1289" s="52">
        <v>87.28</v>
      </c>
      <c r="B1289" s="52">
        <v>94.64</v>
      </c>
      <c r="C1289" s="52">
        <v>86.15</v>
      </c>
      <c r="D1289" s="52">
        <v>89.99</v>
      </c>
      <c r="E1289" s="52">
        <v>6314809</v>
      </c>
      <c r="F1289" s="52" t="s">
        <v>1296</v>
      </c>
      <c r="G1289" s="25">
        <f t="shared" si="19"/>
        <v>-3.011445716190686E-2</v>
      </c>
    </row>
    <row r="1290" spans="1:7">
      <c r="A1290" s="52">
        <v>89.76</v>
      </c>
      <c r="B1290" s="52">
        <v>96.21</v>
      </c>
      <c r="C1290" s="52">
        <v>84.155000000000001</v>
      </c>
      <c r="D1290" s="52">
        <v>87.2</v>
      </c>
      <c r="E1290" s="52">
        <v>13551853</v>
      </c>
      <c r="F1290" s="52" t="s">
        <v>1297</v>
      </c>
      <c r="G1290" s="25">
        <f t="shared" si="19"/>
        <v>2.9357798165137616E-2</v>
      </c>
    </row>
    <row r="1291" spans="1:7">
      <c r="A1291" s="52">
        <v>82.29</v>
      </c>
      <c r="B1291" s="52">
        <v>88.479900000000001</v>
      </c>
      <c r="C1291" s="52">
        <v>82.25</v>
      </c>
      <c r="D1291" s="52">
        <v>85</v>
      </c>
      <c r="E1291" s="52">
        <v>22807565</v>
      </c>
      <c r="F1291" s="52" t="s">
        <v>1298</v>
      </c>
      <c r="G1291" s="25">
        <f t="shared" si="19"/>
        <v>-3.1882352941176362E-2</v>
      </c>
    </row>
    <row r="1292" spans="1:7">
      <c r="A1292" s="52">
        <v>168.95</v>
      </c>
      <c r="B1292" s="52">
        <v>174.3</v>
      </c>
      <c r="C1292" s="52">
        <v>166.93</v>
      </c>
      <c r="D1292" s="52">
        <v>168.72</v>
      </c>
      <c r="E1292" s="52">
        <v>4745721</v>
      </c>
      <c r="F1292" s="52" t="s">
        <v>1299</v>
      </c>
      <c r="G1292" s="25">
        <f t="shared" si="19"/>
        <v>1.3632053105736563E-3</v>
      </c>
    </row>
    <row r="1293" spans="1:7">
      <c r="A1293" s="52">
        <v>166.45</v>
      </c>
      <c r="B1293" s="52">
        <v>171.84</v>
      </c>
      <c r="C1293" s="52">
        <v>161.12</v>
      </c>
      <c r="D1293" s="52">
        <v>161.66999999999999</v>
      </c>
      <c r="E1293" s="52">
        <v>906729</v>
      </c>
      <c r="F1293" s="52" t="s">
        <v>1300</v>
      </c>
      <c r="G1293" s="25">
        <f t="shared" si="19"/>
        <v>2.9566400692769168E-2</v>
      </c>
    </row>
    <row r="1294" spans="1:7">
      <c r="A1294" s="52">
        <v>164.25</v>
      </c>
      <c r="B1294" s="52">
        <v>167</v>
      </c>
      <c r="C1294" s="52">
        <v>162.023</v>
      </c>
      <c r="D1294" s="52">
        <v>165.15</v>
      </c>
      <c r="E1294" s="52">
        <v>1588303</v>
      </c>
      <c r="F1294" s="52" t="s">
        <v>1301</v>
      </c>
      <c r="G1294" s="25">
        <f t="shared" si="19"/>
        <v>-5.4495912806540314E-3</v>
      </c>
    </row>
    <row r="1295" spans="1:7">
      <c r="A1295" s="52">
        <v>165.29</v>
      </c>
      <c r="B1295" s="52">
        <v>174.49</v>
      </c>
      <c r="C1295" s="52">
        <v>163.83000000000001</v>
      </c>
      <c r="D1295" s="52">
        <v>171</v>
      </c>
      <c r="E1295" s="52">
        <v>1073927</v>
      </c>
      <c r="F1295" s="52" t="s">
        <v>1302</v>
      </c>
      <c r="G1295" s="25">
        <f t="shared" si="19"/>
        <v>-3.3391812865497084E-2</v>
      </c>
    </row>
    <row r="1296" spans="1:7">
      <c r="A1296" s="52">
        <v>170.49</v>
      </c>
      <c r="B1296" s="52">
        <v>172.55</v>
      </c>
      <c r="C1296" s="52">
        <v>168.03</v>
      </c>
      <c r="D1296" s="52">
        <v>172.4</v>
      </c>
      <c r="E1296" s="52">
        <v>720716</v>
      </c>
      <c r="F1296" s="52" t="s">
        <v>1303</v>
      </c>
      <c r="G1296" s="25">
        <f t="shared" si="19"/>
        <v>-1.1078886310904812E-2</v>
      </c>
    </row>
    <row r="1297" spans="1:7">
      <c r="A1297" s="52">
        <v>171.54</v>
      </c>
      <c r="B1297" s="52">
        <v>178.5</v>
      </c>
      <c r="C1297" s="52">
        <v>171.05</v>
      </c>
      <c r="D1297" s="52">
        <v>173.06</v>
      </c>
      <c r="E1297" s="52">
        <v>516973</v>
      </c>
      <c r="F1297" s="52" t="s">
        <v>1304</v>
      </c>
      <c r="G1297" s="25">
        <f t="shared" si="19"/>
        <v>-8.7830810123656899E-3</v>
      </c>
    </row>
    <row r="1298" spans="1:7">
      <c r="A1298" s="52">
        <v>171.82</v>
      </c>
      <c r="B1298" s="52">
        <v>176.25</v>
      </c>
      <c r="C1298" s="52">
        <v>170.01</v>
      </c>
      <c r="D1298" s="52">
        <v>173.25</v>
      </c>
      <c r="E1298" s="52">
        <v>492315</v>
      </c>
      <c r="F1298" s="52" t="s">
        <v>1305</v>
      </c>
      <c r="G1298" s="25">
        <f t="shared" si="19"/>
        <v>-8.2539682539682913E-3</v>
      </c>
    </row>
    <row r="1299" spans="1:7">
      <c r="A1299" s="52">
        <v>174.15</v>
      </c>
      <c r="B1299" s="52">
        <v>180.41</v>
      </c>
      <c r="C1299" s="52">
        <v>173.7517</v>
      </c>
      <c r="D1299" s="52">
        <v>175.76</v>
      </c>
      <c r="E1299" s="52">
        <v>546649</v>
      </c>
      <c r="F1299" s="52" t="s">
        <v>1306</v>
      </c>
      <c r="G1299" s="25">
        <f t="shared" si="19"/>
        <v>-9.1602184797450192E-3</v>
      </c>
    </row>
    <row r="1300" spans="1:7">
      <c r="A1300" s="52">
        <v>175.03</v>
      </c>
      <c r="B1300" s="52">
        <v>178.38</v>
      </c>
      <c r="C1300" s="52">
        <v>174</v>
      </c>
      <c r="D1300" s="52">
        <v>178.38</v>
      </c>
      <c r="E1300" s="52">
        <v>220178</v>
      </c>
      <c r="F1300" s="52" t="s">
        <v>1307</v>
      </c>
      <c r="G1300" s="25">
        <f t="shared" si="19"/>
        <v>-1.8780132301827512E-2</v>
      </c>
    </row>
    <row r="1301" spans="1:7">
      <c r="A1301" s="52">
        <v>178.06</v>
      </c>
      <c r="B1301" s="52">
        <v>178.23</v>
      </c>
      <c r="C1301" s="52">
        <v>173.41</v>
      </c>
      <c r="D1301" s="52">
        <v>178.14</v>
      </c>
      <c r="E1301" s="52">
        <v>792493</v>
      </c>
      <c r="F1301" s="52" t="s">
        <v>1308</v>
      </c>
      <c r="G1301" s="25">
        <f t="shared" si="19"/>
        <v>-4.4908498933415864E-4</v>
      </c>
    </row>
    <row r="1302" spans="1:7">
      <c r="A1302" s="52">
        <v>178.74</v>
      </c>
      <c r="B1302" s="52">
        <v>181.83</v>
      </c>
      <c r="C1302" s="52">
        <v>175.66</v>
      </c>
      <c r="D1302" s="52">
        <v>177.66</v>
      </c>
      <c r="E1302" s="52">
        <v>798086</v>
      </c>
      <c r="F1302" s="52" t="s">
        <v>1309</v>
      </c>
      <c r="G1302" s="25">
        <f t="shared" si="19"/>
        <v>6.0790273556232677E-3</v>
      </c>
    </row>
    <row r="1303" spans="1:7">
      <c r="A1303" s="52">
        <v>177.02</v>
      </c>
      <c r="B1303" s="52">
        <v>178.79</v>
      </c>
      <c r="C1303" s="52">
        <v>171.01</v>
      </c>
      <c r="D1303" s="52">
        <v>172.5</v>
      </c>
      <c r="E1303" s="52">
        <v>643171</v>
      </c>
      <c r="F1303" s="52" t="s">
        <v>1310</v>
      </c>
      <c r="G1303" s="25">
        <f t="shared" si="19"/>
        <v>2.6202898550724774E-2</v>
      </c>
    </row>
    <row r="1304" spans="1:7">
      <c r="A1304" s="52">
        <v>175.4</v>
      </c>
      <c r="B1304" s="52">
        <v>175.91</v>
      </c>
      <c r="C1304" s="52">
        <v>170.73</v>
      </c>
      <c r="D1304" s="52">
        <v>172.43</v>
      </c>
      <c r="E1304" s="52">
        <v>1227043</v>
      </c>
      <c r="F1304" s="52" t="s">
        <v>1311</v>
      </c>
      <c r="G1304" s="25">
        <f t="shared" si="19"/>
        <v>1.722438090819467E-2</v>
      </c>
    </row>
    <row r="1305" spans="1:7">
      <c r="A1305" s="52">
        <v>171.06</v>
      </c>
      <c r="B1305" s="52">
        <v>171.47</v>
      </c>
      <c r="C1305" s="52">
        <v>165.15</v>
      </c>
      <c r="D1305" s="52">
        <v>171.47</v>
      </c>
      <c r="E1305" s="52">
        <v>980630</v>
      </c>
      <c r="F1305" s="52" t="s">
        <v>1312</v>
      </c>
      <c r="G1305" s="25">
        <f t="shared" si="19"/>
        <v>-2.391088820201781E-3</v>
      </c>
    </row>
    <row r="1306" spans="1:7">
      <c r="A1306" s="52">
        <v>170.12</v>
      </c>
      <c r="B1306" s="52">
        <v>171.43</v>
      </c>
      <c r="C1306" s="52">
        <v>165.065</v>
      </c>
      <c r="D1306" s="52">
        <v>168.15</v>
      </c>
      <c r="E1306" s="52">
        <v>806706</v>
      </c>
      <c r="F1306" s="52" t="s">
        <v>1313</v>
      </c>
      <c r="G1306" s="25">
        <f t="shared" si="19"/>
        <v>1.1715730002973546E-2</v>
      </c>
    </row>
    <row r="1307" spans="1:7">
      <c r="A1307" s="52">
        <v>167.95</v>
      </c>
      <c r="B1307" s="52">
        <v>172.98</v>
      </c>
      <c r="C1307" s="52">
        <v>165.25</v>
      </c>
      <c r="D1307" s="52">
        <v>171.01</v>
      </c>
      <c r="E1307" s="52">
        <v>694013</v>
      </c>
      <c r="F1307" s="52" t="s">
        <v>1314</v>
      </c>
      <c r="G1307" s="25">
        <f t="shared" si="19"/>
        <v>-1.7893690427460363E-2</v>
      </c>
    </row>
    <row r="1308" spans="1:7">
      <c r="A1308" s="52">
        <v>169.54</v>
      </c>
      <c r="B1308" s="52">
        <v>178.66</v>
      </c>
      <c r="C1308" s="52">
        <v>169.19</v>
      </c>
      <c r="D1308" s="52">
        <v>170.99</v>
      </c>
      <c r="E1308" s="52">
        <v>1628421</v>
      </c>
      <c r="F1308" s="52" t="s">
        <v>1315</v>
      </c>
      <c r="G1308" s="25">
        <f t="shared" si="19"/>
        <v>-8.4800280718171361E-3</v>
      </c>
    </row>
    <row r="1309" spans="1:7">
      <c r="A1309" s="52">
        <v>167.24</v>
      </c>
      <c r="B1309" s="52">
        <v>167.58</v>
      </c>
      <c r="C1309" s="52">
        <v>160.52000000000001</v>
      </c>
      <c r="D1309" s="52">
        <v>161</v>
      </c>
      <c r="E1309" s="52">
        <v>1399964</v>
      </c>
      <c r="F1309" s="52" t="s">
        <v>1316</v>
      </c>
      <c r="G1309" s="25">
        <f t="shared" si="19"/>
        <v>3.875776397515529E-2</v>
      </c>
    </row>
    <row r="1310" spans="1:7">
      <c r="A1310" s="52">
        <v>160</v>
      </c>
      <c r="B1310" s="52">
        <v>162.88</v>
      </c>
      <c r="C1310" s="52">
        <v>157.12</v>
      </c>
      <c r="D1310" s="52">
        <v>158.91</v>
      </c>
      <c r="E1310" s="52">
        <v>576236</v>
      </c>
      <c r="F1310" s="52" t="s">
        <v>1317</v>
      </c>
      <c r="G1310" s="25">
        <f t="shared" si="19"/>
        <v>6.8592284941162429E-3</v>
      </c>
    </row>
    <row r="1311" spans="1:7">
      <c r="A1311" s="52">
        <v>159.30000000000001</v>
      </c>
      <c r="B1311" s="52">
        <v>160</v>
      </c>
      <c r="C1311" s="52">
        <v>154.11000000000001</v>
      </c>
      <c r="D1311" s="52">
        <v>157.53</v>
      </c>
      <c r="E1311" s="52">
        <v>559662</v>
      </c>
      <c r="F1311" s="52" t="s">
        <v>1318</v>
      </c>
      <c r="G1311" s="25">
        <f t="shared" si="19"/>
        <v>1.1235955056179803E-2</v>
      </c>
    </row>
    <row r="1312" spans="1:7">
      <c r="A1312" s="52">
        <v>156.81</v>
      </c>
      <c r="B1312" s="52">
        <v>161.81</v>
      </c>
      <c r="C1312" s="52">
        <v>151.05000000000001</v>
      </c>
      <c r="D1312" s="52">
        <v>151.6</v>
      </c>
      <c r="E1312" s="52">
        <v>787475</v>
      </c>
      <c r="F1312" s="52" t="s">
        <v>1319</v>
      </c>
      <c r="G1312" s="25">
        <f t="shared" si="19"/>
        <v>3.436675461741423E-2</v>
      </c>
    </row>
    <row r="1313" spans="1:7">
      <c r="A1313" s="52">
        <v>151.05000000000001</v>
      </c>
      <c r="B1313" s="52">
        <v>157.99</v>
      </c>
      <c r="C1313" s="52">
        <v>146.33000000000001</v>
      </c>
      <c r="D1313" s="52">
        <v>154.99</v>
      </c>
      <c r="E1313" s="52">
        <v>1396774</v>
      </c>
      <c r="F1313" s="52" t="s">
        <v>1320</v>
      </c>
      <c r="G1313" s="25">
        <f t="shared" si="19"/>
        <v>-2.5420994902896954E-2</v>
      </c>
    </row>
    <row r="1314" spans="1:7">
      <c r="A1314" s="52">
        <v>158.13</v>
      </c>
      <c r="B1314" s="52">
        <v>159.72</v>
      </c>
      <c r="C1314" s="52">
        <v>153.01349999999999</v>
      </c>
      <c r="D1314" s="52">
        <v>153.78</v>
      </c>
      <c r="E1314" s="52">
        <v>690095</v>
      </c>
      <c r="F1314" s="52" t="s">
        <v>1321</v>
      </c>
      <c r="G1314" s="25">
        <f t="shared" si="19"/>
        <v>2.8287163480296584E-2</v>
      </c>
    </row>
    <row r="1315" spans="1:7">
      <c r="A1315" s="52">
        <v>153.33000000000001</v>
      </c>
      <c r="B1315" s="52">
        <v>155.5</v>
      </c>
      <c r="C1315" s="52">
        <v>151</v>
      </c>
      <c r="D1315" s="52">
        <v>151.01</v>
      </c>
      <c r="E1315" s="52">
        <v>698296</v>
      </c>
      <c r="F1315" s="52" t="s">
        <v>1322</v>
      </c>
      <c r="G1315" s="25">
        <f t="shared" si="19"/>
        <v>1.5363220978743319E-2</v>
      </c>
    </row>
    <row r="1316" spans="1:7">
      <c r="A1316" s="52">
        <v>149.97</v>
      </c>
      <c r="B1316" s="52">
        <v>150.49</v>
      </c>
      <c r="C1316" s="52">
        <v>143.25</v>
      </c>
      <c r="D1316" s="52">
        <v>145.1</v>
      </c>
      <c r="E1316" s="52">
        <v>615640</v>
      </c>
      <c r="F1316" s="52" t="s">
        <v>1323</v>
      </c>
      <c r="G1316" s="25">
        <f t="shared" si="19"/>
        <v>3.3563059958649166E-2</v>
      </c>
    </row>
    <row r="1317" spans="1:7">
      <c r="A1317" s="52">
        <v>145.94</v>
      </c>
      <c r="B1317" s="52">
        <v>147.22</v>
      </c>
      <c r="C1317" s="52">
        <v>140</v>
      </c>
      <c r="D1317" s="52">
        <v>141.31</v>
      </c>
      <c r="E1317" s="52">
        <v>598059</v>
      </c>
      <c r="F1317" s="52" t="s">
        <v>1324</v>
      </c>
      <c r="G1317" s="25">
        <f t="shared" si="19"/>
        <v>3.2764843252423681E-2</v>
      </c>
    </row>
    <row r="1318" spans="1:7">
      <c r="A1318" s="52">
        <v>140.86000000000001</v>
      </c>
      <c r="B1318" s="52">
        <v>141.785</v>
      </c>
      <c r="C1318" s="52">
        <v>137.87</v>
      </c>
      <c r="D1318" s="52">
        <v>139.5</v>
      </c>
      <c r="E1318" s="52">
        <v>579242</v>
      </c>
      <c r="F1318" s="52" t="s">
        <v>1325</v>
      </c>
      <c r="G1318" s="25">
        <f t="shared" si="19"/>
        <v>9.7491039426524928E-3</v>
      </c>
    </row>
    <row r="1319" spans="1:7">
      <c r="A1319" s="52">
        <v>139.15</v>
      </c>
      <c r="B1319" s="52">
        <v>139.84</v>
      </c>
      <c r="C1319" s="52">
        <v>135.92500000000001</v>
      </c>
      <c r="D1319" s="52">
        <v>136.88999999999999</v>
      </c>
      <c r="E1319" s="52">
        <v>194866</v>
      </c>
      <c r="F1319" s="52" t="s">
        <v>1326</v>
      </c>
      <c r="G1319" s="25">
        <f t="shared" si="19"/>
        <v>1.6509606253196196E-2</v>
      </c>
    </row>
    <row r="1320" spans="1:7">
      <c r="A1320" s="52">
        <v>135.72</v>
      </c>
      <c r="B1320" s="52">
        <v>136.5</v>
      </c>
      <c r="C1320" s="52">
        <v>133.07</v>
      </c>
      <c r="D1320" s="52">
        <v>136.5</v>
      </c>
      <c r="E1320" s="52">
        <v>254117</v>
      </c>
      <c r="F1320" s="52" t="s">
        <v>1327</v>
      </c>
      <c r="G1320" s="25">
        <f t="shared" si="19"/>
        <v>-5.7142857142856718E-3</v>
      </c>
    </row>
    <row r="1321" spans="1:7">
      <c r="A1321" s="52">
        <v>135.11000000000001</v>
      </c>
      <c r="B1321" s="52">
        <v>136.81</v>
      </c>
      <c r="C1321" s="52">
        <v>133.12</v>
      </c>
      <c r="D1321" s="52">
        <v>134.84</v>
      </c>
      <c r="E1321" s="52">
        <v>484982</v>
      </c>
      <c r="F1321" s="52" t="s">
        <v>1328</v>
      </c>
      <c r="G1321" s="25">
        <f t="shared" si="19"/>
        <v>2.0023731830318692E-3</v>
      </c>
    </row>
    <row r="1322" spans="1:7">
      <c r="A1322" s="52">
        <v>134.49</v>
      </c>
      <c r="B1322" s="52">
        <v>134.75</v>
      </c>
      <c r="C1322" s="52">
        <v>128.6</v>
      </c>
      <c r="D1322" s="52">
        <v>132.01</v>
      </c>
      <c r="E1322" s="52">
        <v>415639</v>
      </c>
      <c r="F1322" s="52" t="s">
        <v>1329</v>
      </c>
      <c r="G1322" s="25">
        <f t="shared" si="19"/>
        <v>1.8786455571547789E-2</v>
      </c>
    </row>
    <row r="1323" spans="1:7">
      <c r="A1323" s="52">
        <v>131.18</v>
      </c>
      <c r="B1323" s="52">
        <v>135</v>
      </c>
      <c r="C1323" s="52">
        <v>130.69</v>
      </c>
      <c r="D1323" s="52">
        <v>134.66999999999999</v>
      </c>
      <c r="E1323" s="52">
        <v>455304</v>
      </c>
      <c r="F1323" s="52" t="s">
        <v>1330</v>
      </c>
      <c r="G1323" s="25">
        <f t="shared" si="19"/>
        <v>-2.5915200118808768E-2</v>
      </c>
    </row>
    <row r="1324" spans="1:7">
      <c r="A1324" s="52">
        <v>134.41999999999999</v>
      </c>
      <c r="B1324" s="52">
        <v>136.4</v>
      </c>
      <c r="C1324" s="52">
        <v>131.64500000000001</v>
      </c>
      <c r="D1324" s="52">
        <v>132.65</v>
      </c>
      <c r="E1324" s="52">
        <v>591765</v>
      </c>
      <c r="F1324" s="52" t="s">
        <v>1331</v>
      </c>
      <c r="G1324" s="25">
        <f t="shared" si="19"/>
        <v>1.3343384847342543E-2</v>
      </c>
    </row>
    <row r="1325" spans="1:7">
      <c r="A1325" s="52">
        <v>132.71</v>
      </c>
      <c r="B1325" s="52">
        <v>140.37</v>
      </c>
      <c r="C1325" s="52">
        <v>132.41</v>
      </c>
      <c r="D1325" s="52">
        <v>140.16999999999999</v>
      </c>
      <c r="E1325" s="52">
        <v>577053</v>
      </c>
      <c r="F1325" s="52" t="s">
        <v>1332</v>
      </c>
      <c r="G1325" s="25">
        <f t="shared" si="19"/>
        <v>-5.3221088678033657E-2</v>
      </c>
    </row>
    <row r="1326" spans="1:7">
      <c r="A1326" s="52">
        <v>139.75</v>
      </c>
      <c r="B1326" s="52">
        <v>140.83000000000001</v>
      </c>
      <c r="C1326" s="52">
        <v>136.65</v>
      </c>
      <c r="D1326" s="52">
        <v>140.04</v>
      </c>
      <c r="E1326" s="52">
        <v>530276</v>
      </c>
      <c r="F1326" s="52" t="s">
        <v>1333</v>
      </c>
      <c r="G1326" s="25">
        <f t="shared" si="19"/>
        <v>-2.0708369037417684E-3</v>
      </c>
    </row>
    <row r="1327" spans="1:7">
      <c r="A1327" s="52">
        <v>139.69999999999999</v>
      </c>
      <c r="B1327" s="52">
        <v>143.215</v>
      </c>
      <c r="C1327" s="52">
        <v>139.09</v>
      </c>
      <c r="D1327" s="52">
        <v>142.97999999999999</v>
      </c>
      <c r="E1327" s="52">
        <v>566550</v>
      </c>
      <c r="F1327" s="52" t="s">
        <v>1334</v>
      </c>
      <c r="G1327" s="25">
        <f t="shared" si="19"/>
        <v>-2.2940271366624687E-2</v>
      </c>
    </row>
    <row r="1328" spans="1:7">
      <c r="A1328" s="52">
        <v>141.4</v>
      </c>
      <c r="B1328" s="52">
        <v>142.76499999999999</v>
      </c>
      <c r="C1328" s="52">
        <v>138.01</v>
      </c>
      <c r="D1328" s="52">
        <v>139.62</v>
      </c>
      <c r="E1328" s="52">
        <v>481949</v>
      </c>
      <c r="F1328" s="52" t="s">
        <v>1335</v>
      </c>
      <c r="G1328" s="25">
        <f t="shared" si="19"/>
        <v>1.274888984386191E-2</v>
      </c>
    </row>
    <row r="1329" spans="1:7">
      <c r="A1329" s="52">
        <v>138.86000000000001</v>
      </c>
      <c r="B1329" s="52">
        <v>139.9</v>
      </c>
      <c r="C1329" s="52">
        <v>132.59</v>
      </c>
      <c r="D1329" s="52">
        <v>134.63999999999999</v>
      </c>
      <c r="E1329" s="52">
        <v>694154</v>
      </c>
      <c r="F1329" s="52" t="s">
        <v>1336</v>
      </c>
      <c r="G1329" s="25">
        <f t="shared" si="19"/>
        <v>3.134284016636979E-2</v>
      </c>
    </row>
    <row r="1330" spans="1:7">
      <c r="A1330" s="52">
        <v>134.72999999999999</v>
      </c>
      <c r="B1330" s="52">
        <v>134.76</v>
      </c>
      <c r="C1330" s="52">
        <v>128.69999999999999</v>
      </c>
      <c r="D1330" s="52">
        <v>128.69999999999999</v>
      </c>
      <c r="E1330" s="52">
        <v>813282</v>
      </c>
      <c r="F1330" s="52" t="s">
        <v>1337</v>
      </c>
      <c r="G1330" s="25">
        <f t="shared" si="19"/>
        <v>4.6853146853146788E-2</v>
      </c>
    </row>
    <row r="1331" spans="1:7">
      <c r="A1331" s="52">
        <v>128.38</v>
      </c>
      <c r="B1331" s="52">
        <v>128.71</v>
      </c>
      <c r="C1331" s="52">
        <v>122.38</v>
      </c>
      <c r="D1331" s="52">
        <v>125.35</v>
      </c>
      <c r="E1331" s="52">
        <v>1069722</v>
      </c>
      <c r="F1331" s="52" t="s">
        <v>1338</v>
      </c>
      <c r="G1331" s="25">
        <f t="shared" si="19"/>
        <v>2.4172317510969377E-2</v>
      </c>
    </row>
    <row r="1332" spans="1:7">
      <c r="A1332" s="52">
        <v>125.56</v>
      </c>
      <c r="B1332" s="52">
        <v>130.79</v>
      </c>
      <c r="C1332" s="52">
        <v>124.12</v>
      </c>
      <c r="D1332" s="52">
        <v>129.34</v>
      </c>
      <c r="E1332" s="52">
        <v>1548092</v>
      </c>
      <c r="F1332" s="52" t="s">
        <v>1339</v>
      </c>
      <c r="G1332" s="25">
        <f t="shared" ref="G1332:G1395" si="20">A1332/D1332-1</f>
        <v>-2.9225297665068872E-2</v>
      </c>
    </row>
    <row r="1333" spans="1:7">
      <c r="A1333" s="52">
        <v>125.66</v>
      </c>
      <c r="B1333" s="52">
        <v>142.88</v>
      </c>
      <c r="C1333" s="52">
        <v>123.5</v>
      </c>
      <c r="D1333" s="52">
        <v>139.5</v>
      </c>
      <c r="E1333" s="52">
        <v>4490541</v>
      </c>
      <c r="F1333" s="52" t="s">
        <v>1340</v>
      </c>
      <c r="G1333" s="25">
        <f t="shared" si="20"/>
        <v>-9.9211469534050245E-2</v>
      </c>
    </row>
    <row r="1334" spans="1:7">
      <c r="A1334" s="52">
        <v>145.15</v>
      </c>
      <c r="B1334" s="52">
        <v>154.99</v>
      </c>
      <c r="C1334" s="52">
        <v>144.16</v>
      </c>
      <c r="D1334" s="52">
        <v>154.13999999999999</v>
      </c>
      <c r="E1334" s="52">
        <v>986326</v>
      </c>
      <c r="F1334" s="52" t="s">
        <v>1341</v>
      </c>
      <c r="G1334" s="25">
        <f t="shared" si="20"/>
        <v>-5.8323601920332035E-2</v>
      </c>
    </row>
    <row r="1335" spans="1:7">
      <c r="A1335" s="52">
        <v>151.9</v>
      </c>
      <c r="B1335" s="52">
        <v>153.97</v>
      </c>
      <c r="C1335" s="52">
        <v>143.05000000000001</v>
      </c>
      <c r="D1335" s="52">
        <v>143.55000000000001</v>
      </c>
      <c r="E1335" s="52">
        <v>934276</v>
      </c>
      <c r="F1335" s="52" t="s">
        <v>1342</v>
      </c>
      <c r="G1335" s="25">
        <f t="shared" si="20"/>
        <v>5.8167885754092596E-2</v>
      </c>
    </row>
    <row r="1336" spans="1:7">
      <c r="A1336" s="52">
        <v>141.34</v>
      </c>
      <c r="B1336" s="52">
        <v>142.965</v>
      </c>
      <c r="C1336" s="52">
        <v>135.69999999999999</v>
      </c>
      <c r="D1336" s="52">
        <v>138.72999999999999</v>
      </c>
      <c r="E1336" s="52">
        <v>614922</v>
      </c>
      <c r="F1336" s="52" t="s">
        <v>1343</v>
      </c>
      <c r="G1336" s="25">
        <f t="shared" si="20"/>
        <v>1.8813522669934413E-2</v>
      </c>
    </row>
    <row r="1337" spans="1:7">
      <c r="A1337" s="52">
        <v>137.29</v>
      </c>
      <c r="B1337" s="52">
        <v>138.03</v>
      </c>
      <c r="C1337" s="52">
        <v>133.55500000000001</v>
      </c>
      <c r="D1337" s="52">
        <v>137.05000000000001</v>
      </c>
      <c r="E1337" s="52">
        <v>494497</v>
      </c>
      <c r="F1337" s="52" t="s">
        <v>1344</v>
      </c>
      <c r="G1337" s="25">
        <f t="shared" si="20"/>
        <v>1.7511856986500707E-3</v>
      </c>
    </row>
    <row r="1338" spans="1:7">
      <c r="A1338" s="52">
        <v>135.91</v>
      </c>
      <c r="B1338" s="52">
        <v>141.53</v>
      </c>
      <c r="C1338" s="52">
        <v>134.13999999999999</v>
      </c>
      <c r="D1338" s="52">
        <v>140.36000000000001</v>
      </c>
      <c r="E1338" s="52">
        <v>723170</v>
      </c>
      <c r="F1338" s="52" t="s">
        <v>1345</v>
      </c>
      <c r="G1338" s="25">
        <f t="shared" si="20"/>
        <v>-3.1704189227700352E-2</v>
      </c>
    </row>
    <row r="1339" spans="1:7">
      <c r="A1339" s="52">
        <v>141.49</v>
      </c>
      <c r="B1339" s="52">
        <v>141.97999999999999</v>
      </c>
      <c r="C1339" s="52">
        <v>136.66</v>
      </c>
      <c r="D1339" s="52">
        <v>141.16999999999999</v>
      </c>
      <c r="E1339" s="52">
        <v>480238</v>
      </c>
      <c r="F1339" s="52" t="s">
        <v>1346</v>
      </c>
      <c r="G1339" s="25">
        <f t="shared" si="20"/>
        <v>2.2667705603174326E-3</v>
      </c>
    </row>
    <row r="1340" spans="1:7">
      <c r="A1340" s="52">
        <v>140.33000000000001</v>
      </c>
      <c r="B1340" s="52">
        <v>141.80000000000001</v>
      </c>
      <c r="C1340" s="52">
        <v>137.01</v>
      </c>
      <c r="D1340" s="52">
        <v>139.2182</v>
      </c>
      <c r="E1340" s="52">
        <v>446583</v>
      </c>
      <c r="F1340" s="52" t="s">
        <v>1347</v>
      </c>
      <c r="G1340" s="25">
        <f t="shared" si="20"/>
        <v>7.9860248157210822E-3</v>
      </c>
    </row>
    <row r="1341" spans="1:7">
      <c r="A1341" s="52">
        <v>139.62</v>
      </c>
      <c r="B1341" s="52">
        <v>140.90989999999999</v>
      </c>
      <c r="C1341" s="52">
        <v>137.3443</v>
      </c>
      <c r="D1341" s="52">
        <v>139.63</v>
      </c>
      <c r="E1341" s="52">
        <v>440570</v>
      </c>
      <c r="F1341" s="52" t="s">
        <v>1348</v>
      </c>
      <c r="G1341" s="25">
        <f t="shared" si="20"/>
        <v>-7.1617847167471105E-5</v>
      </c>
    </row>
    <row r="1342" spans="1:7">
      <c r="A1342" s="52">
        <v>138.62</v>
      </c>
      <c r="B1342" s="52">
        <v>140.19999999999999</v>
      </c>
      <c r="C1342" s="52">
        <v>136</v>
      </c>
      <c r="D1342" s="52">
        <v>136.82</v>
      </c>
      <c r="E1342" s="52">
        <v>358441</v>
      </c>
      <c r="F1342" s="52" t="s">
        <v>1349</v>
      </c>
      <c r="G1342" s="25">
        <f t="shared" si="20"/>
        <v>1.3155971349217976E-2</v>
      </c>
    </row>
    <row r="1343" spans="1:7">
      <c r="A1343" s="52">
        <v>137.72999999999999</v>
      </c>
      <c r="B1343" s="52">
        <v>138.56</v>
      </c>
      <c r="C1343" s="52">
        <v>135.1</v>
      </c>
      <c r="D1343" s="52">
        <v>137.41</v>
      </c>
      <c r="E1343" s="52">
        <v>372417</v>
      </c>
      <c r="F1343" s="52" t="s">
        <v>1350</v>
      </c>
      <c r="G1343" s="25">
        <f t="shared" si="20"/>
        <v>2.3287970307837025E-3</v>
      </c>
    </row>
    <row r="1344" spans="1:7">
      <c r="A1344" s="52">
        <v>137.80000000000001</v>
      </c>
      <c r="B1344" s="52">
        <v>141.32</v>
      </c>
      <c r="C1344" s="52">
        <v>137.47</v>
      </c>
      <c r="D1344" s="52">
        <v>138.12</v>
      </c>
      <c r="E1344" s="52">
        <v>512842</v>
      </c>
      <c r="F1344" s="52" t="s">
        <v>1351</v>
      </c>
      <c r="G1344" s="25">
        <f t="shared" si="20"/>
        <v>-2.3168259484506182E-3</v>
      </c>
    </row>
    <row r="1345" spans="1:7">
      <c r="A1345" s="52">
        <v>137.26</v>
      </c>
      <c r="B1345" s="52">
        <v>139.31</v>
      </c>
      <c r="C1345" s="52">
        <v>136.24</v>
      </c>
      <c r="D1345" s="52">
        <v>136.62</v>
      </c>
      <c r="E1345" s="52">
        <v>332254</v>
      </c>
      <c r="F1345" s="52" t="s">
        <v>1352</v>
      </c>
      <c r="G1345" s="25">
        <f t="shared" si="20"/>
        <v>4.6845264236567985E-3</v>
      </c>
    </row>
    <row r="1346" spans="1:7">
      <c r="A1346" s="52">
        <v>137.5</v>
      </c>
      <c r="B1346" s="52">
        <v>141.99</v>
      </c>
      <c r="C1346" s="52">
        <v>137.13999999999999</v>
      </c>
      <c r="D1346" s="52">
        <v>141.91</v>
      </c>
      <c r="E1346" s="52">
        <v>510817</v>
      </c>
      <c r="F1346" s="52" t="s">
        <v>1353</v>
      </c>
      <c r="G1346" s="25">
        <f t="shared" si="20"/>
        <v>-3.1076034106123585E-2</v>
      </c>
    </row>
    <row r="1347" spans="1:7">
      <c r="A1347" s="52">
        <v>140.79</v>
      </c>
      <c r="B1347" s="52">
        <v>143.69999999999999</v>
      </c>
      <c r="C1347" s="52">
        <v>140</v>
      </c>
      <c r="D1347" s="52">
        <v>143</v>
      </c>
      <c r="E1347" s="52">
        <v>291673</v>
      </c>
      <c r="F1347" s="52" t="s">
        <v>1354</v>
      </c>
      <c r="G1347" s="25">
        <f t="shared" si="20"/>
        <v>-1.5454545454545499E-2</v>
      </c>
    </row>
    <row r="1348" spans="1:7">
      <c r="A1348" s="52">
        <v>142.41999999999999</v>
      </c>
      <c r="B1348" s="52">
        <v>145.66</v>
      </c>
      <c r="C1348" s="52">
        <v>142.26</v>
      </c>
      <c r="D1348" s="52">
        <v>143.34</v>
      </c>
      <c r="E1348" s="52">
        <v>421460</v>
      </c>
      <c r="F1348" s="52" t="s">
        <v>1355</v>
      </c>
      <c r="G1348" s="25">
        <f t="shared" si="20"/>
        <v>-6.4183061252965912E-3</v>
      </c>
    </row>
    <row r="1349" spans="1:7">
      <c r="A1349" s="52">
        <v>143.33000000000001</v>
      </c>
      <c r="B1349" s="52">
        <v>145.69999999999999</v>
      </c>
      <c r="C1349" s="52">
        <v>141.97999999999999</v>
      </c>
      <c r="D1349" s="52">
        <v>144.11000000000001</v>
      </c>
      <c r="E1349" s="52">
        <v>411003</v>
      </c>
      <c r="F1349" s="52" t="s">
        <v>1356</v>
      </c>
      <c r="G1349" s="25">
        <f t="shared" si="20"/>
        <v>-5.4125320935396459E-3</v>
      </c>
    </row>
    <row r="1350" spans="1:7">
      <c r="A1350" s="52">
        <v>145.12</v>
      </c>
      <c r="B1350" s="52">
        <v>149.65</v>
      </c>
      <c r="C1350" s="52">
        <v>145.12</v>
      </c>
      <c r="D1350" s="52">
        <v>147.99</v>
      </c>
      <c r="E1350" s="52">
        <v>418334</v>
      </c>
      <c r="F1350" s="52" t="s">
        <v>1357</v>
      </c>
      <c r="G1350" s="25">
        <f t="shared" si="20"/>
        <v>-1.9393202243394803E-2</v>
      </c>
    </row>
    <row r="1351" spans="1:7">
      <c r="A1351" s="52">
        <v>147.26</v>
      </c>
      <c r="B1351" s="52">
        <v>147.88999999999999</v>
      </c>
      <c r="C1351" s="52">
        <v>142.37010000000001</v>
      </c>
      <c r="D1351" s="52">
        <v>144.09</v>
      </c>
      <c r="E1351" s="52">
        <v>410145</v>
      </c>
      <c r="F1351" s="52" t="s">
        <v>1358</v>
      </c>
      <c r="G1351" s="25">
        <f t="shared" si="20"/>
        <v>2.2000138802137359E-2</v>
      </c>
    </row>
    <row r="1352" spans="1:7">
      <c r="A1352" s="52">
        <v>142.87</v>
      </c>
      <c r="B1352" s="52">
        <v>146.50800000000001</v>
      </c>
      <c r="C1352" s="52">
        <v>142.72999999999999</v>
      </c>
      <c r="D1352" s="52">
        <v>145.22</v>
      </c>
      <c r="E1352" s="52">
        <v>284006</v>
      </c>
      <c r="F1352" s="52" t="s">
        <v>1359</v>
      </c>
      <c r="G1352" s="25">
        <f t="shared" si="20"/>
        <v>-1.6182344029747942E-2</v>
      </c>
    </row>
    <row r="1353" spans="1:7">
      <c r="A1353" s="52">
        <v>143.58000000000001</v>
      </c>
      <c r="B1353" s="52">
        <v>145.99</v>
      </c>
      <c r="C1353" s="52">
        <v>142.47999999999999</v>
      </c>
      <c r="D1353" s="52">
        <v>144.22</v>
      </c>
      <c r="E1353" s="52">
        <v>309981</v>
      </c>
      <c r="F1353" s="52" t="s">
        <v>1360</v>
      </c>
      <c r="G1353" s="25">
        <f t="shared" si="20"/>
        <v>-4.4376646789625607E-3</v>
      </c>
    </row>
    <row r="1354" spans="1:7">
      <c r="A1354" s="52">
        <v>144.69999999999999</v>
      </c>
      <c r="B1354" s="52">
        <v>146.96</v>
      </c>
      <c r="C1354" s="52">
        <v>144.26</v>
      </c>
      <c r="D1354" s="52">
        <v>146.63</v>
      </c>
      <c r="E1354" s="52">
        <v>432155</v>
      </c>
      <c r="F1354" s="52" t="s">
        <v>1361</v>
      </c>
      <c r="G1354" s="25">
        <f t="shared" si="20"/>
        <v>-1.3162381504467024E-2</v>
      </c>
    </row>
    <row r="1355" spans="1:7">
      <c r="A1355" s="52">
        <v>145.86000000000001</v>
      </c>
      <c r="B1355" s="52">
        <v>146.78</v>
      </c>
      <c r="C1355" s="52">
        <v>139.83160000000001</v>
      </c>
      <c r="D1355" s="52">
        <v>140</v>
      </c>
      <c r="E1355" s="52">
        <v>1136828</v>
      </c>
      <c r="F1355" s="52" t="s">
        <v>1362</v>
      </c>
      <c r="G1355" s="25">
        <f t="shared" si="20"/>
        <v>4.1857142857143037E-2</v>
      </c>
    </row>
    <row r="1356" spans="1:7">
      <c r="A1356" s="52">
        <v>139.5</v>
      </c>
      <c r="B1356" s="52">
        <v>140.43</v>
      </c>
      <c r="C1356" s="52">
        <v>137.9</v>
      </c>
      <c r="D1356" s="52">
        <v>139</v>
      </c>
      <c r="E1356" s="52">
        <v>436001</v>
      </c>
      <c r="F1356" s="52" t="s">
        <v>1363</v>
      </c>
      <c r="G1356" s="25">
        <f t="shared" si="20"/>
        <v>3.597122302158251E-3</v>
      </c>
    </row>
    <row r="1357" spans="1:7">
      <c r="A1357" s="52">
        <v>138.80000000000001</v>
      </c>
      <c r="B1357" s="52">
        <v>140.755</v>
      </c>
      <c r="C1357" s="52">
        <v>136.02000000000001</v>
      </c>
      <c r="D1357" s="52">
        <v>136.05000000000001</v>
      </c>
      <c r="E1357" s="52">
        <v>592876</v>
      </c>
      <c r="F1357" s="52" t="s">
        <v>1364</v>
      </c>
      <c r="G1357" s="25">
        <f t="shared" si="20"/>
        <v>2.0213156927600062E-2</v>
      </c>
    </row>
    <row r="1358" spans="1:7">
      <c r="A1358" s="52">
        <v>134.79</v>
      </c>
      <c r="B1358" s="52">
        <v>140.77000000000001</v>
      </c>
      <c r="C1358" s="52">
        <v>134.61000000000001</v>
      </c>
      <c r="D1358" s="52">
        <v>138.85</v>
      </c>
      <c r="E1358" s="52">
        <v>653408</v>
      </c>
      <c r="F1358" s="52" t="s">
        <v>1365</v>
      </c>
      <c r="G1358" s="25">
        <f t="shared" si="20"/>
        <v>-2.9240187252430716E-2</v>
      </c>
    </row>
    <row r="1359" spans="1:7">
      <c r="A1359" s="52">
        <v>141.55000000000001</v>
      </c>
      <c r="B1359" s="52">
        <v>142.65</v>
      </c>
      <c r="C1359" s="52">
        <v>139.13</v>
      </c>
      <c r="D1359" s="52">
        <v>140.38</v>
      </c>
      <c r="E1359" s="52">
        <v>441429</v>
      </c>
      <c r="F1359" s="52" t="s">
        <v>1366</v>
      </c>
      <c r="G1359" s="25">
        <f t="shared" si="20"/>
        <v>8.3345205869782557E-3</v>
      </c>
    </row>
    <row r="1360" spans="1:7">
      <c r="A1360" s="52">
        <v>140.43</v>
      </c>
      <c r="B1360" s="52">
        <v>144.80000000000001</v>
      </c>
      <c r="C1360" s="52">
        <v>139.52000000000001</v>
      </c>
      <c r="D1360" s="52">
        <v>141.65</v>
      </c>
      <c r="E1360" s="52">
        <v>387496</v>
      </c>
      <c r="F1360" s="52" t="s">
        <v>1367</v>
      </c>
      <c r="G1360" s="25">
        <f t="shared" si="20"/>
        <v>-8.6127779738792709E-3</v>
      </c>
    </row>
    <row r="1361" spans="1:7">
      <c r="A1361" s="52">
        <v>141.28</v>
      </c>
      <c r="B1361" s="52">
        <v>143.76</v>
      </c>
      <c r="C1361" s="52">
        <v>140.02000000000001</v>
      </c>
      <c r="D1361" s="52">
        <v>143.15</v>
      </c>
      <c r="E1361" s="52">
        <v>540937</v>
      </c>
      <c r="F1361" s="52" t="s">
        <v>1368</v>
      </c>
      <c r="G1361" s="25">
        <f t="shared" si="20"/>
        <v>-1.306322039818375E-2</v>
      </c>
    </row>
    <row r="1362" spans="1:7">
      <c r="A1362" s="52">
        <v>143.19999999999999</v>
      </c>
      <c r="B1362" s="52">
        <v>150</v>
      </c>
      <c r="C1362" s="52">
        <v>140.53</v>
      </c>
      <c r="D1362" s="52">
        <v>146.02000000000001</v>
      </c>
      <c r="E1362" s="52">
        <v>515056</v>
      </c>
      <c r="F1362" s="52" t="s">
        <v>1369</v>
      </c>
      <c r="G1362" s="25">
        <f t="shared" si="20"/>
        <v>-1.9312422955759634E-2</v>
      </c>
    </row>
    <row r="1363" spans="1:7">
      <c r="A1363" s="52">
        <v>144</v>
      </c>
      <c r="B1363" s="52">
        <v>145.54</v>
      </c>
      <c r="C1363" s="52">
        <v>135.01009999999999</v>
      </c>
      <c r="D1363" s="52">
        <v>137.96</v>
      </c>
      <c r="E1363" s="52">
        <v>735551</v>
      </c>
      <c r="F1363" s="52" t="s">
        <v>1370</v>
      </c>
      <c r="G1363" s="25">
        <f t="shared" si="20"/>
        <v>4.3780806030733421E-2</v>
      </c>
    </row>
    <row r="1364" spans="1:7">
      <c r="A1364" s="52">
        <v>137.76</v>
      </c>
      <c r="B1364" s="52">
        <v>143.53</v>
      </c>
      <c r="C1364" s="52">
        <v>134.52000000000001</v>
      </c>
      <c r="D1364" s="52">
        <v>142.35</v>
      </c>
      <c r="E1364" s="52">
        <v>969932</v>
      </c>
      <c r="F1364" s="52" t="s">
        <v>1371</v>
      </c>
      <c r="G1364" s="25">
        <f t="shared" si="20"/>
        <v>-3.224446786090629E-2</v>
      </c>
    </row>
    <row r="1365" spans="1:7">
      <c r="A1365" s="52">
        <v>143.96</v>
      </c>
      <c r="B1365" s="52">
        <v>150</v>
      </c>
      <c r="C1365" s="52">
        <v>143.88</v>
      </c>
      <c r="D1365" s="52">
        <v>146.46</v>
      </c>
      <c r="E1365" s="52">
        <v>646207</v>
      </c>
      <c r="F1365" s="52" t="s">
        <v>1372</v>
      </c>
      <c r="G1365" s="25">
        <f t="shared" si="20"/>
        <v>-1.7069507032636877E-2</v>
      </c>
    </row>
    <row r="1366" spans="1:7">
      <c r="A1366" s="52">
        <v>146.31</v>
      </c>
      <c r="B1366" s="52">
        <v>146.60499999999999</v>
      </c>
      <c r="C1366" s="52">
        <v>140.94</v>
      </c>
      <c r="D1366" s="52">
        <v>143.99</v>
      </c>
      <c r="E1366" s="52">
        <v>402835</v>
      </c>
      <c r="F1366" s="52" t="s">
        <v>1373</v>
      </c>
      <c r="G1366" s="25">
        <f t="shared" si="20"/>
        <v>1.6112230015973283E-2</v>
      </c>
    </row>
    <row r="1367" spans="1:7">
      <c r="A1367" s="52">
        <v>142.84</v>
      </c>
      <c r="B1367" s="52">
        <v>143.58000000000001</v>
      </c>
      <c r="C1367" s="52">
        <v>140.46</v>
      </c>
      <c r="D1367" s="52">
        <v>143.58000000000001</v>
      </c>
      <c r="E1367" s="52">
        <v>569706</v>
      </c>
      <c r="F1367" s="52" t="s">
        <v>1374</v>
      </c>
      <c r="G1367" s="25">
        <f t="shared" si="20"/>
        <v>-5.1539211589358702E-3</v>
      </c>
    </row>
    <row r="1368" spans="1:7">
      <c r="A1368" s="52">
        <v>144.53</v>
      </c>
      <c r="B1368" s="52">
        <v>145.97999999999999</v>
      </c>
      <c r="C1368" s="52">
        <v>141.72</v>
      </c>
      <c r="D1368" s="52">
        <v>145.22</v>
      </c>
      <c r="E1368" s="52">
        <v>1433274</v>
      </c>
      <c r="F1368" s="52" t="s">
        <v>1375</v>
      </c>
      <c r="G1368" s="25">
        <f t="shared" si="20"/>
        <v>-4.7514116512876736E-3</v>
      </c>
    </row>
    <row r="1369" spans="1:7">
      <c r="A1369" s="52">
        <v>144.03</v>
      </c>
      <c r="B1369" s="52">
        <v>145.38999999999999</v>
      </c>
      <c r="C1369" s="52">
        <v>140.36000000000001</v>
      </c>
      <c r="D1369" s="52">
        <v>142.02000000000001</v>
      </c>
      <c r="E1369" s="52">
        <v>496517</v>
      </c>
      <c r="F1369" s="52" t="s">
        <v>1376</v>
      </c>
      <c r="G1369" s="25">
        <f t="shared" si="20"/>
        <v>1.4152936206168087E-2</v>
      </c>
    </row>
    <row r="1370" spans="1:7">
      <c r="A1370" s="52">
        <v>143.94999999999999</v>
      </c>
      <c r="B1370" s="52">
        <v>146.39500000000001</v>
      </c>
      <c r="C1370" s="52">
        <v>143.03</v>
      </c>
      <c r="D1370" s="52">
        <v>143.72</v>
      </c>
      <c r="E1370" s="52">
        <v>793790</v>
      </c>
      <c r="F1370" s="52" t="s">
        <v>1377</v>
      </c>
      <c r="G1370" s="25">
        <f t="shared" si="20"/>
        <v>1.6003339827441732E-3</v>
      </c>
    </row>
    <row r="1371" spans="1:7">
      <c r="A1371" s="52">
        <v>142.80000000000001</v>
      </c>
      <c r="B1371" s="52">
        <v>143.87</v>
      </c>
      <c r="C1371" s="52">
        <v>137.4</v>
      </c>
      <c r="D1371" s="52">
        <v>139.43</v>
      </c>
      <c r="E1371" s="52">
        <v>656960</v>
      </c>
      <c r="F1371" s="52" t="s">
        <v>1378</v>
      </c>
      <c r="G1371" s="25">
        <f t="shared" si="20"/>
        <v>2.4169834325467932E-2</v>
      </c>
    </row>
    <row r="1372" spans="1:7">
      <c r="A1372" s="52">
        <v>138.5</v>
      </c>
      <c r="B1372" s="52">
        <v>141.58000000000001</v>
      </c>
      <c r="C1372" s="52">
        <v>132.19</v>
      </c>
      <c r="D1372" s="52">
        <v>132.19</v>
      </c>
      <c r="E1372" s="52">
        <v>796799</v>
      </c>
      <c r="F1372" s="52" t="s">
        <v>1379</v>
      </c>
      <c r="G1372" s="25">
        <f t="shared" si="20"/>
        <v>4.7734321809516533E-2</v>
      </c>
    </row>
    <row r="1373" spans="1:7">
      <c r="A1373" s="52">
        <v>130.68</v>
      </c>
      <c r="B1373" s="52">
        <v>131.16</v>
      </c>
      <c r="C1373" s="52">
        <v>127.61</v>
      </c>
      <c r="D1373" s="52">
        <v>129.24</v>
      </c>
      <c r="E1373" s="52">
        <v>804042</v>
      </c>
      <c r="F1373" s="52" t="s">
        <v>1380</v>
      </c>
      <c r="G1373" s="25">
        <f t="shared" si="20"/>
        <v>1.1142061281337101E-2</v>
      </c>
    </row>
    <row r="1374" spans="1:7">
      <c r="A1374" s="52">
        <v>127.12</v>
      </c>
      <c r="B1374" s="52">
        <v>132</v>
      </c>
      <c r="C1374" s="52">
        <v>125.5</v>
      </c>
      <c r="D1374" s="52">
        <v>126.68</v>
      </c>
      <c r="E1374" s="52">
        <v>1476259</v>
      </c>
      <c r="F1374" s="52" t="s">
        <v>1381</v>
      </c>
      <c r="G1374" s="25">
        <f t="shared" si="20"/>
        <v>3.4733185980422299E-3</v>
      </c>
    </row>
    <row r="1375" spans="1:7">
      <c r="A1375" s="52">
        <v>130.49</v>
      </c>
      <c r="B1375" s="52">
        <v>131.91999999999999</v>
      </c>
      <c r="C1375" s="52">
        <v>129.01750000000001</v>
      </c>
      <c r="D1375" s="52">
        <v>130.32</v>
      </c>
      <c r="E1375" s="52">
        <v>736420</v>
      </c>
      <c r="F1375" s="52" t="s">
        <v>1382</v>
      </c>
      <c r="G1375" s="25">
        <f t="shared" si="20"/>
        <v>1.3044812768570058E-3</v>
      </c>
    </row>
    <row r="1376" spans="1:7">
      <c r="A1376" s="52">
        <v>128.97999999999999</v>
      </c>
      <c r="B1376" s="52">
        <v>132.38</v>
      </c>
      <c r="C1376" s="52">
        <v>128.96</v>
      </c>
      <c r="D1376" s="52">
        <v>130.52000000000001</v>
      </c>
      <c r="E1376" s="52">
        <v>814379</v>
      </c>
      <c r="F1376" s="52" t="s">
        <v>1383</v>
      </c>
      <c r="G1376" s="25">
        <f t="shared" si="20"/>
        <v>-1.1798958014097582E-2</v>
      </c>
    </row>
    <row r="1377" spans="1:7">
      <c r="A1377" s="52">
        <v>132.75</v>
      </c>
      <c r="B1377" s="52">
        <v>136.87</v>
      </c>
      <c r="C1377" s="52">
        <v>128.71</v>
      </c>
      <c r="D1377" s="52">
        <v>136.11000000000001</v>
      </c>
      <c r="E1377" s="52">
        <v>1075210</v>
      </c>
      <c r="F1377" s="52" t="s">
        <v>1384</v>
      </c>
      <c r="G1377" s="25">
        <f t="shared" si="20"/>
        <v>-2.4685915803394409E-2</v>
      </c>
    </row>
    <row r="1378" spans="1:7">
      <c r="A1378" s="52">
        <v>136.69</v>
      </c>
      <c r="B1378" s="52">
        <v>141</v>
      </c>
      <c r="C1378" s="52">
        <v>135.38</v>
      </c>
      <c r="D1378" s="52">
        <v>140.11000000000001</v>
      </c>
      <c r="E1378" s="52">
        <v>817064</v>
      </c>
      <c r="F1378" s="52" t="s">
        <v>1385</v>
      </c>
      <c r="G1378" s="25">
        <f t="shared" si="20"/>
        <v>-2.4409392620084347E-2</v>
      </c>
    </row>
    <row r="1379" spans="1:7">
      <c r="A1379" s="52">
        <v>141.08000000000001</v>
      </c>
      <c r="B1379" s="52">
        <v>143.11500000000001</v>
      </c>
      <c r="C1379" s="52">
        <v>138.94999999999999</v>
      </c>
      <c r="D1379" s="52">
        <v>142.19999999999999</v>
      </c>
      <c r="E1379" s="52">
        <v>755573</v>
      </c>
      <c r="F1379" s="52" t="s">
        <v>1386</v>
      </c>
      <c r="G1379" s="25">
        <f t="shared" si="20"/>
        <v>-7.8762306610405952E-3</v>
      </c>
    </row>
    <row r="1380" spans="1:7">
      <c r="A1380" s="52">
        <v>142.04</v>
      </c>
      <c r="B1380" s="52">
        <v>147.22</v>
      </c>
      <c r="C1380" s="52">
        <v>141.71</v>
      </c>
      <c r="D1380" s="52">
        <v>146.44999999999999</v>
      </c>
      <c r="E1380" s="52">
        <v>611066</v>
      </c>
      <c r="F1380" s="52" t="s">
        <v>1387</v>
      </c>
      <c r="G1380" s="25">
        <f t="shared" si="20"/>
        <v>-3.0112666439057634E-2</v>
      </c>
    </row>
    <row r="1381" spans="1:7">
      <c r="A1381" s="52">
        <v>146.41999999999999</v>
      </c>
      <c r="B1381" s="52">
        <v>149.37989999999999</v>
      </c>
      <c r="C1381" s="52">
        <v>146.41999999999999</v>
      </c>
      <c r="D1381" s="52">
        <v>147.52000000000001</v>
      </c>
      <c r="E1381" s="52">
        <v>451463</v>
      </c>
      <c r="F1381" s="52" t="s">
        <v>1388</v>
      </c>
      <c r="G1381" s="25">
        <f t="shared" si="20"/>
        <v>-7.4566160520609381E-3</v>
      </c>
    </row>
    <row r="1382" spans="1:7">
      <c r="A1382" s="52">
        <v>147.46</v>
      </c>
      <c r="B1382" s="52">
        <v>150.565</v>
      </c>
      <c r="C1382" s="52">
        <v>146.78</v>
      </c>
      <c r="D1382" s="52">
        <v>149.38999999999999</v>
      </c>
      <c r="E1382" s="52">
        <v>352954</v>
      </c>
      <c r="F1382" s="52" t="s">
        <v>1389</v>
      </c>
      <c r="G1382" s="25">
        <f t="shared" si="20"/>
        <v>-1.2919204766048464E-2</v>
      </c>
    </row>
    <row r="1383" spans="1:7">
      <c r="A1383" s="52">
        <v>149.34</v>
      </c>
      <c r="B1383" s="52">
        <v>152</v>
      </c>
      <c r="C1383" s="52">
        <v>147.8809</v>
      </c>
      <c r="D1383" s="52">
        <v>150.25</v>
      </c>
      <c r="E1383" s="52">
        <v>595238</v>
      </c>
      <c r="F1383" s="52" t="s">
        <v>1390</v>
      </c>
      <c r="G1383" s="25">
        <f t="shared" si="20"/>
        <v>-6.0565723793677417E-3</v>
      </c>
    </row>
    <row r="1384" spans="1:7">
      <c r="A1384" s="52">
        <v>148.85</v>
      </c>
      <c r="B1384" s="52">
        <v>149.69</v>
      </c>
      <c r="C1384" s="52">
        <v>144.2413</v>
      </c>
      <c r="D1384" s="52">
        <v>144.2413</v>
      </c>
      <c r="E1384" s="52">
        <v>733227</v>
      </c>
      <c r="F1384" s="52" t="s">
        <v>1391</v>
      </c>
      <c r="G1384" s="25">
        <f t="shared" si="20"/>
        <v>3.1951320460922084E-2</v>
      </c>
    </row>
    <row r="1385" spans="1:7">
      <c r="A1385" s="52">
        <v>144.94</v>
      </c>
      <c r="B1385" s="52">
        <v>147.7363</v>
      </c>
      <c r="C1385" s="52">
        <v>142.04349999999999</v>
      </c>
      <c r="D1385" s="52">
        <v>144.31</v>
      </c>
      <c r="E1385" s="52">
        <v>1906608</v>
      </c>
      <c r="F1385" s="52" t="s">
        <v>1392</v>
      </c>
      <c r="G1385" s="25">
        <f t="shared" si="20"/>
        <v>4.3656018293949383E-3</v>
      </c>
    </row>
    <row r="1386" spans="1:7">
      <c r="A1386" s="52">
        <v>141.19999999999999</v>
      </c>
      <c r="B1386" s="52">
        <v>142.28</v>
      </c>
      <c r="C1386" s="52">
        <v>136.88999999999999</v>
      </c>
      <c r="D1386" s="52">
        <v>142.28</v>
      </c>
      <c r="E1386" s="52">
        <v>670234</v>
      </c>
      <c r="F1386" s="52" t="s">
        <v>1393</v>
      </c>
      <c r="G1386" s="25">
        <f t="shared" si="20"/>
        <v>-7.5906662918190371E-3</v>
      </c>
    </row>
    <row r="1387" spans="1:7">
      <c r="A1387" s="52">
        <v>141.94</v>
      </c>
      <c r="B1387" s="52">
        <v>142.57</v>
      </c>
      <c r="C1387" s="52">
        <v>138.24</v>
      </c>
      <c r="D1387" s="52">
        <v>142.57</v>
      </c>
      <c r="E1387" s="52">
        <v>740664</v>
      </c>
      <c r="F1387" s="52" t="s">
        <v>1394</v>
      </c>
      <c r="G1387" s="25">
        <f t="shared" si="20"/>
        <v>-4.4188819527249956E-3</v>
      </c>
    </row>
    <row r="1388" spans="1:7">
      <c r="A1388" s="52">
        <v>140.97</v>
      </c>
      <c r="B1388" s="52">
        <v>144.34469999999999</v>
      </c>
      <c r="C1388" s="52">
        <v>138.71</v>
      </c>
      <c r="D1388" s="52">
        <v>144</v>
      </c>
      <c r="E1388" s="52">
        <v>1160960</v>
      </c>
      <c r="F1388" s="52" t="s">
        <v>1395</v>
      </c>
      <c r="G1388" s="25">
        <f t="shared" si="20"/>
        <v>-2.1041666666666625E-2</v>
      </c>
    </row>
    <row r="1389" spans="1:7">
      <c r="A1389" s="52">
        <v>148.66</v>
      </c>
      <c r="B1389" s="52">
        <v>158.38</v>
      </c>
      <c r="C1389" s="52">
        <v>148.31</v>
      </c>
      <c r="D1389" s="52">
        <v>158.12</v>
      </c>
      <c r="E1389" s="52">
        <v>1141435</v>
      </c>
      <c r="F1389" s="52" t="s">
        <v>1396</v>
      </c>
      <c r="G1389" s="25">
        <f t="shared" si="20"/>
        <v>-5.9827978750316313E-2</v>
      </c>
    </row>
    <row r="1390" spans="1:7">
      <c r="A1390" s="52">
        <v>159.04</v>
      </c>
      <c r="B1390" s="52">
        <v>160.85</v>
      </c>
      <c r="C1390" s="52">
        <v>158.16999999999999</v>
      </c>
      <c r="D1390" s="52">
        <v>159.15</v>
      </c>
      <c r="E1390" s="52">
        <v>538984</v>
      </c>
      <c r="F1390" s="52" t="s">
        <v>1397</v>
      </c>
      <c r="G1390" s="25">
        <f t="shared" si="20"/>
        <v>-6.9117185045564078E-4</v>
      </c>
    </row>
    <row r="1391" spans="1:7">
      <c r="A1391" s="52">
        <v>158.71</v>
      </c>
      <c r="B1391" s="52">
        <v>160.4</v>
      </c>
      <c r="C1391" s="52">
        <v>156.26</v>
      </c>
      <c r="D1391" s="52">
        <v>157</v>
      </c>
      <c r="E1391" s="52">
        <v>538113</v>
      </c>
      <c r="F1391" s="52" t="s">
        <v>1398</v>
      </c>
      <c r="G1391" s="25">
        <f t="shared" si="20"/>
        <v>1.0891719745222961E-2</v>
      </c>
    </row>
    <row r="1392" spans="1:7">
      <c r="A1392" s="52">
        <v>157</v>
      </c>
      <c r="B1392" s="52">
        <v>158.84479999999999</v>
      </c>
      <c r="C1392" s="52">
        <v>154.86000000000001</v>
      </c>
      <c r="D1392" s="52">
        <v>158.82</v>
      </c>
      <c r="E1392" s="52">
        <v>857477</v>
      </c>
      <c r="F1392" s="52" t="s">
        <v>1399</v>
      </c>
      <c r="G1392" s="25">
        <f t="shared" si="20"/>
        <v>-1.1459513915124009E-2</v>
      </c>
    </row>
    <row r="1393" spans="1:7">
      <c r="A1393" s="52">
        <v>159</v>
      </c>
      <c r="B1393" s="52">
        <v>161.21</v>
      </c>
      <c r="C1393" s="52">
        <v>156.18899999999999</v>
      </c>
      <c r="D1393" s="52">
        <v>158.5</v>
      </c>
      <c r="E1393" s="52">
        <v>384622</v>
      </c>
      <c r="F1393" s="52" t="s">
        <v>1400</v>
      </c>
      <c r="G1393" s="25">
        <f t="shared" si="20"/>
        <v>3.154574132492094E-3</v>
      </c>
    </row>
    <row r="1394" spans="1:7">
      <c r="A1394" s="52">
        <v>158</v>
      </c>
      <c r="B1394" s="52">
        <v>160</v>
      </c>
      <c r="C1394" s="52">
        <v>156.88999999999999</v>
      </c>
      <c r="D1394" s="52">
        <v>157.78</v>
      </c>
      <c r="E1394" s="52">
        <v>608968</v>
      </c>
      <c r="F1394" s="52" t="s">
        <v>1401</v>
      </c>
      <c r="G1394" s="25">
        <f t="shared" si="20"/>
        <v>1.3943465584991266E-3</v>
      </c>
    </row>
    <row r="1395" spans="1:7">
      <c r="A1395" s="52">
        <v>158.03</v>
      </c>
      <c r="B1395" s="52">
        <v>161.30029999999999</v>
      </c>
      <c r="C1395" s="52">
        <v>155.50749999999999</v>
      </c>
      <c r="D1395" s="52">
        <v>159.09</v>
      </c>
      <c r="E1395" s="52">
        <v>523930</v>
      </c>
      <c r="F1395" s="52" t="s">
        <v>1402</v>
      </c>
      <c r="G1395" s="25">
        <f t="shared" si="20"/>
        <v>-6.6628952165440625E-3</v>
      </c>
    </row>
    <row r="1396" spans="1:7">
      <c r="A1396" s="52">
        <v>159</v>
      </c>
      <c r="B1396" s="52">
        <v>159.96</v>
      </c>
      <c r="C1396" s="52">
        <v>157.26490000000001</v>
      </c>
      <c r="D1396" s="52">
        <v>158.26</v>
      </c>
      <c r="E1396" s="52">
        <v>609151</v>
      </c>
      <c r="F1396" s="52" t="s">
        <v>1403</v>
      </c>
      <c r="G1396" s="25">
        <f t="shared" ref="G1396:G1433" si="21">A1396/D1396-1</f>
        <v>4.6758498673069582E-3</v>
      </c>
    </row>
    <row r="1397" spans="1:7">
      <c r="A1397" s="52">
        <v>158.97</v>
      </c>
      <c r="B1397" s="52">
        <v>160.02000000000001</v>
      </c>
      <c r="C1397" s="52">
        <v>153.97999999999999</v>
      </c>
      <c r="D1397" s="52">
        <v>154.55000000000001</v>
      </c>
      <c r="E1397" s="52">
        <v>914673</v>
      </c>
      <c r="F1397" s="52" t="s">
        <v>1404</v>
      </c>
      <c r="G1397" s="25">
        <f t="shared" si="21"/>
        <v>2.8599158848269024E-2</v>
      </c>
    </row>
    <row r="1398" spans="1:7">
      <c r="A1398" s="52">
        <v>154.41999999999999</v>
      </c>
      <c r="B1398" s="52">
        <v>158.35</v>
      </c>
      <c r="C1398" s="52">
        <v>150</v>
      </c>
      <c r="D1398" s="52">
        <v>155.19999999999999</v>
      </c>
      <c r="E1398" s="52">
        <v>756812</v>
      </c>
      <c r="F1398" s="52" t="s">
        <v>1405</v>
      </c>
      <c r="G1398" s="25">
        <f t="shared" si="21"/>
        <v>-5.0257731958762708E-3</v>
      </c>
    </row>
    <row r="1399" spans="1:7">
      <c r="A1399" s="52">
        <v>158.88999999999999</v>
      </c>
      <c r="B1399" s="52">
        <v>159.5</v>
      </c>
      <c r="C1399" s="52">
        <v>154.07</v>
      </c>
      <c r="D1399" s="52">
        <v>156.91</v>
      </c>
      <c r="E1399" s="52">
        <v>571072</v>
      </c>
      <c r="F1399" s="52" t="s">
        <v>1406</v>
      </c>
      <c r="G1399" s="25">
        <f t="shared" si="21"/>
        <v>1.2618698617041568E-2</v>
      </c>
    </row>
    <row r="1400" spans="1:7">
      <c r="A1400" s="52">
        <v>156.72999999999999</v>
      </c>
      <c r="B1400" s="52">
        <v>159.13</v>
      </c>
      <c r="C1400" s="52">
        <v>154.28</v>
      </c>
      <c r="D1400" s="52">
        <v>158.88999999999999</v>
      </c>
      <c r="E1400" s="52">
        <v>428121</v>
      </c>
      <c r="F1400" s="52" t="s">
        <v>1407</v>
      </c>
      <c r="G1400" s="25">
        <f t="shared" si="21"/>
        <v>-1.3594310529296938E-2</v>
      </c>
    </row>
    <row r="1401" spans="1:7">
      <c r="A1401" s="52">
        <v>158.22999999999999</v>
      </c>
      <c r="B1401" s="52">
        <v>159.5</v>
      </c>
      <c r="C1401" s="52">
        <v>154.80000000000001</v>
      </c>
      <c r="D1401" s="52">
        <v>154.86000000000001</v>
      </c>
      <c r="E1401" s="52">
        <v>483884</v>
      </c>
      <c r="F1401" s="52" t="s">
        <v>1408</v>
      </c>
      <c r="G1401" s="25">
        <f t="shared" si="21"/>
        <v>2.1761591114555001E-2</v>
      </c>
    </row>
    <row r="1402" spans="1:7">
      <c r="A1402" s="52">
        <v>153.52000000000001</v>
      </c>
      <c r="B1402" s="52">
        <v>155.26</v>
      </c>
      <c r="C1402" s="52">
        <v>150.5</v>
      </c>
      <c r="D1402" s="52">
        <v>154.22999999999999</v>
      </c>
      <c r="E1402" s="52">
        <v>495394</v>
      </c>
      <c r="F1402" s="52" t="s">
        <v>1409</v>
      </c>
      <c r="G1402" s="25">
        <f t="shared" si="21"/>
        <v>-4.6035142319910127E-3</v>
      </c>
    </row>
    <row r="1403" spans="1:7">
      <c r="A1403" s="52">
        <v>154.09</v>
      </c>
      <c r="B1403" s="52">
        <v>155.77000000000001</v>
      </c>
      <c r="C1403" s="52">
        <v>148.02000000000001</v>
      </c>
      <c r="D1403" s="52">
        <v>148.02350000000001</v>
      </c>
      <c r="E1403" s="52">
        <v>477704</v>
      </c>
      <c r="F1403" s="52" t="s">
        <v>1410</v>
      </c>
      <c r="G1403" s="25">
        <f t="shared" si="21"/>
        <v>4.098335737230907E-2</v>
      </c>
    </row>
    <row r="1404" spans="1:7">
      <c r="A1404" s="52">
        <v>150</v>
      </c>
      <c r="B1404" s="52">
        <v>156.47</v>
      </c>
      <c r="C1404" s="52">
        <v>148.83629999999999</v>
      </c>
      <c r="D1404" s="52">
        <v>156.41</v>
      </c>
      <c r="E1404" s="52">
        <v>835256</v>
      </c>
      <c r="F1404" s="52" t="s">
        <v>1411</v>
      </c>
      <c r="G1404" s="25">
        <f t="shared" si="21"/>
        <v>-4.0982034396777722E-2</v>
      </c>
    </row>
    <row r="1405" spans="1:7">
      <c r="A1405" s="52">
        <v>155.49</v>
      </c>
      <c r="B1405" s="52">
        <v>159.63999999999999</v>
      </c>
      <c r="C1405" s="52">
        <v>154.76</v>
      </c>
      <c r="D1405" s="52">
        <v>158.44999999999999</v>
      </c>
      <c r="E1405" s="52">
        <v>863513</v>
      </c>
      <c r="F1405" s="52" t="s">
        <v>1412</v>
      </c>
      <c r="G1405" s="25">
        <f t="shared" si="21"/>
        <v>-1.8680971915430611E-2</v>
      </c>
    </row>
    <row r="1406" spans="1:7">
      <c r="A1406" s="52">
        <v>158.44999999999999</v>
      </c>
      <c r="B1406" s="52">
        <v>159.47</v>
      </c>
      <c r="C1406" s="52">
        <v>155.72</v>
      </c>
      <c r="D1406" s="52">
        <v>159.21</v>
      </c>
      <c r="E1406" s="52">
        <v>685707</v>
      </c>
      <c r="F1406" s="52" t="s">
        <v>1413</v>
      </c>
      <c r="G1406" s="25">
        <f t="shared" si="21"/>
        <v>-4.7735694994034406E-3</v>
      </c>
    </row>
    <row r="1407" spans="1:7">
      <c r="A1407" s="52">
        <v>158.63</v>
      </c>
      <c r="B1407" s="52">
        <v>160.41999999999999</v>
      </c>
      <c r="C1407" s="52">
        <v>154.41</v>
      </c>
      <c r="D1407" s="52">
        <v>160</v>
      </c>
      <c r="E1407" s="52">
        <v>642108</v>
      </c>
      <c r="F1407" s="52" t="s">
        <v>1414</v>
      </c>
      <c r="G1407" s="25">
        <f t="shared" si="21"/>
        <v>-8.5625000000000284E-3</v>
      </c>
    </row>
    <row r="1408" spans="1:7">
      <c r="A1408" s="52">
        <v>161.66999999999999</v>
      </c>
      <c r="B1408" s="52">
        <v>168.05</v>
      </c>
      <c r="C1408" s="52">
        <v>160.86869999999999</v>
      </c>
      <c r="D1408" s="52">
        <v>164.74</v>
      </c>
      <c r="E1408" s="52">
        <v>540471</v>
      </c>
      <c r="F1408" s="52" t="s">
        <v>1415</v>
      </c>
      <c r="G1408" s="25">
        <f t="shared" si="21"/>
        <v>-1.8635425518999771E-2</v>
      </c>
    </row>
    <row r="1409" spans="1:7">
      <c r="A1409" s="52">
        <v>164.52</v>
      </c>
      <c r="B1409" s="52">
        <v>169.14</v>
      </c>
      <c r="C1409" s="52">
        <v>163.5</v>
      </c>
      <c r="D1409" s="52">
        <v>167.85</v>
      </c>
      <c r="E1409" s="52">
        <v>667719</v>
      </c>
      <c r="F1409" s="52" t="s">
        <v>1416</v>
      </c>
      <c r="G1409" s="25">
        <f t="shared" si="21"/>
        <v>-1.9839142091152673E-2</v>
      </c>
    </row>
    <row r="1410" spans="1:7">
      <c r="A1410" s="52">
        <v>168.27</v>
      </c>
      <c r="B1410" s="52">
        <v>174.46</v>
      </c>
      <c r="C1410" s="52">
        <v>167.13</v>
      </c>
      <c r="D1410" s="52">
        <v>172.51</v>
      </c>
      <c r="E1410" s="52">
        <v>591021</v>
      </c>
      <c r="F1410" s="52" t="s">
        <v>1417</v>
      </c>
      <c r="G1410" s="25">
        <f t="shared" si="21"/>
        <v>-2.4578285316793069E-2</v>
      </c>
    </row>
    <row r="1411" spans="1:7">
      <c r="A1411" s="52">
        <v>172.34</v>
      </c>
      <c r="B1411" s="52">
        <v>175</v>
      </c>
      <c r="C1411" s="52">
        <v>167.59</v>
      </c>
      <c r="D1411" s="52">
        <v>168.46</v>
      </c>
      <c r="E1411" s="52">
        <v>780048</v>
      </c>
      <c r="F1411" s="52" t="s">
        <v>1418</v>
      </c>
      <c r="G1411" s="25">
        <f t="shared" si="21"/>
        <v>2.3032173809806489E-2</v>
      </c>
    </row>
    <row r="1412" spans="1:7">
      <c r="A1412" s="52">
        <v>167.51</v>
      </c>
      <c r="B1412" s="52">
        <v>170.93</v>
      </c>
      <c r="C1412" s="52">
        <v>165.05</v>
      </c>
      <c r="D1412" s="52">
        <v>170.93</v>
      </c>
      <c r="E1412" s="52">
        <v>601029</v>
      </c>
      <c r="F1412" s="52" t="s">
        <v>1419</v>
      </c>
      <c r="G1412" s="25">
        <f t="shared" si="21"/>
        <v>-2.0008190487334043E-2</v>
      </c>
    </row>
    <row r="1413" spans="1:7">
      <c r="A1413" s="52">
        <v>169.41499999999999</v>
      </c>
      <c r="B1413" s="52">
        <v>169.60499999999999</v>
      </c>
      <c r="C1413" s="52">
        <v>164.94</v>
      </c>
      <c r="D1413" s="52">
        <v>167.42</v>
      </c>
      <c r="E1413" s="52">
        <v>570279</v>
      </c>
      <c r="F1413" s="52" t="s">
        <v>1420</v>
      </c>
      <c r="G1413" s="25">
        <f t="shared" si="21"/>
        <v>1.1916139051487251E-2</v>
      </c>
    </row>
    <row r="1414" spans="1:7">
      <c r="A1414" s="52">
        <v>169.66</v>
      </c>
      <c r="B1414" s="52">
        <v>170.72</v>
      </c>
      <c r="C1414" s="52">
        <v>166.52</v>
      </c>
      <c r="D1414" s="52">
        <v>168.7</v>
      </c>
      <c r="E1414" s="52">
        <v>547699</v>
      </c>
      <c r="F1414" s="52" t="s">
        <v>1421</v>
      </c>
      <c r="G1414" s="25">
        <f t="shared" si="21"/>
        <v>5.6905749851807741E-3</v>
      </c>
    </row>
    <row r="1415" spans="1:7">
      <c r="A1415" s="52">
        <v>166.76</v>
      </c>
      <c r="B1415" s="52">
        <v>167.3</v>
      </c>
      <c r="C1415" s="52">
        <v>159.48249999999999</v>
      </c>
      <c r="D1415" s="52">
        <v>163.07</v>
      </c>
      <c r="E1415" s="52">
        <v>724032</v>
      </c>
      <c r="F1415" s="52" t="s">
        <v>1422</v>
      </c>
      <c r="G1415" s="25">
        <f t="shared" si="21"/>
        <v>2.2628319126755336E-2</v>
      </c>
    </row>
    <row r="1416" spans="1:7">
      <c r="A1416" s="52">
        <v>161.97999999999999</v>
      </c>
      <c r="B1416" s="52">
        <v>170.7</v>
      </c>
      <c r="C1416" s="52">
        <v>160.94</v>
      </c>
      <c r="D1416" s="52">
        <v>169.61</v>
      </c>
      <c r="E1416" s="52">
        <v>765053</v>
      </c>
      <c r="F1416" s="52" t="s">
        <v>1423</v>
      </c>
      <c r="G1416" s="25">
        <f t="shared" si="21"/>
        <v>-4.4985555096987317E-2</v>
      </c>
    </row>
    <row r="1417" spans="1:7">
      <c r="A1417" s="52">
        <v>168.81</v>
      </c>
      <c r="B1417" s="52">
        <v>172</v>
      </c>
      <c r="C1417" s="52">
        <v>167.8356</v>
      </c>
      <c r="D1417" s="52">
        <v>170.06</v>
      </c>
      <c r="E1417" s="52">
        <v>434013</v>
      </c>
      <c r="F1417" s="52" t="s">
        <v>1424</v>
      </c>
      <c r="G1417" s="25">
        <f t="shared" si="21"/>
        <v>-7.3503469363753737E-3</v>
      </c>
    </row>
    <row r="1418" spans="1:7">
      <c r="A1418" s="52">
        <v>169.96</v>
      </c>
      <c r="B1418" s="52">
        <v>171.23</v>
      </c>
      <c r="C1418" s="52">
        <v>166.53</v>
      </c>
      <c r="D1418" s="52">
        <v>170.19</v>
      </c>
      <c r="E1418" s="52">
        <v>461531</v>
      </c>
      <c r="F1418" s="52" t="s">
        <v>1425</v>
      </c>
      <c r="G1418" s="25">
        <f t="shared" si="21"/>
        <v>-1.3514307538632364E-3</v>
      </c>
    </row>
    <row r="1419" spans="1:7">
      <c r="A1419" s="52">
        <v>170.15</v>
      </c>
      <c r="B1419" s="52">
        <v>170.45</v>
      </c>
      <c r="C1419" s="52">
        <v>164.15</v>
      </c>
      <c r="D1419" s="52">
        <v>164.19</v>
      </c>
      <c r="E1419" s="52">
        <v>614798</v>
      </c>
      <c r="F1419" s="52" t="s">
        <v>1426</v>
      </c>
      <c r="G1419" s="25">
        <f t="shared" si="21"/>
        <v>3.6299409221024481E-2</v>
      </c>
    </row>
    <row r="1420" spans="1:7">
      <c r="A1420" s="52">
        <v>163.89</v>
      </c>
      <c r="B1420" s="52">
        <v>169.45</v>
      </c>
      <c r="C1420" s="52">
        <v>162.49</v>
      </c>
      <c r="D1420" s="52">
        <v>163.09</v>
      </c>
      <c r="E1420" s="52">
        <v>492015</v>
      </c>
      <c r="F1420" s="52" t="s">
        <v>1427</v>
      </c>
      <c r="G1420" s="25">
        <f t="shared" si="21"/>
        <v>4.9052670304738921E-3</v>
      </c>
    </row>
    <row r="1421" spans="1:7">
      <c r="A1421" s="52">
        <v>163.49</v>
      </c>
      <c r="B1421" s="52">
        <v>165.82</v>
      </c>
      <c r="C1421" s="52">
        <v>162.02000000000001</v>
      </c>
      <c r="D1421" s="52">
        <v>163.25</v>
      </c>
      <c r="E1421" s="52">
        <v>637135</v>
      </c>
      <c r="F1421" s="52" t="s">
        <v>1428</v>
      </c>
      <c r="G1421" s="25">
        <f t="shared" si="21"/>
        <v>1.4701378254211583E-3</v>
      </c>
    </row>
    <row r="1422" spans="1:7">
      <c r="A1422" s="52">
        <v>162.75</v>
      </c>
      <c r="B1422" s="52">
        <v>169.17</v>
      </c>
      <c r="C1422" s="52">
        <v>162.51499999999999</v>
      </c>
      <c r="D1422" s="52">
        <v>169.17</v>
      </c>
      <c r="E1422" s="52">
        <v>539637</v>
      </c>
      <c r="F1422" s="52" t="s">
        <v>1429</v>
      </c>
      <c r="G1422" s="25">
        <f t="shared" si="21"/>
        <v>-3.7949991133179539E-2</v>
      </c>
    </row>
    <row r="1423" spans="1:7">
      <c r="A1423" s="52">
        <v>165.68</v>
      </c>
      <c r="B1423" s="52">
        <v>166.79499999999999</v>
      </c>
      <c r="C1423" s="52">
        <v>159.6</v>
      </c>
      <c r="D1423" s="52">
        <v>160.30000000000001</v>
      </c>
      <c r="E1423" s="52">
        <v>709498</v>
      </c>
      <c r="F1423" s="52" t="s">
        <v>1430</v>
      </c>
      <c r="G1423" s="25">
        <f t="shared" si="21"/>
        <v>3.3562071116656211E-2</v>
      </c>
    </row>
    <row r="1424" spans="1:7">
      <c r="A1424" s="52">
        <v>160.34</v>
      </c>
      <c r="B1424" s="52">
        <v>160.72499999999999</v>
      </c>
      <c r="C1424" s="52">
        <v>157.18</v>
      </c>
      <c r="D1424" s="52">
        <v>160.44999999999999</v>
      </c>
      <c r="E1424" s="52">
        <v>842816</v>
      </c>
      <c r="F1424" s="52" t="s">
        <v>1431</v>
      </c>
      <c r="G1424" s="25">
        <f t="shared" si="21"/>
        <v>-6.8557182923023596E-4</v>
      </c>
    </row>
    <row r="1425" spans="1:7">
      <c r="A1425" s="52">
        <v>162.71</v>
      </c>
      <c r="B1425" s="52">
        <v>165</v>
      </c>
      <c r="C1425" s="52">
        <v>160.02680000000001</v>
      </c>
      <c r="D1425" s="52">
        <v>162.79</v>
      </c>
      <c r="E1425" s="52">
        <v>669211</v>
      </c>
      <c r="F1425" s="52" t="s">
        <v>1432</v>
      </c>
      <c r="G1425" s="25">
        <f t="shared" si="21"/>
        <v>-4.914306775599675E-4</v>
      </c>
    </row>
    <row r="1426" spans="1:7">
      <c r="A1426" s="52">
        <v>162.63</v>
      </c>
      <c r="B1426" s="52">
        <v>170.01</v>
      </c>
      <c r="C1426" s="52">
        <v>162.47</v>
      </c>
      <c r="D1426" s="52">
        <v>170</v>
      </c>
      <c r="E1426" s="52">
        <v>1257310</v>
      </c>
      <c r="F1426" s="52" t="s">
        <v>1433</v>
      </c>
      <c r="G1426" s="25">
        <f t="shared" si="21"/>
        <v>-4.3352941176470594E-2</v>
      </c>
    </row>
    <row r="1427" spans="1:7">
      <c r="A1427" s="52">
        <v>167.31</v>
      </c>
      <c r="B1427" s="52">
        <v>168.64500000000001</v>
      </c>
      <c r="C1427" s="52">
        <v>161.94990000000001</v>
      </c>
      <c r="D1427" s="52">
        <v>164</v>
      </c>
      <c r="E1427" s="52">
        <v>932597</v>
      </c>
      <c r="F1427" s="52" t="s">
        <v>1434</v>
      </c>
      <c r="G1427" s="25">
        <f t="shared" si="21"/>
        <v>2.0182926829268366E-2</v>
      </c>
    </row>
    <row r="1428" spans="1:7">
      <c r="A1428" s="52">
        <v>163.63</v>
      </c>
      <c r="B1428" s="52">
        <v>170.25</v>
      </c>
      <c r="C1428" s="52">
        <v>160.82</v>
      </c>
      <c r="D1428" s="52">
        <v>167.5</v>
      </c>
      <c r="E1428" s="52">
        <v>934402</v>
      </c>
      <c r="F1428" s="52" t="s">
        <v>1435</v>
      </c>
      <c r="G1428" s="25">
        <f t="shared" si="21"/>
        <v>-2.3104477611940344E-2</v>
      </c>
    </row>
    <row r="1429" spans="1:7">
      <c r="A1429" s="52">
        <v>168.81</v>
      </c>
      <c r="B1429" s="52">
        <v>172.7</v>
      </c>
      <c r="C1429" s="52">
        <v>168.07499999999999</v>
      </c>
      <c r="D1429" s="52">
        <v>171.83</v>
      </c>
      <c r="E1429" s="52">
        <v>983374</v>
      </c>
      <c r="F1429" s="52" t="s">
        <v>1436</v>
      </c>
      <c r="G1429" s="25">
        <f t="shared" si="21"/>
        <v>-1.7575510679159745E-2</v>
      </c>
    </row>
    <row r="1430" spans="1:7">
      <c r="A1430" s="52">
        <v>171.7</v>
      </c>
      <c r="B1430" s="52">
        <v>171.935</v>
      </c>
      <c r="C1430" s="52">
        <v>167.67</v>
      </c>
      <c r="D1430" s="52">
        <v>170.35</v>
      </c>
      <c r="E1430" s="52">
        <v>1394899</v>
      </c>
      <c r="F1430" s="52" t="s">
        <v>1437</v>
      </c>
      <c r="G1430" s="25">
        <f t="shared" si="21"/>
        <v>7.9248605811563788E-3</v>
      </c>
    </row>
    <row r="1431" spans="1:7">
      <c r="A1431" s="52">
        <v>168.82</v>
      </c>
      <c r="B1431" s="52">
        <v>169.38</v>
      </c>
      <c r="C1431" s="52">
        <v>164.77</v>
      </c>
      <c r="D1431" s="52">
        <v>165.94</v>
      </c>
      <c r="E1431" s="52">
        <v>1929211</v>
      </c>
      <c r="F1431" s="52" t="s">
        <v>1438</v>
      </c>
      <c r="G1431" s="25">
        <f t="shared" si="21"/>
        <v>1.7355670724358285E-2</v>
      </c>
    </row>
    <row r="1432" spans="1:7">
      <c r="A1432" s="52">
        <v>165.22</v>
      </c>
      <c r="B1432" s="52">
        <v>167.88</v>
      </c>
      <c r="C1432" s="52">
        <v>163.36500000000001</v>
      </c>
      <c r="D1432" s="52">
        <v>163.74</v>
      </c>
      <c r="E1432" s="52">
        <v>1052143</v>
      </c>
      <c r="F1432" s="52" t="s">
        <v>1439</v>
      </c>
      <c r="G1432" s="25">
        <f t="shared" si="21"/>
        <v>9.038719921827143E-3</v>
      </c>
    </row>
    <row r="1433" spans="1:7">
      <c r="A1433" s="52">
        <v>163.41999999999999</v>
      </c>
      <c r="B1433" s="52">
        <v>164.87</v>
      </c>
      <c r="C1433" s="52">
        <v>160</v>
      </c>
      <c r="D1433" s="52">
        <v>161.71</v>
      </c>
      <c r="E1433" s="52">
        <v>1071048</v>
      </c>
      <c r="F1433" s="52" t="s">
        <v>1440</v>
      </c>
      <c r="G1433" s="25">
        <f t="shared" si="21"/>
        <v>1.0574485189536631E-2</v>
      </c>
    </row>
    <row r="1434" spans="1:7">
      <c r="G1434" s="25"/>
    </row>
    <row r="1435" spans="1:7">
      <c r="G1435" s="25"/>
    </row>
    <row r="1436" spans="1:7">
      <c r="G1436" s="25"/>
    </row>
    <row r="1437" spans="1:7">
      <c r="G1437" s="25"/>
    </row>
    <row r="1438" spans="1:7">
      <c r="G1438" s="25"/>
    </row>
    <row r="1439" spans="1:7">
      <c r="G1439" s="25"/>
    </row>
    <row r="1440" spans="1:7">
      <c r="G1440" s="25"/>
    </row>
    <row r="1441" spans="7:7">
      <c r="G1441" s="25"/>
    </row>
    <row r="1442" spans="7:7">
      <c r="G1442" s="25"/>
    </row>
    <row r="1443" spans="7:7">
      <c r="G1443" s="25"/>
    </row>
    <row r="1444" spans="7:7">
      <c r="G1444" s="25"/>
    </row>
    <row r="1445" spans="7:7">
      <c r="G1445" s="25"/>
    </row>
    <row r="1446" spans="7:7">
      <c r="G1446" s="25"/>
    </row>
    <row r="1447" spans="7:7">
      <c r="G1447" s="25"/>
    </row>
    <row r="1448" spans="7:7">
      <c r="G1448" s="25"/>
    </row>
    <row r="1449" spans="7:7">
      <c r="G1449" s="25"/>
    </row>
    <row r="1450" spans="7:7">
      <c r="G1450" s="25"/>
    </row>
    <row r="1451" spans="7:7">
      <c r="G1451" s="25"/>
    </row>
    <row r="1452" spans="7:7">
      <c r="G1452" s="25"/>
    </row>
    <row r="1453" spans="7:7">
      <c r="G1453" s="25"/>
    </row>
    <row r="1454" spans="7:7">
      <c r="G1454" s="25"/>
    </row>
    <row r="1455" spans="7:7">
      <c r="G1455" s="25"/>
    </row>
    <row r="1456" spans="7:7">
      <c r="G1456" s="25"/>
    </row>
    <row r="1457" spans="7:7">
      <c r="G1457" s="25"/>
    </row>
    <row r="1458" spans="7:7">
      <c r="G1458" s="25"/>
    </row>
    <row r="1459" spans="7:7">
      <c r="G1459" s="25"/>
    </row>
    <row r="1460" spans="7:7">
      <c r="G1460" s="25"/>
    </row>
    <row r="1461" spans="7:7">
      <c r="G1461" s="25"/>
    </row>
    <row r="1462" spans="7:7">
      <c r="G1462" s="25"/>
    </row>
    <row r="1463" spans="7:7">
      <c r="G1463" s="25"/>
    </row>
    <row r="1464" spans="7:7">
      <c r="G1464" s="25"/>
    </row>
    <row r="1465" spans="7:7">
      <c r="G1465" s="25"/>
    </row>
    <row r="1466" spans="7:7">
      <c r="G1466" s="25"/>
    </row>
    <row r="1467" spans="7:7">
      <c r="G1467" s="25"/>
    </row>
    <row r="1468" spans="7:7">
      <c r="G1468" s="25"/>
    </row>
    <row r="1469" spans="7:7">
      <c r="G1469" s="25"/>
    </row>
    <row r="1470" spans="7:7">
      <c r="G1470" s="25"/>
    </row>
    <row r="1471" spans="7:7">
      <c r="G1471" s="25"/>
    </row>
    <row r="1472" spans="7:7">
      <c r="G1472" s="25"/>
    </row>
    <row r="1473" spans="7:7">
      <c r="G1473" s="25"/>
    </row>
    <row r="1474" spans="7:7">
      <c r="G1474" s="25"/>
    </row>
    <row r="1475" spans="7:7">
      <c r="G1475" s="25"/>
    </row>
    <row r="1476" spans="7:7">
      <c r="G1476" s="25"/>
    </row>
    <row r="1477" spans="7:7">
      <c r="G1477" s="25"/>
    </row>
    <row r="1478" spans="7:7">
      <c r="G1478" s="25"/>
    </row>
    <row r="1479" spans="7:7">
      <c r="G1479" s="25"/>
    </row>
    <row r="1480" spans="7:7">
      <c r="G1480" s="25"/>
    </row>
    <row r="1481" spans="7:7">
      <c r="G1481" s="25"/>
    </row>
    <row r="1482" spans="7:7">
      <c r="G1482" s="25"/>
    </row>
    <row r="1483" spans="7:7">
      <c r="G1483" s="25"/>
    </row>
    <row r="1484" spans="7:7">
      <c r="G1484" s="25"/>
    </row>
    <row r="1485" spans="7:7">
      <c r="G1485" s="25"/>
    </row>
    <row r="1486" spans="7:7">
      <c r="G1486" s="25"/>
    </row>
    <row r="1487" spans="7:7">
      <c r="G1487" s="25"/>
    </row>
    <row r="1488" spans="7:7">
      <c r="G1488" s="25"/>
    </row>
    <row r="1489" spans="7:7">
      <c r="G1489" s="25"/>
    </row>
    <row r="1490" spans="7:7">
      <c r="G1490" s="25"/>
    </row>
    <row r="1491" spans="7:7">
      <c r="G1491" s="25"/>
    </row>
    <row r="1492" spans="7:7">
      <c r="G1492" s="25"/>
    </row>
    <row r="1493" spans="7:7">
      <c r="G1493" s="25"/>
    </row>
    <row r="1494" spans="7:7">
      <c r="G1494" s="25"/>
    </row>
    <row r="1495" spans="7:7">
      <c r="G1495" s="25"/>
    </row>
    <row r="1496" spans="7:7">
      <c r="G1496" s="25"/>
    </row>
    <row r="1497" spans="7:7">
      <c r="G1497" s="25"/>
    </row>
    <row r="1498" spans="7:7">
      <c r="G1498" s="25"/>
    </row>
    <row r="1499" spans="7:7">
      <c r="G1499" s="25"/>
    </row>
    <row r="1500" spans="7:7">
      <c r="G1500" s="25"/>
    </row>
    <row r="1501" spans="7:7">
      <c r="G1501" s="25"/>
    </row>
    <row r="1502" spans="7:7">
      <c r="G1502" s="25"/>
    </row>
    <row r="1503" spans="7:7">
      <c r="G1503" s="25"/>
    </row>
    <row r="1504" spans="7:7">
      <c r="G1504" s="25"/>
    </row>
    <row r="1505" spans="7:7">
      <c r="G1505" s="25"/>
    </row>
    <row r="1506" spans="7:7">
      <c r="G1506" s="25"/>
    </row>
    <row r="1507" spans="7:7">
      <c r="G1507" s="25"/>
    </row>
    <row r="1508" spans="7:7">
      <c r="G1508" s="25"/>
    </row>
    <row r="1509" spans="7:7">
      <c r="G1509" s="25"/>
    </row>
    <row r="1510" spans="7:7">
      <c r="G1510" s="25"/>
    </row>
    <row r="1511" spans="7:7">
      <c r="G1511" s="25"/>
    </row>
    <row r="1512" spans="7:7">
      <c r="G1512" s="25"/>
    </row>
    <row r="1513" spans="7:7">
      <c r="G1513" s="25"/>
    </row>
    <row r="1514" spans="7:7">
      <c r="G1514" s="25"/>
    </row>
    <row r="1515" spans="7:7">
      <c r="G1515" s="25"/>
    </row>
    <row r="1516" spans="7:7">
      <c r="G1516" s="25"/>
    </row>
    <row r="1517" spans="7:7">
      <c r="G1517" s="25"/>
    </row>
    <row r="1518" spans="7:7">
      <c r="G1518" s="25"/>
    </row>
    <row r="1519" spans="7:7">
      <c r="G1519" s="25"/>
    </row>
    <row r="1520" spans="7:7">
      <c r="G1520" s="25"/>
    </row>
    <row r="1521" spans="7:7">
      <c r="G1521" s="25"/>
    </row>
    <row r="1522" spans="7:7">
      <c r="G1522" s="25"/>
    </row>
    <row r="1523" spans="7:7">
      <c r="G1523" s="25"/>
    </row>
    <row r="1524" spans="7:7">
      <c r="G1524" s="25"/>
    </row>
    <row r="1525" spans="7:7">
      <c r="G1525" s="25"/>
    </row>
    <row r="1526" spans="7:7">
      <c r="G1526" s="25"/>
    </row>
    <row r="1527" spans="7:7">
      <c r="G1527" s="25"/>
    </row>
    <row r="1528" spans="7:7">
      <c r="G1528" s="25"/>
    </row>
    <row r="1529" spans="7:7">
      <c r="G1529" s="25"/>
    </row>
    <row r="1530" spans="7:7">
      <c r="G1530" s="25"/>
    </row>
    <row r="1531" spans="7:7">
      <c r="G1531" s="25"/>
    </row>
    <row r="1532" spans="7:7">
      <c r="G1532" s="25"/>
    </row>
    <row r="1533" spans="7:7">
      <c r="G1533" s="25"/>
    </row>
    <row r="1534" spans="7:7">
      <c r="G1534" s="25"/>
    </row>
    <row r="1535" spans="7:7">
      <c r="G1535" s="25"/>
    </row>
    <row r="1536" spans="7:7">
      <c r="G1536" s="25"/>
    </row>
    <row r="1537" spans="7:7">
      <c r="G1537" s="25"/>
    </row>
    <row r="1538" spans="7:7">
      <c r="G1538" s="25"/>
    </row>
    <row r="1539" spans="7:7">
      <c r="G1539" s="25"/>
    </row>
    <row r="1540" spans="7:7">
      <c r="G1540" s="25"/>
    </row>
    <row r="1541" spans="7:7">
      <c r="G1541" s="25"/>
    </row>
    <row r="1542" spans="7:7">
      <c r="G1542" s="25"/>
    </row>
    <row r="1543" spans="7:7">
      <c r="G1543" s="25"/>
    </row>
    <row r="1544" spans="7:7">
      <c r="G1544" s="25"/>
    </row>
    <row r="1545" spans="7:7">
      <c r="G1545" s="25"/>
    </row>
  </sheetData>
  <sortState xmlns:xlrd2="http://schemas.microsoft.com/office/spreadsheetml/2017/richdata2" ref="I210:I290">
    <sortCondition ref="I210"/>
  </sortState>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63948-7FD9-4D33-AAA7-BDE5D55568DA}">
  <dimension ref="A1"/>
  <sheetViews>
    <sheetView workbookViewId="0">
      <selection sqref="A1:XFD1048576"/>
    </sheetView>
  </sheetViews>
  <sheetFormatPr defaultRowHeight="14.25"/>
  <cols>
    <col min="1" max="1" width="3" style="1" customWidth="1"/>
    <col min="2" max="16384" width="9.140625" style="1"/>
  </cols>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19384-14D4-4AF6-A038-C535D22FD075}">
  <dimension ref="B2"/>
  <sheetViews>
    <sheetView workbookViewId="0">
      <selection activeCell="B4" sqref="B4"/>
    </sheetView>
  </sheetViews>
  <sheetFormatPr defaultRowHeight="14.25"/>
  <cols>
    <col min="1" max="16384" width="9.140625" style="1"/>
  </cols>
  <sheetData>
    <row r="2" spans="2:2" ht="15">
      <c r="B2" s="44" t="s">
        <v>1459</v>
      </c>
    </row>
  </sheetData>
  <hyperlinks>
    <hyperlink ref="B2" r:id="rId1" xr:uid="{CEA18A78-C79C-4987-BF61-C0110DF5DC7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36E60-677E-467E-9C59-7853ADE8E695}">
  <dimension ref="A1"/>
  <sheetViews>
    <sheetView workbookViewId="0">
      <selection activeCell="R15" sqref="R15"/>
    </sheetView>
  </sheetViews>
  <sheetFormatPr defaultRowHeight="14.25"/>
  <cols>
    <col min="1" max="1" width="3" style="1" customWidth="1"/>
    <col min="2" max="16384" width="9.140625" style="1"/>
  </cols>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C31F-8910-447E-89B3-28B6120F3B0A}">
  <dimension ref="B2:Z8"/>
  <sheetViews>
    <sheetView workbookViewId="0">
      <selection activeCell="D15" sqref="D15"/>
    </sheetView>
  </sheetViews>
  <sheetFormatPr defaultRowHeight="14.25"/>
  <cols>
    <col min="1" max="1" width="3.140625" style="1" customWidth="1"/>
    <col min="2" max="16384" width="9.140625" style="1"/>
  </cols>
  <sheetData>
    <row r="2" spans="2:26" ht="15">
      <c r="B2" s="3" t="s">
        <v>7</v>
      </c>
      <c r="C2" s="4"/>
      <c r="D2" s="4"/>
      <c r="E2" s="4"/>
      <c r="F2" s="4"/>
      <c r="G2" s="3" t="s">
        <v>7</v>
      </c>
      <c r="H2" s="5"/>
      <c r="I2" s="5"/>
      <c r="J2" s="5"/>
      <c r="K2" s="5"/>
      <c r="L2" s="5"/>
      <c r="M2" s="5"/>
      <c r="N2" s="5"/>
      <c r="O2" s="5"/>
      <c r="P2" s="5"/>
      <c r="Q2" s="5"/>
      <c r="R2" s="5"/>
      <c r="S2" s="5"/>
      <c r="T2" s="5"/>
      <c r="U2" s="5"/>
      <c r="V2" s="5"/>
      <c r="W2" s="5"/>
      <c r="X2" s="5"/>
      <c r="Y2" s="5"/>
      <c r="Z2" s="6"/>
    </row>
    <row r="3" spans="2:26" ht="15">
      <c r="B3" s="7" t="s">
        <v>8</v>
      </c>
      <c r="C3" s="8"/>
      <c r="D3" s="8"/>
      <c r="E3" s="8"/>
      <c r="F3" s="9"/>
      <c r="G3" s="10" t="s">
        <v>9</v>
      </c>
      <c r="H3" s="10"/>
      <c r="I3" s="10"/>
      <c r="J3" s="10"/>
      <c r="K3" s="10"/>
      <c r="L3" s="10"/>
      <c r="M3" s="10"/>
      <c r="N3" s="10"/>
      <c r="O3" s="10"/>
      <c r="P3" s="10"/>
      <c r="Q3" s="10"/>
      <c r="R3" s="10"/>
      <c r="S3" s="10"/>
      <c r="T3" s="10"/>
      <c r="U3" s="10"/>
      <c r="V3" s="10"/>
      <c r="W3" s="10"/>
      <c r="X3" s="10"/>
      <c r="Y3" s="10"/>
      <c r="Z3" s="11"/>
    </row>
    <row r="4" spans="2:26" ht="15">
      <c r="B4" s="12" t="s">
        <v>8</v>
      </c>
      <c r="C4" s="13"/>
      <c r="D4" s="13"/>
      <c r="E4" s="13"/>
      <c r="F4" s="14"/>
      <c r="G4" s="15" t="s">
        <v>10</v>
      </c>
      <c r="H4" s="15"/>
      <c r="I4" s="15"/>
      <c r="J4" s="15"/>
      <c r="K4" s="15"/>
      <c r="L4" s="15"/>
      <c r="M4" s="15"/>
      <c r="N4" s="15"/>
      <c r="O4" s="15"/>
      <c r="P4" s="15"/>
      <c r="Q4" s="15"/>
      <c r="R4" s="15"/>
      <c r="S4" s="15"/>
      <c r="T4" s="15"/>
      <c r="U4" s="15"/>
      <c r="V4" s="15"/>
      <c r="W4" s="15"/>
      <c r="X4" s="15"/>
      <c r="Y4" s="15"/>
      <c r="Z4" s="16"/>
    </row>
    <row r="5" spans="2:26" ht="15">
      <c r="B5" s="12" t="s">
        <v>8</v>
      </c>
      <c r="C5" s="13"/>
      <c r="D5" s="13"/>
      <c r="E5" s="13"/>
      <c r="F5" s="14"/>
      <c r="G5" s="17" t="s">
        <v>9</v>
      </c>
      <c r="H5" s="17"/>
      <c r="I5" s="17"/>
      <c r="J5" s="17"/>
      <c r="K5" s="17"/>
      <c r="L5" s="17"/>
      <c r="M5" s="17"/>
      <c r="N5" s="17"/>
      <c r="O5" s="17"/>
      <c r="P5" s="17"/>
      <c r="Q5" s="17"/>
      <c r="R5" s="17"/>
      <c r="S5" s="17"/>
      <c r="T5" s="17"/>
      <c r="U5" s="17"/>
      <c r="V5" s="17"/>
      <c r="W5" s="17"/>
      <c r="X5" s="17"/>
      <c r="Y5" s="17"/>
      <c r="Z5" s="18"/>
    </row>
    <row r="6" spans="2:26" ht="15">
      <c r="B6" s="12" t="s">
        <v>8</v>
      </c>
      <c r="C6" s="13"/>
      <c r="D6" s="13"/>
      <c r="E6" s="13"/>
      <c r="F6" s="14"/>
      <c r="G6" s="15" t="s">
        <v>10</v>
      </c>
      <c r="H6" s="15"/>
      <c r="I6" s="15"/>
      <c r="J6" s="15"/>
      <c r="K6" s="15"/>
      <c r="L6" s="15"/>
      <c r="M6" s="15"/>
      <c r="N6" s="15"/>
      <c r="O6" s="15"/>
      <c r="P6" s="15"/>
      <c r="Q6" s="15"/>
      <c r="R6" s="15"/>
      <c r="S6" s="15"/>
      <c r="T6" s="15"/>
      <c r="U6" s="15"/>
      <c r="V6" s="15"/>
      <c r="W6" s="15"/>
      <c r="X6" s="15"/>
      <c r="Y6" s="15"/>
      <c r="Z6" s="16"/>
    </row>
    <row r="7" spans="2:26" ht="15">
      <c r="B7" s="12" t="s">
        <v>8</v>
      </c>
      <c r="C7" s="13"/>
      <c r="D7" s="13"/>
      <c r="E7" s="13"/>
      <c r="F7" s="14"/>
      <c r="G7" s="17" t="s">
        <v>9</v>
      </c>
      <c r="H7" s="17"/>
      <c r="I7" s="17"/>
      <c r="J7" s="17"/>
      <c r="K7" s="17"/>
      <c r="L7" s="17"/>
      <c r="M7" s="17"/>
      <c r="N7" s="17"/>
      <c r="O7" s="17"/>
      <c r="P7" s="17"/>
      <c r="Q7" s="17"/>
      <c r="R7" s="17"/>
      <c r="S7" s="17"/>
      <c r="T7" s="17"/>
      <c r="U7" s="17"/>
      <c r="V7" s="17"/>
      <c r="W7" s="17"/>
      <c r="X7" s="17"/>
      <c r="Y7" s="17"/>
      <c r="Z7" s="18"/>
    </row>
    <row r="8" spans="2:26" ht="15">
      <c r="B8" s="19" t="s">
        <v>8</v>
      </c>
      <c r="C8" s="20"/>
      <c r="D8" s="20"/>
      <c r="E8" s="20"/>
      <c r="F8" s="21"/>
      <c r="G8" s="22" t="s">
        <v>10</v>
      </c>
      <c r="H8" s="22"/>
      <c r="I8" s="22"/>
      <c r="J8" s="22"/>
      <c r="K8" s="22"/>
      <c r="L8" s="22"/>
      <c r="M8" s="22"/>
      <c r="N8" s="22"/>
      <c r="O8" s="22"/>
      <c r="P8" s="22"/>
      <c r="Q8" s="22"/>
      <c r="R8" s="22"/>
      <c r="S8" s="22"/>
      <c r="T8" s="22"/>
      <c r="U8" s="22"/>
      <c r="V8" s="22"/>
      <c r="W8" s="22"/>
      <c r="X8" s="22"/>
      <c r="Y8" s="22"/>
      <c r="Z8"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Main</vt:lpstr>
      <vt:lpstr>Bull Case (20%)</vt:lpstr>
      <vt:lpstr>Base Case (50%)</vt:lpstr>
      <vt:lpstr>Bear Case (30%)</vt:lpstr>
      <vt:lpstr>Notes | Quant Analysis</vt:lpstr>
      <vt:lpstr>Product Lines</vt:lpstr>
      <vt:lpstr>IP</vt:lpstr>
      <vt:lpstr>Management</vt:lpstr>
      <vt:lpstr>Table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Jacob H</cp:lastModifiedBy>
  <dcterms:created xsi:type="dcterms:W3CDTF">2015-06-05T18:17:20Z</dcterms:created>
  <dcterms:modified xsi:type="dcterms:W3CDTF">2026-01-12T06:34:31Z</dcterms:modified>
</cp:coreProperties>
</file>