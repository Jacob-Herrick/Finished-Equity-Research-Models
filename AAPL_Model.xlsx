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4.xml" ContentType="application/vnd.openxmlformats-officedocument.drawingml.chart+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3.xml" ContentType="application/vnd.openxmlformats-officedocument.themeOverrid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xmlns:mc="http://schemas.openxmlformats.org/markup-compatibility/2006">
    <mc:Choice Requires="x15">
      <x15ac:absPath xmlns:x15ac="http://schemas.microsoft.com/office/spreadsheetml/2010/11/ac" url="C:\Users\User\OneDrive\Desktop\Equity Research\Models\Technology\"/>
    </mc:Choice>
  </mc:AlternateContent>
  <xr:revisionPtr revIDLastSave="0" documentId="13_ncr:1_{7BFAAF7B-7DFE-4FA2-97AC-88B8B6D0FEBE}" xr6:coauthVersionLast="47" xr6:coauthVersionMax="47" xr10:uidLastSave="{00000000-0000-0000-0000-000000000000}"/>
  <bookViews>
    <workbookView xWindow="28695" yWindow="0" windowWidth="12435" windowHeight="15585" xr2:uid="{00000000-000D-0000-FFFF-FFFF00000000}"/>
  </bookViews>
  <sheets>
    <sheet name="Main" sheetId="1" r:id="rId1"/>
    <sheet name="Model" sheetId="2" r:id="rId2"/>
    <sheet name="Notes | Quant Analysis" sheetId="3" r:id="rId3"/>
    <sheet name="Product Lines" sheetId="5" r:id="rId4"/>
    <sheet name="Apple Silicon" sheetId="7" r:id="rId5"/>
    <sheet name="M&amp;A" sheetId="8" r:id="rId6"/>
    <sheet name="Management" sheetId="6" r:id="rId7"/>
    <sheet name="Table Formatting" sheetId="4" r:id="rId8"/>
  </sheets>
  <externalReferences>
    <externalReference r:id="rId9"/>
    <externalReference r:id="rId10"/>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R50" i="2" l="1"/>
  <c r="DA69" i="2" l="1"/>
  <c r="CV68" i="2"/>
  <c r="CU68" i="2"/>
  <c r="CS68" i="2"/>
  <c r="CQ55" i="2"/>
  <c r="CQ54" i="2"/>
  <c r="CQ53" i="2"/>
  <c r="CQ52" i="2"/>
  <c r="CQ51" i="2"/>
  <c r="CQ50" i="2"/>
  <c r="CQ49" i="2"/>
  <c r="CQ48" i="2"/>
  <c r="CQ47" i="2"/>
  <c r="CQ46" i="2"/>
  <c r="CQ45" i="2"/>
  <c r="CO64" i="2"/>
  <c r="CP64" i="2"/>
  <c r="CQ64" i="2"/>
  <c r="CO44" i="2"/>
  <c r="CP44" i="2"/>
  <c r="CQ44" i="2"/>
  <c r="BJ28" i="2"/>
  <c r="BJ27" i="2"/>
  <c r="BJ26" i="2"/>
  <c r="BJ25" i="2"/>
  <c r="BJ24" i="2"/>
  <c r="AW16" i="2"/>
  <c r="AV16" i="2"/>
  <c r="AU16" i="2"/>
  <c r="AT16" i="2"/>
  <c r="AS16" i="2"/>
  <c r="AR16" i="2"/>
  <c r="AQ16" i="2"/>
  <c r="AP16" i="2"/>
  <c r="AO16" i="2"/>
  <c r="AN16" i="2"/>
  <c r="AM16" i="2"/>
  <c r="AL16" i="2"/>
  <c r="AK16" i="2"/>
  <c r="AJ16" i="2"/>
  <c r="AI16" i="2"/>
  <c r="AH16" i="2"/>
  <c r="AG16" i="2"/>
  <c r="AF16" i="2"/>
  <c r="AE16" i="2"/>
  <c r="AD16" i="2"/>
  <c r="AC16" i="2"/>
  <c r="AB16" i="2"/>
  <c r="AA16" i="2"/>
  <c r="Z16" i="2"/>
  <c r="Y16" i="2"/>
  <c r="X16" i="2"/>
  <c r="W16" i="2"/>
  <c r="V16" i="2"/>
  <c r="U16" i="2"/>
  <c r="T16" i="2"/>
  <c r="S16" i="2"/>
  <c r="R16" i="2"/>
  <c r="Q16" i="2"/>
  <c r="P16" i="2"/>
  <c r="O16" i="2"/>
  <c r="N16" i="2"/>
  <c r="M16" i="2"/>
  <c r="L16" i="2"/>
  <c r="K16" i="2"/>
  <c r="J16" i="2"/>
  <c r="I16" i="2"/>
  <c r="H16" i="2"/>
  <c r="G16" i="2"/>
  <c r="AX16" i="2"/>
  <c r="CK16" i="2"/>
  <c r="CJ16" i="2"/>
  <c r="CI16" i="2"/>
  <c r="CH16" i="2"/>
  <c r="CG16" i="2"/>
  <c r="CF16" i="2"/>
  <c r="CE16" i="2"/>
  <c r="CD16" i="2"/>
  <c r="CC16" i="2"/>
  <c r="CB16" i="2"/>
  <c r="CL16" i="2"/>
  <c r="CQ94" i="2"/>
  <c r="CP94" i="2"/>
  <c r="CO94" i="2"/>
  <c r="CN94" i="2"/>
  <c r="CM94" i="2"/>
  <c r="CL94" i="2"/>
  <c r="CK94" i="2"/>
  <c r="CJ94" i="2"/>
  <c r="CI94" i="2"/>
  <c r="CH94" i="2"/>
  <c r="CG94" i="2"/>
  <c r="CF94" i="2"/>
  <c r="CE94" i="2"/>
  <c r="CD94" i="2"/>
  <c r="CC94" i="2"/>
  <c r="CB94" i="2"/>
  <c r="CA94" i="2"/>
  <c r="CQ97" i="2"/>
  <c r="CP97" i="2"/>
  <c r="CO97" i="2"/>
  <c r="CN97" i="2"/>
  <c r="CM97" i="2"/>
  <c r="CL97" i="2"/>
  <c r="CK97" i="2"/>
  <c r="CJ97" i="2"/>
  <c r="CI97" i="2"/>
  <c r="CH97" i="2"/>
  <c r="CG97" i="2"/>
  <c r="CF97" i="2"/>
  <c r="CQ96" i="2"/>
  <c r="CP96" i="2"/>
  <c r="CO96" i="2"/>
  <c r="CN96" i="2"/>
  <c r="CM96" i="2"/>
  <c r="CL96" i="2"/>
  <c r="CK96" i="2"/>
  <c r="CJ96" i="2"/>
  <c r="CI96" i="2"/>
  <c r="CH96" i="2"/>
  <c r="CG96" i="2"/>
  <c r="CF96" i="2"/>
  <c r="CE96" i="2"/>
  <c r="CD96" i="2"/>
  <c r="CC96" i="2"/>
  <c r="CB96" i="2"/>
  <c r="CA96" i="2"/>
  <c r="CQ95" i="2"/>
  <c r="CP95" i="2"/>
  <c r="CO95" i="2"/>
  <c r="CN95" i="2"/>
  <c r="CM95" i="2"/>
  <c r="CL95" i="2"/>
  <c r="CK95" i="2"/>
  <c r="CJ95" i="2"/>
  <c r="CI95" i="2"/>
  <c r="CH95" i="2"/>
  <c r="CG95" i="2"/>
  <c r="CF95" i="2"/>
  <c r="CE95" i="2"/>
  <c r="CD95" i="2"/>
  <c r="CC95" i="2"/>
  <c r="CB95" i="2"/>
  <c r="CA95" i="2"/>
  <c r="CQ92" i="2"/>
  <c r="CP92" i="2"/>
  <c r="CO92" i="2"/>
  <c r="CN92" i="2"/>
  <c r="CM92" i="2"/>
  <c r="CL92" i="2"/>
  <c r="CQ91" i="2"/>
  <c r="CP91" i="2"/>
  <c r="CO91" i="2"/>
  <c r="CN91" i="2"/>
  <c r="CM91" i="2"/>
  <c r="CL91" i="2"/>
  <c r="CQ90" i="2"/>
  <c r="CP90" i="2"/>
  <c r="CO90" i="2"/>
  <c r="CN90" i="2"/>
  <c r="CM90" i="2"/>
  <c r="CL90" i="2"/>
  <c r="CQ89" i="2"/>
  <c r="CP89" i="2"/>
  <c r="CO89" i="2"/>
  <c r="CN89" i="2"/>
  <c r="CM89" i="2"/>
  <c r="CL89" i="2"/>
  <c r="CQ88" i="2"/>
  <c r="CP88" i="2"/>
  <c r="CO88" i="2"/>
  <c r="CN88" i="2"/>
  <c r="CM88" i="2"/>
  <c r="CL88" i="2"/>
  <c r="CQ87" i="2"/>
  <c r="CP87" i="2"/>
  <c r="CO87" i="2"/>
  <c r="CN87" i="2"/>
  <c r="CM87" i="2"/>
  <c r="CL87" i="2"/>
  <c r="CQ86" i="2"/>
  <c r="CP86" i="2"/>
  <c r="CO86" i="2"/>
  <c r="CN86" i="2"/>
  <c r="CM86" i="2"/>
  <c r="CL86" i="2"/>
  <c r="CQ84" i="2"/>
  <c r="CP84" i="2"/>
  <c r="CO84" i="2"/>
  <c r="CN84" i="2"/>
  <c r="CM84" i="2"/>
  <c r="CL84" i="2"/>
  <c r="CQ83" i="2"/>
  <c r="CP83" i="2"/>
  <c r="CO83" i="2"/>
  <c r="CN83" i="2"/>
  <c r="CM83" i="2"/>
  <c r="CL83" i="2"/>
  <c r="CQ82" i="2"/>
  <c r="CP82" i="2"/>
  <c r="CO82" i="2"/>
  <c r="CN82" i="2"/>
  <c r="CM82" i="2"/>
  <c r="CL82" i="2"/>
  <c r="CQ81" i="2"/>
  <c r="CP81" i="2"/>
  <c r="CO81" i="2"/>
  <c r="CN81" i="2"/>
  <c r="CM81" i="2"/>
  <c r="CL81" i="2"/>
  <c r="CQ80" i="2"/>
  <c r="CP80" i="2"/>
  <c r="CO80" i="2"/>
  <c r="CN80" i="2"/>
  <c r="CM80" i="2"/>
  <c r="CL80" i="2"/>
  <c r="CQ79" i="2"/>
  <c r="CP79" i="2"/>
  <c r="CO79" i="2"/>
  <c r="CN79" i="2"/>
  <c r="CM79" i="2"/>
  <c r="CL79" i="2"/>
  <c r="CQ78" i="2"/>
  <c r="CP78" i="2"/>
  <c r="CO78" i="2"/>
  <c r="CN78" i="2"/>
  <c r="CM78" i="2"/>
  <c r="CL78" i="2"/>
  <c r="CQ77" i="2"/>
  <c r="CP77" i="2"/>
  <c r="CO77" i="2"/>
  <c r="CN77" i="2"/>
  <c r="CM77" i="2"/>
  <c r="CL77" i="2"/>
  <c r="CQ76" i="2"/>
  <c r="CP76" i="2"/>
  <c r="CO76" i="2"/>
  <c r="CN76" i="2"/>
  <c r="CM76" i="2"/>
  <c r="CL76" i="2"/>
  <c r="CQ75" i="2"/>
  <c r="CP75" i="2"/>
  <c r="CO75" i="2"/>
  <c r="CN75" i="2"/>
  <c r="CM75" i="2"/>
  <c r="CL75" i="2"/>
  <c r="CQ73" i="2"/>
  <c r="CP73" i="2"/>
  <c r="CO73" i="2"/>
  <c r="CN73" i="2"/>
  <c r="CM73" i="2"/>
  <c r="CL73" i="2"/>
  <c r="CQ72" i="2"/>
  <c r="CP72" i="2"/>
  <c r="CO72" i="2"/>
  <c r="CN72" i="2"/>
  <c r="CM72" i="2"/>
  <c r="CL72" i="2"/>
  <c r="CQ71" i="2"/>
  <c r="CP71" i="2"/>
  <c r="CO71" i="2"/>
  <c r="CN71" i="2"/>
  <c r="CM71" i="2"/>
  <c r="CL71" i="2"/>
  <c r="CQ70" i="2"/>
  <c r="CP70" i="2"/>
  <c r="CO70" i="2"/>
  <c r="CN70" i="2"/>
  <c r="CM70" i="2"/>
  <c r="CL70" i="2"/>
  <c r="CQ69" i="2"/>
  <c r="CP69" i="2"/>
  <c r="CO69" i="2"/>
  <c r="CN69" i="2"/>
  <c r="CM69" i="2"/>
  <c r="CL69" i="2"/>
  <c r="CQ68" i="2"/>
  <c r="CP68" i="2"/>
  <c r="CO68" i="2"/>
  <c r="CN68" i="2"/>
  <c r="CM68" i="2"/>
  <c r="CL68" i="2"/>
  <c r="CQ67" i="2"/>
  <c r="CP67" i="2"/>
  <c r="CO67" i="2"/>
  <c r="CN67" i="2"/>
  <c r="CM67" i="2"/>
  <c r="CL67" i="2"/>
  <c r="CQ66" i="2"/>
  <c r="CP66" i="2"/>
  <c r="CO66" i="2"/>
  <c r="CN66" i="2"/>
  <c r="CM66" i="2"/>
  <c r="CL66" i="2"/>
  <c r="CQ65" i="2"/>
  <c r="CP65" i="2"/>
  <c r="CO65" i="2"/>
  <c r="CN65" i="2"/>
  <c r="CM65" i="2"/>
  <c r="CL65" i="2"/>
  <c r="AX90" i="2"/>
  <c r="AX88" i="2"/>
  <c r="AX87" i="2"/>
  <c r="AX86" i="2"/>
  <c r="AX82" i="2"/>
  <c r="AX84" i="2" s="1"/>
  <c r="AX73" i="2"/>
  <c r="AX28" i="2"/>
  <c r="AX27" i="2"/>
  <c r="AX26" i="2"/>
  <c r="AX25" i="2"/>
  <c r="AX24" i="2"/>
  <c r="BB28" i="2"/>
  <c r="BB27" i="2"/>
  <c r="BB26" i="2"/>
  <c r="BB25" i="2"/>
  <c r="BB24" i="2"/>
  <c r="BF28" i="2"/>
  <c r="BF27" i="2"/>
  <c r="BF26" i="2"/>
  <c r="BF25" i="2"/>
  <c r="BF24" i="2"/>
  <c r="AX8" i="2"/>
  <c r="AX7" i="2"/>
  <c r="AX6" i="2"/>
  <c r="AX5" i="2"/>
  <c r="AX4" i="2"/>
  <c r="BB8" i="2"/>
  <c r="BB7" i="2"/>
  <c r="BB6" i="2"/>
  <c r="BB5" i="2"/>
  <c r="BB4" i="2"/>
  <c r="BF8" i="2"/>
  <c r="BF7" i="2"/>
  <c r="BF6" i="2"/>
  <c r="BF5" i="2"/>
  <c r="BF4" i="2"/>
  <c r="BR87" i="2"/>
  <c r="BP87" i="2"/>
  <c r="BO87" i="2"/>
  <c r="BN87" i="2"/>
  <c r="BM87" i="2"/>
  <c r="BL87" i="2"/>
  <c r="BK87" i="2"/>
  <c r="BJ87" i="2"/>
  <c r="BI87" i="2"/>
  <c r="BH87" i="2"/>
  <c r="BG87" i="2"/>
  <c r="BF87" i="2"/>
  <c r="BE87" i="2"/>
  <c r="BD87" i="2"/>
  <c r="BC87" i="2"/>
  <c r="BB87" i="2"/>
  <c r="BA87" i="2"/>
  <c r="AZ87" i="2"/>
  <c r="AY87" i="2"/>
  <c r="BQ87" i="2"/>
  <c r="BN24" i="2" l="1"/>
  <c r="BN28" i="2"/>
  <c r="BN27" i="2"/>
  <c r="BN26" i="2"/>
  <c r="BN25" i="2"/>
  <c r="BR28" i="2"/>
  <c r="BR27" i="2"/>
  <c r="BR26" i="2"/>
  <c r="BR25" i="2"/>
  <c r="BR24" i="2"/>
  <c r="BJ8" i="2"/>
  <c r="BJ7" i="2"/>
  <c r="BJ6" i="2"/>
  <c r="BJ5" i="2"/>
  <c r="BJ4" i="2"/>
  <c r="BR8" i="2"/>
  <c r="BN8" i="2"/>
  <c r="BN7" i="2"/>
  <c r="BN6" i="2"/>
  <c r="BN5" i="2"/>
  <c r="BN4" i="2"/>
  <c r="BR7" i="2"/>
  <c r="BR6" i="2"/>
  <c r="BR5" i="2"/>
  <c r="BR4" i="2"/>
  <c r="BQ90" i="2"/>
  <c r="BP90" i="2"/>
  <c r="BO90" i="2"/>
  <c r="BN90" i="2"/>
  <c r="BM90" i="2"/>
  <c r="BL90" i="2"/>
  <c r="BK90" i="2"/>
  <c r="BJ90" i="2"/>
  <c r="BI90" i="2"/>
  <c r="BH90" i="2"/>
  <c r="BG90" i="2"/>
  <c r="BF90" i="2"/>
  <c r="BE90" i="2"/>
  <c r="BD90" i="2"/>
  <c r="BC90" i="2"/>
  <c r="BB90" i="2"/>
  <c r="BA90" i="2"/>
  <c r="AZ90" i="2"/>
  <c r="AY90" i="2"/>
  <c r="BQ88" i="2"/>
  <c r="BP88" i="2"/>
  <c r="BO88" i="2"/>
  <c r="BN88" i="2"/>
  <c r="BM88" i="2"/>
  <c r="BL88" i="2"/>
  <c r="BK88" i="2"/>
  <c r="BJ88" i="2"/>
  <c r="BI88" i="2"/>
  <c r="BH88" i="2"/>
  <c r="BG88" i="2"/>
  <c r="BF88" i="2"/>
  <c r="BE88" i="2"/>
  <c r="BD88" i="2"/>
  <c r="BC88" i="2"/>
  <c r="BB88" i="2"/>
  <c r="BA88" i="2"/>
  <c r="AZ88" i="2"/>
  <c r="AY88" i="2"/>
  <c r="BQ86" i="2"/>
  <c r="BP86" i="2"/>
  <c r="BO86" i="2"/>
  <c r="BN86" i="2"/>
  <c r="BM86" i="2"/>
  <c r="BL86" i="2"/>
  <c r="BK86" i="2"/>
  <c r="BJ86" i="2"/>
  <c r="BI86" i="2"/>
  <c r="BH86" i="2"/>
  <c r="BG86" i="2"/>
  <c r="BF86" i="2"/>
  <c r="BE86" i="2"/>
  <c r="BD86" i="2"/>
  <c r="BC86" i="2"/>
  <c r="BB86" i="2"/>
  <c r="BA86" i="2"/>
  <c r="AZ86" i="2"/>
  <c r="AY86" i="2"/>
  <c r="BR90" i="2"/>
  <c r="BR88" i="2" l="1"/>
  <c r="BR86" i="2"/>
  <c r="AT98" i="2"/>
  <c r="AS98" i="2"/>
  <c r="AR98" i="2"/>
  <c r="AQ98" i="2"/>
  <c r="AP98" i="2"/>
  <c r="AO98" i="2"/>
  <c r="AN98" i="2"/>
  <c r="AM98" i="2"/>
  <c r="AL98" i="2"/>
  <c r="AK98" i="2"/>
  <c r="AJ98" i="2"/>
  <c r="AI98" i="2"/>
  <c r="AH98" i="2"/>
  <c r="AG98" i="2"/>
  <c r="AF98" i="2"/>
  <c r="AE98" i="2"/>
  <c r="AD98" i="2"/>
  <c r="AC98" i="2"/>
  <c r="AB98" i="2"/>
  <c r="AA98" i="2"/>
  <c r="Z98" i="2"/>
  <c r="Y98" i="2"/>
  <c r="X98" i="2"/>
  <c r="W98" i="2"/>
  <c r="V98" i="2"/>
  <c r="U98" i="2"/>
  <c r="T98" i="2"/>
  <c r="S98" i="2"/>
  <c r="R98" i="2"/>
  <c r="Q98" i="2"/>
  <c r="P98" i="2"/>
  <c r="O98" i="2"/>
  <c r="N98" i="2"/>
  <c r="M98" i="2"/>
  <c r="L98" i="2"/>
  <c r="K98" i="2"/>
  <c r="J98" i="2"/>
  <c r="I98" i="2"/>
  <c r="H98" i="2"/>
  <c r="G98" i="2"/>
  <c r="F98" i="2"/>
  <c r="E98" i="2"/>
  <c r="D98" i="2"/>
  <c r="C98" i="2"/>
  <c r="AT97" i="2"/>
  <c r="AT99" i="2" s="1"/>
  <c r="AS97" i="2"/>
  <c r="AR97" i="2"/>
  <c r="AQ97" i="2"/>
  <c r="AP97" i="2"/>
  <c r="AO97" i="2"/>
  <c r="AN97" i="2"/>
  <c r="AM97" i="2"/>
  <c r="AM99" i="2" s="1"/>
  <c r="AL97" i="2"/>
  <c r="AK97" i="2"/>
  <c r="AJ97" i="2"/>
  <c r="AI97" i="2"/>
  <c r="AH97" i="2"/>
  <c r="AG97" i="2"/>
  <c r="AF97" i="2"/>
  <c r="AE97" i="2"/>
  <c r="AE99" i="2" s="1"/>
  <c r="AD97" i="2"/>
  <c r="AC97" i="2"/>
  <c r="AB97" i="2"/>
  <c r="AA97" i="2"/>
  <c r="Z97" i="2"/>
  <c r="Y97" i="2"/>
  <c r="X97" i="2"/>
  <c r="W97" i="2"/>
  <c r="W99" i="2" s="1"/>
  <c r="V97" i="2"/>
  <c r="U97" i="2"/>
  <c r="T97" i="2"/>
  <c r="S97" i="2"/>
  <c r="R97" i="2"/>
  <c r="Q97" i="2"/>
  <c r="P97" i="2"/>
  <c r="O97" i="2"/>
  <c r="N97" i="2"/>
  <c r="M97" i="2"/>
  <c r="L97" i="2"/>
  <c r="K97" i="2"/>
  <c r="J97" i="2"/>
  <c r="I97" i="2"/>
  <c r="H97" i="2"/>
  <c r="H99" i="2" s="1"/>
  <c r="G97" i="2"/>
  <c r="F97" i="2"/>
  <c r="F99" i="2" s="1"/>
  <c r="E97" i="2"/>
  <c r="D97" i="2"/>
  <c r="C97" i="2"/>
  <c r="AT59" i="2"/>
  <c r="AS59" i="2"/>
  <c r="AR59" i="2"/>
  <c r="AQ59" i="2"/>
  <c r="AP59" i="2"/>
  <c r="AO59" i="2"/>
  <c r="AN59" i="2"/>
  <c r="AM59" i="2"/>
  <c r="AL59" i="2"/>
  <c r="AK59" i="2"/>
  <c r="AJ59" i="2"/>
  <c r="AI59" i="2"/>
  <c r="AH59" i="2"/>
  <c r="AG59" i="2"/>
  <c r="AF59" i="2"/>
  <c r="AE59" i="2"/>
  <c r="AD59" i="2"/>
  <c r="AC59" i="2"/>
  <c r="AB59" i="2"/>
  <c r="AA59" i="2"/>
  <c r="Z59" i="2"/>
  <c r="Y59" i="2"/>
  <c r="X59" i="2"/>
  <c r="W59" i="2"/>
  <c r="V59" i="2"/>
  <c r="U59" i="2"/>
  <c r="T59" i="2"/>
  <c r="S59" i="2"/>
  <c r="R59" i="2"/>
  <c r="Q59" i="2"/>
  <c r="P59" i="2"/>
  <c r="O59" i="2"/>
  <c r="N59" i="2"/>
  <c r="M59" i="2"/>
  <c r="L59" i="2"/>
  <c r="K59" i="2"/>
  <c r="J59" i="2"/>
  <c r="I59" i="2"/>
  <c r="H59" i="2"/>
  <c r="G59" i="2"/>
  <c r="F59" i="2"/>
  <c r="E59" i="2"/>
  <c r="D59" i="2"/>
  <c r="C59" i="2"/>
  <c r="AT58" i="2"/>
  <c r="AS58" i="2"/>
  <c r="AR58" i="2"/>
  <c r="AQ58" i="2"/>
  <c r="AP58" i="2"/>
  <c r="AO58" i="2"/>
  <c r="AN58" i="2"/>
  <c r="AM58" i="2"/>
  <c r="AL58" i="2"/>
  <c r="AK58" i="2"/>
  <c r="AJ58" i="2"/>
  <c r="AI58" i="2"/>
  <c r="AH58" i="2"/>
  <c r="AG58" i="2"/>
  <c r="AF58" i="2"/>
  <c r="AE58" i="2"/>
  <c r="AD58" i="2"/>
  <c r="AC58" i="2"/>
  <c r="AB58" i="2"/>
  <c r="AA58" i="2"/>
  <c r="Z58" i="2"/>
  <c r="Y58" i="2"/>
  <c r="X58" i="2"/>
  <c r="W58" i="2"/>
  <c r="V58" i="2"/>
  <c r="U58" i="2"/>
  <c r="T58" i="2"/>
  <c r="S58" i="2"/>
  <c r="R58" i="2"/>
  <c r="Q58" i="2"/>
  <c r="P58" i="2"/>
  <c r="O58" i="2"/>
  <c r="N58" i="2"/>
  <c r="M58" i="2"/>
  <c r="L58" i="2"/>
  <c r="K58" i="2"/>
  <c r="J58" i="2"/>
  <c r="I58" i="2"/>
  <c r="H58" i="2"/>
  <c r="G58" i="2"/>
  <c r="F58" i="2"/>
  <c r="E58" i="2"/>
  <c r="D58" i="2"/>
  <c r="C58" i="2"/>
  <c r="K49" i="2"/>
  <c r="K51" i="2" s="1"/>
  <c r="C49" i="2"/>
  <c r="C51" i="2" s="1"/>
  <c r="AT46" i="2"/>
  <c r="AT49" i="2" s="1"/>
  <c r="AS46" i="2"/>
  <c r="AS57" i="2" s="1"/>
  <c r="AR46" i="2"/>
  <c r="AR49" i="2" s="1"/>
  <c r="AR51" i="2" s="1"/>
  <c r="AR53" i="2" s="1"/>
  <c r="AQ46" i="2"/>
  <c r="AQ57" i="2" s="1"/>
  <c r="AP46" i="2"/>
  <c r="AP57" i="2" s="1"/>
  <c r="AO46" i="2"/>
  <c r="AO57" i="2" s="1"/>
  <c r="AN46" i="2"/>
  <c r="AN49" i="2" s="1"/>
  <c r="AM46" i="2"/>
  <c r="AM49" i="2" s="1"/>
  <c r="AL46" i="2"/>
  <c r="AL49" i="2" s="1"/>
  <c r="AK46" i="2"/>
  <c r="AK57" i="2" s="1"/>
  <c r="AJ46" i="2"/>
  <c r="AJ49" i="2" s="1"/>
  <c r="AI46" i="2"/>
  <c r="AI57" i="2" s="1"/>
  <c r="AH46" i="2"/>
  <c r="AH57" i="2" s="1"/>
  <c r="AG46" i="2"/>
  <c r="AG49" i="2" s="1"/>
  <c r="AG51" i="2" s="1"/>
  <c r="AG53" i="2" s="1"/>
  <c r="AG62" i="2" s="1"/>
  <c r="AF46" i="2"/>
  <c r="AF49" i="2" s="1"/>
  <c r="AE46" i="2"/>
  <c r="AE49" i="2" s="1"/>
  <c r="AD46" i="2"/>
  <c r="AD49" i="2" s="1"/>
  <c r="AC46" i="2"/>
  <c r="AC57" i="2" s="1"/>
  <c r="AB46" i="2"/>
  <c r="AB49" i="2" s="1"/>
  <c r="AA46" i="2"/>
  <c r="AA57" i="2" s="1"/>
  <c r="Z46" i="2"/>
  <c r="Z57" i="2" s="1"/>
  <c r="Y46" i="2"/>
  <c r="Y57" i="2" s="1"/>
  <c r="X46" i="2"/>
  <c r="X49" i="2" s="1"/>
  <c r="W46" i="2"/>
  <c r="W49" i="2" s="1"/>
  <c r="V46" i="2"/>
  <c r="V49" i="2" s="1"/>
  <c r="U46" i="2"/>
  <c r="U57" i="2" s="1"/>
  <c r="T46" i="2"/>
  <c r="T57" i="2" s="1"/>
  <c r="S46" i="2"/>
  <c r="S57" i="2" s="1"/>
  <c r="R46" i="2"/>
  <c r="R57" i="2" s="1"/>
  <c r="Q46" i="2"/>
  <c r="Q49" i="2" s="1"/>
  <c r="Q51" i="2" s="1"/>
  <c r="Q53" i="2" s="1"/>
  <c r="Q62" i="2" s="1"/>
  <c r="P46" i="2"/>
  <c r="P49" i="2" s="1"/>
  <c r="O46" i="2"/>
  <c r="O49" i="2" s="1"/>
  <c r="N46" i="2"/>
  <c r="N49" i="2" s="1"/>
  <c r="M46" i="2"/>
  <c r="M57" i="2" s="1"/>
  <c r="L46" i="2"/>
  <c r="L49" i="2" s="1"/>
  <c r="K46" i="2"/>
  <c r="K57" i="2" s="1"/>
  <c r="J46" i="2"/>
  <c r="J57" i="2" s="1"/>
  <c r="I46" i="2"/>
  <c r="I57" i="2" s="1"/>
  <c r="H46" i="2"/>
  <c r="H49" i="2" s="1"/>
  <c r="G46" i="2"/>
  <c r="G49" i="2" s="1"/>
  <c r="F46" i="2"/>
  <c r="F49" i="2" s="1"/>
  <c r="E46" i="2"/>
  <c r="E57" i="2" s="1"/>
  <c r="D46" i="2"/>
  <c r="D57" i="2" s="1"/>
  <c r="C46" i="2"/>
  <c r="C57" i="2" s="1"/>
  <c r="CE97" i="2" l="1"/>
  <c r="O99" i="2"/>
  <c r="CD97" i="2"/>
  <c r="CC97" i="2"/>
  <c r="CB97" i="2"/>
  <c r="CA97" i="2"/>
  <c r="C99" i="2"/>
  <c r="D99" i="2"/>
  <c r="E99" i="2"/>
  <c r="G99" i="2"/>
  <c r="I99" i="2"/>
  <c r="J99" i="2"/>
  <c r="AS99" i="2"/>
  <c r="AR99" i="2"/>
  <c r="AQ99" i="2"/>
  <c r="AP99" i="2"/>
  <c r="AO99" i="2"/>
  <c r="AN99" i="2"/>
  <c r="AL99" i="2"/>
  <c r="AK99" i="2"/>
  <c r="AJ99" i="2"/>
  <c r="AI99" i="2"/>
  <c r="CI99" i="2" s="1"/>
  <c r="AH99" i="2"/>
  <c r="AG99" i="2"/>
  <c r="AF99" i="2"/>
  <c r="AD99" i="2"/>
  <c r="AC99" i="2"/>
  <c r="AB99" i="2"/>
  <c r="AA99" i="2"/>
  <c r="CG99" i="2" s="1"/>
  <c r="V99" i="2"/>
  <c r="N99" i="2"/>
  <c r="Z99" i="2"/>
  <c r="Y99" i="2"/>
  <c r="X99" i="2"/>
  <c r="CF99" i="2"/>
  <c r="U99" i="2"/>
  <c r="T99" i="2"/>
  <c r="S99" i="2"/>
  <c r="R99" i="2"/>
  <c r="Q99" i="2"/>
  <c r="P99" i="2"/>
  <c r="M99" i="2"/>
  <c r="L99" i="2"/>
  <c r="K99" i="2"/>
  <c r="Y49" i="2"/>
  <c r="Y51" i="2" s="1"/>
  <c r="Y53" i="2" s="1"/>
  <c r="Y62" i="2" s="1"/>
  <c r="AO49" i="2"/>
  <c r="AO51" i="2" s="1"/>
  <c r="AO53" i="2" s="1"/>
  <c r="AO62" i="2" s="1"/>
  <c r="AQ49" i="2"/>
  <c r="AQ60" i="2" s="1"/>
  <c r="AG57" i="2"/>
  <c r="AR94" i="2"/>
  <c r="AR55" i="2"/>
  <c r="L51" i="2"/>
  <c r="L53" i="2" s="1"/>
  <c r="L94" i="2" s="1"/>
  <c r="L60" i="2"/>
  <c r="T49" i="2"/>
  <c r="T51" i="2" s="1"/>
  <c r="T53" i="2" s="1"/>
  <c r="T94" i="2" s="1"/>
  <c r="L57" i="2"/>
  <c r="Q57" i="2"/>
  <c r="D49" i="2"/>
  <c r="D51" i="2" s="1"/>
  <c r="D53" i="2" s="1"/>
  <c r="D55" i="2" s="1"/>
  <c r="AR57" i="2"/>
  <c r="AB57" i="2"/>
  <c r="AJ57" i="2"/>
  <c r="S49" i="2"/>
  <c r="S51" i="2" s="1"/>
  <c r="S61" i="2" s="1"/>
  <c r="AB51" i="2"/>
  <c r="AB53" i="2" s="1"/>
  <c r="AB60" i="2"/>
  <c r="AJ51" i="2"/>
  <c r="AJ53" i="2" s="1"/>
  <c r="AJ60" i="2"/>
  <c r="F57" i="2"/>
  <c r="V57" i="2"/>
  <c r="AL57" i="2"/>
  <c r="AR62" i="2"/>
  <c r="AA49" i="2"/>
  <c r="AA51" i="2" s="1"/>
  <c r="AA53" i="2" s="1"/>
  <c r="H57" i="2"/>
  <c r="X57" i="2"/>
  <c r="AN57" i="2"/>
  <c r="I49" i="2"/>
  <c r="I51" i="2" s="1"/>
  <c r="I53" i="2" s="1"/>
  <c r="I62" i="2" s="1"/>
  <c r="AR60" i="2"/>
  <c r="T60" i="2"/>
  <c r="T55" i="2"/>
  <c r="AI49" i="2"/>
  <c r="AI51" i="2" s="1"/>
  <c r="AI61" i="2" s="1"/>
  <c r="N57" i="2"/>
  <c r="AD57" i="2"/>
  <c r="AT57" i="2"/>
  <c r="P57" i="2"/>
  <c r="AF57" i="2"/>
  <c r="T62" i="2"/>
  <c r="P51" i="2"/>
  <c r="P60" i="2"/>
  <c r="X51" i="2"/>
  <c r="X60" i="2"/>
  <c r="AF51" i="2"/>
  <c r="AF60" i="2"/>
  <c r="AN51" i="2"/>
  <c r="AN60" i="2"/>
  <c r="K53" i="2"/>
  <c r="K61" i="2"/>
  <c r="H51" i="2"/>
  <c r="H60" i="2"/>
  <c r="N51" i="2"/>
  <c r="N60" i="2"/>
  <c r="AD51" i="2"/>
  <c r="AD60" i="2"/>
  <c r="AT51" i="2"/>
  <c r="AT60" i="2"/>
  <c r="F51" i="2"/>
  <c r="F60" i="2"/>
  <c r="V51" i="2"/>
  <c r="V60" i="2"/>
  <c r="AL51" i="2"/>
  <c r="AL60" i="2"/>
  <c r="G51" i="2"/>
  <c r="G60" i="2"/>
  <c r="O51" i="2"/>
  <c r="O60" i="2"/>
  <c r="W51" i="2"/>
  <c r="W60" i="2"/>
  <c r="AE51" i="2"/>
  <c r="AE60" i="2"/>
  <c r="AM51" i="2"/>
  <c r="AM60" i="2"/>
  <c r="C53" i="2"/>
  <c r="C61" i="2"/>
  <c r="AQ51" i="2"/>
  <c r="J49" i="2"/>
  <c r="R49" i="2"/>
  <c r="Z49" i="2"/>
  <c r="CF49" i="2" s="1"/>
  <c r="AH49" i="2"/>
  <c r="AP49" i="2"/>
  <c r="G57" i="2"/>
  <c r="O57" i="2"/>
  <c r="W57" i="2"/>
  <c r="AE57" i="2"/>
  <c r="AM57" i="2"/>
  <c r="C60" i="2"/>
  <c r="K60" i="2"/>
  <c r="Y61" i="2"/>
  <c r="Y94" i="2"/>
  <c r="AO94" i="2"/>
  <c r="E49" i="2"/>
  <c r="M49" i="2"/>
  <c r="U49" i="2"/>
  <c r="AC49" i="2"/>
  <c r="AK49" i="2"/>
  <c r="AS49" i="2"/>
  <c r="CK49" i="2" s="1"/>
  <c r="Q61" i="2"/>
  <c r="AG61" i="2"/>
  <c r="AO61" i="2"/>
  <c r="Q94" i="2"/>
  <c r="AG94" i="2"/>
  <c r="T61" i="2"/>
  <c r="AB61" i="2"/>
  <c r="AR61" i="2"/>
  <c r="Q55" i="2"/>
  <c r="Y55" i="2"/>
  <c r="AG55" i="2"/>
  <c r="AO55" i="2"/>
  <c r="Q60" i="2"/>
  <c r="Y60" i="2"/>
  <c r="AG60" i="2"/>
  <c r="AO60" i="2"/>
  <c r="BQ98" i="2"/>
  <c r="BP98" i="2"/>
  <c r="BO98" i="2"/>
  <c r="BN98" i="2"/>
  <c r="BM98" i="2"/>
  <c r="BL98" i="2"/>
  <c r="BK98" i="2"/>
  <c r="BJ98" i="2"/>
  <c r="BI98" i="2"/>
  <c r="BH98" i="2"/>
  <c r="BG98" i="2"/>
  <c r="BF98" i="2"/>
  <c r="BE98" i="2"/>
  <c r="BD98" i="2"/>
  <c r="BC98" i="2"/>
  <c r="BB98" i="2"/>
  <c r="BA98" i="2"/>
  <c r="AZ98" i="2"/>
  <c r="AY98" i="2"/>
  <c r="AX98" i="2"/>
  <c r="AW98" i="2"/>
  <c r="AV98" i="2"/>
  <c r="AU98" i="2"/>
  <c r="BR98" i="2"/>
  <c r="BQ97" i="2"/>
  <c r="BQ99" i="2" s="1"/>
  <c r="BP97" i="2"/>
  <c r="BP99" i="2" s="1"/>
  <c r="BO97" i="2"/>
  <c r="BO99" i="2" s="1"/>
  <c r="BN97" i="2"/>
  <c r="BN99" i="2" s="1"/>
  <c r="BM97" i="2"/>
  <c r="BL97" i="2"/>
  <c r="BL99" i="2" s="1"/>
  <c r="BK97" i="2"/>
  <c r="BJ97" i="2"/>
  <c r="BJ99" i="2" s="1"/>
  <c r="BI97" i="2"/>
  <c r="BH97" i="2"/>
  <c r="BH99" i="2" s="1"/>
  <c r="BG97" i="2"/>
  <c r="BG99" i="2" s="1"/>
  <c r="BF97" i="2"/>
  <c r="BF99" i="2" s="1"/>
  <c r="BE97" i="2"/>
  <c r="BE99" i="2" s="1"/>
  <c r="BD97" i="2"/>
  <c r="BD99" i="2" s="1"/>
  <c r="BC97" i="2"/>
  <c r="BC99" i="2" s="1"/>
  <c r="BB97" i="2"/>
  <c r="BB99" i="2" s="1"/>
  <c r="BA97" i="2"/>
  <c r="BA99" i="2" s="1"/>
  <c r="AZ97" i="2"/>
  <c r="AZ99" i="2" s="1"/>
  <c r="AY97" i="2"/>
  <c r="AY99" i="2" s="1"/>
  <c r="AX97" i="2"/>
  <c r="AX99" i="2" s="1"/>
  <c r="AW97" i="2"/>
  <c r="AW99" i="2" s="1"/>
  <c r="AV97" i="2"/>
  <c r="AV99" i="2" s="1"/>
  <c r="AU97" i="2"/>
  <c r="AU99" i="2" s="1"/>
  <c r="BR97" i="2"/>
  <c r="BR99" i="2" s="1"/>
  <c r="CQ98" i="2"/>
  <c r="CP54" i="2"/>
  <c r="CP98" i="2" s="1"/>
  <c r="CO54" i="2"/>
  <c r="CO98" i="2" s="1"/>
  <c r="CN54" i="2"/>
  <c r="CN98" i="2" s="1"/>
  <c r="CM54" i="2"/>
  <c r="CM98" i="2" s="1"/>
  <c r="CL54" i="2"/>
  <c r="CL98" i="2" s="1"/>
  <c r="CK54" i="2"/>
  <c r="CK98" i="2" s="1"/>
  <c r="CJ54" i="2"/>
  <c r="CJ98" i="2" s="1"/>
  <c r="CI54" i="2"/>
  <c r="CI98" i="2" s="1"/>
  <c r="CH54" i="2"/>
  <c r="CH98" i="2" s="1"/>
  <c r="CG54" i="2"/>
  <c r="CG98" i="2" s="1"/>
  <c r="CF54" i="2"/>
  <c r="CF98" i="2" s="1"/>
  <c r="CE54" i="2"/>
  <c r="CE98" i="2" s="1"/>
  <c r="CD54" i="2"/>
  <c r="CD98" i="2" s="1"/>
  <c r="CC54" i="2"/>
  <c r="CC98" i="2" s="1"/>
  <c r="CB54" i="2"/>
  <c r="CB98" i="2" s="1"/>
  <c r="CA54" i="2"/>
  <c r="CA98" i="2" s="1"/>
  <c r="CP52" i="2"/>
  <c r="CO52" i="2"/>
  <c r="CN52" i="2"/>
  <c r="CM52" i="2"/>
  <c r="CL52" i="2"/>
  <c r="CK52" i="2"/>
  <c r="CJ52" i="2"/>
  <c r="CI52" i="2"/>
  <c r="CH52" i="2"/>
  <c r="CG52" i="2"/>
  <c r="CF52" i="2"/>
  <c r="CE52" i="2"/>
  <c r="CD52" i="2"/>
  <c r="CC52" i="2"/>
  <c r="CB52" i="2"/>
  <c r="CA52" i="2"/>
  <c r="CP50" i="2"/>
  <c r="CO50" i="2"/>
  <c r="CN50" i="2"/>
  <c r="CM50" i="2"/>
  <c r="CL50" i="2"/>
  <c r="CK50" i="2"/>
  <c r="CJ50" i="2"/>
  <c r="CI50" i="2"/>
  <c r="CH50" i="2"/>
  <c r="CG50" i="2"/>
  <c r="CF50" i="2"/>
  <c r="CE50" i="2"/>
  <c r="CD50" i="2"/>
  <c r="CC50" i="2"/>
  <c r="CB50" i="2"/>
  <c r="CA50" i="2"/>
  <c r="CE49" i="2"/>
  <c r="CD49" i="2"/>
  <c r="CC49" i="2"/>
  <c r="CP48" i="2"/>
  <c r="CO48" i="2"/>
  <c r="CN48" i="2"/>
  <c r="CM48" i="2"/>
  <c r="CL48" i="2"/>
  <c r="CK48" i="2"/>
  <c r="CJ48" i="2"/>
  <c r="CI48" i="2"/>
  <c r="CH48" i="2"/>
  <c r="CG48" i="2"/>
  <c r="CF48" i="2"/>
  <c r="CE48" i="2"/>
  <c r="CD48" i="2"/>
  <c r="CC48" i="2"/>
  <c r="CB48" i="2"/>
  <c r="CA48" i="2"/>
  <c r="CP47" i="2"/>
  <c r="CO47" i="2"/>
  <c r="CN47" i="2"/>
  <c r="CM47" i="2"/>
  <c r="CL47" i="2"/>
  <c r="CK47" i="2"/>
  <c r="CJ47" i="2"/>
  <c r="CI47" i="2"/>
  <c r="CH47" i="2"/>
  <c r="CG47" i="2"/>
  <c r="CF47" i="2"/>
  <c r="CE47" i="2"/>
  <c r="CD47" i="2"/>
  <c r="CC47" i="2"/>
  <c r="CB47" i="2"/>
  <c r="CA47" i="2"/>
  <c r="CK46" i="2"/>
  <c r="CJ46" i="2"/>
  <c r="CI46" i="2"/>
  <c r="CH46" i="2"/>
  <c r="CG46" i="2"/>
  <c r="CF46" i="2"/>
  <c r="CE46" i="2"/>
  <c r="CD46" i="2"/>
  <c r="CC46" i="2"/>
  <c r="CB46" i="2"/>
  <c r="CA46" i="2"/>
  <c r="CP45" i="2"/>
  <c r="CO45" i="2"/>
  <c r="CN45" i="2"/>
  <c r="CM45" i="2"/>
  <c r="CL45" i="2"/>
  <c r="CK45" i="2"/>
  <c r="CJ45" i="2"/>
  <c r="CI45" i="2"/>
  <c r="CH45" i="2"/>
  <c r="CG45" i="2"/>
  <c r="CF45" i="2"/>
  <c r="CE45" i="2"/>
  <c r="CD45" i="2"/>
  <c r="CC45" i="2"/>
  <c r="CB45" i="2"/>
  <c r="CA45" i="2"/>
  <c r="BR82" i="2"/>
  <c r="BR84" i="2" s="1"/>
  <c r="BQ82" i="2"/>
  <c r="BQ84" i="2" s="1"/>
  <c r="BP82" i="2"/>
  <c r="BP84" i="2" s="1"/>
  <c r="BO82" i="2"/>
  <c r="BO84" i="2" s="1"/>
  <c r="BN82" i="2"/>
  <c r="BN84" i="2" s="1"/>
  <c r="BM82" i="2"/>
  <c r="BM84" i="2" s="1"/>
  <c r="BL82" i="2"/>
  <c r="BL84" i="2" s="1"/>
  <c r="BK82" i="2"/>
  <c r="BK84" i="2" s="1"/>
  <c r="BJ82" i="2"/>
  <c r="BJ84" i="2" s="1"/>
  <c r="BI82" i="2"/>
  <c r="BI84" i="2" s="1"/>
  <c r="BH82" i="2"/>
  <c r="BH84" i="2" s="1"/>
  <c r="BG82" i="2"/>
  <c r="BG84" i="2" s="1"/>
  <c r="BF82" i="2"/>
  <c r="BF84" i="2" s="1"/>
  <c r="BE82" i="2"/>
  <c r="BE84" i="2" s="1"/>
  <c r="BD82" i="2"/>
  <c r="BD84" i="2" s="1"/>
  <c r="BC82" i="2"/>
  <c r="BC84" i="2" s="1"/>
  <c r="BB82" i="2"/>
  <c r="BB84" i="2" s="1"/>
  <c r="BA82" i="2"/>
  <c r="BA84" i="2" s="1"/>
  <c r="AZ82" i="2"/>
  <c r="AZ84" i="2" s="1"/>
  <c r="AY82" i="2"/>
  <c r="AY84" i="2" s="1"/>
  <c r="BR73" i="2"/>
  <c r="BQ73" i="2"/>
  <c r="BP73" i="2"/>
  <c r="BO73" i="2"/>
  <c r="BN73" i="2"/>
  <c r="BM73" i="2"/>
  <c r="BL73" i="2"/>
  <c r="BK73" i="2"/>
  <c r="BJ73" i="2"/>
  <c r="BI73" i="2"/>
  <c r="BH73" i="2"/>
  <c r="BG73" i="2"/>
  <c r="BF73" i="2"/>
  <c r="BE73" i="2"/>
  <c r="BD73" i="2"/>
  <c r="BC73" i="2"/>
  <c r="BB73" i="2"/>
  <c r="BA73" i="2"/>
  <c r="AZ73" i="2"/>
  <c r="AY73" i="2"/>
  <c r="CO28" i="2"/>
  <c r="CP28" i="2"/>
  <c r="BR34" i="2"/>
  <c r="CQ25" i="2"/>
  <c r="CQ8" i="2"/>
  <c r="CQ6" i="2"/>
  <c r="CM28" i="2"/>
  <c r="BQ35" i="2"/>
  <c r="BP35" i="2"/>
  <c r="BQ34" i="2"/>
  <c r="BP34" i="2"/>
  <c r="BQ33" i="2"/>
  <c r="BP33" i="2"/>
  <c r="BQ32" i="2"/>
  <c r="BP32" i="2"/>
  <c r="BQ31" i="2"/>
  <c r="BP31" i="2"/>
  <c r="BQ29" i="2"/>
  <c r="BQ42" i="2" s="1"/>
  <c r="BP29" i="2"/>
  <c r="BP40" i="2" s="1"/>
  <c r="BQ15" i="2"/>
  <c r="BP15" i="2"/>
  <c r="BQ14" i="2"/>
  <c r="BP14" i="2"/>
  <c r="BQ13" i="2"/>
  <c r="BP13" i="2"/>
  <c r="BQ12" i="2"/>
  <c r="BP12" i="2"/>
  <c r="BQ11" i="2"/>
  <c r="BP11" i="2"/>
  <c r="BQ9" i="2"/>
  <c r="BQ44" i="2" s="1"/>
  <c r="BP9" i="2"/>
  <c r="BP44" i="2" s="1"/>
  <c r="BM35" i="2"/>
  <c r="BL35" i="2"/>
  <c r="BK35" i="2"/>
  <c r="BI35" i="2"/>
  <c r="BH35" i="2"/>
  <c r="BG35" i="2"/>
  <c r="BE35" i="2"/>
  <c r="BD35" i="2"/>
  <c r="BC35" i="2"/>
  <c r="BA35" i="2"/>
  <c r="AZ35" i="2"/>
  <c r="AY35" i="2"/>
  <c r="BM34" i="2"/>
  <c r="BL34" i="2"/>
  <c r="BK34" i="2"/>
  <c r="BI34" i="2"/>
  <c r="BH34" i="2"/>
  <c r="BG34" i="2"/>
  <c r="BE34" i="2"/>
  <c r="BD34" i="2"/>
  <c r="BC34" i="2"/>
  <c r="BA34" i="2"/>
  <c r="AZ34" i="2"/>
  <c r="AY34" i="2"/>
  <c r="BM33" i="2"/>
  <c r="BL33" i="2"/>
  <c r="BK33" i="2"/>
  <c r="BI33" i="2"/>
  <c r="BH33" i="2"/>
  <c r="BG33" i="2"/>
  <c r="BE33" i="2"/>
  <c r="BD33" i="2"/>
  <c r="BC33" i="2"/>
  <c r="BA33" i="2"/>
  <c r="AZ33" i="2"/>
  <c r="AY33" i="2"/>
  <c r="BM32" i="2"/>
  <c r="BL32" i="2"/>
  <c r="BK32" i="2"/>
  <c r="BI32" i="2"/>
  <c r="BH32" i="2"/>
  <c r="BG32" i="2"/>
  <c r="BE32" i="2"/>
  <c r="BD32" i="2"/>
  <c r="BC32" i="2"/>
  <c r="BA32" i="2"/>
  <c r="AZ32" i="2"/>
  <c r="AY32" i="2"/>
  <c r="BM31" i="2"/>
  <c r="BL31" i="2"/>
  <c r="BK31" i="2"/>
  <c r="BI31" i="2"/>
  <c r="BH31" i="2"/>
  <c r="BG31" i="2"/>
  <c r="BE31" i="2"/>
  <c r="BD31" i="2"/>
  <c r="BC31" i="2"/>
  <c r="BA31" i="2"/>
  <c r="AZ31" i="2"/>
  <c r="AY31" i="2"/>
  <c r="BO35" i="2"/>
  <c r="BO34" i="2"/>
  <c r="BO33" i="2"/>
  <c r="BO32" i="2"/>
  <c r="BO31" i="2"/>
  <c r="BM29" i="2"/>
  <c r="BL29" i="2"/>
  <c r="BL40" i="2" s="1"/>
  <c r="BK29" i="2"/>
  <c r="BK40" i="2" s="1"/>
  <c r="BI29" i="2"/>
  <c r="BI39" i="2" s="1"/>
  <c r="BH29" i="2"/>
  <c r="BH42" i="2" s="1"/>
  <c r="BG29" i="2"/>
  <c r="BG42" i="2" s="1"/>
  <c r="BE29" i="2"/>
  <c r="BE41" i="2" s="1"/>
  <c r="BD29" i="2"/>
  <c r="BD40" i="2" s="1"/>
  <c r="BC29" i="2"/>
  <c r="BC40" i="2" s="1"/>
  <c r="BA29" i="2"/>
  <c r="BA39" i="2" s="1"/>
  <c r="AZ29" i="2"/>
  <c r="AZ42" i="2" s="1"/>
  <c r="AY29" i="2"/>
  <c r="AY42" i="2" s="1"/>
  <c r="AW29" i="2"/>
  <c r="AW41" i="2" s="1"/>
  <c r="AV29" i="2"/>
  <c r="AV40" i="2" s="1"/>
  <c r="AU29" i="2"/>
  <c r="AU40" i="2" s="1"/>
  <c r="BO29" i="2"/>
  <c r="BO40" i="2" s="1"/>
  <c r="BM15" i="2"/>
  <c r="BL15" i="2"/>
  <c r="BK15" i="2"/>
  <c r="BI15" i="2"/>
  <c r="BH15" i="2"/>
  <c r="BG15" i="2"/>
  <c r="BE15" i="2"/>
  <c r="BD15" i="2"/>
  <c r="BC15" i="2"/>
  <c r="BA15" i="2"/>
  <c r="AZ15" i="2"/>
  <c r="AY15" i="2"/>
  <c r="BM14" i="2"/>
  <c r="BL14" i="2"/>
  <c r="BK14" i="2"/>
  <c r="BI14" i="2"/>
  <c r="BH14" i="2"/>
  <c r="BG14" i="2"/>
  <c r="BE14" i="2"/>
  <c r="BD14" i="2"/>
  <c r="BC14" i="2"/>
  <c r="BA14" i="2"/>
  <c r="AZ14" i="2"/>
  <c r="AY14" i="2"/>
  <c r="BM13" i="2"/>
  <c r="BL13" i="2"/>
  <c r="BK13" i="2"/>
  <c r="BI13" i="2"/>
  <c r="BH13" i="2"/>
  <c r="BG13" i="2"/>
  <c r="BE13" i="2"/>
  <c r="BD13" i="2"/>
  <c r="BC13" i="2"/>
  <c r="BA13" i="2"/>
  <c r="AZ13" i="2"/>
  <c r="AY13" i="2"/>
  <c r="BM12" i="2"/>
  <c r="BL12" i="2"/>
  <c r="BK12" i="2"/>
  <c r="BI12" i="2"/>
  <c r="BH12" i="2"/>
  <c r="BG12" i="2"/>
  <c r="BE12" i="2"/>
  <c r="BD12" i="2"/>
  <c r="BC12" i="2"/>
  <c r="BA12" i="2"/>
  <c r="AZ12" i="2"/>
  <c r="AY12" i="2"/>
  <c r="BM11" i="2"/>
  <c r="BL11" i="2"/>
  <c r="BK11" i="2"/>
  <c r="BI11" i="2"/>
  <c r="BH11" i="2"/>
  <c r="BG11" i="2"/>
  <c r="BE11" i="2"/>
  <c r="BD11" i="2"/>
  <c r="BC11" i="2"/>
  <c r="BA11" i="2"/>
  <c r="AZ11" i="2"/>
  <c r="AY11" i="2"/>
  <c r="BO15" i="2"/>
  <c r="BO14" i="2"/>
  <c r="BO13" i="2"/>
  <c r="BO12" i="2"/>
  <c r="BO11" i="2"/>
  <c r="BM9" i="2"/>
  <c r="BM18" i="2" s="1"/>
  <c r="BL9" i="2"/>
  <c r="BL18" i="2" s="1"/>
  <c r="BK9" i="2"/>
  <c r="BK44" i="2" s="1"/>
  <c r="BI9" i="2"/>
  <c r="BI44" i="2" s="1"/>
  <c r="BH9" i="2"/>
  <c r="BH44" i="2" s="1"/>
  <c r="BG9" i="2"/>
  <c r="BG44" i="2" s="1"/>
  <c r="BE9" i="2"/>
  <c r="BE44" i="2" s="1"/>
  <c r="BD9" i="2"/>
  <c r="BD18" i="2" s="1"/>
  <c r="BC9" i="2"/>
  <c r="BC44" i="2" s="1"/>
  <c r="BC58" i="2" s="1"/>
  <c r="BA9" i="2"/>
  <c r="BA44" i="2" s="1"/>
  <c r="AZ9" i="2"/>
  <c r="AZ44" i="2" s="1"/>
  <c r="AY9" i="2"/>
  <c r="AY44" i="2" s="1"/>
  <c r="AW9" i="2"/>
  <c r="AW44" i="2" s="1"/>
  <c r="AW58" i="2" s="1"/>
  <c r="AV9" i="2"/>
  <c r="AV44" i="2" s="1"/>
  <c r="AV59" i="2" s="1"/>
  <c r="AU9" i="2"/>
  <c r="AU44" i="2" s="1"/>
  <c r="AU59" i="2" s="1"/>
  <c r="BO9" i="2"/>
  <c r="BO18" i="2" s="1"/>
  <c r="G1441" i="3"/>
  <c r="G1440" i="3"/>
  <c r="G1439" i="3"/>
  <c r="G1438" i="3"/>
  <c r="G1437" i="3"/>
  <c r="G1436" i="3"/>
  <c r="G1435" i="3"/>
  <c r="G1434" i="3"/>
  <c r="G1433" i="3"/>
  <c r="G1432" i="3"/>
  <c r="G1431" i="3"/>
  <c r="G1430" i="3"/>
  <c r="G1429" i="3"/>
  <c r="G1428" i="3"/>
  <c r="G1427" i="3"/>
  <c r="G1426" i="3"/>
  <c r="G1425" i="3"/>
  <c r="G1424" i="3"/>
  <c r="G1423" i="3"/>
  <c r="G1422" i="3"/>
  <c r="G1421" i="3"/>
  <c r="G1420" i="3"/>
  <c r="G1419" i="3"/>
  <c r="G1418" i="3"/>
  <c r="G1417" i="3"/>
  <c r="G1416" i="3"/>
  <c r="G1415" i="3"/>
  <c r="G1414" i="3"/>
  <c r="G1413" i="3"/>
  <c r="G1412" i="3"/>
  <c r="G1411" i="3"/>
  <c r="G1410" i="3"/>
  <c r="G1409" i="3"/>
  <c r="G1408" i="3"/>
  <c r="G1407" i="3"/>
  <c r="G1406" i="3"/>
  <c r="G1405" i="3"/>
  <c r="G1404" i="3"/>
  <c r="G1403" i="3"/>
  <c r="G1402" i="3"/>
  <c r="G1401" i="3"/>
  <c r="G1400" i="3"/>
  <c r="G1399" i="3"/>
  <c r="G1398" i="3"/>
  <c r="G1397" i="3"/>
  <c r="G1396" i="3"/>
  <c r="G1395" i="3"/>
  <c r="G1394" i="3"/>
  <c r="G1393" i="3"/>
  <c r="G1392" i="3"/>
  <c r="G1391" i="3"/>
  <c r="G1390" i="3"/>
  <c r="G1389" i="3"/>
  <c r="G1388" i="3"/>
  <c r="G1387" i="3"/>
  <c r="G1386" i="3"/>
  <c r="G1385" i="3"/>
  <c r="G1384" i="3"/>
  <c r="G1383" i="3"/>
  <c r="G1382" i="3"/>
  <c r="G1381" i="3"/>
  <c r="G1380" i="3"/>
  <c r="G1379" i="3"/>
  <c r="G1378" i="3"/>
  <c r="G1377" i="3"/>
  <c r="G1376" i="3"/>
  <c r="G1375" i="3"/>
  <c r="G1374" i="3"/>
  <c r="G1373" i="3"/>
  <c r="G1372" i="3"/>
  <c r="G1371" i="3"/>
  <c r="G1370" i="3"/>
  <c r="G1369" i="3"/>
  <c r="G1368" i="3"/>
  <c r="G1367" i="3"/>
  <c r="G1366" i="3"/>
  <c r="G1365" i="3"/>
  <c r="G1364" i="3"/>
  <c r="G1363" i="3"/>
  <c r="G1362" i="3"/>
  <c r="G1361" i="3"/>
  <c r="G1360" i="3"/>
  <c r="G1359" i="3"/>
  <c r="G1358" i="3"/>
  <c r="G1357" i="3"/>
  <c r="G1356" i="3"/>
  <c r="G1355" i="3"/>
  <c r="G1354" i="3"/>
  <c r="G1353" i="3"/>
  <c r="G1352" i="3"/>
  <c r="G1351" i="3"/>
  <c r="G1350" i="3"/>
  <c r="G1349" i="3"/>
  <c r="G1348" i="3"/>
  <c r="G1347" i="3"/>
  <c r="G1346" i="3"/>
  <c r="G1345" i="3"/>
  <c r="G1344" i="3"/>
  <c r="G1343" i="3"/>
  <c r="G1342" i="3"/>
  <c r="G1341" i="3"/>
  <c r="G1340" i="3"/>
  <c r="G1339" i="3"/>
  <c r="G1338" i="3"/>
  <c r="G1337" i="3"/>
  <c r="G1336" i="3"/>
  <c r="G1335" i="3"/>
  <c r="G1334" i="3"/>
  <c r="G1333" i="3"/>
  <c r="G1332" i="3"/>
  <c r="G1331" i="3"/>
  <c r="G1330" i="3"/>
  <c r="G1329" i="3"/>
  <c r="G1328" i="3"/>
  <c r="G1327" i="3"/>
  <c r="G1326" i="3"/>
  <c r="G1325" i="3"/>
  <c r="G1324" i="3"/>
  <c r="G1323" i="3"/>
  <c r="G1322" i="3"/>
  <c r="G1321" i="3"/>
  <c r="G1320" i="3"/>
  <c r="G1319" i="3"/>
  <c r="G1318" i="3"/>
  <c r="G1317" i="3"/>
  <c r="G1316" i="3"/>
  <c r="G1315" i="3"/>
  <c r="G1314" i="3"/>
  <c r="G1313" i="3"/>
  <c r="G1312" i="3"/>
  <c r="G1311" i="3"/>
  <c r="G1310" i="3"/>
  <c r="G1309" i="3"/>
  <c r="G1308" i="3"/>
  <c r="G1307" i="3"/>
  <c r="G1306" i="3"/>
  <c r="G1305" i="3"/>
  <c r="G1304" i="3"/>
  <c r="G1303" i="3"/>
  <c r="G1302" i="3"/>
  <c r="G1301" i="3"/>
  <c r="G1300" i="3"/>
  <c r="G1299" i="3"/>
  <c r="G1298" i="3"/>
  <c r="G1297" i="3"/>
  <c r="G1296" i="3"/>
  <c r="G1295" i="3"/>
  <c r="G1294" i="3"/>
  <c r="G1293" i="3"/>
  <c r="G1292" i="3"/>
  <c r="G1291" i="3"/>
  <c r="G1290" i="3"/>
  <c r="G1289" i="3"/>
  <c r="G1288" i="3"/>
  <c r="G1287" i="3"/>
  <c r="G1286" i="3"/>
  <c r="G1285" i="3"/>
  <c r="G1284" i="3"/>
  <c r="G1283" i="3"/>
  <c r="G1282" i="3"/>
  <c r="G1281" i="3"/>
  <c r="G1280" i="3"/>
  <c r="G1279" i="3"/>
  <c r="G1278" i="3"/>
  <c r="G1277" i="3"/>
  <c r="G1276" i="3"/>
  <c r="G1275" i="3"/>
  <c r="G1274" i="3"/>
  <c r="G1273" i="3"/>
  <c r="G1272" i="3"/>
  <c r="G1271" i="3"/>
  <c r="G1270" i="3"/>
  <c r="G1269" i="3"/>
  <c r="G1268" i="3"/>
  <c r="G1267" i="3"/>
  <c r="G1266" i="3"/>
  <c r="G1265" i="3"/>
  <c r="G1264" i="3"/>
  <c r="G1263" i="3"/>
  <c r="G1262" i="3"/>
  <c r="G1261" i="3"/>
  <c r="G1260" i="3"/>
  <c r="G1259" i="3"/>
  <c r="G1258" i="3"/>
  <c r="G1257" i="3"/>
  <c r="G1256" i="3"/>
  <c r="G1255" i="3"/>
  <c r="G1254" i="3"/>
  <c r="G1253" i="3"/>
  <c r="G1252" i="3"/>
  <c r="G1251" i="3"/>
  <c r="G1250" i="3"/>
  <c r="G1249" i="3"/>
  <c r="G1248" i="3"/>
  <c r="G1247" i="3"/>
  <c r="G1246" i="3"/>
  <c r="G1245" i="3"/>
  <c r="G1244" i="3"/>
  <c r="G1243" i="3"/>
  <c r="G1242" i="3"/>
  <c r="G1241" i="3"/>
  <c r="G1240" i="3"/>
  <c r="G1239" i="3"/>
  <c r="G1238" i="3"/>
  <c r="G1237" i="3"/>
  <c r="G1236" i="3"/>
  <c r="G1235" i="3"/>
  <c r="G1234" i="3"/>
  <c r="G1233" i="3"/>
  <c r="G1232" i="3"/>
  <c r="G1231" i="3"/>
  <c r="G1230" i="3"/>
  <c r="G1229" i="3"/>
  <c r="G1228" i="3"/>
  <c r="G1227" i="3"/>
  <c r="G1226" i="3"/>
  <c r="G1225" i="3"/>
  <c r="G1224" i="3"/>
  <c r="G1223" i="3"/>
  <c r="G1222" i="3"/>
  <c r="G1221" i="3"/>
  <c r="G1220" i="3"/>
  <c r="G1219" i="3"/>
  <c r="G1218" i="3"/>
  <c r="G1217" i="3"/>
  <c r="G1216" i="3"/>
  <c r="G1215" i="3"/>
  <c r="G1214" i="3"/>
  <c r="G1213" i="3"/>
  <c r="G1212" i="3"/>
  <c r="G1211" i="3"/>
  <c r="G1210" i="3"/>
  <c r="G1209" i="3"/>
  <c r="G1208" i="3"/>
  <c r="G1207" i="3"/>
  <c r="G1206" i="3"/>
  <c r="G1205" i="3"/>
  <c r="G1204" i="3"/>
  <c r="G1203" i="3"/>
  <c r="G1202" i="3"/>
  <c r="G1201" i="3"/>
  <c r="G1200" i="3"/>
  <c r="G1199" i="3"/>
  <c r="G1198" i="3"/>
  <c r="G1197" i="3"/>
  <c r="G1196" i="3"/>
  <c r="G1195" i="3"/>
  <c r="G1194" i="3"/>
  <c r="G1193" i="3"/>
  <c r="G1192" i="3"/>
  <c r="G1191" i="3"/>
  <c r="G1190" i="3"/>
  <c r="G1189" i="3"/>
  <c r="G1188" i="3"/>
  <c r="G1187" i="3"/>
  <c r="G1186" i="3"/>
  <c r="G1185" i="3"/>
  <c r="G1184" i="3"/>
  <c r="G1183" i="3"/>
  <c r="G1182" i="3"/>
  <c r="G1181" i="3"/>
  <c r="G1180" i="3"/>
  <c r="G1179" i="3"/>
  <c r="G1178" i="3"/>
  <c r="G1177" i="3"/>
  <c r="G1176" i="3"/>
  <c r="G1175" i="3"/>
  <c r="G1174" i="3"/>
  <c r="G1173" i="3"/>
  <c r="G1172" i="3"/>
  <c r="G1171" i="3"/>
  <c r="G1170" i="3"/>
  <c r="G1169" i="3"/>
  <c r="G1168" i="3"/>
  <c r="G1167" i="3"/>
  <c r="G1166" i="3"/>
  <c r="G1165" i="3"/>
  <c r="G1164" i="3"/>
  <c r="G1163" i="3"/>
  <c r="G1162" i="3"/>
  <c r="G1161" i="3"/>
  <c r="G1160" i="3"/>
  <c r="G1159" i="3"/>
  <c r="G1158" i="3"/>
  <c r="G1157" i="3"/>
  <c r="G1156" i="3"/>
  <c r="G1155" i="3"/>
  <c r="G1154" i="3"/>
  <c r="G1153" i="3"/>
  <c r="G1152" i="3"/>
  <c r="G1151" i="3"/>
  <c r="G1150" i="3"/>
  <c r="G1149" i="3"/>
  <c r="G1148" i="3"/>
  <c r="G1147" i="3"/>
  <c r="G1146" i="3"/>
  <c r="G1145" i="3"/>
  <c r="G1144" i="3"/>
  <c r="G1143" i="3"/>
  <c r="G1142" i="3"/>
  <c r="G1141" i="3"/>
  <c r="G1140" i="3"/>
  <c r="G1139" i="3"/>
  <c r="G1138" i="3"/>
  <c r="G1137" i="3"/>
  <c r="G1136" i="3"/>
  <c r="G1135" i="3"/>
  <c r="G1134" i="3"/>
  <c r="G1133" i="3"/>
  <c r="G1132" i="3"/>
  <c r="G1131" i="3"/>
  <c r="G1130" i="3"/>
  <c r="G1129" i="3"/>
  <c r="G1128" i="3"/>
  <c r="G1127" i="3"/>
  <c r="G1126" i="3"/>
  <c r="G1125" i="3"/>
  <c r="G1124" i="3"/>
  <c r="G1123" i="3"/>
  <c r="G1122" i="3"/>
  <c r="G1121" i="3"/>
  <c r="G1120" i="3"/>
  <c r="G1119" i="3"/>
  <c r="G1118" i="3"/>
  <c r="G1117" i="3"/>
  <c r="G1116" i="3"/>
  <c r="G1115" i="3"/>
  <c r="G1114" i="3"/>
  <c r="G1113" i="3"/>
  <c r="G1112" i="3"/>
  <c r="G1111" i="3"/>
  <c r="G1110" i="3"/>
  <c r="G1109" i="3"/>
  <c r="G1108" i="3"/>
  <c r="G1107" i="3"/>
  <c r="G1106" i="3"/>
  <c r="G1105" i="3"/>
  <c r="G1104" i="3"/>
  <c r="G1103" i="3"/>
  <c r="G1102" i="3"/>
  <c r="G1101" i="3"/>
  <c r="G1100" i="3"/>
  <c r="G1099" i="3"/>
  <c r="G1098" i="3"/>
  <c r="G1097" i="3"/>
  <c r="G1096" i="3"/>
  <c r="G1095" i="3"/>
  <c r="G1094" i="3"/>
  <c r="G1093" i="3"/>
  <c r="G1092" i="3"/>
  <c r="G1091" i="3"/>
  <c r="G1090" i="3"/>
  <c r="G1089" i="3"/>
  <c r="G1088" i="3"/>
  <c r="G1087" i="3"/>
  <c r="G1086" i="3"/>
  <c r="G1085" i="3"/>
  <c r="G1084" i="3"/>
  <c r="G1083" i="3"/>
  <c r="G1082" i="3"/>
  <c r="G1081" i="3"/>
  <c r="G1080" i="3"/>
  <c r="G1079" i="3"/>
  <c r="G1078" i="3"/>
  <c r="G1077" i="3"/>
  <c r="G1076" i="3"/>
  <c r="G1075" i="3"/>
  <c r="G1074" i="3"/>
  <c r="G1073" i="3"/>
  <c r="G1072" i="3"/>
  <c r="G1071" i="3"/>
  <c r="G1070" i="3"/>
  <c r="G1069" i="3"/>
  <c r="G1068" i="3"/>
  <c r="G1067" i="3"/>
  <c r="G1066" i="3"/>
  <c r="G1065" i="3"/>
  <c r="G1064" i="3"/>
  <c r="G1063" i="3"/>
  <c r="G1062" i="3"/>
  <c r="G1061" i="3"/>
  <c r="G1060" i="3"/>
  <c r="G1059" i="3"/>
  <c r="G1058" i="3"/>
  <c r="G1057" i="3"/>
  <c r="G1056" i="3"/>
  <c r="G1055" i="3"/>
  <c r="G1054" i="3"/>
  <c r="G1053" i="3"/>
  <c r="G1052" i="3"/>
  <c r="G1051" i="3"/>
  <c r="G1050" i="3"/>
  <c r="G1049" i="3"/>
  <c r="G1048" i="3"/>
  <c r="G1047" i="3"/>
  <c r="G1046" i="3"/>
  <c r="G1045" i="3"/>
  <c r="G1044" i="3"/>
  <c r="G1043" i="3"/>
  <c r="G1042" i="3"/>
  <c r="G1041" i="3"/>
  <c r="G1040" i="3"/>
  <c r="G1039" i="3"/>
  <c r="G1038" i="3"/>
  <c r="G1037" i="3"/>
  <c r="G1036" i="3"/>
  <c r="G1035" i="3"/>
  <c r="G1034" i="3"/>
  <c r="G1033" i="3"/>
  <c r="G1032" i="3"/>
  <c r="G1031" i="3"/>
  <c r="G1030" i="3"/>
  <c r="G1029" i="3"/>
  <c r="G1028" i="3"/>
  <c r="G1027" i="3"/>
  <c r="G1026" i="3"/>
  <c r="G1025" i="3"/>
  <c r="G1024" i="3"/>
  <c r="G1023" i="3"/>
  <c r="G1022" i="3"/>
  <c r="G1021" i="3"/>
  <c r="G1020" i="3"/>
  <c r="G1019" i="3"/>
  <c r="G1018" i="3"/>
  <c r="G1017" i="3"/>
  <c r="G1016" i="3"/>
  <c r="G1015" i="3"/>
  <c r="G1014" i="3"/>
  <c r="G1013" i="3"/>
  <c r="G1012" i="3"/>
  <c r="G1011" i="3"/>
  <c r="G1010" i="3"/>
  <c r="G1009" i="3"/>
  <c r="G1008" i="3"/>
  <c r="G1007" i="3"/>
  <c r="G1006" i="3"/>
  <c r="G1005" i="3"/>
  <c r="G1004" i="3"/>
  <c r="G1003" i="3"/>
  <c r="G1002" i="3"/>
  <c r="G1001" i="3"/>
  <c r="G1000" i="3"/>
  <c r="G999" i="3"/>
  <c r="G998" i="3"/>
  <c r="G997" i="3"/>
  <c r="G996" i="3"/>
  <c r="G995" i="3"/>
  <c r="G994" i="3"/>
  <c r="G993" i="3"/>
  <c r="G992" i="3"/>
  <c r="G991" i="3"/>
  <c r="G990" i="3"/>
  <c r="G989" i="3"/>
  <c r="G988" i="3"/>
  <c r="G987" i="3"/>
  <c r="G986" i="3"/>
  <c r="G985" i="3"/>
  <c r="G984" i="3"/>
  <c r="G983" i="3"/>
  <c r="G982" i="3"/>
  <c r="G981" i="3"/>
  <c r="G980" i="3"/>
  <c r="G979" i="3"/>
  <c r="G978" i="3"/>
  <c r="G977" i="3"/>
  <c r="G976" i="3"/>
  <c r="G975" i="3"/>
  <c r="G974" i="3"/>
  <c r="G973" i="3"/>
  <c r="G972" i="3"/>
  <c r="G971" i="3"/>
  <c r="G970" i="3"/>
  <c r="G969" i="3"/>
  <c r="G968" i="3"/>
  <c r="G967" i="3"/>
  <c r="G966" i="3"/>
  <c r="G965" i="3"/>
  <c r="G964" i="3"/>
  <c r="G963" i="3"/>
  <c r="G962" i="3"/>
  <c r="G961" i="3"/>
  <c r="G960" i="3"/>
  <c r="G959" i="3"/>
  <c r="G958" i="3"/>
  <c r="G957" i="3"/>
  <c r="G956" i="3"/>
  <c r="G955" i="3"/>
  <c r="G954" i="3"/>
  <c r="G953" i="3"/>
  <c r="G952" i="3"/>
  <c r="G951" i="3"/>
  <c r="G950" i="3"/>
  <c r="G949" i="3"/>
  <c r="G948" i="3"/>
  <c r="G947" i="3"/>
  <c r="G946" i="3"/>
  <c r="G945" i="3"/>
  <c r="G944" i="3"/>
  <c r="G943" i="3"/>
  <c r="G942" i="3"/>
  <c r="G941" i="3"/>
  <c r="G940" i="3"/>
  <c r="G939" i="3"/>
  <c r="G938" i="3"/>
  <c r="G937" i="3"/>
  <c r="G936" i="3"/>
  <c r="G935" i="3"/>
  <c r="G934" i="3"/>
  <c r="G933" i="3"/>
  <c r="G932" i="3"/>
  <c r="G931" i="3"/>
  <c r="G930" i="3"/>
  <c r="G929" i="3"/>
  <c r="G928" i="3"/>
  <c r="G927" i="3"/>
  <c r="G926" i="3"/>
  <c r="G925" i="3"/>
  <c r="G924" i="3"/>
  <c r="G923" i="3"/>
  <c r="G922" i="3"/>
  <c r="G921" i="3"/>
  <c r="G920" i="3"/>
  <c r="G919" i="3"/>
  <c r="G918" i="3"/>
  <c r="G917" i="3"/>
  <c r="G916" i="3"/>
  <c r="G915" i="3"/>
  <c r="G914" i="3"/>
  <c r="G913" i="3"/>
  <c r="G912" i="3"/>
  <c r="G911" i="3"/>
  <c r="G910" i="3"/>
  <c r="G909" i="3"/>
  <c r="G908" i="3"/>
  <c r="G907" i="3"/>
  <c r="G906" i="3"/>
  <c r="G905" i="3"/>
  <c r="G904" i="3"/>
  <c r="G903" i="3"/>
  <c r="G902" i="3"/>
  <c r="G901" i="3"/>
  <c r="G900" i="3"/>
  <c r="G899" i="3"/>
  <c r="G898" i="3"/>
  <c r="G897" i="3"/>
  <c r="G896" i="3"/>
  <c r="G895" i="3"/>
  <c r="G894" i="3"/>
  <c r="G893" i="3"/>
  <c r="G892" i="3"/>
  <c r="G891" i="3"/>
  <c r="G890" i="3"/>
  <c r="G889" i="3"/>
  <c r="G888" i="3"/>
  <c r="G887" i="3"/>
  <c r="G886" i="3"/>
  <c r="G885" i="3"/>
  <c r="G884" i="3"/>
  <c r="G883" i="3"/>
  <c r="G882" i="3"/>
  <c r="G881" i="3"/>
  <c r="G880" i="3"/>
  <c r="G879" i="3"/>
  <c r="G878" i="3"/>
  <c r="G877" i="3"/>
  <c r="G876" i="3"/>
  <c r="G875" i="3"/>
  <c r="G874" i="3"/>
  <c r="G873" i="3"/>
  <c r="G872" i="3"/>
  <c r="G871" i="3"/>
  <c r="G870" i="3"/>
  <c r="G869" i="3"/>
  <c r="G868" i="3"/>
  <c r="G867" i="3"/>
  <c r="G866" i="3"/>
  <c r="G865" i="3"/>
  <c r="G864" i="3"/>
  <c r="G863" i="3"/>
  <c r="G862" i="3"/>
  <c r="G861" i="3"/>
  <c r="G860" i="3"/>
  <c r="G859" i="3"/>
  <c r="G858" i="3"/>
  <c r="G857" i="3"/>
  <c r="G856" i="3"/>
  <c r="G855" i="3"/>
  <c r="G854" i="3"/>
  <c r="G853" i="3"/>
  <c r="G852" i="3"/>
  <c r="G851" i="3"/>
  <c r="G850" i="3"/>
  <c r="G849" i="3"/>
  <c r="G848" i="3"/>
  <c r="G847" i="3"/>
  <c r="G846" i="3"/>
  <c r="G845" i="3"/>
  <c r="G844" i="3"/>
  <c r="G843" i="3"/>
  <c r="G842" i="3"/>
  <c r="G841" i="3"/>
  <c r="G840" i="3"/>
  <c r="G839" i="3"/>
  <c r="G838" i="3"/>
  <c r="G837" i="3"/>
  <c r="G836" i="3"/>
  <c r="G835" i="3"/>
  <c r="G834" i="3"/>
  <c r="G833" i="3"/>
  <c r="G832" i="3"/>
  <c r="G831" i="3"/>
  <c r="G830" i="3"/>
  <c r="G829" i="3"/>
  <c r="G828" i="3"/>
  <c r="G827" i="3"/>
  <c r="G826" i="3"/>
  <c r="G825" i="3"/>
  <c r="G824" i="3"/>
  <c r="G823" i="3"/>
  <c r="G822" i="3"/>
  <c r="G821" i="3"/>
  <c r="G820" i="3"/>
  <c r="G819" i="3"/>
  <c r="G818" i="3"/>
  <c r="G817" i="3"/>
  <c r="G816" i="3"/>
  <c r="G815" i="3"/>
  <c r="G814" i="3"/>
  <c r="G813" i="3"/>
  <c r="G812" i="3"/>
  <c r="G811" i="3"/>
  <c r="G810" i="3"/>
  <c r="G809" i="3"/>
  <c r="G808" i="3"/>
  <c r="G807" i="3"/>
  <c r="G806" i="3"/>
  <c r="G805" i="3"/>
  <c r="G804" i="3"/>
  <c r="G803" i="3"/>
  <c r="G802" i="3"/>
  <c r="G801" i="3"/>
  <c r="G800" i="3"/>
  <c r="G799" i="3"/>
  <c r="G798" i="3"/>
  <c r="G797" i="3"/>
  <c r="G796" i="3"/>
  <c r="G795" i="3"/>
  <c r="G794" i="3"/>
  <c r="G793" i="3"/>
  <c r="G792" i="3"/>
  <c r="G791" i="3"/>
  <c r="G790" i="3"/>
  <c r="G789" i="3"/>
  <c r="G788" i="3"/>
  <c r="G787" i="3"/>
  <c r="G786" i="3"/>
  <c r="G785" i="3"/>
  <c r="G784" i="3"/>
  <c r="G783" i="3"/>
  <c r="G782" i="3"/>
  <c r="G781" i="3"/>
  <c r="G780" i="3"/>
  <c r="G779" i="3"/>
  <c r="G778" i="3"/>
  <c r="G777" i="3"/>
  <c r="G776" i="3"/>
  <c r="G775" i="3"/>
  <c r="G774" i="3"/>
  <c r="G773" i="3"/>
  <c r="G772" i="3"/>
  <c r="G771" i="3"/>
  <c r="G770" i="3"/>
  <c r="G769" i="3"/>
  <c r="G768" i="3"/>
  <c r="G767" i="3"/>
  <c r="G766" i="3"/>
  <c r="G765" i="3"/>
  <c r="G764" i="3"/>
  <c r="G763" i="3"/>
  <c r="G762" i="3"/>
  <c r="G761" i="3"/>
  <c r="G760" i="3"/>
  <c r="G759" i="3"/>
  <c r="G758" i="3"/>
  <c r="G757" i="3"/>
  <c r="G756" i="3"/>
  <c r="G755" i="3"/>
  <c r="G754" i="3"/>
  <c r="G753" i="3"/>
  <c r="G752" i="3"/>
  <c r="G751" i="3"/>
  <c r="G750" i="3"/>
  <c r="G749" i="3"/>
  <c r="G748" i="3"/>
  <c r="G747" i="3"/>
  <c r="G746" i="3"/>
  <c r="G745" i="3"/>
  <c r="G744" i="3"/>
  <c r="G743" i="3"/>
  <c r="G742" i="3"/>
  <c r="G741" i="3"/>
  <c r="G740" i="3"/>
  <c r="G739" i="3"/>
  <c r="G738" i="3"/>
  <c r="G737" i="3"/>
  <c r="G736" i="3"/>
  <c r="G735" i="3"/>
  <c r="G734" i="3"/>
  <c r="G733" i="3"/>
  <c r="G732" i="3"/>
  <c r="G731" i="3"/>
  <c r="G730" i="3"/>
  <c r="G729" i="3"/>
  <c r="G728" i="3"/>
  <c r="G727" i="3"/>
  <c r="G726" i="3"/>
  <c r="G725" i="3"/>
  <c r="G724" i="3"/>
  <c r="G723" i="3"/>
  <c r="G722" i="3"/>
  <c r="G721" i="3"/>
  <c r="G720" i="3"/>
  <c r="G719" i="3"/>
  <c r="G718" i="3"/>
  <c r="G717" i="3"/>
  <c r="G716" i="3"/>
  <c r="G715" i="3"/>
  <c r="G714" i="3"/>
  <c r="G713" i="3"/>
  <c r="G712" i="3"/>
  <c r="G711" i="3"/>
  <c r="G710" i="3"/>
  <c r="G709" i="3"/>
  <c r="G708" i="3"/>
  <c r="G707" i="3"/>
  <c r="G706" i="3"/>
  <c r="G705" i="3"/>
  <c r="G704" i="3"/>
  <c r="G703" i="3"/>
  <c r="G702" i="3"/>
  <c r="G701" i="3"/>
  <c r="G700" i="3"/>
  <c r="G699" i="3"/>
  <c r="G698" i="3"/>
  <c r="G697" i="3"/>
  <c r="G696" i="3"/>
  <c r="G695" i="3"/>
  <c r="G694" i="3"/>
  <c r="G693" i="3"/>
  <c r="G692" i="3"/>
  <c r="G691" i="3"/>
  <c r="G690" i="3"/>
  <c r="G689" i="3"/>
  <c r="G688" i="3"/>
  <c r="G687" i="3"/>
  <c r="G686" i="3"/>
  <c r="G685" i="3"/>
  <c r="G684" i="3"/>
  <c r="G683" i="3"/>
  <c r="G682" i="3"/>
  <c r="G681" i="3"/>
  <c r="G680" i="3"/>
  <c r="G679" i="3"/>
  <c r="G678" i="3"/>
  <c r="G677" i="3"/>
  <c r="G676" i="3"/>
  <c r="G675" i="3"/>
  <c r="G674" i="3"/>
  <c r="G673" i="3"/>
  <c r="G672" i="3"/>
  <c r="G671" i="3"/>
  <c r="G670" i="3"/>
  <c r="G669" i="3"/>
  <c r="G668" i="3"/>
  <c r="G667" i="3"/>
  <c r="G666" i="3"/>
  <c r="G665" i="3"/>
  <c r="G664" i="3"/>
  <c r="G663" i="3"/>
  <c r="G662" i="3"/>
  <c r="G661" i="3"/>
  <c r="G660" i="3"/>
  <c r="G659" i="3"/>
  <c r="G658" i="3"/>
  <c r="G657" i="3"/>
  <c r="G656" i="3"/>
  <c r="G655" i="3"/>
  <c r="G654" i="3"/>
  <c r="G653" i="3"/>
  <c r="G652" i="3"/>
  <c r="G651" i="3"/>
  <c r="G650" i="3"/>
  <c r="G649" i="3"/>
  <c r="G648" i="3"/>
  <c r="G647" i="3"/>
  <c r="G646" i="3"/>
  <c r="G645" i="3"/>
  <c r="G644" i="3"/>
  <c r="G643" i="3"/>
  <c r="G642" i="3"/>
  <c r="G641" i="3"/>
  <c r="G640" i="3"/>
  <c r="G639" i="3"/>
  <c r="G638" i="3"/>
  <c r="G637" i="3"/>
  <c r="G636" i="3"/>
  <c r="G635" i="3"/>
  <c r="G634" i="3"/>
  <c r="G633" i="3"/>
  <c r="G632" i="3"/>
  <c r="G631" i="3"/>
  <c r="G630" i="3"/>
  <c r="G629" i="3"/>
  <c r="G628" i="3"/>
  <c r="G627" i="3"/>
  <c r="G626" i="3"/>
  <c r="G625" i="3"/>
  <c r="G624" i="3"/>
  <c r="G623" i="3"/>
  <c r="G622" i="3"/>
  <c r="G621" i="3"/>
  <c r="G620" i="3"/>
  <c r="G619" i="3"/>
  <c r="G618" i="3"/>
  <c r="G617" i="3"/>
  <c r="G616" i="3"/>
  <c r="G615" i="3"/>
  <c r="G614" i="3"/>
  <c r="G613" i="3"/>
  <c r="G612" i="3"/>
  <c r="G611" i="3"/>
  <c r="G610" i="3"/>
  <c r="G609" i="3"/>
  <c r="G608" i="3"/>
  <c r="G607" i="3"/>
  <c r="G606" i="3"/>
  <c r="G605" i="3"/>
  <c r="G604" i="3"/>
  <c r="G603" i="3"/>
  <c r="G602" i="3"/>
  <c r="G601" i="3"/>
  <c r="G600" i="3"/>
  <c r="G599" i="3"/>
  <c r="G598" i="3"/>
  <c r="G597" i="3"/>
  <c r="G596" i="3"/>
  <c r="G595" i="3"/>
  <c r="G594" i="3"/>
  <c r="G593" i="3"/>
  <c r="G592" i="3"/>
  <c r="G591" i="3"/>
  <c r="G590" i="3"/>
  <c r="G589" i="3"/>
  <c r="G588" i="3"/>
  <c r="G587" i="3"/>
  <c r="G586" i="3"/>
  <c r="G585" i="3"/>
  <c r="G584" i="3"/>
  <c r="G583" i="3"/>
  <c r="G582" i="3"/>
  <c r="G581" i="3"/>
  <c r="G580" i="3"/>
  <c r="G579" i="3"/>
  <c r="G578" i="3"/>
  <c r="G577" i="3"/>
  <c r="G576" i="3"/>
  <c r="G575" i="3"/>
  <c r="G574" i="3"/>
  <c r="G573" i="3"/>
  <c r="G572" i="3"/>
  <c r="G571" i="3"/>
  <c r="G570" i="3"/>
  <c r="G569" i="3"/>
  <c r="G568" i="3"/>
  <c r="G567" i="3"/>
  <c r="G566" i="3"/>
  <c r="G565" i="3"/>
  <c r="G564" i="3"/>
  <c r="G563" i="3"/>
  <c r="G562" i="3"/>
  <c r="G561" i="3"/>
  <c r="G560" i="3"/>
  <c r="G559" i="3"/>
  <c r="G558" i="3"/>
  <c r="G557" i="3"/>
  <c r="G556" i="3"/>
  <c r="G555" i="3"/>
  <c r="G554" i="3"/>
  <c r="G553" i="3"/>
  <c r="G552" i="3"/>
  <c r="G551" i="3"/>
  <c r="G550" i="3"/>
  <c r="G549" i="3"/>
  <c r="G548" i="3"/>
  <c r="G547" i="3"/>
  <c r="G546" i="3"/>
  <c r="G545" i="3"/>
  <c r="G544" i="3"/>
  <c r="G543" i="3"/>
  <c r="G542" i="3"/>
  <c r="G541" i="3"/>
  <c r="G540" i="3"/>
  <c r="G539" i="3"/>
  <c r="G538" i="3"/>
  <c r="G537" i="3"/>
  <c r="G536" i="3"/>
  <c r="G535" i="3"/>
  <c r="G534" i="3"/>
  <c r="G533" i="3"/>
  <c r="G532" i="3"/>
  <c r="G531" i="3"/>
  <c r="G530" i="3"/>
  <c r="G529" i="3"/>
  <c r="G528" i="3"/>
  <c r="G527" i="3"/>
  <c r="G526" i="3"/>
  <c r="G525" i="3"/>
  <c r="G524" i="3"/>
  <c r="G523" i="3"/>
  <c r="G522" i="3"/>
  <c r="G521" i="3"/>
  <c r="G520" i="3"/>
  <c r="G519" i="3"/>
  <c r="G518" i="3"/>
  <c r="G517" i="3"/>
  <c r="G516" i="3"/>
  <c r="G515" i="3"/>
  <c r="G514" i="3"/>
  <c r="G513" i="3"/>
  <c r="G512" i="3"/>
  <c r="G511" i="3"/>
  <c r="G510" i="3"/>
  <c r="G509" i="3"/>
  <c r="G508" i="3"/>
  <c r="G507" i="3"/>
  <c r="G506" i="3"/>
  <c r="G505" i="3"/>
  <c r="G504" i="3"/>
  <c r="G503" i="3"/>
  <c r="G502" i="3"/>
  <c r="G501" i="3"/>
  <c r="G500" i="3"/>
  <c r="G499" i="3"/>
  <c r="G498" i="3"/>
  <c r="G497" i="3"/>
  <c r="G496" i="3"/>
  <c r="G495" i="3"/>
  <c r="G494" i="3"/>
  <c r="G493" i="3"/>
  <c r="G492" i="3"/>
  <c r="G491" i="3"/>
  <c r="G490" i="3"/>
  <c r="G489" i="3"/>
  <c r="G488" i="3"/>
  <c r="G487" i="3"/>
  <c r="G486" i="3"/>
  <c r="G485" i="3"/>
  <c r="G484" i="3"/>
  <c r="G483" i="3"/>
  <c r="G482" i="3"/>
  <c r="G481" i="3"/>
  <c r="G480" i="3"/>
  <c r="G479" i="3"/>
  <c r="G478" i="3"/>
  <c r="G477" i="3"/>
  <c r="G476" i="3"/>
  <c r="G475" i="3"/>
  <c r="G474" i="3"/>
  <c r="G473" i="3"/>
  <c r="G472" i="3"/>
  <c r="G471" i="3"/>
  <c r="G470" i="3"/>
  <c r="G469" i="3"/>
  <c r="G468" i="3"/>
  <c r="G467" i="3"/>
  <c r="G466" i="3"/>
  <c r="G465" i="3"/>
  <c r="G464" i="3"/>
  <c r="G463" i="3"/>
  <c r="G462" i="3"/>
  <c r="G461" i="3"/>
  <c r="G460" i="3"/>
  <c r="G459" i="3"/>
  <c r="G458" i="3"/>
  <c r="G457" i="3"/>
  <c r="G456" i="3"/>
  <c r="G455" i="3"/>
  <c r="G454" i="3"/>
  <c r="G453" i="3"/>
  <c r="G452" i="3"/>
  <c r="G451" i="3"/>
  <c r="G450" i="3"/>
  <c r="G449" i="3"/>
  <c r="G448" i="3"/>
  <c r="G447" i="3"/>
  <c r="G446" i="3"/>
  <c r="G445" i="3"/>
  <c r="G444" i="3"/>
  <c r="G443" i="3"/>
  <c r="G442" i="3"/>
  <c r="G441" i="3"/>
  <c r="G440" i="3"/>
  <c r="G439" i="3"/>
  <c r="G438" i="3"/>
  <c r="G437" i="3"/>
  <c r="G436" i="3"/>
  <c r="G435" i="3"/>
  <c r="G434" i="3"/>
  <c r="G433" i="3"/>
  <c r="G432" i="3"/>
  <c r="G431" i="3"/>
  <c r="G430" i="3"/>
  <c r="G429" i="3"/>
  <c r="G428" i="3"/>
  <c r="G427" i="3"/>
  <c r="G426" i="3"/>
  <c r="G425" i="3"/>
  <c r="G424" i="3"/>
  <c r="G423" i="3"/>
  <c r="G422" i="3"/>
  <c r="G421" i="3"/>
  <c r="G420" i="3"/>
  <c r="G419" i="3"/>
  <c r="G418" i="3"/>
  <c r="G417" i="3"/>
  <c r="G416" i="3"/>
  <c r="G415" i="3"/>
  <c r="G414" i="3"/>
  <c r="G413" i="3"/>
  <c r="G412" i="3"/>
  <c r="G411" i="3"/>
  <c r="G410" i="3"/>
  <c r="G409" i="3"/>
  <c r="G408" i="3"/>
  <c r="G407" i="3"/>
  <c r="G406" i="3"/>
  <c r="G405" i="3"/>
  <c r="G404" i="3"/>
  <c r="G403" i="3"/>
  <c r="G402" i="3"/>
  <c r="G401" i="3"/>
  <c r="G400" i="3"/>
  <c r="G399" i="3"/>
  <c r="G398" i="3"/>
  <c r="G397" i="3"/>
  <c r="G396" i="3"/>
  <c r="G395" i="3"/>
  <c r="G394" i="3"/>
  <c r="G393" i="3"/>
  <c r="G392" i="3"/>
  <c r="G391" i="3"/>
  <c r="G390" i="3"/>
  <c r="G389" i="3"/>
  <c r="G388" i="3"/>
  <c r="G387" i="3"/>
  <c r="G386" i="3"/>
  <c r="G385" i="3"/>
  <c r="G384" i="3"/>
  <c r="G383" i="3"/>
  <c r="G382" i="3"/>
  <c r="G381" i="3"/>
  <c r="G380" i="3"/>
  <c r="G379" i="3"/>
  <c r="G378" i="3"/>
  <c r="G377" i="3"/>
  <c r="G376" i="3"/>
  <c r="G375" i="3"/>
  <c r="G374" i="3"/>
  <c r="G373" i="3"/>
  <c r="G372" i="3"/>
  <c r="G371" i="3"/>
  <c r="G370" i="3"/>
  <c r="G369" i="3"/>
  <c r="G368" i="3"/>
  <c r="G367" i="3"/>
  <c r="G366" i="3"/>
  <c r="G365" i="3"/>
  <c r="G364" i="3"/>
  <c r="G363" i="3"/>
  <c r="G362" i="3"/>
  <c r="G361" i="3"/>
  <c r="G360" i="3"/>
  <c r="G359" i="3"/>
  <c r="G358" i="3"/>
  <c r="G357" i="3"/>
  <c r="G356" i="3"/>
  <c r="G355" i="3"/>
  <c r="G354" i="3"/>
  <c r="G353" i="3"/>
  <c r="G352" i="3"/>
  <c r="G351" i="3"/>
  <c r="G350" i="3"/>
  <c r="G349" i="3"/>
  <c r="G348" i="3"/>
  <c r="G347" i="3"/>
  <c r="G346" i="3"/>
  <c r="G345" i="3"/>
  <c r="G344" i="3"/>
  <c r="G343" i="3"/>
  <c r="G342" i="3"/>
  <c r="G341" i="3"/>
  <c r="G340" i="3"/>
  <c r="G339" i="3"/>
  <c r="G338" i="3"/>
  <c r="G337" i="3"/>
  <c r="G336" i="3"/>
  <c r="G335" i="3"/>
  <c r="G334" i="3"/>
  <c r="G333" i="3"/>
  <c r="G332" i="3"/>
  <c r="G331" i="3"/>
  <c r="G330" i="3"/>
  <c r="G329" i="3"/>
  <c r="G328" i="3"/>
  <c r="G327" i="3"/>
  <c r="G326" i="3"/>
  <c r="G325" i="3"/>
  <c r="G324" i="3"/>
  <c r="G323" i="3"/>
  <c r="G322" i="3"/>
  <c r="G321" i="3"/>
  <c r="G320" i="3"/>
  <c r="G319" i="3"/>
  <c r="G318" i="3"/>
  <c r="G317" i="3"/>
  <c r="G316" i="3"/>
  <c r="G315" i="3"/>
  <c r="G314" i="3"/>
  <c r="G313" i="3"/>
  <c r="G312" i="3"/>
  <c r="G311" i="3"/>
  <c r="G310" i="3"/>
  <c r="G309" i="3"/>
  <c r="G308" i="3"/>
  <c r="G307" i="3"/>
  <c r="G306" i="3"/>
  <c r="G305" i="3"/>
  <c r="G304" i="3"/>
  <c r="G303" i="3"/>
  <c r="G302" i="3"/>
  <c r="G301" i="3"/>
  <c r="G300" i="3"/>
  <c r="G299" i="3"/>
  <c r="G298" i="3"/>
  <c r="G297" i="3"/>
  <c r="G296" i="3"/>
  <c r="G295" i="3"/>
  <c r="G294" i="3"/>
  <c r="G293" i="3"/>
  <c r="G292" i="3"/>
  <c r="G291" i="3"/>
  <c r="G290" i="3"/>
  <c r="G289" i="3"/>
  <c r="G288" i="3"/>
  <c r="G287" i="3"/>
  <c r="G286" i="3"/>
  <c r="G285" i="3"/>
  <c r="G284" i="3"/>
  <c r="G283" i="3"/>
  <c r="G282" i="3"/>
  <c r="G281" i="3"/>
  <c r="G280" i="3"/>
  <c r="G279" i="3"/>
  <c r="G278" i="3"/>
  <c r="G277" i="3"/>
  <c r="G276" i="3"/>
  <c r="G275" i="3"/>
  <c r="G274" i="3"/>
  <c r="G273" i="3"/>
  <c r="G272" i="3"/>
  <c r="G271" i="3"/>
  <c r="G270" i="3"/>
  <c r="G269" i="3"/>
  <c r="G268" i="3"/>
  <c r="G267" i="3"/>
  <c r="G266" i="3"/>
  <c r="G265" i="3"/>
  <c r="G264" i="3"/>
  <c r="G263" i="3"/>
  <c r="G262" i="3"/>
  <c r="G261" i="3"/>
  <c r="G260" i="3"/>
  <c r="G259" i="3"/>
  <c r="G258" i="3"/>
  <c r="G257" i="3"/>
  <c r="G256" i="3"/>
  <c r="G255" i="3"/>
  <c r="G254" i="3"/>
  <c r="G253" i="3"/>
  <c r="G252" i="3"/>
  <c r="G251" i="3"/>
  <c r="G250" i="3"/>
  <c r="G249" i="3"/>
  <c r="G248" i="3"/>
  <c r="G247" i="3"/>
  <c r="G246" i="3"/>
  <c r="G245" i="3"/>
  <c r="G244" i="3"/>
  <c r="G243" i="3"/>
  <c r="G242" i="3"/>
  <c r="G241" i="3"/>
  <c r="G240" i="3"/>
  <c r="G239" i="3"/>
  <c r="G238" i="3"/>
  <c r="G237" i="3"/>
  <c r="G236" i="3"/>
  <c r="G235" i="3"/>
  <c r="G234" i="3"/>
  <c r="G233" i="3"/>
  <c r="G232" i="3"/>
  <c r="G231" i="3"/>
  <c r="G230" i="3"/>
  <c r="G229" i="3"/>
  <c r="G228" i="3"/>
  <c r="G227" i="3"/>
  <c r="G226" i="3"/>
  <c r="G225" i="3"/>
  <c r="G224" i="3"/>
  <c r="G223" i="3"/>
  <c r="G222" i="3"/>
  <c r="G221" i="3"/>
  <c r="G220" i="3"/>
  <c r="G219" i="3"/>
  <c r="G218" i="3"/>
  <c r="G217" i="3"/>
  <c r="G216" i="3"/>
  <c r="G215" i="3"/>
  <c r="G214" i="3"/>
  <c r="G213" i="3"/>
  <c r="G212" i="3"/>
  <c r="G211" i="3"/>
  <c r="G210" i="3"/>
  <c r="G209" i="3"/>
  <c r="G208" i="3"/>
  <c r="G207" i="3"/>
  <c r="G206" i="3"/>
  <c r="G205" i="3"/>
  <c r="G204" i="3"/>
  <c r="G203" i="3"/>
  <c r="G202" i="3"/>
  <c r="G201" i="3"/>
  <c r="G200" i="3"/>
  <c r="G199" i="3"/>
  <c r="G198" i="3"/>
  <c r="G197" i="3"/>
  <c r="G196" i="3"/>
  <c r="G195" i="3"/>
  <c r="G194" i="3"/>
  <c r="G193" i="3"/>
  <c r="G192" i="3"/>
  <c r="G191" i="3"/>
  <c r="G190" i="3"/>
  <c r="G189" i="3"/>
  <c r="G188" i="3"/>
  <c r="G1442" i="3"/>
  <c r="C7" i="1"/>
  <c r="C6" i="1"/>
  <c r="CB99" i="2" l="1"/>
  <c r="CA99" i="2"/>
  <c r="CN99" i="2"/>
  <c r="CM99" i="2"/>
  <c r="CL99" i="2"/>
  <c r="CK99" i="2"/>
  <c r="CJ99" i="2"/>
  <c r="CH99" i="2"/>
  <c r="CE99" i="2"/>
  <c r="CD99" i="2"/>
  <c r="CC99" i="2"/>
  <c r="AU58" i="2"/>
  <c r="AY58" i="2"/>
  <c r="AY89" i="2"/>
  <c r="AZ58" i="2"/>
  <c r="AZ89" i="2"/>
  <c r="BA58" i="2"/>
  <c r="BA89" i="2"/>
  <c r="BC59" i="2"/>
  <c r="BC89" i="2"/>
  <c r="BG58" i="2"/>
  <c r="BG89" i="2"/>
  <c r="BH58" i="2"/>
  <c r="BH89" i="2"/>
  <c r="BE58" i="2"/>
  <c r="BE89" i="2"/>
  <c r="BF32" i="2"/>
  <c r="BI58" i="2"/>
  <c r="BI89" i="2"/>
  <c r="BK59" i="2"/>
  <c r="BK89" i="2"/>
  <c r="BP46" i="2"/>
  <c r="BP49" i="2" s="1"/>
  <c r="BP51" i="2" s="1"/>
  <c r="BP53" i="2" s="1"/>
  <c r="BP94" i="2" s="1"/>
  <c r="BP89" i="2"/>
  <c r="BQ46" i="2"/>
  <c r="BQ49" i="2" s="1"/>
  <c r="BQ51" i="2" s="1"/>
  <c r="BQ53" i="2" s="1"/>
  <c r="BQ89" i="2"/>
  <c r="L62" i="2"/>
  <c r="L55" i="2"/>
  <c r="L61" i="2"/>
  <c r="D61" i="2"/>
  <c r="D60" i="2"/>
  <c r="S53" i="2"/>
  <c r="S62" i="2" s="1"/>
  <c r="S60" i="2"/>
  <c r="AI53" i="2"/>
  <c r="AI94" i="2" s="1"/>
  <c r="D94" i="2"/>
  <c r="D62" i="2"/>
  <c r="CI49" i="2"/>
  <c r="I94" i="2"/>
  <c r="I61" i="2"/>
  <c r="AI60" i="2"/>
  <c r="AA61" i="2"/>
  <c r="CG49" i="2"/>
  <c r="I55" i="2"/>
  <c r="AA60" i="2"/>
  <c r="AJ94" i="2"/>
  <c r="AJ55" i="2"/>
  <c r="AJ62" i="2"/>
  <c r="AJ61" i="2"/>
  <c r="CB49" i="2"/>
  <c r="I60" i="2"/>
  <c r="AB94" i="2"/>
  <c r="AB62" i="2"/>
  <c r="AB55" i="2"/>
  <c r="AH60" i="2"/>
  <c r="AH51" i="2"/>
  <c r="AM53" i="2"/>
  <c r="AM61" i="2"/>
  <c r="G53" i="2"/>
  <c r="G61" i="2"/>
  <c r="AT53" i="2"/>
  <c r="AT61" i="2"/>
  <c r="AN53" i="2"/>
  <c r="AN61" i="2"/>
  <c r="Z60" i="2"/>
  <c r="Z51" i="2"/>
  <c r="AS51" i="2"/>
  <c r="AS60" i="2"/>
  <c r="R60" i="2"/>
  <c r="R51" i="2"/>
  <c r="AE53" i="2"/>
  <c r="AE61" i="2"/>
  <c r="AL53" i="2"/>
  <c r="AL61" i="2"/>
  <c r="AD53" i="2"/>
  <c r="AD61" i="2"/>
  <c r="K94" i="2"/>
  <c r="K62" i="2"/>
  <c r="K55" i="2"/>
  <c r="AF53" i="2"/>
  <c r="AF61" i="2"/>
  <c r="AK51" i="2"/>
  <c r="AK60" i="2"/>
  <c r="J60" i="2"/>
  <c r="J51" i="2"/>
  <c r="E51" i="2"/>
  <c r="E60" i="2"/>
  <c r="CH49" i="2"/>
  <c r="AC51" i="2"/>
  <c r="AC60" i="2"/>
  <c r="AQ53" i="2"/>
  <c r="AQ61" i="2"/>
  <c r="W53" i="2"/>
  <c r="W61" i="2"/>
  <c r="V53" i="2"/>
  <c r="V61" i="2"/>
  <c r="N53" i="2"/>
  <c r="N61" i="2"/>
  <c r="AI55" i="2"/>
  <c r="X53" i="2"/>
  <c r="X61" i="2"/>
  <c r="CA49" i="2"/>
  <c r="U51" i="2"/>
  <c r="U60" i="2"/>
  <c r="AP51" i="2"/>
  <c r="AP60" i="2"/>
  <c r="CJ49" i="2"/>
  <c r="M51" i="2"/>
  <c r="M60" i="2"/>
  <c r="C94" i="2"/>
  <c r="C62" i="2"/>
  <c r="C55" i="2"/>
  <c r="CA55" i="2" s="1"/>
  <c r="O53" i="2"/>
  <c r="O61" i="2"/>
  <c r="F53" i="2"/>
  <c r="F61" i="2"/>
  <c r="H53" i="2"/>
  <c r="H61" i="2"/>
  <c r="AA94" i="2"/>
  <c r="AA62" i="2"/>
  <c r="AA55" i="2"/>
  <c r="P53" i="2"/>
  <c r="P61" i="2"/>
  <c r="AV58" i="2"/>
  <c r="BM99" i="2"/>
  <c r="CQ99" i="2" s="1"/>
  <c r="AW59" i="2"/>
  <c r="BE59" i="2"/>
  <c r="BI99" i="2"/>
  <c r="CO99" i="2" s="1"/>
  <c r="BP59" i="2"/>
  <c r="BK99" i="2"/>
  <c r="BR31" i="2"/>
  <c r="BQ62" i="2"/>
  <c r="AY59" i="2"/>
  <c r="BG59" i="2"/>
  <c r="BQ61" i="2"/>
  <c r="BK58" i="2"/>
  <c r="AZ59" i="2"/>
  <c r="BH59" i="2"/>
  <c r="BQ60" i="2"/>
  <c r="BR11" i="2"/>
  <c r="BP58" i="2"/>
  <c r="BA59" i="2"/>
  <c r="BI59" i="2"/>
  <c r="BQ59" i="2"/>
  <c r="BP57" i="2"/>
  <c r="BQ58" i="2"/>
  <c r="BQ57" i="2"/>
  <c r="BQ94" i="2"/>
  <c r="BL22" i="2"/>
  <c r="BN33" i="2"/>
  <c r="BN12" i="2"/>
  <c r="BF15" i="2"/>
  <c r="BM22" i="2"/>
  <c r="AZ18" i="2"/>
  <c r="BF29" i="2"/>
  <c r="BF40" i="2" s="1"/>
  <c r="BI19" i="2"/>
  <c r="BJ34" i="2"/>
  <c r="BN11" i="2"/>
  <c r="BN34" i="2"/>
  <c r="BQ19" i="2"/>
  <c r="BR14" i="2"/>
  <c r="BJ13" i="2"/>
  <c r="AZ21" i="2"/>
  <c r="BD21" i="2"/>
  <c r="BB9" i="2"/>
  <c r="BB44" i="2" s="1"/>
  <c r="BB89" i="2" s="1"/>
  <c r="BN9" i="2"/>
  <c r="BN44" i="2" s="1"/>
  <c r="BN89" i="2" s="1"/>
  <c r="BJ32" i="2"/>
  <c r="BA18" i="2"/>
  <c r="AU20" i="2"/>
  <c r="BK21" i="2"/>
  <c r="BQ22" i="2"/>
  <c r="BB22" i="2"/>
  <c r="BE18" i="2"/>
  <c r="AY20" i="2"/>
  <c r="BL21" i="2"/>
  <c r="BF35" i="2"/>
  <c r="BN31" i="2"/>
  <c r="CQ24" i="2"/>
  <c r="BI18" i="2"/>
  <c r="BC20" i="2"/>
  <c r="BA22" i="2"/>
  <c r="BF12" i="2"/>
  <c r="BQ18" i="2"/>
  <c r="BK20" i="2"/>
  <c r="BD22" i="2"/>
  <c r="BB12" i="2"/>
  <c r="AX29" i="2"/>
  <c r="AX40" i="2" s="1"/>
  <c r="BB33" i="2"/>
  <c r="BR35" i="2"/>
  <c r="CQ7" i="2"/>
  <c r="BA19" i="2"/>
  <c r="BO20" i="2"/>
  <c r="BE22" i="2"/>
  <c r="BN13" i="2"/>
  <c r="BQ36" i="2"/>
  <c r="BR15" i="2"/>
  <c r="AU21" i="2"/>
  <c r="BI22" i="2"/>
  <c r="BO39" i="2"/>
  <c r="BJ35" i="2"/>
  <c r="BP39" i="2"/>
  <c r="BJ12" i="2"/>
  <c r="AU19" i="2"/>
  <c r="BC19" i="2"/>
  <c r="BK19" i="2"/>
  <c r="AV20" i="2"/>
  <c r="BD20" i="2"/>
  <c r="BL20" i="2"/>
  <c r="AW21" i="2"/>
  <c r="BE21" i="2"/>
  <c r="BM21" i="2"/>
  <c r="BJ11" i="2"/>
  <c r="BF34" i="2"/>
  <c r="BB32" i="2"/>
  <c r="AW40" i="2"/>
  <c r="BN35" i="2"/>
  <c r="CQ26" i="2"/>
  <c r="BR13" i="2"/>
  <c r="AU18" i="2"/>
  <c r="BC18" i="2"/>
  <c r="BK18" i="2"/>
  <c r="AV19" i="2"/>
  <c r="BD19" i="2"/>
  <c r="BL19" i="2"/>
  <c r="AW20" i="2"/>
  <c r="BE20" i="2"/>
  <c r="BM20" i="2"/>
  <c r="AY22" i="2"/>
  <c r="BG22" i="2"/>
  <c r="BO22" i="2"/>
  <c r="AV21" i="2"/>
  <c r="AW22" i="2"/>
  <c r="CP35" i="2"/>
  <c r="BQ40" i="2"/>
  <c r="BJ29" i="2"/>
  <c r="BJ41" i="2" s="1"/>
  <c r="BJ14" i="2"/>
  <c r="CQ27" i="2"/>
  <c r="BR12" i="2"/>
  <c r="AV18" i="2"/>
  <c r="AW19" i="2"/>
  <c r="BE19" i="2"/>
  <c r="BM19" i="2"/>
  <c r="AY21" i="2"/>
  <c r="BG21" i="2"/>
  <c r="BO21" i="2"/>
  <c r="AZ22" i="2"/>
  <c r="BH22" i="2"/>
  <c r="BP22" i="2"/>
  <c r="AX9" i="2"/>
  <c r="AX22" i="2" s="1"/>
  <c r="AY41" i="2"/>
  <c r="AW18" i="2"/>
  <c r="BG20" i="2"/>
  <c r="BH21" i="2"/>
  <c r="BP21" i="2"/>
  <c r="BO41" i="2"/>
  <c r="BN15" i="2"/>
  <c r="BJ33" i="2"/>
  <c r="CQ4" i="2"/>
  <c r="AY19" i="2"/>
  <c r="BG19" i="2"/>
  <c r="BO19" i="2"/>
  <c r="AZ20" i="2"/>
  <c r="BH20" i="2"/>
  <c r="BP20" i="2"/>
  <c r="BA21" i="2"/>
  <c r="BI21" i="2"/>
  <c r="BQ21" i="2"/>
  <c r="BA38" i="2"/>
  <c r="BO42" i="2"/>
  <c r="CQ5" i="2"/>
  <c r="AY18" i="2"/>
  <c r="BG18" i="2"/>
  <c r="AZ19" i="2"/>
  <c r="BH19" i="2"/>
  <c r="BP19" i="2"/>
  <c r="BA20" i="2"/>
  <c r="BI20" i="2"/>
  <c r="BQ20" i="2"/>
  <c r="AU22" i="2"/>
  <c r="BC22" i="2"/>
  <c r="BK22" i="2"/>
  <c r="BO38" i="2"/>
  <c r="BP42" i="2"/>
  <c r="BN32" i="2"/>
  <c r="BH18" i="2"/>
  <c r="BP18" i="2"/>
  <c r="BC21" i="2"/>
  <c r="AV22" i="2"/>
  <c r="BF14" i="2"/>
  <c r="BB35" i="2"/>
  <c r="BP38" i="2"/>
  <c r="BE40" i="2"/>
  <c r="BP41" i="2"/>
  <c r="CQ28" i="2"/>
  <c r="BQ38" i="2"/>
  <c r="BM40" i="2"/>
  <c r="BQ41" i="2"/>
  <c r="BJ31" i="2"/>
  <c r="BJ15" i="2"/>
  <c r="BB11" i="2"/>
  <c r="BF33" i="2"/>
  <c r="BC39" i="2"/>
  <c r="BA42" i="2"/>
  <c r="BN14" i="2"/>
  <c r="BN29" i="2"/>
  <c r="BN39" i="2" s="1"/>
  <c r="CN28" i="2"/>
  <c r="BK39" i="2"/>
  <c r="BI42" i="2"/>
  <c r="BB34" i="2"/>
  <c r="BF11" i="2"/>
  <c r="BB13" i="2"/>
  <c r="BI38" i="2"/>
  <c r="BQ39" i="2"/>
  <c r="BG41" i="2"/>
  <c r="BJ9" i="2"/>
  <c r="CO9" i="2" s="1"/>
  <c r="AV39" i="2"/>
  <c r="BD39" i="2"/>
  <c r="BL39" i="2"/>
  <c r="AZ41" i="2"/>
  <c r="BH41" i="2"/>
  <c r="AU38" i="2"/>
  <c r="BC38" i="2"/>
  <c r="BK38" i="2"/>
  <c r="AW39" i="2"/>
  <c r="BE39" i="2"/>
  <c r="BM39" i="2"/>
  <c r="AY40" i="2"/>
  <c r="BG40" i="2"/>
  <c r="BA41" i="2"/>
  <c r="BI41" i="2"/>
  <c r="AU42" i="2"/>
  <c r="BC42" i="2"/>
  <c r="BK42" i="2"/>
  <c r="AU39" i="2"/>
  <c r="AV38" i="2"/>
  <c r="BD38" i="2"/>
  <c r="BL38" i="2"/>
  <c r="AZ40" i="2"/>
  <c r="BH40" i="2"/>
  <c r="AV42" i="2"/>
  <c r="BD42" i="2"/>
  <c r="BL42" i="2"/>
  <c r="AW38" i="2"/>
  <c r="BE38" i="2"/>
  <c r="BM38" i="2"/>
  <c r="AY39" i="2"/>
  <c r="BG39" i="2"/>
  <c r="BA40" i="2"/>
  <c r="BI40" i="2"/>
  <c r="AU41" i="2"/>
  <c r="BC41" i="2"/>
  <c r="BK41" i="2"/>
  <c r="AW42" i="2"/>
  <c r="BE42" i="2"/>
  <c r="BM42" i="2"/>
  <c r="AZ39" i="2"/>
  <c r="BH39" i="2"/>
  <c r="AV41" i="2"/>
  <c r="BD41" i="2"/>
  <c r="BL41" i="2"/>
  <c r="AY38" i="2"/>
  <c r="BG38" i="2"/>
  <c r="BM41" i="2"/>
  <c r="AZ38" i="2"/>
  <c r="BH38" i="2"/>
  <c r="BR33" i="2"/>
  <c r="BR32" i="2"/>
  <c r="BR9" i="2"/>
  <c r="BR18" i="2" s="1"/>
  <c r="BB31" i="2"/>
  <c r="CL28" i="2"/>
  <c r="BB15" i="2"/>
  <c r="BB29" i="2"/>
  <c r="BF31" i="2"/>
  <c r="BB14" i="2"/>
  <c r="BF13" i="2"/>
  <c r="BF9" i="2"/>
  <c r="BF19" i="2" s="1"/>
  <c r="BR29" i="2"/>
  <c r="AY36" i="2"/>
  <c r="BG36" i="2"/>
  <c r="BH36" i="2"/>
  <c r="BL16" i="2"/>
  <c r="BD16" i="2"/>
  <c r="BL44" i="2"/>
  <c r="BL89" i="2" s="1"/>
  <c r="AZ36" i="2"/>
  <c r="BD36" i="2"/>
  <c r="BL36" i="2"/>
  <c r="BE36" i="2"/>
  <c r="BP36" i="2"/>
  <c r="BA36" i="2"/>
  <c r="BI36" i="2"/>
  <c r="BQ16" i="2"/>
  <c r="BD44" i="2"/>
  <c r="BD89" i="2" s="1"/>
  <c r="BC36" i="2"/>
  <c r="BK36" i="2"/>
  <c r="BM44" i="2"/>
  <c r="BM89" i="2" s="1"/>
  <c r="BP16" i="2"/>
  <c r="BM36" i="2"/>
  <c r="BO44" i="2"/>
  <c r="BO89" i="2" s="1"/>
  <c r="BO36" i="2"/>
  <c r="BC16" i="2"/>
  <c r="BK16" i="2"/>
  <c r="BA16" i="2"/>
  <c r="BE16" i="2"/>
  <c r="BM16" i="2"/>
  <c r="AY16" i="2"/>
  <c r="BG16" i="2"/>
  <c r="AZ16" i="2"/>
  <c r="BH16" i="2"/>
  <c r="BO16" i="2"/>
  <c r="BI16" i="2"/>
  <c r="K234" i="3"/>
  <c r="K235" i="3"/>
  <c r="K237" i="3"/>
  <c r="K236" i="3"/>
  <c r="K238" i="3"/>
  <c r="K239" i="3" s="1"/>
  <c r="DA70" i="2"/>
  <c r="DA76" i="2"/>
  <c r="DA74" i="2"/>
  <c r="BK46" i="2"/>
  <c r="BI46" i="2"/>
  <c r="BH46" i="2"/>
  <c r="BE46" i="2"/>
  <c r="BC46" i="2"/>
  <c r="BA46" i="2"/>
  <c r="AZ46" i="2"/>
  <c r="AW46" i="2"/>
  <c r="AV46" i="2"/>
  <c r="AU46" i="2"/>
  <c r="CL64" i="2"/>
  <c r="CM64" i="2"/>
  <c r="CN64" i="2"/>
  <c r="CK44" i="2"/>
  <c r="CJ44" i="2"/>
  <c r="CI44" i="2"/>
  <c r="CH44" i="2"/>
  <c r="CG44" i="2"/>
  <c r="CF44" i="2"/>
  <c r="CE44" i="2"/>
  <c r="CD44" i="2"/>
  <c r="CC44" i="2"/>
  <c r="CB44" i="2"/>
  <c r="CA44" i="2"/>
  <c r="CP27" i="2"/>
  <c r="CO27" i="2"/>
  <c r="CN27" i="2"/>
  <c r="CM27" i="2"/>
  <c r="CL27" i="2"/>
  <c r="CP26" i="2"/>
  <c r="CO26" i="2"/>
  <c r="CN26" i="2"/>
  <c r="CM26" i="2"/>
  <c r="CL26" i="2"/>
  <c r="CP25" i="2"/>
  <c r="CO25" i="2"/>
  <c r="CN25" i="2"/>
  <c r="CM25" i="2"/>
  <c r="CL25" i="2"/>
  <c r="CP24" i="2"/>
  <c r="CO24" i="2"/>
  <c r="CN24" i="2"/>
  <c r="CM24" i="2"/>
  <c r="CL24" i="2"/>
  <c r="CL9" i="2"/>
  <c r="CP8" i="2"/>
  <c r="CO8" i="2"/>
  <c r="CN8" i="2"/>
  <c r="CM8" i="2"/>
  <c r="CL8" i="2"/>
  <c r="CP7" i="2"/>
  <c r="CO7" i="2"/>
  <c r="CN7" i="2"/>
  <c r="CM7" i="2"/>
  <c r="CL7" i="2"/>
  <c r="CP6" i="2"/>
  <c r="CO6" i="2"/>
  <c r="CN6" i="2"/>
  <c r="CM6" i="2"/>
  <c r="CL6" i="2"/>
  <c r="CP5" i="2"/>
  <c r="CO5" i="2"/>
  <c r="CN5" i="2"/>
  <c r="CM5" i="2"/>
  <c r="CL5" i="2"/>
  <c r="CM4" i="2"/>
  <c r="CO4" i="2"/>
  <c r="CP4" i="2"/>
  <c r="CN4" i="2"/>
  <c r="CL4" i="2"/>
  <c r="CB3" i="2"/>
  <c r="CC3" i="2" s="1"/>
  <c r="CD3" i="2" s="1"/>
  <c r="CE3" i="2" s="1"/>
  <c r="CF3" i="2" s="1"/>
  <c r="CG3" i="2" s="1"/>
  <c r="CH3" i="2" s="1"/>
  <c r="CI3" i="2" s="1"/>
  <c r="CJ3" i="2" s="1"/>
  <c r="CK3" i="2" s="1"/>
  <c r="CL3" i="2" s="1"/>
  <c r="CM3" i="2" s="1"/>
  <c r="CN3" i="2" s="1"/>
  <c r="CO3" i="2" s="1"/>
  <c r="CP3" i="2" s="1"/>
  <c r="CQ3" i="2" s="1"/>
  <c r="CR3" i="2" s="1"/>
  <c r="CS3" i="2" s="1"/>
  <c r="CT3" i="2" s="1"/>
  <c r="CU3" i="2" s="1"/>
  <c r="CV3" i="2" s="1"/>
  <c r="CW3" i="2" s="1"/>
  <c r="CX3" i="2" s="1"/>
  <c r="CY3" i="2" s="1"/>
  <c r="CZ3" i="2" s="1"/>
  <c r="DA3" i="2" s="1"/>
  <c r="DB3" i="2" s="1"/>
  <c r="DC3" i="2" s="1"/>
  <c r="DD3" i="2" s="1"/>
  <c r="DE3" i="2" s="1"/>
  <c r="DF3" i="2" s="1"/>
  <c r="DG3" i="2" s="1"/>
  <c r="DH3" i="2" s="1"/>
  <c r="DI3" i="2" s="1"/>
  <c r="DJ3" i="2" s="1"/>
  <c r="DK3" i="2" s="1"/>
  <c r="DL3" i="2" s="1"/>
  <c r="DM3" i="2" s="1"/>
  <c r="DN3" i="2" s="1"/>
  <c r="DO3" i="2" s="1"/>
  <c r="DP3" i="2" s="1"/>
  <c r="DQ3" i="2" s="1"/>
  <c r="DR3" i="2" s="1"/>
  <c r="DS3" i="2" s="1"/>
  <c r="DT3" i="2" s="1"/>
  <c r="DU3" i="2" s="1"/>
  <c r="DV3" i="2" s="1"/>
  <c r="DW3" i="2" s="1"/>
  <c r="DX3" i="2" s="1"/>
  <c r="DY3" i="2" s="1"/>
  <c r="DZ3" i="2" s="1"/>
  <c r="EA3" i="2" s="1"/>
  <c r="EB3" i="2" s="1"/>
  <c r="EC3" i="2" s="1"/>
  <c r="ED3" i="2" s="1"/>
  <c r="EE3" i="2" s="1"/>
  <c r="EF3" i="2" s="1"/>
  <c r="EG3" i="2" s="1"/>
  <c r="EH3" i="2" s="1"/>
  <c r="EI3" i="2" s="1"/>
  <c r="EJ3" i="2" s="1"/>
  <c r="EK3" i="2" s="1"/>
  <c r="EL3" i="2" s="1"/>
  <c r="EM3" i="2" s="1"/>
  <c r="EN3" i="2" s="1"/>
  <c r="EO3" i="2" s="1"/>
  <c r="EP3" i="2" s="1"/>
  <c r="EQ3" i="2" s="1"/>
  <c r="ER3" i="2" s="1"/>
  <c r="ES3" i="2" s="1"/>
  <c r="ET3" i="2" s="1"/>
  <c r="EU3" i="2" s="1"/>
  <c r="EV3" i="2" s="1"/>
  <c r="EW3" i="2" s="1"/>
  <c r="EX3" i="2" s="1"/>
  <c r="C5" i="1"/>
  <c r="C8" i="1" s="1"/>
  <c r="CP99" i="2" l="1"/>
  <c r="CL18" i="2"/>
  <c r="CM9" i="2"/>
  <c r="BB16" i="2"/>
  <c r="CM19" i="2"/>
  <c r="BB46" i="2"/>
  <c r="BB57" i="2" s="1"/>
  <c r="BB20" i="2"/>
  <c r="CN29" i="2"/>
  <c r="CN39" i="2" s="1"/>
  <c r="BJ36" i="2"/>
  <c r="BN22" i="2"/>
  <c r="BP61" i="2"/>
  <c r="BP60" i="2"/>
  <c r="BP62" i="2"/>
  <c r="BP55" i="2"/>
  <c r="BP91" i="2"/>
  <c r="BP92" i="2"/>
  <c r="BQ55" i="2"/>
  <c r="BQ92" i="2"/>
  <c r="BQ91" i="2"/>
  <c r="BN41" i="2"/>
  <c r="S94" i="2"/>
  <c r="AI62" i="2"/>
  <c r="S55" i="2"/>
  <c r="AK53" i="2"/>
  <c r="AK61" i="2"/>
  <c r="CI51" i="2"/>
  <c r="CI61" i="2" s="1"/>
  <c r="AL94" i="2"/>
  <c r="AL62" i="2"/>
  <c r="AL55" i="2"/>
  <c r="H94" i="2"/>
  <c r="H55" i="2"/>
  <c r="H62" i="2"/>
  <c r="V94" i="2"/>
  <c r="V62" i="2"/>
  <c r="V55" i="2"/>
  <c r="AE62" i="2"/>
  <c r="AE55" i="2"/>
  <c r="AE94" i="2"/>
  <c r="G62" i="2"/>
  <c r="G55" i="2"/>
  <c r="CB55" i="2" s="1"/>
  <c r="G94" i="2"/>
  <c r="AC53" i="2"/>
  <c r="AC61" i="2"/>
  <c r="CG51" i="2"/>
  <c r="CG61" i="2" s="1"/>
  <c r="M53" i="2"/>
  <c r="M61" i="2"/>
  <c r="CC51" i="2"/>
  <c r="CC61" i="2" s="1"/>
  <c r="X55" i="2"/>
  <c r="X62" i="2"/>
  <c r="X94" i="2"/>
  <c r="E53" i="2"/>
  <c r="E61" i="2"/>
  <c r="CA51" i="2"/>
  <c r="CA61" i="2" s="1"/>
  <c r="R53" i="2"/>
  <c r="CD53" i="2" s="1"/>
  <c r="CD62" i="2" s="1"/>
  <c r="R61" i="2"/>
  <c r="CD51" i="2"/>
  <c r="CD61" i="2" s="1"/>
  <c r="AN55" i="2"/>
  <c r="AN62" i="2"/>
  <c r="AN94" i="2"/>
  <c r="AT94" i="2"/>
  <c r="AT62" i="2"/>
  <c r="AT55" i="2"/>
  <c r="AF94" i="2"/>
  <c r="AF62" i="2"/>
  <c r="AF55" i="2"/>
  <c r="F94" i="2"/>
  <c r="F62" i="2"/>
  <c r="F55" i="2"/>
  <c r="W62" i="2"/>
  <c r="W55" i="2"/>
  <c r="W94" i="2"/>
  <c r="J53" i="2"/>
  <c r="J61" i="2"/>
  <c r="CB51" i="2"/>
  <c r="CB61" i="2" s="1"/>
  <c r="AM62" i="2"/>
  <c r="AM55" i="2"/>
  <c r="AM94" i="2"/>
  <c r="N94" i="2"/>
  <c r="N62" i="2"/>
  <c r="N55" i="2"/>
  <c r="P62" i="2"/>
  <c r="P55" i="2"/>
  <c r="P94" i="2"/>
  <c r="AH53" i="2"/>
  <c r="CH53" i="2" s="1"/>
  <c r="CH62" i="2" s="1"/>
  <c r="AH61" i="2"/>
  <c r="CH51" i="2"/>
  <c r="CH61" i="2" s="1"/>
  <c r="U53" i="2"/>
  <c r="U61" i="2"/>
  <c r="CE51" i="2"/>
  <c r="CE61" i="2" s="1"/>
  <c r="Z53" i="2"/>
  <c r="Z61" i="2"/>
  <c r="CF51" i="2"/>
  <c r="CF61" i="2" s="1"/>
  <c r="O62" i="2"/>
  <c r="O55" i="2"/>
  <c r="O94" i="2"/>
  <c r="AP53" i="2"/>
  <c r="AP61" i="2"/>
  <c r="CJ51" i="2"/>
  <c r="CJ61" i="2" s="1"/>
  <c r="AQ94" i="2"/>
  <c r="AQ62" i="2"/>
  <c r="AQ55" i="2"/>
  <c r="AD94" i="2"/>
  <c r="AD62" i="2"/>
  <c r="AD55" i="2"/>
  <c r="AS53" i="2"/>
  <c r="CK53" i="2" s="1"/>
  <c r="CK62" i="2" s="1"/>
  <c r="AS61" i="2"/>
  <c r="CK51" i="2"/>
  <c r="CK61" i="2" s="1"/>
  <c r="CP29" i="2"/>
  <c r="CP42" i="2" s="1"/>
  <c r="BJ40" i="2"/>
  <c r="CO29" i="2"/>
  <c r="BF42" i="2"/>
  <c r="BJ39" i="2"/>
  <c r="BJ38" i="2"/>
  <c r="BJ42" i="2"/>
  <c r="BC49" i="2"/>
  <c r="BC57" i="2"/>
  <c r="BF36" i="2"/>
  <c r="BF39" i="2"/>
  <c r="BM46" i="2"/>
  <c r="BM58" i="2"/>
  <c r="BM59" i="2"/>
  <c r="BE49" i="2"/>
  <c r="BE57" i="2"/>
  <c r="BF41" i="2"/>
  <c r="CL19" i="2"/>
  <c r="CP40" i="2"/>
  <c r="AV49" i="2"/>
  <c r="AV57" i="2"/>
  <c r="BI49" i="2"/>
  <c r="BI57" i="2"/>
  <c r="BL58" i="2"/>
  <c r="BL59" i="2"/>
  <c r="BN46" i="2"/>
  <c r="BN58" i="2"/>
  <c r="BN59" i="2"/>
  <c r="BB58" i="2"/>
  <c r="BB59" i="2"/>
  <c r="BH49" i="2"/>
  <c r="BH57" i="2"/>
  <c r="AW49" i="2"/>
  <c r="AW57" i="2"/>
  <c r="BK49" i="2"/>
  <c r="BK57" i="2"/>
  <c r="BO46" i="2"/>
  <c r="BO58" i="2"/>
  <c r="BO59" i="2"/>
  <c r="CL21" i="2"/>
  <c r="AZ49" i="2"/>
  <c r="AZ57" i="2"/>
  <c r="BF38" i="2"/>
  <c r="AU49" i="2"/>
  <c r="AU57" i="2"/>
  <c r="BD46" i="2"/>
  <c r="BD58" i="2"/>
  <c r="BD59" i="2"/>
  <c r="CL20" i="2"/>
  <c r="CM20" i="2"/>
  <c r="CM18" i="2"/>
  <c r="CM21" i="2"/>
  <c r="CL22" i="2"/>
  <c r="BA49" i="2"/>
  <c r="BA57" i="2"/>
  <c r="BN42" i="2"/>
  <c r="CG59" i="2"/>
  <c r="CG60" i="2"/>
  <c r="CG58" i="2"/>
  <c r="CG57" i="2"/>
  <c r="CH58" i="2"/>
  <c r="CH57" i="2"/>
  <c r="CH60" i="2"/>
  <c r="CH59" i="2"/>
  <c r="CA58" i="2"/>
  <c r="CA57" i="2"/>
  <c r="CA59" i="2"/>
  <c r="CA60" i="2"/>
  <c r="CB57" i="2"/>
  <c r="CB60" i="2"/>
  <c r="CB59" i="2"/>
  <c r="CB58" i="2"/>
  <c r="CC57" i="2"/>
  <c r="CC60" i="2"/>
  <c r="CC58" i="2"/>
  <c r="CC59" i="2"/>
  <c r="CK57" i="2"/>
  <c r="CK60" i="2"/>
  <c r="CK59" i="2"/>
  <c r="CK58" i="2"/>
  <c r="CJ57" i="2"/>
  <c r="CJ60" i="2"/>
  <c r="CJ59" i="2"/>
  <c r="CJ58" i="2"/>
  <c r="CD60" i="2"/>
  <c r="CD59" i="2"/>
  <c r="CD58" i="2"/>
  <c r="CD57" i="2"/>
  <c r="CI58" i="2"/>
  <c r="CI57" i="2"/>
  <c r="CI60" i="2"/>
  <c r="CI59" i="2"/>
  <c r="CE60" i="2"/>
  <c r="CE57" i="2"/>
  <c r="CE59" i="2"/>
  <c r="CE58" i="2"/>
  <c r="CF59" i="2"/>
  <c r="CF58" i="2"/>
  <c r="CF57" i="2"/>
  <c r="CF60" i="2"/>
  <c r="CM22" i="2"/>
  <c r="BJ22" i="2"/>
  <c r="BN18" i="2"/>
  <c r="BR22" i="2"/>
  <c r="BN19" i="2"/>
  <c r="BB18" i="2"/>
  <c r="CO22" i="2"/>
  <c r="BN20" i="2"/>
  <c r="CP9" i="2"/>
  <c r="CP21" i="2" s="1"/>
  <c r="AX38" i="2"/>
  <c r="CL29" i="2"/>
  <c r="CL40" i="2" s="1"/>
  <c r="AX42" i="2"/>
  <c r="BB21" i="2"/>
  <c r="AX41" i="2"/>
  <c r="BN21" i="2"/>
  <c r="AX39" i="2"/>
  <c r="BB19" i="2"/>
  <c r="BJ20" i="2"/>
  <c r="BJ19" i="2"/>
  <c r="CQ31" i="2"/>
  <c r="BF21" i="2"/>
  <c r="CM32" i="2"/>
  <c r="CP32" i="2"/>
  <c r="CN34" i="2"/>
  <c r="AX44" i="2"/>
  <c r="AX89" i="2" s="1"/>
  <c r="AX19" i="2"/>
  <c r="BF20" i="2"/>
  <c r="BF18" i="2"/>
  <c r="CN31" i="2"/>
  <c r="CO18" i="2"/>
  <c r="CO19" i="2"/>
  <c r="CQ34" i="2"/>
  <c r="CN35" i="2"/>
  <c r="CO35" i="2"/>
  <c r="BJ21" i="2"/>
  <c r="CN32" i="2"/>
  <c r="CM33" i="2"/>
  <c r="CO20" i="2"/>
  <c r="BJ18" i="2"/>
  <c r="AX21" i="2"/>
  <c r="CO21" i="2"/>
  <c r="BR16" i="2"/>
  <c r="BR20" i="2"/>
  <c r="BR21" i="2"/>
  <c r="BN16" i="2"/>
  <c r="AX18" i="2"/>
  <c r="BF22" i="2"/>
  <c r="BR19" i="2"/>
  <c r="AX20" i="2"/>
  <c r="CP33" i="2"/>
  <c r="CQ33" i="2"/>
  <c r="BN38" i="2"/>
  <c r="BN36" i="2"/>
  <c r="CP34" i="2"/>
  <c r="CQ35" i="2"/>
  <c r="CQ32" i="2"/>
  <c r="CM31" i="2"/>
  <c r="CQ13" i="2"/>
  <c r="BL46" i="2"/>
  <c r="CQ9" i="2"/>
  <c r="CQ19" i="2" s="1"/>
  <c r="CQ29" i="2"/>
  <c r="CQ42" i="2" s="1"/>
  <c r="CQ15" i="2"/>
  <c r="CQ14" i="2"/>
  <c r="CN33" i="2"/>
  <c r="CM34" i="2"/>
  <c r="BB36" i="2"/>
  <c r="BN40" i="2"/>
  <c r="BJ44" i="2"/>
  <c r="BJ89" i="2" s="1"/>
  <c r="BJ16" i="2"/>
  <c r="CM35" i="2"/>
  <c r="CQ12" i="2"/>
  <c r="CQ11" i="2"/>
  <c r="CM29" i="2"/>
  <c r="CM42" i="2" s="1"/>
  <c r="BB39" i="2"/>
  <c r="BB40" i="2"/>
  <c r="BB41" i="2"/>
  <c r="BB42" i="2"/>
  <c r="BB38" i="2"/>
  <c r="CO31" i="2"/>
  <c r="BF44" i="2"/>
  <c r="BF89" i="2" s="1"/>
  <c r="CO32" i="2"/>
  <c r="CO33" i="2"/>
  <c r="CO34" i="2"/>
  <c r="CP31" i="2"/>
  <c r="BR36" i="2"/>
  <c r="BR39" i="2"/>
  <c r="BR42" i="2"/>
  <c r="BR40" i="2"/>
  <c r="BR41" i="2"/>
  <c r="BR38" i="2"/>
  <c r="BR44" i="2"/>
  <c r="BR89" i="2" s="1"/>
  <c r="CN9" i="2"/>
  <c r="CO16" i="2" s="1"/>
  <c r="BF16" i="2"/>
  <c r="CR5" i="2"/>
  <c r="CS5" i="2" s="1"/>
  <c r="CT5" i="2" s="1"/>
  <c r="CU5" i="2" s="1"/>
  <c r="CV5" i="2" s="1"/>
  <c r="CW5" i="2" s="1"/>
  <c r="CX5" i="2" s="1"/>
  <c r="CY5" i="2" s="1"/>
  <c r="CZ5" i="2" s="1"/>
  <c r="DA5" i="2" s="1"/>
  <c r="CR7" i="2"/>
  <c r="CS7" i="2" s="1"/>
  <c r="CT7" i="2" s="1"/>
  <c r="CU7" i="2" s="1"/>
  <c r="CV7" i="2" s="1"/>
  <c r="CW7" i="2" s="1"/>
  <c r="CX7" i="2" s="1"/>
  <c r="CY7" i="2" s="1"/>
  <c r="CZ7" i="2" s="1"/>
  <c r="DA7" i="2" s="1"/>
  <c r="CR4" i="2"/>
  <c r="CS4" i="2" s="1"/>
  <c r="CT4" i="2" s="1"/>
  <c r="CU4" i="2" s="1"/>
  <c r="CV4" i="2" s="1"/>
  <c r="CW4" i="2" s="1"/>
  <c r="CX4" i="2" s="1"/>
  <c r="CY4" i="2" s="1"/>
  <c r="CZ4" i="2" s="1"/>
  <c r="DA4" i="2" s="1"/>
  <c r="CR8" i="2"/>
  <c r="CS8" i="2" s="1"/>
  <c r="CT8" i="2" s="1"/>
  <c r="CU8" i="2" s="1"/>
  <c r="CV8" i="2" s="1"/>
  <c r="CW8" i="2" s="1"/>
  <c r="CX8" i="2" s="1"/>
  <c r="CY8" i="2" s="1"/>
  <c r="CZ8" i="2" s="1"/>
  <c r="DA8" i="2" s="1"/>
  <c r="CN14" i="2"/>
  <c r="CM14" i="2"/>
  <c r="CN12" i="2"/>
  <c r="CM13" i="2"/>
  <c r="CM44" i="2"/>
  <c r="CO12" i="2"/>
  <c r="CM15" i="2"/>
  <c r="CN15" i="2"/>
  <c r="CO15" i="2"/>
  <c r="CP13" i="2"/>
  <c r="CO14" i="2"/>
  <c r="BG46" i="2"/>
  <c r="CM12" i="2"/>
  <c r="CO13" i="2"/>
  <c r="CM16" i="2"/>
  <c r="AY46" i="2"/>
  <c r="CX68" i="2"/>
  <c r="CN13" i="2"/>
  <c r="CP12" i="2"/>
  <c r="CP14" i="2"/>
  <c r="CP15" i="2"/>
  <c r="M270" i="3"/>
  <c r="M247" i="3"/>
  <c r="M255" i="3"/>
  <c r="M263" i="3"/>
  <c r="M271" i="3"/>
  <c r="M279" i="3"/>
  <c r="M287" i="3"/>
  <c r="M295" i="3"/>
  <c r="M303" i="3"/>
  <c r="M311" i="3"/>
  <c r="M319" i="3"/>
  <c r="M327" i="3"/>
  <c r="M335" i="3"/>
  <c r="M266" i="3"/>
  <c r="M290" i="3"/>
  <c r="M314" i="3"/>
  <c r="M338" i="3"/>
  <c r="M316" i="3"/>
  <c r="M326" i="3"/>
  <c r="M248" i="3"/>
  <c r="M256" i="3"/>
  <c r="M264" i="3"/>
  <c r="M272" i="3"/>
  <c r="M280" i="3"/>
  <c r="M288" i="3"/>
  <c r="M296" i="3"/>
  <c r="M304" i="3"/>
  <c r="M312" i="3"/>
  <c r="M320" i="3"/>
  <c r="M328" i="3"/>
  <c r="M336" i="3"/>
  <c r="M250" i="3"/>
  <c r="M274" i="3"/>
  <c r="M282" i="3"/>
  <c r="M306" i="3"/>
  <c r="M330" i="3"/>
  <c r="M300" i="3"/>
  <c r="M324" i="3"/>
  <c r="M249" i="3"/>
  <c r="M257" i="3"/>
  <c r="M265" i="3"/>
  <c r="M273" i="3"/>
  <c r="M281" i="3"/>
  <c r="M289" i="3"/>
  <c r="M297" i="3"/>
  <c r="M305" i="3"/>
  <c r="M313" i="3"/>
  <c r="M321" i="3"/>
  <c r="M329" i="3"/>
  <c r="M337" i="3"/>
  <c r="M258" i="3"/>
  <c r="M298" i="3"/>
  <c r="M322" i="3"/>
  <c r="M292" i="3"/>
  <c r="M245" i="3"/>
  <c r="M334" i="3"/>
  <c r="M251" i="3"/>
  <c r="M259" i="3"/>
  <c r="M267" i="3"/>
  <c r="M275" i="3"/>
  <c r="M283" i="3"/>
  <c r="M291" i="3"/>
  <c r="M299" i="3"/>
  <c r="M307" i="3"/>
  <c r="M315" i="3"/>
  <c r="M323" i="3"/>
  <c r="M331" i="3"/>
  <c r="M339" i="3"/>
  <c r="M252" i="3"/>
  <c r="M260" i="3"/>
  <c r="M268" i="3"/>
  <c r="M276" i="3"/>
  <c r="M284" i="3"/>
  <c r="M308" i="3"/>
  <c r="M332" i="3"/>
  <c r="M253" i="3"/>
  <c r="M261" i="3"/>
  <c r="M269" i="3"/>
  <c r="M277" i="3"/>
  <c r="M285" i="3"/>
  <c r="M293" i="3"/>
  <c r="M301" i="3"/>
  <c r="M309" i="3"/>
  <c r="M317" i="3"/>
  <c r="M325" i="3"/>
  <c r="M333" i="3"/>
  <c r="M246" i="3"/>
  <c r="M254" i="3"/>
  <c r="M262" i="3"/>
  <c r="M278" i="3"/>
  <c r="M286" i="3"/>
  <c r="M294" i="3"/>
  <c r="M302" i="3"/>
  <c r="M310" i="3"/>
  <c r="M318" i="3"/>
  <c r="DA71" i="2"/>
  <c r="CM11" i="2"/>
  <c r="CN11" i="2"/>
  <c r="CO11" i="2"/>
  <c r="CR6" i="2"/>
  <c r="CS6" i="2" s="1"/>
  <c r="CT6" i="2" s="1"/>
  <c r="CU6" i="2" s="1"/>
  <c r="CV6" i="2" s="1"/>
  <c r="CW6" i="2" s="1"/>
  <c r="CX6" i="2" s="1"/>
  <c r="CY6" i="2" s="1"/>
  <c r="CZ6" i="2" s="1"/>
  <c r="DA6" i="2" s="1"/>
  <c r="CP11" i="2"/>
  <c r="P256" i="3"/>
  <c r="DA9" i="2" l="1"/>
  <c r="DA44" i="2" s="1"/>
  <c r="DA48" i="2" s="1"/>
  <c r="CN42" i="2"/>
  <c r="CN40" i="2"/>
  <c r="BB49" i="2"/>
  <c r="CN38" i="2"/>
  <c r="CN41" i="2"/>
  <c r="CO36" i="2"/>
  <c r="CO38" i="2"/>
  <c r="CO41" i="2"/>
  <c r="CO40" i="2"/>
  <c r="CP41" i="2"/>
  <c r="CP38" i="2"/>
  <c r="CP20" i="2"/>
  <c r="M94" i="2"/>
  <c r="M55" i="2"/>
  <c r="CC55" i="2" s="1"/>
  <c r="M62" i="2"/>
  <c r="CC53" i="2"/>
  <c r="CC62" i="2" s="1"/>
  <c r="Z62" i="2"/>
  <c r="Z55" i="2"/>
  <c r="CF55" i="2" s="1"/>
  <c r="Z94" i="2"/>
  <c r="AP62" i="2"/>
  <c r="AP55" i="2"/>
  <c r="CJ55" i="2" s="1"/>
  <c r="AP94" i="2"/>
  <c r="E94" i="2"/>
  <c r="E55" i="2"/>
  <c r="E62" i="2"/>
  <c r="CA53" i="2"/>
  <c r="CA62" i="2" s="1"/>
  <c r="AC94" i="2"/>
  <c r="AC62" i="2"/>
  <c r="AC55" i="2"/>
  <c r="CG55" i="2" s="1"/>
  <c r="CG53" i="2"/>
  <c r="CG62" i="2" s="1"/>
  <c r="U94" i="2"/>
  <c r="U55" i="2"/>
  <c r="CE55" i="2" s="1"/>
  <c r="U62" i="2"/>
  <c r="CE53" i="2"/>
  <c r="CE62" i="2" s="1"/>
  <c r="J62" i="2"/>
  <c r="J55" i="2"/>
  <c r="J94" i="2"/>
  <c r="CB53" i="2"/>
  <c r="CB62" i="2" s="1"/>
  <c r="AS94" i="2"/>
  <c r="AS55" i="2"/>
  <c r="CK55" i="2" s="1"/>
  <c r="AS62" i="2"/>
  <c r="CP46" i="2"/>
  <c r="CP57" i="2" s="1"/>
  <c r="CF53" i="2"/>
  <c r="CF62" i="2" s="1"/>
  <c r="CJ53" i="2"/>
  <c r="CJ62" i="2" s="1"/>
  <c r="AH62" i="2"/>
  <c r="AH94" i="2"/>
  <c r="AH55" i="2"/>
  <c r="CH55" i="2" s="1"/>
  <c r="R62" i="2"/>
  <c r="R94" i="2"/>
  <c r="R55" i="2"/>
  <c r="CD55" i="2" s="1"/>
  <c r="AK94" i="2"/>
  <c r="AK62" i="2"/>
  <c r="AK55" i="2"/>
  <c r="CI55" i="2" s="1"/>
  <c r="CI53" i="2"/>
  <c r="CI62" i="2" s="1"/>
  <c r="CO39" i="2"/>
  <c r="CP36" i="2"/>
  <c r="CP39" i="2"/>
  <c r="CP16" i="2"/>
  <c r="CP18" i="2"/>
  <c r="CO42" i="2"/>
  <c r="CQ59" i="2"/>
  <c r="CQ58" i="2"/>
  <c r="AZ51" i="2"/>
  <c r="AZ60" i="2"/>
  <c r="AY49" i="2"/>
  <c r="AY57" i="2"/>
  <c r="CM46" i="2"/>
  <c r="CM57" i="2" s="1"/>
  <c r="BG49" i="2"/>
  <c r="BG57" i="2"/>
  <c r="CL41" i="2"/>
  <c r="BD49" i="2"/>
  <c r="BD57" i="2"/>
  <c r="AX46" i="2"/>
  <c r="AX58" i="2"/>
  <c r="AX59" i="2"/>
  <c r="BA51" i="2"/>
  <c r="BA60" i="2"/>
  <c r="BO49" i="2"/>
  <c r="BO57" i="2"/>
  <c r="CM58" i="2"/>
  <c r="CM59" i="2"/>
  <c r="CP22" i="2"/>
  <c r="BK51" i="2"/>
  <c r="BK60" i="2"/>
  <c r="AV51" i="2"/>
  <c r="AV60" i="2"/>
  <c r="BE51" i="2"/>
  <c r="BE60" i="2"/>
  <c r="BJ46" i="2"/>
  <c r="CO46" i="2" s="1"/>
  <c r="BJ58" i="2"/>
  <c r="BJ59" i="2"/>
  <c r="BH51" i="2"/>
  <c r="BH60" i="2"/>
  <c r="BL49" i="2"/>
  <c r="CQ57" i="2"/>
  <c r="BL57" i="2"/>
  <c r="BI51" i="2"/>
  <c r="BI60" i="2"/>
  <c r="CP19" i="2"/>
  <c r="BC51" i="2"/>
  <c r="BC60" i="2"/>
  <c r="BF46" i="2"/>
  <c r="BF58" i="2"/>
  <c r="BF59" i="2"/>
  <c r="AU51" i="2"/>
  <c r="AU60" i="2"/>
  <c r="AW51" i="2"/>
  <c r="AW60" i="2"/>
  <c r="BN49" i="2"/>
  <c r="BN57" i="2"/>
  <c r="BM49" i="2"/>
  <c r="BM57" i="2"/>
  <c r="CP58" i="2"/>
  <c r="CP59" i="2"/>
  <c r="BB51" i="2"/>
  <c r="BB60" i="2"/>
  <c r="CQ18" i="2"/>
  <c r="CL42" i="2"/>
  <c r="CL38" i="2"/>
  <c r="CN16" i="2"/>
  <c r="CL39" i="2"/>
  <c r="CL44" i="2"/>
  <c r="CN20" i="2"/>
  <c r="CN18" i="2"/>
  <c r="CN36" i="2"/>
  <c r="BR46" i="2"/>
  <c r="BR58" i="2"/>
  <c r="BR59" i="2"/>
  <c r="CM39" i="2"/>
  <c r="CM38" i="2"/>
  <c r="CN21" i="2"/>
  <c r="CQ16" i="2"/>
  <c r="CQ21" i="2"/>
  <c r="CQ20" i="2"/>
  <c r="CQ22" i="2"/>
  <c r="CN22" i="2"/>
  <c r="CM40" i="2"/>
  <c r="CQ41" i="2"/>
  <c r="CQ40" i="2"/>
  <c r="CM41" i="2"/>
  <c r="CN44" i="2"/>
  <c r="CQ38" i="2"/>
  <c r="CQ39" i="2"/>
  <c r="CN19" i="2"/>
  <c r="CQ36" i="2"/>
  <c r="CM36" i="2"/>
  <c r="CZ9" i="2"/>
  <c r="CV9" i="2"/>
  <c r="CV44" i="2" s="1"/>
  <c r="CW9" i="2"/>
  <c r="CW44" i="2" s="1"/>
  <c r="CY9" i="2"/>
  <c r="CY44" i="2" s="1"/>
  <c r="CS9" i="2"/>
  <c r="CS44" i="2" s="1"/>
  <c r="CX9" i="2"/>
  <c r="CX44" i="2" s="1"/>
  <c r="CT9" i="2"/>
  <c r="CT44" i="2" s="1"/>
  <c r="CR9" i="2"/>
  <c r="CR44" i="2" s="1"/>
  <c r="CU9" i="2"/>
  <c r="CU44" i="2" s="1"/>
  <c r="P246" i="3"/>
  <c r="P245" i="3"/>
  <c r="P248" i="3"/>
  <c r="P255" i="3"/>
  <c r="P247" i="3"/>
  <c r="P258" i="3"/>
  <c r="P254" i="3"/>
  <c r="P250" i="3"/>
  <c r="P253" i="3"/>
  <c r="P257" i="3"/>
  <c r="P252" i="3"/>
  <c r="P249" i="3"/>
  <c r="P251" i="3"/>
  <c r="DA45" i="2" l="1"/>
  <c r="DA46" i="2" s="1"/>
  <c r="DA47" i="2"/>
  <c r="CR45" i="2"/>
  <c r="CR46" i="2" s="1"/>
  <c r="CR48" i="2"/>
  <c r="CR47" i="2"/>
  <c r="CX47" i="2"/>
  <c r="CX45" i="2"/>
  <c r="CX46" i="2" s="1"/>
  <c r="CX48" i="2"/>
  <c r="CY47" i="2"/>
  <c r="CY45" i="2"/>
  <c r="CY46" i="2" s="1"/>
  <c r="CY48" i="2"/>
  <c r="CW48" i="2"/>
  <c r="CW47" i="2"/>
  <c r="CW45" i="2"/>
  <c r="CW46" i="2" s="1"/>
  <c r="CS45" i="2"/>
  <c r="CS46" i="2" s="1"/>
  <c r="CS48" i="2"/>
  <c r="CS47" i="2"/>
  <c r="CV45" i="2"/>
  <c r="CV46" i="2" s="1"/>
  <c r="CV48" i="2"/>
  <c r="CV47" i="2"/>
  <c r="CT45" i="2"/>
  <c r="CT46" i="2" s="1"/>
  <c r="CT48" i="2"/>
  <c r="CT47" i="2"/>
  <c r="CU45" i="2"/>
  <c r="CU46" i="2" s="1"/>
  <c r="CU48" i="2"/>
  <c r="CU47" i="2"/>
  <c r="DA16" i="2"/>
  <c r="CZ44" i="2"/>
  <c r="CO57" i="2"/>
  <c r="CN59" i="2"/>
  <c r="CN58" i="2"/>
  <c r="AX49" i="2"/>
  <c r="AX57" i="2"/>
  <c r="CL46" i="2"/>
  <c r="CL57" i="2" s="1"/>
  <c r="BN51" i="2"/>
  <c r="BN60" i="2"/>
  <c r="BF49" i="2"/>
  <c r="BF57" i="2"/>
  <c r="BE53" i="2"/>
  <c r="BE61" i="2"/>
  <c r="CN46" i="2"/>
  <c r="CN57" i="2" s="1"/>
  <c r="CO59" i="2"/>
  <c r="CO58" i="2"/>
  <c r="CL59" i="2"/>
  <c r="CL58" i="2"/>
  <c r="BL51" i="2"/>
  <c r="BL60" i="2"/>
  <c r="CQ60" i="2"/>
  <c r="AY51" i="2"/>
  <c r="AY60" i="2"/>
  <c r="CM49" i="2"/>
  <c r="CM60" i="2" s="1"/>
  <c r="BG51" i="2"/>
  <c r="BG60" i="2"/>
  <c r="BB53" i="2"/>
  <c r="BB61" i="2"/>
  <c r="AW53" i="2"/>
  <c r="AW61" i="2"/>
  <c r="AV53" i="2"/>
  <c r="AV61" i="2"/>
  <c r="BO51" i="2"/>
  <c r="BO60" i="2"/>
  <c r="BD51" i="2"/>
  <c r="BD60" i="2"/>
  <c r="BM51" i="2"/>
  <c r="BM60" i="2"/>
  <c r="BC53" i="2"/>
  <c r="BC61" i="2"/>
  <c r="BH53" i="2"/>
  <c r="BH61" i="2"/>
  <c r="CP49" i="2"/>
  <c r="CP60" i="2" s="1"/>
  <c r="AZ53" i="2"/>
  <c r="AZ61" i="2"/>
  <c r="BI53" i="2"/>
  <c r="BI61" i="2"/>
  <c r="BA53" i="2"/>
  <c r="BA61" i="2"/>
  <c r="BJ49" i="2"/>
  <c r="CO49" i="2" s="1"/>
  <c r="CO60" i="2" s="1"/>
  <c r="BJ57" i="2"/>
  <c r="AU53" i="2"/>
  <c r="AU61" i="2"/>
  <c r="BK53" i="2"/>
  <c r="BK61" i="2"/>
  <c r="BR49" i="2"/>
  <c r="BR57" i="2"/>
  <c r="CX16" i="2"/>
  <c r="CW16" i="2"/>
  <c r="CS16" i="2"/>
  <c r="CU16" i="2"/>
  <c r="CY16" i="2"/>
  <c r="CV16" i="2"/>
  <c r="CR16" i="2"/>
  <c r="CT16" i="2"/>
  <c r="CZ16" i="2"/>
  <c r="DA49" i="2" l="1"/>
  <c r="CT49" i="2"/>
  <c r="CR49" i="2"/>
  <c r="CR51" i="2" s="1"/>
  <c r="CR52" i="2" s="1"/>
  <c r="CR53" i="2" s="1"/>
  <c r="CR64" i="2" s="1"/>
  <c r="CS50" i="2" s="1"/>
  <c r="CU49" i="2"/>
  <c r="CW49" i="2"/>
  <c r="CX49" i="2"/>
  <c r="CS49" i="2"/>
  <c r="CZ45" i="2"/>
  <c r="CZ46" i="2" s="1"/>
  <c r="CZ48" i="2"/>
  <c r="CZ47" i="2"/>
  <c r="CV49" i="2"/>
  <c r="CY49" i="2"/>
  <c r="AZ92" i="2"/>
  <c r="AZ91" i="2"/>
  <c r="BA92" i="2"/>
  <c r="BA91" i="2"/>
  <c r="BB92" i="2"/>
  <c r="BB91" i="2"/>
  <c r="BC92" i="2"/>
  <c r="BC91" i="2"/>
  <c r="BH92" i="2"/>
  <c r="BH91" i="2"/>
  <c r="BE92" i="2"/>
  <c r="BE91" i="2"/>
  <c r="BI92" i="2"/>
  <c r="BI91" i="2"/>
  <c r="BK92" i="2"/>
  <c r="BK91" i="2"/>
  <c r="CP51" i="2"/>
  <c r="CP61" i="2" s="1"/>
  <c r="BO53" i="2"/>
  <c r="BO61" i="2"/>
  <c r="BI55" i="2"/>
  <c r="BI94" i="2"/>
  <c r="BI62" i="2"/>
  <c r="BC55" i="2"/>
  <c r="BC62" i="2"/>
  <c r="BC94" i="2"/>
  <c r="AV55" i="2"/>
  <c r="AV62" i="2"/>
  <c r="AV94" i="2"/>
  <c r="BN53" i="2"/>
  <c r="BN61" i="2"/>
  <c r="BF51" i="2"/>
  <c r="BF60" i="2"/>
  <c r="CN49" i="2"/>
  <c r="CN60" i="2" s="1"/>
  <c r="BG53" i="2"/>
  <c r="BG61" i="2"/>
  <c r="AU55" i="2"/>
  <c r="AU62" i="2"/>
  <c r="AU94" i="2"/>
  <c r="AZ55" i="2"/>
  <c r="AZ62" i="2"/>
  <c r="AZ94" i="2"/>
  <c r="BM53" i="2"/>
  <c r="BM61" i="2"/>
  <c r="AW55" i="2"/>
  <c r="AW62" i="2"/>
  <c r="AW94" i="2"/>
  <c r="AY53" i="2"/>
  <c r="CM51" i="2"/>
  <c r="CM61" i="2" s="1"/>
  <c r="AY61" i="2"/>
  <c r="BA55" i="2"/>
  <c r="BA94" i="2"/>
  <c r="BA62" i="2"/>
  <c r="AX51" i="2"/>
  <c r="AX60" i="2"/>
  <c r="CL49" i="2"/>
  <c r="CL60" i="2" s="1"/>
  <c r="BK55" i="2"/>
  <c r="BK62" i="2"/>
  <c r="BK94" i="2"/>
  <c r="BJ51" i="2"/>
  <c r="BJ60" i="2"/>
  <c r="BD53" i="2"/>
  <c r="BD61" i="2"/>
  <c r="BB55" i="2"/>
  <c r="BB94" i="2"/>
  <c r="BB62" i="2"/>
  <c r="BE55" i="2"/>
  <c r="BE62" i="2"/>
  <c r="BE94" i="2"/>
  <c r="BH55" i="2"/>
  <c r="BH94" i="2"/>
  <c r="BH62" i="2"/>
  <c r="BL53" i="2"/>
  <c r="CQ61" i="2"/>
  <c r="CS69" i="2" s="1"/>
  <c r="BL61" i="2"/>
  <c r="BR51" i="2"/>
  <c r="BR60" i="2"/>
  <c r="CS51" i="2" l="1"/>
  <c r="CS52" i="2" s="1"/>
  <c r="CS53" i="2" s="1"/>
  <c r="CS64" i="2" s="1"/>
  <c r="CT50" i="2" s="1"/>
  <c r="CZ49" i="2"/>
  <c r="AY92" i="2"/>
  <c r="AY91" i="2"/>
  <c r="BG92" i="2"/>
  <c r="BG91" i="2"/>
  <c r="BD91" i="2"/>
  <c r="BD92" i="2"/>
  <c r="BO92" i="2"/>
  <c r="BO91" i="2"/>
  <c r="BL92" i="2"/>
  <c r="BL91" i="2"/>
  <c r="BM92" i="2"/>
  <c r="BM91" i="2"/>
  <c r="BN92" i="2"/>
  <c r="BN91" i="2"/>
  <c r="CP53" i="2"/>
  <c r="CP62" i="2" s="1"/>
  <c r="BD55" i="2"/>
  <c r="BD62" i="2"/>
  <c r="BD94" i="2"/>
  <c r="AX53" i="2"/>
  <c r="AX61" i="2"/>
  <c r="CL51" i="2"/>
  <c r="CL61" i="2" s="1"/>
  <c r="BN55" i="2"/>
  <c r="BN62" i="2"/>
  <c r="BN94" i="2"/>
  <c r="BF53" i="2"/>
  <c r="BF61" i="2"/>
  <c r="CN51" i="2"/>
  <c r="CN61" i="2" s="1"/>
  <c r="BM55" i="2"/>
  <c r="BM62" i="2"/>
  <c r="BM94" i="2"/>
  <c r="BJ53" i="2"/>
  <c r="BJ61" i="2"/>
  <c r="BL55" i="2"/>
  <c r="BL62" i="2"/>
  <c r="CQ62" i="2"/>
  <c r="BL94" i="2"/>
  <c r="CO51" i="2"/>
  <c r="CO61" i="2" s="1"/>
  <c r="BG55" i="2"/>
  <c r="CO55" i="2" s="1"/>
  <c r="BG62" i="2"/>
  <c r="BG94" i="2"/>
  <c r="AY55" i="2"/>
  <c r="CM55" i="2" s="1"/>
  <c r="CM53" i="2"/>
  <c r="CM62" i="2" s="1"/>
  <c r="AY94" i="2"/>
  <c r="AY62" i="2"/>
  <c r="BO55" i="2"/>
  <c r="BO94" i="2"/>
  <c r="BO62" i="2"/>
  <c r="BR53" i="2"/>
  <c r="BR61" i="2"/>
  <c r="CT51" i="2" l="1"/>
  <c r="CT52" i="2" s="1"/>
  <c r="CT53" i="2" s="1"/>
  <c r="CT64" i="2" s="1"/>
  <c r="CU50" i="2" s="1"/>
  <c r="CP55" i="2"/>
  <c r="AX92" i="2"/>
  <c r="AX91" i="2"/>
  <c r="CN53" i="2"/>
  <c r="CN62" i="2" s="1"/>
  <c r="BF91" i="2"/>
  <c r="BF92" i="2"/>
  <c r="BJ92" i="2"/>
  <c r="BJ91" i="2"/>
  <c r="BR94" i="2"/>
  <c r="BR92" i="2"/>
  <c r="BR91" i="2"/>
  <c r="BJ55" i="2"/>
  <c r="BJ94" i="2"/>
  <c r="BJ62" i="2"/>
  <c r="AX55" i="2"/>
  <c r="CL55" i="2" s="1"/>
  <c r="AX62" i="2"/>
  <c r="AX94" i="2"/>
  <c r="CL53" i="2"/>
  <c r="CL62" i="2" s="1"/>
  <c r="CO53" i="2"/>
  <c r="CO62" i="2" s="1"/>
  <c r="BF55" i="2"/>
  <c r="CN55" i="2" s="1"/>
  <c r="BF62" i="2"/>
  <c r="BF94" i="2"/>
  <c r="BR55" i="2"/>
  <c r="BR62" i="2"/>
  <c r="CU51" i="2" l="1"/>
  <c r="CU52" i="2" s="1"/>
  <c r="CU53" i="2" s="1"/>
  <c r="CU64" i="2" s="1"/>
  <c r="CV50" i="2" s="1"/>
  <c r="CV51" i="2" l="1"/>
  <c r="CV52" i="2" s="1"/>
  <c r="CV53" i="2" s="1"/>
  <c r="CV64" i="2" s="1"/>
  <c r="CW50" i="2" s="1"/>
  <c r="CW51" i="2" l="1"/>
  <c r="CW52" i="2" s="1"/>
  <c r="CW53" i="2" s="1"/>
  <c r="CW64" i="2" s="1"/>
  <c r="CX50" i="2" s="1"/>
  <c r="CX51" i="2" l="1"/>
  <c r="CX52" i="2" s="1"/>
  <c r="CX53" i="2" s="1"/>
  <c r="CX64" i="2" s="1"/>
  <c r="CY50" i="2" s="1"/>
  <c r="CY51" i="2" l="1"/>
  <c r="CY52" i="2" s="1"/>
  <c r="CY53" i="2" s="1"/>
  <c r="CY64" i="2" s="1"/>
  <c r="CZ50" i="2" s="1"/>
  <c r="CZ51" i="2" l="1"/>
  <c r="CZ52" i="2" s="1"/>
  <c r="CZ53" i="2" s="1"/>
  <c r="CZ64" i="2" s="1"/>
  <c r="DA50" i="2" s="1"/>
  <c r="DA51" i="2" l="1"/>
  <c r="DA52" i="2" s="1"/>
  <c r="DA53" i="2" s="1"/>
  <c r="DB53" i="2" s="1"/>
  <c r="DC53" i="2" s="1"/>
  <c r="DD53" i="2" s="1"/>
  <c r="DE53" i="2" s="1"/>
  <c r="DF53" i="2" s="1"/>
  <c r="DG53" i="2" s="1"/>
  <c r="DH53" i="2" s="1"/>
  <c r="DI53" i="2" s="1"/>
  <c r="DJ53" i="2" s="1"/>
  <c r="DK53" i="2" s="1"/>
  <c r="DL53" i="2" s="1"/>
  <c r="DM53" i="2" s="1"/>
  <c r="DN53" i="2" s="1"/>
  <c r="DO53" i="2" s="1"/>
  <c r="DP53" i="2" s="1"/>
  <c r="DQ53" i="2" s="1"/>
  <c r="DR53" i="2" s="1"/>
  <c r="DS53" i="2" s="1"/>
  <c r="DT53" i="2" s="1"/>
  <c r="DU53" i="2" s="1"/>
  <c r="DV53" i="2" s="1"/>
  <c r="DW53" i="2" s="1"/>
  <c r="DX53" i="2" s="1"/>
  <c r="DY53" i="2" s="1"/>
  <c r="DZ53" i="2" s="1"/>
  <c r="EA53" i="2" s="1"/>
  <c r="EB53" i="2" s="1"/>
  <c r="EC53" i="2" s="1"/>
  <c r="ED53" i="2" s="1"/>
  <c r="EE53" i="2" s="1"/>
  <c r="EF53" i="2" s="1"/>
  <c r="EG53" i="2" s="1"/>
  <c r="EH53" i="2" s="1"/>
  <c r="EI53" i="2" s="1"/>
  <c r="EJ53" i="2" s="1"/>
  <c r="EK53" i="2" s="1"/>
  <c r="EL53" i="2" s="1"/>
  <c r="EM53" i="2" s="1"/>
  <c r="EN53" i="2" s="1"/>
  <c r="EO53" i="2" s="1"/>
  <c r="EP53" i="2" s="1"/>
  <c r="EQ53" i="2" s="1"/>
  <c r="ER53" i="2" s="1"/>
  <c r="ES53" i="2" s="1"/>
  <c r="ET53" i="2" s="1"/>
  <c r="EU53" i="2" s="1"/>
  <c r="EV53" i="2" s="1"/>
  <c r="EW53" i="2" s="1"/>
  <c r="EX53" i="2" s="1"/>
  <c r="DA73" i="2" l="1"/>
  <c r="DA75" i="2" s="1"/>
  <c r="DA77" i="2" s="1"/>
  <c r="DA64" i="2"/>
  <c r="DB77" i="2" l="1"/>
  <c r="CZ78" i="2" a="1"/>
  <c r="CZ78"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<sst xmlns="http://schemas.openxmlformats.org/spreadsheetml/2006/main" count="1601" uniqueCount="1557">
  <si>
    <t xml:space="preserve">Price </t>
  </si>
  <si>
    <t>SO</t>
  </si>
  <si>
    <t>MC</t>
  </si>
  <si>
    <t>Cash</t>
  </si>
  <si>
    <t>Debt</t>
  </si>
  <si>
    <t>EV</t>
  </si>
  <si>
    <t>Investor Relations Contact:</t>
  </si>
  <si>
    <t>SEC filings</t>
  </si>
  <si>
    <t>Godel Terminal</t>
  </si>
  <si>
    <t>Company Overview:</t>
  </si>
  <si>
    <t>[Bold Title]</t>
  </si>
  <si>
    <t>Line Titles</t>
  </si>
  <si>
    <t>&lt;-- General</t>
  </si>
  <si>
    <t>&lt;-- Info</t>
  </si>
  <si>
    <t>Notes:</t>
  </si>
  <si>
    <t>[X]</t>
  </si>
  <si>
    <t>[Y]</t>
  </si>
  <si>
    <t>[Z]</t>
  </si>
  <si>
    <t>Close</t>
  </si>
  <si>
    <t>High</t>
  </si>
  <si>
    <t>Low</t>
  </si>
  <si>
    <t>Open</t>
  </si>
  <si>
    <t>Volume</t>
  </si>
  <si>
    <t>UTC Date</t>
  </si>
  <si>
    <t>Change</t>
  </si>
  <si>
    <t>Min</t>
  </si>
  <si>
    <t>Max</t>
  </si>
  <si>
    <t>Mean μ</t>
  </si>
  <si>
    <t>Median</t>
  </si>
  <si>
    <t>SD σ</t>
  </si>
  <si>
    <t xml:space="preserve">  3σ 1-Day Δ: ±</t>
  </si>
  <si>
    <t>β (1-year avg.)</t>
  </si>
  <si>
    <t>&lt;- Sortino Ratio (Downside Risk Adjusted Return)</t>
  </si>
  <si>
    <r>
      <rPr>
        <i/>
        <sz val="11"/>
        <color theme="1"/>
        <rFont val="Calibre"/>
      </rPr>
      <t>n</t>
    </r>
    <r>
      <rPr>
        <sz val="11"/>
        <color theme="1"/>
        <rFont val="Calibre"/>
      </rPr>
      <t xml:space="preserve"> =</t>
    </r>
  </si>
  <si>
    <t>Histogram Data</t>
  </si>
  <si>
    <t>Distribution Overlay</t>
  </si>
  <si>
    <t>SD Lines</t>
  </si>
  <si>
    <t>Bin</t>
  </si>
  <si>
    <t>Frequency</t>
  </si>
  <si>
    <r>
      <t xml:space="preserve"> (X) 1-Day</t>
    </r>
    <r>
      <rPr>
        <b/>
        <i/>
        <sz val="11"/>
        <color theme="1"/>
        <rFont val="Calibri"/>
        <family val="2"/>
        <scheme val="minor"/>
      </rPr>
      <t xml:space="preserve"> Δ </t>
    </r>
    <r>
      <rPr>
        <i/>
        <sz val="11"/>
        <color theme="1"/>
        <rFont val="Calibri"/>
        <family val="2"/>
        <scheme val="minor"/>
      </rPr>
      <t xml:space="preserve"> </t>
    </r>
  </si>
  <si>
    <t xml:space="preserve">(Y) Pop. Density </t>
  </si>
  <si>
    <t>X</t>
  </si>
  <si>
    <t>Y</t>
  </si>
  <si>
    <t>Q1 2009</t>
  </si>
  <si>
    <t>Q2 2009</t>
  </si>
  <si>
    <t>Q3 2009</t>
  </si>
  <si>
    <t>Q4 2009</t>
  </si>
  <si>
    <t>Q1 2010</t>
  </si>
  <si>
    <t>Q2 2010</t>
  </si>
  <si>
    <t>Q3 2010</t>
  </si>
  <si>
    <t>Q4 2010</t>
  </si>
  <si>
    <t>Q1 2011</t>
  </si>
  <si>
    <t>Q2 2011</t>
  </si>
  <si>
    <t>Q3 2011</t>
  </si>
  <si>
    <t>Q4 2011</t>
  </si>
  <si>
    <t>Q1 2012</t>
  </si>
  <si>
    <t>Q2 2012</t>
  </si>
  <si>
    <t>Q3 2012</t>
  </si>
  <si>
    <t>Q4 2012</t>
  </si>
  <si>
    <t>Q1 2013</t>
  </si>
  <si>
    <t>Q2 2013</t>
  </si>
  <si>
    <t>Q3 2013</t>
  </si>
  <si>
    <t>Q4 2013</t>
  </si>
  <si>
    <t>Q1 2014</t>
  </si>
  <si>
    <t>Q2 2014</t>
  </si>
  <si>
    <t>Q3 2014</t>
  </si>
  <si>
    <t>Q4 2014</t>
  </si>
  <si>
    <t>Q1 2015</t>
  </si>
  <si>
    <t>Q2 2015</t>
  </si>
  <si>
    <t>Q3 2015</t>
  </si>
  <si>
    <t>Q4 2015</t>
  </si>
  <si>
    <t>Q1 2016</t>
  </si>
  <si>
    <t>Q2 2016</t>
  </si>
  <si>
    <t>Q3 2016</t>
  </si>
  <si>
    <t>Q4 2016</t>
  </si>
  <si>
    <t>Q1 2017</t>
  </si>
  <si>
    <t>Q2 2017</t>
  </si>
  <si>
    <t>Q3 2017</t>
  </si>
  <si>
    <t>Q4 2017</t>
  </si>
  <si>
    <t>Q1 2018</t>
  </si>
  <si>
    <t>Q2 2018</t>
  </si>
  <si>
    <t>Q3 2018</t>
  </si>
  <si>
    <t>Q4 2018</t>
  </si>
  <si>
    <t>Q1 2019</t>
  </si>
  <si>
    <t>Q2 2019</t>
  </si>
  <si>
    <t>Q3 2019</t>
  </si>
  <si>
    <t>Q4 2019</t>
  </si>
  <si>
    <t>Q1 2020</t>
  </si>
  <si>
    <t>Q2 2020</t>
  </si>
  <si>
    <t>Q3 2020</t>
  </si>
  <si>
    <t>Q4 2020</t>
  </si>
  <si>
    <t>Q1 2021</t>
  </si>
  <si>
    <t>Q2 2021</t>
  </si>
  <si>
    <t>Q3 2021</t>
  </si>
  <si>
    <t>Q4 2021</t>
  </si>
  <si>
    <t>Q1 2022</t>
  </si>
  <si>
    <t>Q2 2022</t>
  </si>
  <si>
    <t>Q3 2022</t>
  </si>
  <si>
    <t>Q4 2022</t>
  </si>
  <si>
    <t>Q1 2023</t>
  </si>
  <si>
    <t>Q2 2023</t>
  </si>
  <si>
    <t>Q3 2023</t>
  </si>
  <si>
    <t>Q4 2023</t>
  </si>
  <si>
    <t>Q1 2024</t>
  </si>
  <si>
    <t>Q2 2024</t>
  </si>
  <si>
    <t>Q3 2024</t>
  </si>
  <si>
    <t>Q4 2024</t>
  </si>
  <si>
    <t>Q1 2025</t>
  </si>
  <si>
    <t>Q2 2025</t>
  </si>
  <si>
    <t>Q3 2025</t>
  </si>
  <si>
    <t>Q4 2025</t>
  </si>
  <si>
    <t>Q1 2026</t>
  </si>
  <si>
    <t>Q2 2026</t>
  </si>
  <si>
    <t>Q3 2026</t>
  </si>
  <si>
    <t>Q4 2026</t>
  </si>
  <si>
    <t>[Use for Graphing]</t>
  </si>
  <si>
    <t>Quarterly</t>
  </si>
  <si>
    <t>Revenues</t>
  </si>
  <si>
    <t>Ttl Revenues</t>
  </si>
  <si>
    <t>COGS</t>
  </si>
  <si>
    <t>GP</t>
  </si>
  <si>
    <t>Gross Profit Margin</t>
  </si>
  <si>
    <t>R&amp;D as % of Revenue</t>
  </si>
  <si>
    <t>SG&amp;A as % of Revenue</t>
  </si>
  <si>
    <t>Operating Profit Margin</t>
  </si>
  <si>
    <t>Effective Tax Rate</t>
  </si>
  <si>
    <t>Net Profit Margin</t>
  </si>
  <si>
    <t xml:space="preserve">Cash &amp; CEs </t>
  </si>
  <si>
    <t>Marketable Securities</t>
  </si>
  <si>
    <t>Current Ratio</t>
  </si>
  <si>
    <t>Quick Ratio</t>
  </si>
  <si>
    <t>Cash Ratio</t>
  </si>
  <si>
    <t>Ttl Asset Turnover</t>
  </si>
  <si>
    <t>Inventory Turnover Ratio</t>
  </si>
  <si>
    <t>Return on Assets</t>
  </si>
  <si>
    <t>Return on Equity</t>
  </si>
  <si>
    <t>Net Income</t>
  </si>
  <si>
    <t>CFFO</t>
  </si>
  <si>
    <t>CapEx, net</t>
  </si>
  <si>
    <t>FCF</t>
  </si>
  <si>
    <t>SC</t>
  </si>
  <si>
    <t>FCF per Share</t>
  </si>
  <si>
    <t>Revenues:</t>
  </si>
  <si>
    <t>Earnings Scope:</t>
  </si>
  <si>
    <t>Balance Sheet Scope:</t>
  </si>
  <si>
    <t>[Equity Preformance Compared to Peers]</t>
  </si>
  <si>
    <t>Mean</t>
  </si>
  <si>
    <t>-3σ</t>
  </si>
  <si>
    <t>-2σ</t>
  </si>
  <si>
    <t>-1σ</t>
  </si>
  <si>
    <t>1σ</t>
  </si>
  <si>
    <t>2σ</t>
  </si>
  <si>
    <t>3σ</t>
  </si>
  <si>
    <t>Phone:</t>
  </si>
  <si>
    <t xml:space="preserve">Email: </t>
  </si>
  <si>
    <t>&lt;- Sharpe Ratio (Risk Adjusted Return)</t>
  </si>
  <si>
    <t>Earnings Calls</t>
  </si>
  <si>
    <t>Equity Analysis</t>
  </si>
  <si>
    <t>https://app.godelterminal.com/</t>
  </si>
  <si>
    <t>Investors Relation Department</t>
  </si>
  <si>
    <t>Business Segments and Geographical Info:</t>
  </si>
  <si>
    <t>Employee Scope:</t>
  </si>
  <si>
    <t>Resources:</t>
  </si>
  <si>
    <t>Y/y Total Revenues, Net Income, FCF</t>
  </si>
  <si>
    <t>Q/q Total Revenues, Net Income, FCF</t>
  </si>
  <si>
    <t>Company IR Page</t>
  </si>
  <si>
    <t>Company Homepage</t>
  </si>
  <si>
    <t>MacroTrends</t>
  </si>
  <si>
    <t>ROIC, WACC</t>
  </si>
  <si>
    <t>Ttl Revenue Growth Y/y</t>
  </si>
  <si>
    <t>Projected ROIC:</t>
  </si>
  <si>
    <t>Invested Capital</t>
  </si>
  <si>
    <t>AVG Invested Capital</t>
  </si>
  <si>
    <t>ROIC</t>
  </si>
  <si>
    <t>2023-2024</t>
  </si>
  <si>
    <t>Terminal</t>
  </si>
  <si>
    <t>RFR (10-year yield)</t>
  </si>
  <si>
    <t>ERP 
(Avg. market return - (less) RFR)</t>
  </si>
  <si>
    <t>Equity β (1-year avg.)</t>
  </si>
  <si>
    <t>Discount (Cost of Equity)</t>
  </si>
  <si>
    <t>NPV</t>
  </si>
  <si>
    <t>Q2'25</t>
  </si>
  <si>
    <t>FV</t>
  </si>
  <si>
    <t>CP</t>
  </si>
  <si>
    <t>Change Δ</t>
  </si>
  <si>
    <t>AAPL</t>
  </si>
  <si>
    <t>Apple Inc. (AAPL)</t>
  </si>
  <si>
    <t>Founder(s): Steve Jobs, Steve Wozniak &amp; Ronald Wayne</t>
  </si>
  <si>
    <t>Founded: 1977</t>
  </si>
  <si>
    <t>Headquarters: Cupertino, CA</t>
  </si>
  <si>
    <t>Current CEO: Timothy Cook</t>
  </si>
  <si>
    <t>Employees: 164,000</t>
  </si>
  <si>
    <t>Industry: Consumer Electronics</t>
  </si>
  <si>
    <t>Sector: Technology</t>
  </si>
  <si>
    <t>IPO: Dec 12, 1980</t>
  </si>
  <si>
    <t>Registered Exchange: NASDAQ</t>
  </si>
  <si>
    <t>Address: One Apple Park Way, Cupertino, CA 95014 US</t>
  </si>
  <si>
    <t>(408) 996 - 1010</t>
  </si>
  <si>
    <t>https://www.sec.gov/edgar/browse/?CIK=320193&amp;owner=exclude</t>
  </si>
  <si>
    <t>https://www.apple.com/</t>
  </si>
  <si>
    <t>https://investor.apple.com/investor-relations/default.aspx</t>
  </si>
  <si>
    <t>https://seekingalpha.com/symbol/AAPL/earnings/transcripts</t>
  </si>
  <si>
    <t>https://stockanalysis.com/stocks/aapl/company/</t>
  </si>
  <si>
    <t>https://www.macrotrends.net/stocks/charts/AAPL/apple/income-statement?freq=A</t>
  </si>
  <si>
    <t>https://www.gurufocus.com/term/wacc/AAPL</t>
  </si>
  <si>
    <t>Founded in 1977 and headquartered in Cupertino, California, Apple Inc. is a global technology leader primarily engaged in designing, manufacturing, and marketing consumer electronics, software, and services</t>
  </si>
  <si>
    <t>iPhone (Approx. 56% of Revenue)</t>
  </si>
  <si>
    <t>Large installed base (billions of active devices globally) ensures recurring component and service demand</t>
  </si>
  <si>
    <t>The flagship product driving the majority of revenue</t>
  </si>
  <si>
    <t>Includes complementary accessories like iPhone cases, chargers, and AppleCare</t>
  </si>
  <si>
    <t>Continual innovation in hardware, camera, AI features, and iOS ecosystem integration</t>
  </si>
  <si>
    <t>Services (Approx. 21-29% of Revenue)</t>
  </si>
  <si>
    <t>Fast-growing segment anchored by the App Store, Apple Music, iCloud, Apple TV+, Apple Arcade, Apple Pay, and AppleCare</t>
  </si>
  <si>
    <t>Subscription-based, driving high-margin, recurring revenue</t>
  </si>
  <si>
    <t>Over 1.1 billion paid subscriptions across services as of early 2025</t>
  </si>
  <si>
    <t xml:space="preserve">Significant ecosystem "stickiness" and monetization power via a 15–30% commission on digital purchases … In April 2025, a U.S. federal judge ruled that Apple had willfully violated a prior court order to open its App Store to more competition </t>
  </si>
  <si>
    <t xml:space="preserve">Epic Games may be have thrown a monkey wrench in this business engine </t>
  </si>
  <si>
    <t>Google was ruled a monopoly in September 2025 … Ruling indicated that Safari user data may be opened up to furhter monoteziation from AAPL … evaluate further</t>
  </si>
  <si>
    <t>Wearables, Home, and Accessories (Approx. 8-12% of Revenue)</t>
  </si>
  <si>
    <t>Includes Apple Watch, AirPods, HomePod, and Beats products</t>
  </si>
  <si>
    <t>Represents Apple’s fastest-growing physical product category</t>
  </si>
  <si>
    <t>Apple watch and the Airpods have continued to preform … incredible execution on management … Wearables orienting towards health and wellness</t>
  </si>
  <si>
    <t>Mac (Approx. 8-9% of Revenue)</t>
  </si>
  <si>
    <t>Desktops and laptops powered by Apple’s M-series custom silicon chips</t>
  </si>
  <si>
    <t>Steady demand from students, creative professionals, enterprises, and consumers ensures stable revenue stream</t>
  </si>
  <si>
    <t>Known as Apple Silicon</t>
  </si>
  <si>
    <t>iPad (Approx. 6-7% of Revenue)</t>
  </si>
  <si>
    <t>Tablets targeting both consumer and professional users (e.g., iPad Pro)</t>
  </si>
  <si>
    <t>Competes with productivity and creativity devices in education and enterprise sectors</t>
  </si>
  <si>
    <r>
      <rPr>
        <b/>
        <sz val="11"/>
        <color theme="1"/>
        <rFont val="Calibre"/>
      </rPr>
      <t>Proprietary operating systems: iOS, macOS, watchOS, tvOS</t>
    </r>
    <r>
      <rPr>
        <sz val="11"/>
        <color theme="1"/>
        <rFont val="Calibre"/>
      </rPr>
      <t>—a closed ecosystem that locks in users</t>
    </r>
  </si>
  <si>
    <t xml:space="preserve">So called iOS "walled garden" … definitely helps with basic privacy and security but there are trade-offs … the devices work incredibly well right out of the box … incredibly consumer oriented </t>
  </si>
  <si>
    <t>Significant investments in custom silicon (M1–M3, A-series chips), enabling performance and efficiency advantages … ARM based … Driving laptop hardware preformance</t>
  </si>
  <si>
    <t>Extensive content licensing and partnerships supporting Apple Music, Apple TV+, and more</t>
  </si>
  <si>
    <t>Lead by Tim Cook since 2011, The Company has continued to reinvent and redefine itself through its wearable products, and newly offered service, allowing the business to grow beyond traditional computers</t>
  </si>
  <si>
    <t>Global footprint with diversified geographic revenue sources</t>
  </si>
  <si>
    <t>Fri, 19 Sep 2025 00:00:00 GMT</t>
  </si>
  <si>
    <t>Thu, 18 Sep 2025 00:00:00 GMT</t>
  </si>
  <si>
    <t>Wed, 17 Sep 2025 00:00:00 GMT</t>
  </si>
  <si>
    <t>Tue, 16 Sep 2025 00:00:00 GMT</t>
  </si>
  <si>
    <t>Mon, 15 Sep 2025 00:00:00 GMT</t>
  </si>
  <si>
    <t>Fri, 12 Sep 2025 00:00:00 GMT</t>
  </si>
  <si>
    <t>Thu, 11 Sep 2025 00:00:00 GMT</t>
  </si>
  <si>
    <t>Wed, 10 Sep 2025 00:00:00 GMT</t>
  </si>
  <si>
    <t>Tue, 09 Sep 2025 00:00:00 GMT</t>
  </si>
  <si>
    <t>Mon, 08 Sep 2025 00:00:00 GMT</t>
  </si>
  <si>
    <t>Fri, 05 Sep 2025 00:00:00 GMT</t>
  </si>
  <si>
    <t>Thu, 04 Sep 2025 00:00:00 GMT</t>
  </si>
  <si>
    <t>Wed, 03 Sep 2025 00:00:00 GMT</t>
  </si>
  <si>
    <t>Tue, 02 Sep 2025 00:00:00 GMT</t>
  </si>
  <si>
    <t>Fri, 29 Aug 2025 00:00:00 GMT</t>
  </si>
  <si>
    <t>Thu, 28 Aug 2025 00:00:00 GMT</t>
  </si>
  <si>
    <t>Wed, 27 Aug 2025 00:00:00 GMT</t>
  </si>
  <si>
    <t>Tue, 26 Aug 2025 00:00:00 GMT</t>
  </si>
  <si>
    <t>Mon, 25 Aug 2025 00:00:00 GMT</t>
  </si>
  <si>
    <t>Fri, 22 Aug 2025 00:00:00 GMT</t>
  </si>
  <si>
    <t>Thu, 21 Aug 2025 00:00:00 GMT</t>
  </si>
  <si>
    <t>Wed, 20 Aug 2025 00:00:00 GMT</t>
  </si>
  <si>
    <t>Tue, 19 Aug 2025 00:00:00 GMT</t>
  </si>
  <si>
    <t>Mon, 18 Aug 2025 00:00:00 GMT</t>
  </si>
  <si>
    <t>Fri, 15 Aug 2025 00:00:00 GMT</t>
  </si>
  <si>
    <t>Thu, 14 Aug 2025 00:00:00 GMT</t>
  </si>
  <si>
    <t>Wed, 13 Aug 2025 00:00:00 GMT</t>
  </si>
  <si>
    <t>Tue, 12 Aug 2025 00:00:00 GMT</t>
  </si>
  <si>
    <t>Mon, 11 Aug 2025 00:00:00 GMT</t>
  </si>
  <si>
    <t>Fri, 08 Aug 2025 00:00:00 GMT</t>
  </si>
  <si>
    <t>Thu, 07 Aug 2025 00:00:00 GMT</t>
  </si>
  <si>
    <t>Wed, 06 Aug 2025 00:00:00 GMT</t>
  </si>
  <si>
    <t>Tue, 05 Aug 2025 00:00:00 GMT</t>
  </si>
  <si>
    <t>Mon, 04 Aug 2025 00:00:00 GMT</t>
  </si>
  <si>
    <t>Fri, 01 Aug 2025 00:00:00 GMT</t>
  </si>
  <si>
    <t>Thu, 31 Jul 2025 00:00:00 GMT</t>
  </si>
  <si>
    <t>Wed, 30 Jul 2025 00:00:00 GMT</t>
  </si>
  <si>
    <t>Tue, 29 Jul 2025 00:00:00 GMT</t>
  </si>
  <si>
    <t>Mon, 28 Jul 2025 00:00:00 GMT</t>
  </si>
  <si>
    <t>Fri, 25 Jul 2025 00:00:00 GMT</t>
  </si>
  <si>
    <t>Thu, 24 Jul 2025 00:00:00 GMT</t>
  </si>
  <si>
    <t>Wed, 23 Jul 2025 00:00:00 GMT</t>
  </si>
  <si>
    <t>Tue, 22 Jul 2025 00:00:00 GMT</t>
  </si>
  <si>
    <t>Mon, 21 Jul 2025 00:00:00 GMT</t>
  </si>
  <si>
    <t>Fri, 18 Jul 2025 00:00:00 GMT</t>
  </si>
  <si>
    <t>Thu, 17 Jul 2025 00:00:00 GMT</t>
  </si>
  <si>
    <t>Wed, 16 Jul 2025 00:00:00 GMT</t>
  </si>
  <si>
    <t>Tue, 15 Jul 2025 00:00:00 GMT</t>
  </si>
  <si>
    <t>Mon, 14 Jul 2025 00:00:00 GMT</t>
  </si>
  <si>
    <t>Fri, 11 Jul 2025 00:00:00 GMT</t>
  </si>
  <si>
    <t>Thu, 10 Jul 2025 00:00:00 GMT</t>
  </si>
  <si>
    <t>Wed, 09 Jul 2025 00:00:00 GMT</t>
  </si>
  <si>
    <t>Tue, 08 Jul 2025 00:00:00 GMT</t>
  </si>
  <si>
    <t>Mon, 07 Jul 2025 00:00:00 GMT</t>
  </si>
  <si>
    <t>Thu, 03 Jul 2025 00:00:00 GMT</t>
  </si>
  <si>
    <t>Wed, 02 Jul 2025 00:00:00 GMT</t>
  </si>
  <si>
    <t>Tue, 01 Jul 2025 00:00:00 GMT</t>
  </si>
  <si>
    <t>Mon, 30 Jun 2025 00:00:00 GMT</t>
  </si>
  <si>
    <t>Fri, 27 Jun 2025 00:00:00 GMT</t>
  </si>
  <si>
    <t>Thu, 26 Jun 2025 00:00:00 GMT</t>
  </si>
  <si>
    <t>Wed, 25 Jun 2025 00:00:00 GMT</t>
  </si>
  <si>
    <t>Tue, 24 Jun 2025 00:00:00 GMT</t>
  </si>
  <si>
    <t>Mon, 23 Jun 2025 00:00:00 GMT</t>
  </si>
  <si>
    <t>Fri, 20 Jun 2025 00:00:00 GMT</t>
  </si>
  <si>
    <t>Wed, 18 Jun 2025 00:00:00 GMT</t>
  </si>
  <si>
    <t>Tue, 17 Jun 2025 00:00:00 GMT</t>
  </si>
  <si>
    <t>Mon, 16 Jun 2025 00:00:00 GMT</t>
  </si>
  <si>
    <t>Fri, 13 Jun 2025 00:00:00 GMT</t>
  </si>
  <si>
    <t>Thu, 12 Jun 2025 00:00:00 GMT</t>
  </si>
  <si>
    <t>Wed, 11 Jun 2025 00:00:00 GMT</t>
  </si>
  <si>
    <t>Tue, 10 Jun 2025 00:00:00 GMT</t>
  </si>
  <si>
    <t>Mon, 09 Jun 2025 00:00:00 GMT</t>
  </si>
  <si>
    <t>Fri, 06 Jun 2025 00:00:00 GMT</t>
  </si>
  <si>
    <t>Thu, 05 Jun 2025 00:00:00 GMT</t>
  </si>
  <si>
    <t>Wed, 04 Jun 2025 00:00:00 GMT</t>
  </si>
  <si>
    <t>Tue, 03 Jun 2025 00:00:00 GMT</t>
  </si>
  <si>
    <t>Mon, 02 Jun 2025 00:00:00 GMT</t>
  </si>
  <si>
    <t>Fri, 30 May 2025 00:00:00 GMT</t>
  </si>
  <si>
    <t>Thu, 29 May 2025 00:00:00 GMT</t>
  </si>
  <si>
    <t>Wed, 28 May 2025 00:00:00 GMT</t>
  </si>
  <si>
    <t>Tue, 27 May 2025 00:00:00 GMT</t>
  </si>
  <si>
    <t>Fri, 23 May 2025 00:00:00 GMT</t>
  </si>
  <si>
    <t>Thu, 22 May 2025 00:00:00 GMT</t>
  </si>
  <si>
    <t>Wed, 21 May 2025 00:00:00 GMT</t>
  </si>
  <si>
    <t>Tue, 20 May 2025 00:00:00 GMT</t>
  </si>
  <si>
    <t>Mon, 19 May 2025 00:00:00 GMT</t>
  </si>
  <si>
    <t>Fri, 16 May 2025 00:00:00 GMT</t>
  </si>
  <si>
    <t>Thu, 15 May 2025 00:00:00 GMT</t>
  </si>
  <si>
    <t>Wed, 14 May 2025 00:00:00 GMT</t>
  </si>
  <si>
    <t>Tue, 13 May 2025 00:00:00 GMT</t>
  </si>
  <si>
    <t>Mon, 12 May 2025 00:00:00 GMT</t>
  </si>
  <si>
    <t>Fri, 09 May 2025 00:00:00 GMT</t>
  </si>
  <si>
    <t>Thu, 08 May 2025 00:00:00 GMT</t>
  </si>
  <si>
    <t>Wed, 07 May 2025 00:00:00 GMT</t>
  </si>
  <si>
    <t>Tue, 06 May 2025 00:00:00 GMT</t>
  </si>
  <si>
    <t>Mon, 05 May 2025 00:00:00 GMT</t>
  </si>
  <si>
    <t>Fri, 02 May 2025 00:00:00 GMT</t>
  </si>
  <si>
    <t>Thu, 01 May 2025 00:00:00 GMT</t>
  </si>
  <si>
    <t>Wed, 30 Apr 2025 00:00:00 GMT</t>
  </si>
  <si>
    <t>Tue, 29 Apr 2025 00:00:00 GMT</t>
  </si>
  <si>
    <t>Mon, 28 Apr 2025 00:00:00 GMT</t>
  </si>
  <si>
    <t>Fri, 25 Apr 2025 00:00:00 GMT</t>
  </si>
  <si>
    <t>Thu, 24 Apr 2025 00:00:00 GMT</t>
  </si>
  <si>
    <t>Wed, 23 Apr 2025 00:00:00 GMT</t>
  </si>
  <si>
    <t>Tue, 22 Apr 2025 00:00:00 GMT</t>
  </si>
  <si>
    <t>Mon, 21 Apr 2025 00:00:00 GMT</t>
  </si>
  <si>
    <t>Thu, 17 Apr 2025 00:00:00 GMT</t>
  </si>
  <si>
    <t>Wed, 16 Apr 2025 00:00:00 GMT</t>
  </si>
  <si>
    <t>Tue, 15 Apr 2025 00:00:00 GMT</t>
  </si>
  <si>
    <t>Mon, 14 Apr 2025 00:00:00 GMT</t>
  </si>
  <si>
    <t>Fri, 11 Apr 2025 00:00:00 GMT</t>
  </si>
  <si>
    <t>Thu, 10 Apr 2025 00:00:00 GMT</t>
  </si>
  <si>
    <t>Wed, 09 Apr 2025 00:00:00 GMT</t>
  </si>
  <si>
    <t>Tue, 08 Apr 2025 00:00:00 GMT</t>
  </si>
  <si>
    <t>Mon, 07 Apr 2025 00:00:00 GMT</t>
  </si>
  <si>
    <t>Fri, 04 Apr 2025 00:00:00 GMT</t>
  </si>
  <si>
    <t>Thu, 03 Apr 2025 00:00:00 GMT</t>
  </si>
  <si>
    <t>Wed, 02 Apr 2025 00:00:00 GMT</t>
  </si>
  <si>
    <t>Tue, 01 Apr 2025 00:00:00 GMT</t>
  </si>
  <si>
    <t>Mon, 31 Mar 2025 00:00:00 GMT</t>
  </si>
  <si>
    <t>Fri, 28 Mar 2025 00:00:00 GMT</t>
  </si>
  <si>
    <t>Thu, 27 Mar 2025 00:00:00 GMT</t>
  </si>
  <si>
    <t>Wed, 26 Mar 2025 00:00:00 GMT</t>
  </si>
  <si>
    <t>Tue, 25 Mar 2025 00:00:00 GMT</t>
  </si>
  <si>
    <t>Mon, 24 Mar 2025 00:00:00 GMT</t>
  </si>
  <si>
    <t>Fri, 21 Mar 2025 00:00:00 GMT</t>
  </si>
  <si>
    <t>Thu, 20 Mar 2025 00:00:00 GMT</t>
  </si>
  <si>
    <t>Wed, 19 Mar 2025 00:00:00 GMT</t>
  </si>
  <si>
    <t>Tue, 18 Mar 2025 00:00:00 GMT</t>
  </si>
  <si>
    <t>Mon, 17 Mar 2025 00:00:00 GMT</t>
  </si>
  <si>
    <t>Fri, 14 Mar 2025 00:00:00 GMT</t>
  </si>
  <si>
    <t>Thu, 13 Mar 2025 00:00:00 GMT</t>
  </si>
  <si>
    <t>Wed, 12 Mar 2025 00:00:00 GMT</t>
  </si>
  <si>
    <t>Tue, 11 Mar 2025 00:00:00 GMT</t>
  </si>
  <si>
    <t>Mon, 10 Mar 2025 00:00:00 GMT</t>
  </si>
  <si>
    <t>Fri, 07 Mar 2025 00:00:00 GMT</t>
  </si>
  <si>
    <t>Thu, 06 Mar 2025 00:00:00 GMT</t>
  </si>
  <si>
    <t>Wed, 05 Mar 2025 00:00:00 GMT</t>
  </si>
  <si>
    <t>Tue, 04 Mar 2025 00:00:00 GMT</t>
  </si>
  <si>
    <t>Mon, 03 Mar 2025 00:00:00 GMT</t>
  </si>
  <si>
    <t>Fri, 28 Feb 2025 00:00:00 GMT</t>
  </si>
  <si>
    <t>Thu, 27 Feb 2025 00:00:00 GMT</t>
  </si>
  <si>
    <t>Wed, 26 Feb 2025 00:00:00 GMT</t>
  </si>
  <si>
    <t>Tue, 25 Feb 2025 00:00:00 GMT</t>
  </si>
  <si>
    <t>Mon, 24 Feb 2025 00:00:00 GMT</t>
  </si>
  <si>
    <t>Fri, 21 Feb 2025 00:00:00 GMT</t>
  </si>
  <si>
    <t>Thu, 20 Feb 2025 00:00:00 GMT</t>
  </si>
  <si>
    <t>Wed, 19 Feb 2025 00:00:00 GMT</t>
  </si>
  <si>
    <t>Tue, 18 Feb 2025 00:00:00 GMT</t>
  </si>
  <si>
    <t>Fri, 14 Feb 2025 00:00:00 GMT</t>
  </si>
  <si>
    <t>Thu, 13 Feb 2025 00:00:00 GMT</t>
  </si>
  <si>
    <t>Wed, 12 Feb 2025 00:00:00 GMT</t>
  </si>
  <si>
    <t>Tue, 11 Feb 2025 00:00:00 GMT</t>
  </si>
  <si>
    <t>Mon, 10 Feb 2025 00:00:00 GMT</t>
  </si>
  <si>
    <t>Fri, 07 Feb 2025 00:00:00 GMT</t>
  </si>
  <si>
    <t>Thu, 06 Feb 2025 00:00:00 GMT</t>
  </si>
  <si>
    <t>Wed, 05 Feb 2025 00:00:00 GMT</t>
  </si>
  <si>
    <t>Tue, 04 Feb 2025 00:00:00 GMT</t>
  </si>
  <si>
    <t>Mon, 03 Feb 2025 00:00:00 GMT</t>
  </si>
  <si>
    <t>Fri, 31 Jan 2025 00:00:00 GMT</t>
  </si>
  <si>
    <t>Thu, 30 Jan 2025 00:00:00 GMT</t>
  </si>
  <si>
    <t>Wed, 29 Jan 2025 00:00:00 GMT</t>
  </si>
  <si>
    <t>Tue, 28 Jan 2025 00:00:00 GMT</t>
  </si>
  <si>
    <t>Mon, 27 Jan 2025 00:00:00 GMT</t>
  </si>
  <si>
    <t>Fri, 24 Jan 2025 00:00:00 GMT</t>
  </si>
  <si>
    <t>Thu, 23 Jan 2025 00:00:00 GMT</t>
  </si>
  <si>
    <t>Wed, 22 Jan 2025 00:00:00 GMT</t>
  </si>
  <si>
    <t>Tue, 21 Jan 2025 00:00:00 GMT</t>
  </si>
  <si>
    <t>Fri, 17 Jan 2025 00:00:00 GMT</t>
  </si>
  <si>
    <t>Thu, 16 Jan 2025 00:00:00 GMT</t>
  </si>
  <si>
    <t>Wed, 15 Jan 2025 00:00:00 GMT</t>
  </si>
  <si>
    <t>Tue, 14 Jan 2025 00:00:00 GMT</t>
  </si>
  <si>
    <t>Mon, 13 Jan 2025 00:00:00 GMT</t>
  </si>
  <si>
    <t>Fri, 10 Jan 2025 00:00:00 GMT</t>
  </si>
  <si>
    <t>Wed, 08 Jan 2025 00:00:00 GMT</t>
  </si>
  <si>
    <t>Tue, 07 Jan 2025 00:00:00 GMT</t>
  </si>
  <si>
    <t>Mon, 06 Jan 2025 00:00:00 GMT</t>
  </si>
  <si>
    <t>Fri, 03 Jan 2025 00:00:00 GMT</t>
  </si>
  <si>
    <t>Thu, 02 Jan 2025 00:00:00 GMT</t>
  </si>
  <si>
    <t>Tue, 31 Dec 2024 00:00:00 GMT</t>
  </si>
  <si>
    <t>Mon, 30 Dec 2024 00:00:00 GMT</t>
  </si>
  <si>
    <t>Fri, 27 Dec 2024 00:00:00 GMT</t>
  </si>
  <si>
    <t>Thu, 26 Dec 2024 00:00:00 GMT</t>
  </si>
  <si>
    <t>Tue, 24 Dec 2024 00:00:00 GMT</t>
  </si>
  <si>
    <t>Mon, 23 Dec 2024 00:00:00 GMT</t>
  </si>
  <si>
    <t>Fri, 20 Dec 2024 00:00:00 GMT</t>
  </si>
  <si>
    <t>Thu, 19 Dec 2024 00:00:00 GMT</t>
  </si>
  <si>
    <t>Wed, 18 Dec 2024 00:00:00 GMT</t>
  </si>
  <si>
    <t>Tue, 17 Dec 2024 00:00:00 GMT</t>
  </si>
  <si>
    <t>Mon, 16 Dec 2024 00:00:00 GMT</t>
  </si>
  <si>
    <t>Fri, 13 Dec 2024 00:00:00 GMT</t>
  </si>
  <si>
    <t>Thu, 12 Dec 2024 00:00:00 GMT</t>
  </si>
  <si>
    <t>Wed, 11 Dec 2024 00:00:00 GMT</t>
  </si>
  <si>
    <t>Tue, 10 Dec 2024 00:00:00 GMT</t>
  </si>
  <si>
    <t>Mon, 09 Dec 2024 00:00:00 GMT</t>
  </si>
  <si>
    <t>Fri, 06 Dec 2024 00:00:00 GMT</t>
  </si>
  <si>
    <t>Thu, 05 Dec 2024 00:00:00 GMT</t>
  </si>
  <si>
    <t>Wed, 04 Dec 2024 00:00:00 GMT</t>
  </si>
  <si>
    <t>Tue, 03 Dec 2024 00:00:00 GMT</t>
  </si>
  <si>
    <t>Mon, 02 Dec 2024 00:00:00 GMT</t>
  </si>
  <si>
    <t>Fri, 29 Nov 2024 00:00:00 GMT</t>
  </si>
  <si>
    <t>Wed, 27 Nov 2024 00:00:00 GMT</t>
  </si>
  <si>
    <t>Tue, 26 Nov 2024 00:00:00 GMT</t>
  </si>
  <si>
    <t>Mon, 25 Nov 2024 00:00:00 GMT</t>
  </si>
  <si>
    <t>Fri, 22 Nov 2024 00:00:00 GMT</t>
  </si>
  <si>
    <t>Thu, 21 Nov 2024 00:00:00 GMT</t>
  </si>
  <si>
    <t>Wed, 20 Nov 2024 00:00:00 GMT</t>
  </si>
  <si>
    <t>Tue, 19 Nov 2024 00:00:00 GMT</t>
  </si>
  <si>
    <t>Mon, 18 Nov 2024 00:00:00 GMT</t>
  </si>
  <si>
    <t>Fri, 15 Nov 2024 00:00:00 GMT</t>
  </si>
  <si>
    <t>Thu, 14 Nov 2024 00:00:00 GMT</t>
  </si>
  <si>
    <t>Wed, 13 Nov 2024 00:00:00 GMT</t>
  </si>
  <si>
    <t>Tue, 12 Nov 2024 00:00:00 GMT</t>
  </si>
  <si>
    <t>Mon, 11 Nov 2024 00:00:00 GMT</t>
  </si>
  <si>
    <t>Fri, 08 Nov 2024 00:00:00 GMT</t>
  </si>
  <si>
    <t>Thu, 07 Nov 2024 00:00:00 GMT</t>
  </si>
  <si>
    <t>Wed, 06 Nov 2024 00:00:00 GMT</t>
  </si>
  <si>
    <t>Tue, 05 Nov 2024 00:00:00 GMT</t>
  </si>
  <si>
    <t>Mon, 04 Nov 2024 00:00:00 GMT</t>
  </si>
  <si>
    <t>Fri, 01 Nov 2024 00:00:00 GMT</t>
  </si>
  <si>
    <t>Thu, 31 Oct 2024 00:00:00 GMT</t>
  </si>
  <si>
    <t>Wed, 30 Oct 2024 00:00:00 GMT</t>
  </si>
  <si>
    <t>Tue, 29 Oct 2024 00:00:00 GMT</t>
  </si>
  <si>
    <t>Mon, 28 Oct 2024 00:00:00 GMT</t>
  </si>
  <si>
    <t>Fri, 25 Oct 2024 00:00:00 GMT</t>
  </si>
  <si>
    <t>Thu, 24 Oct 2024 00:00:00 GMT</t>
  </si>
  <si>
    <t>Wed, 23 Oct 2024 00:00:00 GMT</t>
  </si>
  <si>
    <t>Tue, 22 Oct 2024 00:00:00 GMT</t>
  </si>
  <si>
    <t>Mon, 21 Oct 2024 00:00:00 GMT</t>
  </si>
  <si>
    <t>Fri, 18 Oct 2024 00:00:00 GMT</t>
  </si>
  <si>
    <t>Thu, 17 Oct 2024 00:00:00 GMT</t>
  </si>
  <si>
    <t>Wed, 16 Oct 2024 00:00:00 GMT</t>
  </si>
  <si>
    <t>Tue, 15 Oct 2024 00:00:00 GMT</t>
  </si>
  <si>
    <t>Mon, 14 Oct 2024 00:00:00 GMT</t>
  </si>
  <si>
    <t>Fri, 11 Oct 2024 00:00:00 GMT</t>
  </si>
  <si>
    <t>Thu, 10 Oct 2024 00:00:00 GMT</t>
  </si>
  <si>
    <t>Wed, 09 Oct 2024 00:00:00 GMT</t>
  </si>
  <si>
    <t>Tue, 08 Oct 2024 00:00:00 GMT</t>
  </si>
  <si>
    <t>Mon, 07 Oct 2024 00:00:00 GMT</t>
  </si>
  <si>
    <t>Fri, 04 Oct 2024 00:00:00 GMT</t>
  </si>
  <si>
    <t>Thu, 03 Oct 2024 00:00:00 GMT</t>
  </si>
  <si>
    <t>Wed, 02 Oct 2024 00:00:00 GMT</t>
  </si>
  <si>
    <t>Tue, 01 Oct 2024 00:00:00 GMT</t>
  </si>
  <si>
    <t>Mon, 30 Sep 2024 00:00:00 GMT</t>
  </si>
  <si>
    <t>Fri, 27 Sep 2024 00:00:00 GMT</t>
  </si>
  <si>
    <t>Thu, 26 Sep 2024 00:00:00 GMT</t>
  </si>
  <si>
    <t>Wed, 25 Sep 2024 00:00:00 GMT</t>
  </si>
  <si>
    <t>Tue, 24 Sep 2024 00:00:00 GMT</t>
  </si>
  <si>
    <t>Mon, 23 Sep 2024 00:00:00 GMT</t>
  </si>
  <si>
    <t>Fri, 20 Sep 2024 00:00:00 GMT</t>
  </si>
  <si>
    <t>Thu, 19 Sep 2024 00:00:00 GMT</t>
  </si>
  <si>
    <t>Wed, 18 Sep 2024 00:00:00 GMT</t>
  </si>
  <si>
    <t>Tue, 17 Sep 2024 00:00:00 GMT</t>
  </si>
  <si>
    <t>Mon, 16 Sep 2024 00:00:00 GMT</t>
  </si>
  <si>
    <t>Fri, 13 Sep 2024 00:00:00 GMT</t>
  </si>
  <si>
    <t>Thu, 12 Sep 2024 00:00:00 GMT</t>
  </si>
  <si>
    <t>Wed, 11 Sep 2024 00:00:00 GMT</t>
  </si>
  <si>
    <t>Tue, 10 Sep 2024 00:00:00 GMT</t>
  </si>
  <si>
    <t>Mon, 09 Sep 2024 00:00:00 GMT</t>
  </si>
  <si>
    <t>Fri, 06 Sep 2024 00:00:00 GMT</t>
  </si>
  <si>
    <t>Thu, 05 Sep 2024 00:00:00 GMT</t>
  </si>
  <si>
    <t>Wed, 04 Sep 2024 00:00:00 GMT</t>
  </si>
  <si>
    <t>Tue, 03 Sep 2024 00:00:00 GMT</t>
  </si>
  <si>
    <t>Fri, 30 Aug 2024 00:00:00 GMT</t>
  </si>
  <si>
    <t>Thu, 29 Aug 2024 00:00:00 GMT</t>
  </si>
  <si>
    <t>Wed, 28 Aug 2024 00:00:00 GMT</t>
  </si>
  <si>
    <t>Tue, 27 Aug 2024 00:00:00 GMT</t>
  </si>
  <si>
    <t>Mon, 26 Aug 2024 00:00:00 GMT</t>
  </si>
  <si>
    <t>Fri, 23 Aug 2024 00:00:00 GMT</t>
  </si>
  <si>
    <t>Thu, 22 Aug 2024 00:00:00 GMT</t>
  </si>
  <si>
    <t>Wed, 21 Aug 2024 00:00:00 GMT</t>
  </si>
  <si>
    <t>Tue, 20 Aug 2024 00:00:00 GMT</t>
  </si>
  <si>
    <t>Mon, 19 Aug 2024 00:00:00 GMT</t>
  </si>
  <si>
    <t>Fri, 16 Aug 2024 00:00:00 GMT</t>
  </si>
  <si>
    <t>Thu, 15 Aug 2024 00:00:00 GMT</t>
  </si>
  <si>
    <t>Wed, 14 Aug 2024 00:00:00 GMT</t>
  </si>
  <si>
    <t>Tue, 13 Aug 2024 00:00:00 GMT</t>
  </si>
  <si>
    <t>Mon, 12 Aug 2024 00:00:00 GMT</t>
  </si>
  <si>
    <t>Fri, 09 Aug 2024 00:00:00 GMT</t>
  </si>
  <si>
    <t>Thu, 08 Aug 2024 00:00:00 GMT</t>
  </si>
  <si>
    <t>Wed, 07 Aug 2024 00:00:00 GMT</t>
  </si>
  <si>
    <t>Tue, 06 Aug 2024 00:00:00 GMT</t>
  </si>
  <si>
    <t>Mon, 05 Aug 2024 00:00:00 GMT</t>
  </si>
  <si>
    <t>Fri, 02 Aug 2024 00:00:00 GMT</t>
  </si>
  <si>
    <t>Thu, 01 Aug 2024 00:00:00 GMT</t>
  </si>
  <si>
    <t>Wed, 31 Jul 2024 00:00:00 GMT</t>
  </si>
  <si>
    <t>Tue, 30 Jul 2024 00:00:00 GMT</t>
  </si>
  <si>
    <t>Mon, 29 Jul 2024 00:00:00 GMT</t>
  </si>
  <si>
    <t>Fri, 26 Jul 2024 00:00:00 GMT</t>
  </si>
  <si>
    <t>Thu, 25 Jul 2024 00:00:00 GMT</t>
  </si>
  <si>
    <t>Wed, 24 Jul 2024 00:00:00 GMT</t>
  </si>
  <si>
    <t>Tue, 23 Jul 2024 00:00:00 GMT</t>
  </si>
  <si>
    <t>Mon, 22 Jul 2024 00:00:00 GMT</t>
  </si>
  <si>
    <t>Fri, 19 Jul 2024 00:00:00 GMT</t>
  </si>
  <si>
    <t>Thu, 18 Jul 2024 00:00:00 GMT</t>
  </si>
  <si>
    <t>Wed, 17 Jul 2024 00:00:00 GMT</t>
  </si>
  <si>
    <t>Tue, 16 Jul 2024 00:00:00 GMT</t>
  </si>
  <si>
    <t>Mon, 15 Jul 2024 00:00:00 GMT</t>
  </si>
  <si>
    <t>Fri, 12 Jul 2024 00:00:00 GMT</t>
  </si>
  <si>
    <t>Thu, 11 Jul 2024 00:00:00 GMT</t>
  </si>
  <si>
    <t>Wed, 10 Jul 2024 00:00:00 GMT</t>
  </si>
  <si>
    <t>Tue, 09 Jul 2024 00:00:00 GMT</t>
  </si>
  <si>
    <t>Mon, 08 Jul 2024 00:00:00 GMT</t>
  </si>
  <si>
    <t>Fri, 05 Jul 2024 00:00:00 GMT</t>
  </si>
  <si>
    <t>Wed, 03 Jul 2024 00:00:00 GMT</t>
  </si>
  <si>
    <t>Tue, 02 Jul 2024 00:00:00 GMT</t>
  </si>
  <si>
    <t>Mon, 01 Jul 2024 00:00:00 GMT</t>
  </si>
  <si>
    <t>Fri, 28 Jun 2024 00:00:00 GMT</t>
  </si>
  <si>
    <t>Thu, 27 Jun 2024 00:00:00 GMT</t>
  </si>
  <si>
    <t>Wed, 26 Jun 2024 00:00:00 GMT</t>
  </si>
  <si>
    <t>Tue, 25 Jun 2024 00:00:00 GMT</t>
  </si>
  <si>
    <t>Mon, 24 Jun 2024 00:00:00 GMT</t>
  </si>
  <si>
    <t>Fri, 21 Jun 2024 00:00:00 GMT</t>
  </si>
  <si>
    <t>Thu, 20 Jun 2024 00:00:00 GMT</t>
  </si>
  <si>
    <t>Tue, 18 Jun 2024 00:00:00 GMT</t>
  </si>
  <si>
    <t>Mon, 17 Jun 2024 00:00:00 GMT</t>
  </si>
  <si>
    <t>Fri, 14 Jun 2024 00:00:00 GMT</t>
  </si>
  <si>
    <t>Thu, 13 Jun 2024 00:00:00 GMT</t>
  </si>
  <si>
    <t>Wed, 12 Jun 2024 00:00:00 GMT</t>
  </si>
  <si>
    <t>Tue, 11 Jun 2024 00:00:00 GMT</t>
  </si>
  <si>
    <t>Mon, 10 Jun 2024 00:00:00 GMT</t>
  </si>
  <si>
    <t>Fri, 07 Jun 2024 00:00:00 GMT</t>
  </si>
  <si>
    <t>Thu, 06 Jun 2024 00:00:00 GMT</t>
  </si>
  <si>
    <t>Wed, 05 Jun 2024 00:00:00 GMT</t>
  </si>
  <si>
    <t>Tue, 04 Jun 2024 00:00:00 GMT</t>
  </si>
  <si>
    <t>Mon, 03 Jun 2024 00:00:00 GMT</t>
  </si>
  <si>
    <t>Fri, 31 May 2024 00:00:00 GMT</t>
  </si>
  <si>
    <t>Thu, 30 May 2024 00:00:00 GMT</t>
  </si>
  <si>
    <t>Wed, 29 May 2024 00:00:00 GMT</t>
  </si>
  <si>
    <t>Tue, 28 May 2024 00:00:00 GMT</t>
  </si>
  <si>
    <t>Fri, 24 May 2024 00:00:00 GMT</t>
  </si>
  <si>
    <t>Thu, 23 May 2024 00:00:00 GMT</t>
  </si>
  <si>
    <t>Wed, 22 May 2024 00:00:00 GMT</t>
  </si>
  <si>
    <t>Tue, 21 May 2024 00:00:00 GMT</t>
  </si>
  <si>
    <t>Mon, 20 May 2024 00:00:00 GMT</t>
  </si>
  <si>
    <t>Fri, 17 May 2024 00:00:00 GMT</t>
  </si>
  <si>
    <t>Thu, 16 May 2024 00:00:00 GMT</t>
  </si>
  <si>
    <t>Wed, 15 May 2024 00:00:00 GMT</t>
  </si>
  <si>
    <t>Tue, 14 May 2024 00:00:00 GMT</t>
  </si>
  <si>
    <t>Mon, 13 May 2024 00:00:00 GMT</t>
  </si>
  <si>
    <t>Fri, 10 May 2024 00:00:00 GMT</t>
  </si>
  <si>
    <t>Thu, 09 May 2024 00:00:00 GMT</t>
  </si>
  <si>
    <t>Wed, 08 May 2024 00:00:00 GMT</t>
  </si>
  <si>
    <t>Tue, 07 May 2024 00:00:00 GMT</t>
  </si>
  <si>
    <t>Mon, 06 May 2024 00:00:00 GMT</t>
  </si>
  <si>
    <t>Fri, 03 May 2024 00:00:00 GMT</t>
  </si>
  <si>
    <t>Thu, 02 May 2024 00:00:00 GMT</t>
  </si>
  <si>
    <t>Wed, 01 May 2024 00:00:00 GMT</t>
  </si>
  <si>
    <t>Tue, 30 Apr 2024 00:00:00 GMT</t>
  </si>
  <si>
    <t>Mon, 29 Apr 2024 00:00:00 GMT</t>
  </si>
  <si>
    <t>Fri, 26 Apr 2024 00:00:00 GMT</t>
  </si>
  <si>
    <t>Thu, 25 Apr 2024 00:00:00 GMT</t>
  </si>
  <si>
    <t>Wed, 24 Apr 2024 00:00:00 GMT</t>
  </si>
  <si>
    <t>Tue, 23 Apr 2024 00:00:00 GMT</t>
  </si>
  <si>
    <t>Mon, 22 Apr 2024 00:00:00 GMT</t>
  </si>
  <si>
    <t>Fri, 19 Apr 2024 00:00:00 GMT</t>
  </si>
  <si>
    <t>Thu, 18 Apr 2024 00:00:00 GMT</t>
  </si>
  <si>
    <t>Wed, 17 Apr 2024 00:00:00 GMT</t>
  </si>
  <si>
    <t>Tue, 16 Apr 2024 00:00:00 GMT</t>
  </si>
  <si>
    <t>Mon, 15 Apr 2024 00:00:00 GMT</t>
  </si>
  <si>
    <t>Fri, 12 Apr 2024 00:00:00 GMT</t>
  </si>
  <si>
    <t>Thu, 11 Apr 2024 00:00:00 GMT</t>
  </si>
  <si>
    <t>Wed, 10 Apr 2024 00:00:00 GMT</t>
  </si>
  <si>
    <t>Tue, 09 Apr 2024 00:00:00 GMT</t>
  </si>
  <si>
    <t>Mon, 08 Apr 2024 00:00:00 GMT</t>
  </si>
  <si>
    <t>Fri, 05 Apr 2024 00:00:00 GMT</t>
  </si>
  <si>
    <t>Thu, 04 Apr 2024 00:00:00 GMT</t>
  </si>
  <si>
    <t>Wed, 03 Apr 2024 00:00:00 GMT</t>
  </si>
  <si>
    <t>Tue, 02 Apr 2024 00:00:00 GMT</t>
  </si>
  <si>
    <t>Mon, 01 Apr 2024 00:00:00 GMT</t>
  </si>
  <si>
    <t>Thu, 28 Mar 2024 00:00:00 GMT</t>
  </si>
  <si>
    <t>Wed, 27 Mar 2024 00:00:00 GMT</t>
  </si>
  <si>
    <t>Tue, 26 Mar 2024 00:00:00 GMT</t>
  </si>
  <si>
    <t>Mon, 25 Mar 2024 00:00:00 GMT</t>
  </si>
  <si>
    <t>Fri, 22 Mar 2024 00:00:00 GMT</t>
  </si>
  <si>
    <t>Thu, 21 Mar 2024 00:00:00 GMT</t>
  </si>
  <si>
    <t>Wed, 20 Mar 2024 00:00:00 GMT</t>
  </si>
  <si>
    <t>Tue, 19 Mar 2024 00:00:00 GMT</t>
  </si>
  <si>
    <t>Mon, 18 Mar 2024 00:00:00 GMT</t>
  </si>
  <si>
    <t>Fri, 15 Mar 2024 00:00:00 GMT</t>
  </si>
  <si>
    <t>Thu, 14 Mar 2024 00:00:00 GMT</t>
  </si>
  <si>
    <t>Wed, 13 Mar 2024 00:00:00 GMT</t>
  </si>
  <si>
    <t>Tue, 12 Mar 2024 00:00:00 GMT</t>
  </si>
  <si>
    <t>Mon, 11 Mar 2024 00:00:00 GMT</t>
  </si>
  <si>
    <t>Fri, 08 Mar 2024 00:00:00 GMT</t>
  </si>
  <si>
    <t>Thu, 07 Mar 2024 00:00:00 GMT</t>
  </si>
  <si>
    <t>Wed, 06 Mar 2024 00:00:00 GMT</t>
  </si>
  <si>
    <t>Tue, 05 Mar 2024 00:00:00 GMT</t>
  </si>
  <si>
    <t>Mon, 04 Mar 2024 00:00:00 GMT</t>
  </si>
  <si>
    <t>Fri, 01 Mar 2024 00:00:00 GMT</t>
  </si>
  <si>
    <t>Thu, 29 Feb 2024 00:00:00 GMT</t>
  </si>
  <si>
    <t>Wed, 28 Feb 2024 00:00:00 GMT</t>
  </si>
  <si>
    <t>Tue, 27 Feb 2024 00:00:00 GMT</t>
  </si>
  <si>
    <t>Mon, 26 Feb 2024 00:00:00 GMT</t>
  </si>
  <si>
    <t>Fri, 23 Feb 2024 00:00:00 GMT</t>
  </si>
  <si>
    <t>Thu, 22 Feb 2024 00:00:00 GMT</t>
  </si>
  <si>
    <t>Wed, 21 Feb 2024 00:00:00 GMT</t>
  </si>
  <si>
    <t>Tue, 20 Feb 2024 00:00:00 GMT</t>
  </si>
  <si>
    <t>Fri, 16 Feb 2024 00:00:00 GMT</t>
  </si>
  <si>
    <t>Thu, 15 Feb 2024 00:00:00 GMT</t>
  </si>
  <si>
    <t>Wed, 14 Feb 2024 00:00:00 GMT</t>
  </si>
  <si>
    <t>Tue, 13 Feb 2024 00:00:00 GMT</t>
  </si>
  <si>
    <t>Mon, 12 Feb 2024 00:00:00 GMT</t>
  </si>
  <si>
    <t>Fri, 09 Feb 2024 00:00:00 GMT</t>
  </si>
  <si>
    <t>Thu, 08 Feb 2024 00:00:00 GMT</t>
  </si>
  <si>
    <t>Wed, 07 Feb 2024 00:00:00 GMT</t>
  </si>
  <si>
    <t>Tue, 06 Feb 2024 00:00:00 GMT</t>
  </si>
  <si>
    <t>Mon, 05 Feb 2024 00:00:00 GMT</t>
  </si>
  <si>
    <t>Fri, 02 Feb 2024 00:00:00 GMT</t>
  </si>
  <si>
    <t>Thu, 01 Feb 2024 00:00:00 GMT</t>
  </si>
  <si>
    <t>Wed, 31 Jan 2024 00:00:00 GMT</t>
  </si>
  <si>
    <t>Tue, 30 Jan 2024 00:00:00 GMT</t>
  </si>
  <si>
    <t>Mon, 29 Jan 2024 00:00:00 GMT</t>
  </si>
  <si>
    <t>Fri, 26 Jan 2024 00:00:00 GMT</t>
  </si>
  <si>
    <t>Thu, 25 Jan 2024 00:00:00 GMT</t>
  </si>
  <si>
    <t>Wed, 24 Jan 2024 00:00:00 GMT</t>
  </si>
  <si>
    <t>Tue, 23 Jan 2024 00:00:00 GMT</t>
  </si>
  <si>
    <t>Mon, 22 Jan 2024 00:00:00 GMT</t>
  </si>
  <si>
    <t>Fri, 19 Jan 2024 00:00:00 GMT</t>
  </si>
  <si>
    <t>Thu, 18 Jan 2024 00:00:00 GMT</t>
  </si>
  <si>
    <t>Wed, 17 Jan 2024 00:00:00 GMT</t>
  </si>
  <si>
    <t>Tue, 16 Jan 2024 00:00:00 GMT</t>
  </si>
  <si>
    <t>Fri, 12 Jan 2024 00:00:00 GMT</t>
  </si>
  <si>
    <t>Thu, 11 Jan 2024 00:00:00 GMT</t>
  </si>
  <si>
    <t>Wed, 10 Jan 2024 00:00:00 GMT</t>
  </si>
  <si>
    <t>Tue, 09 Jan 2024 00:00:00 GMT</t>
  </si>
  <si>
    <t>Mon, 08 Jan 2024 00:00:00 GMT</t>
  </si>
  <si>
    <t>Fri, 05 Jan 2024 00:00:00 GMT</t>
  </si>
  <si>
    <t>Thu, 04 Jan 2024 00:00:00 GMT</t>
  </si>
  <si>
    <t>Wed, 03 Jan 2024 00:00:00 GMT</t>
  </si>
  <si>
    <t>Tue, 02 Jan 2024 00:00:00 GMT</t>
  </si>
  <si>
    <t>Fri, 29 Dec 2023 00:00:00 GMT</t>
  </si>
  <si>
    <t>Thu, 28 Dec 2023 00:00:00 GMT</t>
  </si>
  <si>
    <t>Wed, 27 Dec 2023 00:00:00 GMT</t>
  </si>
  <si>
    <t>Tue, 26 Dec 2023 00:00:00 GMT</t>
  </si>
  <si>
    <t>Fri, 22 Dec 2023 00:00:00 GMT</t>
  </si>
  <si>
    <t>Thu, 21 Dec 2023 00:00:00 GMT</t>
  </si>
  <si>
    <t>Wed, 20 Dec 2023 00:00:00 GMT</t>
  </si>
  <si>
    <t>Tue, 19 Dec 2023 00:00:00 GMT</t>
  </si>
  <si>
    <t>Mon, 18 Dec 2023 00:00:00 GMT</t>
  </si>
  <si>
    <t>Fri, 15 Dec 2023 00:00:00 GMT</t>
  </si>
  <si>
    <t>Thu, 14 Dec 2023 00:00:00 GMT</t>
  </si>
  <si>
    <t>Wed, 13 Dec 2023 00:00:00 GMT</t>
  </si>
  <si>
    <t>Tue, 12 Dec 2023 00:00:00 GMT</t>
  </si>
  <si>
    <t>Mon, 11 Dec 2023 00:00:00 GMT</t>
  </si>
  <si>
    <t>Fri, 08 Dec 2023 00:00:00 GMT</t>
  </si>
  <si>
    <t>Thu, 07 Dec 2023 00:00:00 GMT</t>
  </si>
  <si>
    <t>Wed, 06 Dec 2023 00:00:00 GMT</t>
  </si>
  <si>
    <t>Tue, 05 Dec 2023 00:00:00 GMT</t>
  </si>
  <si>
    <t>Mon, 04 Dec 2023 00:00:00 GMT</t>
  </si>
  <si>
    <t>Fri, 01 Dec 2023 00:00:00 GMT</t>
  </si>
  <si>
    <t>Thu, 30 Nov 2023 00:00:00 GMT</t>
  </si>
  <si>
    <t>Wed, 29 Nov 2023 00:00:00 GMT</t>
  </si>
  <si>
    <t>Tue, 28 Nov 2023 00:00:00 GMT</t>
  </si>
  <si>
    <t>Mon, 27 Nov 2023 00:00:00 GMT</t>
  </si>
  <si>
    <t>Fri, 24 Nov 2023 00:00:00 GMT</t>
  </si>
  <si>
    <t>Wed, 22 Nov 2023 00:00:00 GMT</t>
  </si>
  <si>
    <t>Tue, 21 Nov 2023 00:00:00 GMT</t>
  </si>
  <si>
    <t>Mon, 20 Nov 2023 00:00:00 GMT</t>
  </si>
  <si>
    <t>Fri, 17 Nov 2023 00:00:00 GMT</t>
  </si>
  <si>
    <t>Thu, 16 Nov 2023 00:00:00 GMT</t>
  </si>
  <si>
    <t>Wed, 15 Nov 2023 00:00:00 GMT</t>
  </si>
  <si>
    <t>Tue, 14 Nov 2023 00:00:00 GMT</t>
  </si>
  <si>
    <t>Mon, 13 Nov 2023 00:00:00 GMT</t>
  </si>
  <si>
    <t>Fri, 10 Nov 2023 00:00:00 GMT</t>
  </si>
  <si>
    <t>Thu, 09 Nov 2023 00:00:00 GMT</t>
  </si>
  <si>
    <t>Wed, 08 Nov 2023 00:00:00 GMT</t>
  </si>
  <si>
    <t>Tue, 07 Nov 2023 00:00:00 GMT</t>
  </si>
  <si>
    <t>Mon, 06 Nov 2023 00:00:00 GMT</t>
  </si>
  <si>
    <t>Fri, 03 Nov 2023 00:00:00 GMT</t>
  </si>
  <si>
    <t>Thu, 02 Nov 2023 00:00:00 GMT</t>
  </si>
  <si>
    <t>Wed, 01 Nov 2023 00:00:00 GMT</t>
  </si>
  <si>
    <t>Tue, 31 Oct 2023 00:00:00 GMT</t>
  </si>
  <si>
    <t>Mon, 30 Oct 2023 00:00:00 GMT</t>
  </si>
  <si>
    <t>Fri, 27 Oct 2023 00:00:00 GMT</t>
  </si>
  <si>
    <t>Thu, 26 Oct 2023 00:00:00 GMT</t>
  </si>
  <si>
    <t>Wed, 25 Oct 2023 00:00:00 GMT</t>
  </si>
  <si>
    <t>Tue, 24 Oct 2023 00:00:00 GMT</t>
  </si>
  <si>
    <t>Mon, 23 Oct 2023 00:00:00 GMT</t>
  </si>
  <si>
    <t>Fri, 20 Oct 2023 00:00:00 GMT</t>
  </si>
  <si>
    <t>Thu, 19 Oct 2023 00:00:00 GMT</t>
  </si>
  <si>
    <t>Wed, 18 Oct 2023 00:00:00 GMT</t>
  </si>
  <si>
    <t>Tue, 17 Oct 2023 00:00:00 GMT</t>
  </si>
  <si>
    <t>Mon, 16 Oct 2023 00:00:00 GMT</t>
  </si>
  <si>
    <t>Fri, 13 Oct 2023 00:00:00 GMT</t>
  </si>
  <si>
    <t>Thu, 12 Oct 2023 00:00:00 GMT</t>
  </si>
  <si>
    <t>Wed, 11 Oct 2023 00:00:00 GMT</t>
  </si>
  <si>
    <t>Tue, 10 Oct 2023 00:00:00 GMT</t>
  </si>
  <si>
    <t>Mon, 09 Oct 2023 00:00:00 GMT</t>
  </si>
  <si>
    <t>Fri, 06 Oct 2023 00:00:00 GMT</t>
  </si>
  <si>
    <t>Thu, 05 Oct 2023 00:00:00 GMT</t>
  </si>
  <si>
    <t>Wed, 04 Oct 2023 00:00:00 GMT</t>
  </si>
  <si>
    <t>Tue, 03 Oct 2023 00:00:00 GMT</t>
  </si>
  <si>
    <t>Mon, 02 Oct 2023 00:00:00 GMT</t>
  </si>
  <si>
    <t>Fri, 29 Sep 2023 00:00:00 GMT</t>
  </si>
  <si>
    <t>Thu, 28 Sep 2023 00:00:00 GMT</t>
  </si>
  <si>
    <t>Wed, 27 Sep 2023 00:00:00 GMT</t>
  </si>
  <si>
    <t>Tue, 26 Sep 2023 00:00:00 GMT</t>
  </si>
  <si>
    <t>Mon, 25 Sep 2023 00:00:00 GMT</t>
  </si>
  <si>
    <t>Fri, 22 Sep 2023 00:00:00 GMT</t>
  </si>
  <si>
    <t>Thu, 21 Sep 2023 00:00:00 GMT</t>
  </si>
  <si>
    <t>Wed, 20 Sep 2023 00:00:00 GMT</t>
  </si>
  <si>
    <t>Tue, 19 Sep 2023 00:00:00 GMT</t>
  </si>
  <si>
    <t>Mon, 18 Sep 2023 00:00:00 GMT</t>
  </si>
  <si>
    <t>Fri, 15 Sep 2023 00:00:00 GMT</t>
  </si>
  <si>
    <t>Thu, 14 Sep 2023 00:00:00 GMT</t>
  </si>
  <si>
    <t>Wed, 13 Sep 2023 00:00:00 GMT</t>
  </si>
  <si>
    <t>Tue, 12 Sep 2023 00:00:00 GMT</t>
  </si>
  <si>
    <t>Mon, 11 Sep 2023 00:00:00 GMT</t>
  </si>
  <si>
    <t>Fri, 08 Sep 2023 00:00:00 GMT</t>
  </si>
  <si>
    <t>Thu, 07 Sep 2023 00:00:00 GMT</t>
  </si>
  <si>
    <t>Wed, 06 Sep 2023 00:00:00 GMT</t>
  </si>
  <si>
    <t>Tue, 05 Sep 2023 00:00:00 GMT</t>
  </si>
  <si>
    <t>Fri, 01 Sep 2023 00:00:00 GMT</t>
  </si>
  <si>
    <t>Thu, 31 Aug 2023 00:00:00 GMT</t>
  </si>
  <si>
    <t>Wed, 30 Aug 2023 00:00:00 GMT</t>
  </si>
  <si>
    <t>Tue, 29 Aug 2023 00:00:00 GMT</t>
  </si>
  <si>
    <t>Mon, 28 Aug 2023 00:00:00 GMT</t>
  </si>
  <si>
    <t>Fri, 25 Aug 2023 00:00:00 GMT</t>
  </si>
  <si>
    <t>Thu, 24 Aug 2023 00:00:00 GMT</t>
  </si>
  <si>
    <t>Wed, 23 Aug 2023 00:00:00 GMT</t>
  </si>
  <si>
    <t>Tue, 22 Aug 2023 00:00:00 GMT</t>
  </si>
  <si>
    <t>Mon, 21 Aug 2023 00:00:00 GMT</t>
  </si>
  <si>
    <t>Fri, 18 Aug 2023 00:00:00 GMT</t>
  </si>
  <si>
    <t>Thu, 17 Aug 2023 00:00:00 GMT</t>
  </si>
  <si>
    <t>Wed, 16 Aug 2023 00:00:00 GMT</t>
  </si>
  <si>
    <t>Tue, 15 Aug 2023 00:00:00 GMT</t>
  </si>
  <si>
    <t>Mon, 14 Aug 2023 00:00:00 GMT</t>
  </si>
  <si>
    <t>Fri, 11 Aug 2023 00:00:00 GMT</t>
  </si>
  <si>
    <t>Thu, 10 Aug 2023 00:00:00 GMT</t>
  </si>
  <si>
    <t>Wed, 09 Aug 2023 00:00:00 GMT</t>
  </si>
  <si>
    <t>Tue, 08 Aug 2023 00:00:00 GMT</t>
  </si>
  <si>
    <t>Mon, 07 Aug 2023 00:00:00 GMT</t>
  </si>
  <si>
    <t>Fri, 04 Aug 2023 00:00:00 GMT</t>
  </si>
  <si>
    <t>Thu, 03 Aug 2023 00:00:00 GMT</t>
  </si>
  <si>
    <t>Wed, 02 Aug 2023 00:00:00 GMT</t>
  </si>
  <si>
    <t>Tue, 01 Aug 2023 00:00:00 GMT</t>
  </si>
  <si>
    <t>Mon, 31 Jul 2023 00:00:00 GMT</t>
  </si>
  <si>
    <t>Fri, 28 Jul 2023 00:00:00 GMT</t>
  </si>
  <si>
    <t>Thu, 27 Jul 2023 00:00:00 GMT</t>
  </si>
  <si>
    <t>Wed, 26 Jul 2023 00:00:00 GMT</t>
  </si>
  <si>
    <t>Tue, 25 Jul 2023 00:00:00 GMT</t>
  </si>
  <si>
    <t>Mon, 24 Jul 2023 00:00:00 GMT</t>
  </si>
  <si>
    <t>Fri, 21 Jul 2023 00:00:00 GMT</t>
  </si>
  <si>
    <t>Thu, 20 Jul 2023 00:00:00 GMT</t>
  </si>
  <si>
    <t>Wed, 19 Jul 2023 00:00:00 GMT</t>
  </si>
  <si>
    <t>Tue, 18 Jul 2023 00:00:00 GMT</t>
  </si>
  <si>
    <t>Mon, 17 Jul 2023 00:00:00 GMT</t>
  </si>
  <si>
    <t>Fri, 14 Jul 2023 00:00:00 GMT</t>
  </si>
  <si>
    <t>Thu, 13 Jul 2023 00:00:00 GMT</t>
  </si>
  <si>
    <t>Wed, 12 Jul 2023 00:00:00 GMT</t>
  </si>
  <si>
    <t>Tue, 11 Jul 2023 00:00:00 GMT</t>
  </si>
  <si>
    <t>Mon, 10 Jul 2023 00:00:00 GMT</t>
  </si>
  <si>
    <t>Fri, 07 Jul 2023 00:00:00 GMT</t>
  </si>
  <si>
    <t>Thu, 06 Jul 2023 00:00:00 GMT</t>
  </si>
  <si>
    <t>Wed, 05 Jul 2023 00:00:00 GMT</t>
  </si>
  <si>
    <t>Mon, 03 Jul 2023 00:00:00 GMT</t>
  </si>
  <si>
    <t>Fri, 30 Jun 2023 00:00:00 GMT</t>
  </si>
  <si>
    <t>Thu, 29 Jun 2023 00:00:00 GMT</t>
  </si>
  <si>
    <t>Wed, 28 Jun 2023 00:00:00 GMT</t>
  </si>
  <si>
    <t>Tue, 27 Jun 2023 00:00:00 GMT</t>
  </si>
  <si>
    <t>Mon, 26 Jun 2023 00:00:00 GMT</t>
  </si>
  <si>
    <t>Fri, 23 Jun 2023 00:00:00 GMT</t>
  </si>
  <si>
    <t>Thu, 22 Jun 2023 00:00:00 GMT</t>
  </si>
  <si>
    <t>Wed, 21 Jun 2023 00:00:00 GMT</t>
  </si>
  <si>
    <t>Tue, 20 Jun 2023 00:00:00 GMT</t>
  </si>
  <si>
    <t>Fri, 16 Jun 2023 00:00:00 GMT</t>
  </si>
  <si>
    <t>Thu, 15 Jun 2023 00:00:00 GMT</t>
  </si>
  <si>
    <t>Wed, 14 Jun 2023 00:00:00 GMT</t>
  </si>
  <si>
    <t>Tue, 13 Jun 2023 00:00:00 GMT</t>
  </si>
  <si>
    <t>Mon, 12 Jun 2023 00:00:00 GMT</t>
  </si>
  <si>
    <t>Fri, 09 Jun 2023 00:00:00 GMT</t>
  </si>
  <si>
    <t>Thu, 08 Jun 2023 00:00:00 GMT</t>
  </si>
  <si>
    <t>Wed, 07 Jun 2023 00:00:00 GMT</t>
  </si>
  <si>
    <t>Tue, 06 Jun 2023 00:00:00 GMT</t>
  </si>
  <si>
    <t>Mon, 05 Jun 2023 00:00:00 GMT</t>
  </si>
  <si>
    <t>Fri, 02 Jun 2023 00:00:00 GMT</t>
  </si>
  <si>
    <t>Thu, 01 Jun 2023 00:00:00 GMT</t>
  </si>
  <si>
    <t>Wed, 31 May 2023 00:00:00 GMT</t>
  </si>
  <si>
    <t>Tue, 30 May 2023 00:00:00 GMT</t>
  </si>
  <si>
    <t>Fri, 26 May 2023 00:00:00 GMT</t>
  </si>
  <si>
    <t>Thu, 25 May 2023 00:00:00 GMT</t>
  </si>
  <si>
    <t>Wed, 24 May 2023 00:00:00 GMT</t>
  </si>
  <si>
    <t>Tue, 23 May 2023 00:00:00 GMT</t>
  </si>
  <si>
    <t>Mon, 22 May 2023 00:00:00 GMT</t>
  </si>
  <si>
    <t>Fri, 19 May 2023 00:00:00 GMT</t>
  </si>
  <si>
    <t>Thu, 18 May 2023 00:00:00 GMT</t>
  </si>
  <si>
    <t>Wed, 17 May 2023 00:00:00 GMT</t>
  </si>
  <si>
    <t>Tue, 16 May 2023 00:00:00 GMT</t>
  </si>
  <si>
    <t>Mon, 15 May 2023 00:00:00 GMT</t>
  </si>
  <si>
    <t>Fri, 12 May 2023 00:00:00 GMT</t>
  </si>
  <si>
    <t>Thu, 11 May 2023 00:00:00 GMT</t>
  </si>
  <si>
    <t>Wed, 10 May 2023 00:00:00 GMT</t>
  </si>
  <si>
    <t>Tue, 09 May 2023 00:00:00 GMT</t>
  </si>
  <si>
    <t>Mon, 08 May 2023 00:00:00 GMT</t>
  </si>
  <si>
    <t>Fri, 05 May 2023 00:00:00 GMT</t>
  </si>
  <si>
    <t>Thu, 04 May 2023 00:00:00 GMT</t>
  </si>
  <si>
    <t>Wed, 03 May 2023 00:00:00 GMT</t>
  </si>
  <si>
    <t>Tue, 02 May 2023 00:00:00 GMT</t>
  </si>
  <si>
    <t>Mon, 01 May 2023 00:00:00 GMT</t>
  </si>
  <si>
    <t>Fri, 28 Apr 2023 00:00:00 GMT</t>
  </si>
  <si>
    <t>Thu, 27 Apr 2023 00:00:00 GMT</t>
  </si>
  <si>
    <t>Wed, 26 Apr 2023 00:00:00 GMT</t>
  </si>
  <si>
    <t>Tue, 25 Apr 2023 00:00:00 GMT</t>
  </si>
  <si>
    <t>Mon, 24 Apr 2023 00:00:00 GMT</t>
  </si>
  <si>
    <t>Fri, 21 Apr 2023 00:00:00 GMT</t>
  </si>
  <si>
    <t>Thu, 20 Apr 2023 00:00:00 GMT</t>
  </si>
  <si>
    <t>Wed, 19 Apr 2023 00:00:00 GMT</t>
  </si>
  <si>
    <t>Tue, 18 Apr 2023 00:00:00 GMT</t>
  </si>
  <si>
    <t>Mon, 17 Apr 2023 00:00:00 GMT</t>
  </si>
  <si>
    <t>Fri, 14 Apr 2023 00:00:00 GMT</t>
  </si>
  <si>
    <t>Thu, 13 Apr 2023 00:00:00 GMT</t>
  </si>
  <si>
    <t>Wed, 12 Apr 2023 00:00:00 GMT</t>
  </si>
  <si>
    <t>Tue, 11 Apr 2023 00:00:00 GMT</t>
  </si>
  <si>
    <t>Mon, 10 Apr 2023 00:00:00 GMT</t>
  </si>
  <si>
    <t>Thu, 06 Apr 2023 00:00:00 GMT</t>
  </si>
  <si>
    <t>Wed, 05 Apr 2023 00:00:00 GMT</t>
  </si>
  <si>
    <t>Tue, 04 Apr 2023 00:00:00 GMT</t>
  </si>
  <si>
    <t>Mon, 03 Apr 2023 00:00:00 GMT</t>
  </si>
  <si>
    <t>Fri, 31 Mar 2023 00:00:00 GMT</t>
  </si>
  <si>
    <t>Thu, 30 Mar 2023 00:00:00 GMT</t>
  </si>
  <si>
    <t>Wed, 29 Mar 2023 00:00:00 GMT</t>
  </si>
  <si>
    <t>Tue, 28 Mar 2023 00:00:00 GMT</t>
  </si>
  <si>
    <t>Mon, 27 Mar 2023 00:00:00 GMT</t>
  </si>
  <si>
    <t>Fri, 24 Mar 2023 00:00:00 GMT</t>
  </si>
  <si>
    <t>Thu, 23 Mar 2023 00:00:00 GMT</t>
  </si>
  <si>
    <t>Wed, 22 Mar 2023 00:00:00 GMT</t>
  </si>
  <si>
    <t>Tue, 21 Mar 2023 00:00:00 GMT</t>
  </si>
  <si>
    <t>Mon, 20 Mar 2023 00:00:00 GMT</t>
  </si>
  <si>
    <t>Fri, 17 Mar 2023 00:00:00 GMT</t>
  </si>
  <si>
    <t>Thu, 16 Mar 2023 00:00:00 GMT</t>
  </si>
  <si>
    <t>Wed, 15 Mar 2023 00:00:00 GMT</t>
  </si>
  <si>
    <t>Tue, 14 Mar 2023 00:00:00 GMT</t>
  </si>
  <si>
    <t>Mon, 13 Mar 2023 00:00:00 GMT</t>
  </si>
  <si>
    <t>Fri, 10 Mar 2023 00:00:00 GMT</t>
  </si>
  <si>
    <t>Thu, 09 Mar 2023 00:00:00 GMT</t>
  </si>
  <si>
    <t>Wed, 08 Mar 2023 00:00:00 GMT</t>
  </si>
  <si>
    <t>Tue, 07 Mar 2023 00:00:00 GMT</t>
  </si>
  <si>
    <t>Mon, 06 Mar 2023 00:00:00 GMT</t>
  </si>
  <si>
    <t>Fri, 03 Mar 2023 00:00:00 GMT</t>
  </si>
  <si>
    <t>Thu, 02 Mar 2023 00:00:00 GMT</t>
  </si>
  <si>
    <t>Wed, 01 Mar 2023 00:00:00 GMT</t>
  </si>
  <si>
    <t>Tue, 28 Feb 2023 00:00:00 GMT</t>
  </si>
  <si>
    <t>Mon, 27 Feb 2023 00:00:00 GMT</t>
  </si>
  <si>
    <t>Fri, 24 Feb 2023 00:00:00 GMT</t>
  </si>
  <si>
    <t>Thu, 23 Feb 2023 00:00:00 GMT</t>
  </si>
  <si>
    <t>Wed, 22 Feb 2023 00:00:00 GMT</t>
  </si>
  <si>
    <t>Tue, 21 Feb 2023 00:00:00 GMT</t>
  </si>
  <si>
    <t>Fri, 17 Feb 2023 00:00:00 GMT</t>
  </si>
  <si>
    <t>Thu, 16 Feb 2023 00:00:00 GMT</t>
  </si>
  <si>
    <t>Wed, 15 Feb 2023 00:00:00 GMT</t>
  </si>
  <si>
    <t>Tue, 14 Feb 2023 00:00:00 GMT</t>
  </si>
  <si>
    <t>Mon, 13 Feb 2023 00:00:00 GMT</t>
  </si>
  <si>
    <t>Fri, 10 Feb 2023 00:00:00 GMT</t>
  </si>
  <si>
    <t>Thu, 09 Feb 2023 00:00:00 GMT</t>
  </si>
  <si>
    <t>Wed, 08 Feb 2023 00:00:00 GMT</t>
  </si>
  <si>
    <t>Tue, 07 Feb 2023 00:00:00 GMT</t>
  </si>
  <si>
    <t>Mon, 06 Feb 2023 00:00:00 GMT</t>
  </si>
  <si>
    <t>Fri, 03 Feb 2023 00:00:00 GMT</t>
  </si>
  <si>
    <t>Thu, 02 Feb 2023 00:00:00 GMT</t>
  </si>
  <si>
    <t>Wed, 01 Feb 2023 00:00:00 GMT</t>
  </si>
  <si>
    <t>Tue, 31 Jan 2023 00:00:00 GMT</t>
  </si>
  <si>
    <t>Mon, 30 Jan 2023 00:00:00 GMT</t>
  </si>
  <si>
    <t>Fri, 27 Jan 2023 00:00:00 GMT</t>
  </si>
  <si>
    <t>Thu, 26 Jan 2023 00:00:00 GMT</t>
  </si>
  <si>
    <t>Wed, 25 Jan 2023 00:00:00 GMT</t>
  </si>
  <si>
    <t>Tue, 24 Jan 2023 00:00:00 GMT</t>
  </si>
  <si>
    <t>Mon, 23 Jan 2023 00:00:00 GMT</t>
  </si>
  <si>
    <t>Fri, 20 Jan 2023 00:00:00 GMT</t>
  </si>
  <si>
    <t>Thu, 19 Jan 2023 00:00:00 GMT</t>
  </si>
  <si>
    <t>Wed, 18 Jan 2023 00:00:00 GMT</t>
  </si>
  <si>
    <t>Tue, 17 Jan 2023 00:00:00 GMT</t>
  </si>
  <si>
    <t>Fri, 13 Jan 2023 00:00:00 GMT</t>
  </si>
  <si>
    <t>Thu, 12 Jan 2023 00:00:00 GMT</t>
  </si>
  <si>
    <t>Wed, 11 Jan 2023 00:00:00 GMT</t>
  </si>
  <si>
    <t>Tue, 10 Jan 2023 00:00:00 GMT</t>
  </si>
  <si>
    <t>Mon, 09 Jan 2023 00:00:00 GMT</t>
  </si>
  <si>
    <t>Fri, 06 Jan 2023 00:00:00 GMT</t>
  </si>
  <si>
    <t>Thu, 05 Jan 2023 00:00:00 GMT</t>
  </si>
  <si>
    <t>Wed, 04 Jan 2023 00:00:00 GMT</t>
  </si>
  <si>
    <t>Tue, 03 Jan 2023 00:00:00 GMT</t>
  </si>
  <si>
    <t>Fri, 30 Dec 2022 00:00:00 GMT</t>
  </si>
  <si>
    <t>Thu, 29 Dec 2022 00:00:00 GMT</t>
  </si>
  <si>
    <t>Wed, 28 Dec 2022 00:00:00 GMT</t>
  </si>
  <si>
    <t>Tue, 27 Dec 2022 00:00:00 GMT</t>
  </si>
  <si>
    <t>Fri, 23 Dec 2022 00:00:00 GMT</t>
  </si>
  <si>
    <t>Thu, 22 Dec 2022 00:00:00 GMT</t>
  </si>
  <si>
    <t>Wed, 21 Dec 2022 00:00:00 GMT</t>
  </si>
  <si>
    <t>Tue, 20 Dec 2022 00:00:00 GMT</t>
  </si>
  <si>
    <t>Mon, 19 Dec 2022 00:00:00 GMT</t>
  </si>
  <si>
    <t>Fri, 16 Dec 2022 00:00:00 GMT</t>
  </si>
  <si>
    <t>Thu, 15 Dec 2022 00:00:00 GMT</t>
  </si>
  <si>
    <t>Wed, 14 Dec 2022 00:00:00 GMT</t>
  </si>
  <si>
    <t>Tue, 13 Dec 2022 00:00:00 GMT</t>
  </si>
  <si>
    <t>Mon, 12 Dec 2022 00:00:00 GMT</t>
  </si>
  <si>
    <t>Fri, 09 Dec 2022 00:00:00 GMT</t>
  </si>
  <si>
    <t>Thu, 08 Dec 2022 00:00:00 GMT</t>
  </si>
  <si>
    <t>Wed, 07 Dec 2022 00:00:00 GMT</t>
  </si>
  <si>
    <t>Tue, 06 Dec 2022 00:00:00 GMT</t>
  </si>
  <si>
    <t>Mon, 05 Dec 2022 00:00:00 GMT</t>
  </si>
  <si>
    <t>Fri, 02 Dec 2022 00:00:00 GMT</t>
  </si>
  <si>
    <t>Thu, 01 Dec 2022 00:00:00 GMT</t>
  </si>
  <si>
    <t>Wed, 30 Nov 2022 00:00:00 GMT</t>
  </si>
  <si>
    <t>Tue, 29 Nov 2022 00:00:00 GMT</t>
  </si>
  <si>
    <t>Mon, 28 Nov 2022 00:00:00 GMT</t>
  </si>
  <si>
    <t>Fri, 25 Nov 2022 00:00:00 GMT</t>
  </si>
  <si>
    <t>Wed, 23 Nov 2022 00:00:00 GMT</t>
  </si>
  <si>
    <t>Tue, 22 Nov 2022 00:00:00 GMT</t>
  </si>
  <si>
    <t>Mon, 21 Nov 2022 00:00:00 GMT</t>
  </si>
  <si>
    <t>Fri, 18 Nov 2022 00:00:00 GMT</t>
  </si>
  <si>
    <t>Thu, 17 Nov 2022 00:00:00 GMT</t>
  </si>
  <si>
    <t>Wed, 16 Nov 2022 00:00:00 GMT</t>
  </si>
  <si>
    <t>Tue, 15 Nov 2022 00:00:00 GMT</t>
  </si>
  <si>
    <t>Mon, 14 Nov 2022 00:00:00 GMT</t>
  </si>
  <si>
    <t>Fri, 11 Nov 2022 00:00:00 GMT</t>
  </si>
  <si>
    <t>Thu, 10 Nov 2022 00:00:00 GMT</t>
  </si>
  <si>
    <t>Wed, 09 Nov 2022 00:00:00 GMT</t>
  </si>
  <si>
    <t>Tue, 08 Nov 2022 00:00:00 GMT</t>
  </si>
  <si>
    <t>Mon, 07 Nov 2022 00:00:00 GMT</t>
  </si>
  <si>
    <t>Fri, 04 Nov 2022 00:00:00 GMT</t>
  </si>
  <si>
    <t>Thu, 03 Nov 2022 00:00:00 GMT</t>
  </si>
  <si>
    <t>Wed, 02 Nov 2022 00:00:00 GMT</t>
  </si>
  <si>
    <t>Tue, 01 Nov 2022 00:00:00 GMT</t>
  </si>
  <si>
    <t>Mon, 31 Oct 2022 00:00:00 GMT</t>
  </si>
  <si>
    <t>Fri, 28 Oct 2022 00:00:00 GMT</t>
  </si>
  <si>
    <t>Thu, 27 Oct 2022 00:00:00 GMT</t>
  </si>
  <si>
    <t>Wed, 26 Oct 2022 00:00:00 GMT</t>
  </si>
  <si>
    <t>Tue, 25 Oct 2022 00:00:00 GMT</t>
  </si>
  <si>
    <t>Mon, 24 Oct 2022 00:00:00 GMT</t>
  </si>
  <si>
    <t>Fri, 21 Oct 2022 00:00:00 GMT</t>
  </si>
  <si>
    <t>Thu, 20 Oct 2022 00:00:00 GMT</t>
  </si>
  <si>
    <t>Wed, 19 Oct 2022 00:00:00 GMT</t>
  </si>
  <si>
    <t>Tue, 18 Oct 2022 00:00:00 GMT</t>
  </si>
  <si>
    <t>Mon, 17 Oct 2022 00:00:00 GMT</t>
  </si>
  <si>
    <t>Fri, 14 Oct 2022 00:00:00 GMT</t>
  </si>
  <si>
    <t>Thu, 13 Oct 2022 00:00:00 GMT</t>
  </si>
  <si>
    <t>Wed, 12 Oct 2022 00:00:00 GMT</t>
  </si>
  <si>
    <t>Tue, 11 Oct 2022 00:00:00 GMT</t>
  </si>
  <si>
    <t>Mon, 10 Oct 2022 00:00:00 GMT</t>
  </si>
  <si>
    <t>Fri, 07 Oct 2022 00:00:00 GMT</t>
  </si>
  <si>
    <t>Thu, 06 Oct 2022 00:00:00 GMT</t>
  </si>
  <si>
    <t>Wed, 05 Oct 2022 00:00:00 GMT</t>
  </si>
  <si>
    <t>Tue, 04 Oct 2022 00:00:00 GMT</t>
  </si>
  <si>
    <t>Mon, 03 Oct 2022 00:00:00 GMT</t>
  </si>
  <si>
    <t>Fri, 30 Sep 2022 00:00:00 GMT</t>
  </si>
  <si>
    <t>Thu, 29 Sep 2022 00:00:00 GMT</t>
  </si>
  <si>
    <t>Wed, 28 Sep 2022 00:00:00 GMT</t>
  </si>
  <si>
    <t>Tue, 27 Sep 2022 00:00:00 GMT</t>
  </si>
  <si>
    <t>Mon, 26 Sep 2022 00:00:00 GMT</t>
  </si>
  <si>
    <t>Fri, 23 Sep 2022 00:00:00 GMT</t>
  </si>
  <si>
    <t>Thu, 22 Sep 2022 00:00:00 GMT</t>
  </si>
  <si>
    <t>Wed, 21 Sep 2022 00:00:00 GMT</t>
  </si>
  <si>
    <t>Tue, 20 Sep 2022 00:00:00 GMT</t>
  </si>
  <si>
    <t>Mon, 19 Sep 2022 00:00:00 GMT</t>
  </si>
  <si>
    <t>Fri, 16 Sep 2022 00:00:00 GMT</t>
  </si>
  <si>
    <t>Thu, 15 Sep 2022 00:00:00 GMT</t>
  </si>
  <si>
    <t>Wed, 14 Sep 2022 00:00:00 GMT</t>
  </si>
  <si>
    <t>Tue, 13 Sep 2022 00:00:00 GMT</t>
  </si>
  <si>
    <t>Mon, 12 Sep 2022 00:00:00 GMT</t>
  </si>
  <si>
    <t>Fri, 09 Sep 2022 00:00:00 GMT</t>
  </si>
  <si>
    <t>Thu, 08 Sep 2022 00:00:00 GMT</t>
  </si>
  <si>
    <t>Wed, 07 Sep 2022 00:00:00 GMT</t>
  </si>
  <si>
    <t>Tue, 06 Sep 2022 00:00:00 GMT</t>
  </si>
  <si>
    <t>Fri, 02 Sep 2022 00:00:00 GMT</t>
  </si>
  <si>
    <t>Thu, 01 Sep 2022 00:00:00 GMT</t>
  </si>
  <si>
    <t>Wed, 31 Aug 2022 00:00:00 GMT</t>
  </si>
  <si>
    <t>Tue, 30 Aug 2022 00:00:00 GMT</t>
  </si>
  <si>
    <t>Mon, 29 Aug 2022 00:00:00 GMT</t>
  </si>
  <si>
    <t>Fri, 26 Aug 2022 00:00:00 GMT</t>
  </si>
  <si>
    <t>Thu, 25 Aug 2022 00:00:00 GMT</t>
  </si>
  <si>
    <t>Wed, 24 Aug 2022 00:00:00 GMT</t>
  </si>
  <si>
    <t>Tue, 23 Aug 2022 00:00:00 GMT</t>
  </si>
  <si>
    <t>Mon, 22 Aug 2022 00:00:00 GMT</t>
  </si>
  <si>
    <t>Fri, 19 Aug 2022 00:00:00 GMT</t>
  </si>
  <si>
    <t>Thu, 18 Aug 2022 00:00:00 GMT</t>
  </si>
  <si>
    <t>Wed, 17 Aug 2022 00:00:00 GMT</t>
  </si>
  <si>
    <t>Tue, 16 Aug 2022 00:00:00 GMT</t>
  </si>
  <si>
    <t>Mon, 15 Aug 2022 00:00:00 GMT</t>
  </si>
  <si>
    <t>Fri, 12 Aug 2022 00:00:00 GMT</t>
  </si>
  <si>
    <t>Thu, 11 Aug 2022 00:00:00 GMT</t>
  </si>
  <si>
    <t>Wed, 10 Aug 2022 00:00:00 GMT</t>
  </si>
  <si>
    <t>Tue, 09 Aug 2022 00:00:00 GMT</t>
  </si>
  <si>
    <t>Mon, 08 Aug 2022 00:00:00 GMT</t>
  </si>
  <si>
    <t>Fri, 05 Aug 2022 00:00:00 GMT</t>
  </si>
  <si>
    <t>Thu, 04 Aug 2022 00:00:00 GMT</t>
  </si>
  <si>
    <t>Wed, 03 Aug 2022 00:00:00 GMT</t>
  </si>
  <si>
    <t>Tue, 02 Aug 2022 00:00:00 GMT</t>
  </si>
  <si>
    <t>Mon, 01 Aug 2022 00:00:00 GMT</t>
  </si>
  <si>
    <t>Fri, 29 Jul 2022 00:00:00 GMT</t>
  </si>
  <si>
    <t>Thu, 28 Jul 2022 00:00:00 GMT</t>
  </si>
  <si>
    <t>Wed, 27 Jul 2022 00:00:00 GMT</t>
  </si>
  <si>
    <t>Tue, 26 Jul 2022 00:00:00 GMT</t>
  </si>
  <si>
    <t>Mon, 25 Jul 2022 00:00:00 GMT</t>
  </si>
  <si>
    <t>Fri, 22 Jul 2022 00:00:00 GMT</t>
  </si>
  <si>
    <t>Thu, 21 Jul 2022 00:00:00 GMT</t>
  </si>
  <si>
    <t>Wed, 20 Jul 2022 00:00:00 GMT</t>
  </si>
  <si>
    <t>Tue, 19 Jul 2022 00:00:00 GMT</t>
  </si>
  <si>
    <t>Mon, 18 Jul 2022 00:00:00 GMT</t>
  </si>
  <si>
    <t>Fri, 15 Jul 2022 00:00:00 GMT</t>
  </si>
  <si>
    <t>Thu, 14 Jul 2022 00:00:00 GMT</t>
  </si>
  <si>
    <t>Wed, 13 Jul 2022 00:00:00 GMT</t>
  </si>
  <si>
    <t>Tue, 12 Jul 2022 00:00:00 GMT</t>
  </si>
  <si>
    <t>Mon, 11 Jul 2022 00:00:00 GMT</t>
  </si>
  <si>
    <t>Fri, 08 Jul 2022 00:00:00 GMT</t>
  </si>
  <si>
    <t>Thu, 07 Jul 2022 00:00:00 GMT</t>
  </si>
  <si>
    <t>Wed, 06 Jul 2022 00:00:00 GMT</t>
  </si>
  <si>
    <t>Tue, 05 Jul 2022 00:00:00 GMT</t>
  </si>
  <si>
    <t>Fri, 01 Jul 2022 00:00:00 GMT</t>
  </si>
  <si>
    <t>Thu, 30 Jun 2022 00:00:00 GMT</t>
  </si>
  <si>
    <t>Wed, 29 Jun 2022 00:00:00 GMT</t>
  </si>
  <si>
    <t>Tue, 28 Jun 2022 00:00:00 GMT</t>
  </si>
  <si>
    <t>Mon, 27 Jun 2022 00:00:00 GMT</t>
  </si>
  <si>
    <t>Fri, 24 Jun 2022 00:00:00 GMT</t>
  </si>
  <si>
    <t>Thu, 23 Jun 2022 00:00:00 GMT</t>
  </si>
  <si>
    <t>Wed, 22 Jun 2022 00:00:00 GMT</t>
  </si>
  <si>
    <t>Tue, 21 Jun 2022 00:00:00 GMT</t>
  </si>
  <si>
    <t>Fri, 17 Jun 2022 00:00:00 GMT</t>
  </si>
  <si>
    <t>Thu, 16 Jun 2022 00:00:00 GMT</t>
  </si>
  <si>
    <t>Wed, 15 Jun 2022 00:00:00 GMT</t>
  </si>
  <si>
    <t>Tue, 14 Jun 2022 00:00:00 GMT</t>
  </si>
  <si>
    <t>Mon, 13 Jun 2022 00:00:00 GMT</t>
  </si>
  <si>
    <t>Fri, 10 Jun 2022 00:00:00 GMT</t>
  </si>
  <si>
    <t>Thu, 09 Jun 2022 00:00:00 GMT</t>
  </si>
  <si>
    <t>Wed, 08 Jun 2022 00:00:00 GMT</t>
  </si>
  <si>
    <t>Tue, 07 Jun 2022 00:00:00 GMT</t>
  </si>
  <si>
    <t>Mon, 06 Jun 2022 00:00:00 GMT</t>
  </si>
  <si>
    <t>Fri, 03 Jun 2022 00:00:00 GMT</t>
  </si>
  <si>
    <t>Thu, 02 Jun 2022 00:00:00 GMT</t>
  </si>
  <si>
    <t>Wed, 01 Jun 2022 00:00:00 GMT</t>
  </si>
  <si>
    <t>Tue, 31 May 2022 00:00:00 GMT</t>
  </si>
  <si>
    <t>Fri, 27 May 2022 00:00:00 GMT</t>
  </si>
  <si>
    <t>Thu, 26 May 2022 00:00:00 GMT</t>
  </si>
  <si>
    <t>Wed, 25 May 2022 00:00:00 GMT</t>
  </si>
  <si>
    <t>Tue, 24 May 2022 00:00:00 GMT</t>
  </si>
  <si>
    <t>Mon, 23 May 2022 00:00:00 GMT</t>
  </si>
  <si>
    <t>Fri, 20 May 2022 00:00:00 GMT</t>
  </si>
  <si>
    <t>Thu, 19 May 2022 00:00:00 GMT</t>
  </si>
  <si>
    <t>Wed, 18 May 2022 00:00:00 GMT</t>
  </si>
  <si>
    <t>Tue, 17 May 2022 00:00:00 GMT</t>
  </si>
  <si>
    <t>Mon, 16 May 2022 00:00:00 GMT</t>
  </si>
  <si>
    <t>Fri, 13 May 2022 00:00:00 GMT</t>
  </si>
  <si>
    <t>Thu, 12 May 2022 00:00:00 GMT</t>
  </si>
  <si>
    <t>Wed, 11 May 2022 00:00:00 GMT</t>
  </si>
  <si>
    <t>Tue, 10 May 2022 00:00:00 GMT</t>
  </si>
  <si>
    <t>Mon, 09 May 2022 00:00:00 GMT</t>
  </si>
  <si>
    <t>Fri, 06 May 2022 00:00:00 GMT</t>
  </si>
  <si>
    <t>Thu, 05 May 2022 00:00:00 GMT</t>
  </si>
  <si>
    <t>Wed, 04 May 2022 00:00:00 GMT</t>
  </si>
  <si>
    <t>Tue, 03 May 2022 00:00:00 GMT</t>
  </si>
  <si>
    <t>Mon, 02 May 2022 00:00:00 GMT</t>
  </si>
  <si>
    <t>Fri, 29 Apr 2022 00:00:00 GMT</t>
  </si>
  <si>
    <t>Thu, 28 Apr 2022 00:00:00 GMT</t>
  </si>
  <si>
    <t>Wed, 27 Apr 2022 00:00:00 GMT</t>
  </si>
  <si>
    <t>Tue, 26 Apr 2022 00:00:00 GMT</t>
  </si>
  <si>
    <t>Mon, 25 Apr 2022 00:00:00 GMT</t>
  </si>
  <si>
    <t>Fri, 22 Apr 2022 00:00:00 GMT</t>
  </si>
  <si>
    <t>Thu, 21 Apr 2022 00:00:00 GMT</t>
  </si>
  <si>
    <t>Wed, 20 Apr 2022 00:00:00 GMT</t>
  </si>
  <si>
    <t>Tue, 19 Apr 2022 00:00:00 GMT</t>
  </si>
  <si>
    <t>Mon, 18 Apr 2022 00:00:00 GMT</t>
  </si>
  <si>
    <t>Thu, 14 Apr 2022 00:00:00 GMT</t>
  </si>
  <si>
    <t>Wed, 13 Apr 2022 00:00:00 GMT</t>
  </si>
  <si>
    <t>Tue, 12 Apr 2022 00:00:00 GMT</t>
  </si>
  <si>
    <t>Mon, 11 Apr 2022 00:00:00 GMT</t>
  </si>
  <si>
    <t>Fri, 08 Apr 2022 00:00:00 GMT</t>
  </si>
  <si>
    <t>Thu, 07 Apr 2022 00:00:00 GMT</t>
  </si>
  <si>
    <t>Wed, 06 Apr 2022 00:00:00 GMT</t>
  </si>
  <si>
    <t>Tue, 05 Apr 2022 00:00:00 GMT</t>
  </si>
  <si>
    <t>Mon, 04 Apr 2022 00:00:00 GMT</t>
  </si>
  <si>
    <t>Fri, 01 Apr 2022 00:00:00 GMT</t>
  </si>
  <si>
    <t>Thu, 31 Mar 2022 00:00:00 GMT</t>
  </si>
  <si>
    <t>Wed, 30 Mar 2022 00:00:00 GMT</t>
  </si>
  <si>
    <t>Tue, 29 Mar 2022 00:00:00 GMT</t>
  </si>
  <si>
    <t>Mon, 28 Mar 2022 00:00:00 GMT</t>
  </si>
  <si>
    <t>Fri, 25 Mar 2022 00:00:00 GMT</t>
  </si>
  <si>
    <t>Thu, 24 Mar 2022 00:00:00 GMT</t>
  </si>
  <si>
    <t>Wed, 23 Mar 2022 00:00:00 GMT</t>
  </si>
  <si>
    <t>Tue, 22 Mar 2022 00:00:00 GMT</t>
  </si>
  <si>
    <t>Mon, 21 Mar 2022 00:00:00 GMT</t>
  </si>
  <si>
    <t>Fri, 18 Mar 2022 00:00:00 GMT</t>
  </si>
  <si>
    <t>Thu, 17 Mar 2022 00:00:00 GMT</t>
  </si>
  <si>
    <t>Wed, 16 Mar 2022 00:00:00 GMT</t>
  </si>
  <si>
    <t>Tue, 15 Mar 2022 00:00:00 GMT</t>
  </si>
  <si>
    <t>Mon, 14 Mar 2022 00:00:00 GMT</t>
  </si>
  <si>
    <t>Fri, 11 Mar 2022 00:00:00 GMT</t>
  </si>
  <si>
    <t>Thu, 10 Mar 2022 00:00:00 GMT</t>
  </si>
  <si>
    <t>Wed, 09 Mar 2022 00:00:00 GMT</t>
  </si>
  <si>
    <t>Tue, 08 Mar 2022 00:00:00 GMT</t>
  </si>
  <si>
    <t>Mon, 07 Mar 2022 00:00:00 GMT</t>
  </si>
  <si>
    <t>Fri, 04 Mar 2022 00:00:00 GMT</t>
  </si>
  <si>
    <t>Thu, 03 Mar 2022 00:00:00 GMT</t>
  </si>
  <si>
    <t>Wed, 02 Mar 2022 00:00:00 GMT</t>
  </si>
  <si>
    <t>Tue, 01 Mar 2022 00:00:00 GMT</t>
  </si>
  <si>
    <t>Mon, 28 Feb 2022 00:00:00 GMT</t>
  </si>
  <si>
    <t>Fri, 25 Feb 2022 00:00:00 GMT</t>
  </si>
  <si>
    <t>Thu, 24 Feb 2022 00:00:00 GMT</t>
  </si>
  <si>
    <t>Wed, 23 Feb 2022 00:00:00 GMT</t>
  </si>
  <si>
    <t>Tue, 22 Feb 2022 00:00:00 GMT</t>
  </si>
  <si>
    <t>Fri, 18 Feb 2022 00:00:00 GMT</t>
  </si>
  <si>
    <t>Thu, 17 Feb 2022 00:00:00 GMT</t>
  </si>
  <si>
    <t>Wed, 16 Feb 2022 00:00:00 GMT</t>
  </si>
  <si>
    <t>Tue, 15 Feb 2022 00:00:00 GMT</t>
  </si>
  <si>
    <t>Mon, 14 Feb 2022 00:00:00 GMT</t>
  </si>
  <si>
    <t>Fri, 11 Feb 2022 00:00:00 GMT</t>
  </si>
  <si>
    <t>Thu, 10 Feb 2022 00:00:00 GMT</t>
  </si>
  <si>
    <t>Wed, 09 Feb 2022 00:00:00 GMT</t>
  </si>
  <si>
    <t>Tue, 08 Feb 2022 00:00:00 GMT</t>
  </si>
  <si>
    <t>Mon, 07 Feb 2022 00:00:00 GMT</t>
  </si>
  <si>
    <t>Fri, 04 Feb 2022 00:00:00 GMT</t>
  </si>
  <si>
    <t>Thu, 03 Feb 2022 00:00:00 GMT</t>
  </si>
  <si>
    <t>Wed, 02 Feb 2022 00:00:00 GMT</t>
  </si>
  <si>
    <t>Tue, 01 Feb 2022 00:00:00 GMT</t>
  </si>
  <si>
    <t>Mon, 31 Jan 2022 00:00:00 GMT</t>
  </si>
  <si>
    <t>Fri, 28 Jan 2022 00:00:00 GMT</t>
  </si>
  <si>
    <t>Thu, 27 Jan 2022 00:00:00 GMT</t>
  </si>
  <si>
    <t>Wed, 26 Jan 2022 00:00:00 GMT</t>
  </si>
  <si>
    <t>Tue, 25 Jan 2022 00:00:00 GMT</t>
  </si>
  <si>
    <t>Mon, 24 Jan 2022 00:00:00 GMT</t>
  </si>
  <si>
    <t>Fri, 21 Jan 2022 00:00:00 GMT</t>
  </si>
  <si>
    <t>Thu, 20 Jan 2022 00:00:00 GMT</t>
  </si>
  <si>
    <t>Wed, 19 Jan 2022 00:00:00 GMT</t>
  </si>
  <si>
    <t>Tue, 18 Jan 2022 00:00:00 GMT</t>
  </si>
  <si>
    <t>Fri, 14 Jan 2022 00:00:00 GMT</t>
  </si>
  <si>
    <t>Thu, 13 Jan 2022 00:00:00 GMT</t>
  </si>
  <si>
    <t>Wed, 12 Jan 2022 00:00:00 GMT</t>
  </si>
  <si>
    <t>Tue, 11 Jan 2022 00:00:00 GMT</t>
  </si>
  <si>
    <t>Mon, 10 Jan 2022 00:00:00 GMT</t>
  </si>
  <si>
    <t>Fri, 07 Jan 2022 00:00:00 GMT</t>
  </si>
  <si>
    <t>Thu, 06 Jan 2022 00:00:00 GMT</t>
  </si>
  <si>
    <t>Wed, 05 Jan 2022 00:00:00 GMT</t>
  </si>
  <si>
    <t>Tue, 04 Jan 2022 00:00:00 GMT</t>
  </si>
  <si>
    <t>Mon, 03 Jan 2022 00:00:00 GMT</t>
  </si>
  <si>
    <t>Fri, 31 Dec 2021 00:00:00 GMT</t>
  </si>
  <si>
    <t>Thu, 30 Dec 2021 00:00:00 GMT</t>
  </si>
  <si>
    <t>Wed, 29 Dec 2021 00:00:00 GMT</t>
  </si>
  <si>
    <t>Tue, 28 Dec 2021 00:00:00 GMT</t>
  </si>
  <si>
    <t>Mon, 27 Dec 2021 00:00:00 GMT</t>
  </si>
  <si>
    <t>Thu, 23 Dec 2021 00:00:00 GMT</t>
  </si>
  <si>
    <t>Wed, 22 Dec 2021 00:00:00 GMT</t>
  </si>
  <si>
    <t>Tue, 21 Dec 2021 00:00:00 GMT</t>
  </si>
  <si>
    <t>Mon, 20 Dec 2021 00:00:00 GMT</t>
  </si>
  <si>
    <t>Fri, 17 Dec 2021 00:00:00 GMT</t>
  </si>
  <si>
    <t>Thu, 16 Dec 2021 00:00:00 GMT</t>
  </si>
  <si>
    <t>Wed, 15 Dec 2021 00:00:00 GMT</t>
  </si>
  <si>
    <t>Tue, 14 Dec 2021 00:00:00 GMT</t>
  </si>
  <si>
    <t>Mon, 13 Dec 2021 00:00:00 GMT</t>
  </si>
  <si>
    <t>Fri, 10 Dec 2021 00:00:00 GMT</t>
  </si>
  <si>
    <t>Thu, 09 Dec 2021 00:00:00 GMT</t>
  </si>
  <si>
    <t>Wed, 08 Dec 2021 00:00:00 GMT</t>
  </si>
  <si>
    <t>Tue, 07 Dec 2021 00:00:00 GMT</t>
  </si>
  <si>
    <t>Mon, 06 Dec 2021 00:00:00 GMT</t>
  </si>
  <si>
    <t>Fri, 03 Dec 2021 00:00:00 GMT</t>
  </si>
  <si>
    <t>Thu, 02 Dec 2021 00:00:00 GMT</t>
  </si>
  <si>
    <t>Wed, 01 Dec 2021 00:00:00 GMT</t>
  </si>
  <si>
    <t>Tue, 30 Nov 2021 00:00:00 GMT</t>
  </si>
  <si>
    <t>Mon, 29 Nov 2021 00:00:00 GMT</t>
  </si>
  <si>
    <t>Fri, 26 Nov 2021 00:00:00 GMT</t>
  </si>
  <si>
    <t>Wed, 24 Nov 2021 00:00:00 GMT</t>
  </si>
  <si>
    <t>Tue, 23 Nov 2021 00:00:00 GMT</t>
  </si>
  <si>
    <t>Mon, 22 Nov 2021 00:00:00 GMT</t>
  </si>
  <si>
    <t>Fri, 19 Nov 2021 00:00:00 GMT</t>
  </si>
  <si>
    <t>Thu, 18 Nov 2021 00:00:00 GMT</t>
  </si>
  <si>
    <t>Wed, 17 Nov 2021 00:00:00 GMT</t>
  </si>
  <si>
    <t>Tue, 16 Nov 2021 00:00:00 GMT</t>
  </si>
  <si>
    <t>Mon, 15 Nov 2021 00:00:00 GMT</t>
  </si>
  <si>
    <t>Fri, 12 Nov 2021 00:00:00 GMT</t>
  </si>
  <si>
    <t>Thu, 11 Nov 2021 00:00:00 GMT</t>
  </si>
  <si>
    <t>Wed, 10 Nov 2021 00:00:00 GMT</t>
  </si>
  <si>
    <t>Tue, 09 Nov 2021 00:00:00 GMT</t>
  </si>
  <si>
    <t>Mon, 08 Nov 2021 00:00:00 GMT</t>
  </si>
  <si>
    <t>Fri, 05 Nov 2021 00:00:00 GMT</t>
  </si>
  <si>
    <t>Thu, 04 Nov 2021 00:00:00 GMT</t>
  </si>
  <si>
    <t>Wed, 03 Nov 2021 00:00:00 GMT</t>
  </si>
  <si>
    <t>Tue, 02 Nov 2021 00:00:00 GMT</t>
  </si>
  <si>
    <t>Mon, 01 Nov 2021 00:00:00 GMT</t>
  </si>
  <si>
    <t>Fri, 29 Oct 2021 00:00:00 GMT</t>
  </si>
  <si>
    <t>Thu, 28 Oct 2021 00:00:00 GMT</t>
  </si>
  <si>
    <t>Wed, 27 Oct 2021 00:00:00 GMT</t>
  </si>
  <si>
    <t>Tue, 26 Oct 2021 00:00:00 GMT</t>
  </si>
  <si>
    <t>Mon, 25 Oct 2021 00:00:00 GMT</t>
  </si>
  <si>
    <t>Fri, 22 Oct 2021 00:00:00 GMT</t>
  </si>
  <si>
    <t>Thu, 21 Oct 2021 00:00:00 GMT</t>
  </si>
  <si>
    <t>Wed, 20 Oct 2021 00:00:00 GMT</t>
  </si>
  <si>
    <t>Tue, 19 Oct 2021 00:00:00 GMT</t>
  </si>
  <si>
    <t>Mon, 18 Oct 2021 00:00:00 GMT</t>
  </si>
  <si>
    <t>Fri, 15 Oct 2021 00:00:00 GMT</t>
  </si>
  <si>
    <t>Thu, 14 Oct 2021 00:00:00 GMT</t>
  </si>
  <si>
    <t>Wed, 13 Oct 2021 00:00:00 GMT</t>
  </si>
  <si>
    <t>Tue, 12 Oct 2021 00:00:00 GMT</t>
  </si>
  <si>
    <t>Mon, 11 Oct 2021 00:00:00 GMT</t>
  </si>
  <si>
    <t>Fri, 08 Oct 2021 00:00:00 GMT</t>
  </si>
  <si>
    <t>Thu, 07 Oct 2021 00:00:00 GMT</t>
  </si>
  <si>
    <t>Wed, 06 Oct 2021 00:00:00 GMT</t>
  </si>
  <si>
    <t>Tue, 05 Oct 2021 00:00:00 GMT</t>
  </si>
  <si>
    <t>Mon, 04 Oct 2021 00:00:00 GMT</t>
  </si>
  <si>
    <t>Fri, 01 Oct 2021 00:00:00 GMT</t>
  </si>
  <si>
    <t>Thu, 30 Sep 2021 00:00:00 GMT</t>
  </si>
  <si>
    <t>Wed, 29 Sep 2021 00:00:00 GMT</t>
  </si>
  <si>
    <t>Tue, 28 Sep 2021 00:00:00 GMT</t>
  </si>
  <si>
    <t>Mon, 27 Sep 2021 00:00:00 GMT</t>
  </si>
  <si>
    <t>Fri, 24 Sep 2021 00:00:00 GMT</t>
  </si>
  <si>
    <t>Thu, 23 Sep 2021 00:00:00 GMT</t>
  </si>
  <si>
    <t>Wed, 22 Sep 2021 00:00:00 GMT</t>
  </si>
  <si>
    <t>Tue, 21 Sep 2021 00:00:00 GMT</t>
  </si>
  <si>
    <t>Mon, 20 Sep 2021 00:00:00 GMT</t>
  </si>
  <si>
    <t>Fri, 17 Sep 2021 00:00:00 GMT</t>
  </si>
  <si>
    <t>Thu, 16 Sep 2021 00:00:00 GMT</t>
  </si>
  <si>
    <t>Wed, 15 Sep 2021 00:00:00 GMT</t>
  </si>
  <si>
    <t>Tue, 14 Sep 2021 00:00:00 GMT</t>
  </si>
  <si>
    <t>Mon, 13 Sep 2021 00:00:00 GMT</t>
  </si>
  <si>
    <t>Fri, 10 Sep 2021 00:00:00 GMT</t>
  </si>
  <si>
    <t>Thu, 09 Sep 2021 00:00:00 GMT</t>
  </si>
  <si>
    <t>Wed, 08 Sep 2021 00:00:00 GMT</t>
  </si>
  <si>
    <t>Tue, 07 Sep 2021 00:00:00 GMT</t>
  </si>
  <si>
    <t>Fri, 03 Sep 2021 00:00:00 GMT</t>
  </si>
  <si>
    <t>Thu, 02 Sep 2021 00:00:00 GMT</t>
  </si>
  <si>
    <t>Wed, 01 Sep 2021 00:00:00 GMT</t>
  </si>
  <si>
    <t>Tue, 31 Aug 2021 00:00:00 GMT</t>
  </si>
  <si>
    <t>Mon, 30 Aug 2021 00:00:00 GMT</t>
  </si>
  <si>
    <t>Fri, 27 Aug 2021 00:00:00 GMT</t>
  </si>
  <si>
    <t>Thu, 26 Aug 2021 00:00:00 GMT</t>
  </si>
  <si>
    <t>Wed, 25 Aug 2021 00:00:00 GMT</t>
  </si>
  <si>
    <t>Tue, 24 Aug 2021 00:00:00 GMT</t>
  </si>
  <si>
    <t>Mon, 23 Aug 2021 00:00:00 GMT</t>
  </si>
  <si>
    <t>Fri, 20 Aug 2021 00:00:00 GMT</t>
  </si>
  <si>
    <t>Thu, 19 Aug 2021 00:00:00 GMT</t>
  </si>
  <si>
    <t>Wed, 18 Aug 2021 00:00:00 GMT</t>
  </si>
  <si>
    <t>Tue, 17 Aug 2021 00:00:00 GMT</t>
  </si>
  <si>
    <t>Mon, 16 Aug 2021 00:00:00 GMT</t>
  </si>
  <si>
    <t>Fri, 13 Aug 2021 00:00:00 GMT</t>
  </si>
  <si>
    <t>Thu, 12 Aug 2021 00:00:00 GMT</t>
  </si>
  <si>
    <t>Wed, 11 Aug 2021 00:00:00 GMT</t>
  </si>
  <si>
    <t>Tue, 10 Aug 2021 00:00:00 GMT</t>
  </si>
  <si>
    <t>Mon, 09 Aug 2021 00:00:00 GMT</t>
  </si>
  <si>
    <t>Fri, 06 Aug 2021 00:00:00 GMT</t>
  </si>
  <si>
    <t>Thu, 05 Aug 2021 00:00:00 GMT</t>
  </si>
  <si>
    <t>Wed, 04 Aug 2021 00:00:00 GMT</t>
  </si>
  <si>
    <t>Tue, 03 Aug 2021 00:00:00 GMT</t>
  </si>
  <si>
    <t>Mon, 02 Aug 2021 00:00:00 GMT</t>
  </si>
  <si>
    <t>Fri, 30 Jul 2021 00:00:00 GMT</t>
  </si>
  <si>
    <t>Thu, 29 Jul 2021 00:00:00 GMT</t>
  </si>
  <si>
    <t>Wed, 28 Jul 2021 00:00:00 GMT</t>
  </si>
  <si>
    <t>Tue, 27 Jul 2021 00:00:00 GMT</t>
  </si>
  <si>
    <t>Mon, 26 Jul 2021 00:00:00 GMT</t>
  </si>
  <si>
    <t>Fri, 23 Jul 2021 00:00:00 GMT</t>
  </si>
  <si>
    <t>Thu, 22 Jul 2021 00:00:00 GMT</t>
  </si>
  <si>
    <t>Wed, 21 Jul 2021 00:00:00 GMT</t>
  </si>
  <si>
    <t>Tue, 20 Jul 2021 00:00:00 GMT</t>
  </si>
  <si>
    <t>Mon, 19 Jul 2021 00:00:00 GMT</t>
  </si>
  <si>
    <t>Fri, 16 Jul 2021 00:00:00 GMT</t>
  </si>
  <si>
    <t>Thu, 15 Jul 2021 00:00:00 GMT</t>
  </si>
  <si>
    <t>Wed, 14 Jul 2021 00:00:00 GMT</t>
  </si>
  <si>
    <t>Tue, 13 Jul 2021 00:00:00 GMT</t>
  </si>
  <si>
    <t>Mon, 12 Jul 2021 00:00:00 GMT</t>
  </si>
  <si>
    <t>Fri, 09 Jul 2021 00:00:00 GMT</t>
  </si>
  <si>
    <t>Thu, 08 Jul 2021 00:00:00 GMT</t>
  </si>
  <si>
    <t>Wed, 07 Jul 2021 00:00:00 GMT</t>
  </si>
  <si>
    <t>Tue, 06 Jul 2021 00:00:00 GMT</t>
  </si>
  <si>
    <t>Fri, 02 Jul 2021 00:00:00 GMT</t>
  </si>
  <si>
    <t>Thu, 01 Jul 2021 00:00:00 GMT</t>
  </si>
  <si>
    <t>Wed, 30 Jun 2021 00:00:00 GMT</t>
  </si>
  <si>
    <t>Tue, 29 Jun 2021 00:00:00 GMT</t>
  </si>
  <si>
    <t>Mon, 28 Jun 2021 00:00:00 GMT</t>
  </si>
  <si>
    <t>Fri, 25 Jun 2021 00:00:00 GMT</t>
  </si>
  <si>
    <t>Thu, 24 Jun 2021 00:00:00 GMT</t>
  </si>
  <si>
    <t>Wed, 23 Jun 2021 00:00:00 GMT</t>
  </si>
  <si>
    <t>Tue, 22 Jun 2021 00:00:00 GMT</t>
  </si>
  <si>
    <t>Mon, 21 Jun 2021 00:00:00 GMT</t>
  </si>
  <si>
    <t>Fri, 18 Jun 2021 00:00:00 GMT</t>
  </si>
  <si>
    <t>Thu, 17 Jun 2021 00:00:00 GMT</t>
  </si>
  <si>
    <t>Wed, 16 Jun 2021 00:00:00 GMT</t>
  </si>
  <si>
    <t>Tue, 15 Jun 2021 00:00:00 GMT</t>
  </si>
  <si>
    <t>Mon, 14 Jun 2021 00:00:00 GMT</t>
  </si>
  <si>
    <t>Fri, 11 Jun 2021 00:00:00 GMT</t>
  </si>
  <si>
    <t>Thu, 10 Jun 2021 00:00:00 GMT</t>
  </si>
  <si>
    <t>Wed, 09 Jun 2021 00:00:00 GMT</t>
  </si>
  <si>
    <t>Tue, 08 Jun 2021 00:00:00 GMT</t>
  </si>
  <si>
    <t>Mon, 07 Jun 2021 00:00:00 GMT</t>
  </si>
  <si>
    <t>Fri, 04 Jun 2021 00:00:00 GMT</t>
  </si>
  <si>
    <t>Thu, 03 Jun 2021 00:00:00 GMT</t>
  </si>
  <si>
    <t>Wed, 02 Jun 2021 00:00:00 GMT</t>
  </si>
  <si>
    <t>Tue, 01 Jun 2021 00:00:00 GMT</t>
  </si>
  <si>
    <t>Fri, 28 May 2021 00:00:00 GMT</t>
  </si>
  <si>
    <t>Thu, 27 May 2021 00:00:00 GMT</t>
  </si>
  <si>
    <t>Wed, 26 May 2021 00:00:00 GMT</t>
  </si>
  <si>
    <t>Tue, 25 May 2021 00:00:00 GMT</t>
  </si>
  <si>
    <t>Mon, 24 May 2021 00:00:00 GMT</t>
  </si>
  <si>
    <t>Fri, 21 May 2021 00:00:00 GMT</t>
  </si>
  <si>
    <t>Thu, 20 May 2021 00:00:00 GMT</t>
  </si>
  <si>
    <t>Wed, 19 May 2021 00:00:00 GMT</t>
  </si>
  <si>
    <t>Tue, 18 May 2021 00:00:00 GMT</t>
  </si>
  <si>
    <t>Mon, 17 May 2021 00:00:00 GMT</t>
  </si>
  <si>
    <t>Fri, 14 May 2021 00:00:00 GMT</t>
  </si>
  <si>
    <t>Thu, 13 May 2021 00:00:00 GMT</t>
  </si>
  <si>
    <t>Wed, 12 May 2021 00:00:00 GMT</t>
  </si>
  <si>
    <t>Tue, 11 May 2021 00:00:00 GMT</t>
  </si>
  <si>
    <t>Mon, 10 May 2021 00:00:00 GMT</t>
  </si>
  <si>
    <t>Fri, 07 May 2021 00:00:00 GMT</t>
  </si>
  <si>
    <t>Thu, 06 May 2021 00:00:00 GMT</t>
  </si>
  <si>
    <t>Wed, 05 May 2021 00:00:00 GMT</t>
  </si>
  <si>
    <t>Tue, 04 May 2021 00:00:00 GMT</t>
  </si>
  <si>
    <t>Mon, 03 May 2021 00:00:00 GMT</t>
  </si>
  <si>
    <t>Fri, 30 Apr 2021 00:00:00 GMT</t>
  </si>
  <si>
    <t>Thu, 29 Apr 2021 00:00:00 GMT</t>
  </si>
  <si>
    <t>Wed, 28 Apr 2021 00:00:00 GMT</t>
  </si>
  <si>
    <t>Tue, 27 Apr 2021 00:00:00 GMT</t>
  </si>
  <si>
    <t>Mon, 26 Apr 2021 00:00:00 GMT</t>
  </si>
  <si>
    <t>Fri, 23 Apr 2021 00:00:00 GMT</t>
  </si>
  <si>
    <t>Thu, 22 Apr 2021 00:00:00 GMT</t>
  </si>
  <si>
    <t>Wed, 21 Apr 2021 00:00:00 GMT</t>
  </si>
  <si>
    <t>Tue, 20 Apr 2021 00:00:00 GMT</t>
  </si>
  <si>
    <t>Mon, 19 Apr 2021 00:00:00 GMT</t>
  </si>
  <si>
    <t>Fri, 16 Apr 2021 00:00:00 GMT</t>
  </si>
  <si>
    <t>Thu, 15 Apr 2021 00:00:00 GMT</t>
  </si>
  <si>
    <t>Wed, 14 Apr 2021 00:00:00 GMT</t>
  </si>
  <si>
    <t>Tue, 13 Apr 2021 00:00:00 GMT</t>
  </si>
  <si>
    <t>Mon, 12 Apr 2021 00:00:00 GMT</t>
  </si>
  <si>
    <t>Fri, 09 Apr 2021 00:00:00 GMT</t>
  </si>
  <si>
    <t>Thu, 08 Apr 2021 00:00:00 GMT</t>
  </si>
  <si>
    <t>Wed, 07 Apr 2021 00:00:00 GMT</t>
  </si>
  <si>
    <t>Tue, 06 Apr 2021 00:00:00 GMT</t>
  </si>
  <si>
    <t>Mon, 05 Apr 2021 00:00:00 GMT</t>
  </si>
  <si>
    <t>Thu, 01 Apr 2021 00:00:00 GMT</t>
  </si>
  <si>
    <t>Wed, 31 Mar 2021 00:00:00 GMT</t>
  </si>
  <si>
    <t>Tue, 30 Mar 2021 00:00:00 GMT</t>
  </si>
  <si>
    <t>Mon, 29 Mar 2021 00:00:00 GMT</t>
  </si>
  <si>
    <t>Fri, 26 Mar 2021 00:00:00 GMT</t>
  </si>
  <si>
    <t>Thu, 25 Mar 2021 00:00:00 GMT</t>
  </si>
  <si>
    <t>Wed, 24 Mar 2021 00:00:00 GMT</t>
  </si>
  <si>
    <t>Tue, 23 Mar 2021 00:00:00 GMT</t>
  </si>
  <si>
    <t>Mon, 22 Mar 2021 00:00:00 GMT</t>
  </si>
  <si>
    <t>Fri, 19 Mar 2021 00:00:00 GMT</t>
  </si>
  <si>
    <t>Thu, 18 Mar 2021 00:00:00 GMT</t>
  </si>
  <si>
    <t>Wed, 17 Mar 2021 00:00:00 GMT</t>
  </si>
  <si>
    <t>Tue, 16 Mar 2021 00:00:00 GMT</t>
  </si>
  <si>
    <t>Mon, 15 Mar 2021 00:00:00 GMT</t>
  </si>
  <si>
    <t>Fri, 12 Mar 2021 00:00:00 GMT</t>
  </si>
  <si>
    <t>Thu, 11 Mar 2021 00:00:00 GMT</t>
  </si>
  <si>
    <t>Wed, 10 Mar 2021 00:00:00 GMT</t>
  </si>
  <si>
    <t>Tue, 09 Mar 2021 00:00:00 GMT</t>
  </si>
  <si>
    <t>Mon, 08 Mar 2021 00:00:00 GMT</t>
  </si>
  <si>
    <t>Fri, 05 Mar 2021 00:00:00 GMT</t>
  </si>
  <si>
    <t>Thu, 04 Mar 2021 00:00:00 GMT</t>
  </si>
  <si>
    <t>Wed, 03 Mar 2021 00:00:00 GMT</t>
  </si>
  <si>
    <t>Tue, 02 Mar 2021 00:00:00 GMT</t>
  </si>
  <si>
    <t>Mon, 01 Mar 2021 00:00:00 GMT</t>
  </si>
  <si>
    <t>Fri, 26 Feb 2021 00:00:00 GMT</t>
  </si>
  <si>
    <t>Thu, 25 Feb 2021 00:00:00 GMT</t>
  </si>
  <si>
    <t>Wed, 24 Feb 2021 00:00:00 GMT</t>
  </si>
  <si>
    <t>Tue, 23 Feb 2021 00:00:00 GMT</t>
  </si>
  <si>
    <t>Mon, 22 Feb 2021 00:00:00 GMT</t>
  </si>
  <si>
    <t>Fri, 19 Feb 2021 00:00:00 GMT</t>
  </si>
  <si>
    <t>Thu, 18 Feb 2021 00:00:00 GMT</t>
  </si>
  <si>
    <t>Wed, 17 Feb 2021 00:00:00 GMT</t>
  </si>
  <si>
    <t>Tue, 16 Feb 2021 00:00:00 GMT</t>
  </si>
  <si>
    <t>Fri, 12 Feb 2021 00:00:00 GMT</t>
  </si>
  <si>
    <t>Thu, 11 Feb 2021 00:00:00 GMT</t>
  </si>
  <si>
    <t>Wed, 10 Feb 2021 00:00:00 GMT</t>
  </si>
  <si>
    <t>Tue, 09 Feb 2021 00:00:00 GMT</t>
  </si>
  <si>
    <t>Mon, 08 Feb 2021 00:00:00 GMT</t>
  </si>
  <si>
    <t>Fri, 05 Feb 2021 00:00:00 GMT</t>
  </si>
  <si>
    <t>Thu, 04 Feb 2021 00:00:00 GMT</t>
  </si>
  <si>
    <t>Wed, 03 Feb 2021 00:00:00 GMT</t>
  </si>
  <si>
    <t>Tue, 02 Feb 2021 00:00:00 GMT</t>
  </si>
  <si>
    <t>Mon, 01 Feb 2021 00:00:00 GMT</t>
  </si>
  <si>
    <t>Fri, 29 Jan 2021 00:00:00 GMT</t>
  </si>
  <si>
    <t>Thu, 28 Jan 2021 00:00:00 GMT</t>
  </si>
  <si>
    <t>Wed, 27 Jan 2021 00:00:00 GMT</t>
  </si>
  <si>
    <t>Tue, 26 Jan 2021 00:00:00 GMT</t>
  </si>
  <si>
    <t>Mon, 25 Jan 2021 00:00:00 GMT</t>
  </si>
  <si>
    <t>Fri, 22 Jan 2021 00:00:00 GMT</t>
  </si>
  <si>
    <t>Thu, 21 Jan 2021 00:00:00 GMT</t>
  </si>
  <si>
    <t>Wed, 20 Jan 2021 00:00:00 GMT</t>
  </si>
  <si>
    <t>Tue, 19 Jan 2021 00:00:00 GMT</t>
  </si>
  <si>
    <t>Fri, 15 Jan 2021 00:00:00 GMT</t>
  </si>
  <si>
    <t>Thu, 14 Jan 2021 00:00:00 GMT</t>
  </si>
  <si>
    <t>Wed, 13 Jan 2021 00:00:00 GMT</t>
  </si>
  <si>
    <t>Tue, 12 Jan 2021 00:00:00 GMT</t>
  </si>
  <si>
    <t>Mon, 11 Jan 2021 00:00:00 GMT</t>
  </si>
  <si>
    <t>Fri, 08 Jan 2021 00:00:00 GMT</t>
  </si>
  <si>
    <t>Thu, 07 Jan 2021 00:00:00 GMT</t>
  </si>
  <si>
    <t>Wed, 06 Jan 2021 00:00:00 GMT</t>
  </si>
  <si>
    <t>Tue, 05 Jan 2021 00:00:00 GMT</t>
  </si>
  <si>
    <t>Mon, 04 Jan 2021 00:00:00 GMT</t>
  </si>
  <si>
    <t>Thu, 31 Dec 2020 00:00:00 GMT</t>
  </si>
  <si>
    <t>Wed, 30 Dec 2020 00:00:00 GMT</t>
  </si>
  <si>
    <t>Tue, 29 Dec 2020 00:00:00 GMT</t>
  </si>
  <si>
    <t>Mon, 28 Dec 2020 00:00:00 GMT</t>
  </si>
  <si>
    <t>Thu, 24 Dec 2020 00:00:00 GMT</t>
  </si>
  <si>
    <t>Wed, 23 Dec 2020 00:00:00 GMT</t>
  </si>
  <si>
    <t>Tue, 22 Dec 2020 00:00:00 GMT</t>
  </si>
  <si>
    <t>Mon, 21 Dec 2020 00:00:00 GMT</t>
  </si>
  <si>
    <t>Fri, 18 Dec 2020 00:00:00 GMT</t>
  </si>
  <si>
    <t>Thu, 17 Dec 2020 00:00:00 GMT</t>
  </si>
  <si>
    <t>Wed, 16 Dec 2020 00:00:00 GMT</t>
  </si>
  <si>
    <t>Tue, 15 Dec 2020 00:00:00 GMT</t>
  </si>
  <si>
    <t>Mon, 14 Dec 2020 00:00:00 GMT</t>
  </si>
  <si>
    <t>Fri, 11 Dec 2020 00:00:00 GMT</t>
  </si>
  <si>
    <t>Thu, 10 Dec 2020 00:00:00 GMT</t>
  </si>
  <si>
    <t>Wed, 09 Dec 2020 00:00:00 GMT</t>
  </si>
  <si>
    <t>Tue, 08 Dec 2020 00:00:00 GMT</t>
  </si>
  <si>
    <t>Mon, 07 Dec 2020 00:00:00 GMT</t>
  </si>
  <si>
    <t>Fri, 04 Dec 2020 00:00:00 GMT</t>
  </si>
  <si>
    <t>Thu, 03 Dec 2020 00:00:00 GMT</t>
  </si>
  <si>
    <t>Wed, 02 Dec 2020 00:00:00 GMT</t>
  </si>
  <si>
    <t>Tue, 01 Dec 2020 00:00:00 GMT</t>
  </si>
  <si>
    <t>Mon, 30 Nov 2020 00:00:00 GMT</t>
  </si>
  <si>
    <t>Fri, 27 Nov 2020 00:00:00 GMT</t>
  </si>
  <si>
    <t>Wed, 25 Nov 2020 00:00:00 GMT</t>
  </si>
  <si>
    <t>Tue, 24 Nov 2020 00:00:00 GMT</t>
  </si>
  <si>
    <t>Mon, 23 Nov 2020 00:00:00 GMT</t>
  </si>
  <si>
    <t>Fri, 20 Nov 2020 00:00:00 GMT</t>
  </si>
  <si>
    <t>Thu, 19 Nov 2020 00:00:00 GMT</t>
  </si>
  <si>
    <t>Wed, 18 Nov 2020 00:00:00 GMT</t>
  </si>
  <si>
    <t>Tue, 17 Nov 2020 00:00:00 GMT</t>
  </si>
  <si>
    <t>Mon, 16 Nov 2020 00:00:00 GMT</t>
  </si>
  <si>
    <t>Fri, 13 Nov 2020 00:00:00 GMT</t>
  </si>
  <si>
    <t>Thu, 12 Nov 2020 00:00:00 GMT</t>
  </si>
  <si>
    <t>Wed, 11 Nov 2020 00:00:00 GMT</t>
  </si>
  <si>
    <t>Tue, 10 Nov 2020 00:00:00 GMT</t>
  </si>
  <si>
    <t>Mon, 09 Nov 2020 00:00:00 GMT</t>
  </si>
  <si>
    <t>Fri, 06 Nov 2020 00:00:00 GMT</t>
  </si>
  <si>
    <t>Thu, 05 Nov 2020 00:00:00 GMT</t>
  </si>
  <si>
    <t>Wed, 04 Nov 2020 00:00:00 GMT</t>
  </si>
  <si>
    <t>Tue, 03 Nov 2020 00:00:00 GMT</t>
  </si>
  <si>
    <t>Mon, 02 Nov 2020 00:00:00 GMT</t>
  </si>
  <si>
    <t>Fri, 30 Oct 2020 00:00:00 GMT</t>
  </si>
  <si>
    <t>Thu, 29 Oct 2020 00:00:00 GMT</t>
  </si>
  <si>
    <t>Wed, 28 Oct 2020 00:00:00 GMT</t>
  </si>
  <si>
    <t>Tue, 27 Oct 2020 00:00:00 GMT</t>
  </si>
  <si>
    <t>Mon, 26 Oct 2020 00:00:00 GMT</t>
  </si>
  <si>
    <t>Fri, 23 Oct 2020 00:00:00 GMT</t>
  </si>
  <si>
    <t>Thu, 22 Oct 2020 00:00:00 GMT</t>
  </si>
  <si>
    <t>Wed, 21 Oct 2020 00:00:00 GMT</t>
  </si>
  <si>
    <t>Tue, 20 Oct 2020 00:00:00 GMT</t>
  </si>
  <si>
    <t>Mon, 19 Oct 2020 00:00:00 GMT</t>
  </si>
  <si>
    <t>Fri, 16 Oct 2020 00:00:00 GMT</t>
  </si>
  <si>
    <t>Thu, 15 Oct 2020 00:00:00 GMT</t>
  </si>
  <si>
    <t>Wed, 14 Oct 2020 00:00:00 GMT</t>
  </si>
  <si>
    <t>Tue, 13 Oct 2020 00:00:00 GMT</t>
  </si>
  <si>
    <t>Mon, 12 Oct 2020 00:00:00 GMT</t>
  </si>
  <si>
    <t>Fri, 09 Oct 2020 00:00:00 GMT</t>
  </si>
  <si>
    <t>Thu, 08 Oct 2020 00:00:00 GMT</t>
  </si>
  <si>
    <t>Wed, 07 Oct 2020 00:00:00 GMT</t>
  </si>
  <si>
    <t>Tue, 06 Oct 2020 00:00:00 GMT</t>
  </si>
  <si>
    <t>Mon, 05 Oct 2020 00:00:00 GMT</t>
  </si>
  <si>
    <t>Fri, 02 Oct 2020 00:00:00 GMT</t>
  </si>
  <si>
    <t>Thu, 01 Oct 2020 00:00:00 GMT</t>
  </si>
  <si>
    <t>Wed, 30 Sep 2020 00:00:00 GMT</t>
  </si>
  <si>
    <t>Tue, 29 Sep 2020 00:00:00 GMT</t>
  </si>
  <si>
    <t>Mon, 28 Sep 2020 00:00:00 GMT</t>
  </si>
  <si>
    <t>Fri, 25 Sep 2020 00:00:00 GMT</t>
  </si>
  <si>
    <t>Thu, 24 Sep 2020 00:00:00 GMT</t>
  </si>
  <si>
    <t>Wed, 23 Sep 2020 00:00:00 GMT</t>
  </si>
  <si>
    <t>Tue, 22 Sep 2020 00:00:00 GMT</t>
  </si>
  <si>
    <r>
      <t xml:space="preserve">1256 Trading Days? (From: </t>
    </r>
    <r>
      <rPr>
        <i/>
        <sz val="11"/>
        <color theme="1"/>
        <rFont val="Calibre"/>
      </rPr>
      <t>9/21/2020 - 9/21/2025</t>
    </r>
    <r>
      <rPr>
        <sz val="11"/>
        <color theme="1"/>
        <rFont val="Calibre"/>
      </rPr>
      <t>)</t>
    </r>
  </si>
  <si>
    <t>More</t>
  </si>
  <si>
    <t xml:space="preserve">Revenue Breakdown by Segment </t>
  </si>
  <si>
    <t xml:space="preserve">Financial Stmts. Notes/Observations </t>
  </si>
  <si>
    <t xml:space="preserve">General Notes/Observations </t>
  </si>
  <si>
    <t>iPhone</t>
  </si>
  <si>
    <t>Mac</t>
  </si>
  <si>
    <t xml:space="preserve">iPad </t>
  </si>
  <si>
    <t>Wearables, Home &amp; Accessories</t>
  </si>
  <si>
    <t>Services</t>
  </si>
  <si>
    <t>iPhone Growth Y/y</t>
  </si>
  <si>
    <t>Mac Growth Y/y</t>
  </si>
  <si>
    <t>iPad Growth Y/y</t>
  </si>
  <si>
    <t>Wearables, Home &amp; Accessories  Growth Y/y</t>
  </si>
  <si>
    <t>Services Growth Y/y</t>
  </si>
  <si>
    <t>iPhone % of Ttl Revenues</t>
  </si>
  <si>
    <t>Mac % of Ttl Revenues</t>
  </si>
  <si>
    <t>iPad % of Ttl Revenues</t>
  </si>
  <si>
    <t>Wearables, Home &amp; Accessories % of Ttl Revenues</t>
  </si>
  <si>
    <t>Services % of Ttl Revenues</t>
  </si>
  <si>
    <t>Rest of AIPAC</t>
  </si>
  <si>
    <t xml:space="preserve">Japan </t>
  </si>
  <si>
    <t xml:space="preserve">Americas </t>
  </si>
  <si>
    <t xml:space="preserve">Europe </t>
  </si>
  <si>
    <t xml:space="preserve">China </t>
  </si>
  <si>
    <t>Americas Growth Y/y</t>
  </si>
  <si>
    <t>Europe Growth Y/y</t>
  </si>
  <si>
    <t>China Growth Y/y</t>
  </si>
  <si>
    <t>Japan Growth Y/y</t>
  </si>
  <si>
    <t>Rest of AIPAC Growth Y/y</t>
  </si>
  <si>
    <t>Ttl Revenues Growth Y/y</t>
  </si>
  <si>
    <t>Americas % of Revenues</t>
  </si>
  <si>
    <t>Europe % of Revenues</t>
  </si>
  <si>
    <t>China % of Revenues</t>
  </si>
  <si>
    <t>Japan % of Revenues</t>
  </si>
  <si>
    <t>Rest of AIPAC % of Revenues</t>
  </si>
  <si>
    <t>Fiscal Year: [October - September]</t>
  </si>
  <si>
    <t>R&amp;D</t>
  </si>
  <si>
    <t>SG&amp;A</t>
  </si>
  <si>
    <t>OI</t>
  </si>
  <si>
    <t>Other Income</t>
  </si>
  <si>
    <t>Pretax Income</t>
  </si>
  <si>
    <t>Taxes</t>
  </si>
  <si>
    <t>EPS</t>
  </si>
  <si>
    <t>A/R</t>
  </si>
  <si>
    <t>Vendor Recievables</t>
  </si>
  <si>
    <t>Inventories</t>
  </si>
  <si>
    <t>Other ST Assets</t>
  </si>
  <si>
    <t>LT Marketable Securities</t>
  </si>
  <si>
    <t>Other LT Assets</t>
  </si>
  <si>
    <t>Ttl Assets</t>
  </si>
  <si>
    <t>PP&amp;E</t>
  </si>
  <si>
    <t>A/P</t>
  </si>
  <si>
    <t>Other ST Liabilities</t>
  </si>
  <si>
    <t>Deffered Revenues</t>
  </si>
  <si>
    <t>Commercial Paper</t>
  </si>
  <si>
    <t>ST Debt</t>
  </si>
  <si>
    <t>LT Debt</t>
  </si>
  <si>
    <t>Other LT Liabilities</t>
  </si>
  <si>
    <t>Ttl Liabilities</t>
  </si>
  <si>
    <t>Ttl SE</t>
  </si>
  <si>
    <t>Ttl L + SE</t>
  </si>
  <si>
    <t>Institutional Ownership Snapshot Q4'25</t>
  </si>
  <si>
    <t xml:space="preserve">Revenue Breakdown by Geography </t>
  </si>
  <si>
    <t>It is among the most valuable and recognizable brands worldwide … their PP&amp;E is $48 billion and they generate ~$100 billion in net income annually … incredible … $3.5 trillion dollars of market cap from a company kept alive by Microsoft as to avoid regulatory anti-trust scrutiny</t>
  </si>
  <si>
    <t>Q3'25</t>
  </si>
  <si>
    <t>1/10/2026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</si>
</sst>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_(&quot;$&quot;* #,##0_);_(&quot;$&quot;* \(#,##0\);_(&quot;$&quot;* &quot;-&quot;??_);_(@_)"/>
    <numFmt numFmtId="165" formatCode="0.0%"/>
    <numFmt numFmtId="166" formatCode="_(* #,##0_);_(* \(#,##0\);_(* &quot;-&quot;??_);_(@_)"/>
  </numFmts>
  <fonts count="20">
    <font>
      <sz val="11"/>
      <color theme="1"/>
      <name val="Calibri"/>
      <family val="2"/>
      <scheme val="minor"/>
    </font>
    <font>
      <sz val="11"/>
      <color theme="1"/>
      <name val="Calibri"/>
      <family val="2"/>
      <scheme val="minor"/>
    </font>
    <font>
      <sz val="11"/>
      <color theme="1"/>
      <name val="Calibre"/>
    </font>
    <font>
      <b/>
      <sz val="11"/>
      <color theme="1"/>
      <name val="Calibre"/>
    </font>
    <font>
      <b/>
      <sz val="11"/>
      <color theme="0"/>
      <name val="Calibre"/>
    </font>
    <font>
      <sz val="11"/>
      <color theme="0"/>
      <name val="Calibre"/>
    </font>
    <font>
      <b/>
      <sz val="10"/>
      <name val="Arial"/>
      <family val="2"/>
    </font>
    <font>
      <i/>
      <sz val="11"/>
      <color theme="1"/>
      <name val="Calibre"/>
    </font>
    <font>
      <b/>
      <sz val="10"/>
      <name val="Calibre"/>
    </font>
    <font>
      <i/>
      <sz val="11"/>
      <color theme="1"/>
      <name val="Calibri"/>
      <family val="2"/>
      <scheme val="minor"/>
    </font>
    <font>
      <b/>
      <i/>
      <sz val="11"/>
      <color theme="1"/>
      <name val="Calibri"/>
      <family val="2"/>
      <scheme val="minor"/>
    </font>
    <font>
      <b/>
      <sz val="11"/>
      <name val="Calibre"/>
    </font>
    <font>
      <b/>
      <sz val="11"/>
      <color rgb="FF0070C0"/>
      <name val="Calibre"/>
    </font>
    <font>
      <sz val="11"/>
      <color rgb="FF0070C0"/>
      <name val="Calibre"/>
    </font>
    <font>
      <sz val="11"/>
      <name val="Calibre"/>
    </font>
    <font>
      <u/>
      <sz val="11"/>
      <color theme="10"/>
      <name val="Calibri"/>
      <family val="2"/>
      <scheme val="minor"/>
    </font>
    <font>
      <u/>
      <sz val="11"/>
      <color rgb="FF00B0F0"/>
      <name val="Calibre"/>
    </font>
    <font>
      <sz val="11"/>
      <color theme="4" tint="-0.249977111117893"/>
      <name val="Calibre"/>
    </font>
    <font>
      <u/>
      <sz val="11"/>
      <color rgb="FF00B0F0"/>
      <name val="Calibri"/>
      <family val="2"/>
      <scheme val="minor"/>
    </font>
    <font>
      <sz val="10"/>
      <name val="Arial"/>
      <family val="2"/>
    </font>
  </fonts>
  <fills count="6">
    <fill>
      <patternFill patternType="none"/>
    </fill>
    <fill>
      <patternFill patternType="gray125"/>
    </fill>
    <fill>
      <patternFill patternType="solid">
        <fgColor rgb="FF002060"/>
        <bgColor indexed="64"/>
      </patternFill>
    </fill>
    <fill>
      <patternFill patternType="solid">
        <fgColor theme="8" tint="-0.249977111117893"/>
        <bgColor indexed="64"/>
      </patternFill>
    </fill>
    <fill>
      <patternFill patternType="solid">
        <fgColor theme="4" tint="0.79998168889431442"/>
        <bgColor theme="4" tint="0.79998168889431442"/>
      </patternFill>
    </fill>
    <fill>
      <patternFill patternType="solid">
        <fgColor rgb="FFF5F5F5"/>
      </patternFill>
    </fill>
  </fills>
  <borders count="19">
    <border>
      <left/>
      <right/>
      <top/>
      <bottom/>
      <diagonal/>
    </border>
    <border>
      <left style="thin">
        <color indexed="64"/>
      </left>
      <right/>
      <top style="thin">
        <color indexed="64"/>
      </top>
      <bottom/>
      <diagonal/>
    </border>
    <border>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top style="thin">
        <color indexed="64"/>
      </top>
      <bottom style="thin">
        <color theme="4" tint="0.39997558519241921"/>
      </bottom>
      <diagonal/>
    </border>
    <border>
      <left/>
      <right style="thin">
        <color indexed="64"/>
      </right>
      <top style="thin">
        <color indexed="64"/>
      </top>
      <bottom style="thin">
        <color theme="4" tint="0.39997558519241921"/>
      </bottom>
      <diagonal/>
    </border>
    <border>
      <left style="thin">
        <color indexed="64"/>
      </left>
      <right/>
      <top/>
      <bottom/>
      <diagonal/>
    </border>
    <border>
      <left/>
      <right style="thin">
        <color indexed="64"/>
      </right>
      <top/>
      <bottom/>
      <diagonal/>
    </border>
    <border>
      <left/>
      <right/>
      <top style="thin">
        <color theme="4" tint="0.39997558519241921"/>
      </top>
      <bottom style="thin">
        <color theme="4" tint="0.39997558519241921"/>
      </bottom>
      <diagonal/>
    </border>
    <border>
      <left/>
      <right style="thin">
        <color indexed="64"/>
      </right>
      <top style="thin">
        <color theme="4" tint="0.39997558519241921"/>
      </top>
      <bottom style="thin">
        <color theme="4" tint="0.39997558519241921"/>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theme="4" tint="0.39997558519241921"/>
      </top>
      <bottom style="thin">
        <color indexed="64"/>
      </bottom>
      <diagonal/>
    </border>
    <border>
      <left/>
      <right style="thin">
        <color indexed="64"/>
      </right>
      <top style="thin">
        <color theme="4" tint="0.39997558519241921"/>
      </top>
      <bottom style="thin">
        <color indexed="64"/>
      </bottom>
      <diagonal/>
    </border>
    <border>
      <left/>
      <right/>
      <top style="medium">
        <color indexed="64"/>
      </top>
      <bottom style="thin">
        <color indexed="64"/>
      </bottom>
      <diagonal/>
    </border>
    <border>
      <left/>
      <right/>
      <top/>
      <bottom style="medium">
        <color indexed="64"/>
      </bottom>
      <diagonal/>
    </border>
  </borders>
  <cellStyleXfs count="5">
    <xf numFmtId="0" fontId="0" fillId="0" borderId="0"/>
    <xf numFmtId="9" fontId="1" fillId="0" borderId="0" applyFont="0" applyFill="0" applyBorder="0" applyAlignment="0" applyProtection="0"/>
    <xf numFmtId="44" fontId="1" fillId="0" borderId="0" applyFont="0" applyFill="0" applyBorder="0" applyAlignment="0" applyProtection="0"/>
    <xf numFmtId="0" fontId="15" fillId="0" borderId="0" applyNumberFormat="0" applyFill="0" applyBorder="0" applyAlignment="0" applyProtection="0"/>
    <xf numFmtId="43" fontId="1" fillId="0" borderId="0" applyFont="0" applyFill="0" applyBorder="0" applyAlignment="0" applyProtection="0"/>
  </cellStyleXfs>
  <cellXfs count="78">
    <xf numFmtId="0" fontId="0" fillId="0" borderId="0" xfId="0"/>
    <xf numFmtId="0" fontId="2" fillId="0" borderId="0" xfId="0" applyFont="1"/>
    <xf numFmtId="0" fontId="3" fillId="0" borderId="0" xfId="0" applyFont="1"/>
    <xf numFmtId="0" fontId="4" fillId="2" borderId="1" xfId="0" applyFont="1" applyFill="1" applyBorder="1"/>
    <xf numFmtId="0" fontId="5" fillId="2" borderId="2" xfId="0" applyFont="1" applyFill="1" applyBorder="1"/>
    <xf numFmtId="0" fontId="5" fillId="2" borderId="3" xfId="0" applyFont="1" applyFill="1" applyBorder="1"/>
    <xf numFmtId="0" fontId="5" fillId="2" borderId="4" xfId="0" applyFont="1" applyFill="1" applyBorder="1"/>
    <xf numFmtId="0" fontId="4" fillId="3" borderId="1" xfId="0" applyFont="1" applyFill="1" applyBorder="1" applyAlignment="1">
      <alignment horizontal="left"/>
    </xf>
    <xf numFmtId="0" fontId="5" fillId="3" borderId="2" xfId="0" applyFont="1" applyFill="1" applyBorder="1" applyAlignment="1">
      <alignment horizontal="center"/>
    </xf>
    <xf numFmtId="0" fontId="5" fillId="3" borderId="5" xfId="0" applyFont="1" applyFill="1" applyBorder="1" applyAlignment="1">
      <alignment horizontal="center"/>
    </xf>
    <xf numFmtId="10" fontId="2" fillId="4" borderId="6" xfId="0" applyNumberFormat="1" applyFont="1" applyFill="1" applyBorder="1"/>
    <xf numFmtId="10" fontId="2" fillId="4" borderId="7" xfId="0" applyNumberFormat="1" applyFont="1" applyFill="1" applyBorder="1"/>
    <xf numFmtId="0" fontId="4" fillId="3" borderId="8" xfId="0" applyFont="1" applyFill="1" applyBorder="1" applyAlignment="1">
      <alignment horizontal="left"/>
    </xf>
    <xf numFmtId="0" fontId="5" fillId="3" borderId="0" xfId="0" applyFont="1" applyFill="1" applyAlignment="1">
      <alignment horizontal="center"/>
    </xf>
    <xf numFmtId="0" fontId="5" fillId="3" borderId="9" xfId="0" applyFont="1" applyFill="1" applyBorder="1" applyAlignment="1">
      <alignment horizontal="center"/>
    </xf>
    <xf numFmtId="10" fontId="2" fillId="0" borderId="10" xfId="0" applyNumberFormat="1" applyFont="1" applyBorder="1"/>
    <xf numFmtId="10" fontId="2" fillId="0" borderId="11" xfId="0" applyNumberFormat="1" applyFont="1" applyBorder="1"/>
    <xf numFmtId="10" fontId="2" fillId="4" borderId="10" xfId="0" applyNumberFormat="1" applyFont="1" applyFill="1" applyBorder="1"/>
    <xf numFmtId="10" fontId="2" fillId="4" borderId="11" xfId="0" applyNumberFormat="1" applyFont="1" applyFill="1" applyBorder="1"/>
    <xf numFmtId="0" fontId="4" fillId="3" borderId="12" xfId="0" applyFont="1" applyFill="1" applyBorder="1" applyAlignment="1">
      <alignment horizontal="left"/>
    </xf>
    <xf numFmtId="0" fontId="5" fillId="3" borderId="13" xfId="0" applyFont="1" applyFill="1" applyBorder="1" applyAlignment="1">
      <alignment horizontal="center"/>
    </xf>
    <xf numFmtId="0" fontId="5" fillId="3" borderId="14" xfId="0" applyFont="1" applyFill="1" applyBorder="1" applyAlignment="1">
      <alignment horizontal="center"/>
    </xf>
    <xf numFmtId="10" fontId="2" fillId="0" borderId="15" xfId="0" applyNumberFormat="1" applyFont="1" applyBorder="1"/>
    <xf numFmtId="10" fontId="2" fillId="0" borderId="16" xfId="0" applyNumberFormat="1" applyFont="1" applyBorder="1"/>
    <xf numFmtId="0" fontId="6" fillId="5" borderId="0" xfId="0" applyFont="1" applyFill="1" applyAlignment="1">
      <alignment horizontal="center" vertical="center"/>
    </xf>
    <xf numFmtId="10" fontId="2" fillId="0" borderId="0" xfId="0" applyNumberFormat="1" applyFont="1"/>
    <xf numFmtId="0" fontId="8" fillId="5" borderId="0" xfId="0" applyFont="1" applyFill="1" applyAlignment="1">
      <alignment horizontal="center" vertical="center"/>
    </xf>
    <xf numFmtId="10" fontId="8" fillId="5" borderId="0" xfId="0" applyNumberFormat="1" applyFont="1" applyFill="1" applyAlignment="1">
      <alignment horizontal="center" vertical="center"/>
    </xf>
    <xf numFmtId="0" fontId="8" fillId="5" borderId="0" xfId="0" applyFont="1" applyFill="1" applyAlignment="1">
      <alignment horizontal="right" vertical="center"/>
    </xf>
    <xf numFmtId="0" fontId="2" fillId="0" borderId="0" xfId="0" applyFont="1" applyAlignment="1">
      <alignment horizontal="right"/>
    </xf>
    <xf numFmtId="3" fontId="2" fillId="0" borderId="0" xfId="0" applyNumberFormat="1" applyFont="1" applyAlignment="1">
      <alignment horizontal="left"/>
    </xf>
    <xf numFmtId="0" fontId="9" fillId="0" borderId="17" xfId="0" applyFont="1" applyBorder="1" applyAlignment="1">
      <alignment horizontal="left"/>
    </xf>
    <xf numFmtId="0" fontId="9" fillId="0" borderId="17" xfId="0" applyFont="1" applyBorder="1" applyAlignment="1">
      <alignment horizontal="center" wrapText="1"/>
    </xf>
    <xf numFmtId="0" fontId="11" fillId="0" borderId="0" xfId="0" applyFont="1"/>
    <xf numFmtId="0" fontId="12" fillId="0" borderId="0" xfId="0" applyFont="1"/>
    <xf numFmtId="0" fontId="13" fillId="0" borderId="0" xfId="0" applyFont="1"/>
    <xf numFmtId="0" fontId="14" fillId="0" borderId="0" xfId="0" applyFont="1" applyAlignment="1">
      <alignment horizontal="left" indent="1"/>
    </xf>
    <xf numFmtId="0" fontId="14" fillId="0" borderId="0" xfId="0" applyFont="1"/>
    <xf numFmtId="2" fontId="2" fillId="0" borderId="0" xfId="1" quotePrefix="1" applyNumberFormat="1" applyFont="1"/>
    <xf numFmtId="2" fontId="2" fillId="0" borderId="0" xfId="0" applyNumberFormat="1" applyFont="1"/>
    <xf numFmtId="2" fontId="2" fillId="0" borderId="0" xfId="0" quotePrefix="1" applyNumberFormat="1" applyFont="1"/>
    <xf numFmtId="0" fontId="2" fillId="0" borderId="0" xfId="1" applyNumberFormat="1" applyFont="1"/>
    <xf numFmtId="49" fontId="2" fillId="0" borderId="0" xfId="0" applyNumberFormat="1" applyFont="1"/>
    <xf numFmtId="44" fontId="2" fillId="0" borderId="0" xfId="0" applyNumberFormat="1" applyFont="1" applyAlignment="1">
      <alignment horizontal="right" indent="1"/>
    </xf>
    <xf numFmtId="1" fontId="2" fillId="0" borderId="0" xfId="0" applyNumberFormat="1" applyFont="1" applyAlignment="1">
      <alignment horizontal="left" indent="5"/>
    </xf>
    <xf numFmtId="164" fontId="2" fillId="0" borderId="0" xfId="0" applyNumberFormat="1" applyFont="1" applyAlignment="1">
      <alignment horizontal="right" indent="1"/>
    </xf>
    <xf numFmtId="0" fontId="16" fillId="0" borderId="0" xfId="3" applyFont="1"/>
    <xf numFmtId="0" fontId="13" fillId="0" borderId="0" xfId="0" applyFont="1" applyAlignment="1">
      <alignment horizontal="right" vertical="top"/>
    </xf>
    <xf numFmtId="0" fontId="13" fillId="0" borderId="0" xfId="0" applyFont="1" applyAlignment="1">
      <alignment vertical="top"/>
    </xf>
    <xf numFmtId="0" fontId="13" fillId="0" borderId="0" xfId="0" applyFont="1" applyAlignment="1">
      <alignment horizontal="center" vertical="top"/>
    </xf>
    <xf numFmtId="0" fontId="13" fillId="0" borderId="0" xfId="0" applyFont="1" applyAlignment="1">
      <alignment vertical="top" wrapText="1"/>
    </xf>
    <xf numFmtId="10" fontId="13" fillId="0" borderId="0" xfId="0" applyNumberFormat="1" applyFont="1" applyAlignment="1">
      <alignment vertical="top"/>
    </xf>
    <xf numFmtId="1" fontId="13" fillId="0" borderId="0" xfId="0" applyNumberFormat="1" applyFont="1" applyAlignment="1">
      <alignment vertical="top"/>
    </xf>
    <xf numFmtId="165" fontId="13" fillId="0" borderId="0" xfId="1" applyNumberFormat="1" applyFont="1" applyAlignment="1">
      <alignment vertical="top"/>
    </xf>
    <xf numFmtId="0" fontId="12" fillId="0" borderId="0" xfId="0" applyFont="1" applyAlignment="1">
      <alignment vertical="top"/>
    </xf>
    <xf numFmtId="14" fontId="13" fillId="0" borderId="0" xfId="0" applyNumberFormat="1" applyFont="1" applyAlignment="1">
      <alignment horizontal="left" vertical="top"/>
    </xf>
    <xf numFmtId="2" fontId="13" fillId="0" borderId="0" xfId="0" applyNumberFormat="1" applyFont="1" applyAlignment="1">
      <alignment vertical="top"/>
    </xf>
    <xf numFmtId="49" fontId="13" fillId="0" borderId="0" xfId="0" applyNumberFormat="1" applyFont="1" applyAlignment="1">
      <alignment horizontal="right" vertical="top"/>
    </xf>
    <xf numFmtId="0" fontId="13" fillId="0" borderId="0" xfId="0" applyFont="1" applyAlignment="1">
      <alignment horizontal="left" vertical="top"/>
    </xf>
    <xf numFmtId="164" fontId="2" fillId="0" borderId="0" xfId="2" applyNumberFormat="1" applyFont="1" applyAlignment="1">
      <alignment horizontal="left"/>
    </xf>
    <xf numFmtId="164" fontId="2" fillId="0" borderId="0" xfId="0" applyNumberFormat="1" applyFont="1" applyAlignment="1">
      <alignment horizontal="left"/>
    </xf>
    <xf numFmtId="0" fontId="18" fillId="0" borderId="0" xfId="3" applyFont="1"/>
    <xf numFmtId="0" fontId="19" fillId="0" borderId="0" xfId="0" applyFont="1"/>
    <xf numFmtId="10" fontId="2" fillId="0" borderId="0" xfId="1" applyNumberFormat="1" applyFont="1"/>
    <xf numFmtId="10" fontId="0" fillId="0" borderId="0" xfId="0" applyNumberFormat="1"/>
    <xf numFmtId="0" fontId="0" fillId="0" borderId="18" xfId="0" applyBorder="1"/>
    <xf numFmtId="0" fontId="9" fillId="0" borderId="17" xfId="0" applyFont="1" applyBorder="1" applyAlignment="1">
      <alignment horizontal="center"/>
    </xf>
    <xf numFmtId="0" fontId="2" fillId="0" borderId="0" xfId="0" applyFont="1" applyAlignment="1">
      <alignment horizontal="left" indent="1"/>
    </xf>
    <xf numFmtId="1" fontId="2" fillId="0" borderId="0" xfId="0" applyNumberFormat="1" applyFont="1"/>
    <xf numFmtId="1" fontId="3" fillId="0" borderId="0" xfId="0" applyNumberFormat="1" applyFont="1"/>
    <xf numFmtId="165" fontId="2" fillId="0" borderId="0" xfId="1" applyNumberFormat="1" applyFont="1"/>
    <xf numFmtId="165" fontId="3" fillId="0" borderId="0" xfId="1" applyNumberFormat="1" applyFont="1"/>
    <xf numFmtId="165" fontId="13" fillId="0" borderId="0" xfId="1" applyNumberFormat="1" applyFont="1"/>
    <xf numFmtId="165" fontId="12" fillId="0" borderId="0" xfId="1" applyNumberFormat="1" applyFont="1"/>
    <xf numFmtId="1" fontId="13" fillId="0" borderId="0" xfId="0" applyNumberFormat="1" applyFont="1"/>
    <xf numFmtId="1" fontId="12" fillId="0" borderId="0" xfId="0" applyNumberFormat="1" applyFont="1"/>
    <xf numFmtId="166" fontId="13" fillId="0" borderId="0" xfId="4" applyNumberFormat="1" applyFont="1" applyAlignment="1">
      <alignment vertical="top"/>
    </xf>
    <xf numFmtId="0" fontId="17" fillId="0" borderId="0" xfId="0" applyFont="1" applyAlignment="1">
      <alignment horizontal="center"/>
    </xf>
  </cellXfs>
  <cellStyles count="5">
    <cellStyle name="Comma" xfId="4" builtinId="3"/>
    <cellStyle name="Currency" xfId="2" builtinId="4"/>
    <cellStyle name="Hyperlink" xfId="3" builtinId="8"/>
    <cellStyle name="Normal" xfId="0" builtinId="0"/>
    <cellStyle name="Percent" xfId="1" builtinId="5"/>
  </cellStyles>
  <dxfs count="5">
    <dxf>
      <font>
        <b/>
        <i val="0"/>
        <color theme="0"/>
      </font>
      <fill>
        <patternFill>
          <bgColor rgb="FF5A8C38"/>
        </patternFill>
      </fill>
    </dxf>
    <dxf>
      <font>
        <b/>
        <i val="0"/>
        <color theme="0"/>
      </font>
      <fill>
        <patternFill>
          <bgColor theme="9" tint="0.39994506668294322"/>
        </patternFill>
      </fill>
    </dxf>
    <dxf>
      <font>
        <b/>
        <i val="0"/>
        <color theme="1"/>
      </font>
      <fill>
        <patternFill>
          <bgColor theme="7" tint="0.39994506668294322"/>
        </patternFill>
      </fill>
    </dxf>
    <dxf>
      <font>
        <b/>
        <i val="0"/>
        <color theme="0"/>
      </font>
      <fill>
        <patternFill>
          <bgColor rgb="FFFF6D6D"/>
        </patternFill>
      </fill>
    </dxf>
    <dxf>
      <font>
        <b/>
        <i val="0"/>
        <color theme="0"/>
      </font>
      <fill>
        <patternFill>
          <bgColor rgb="FFF20000"/>
        </patternFill>
      </fill>
    </dxf>
  </dxfs>
  <tableStyles count="0" defaultTableStyle="TableStyleMedium2" defaultPivotStyle="PivotStyleLight16"/>
  <colors>
    <mruColors>
      <color rgb="FF73A9DB"/>
      <color rgb="FF609ED6"/>
      <color rgb="FF428BCE"/>
      <color rgb="FF3399FF"/>
      <color rgb="FFFFFF66"/>
      <color rgb="FF000000"/>
      <color rgb="FF91C46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(AAPL) Revenue by Segment (in $ millions)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109587501048507E-2"/>
          <c:y val="0.16630261573867286"/>
          <c:w val="0.91646860416323306"/>
          <c:h val="0.74917903495450422"/>
        </c:manualLayout>
      </c:layout>
      <c:barChart>
        <c:barDir val="col"/>
        <c:grouping val="stacked"/>
        <c:varyColors val="0"/>
        <c:ser>
          <c:idx val="3"/>
          <c:order val="0"/>
          <c:tx>
            <c:strRef>
              <c:f>Model!$B$7</c:f>
              <c:strCache>
                <c:ptCount val="1"/>
                <c:pt idx="0">
                  <c:v>Wearables, Home &amp; Accessories</c:v>
                </c:pt>
              </c:strCache>
            </c:strRef>
          </c:tx>
          <c:spPr>
            <a:solidFill>
              <a:srgbClr val="FFFF66"/>
            </a:solidFill>
            <a:ln>
              <a:noFill/>
            </a:ln>
            <a:effectLst/>
          </c:spPr>
          <c:invertIfNegative val="0"/>
          <c:cat>
            <c:strRef>
              <c:f>Model!$AU$1:$BR$1</c:f>
              <c:strCache>
                <c:ptCount val="21"/>
                <c:pt idx="0">
                  <c:v>Q1 2020</c:v>
                </c:pt>
                <c:pt idx="4">
                  <c:v>Q1 2021</c:v>
                </c:pt>
                <c:pt idx="8">
                  <c:v>Q1 2022</c:v>
                </c:pt>
                <c:pt idx="12">
                  <c:v>Q1 2023</c:v>
                </c:pt>
                <c:pt idx="16">
                  <c:v>Q1 2024</c:v>
                </c:pt>
                <c:pt idx="20">
                  <c:v>Q1 2025</c:v>
                </c:pt>
              </c:strCache>
            </c:strRef>
          </c:cat>
          <c:val>
            <c:numRef>
              <c:f>Model!$AU$7:$BR$7</c:f>
              <c:numCache>
                <c:formatCode>0</c:formatCode>
                <c:ptCount val="24"/>
                <c:pt idx="0">
                  <c:v>10010</c:v>
                </c:pt>
                <c:pt idx="1">
                  <c:v>6284</c:v>
                </c:pt>
                <c:pt idx="2">
                  <c:v>6450</c:v>
                </c:pt>
                <c:pt idx="3">
                  <c:v>7876</c:v>
                </c:pt>
                <c:pt idx="4">
                  <c:v>12971</c:v>
                </c:pt>
                <c:pt idx="5">
                  <c:v>7836</c:v>
                </c:pt>
                <c:pt idx="6">
                  <c:v>8775</c:v>
                </c:pt>
                <c:pt idx="7">
                  <c:v>8785</c:v>
                </c:pt>
                <c:pt idx="8">
                  <c:v>14701</c:v>
                </c:pt>
                <c:pt idx="9">
                  <c:v>8806</c:v>
                </c:pt>
                <c:pt idx="10">
                  <c:v>8084</c:v>
                </c:pt>
                <c:pt idx="11">
                  <c:v>9750</c:v>
                </c:pt>
                <c:pt idx="12">
                  <c:v>13482</c:v>
                </c:pt>
                <c:pt idx="13">
                  <c:v>8757</c:v>
                </c:pt>
                <c:pt idx="14">
                  <c:v>8284</c:v>
                </c:pt>
                <c:pt idx="15">
                  <c:v>9322</c:v>
                </c:pt>
                <c:pt idx="16">
                  <c:v>11953</c:v>
                </c:pt>
                <c:pt idx="17">
                  <c:v>7913</c:v>
                </c:pt>
                <c:pt idx="18">
                  <c:v>8097</c:v>
                </c:pt>
                <c:pt idx="19">
                  <c:v>9042</c:v>
                </c:pt>
                <c:pt idx="20">
                  <c:v>11747</c:v>
                </c:pt>
                <c:pt idx="21">
                  <c:v>7522</c:v>
                </c:pt>
                <c:pt idx="22">
                  <c:v>7404</c:v>
                </c:pt>
                <c:pt idx="23">
                  <c:v>9195</c:v>
                </c:pt>
              </c:numCache>
            </c:numRef>
          </c:val>
          <c:extLst>
            <c:ext xmlns:c16="http://schemas.microsoft.com/office/drawing/2014/chart" uri="{C3380CC4-5D6E-409C-BE32-E72D297353CC}">
              <c16:uniqueId val="{00000003-763E-43B3-B662-D76C6E829219}"/>
            </c:ext>
          </c:extLst>
        </c:ser>
        <c:ser>
          <c:idx val="4"/>
          <c:order val="1"/>
          <c:tx>
            <c:strRef>
              <c:f>Model!$B$8</c:f>
              <c:strCache>
                <c:ptCount val="1"/>
                <c:pt idx="0">
                  <c:v>Services</c:v>
                </c:pt>
              </c:strCache>
            </c:strRef>
          </c:tx>
          <c:spPr>
            <a:solidFill>
              <a:srgbClr val="91C46E"/>
            </a:solidFill>
            <a:ln>
              <a:noFill/>
            </a:ln>
            <a:effectLst/>
          </c:spPr>
          <c:invertIfNegative val="0"/>
          <c:cat>
            <c:strRef>
              <c:f>Model!$AU$1:$BR$1</c:f>
              <c:strCache>
                <c:ptCount val="21"/>
                <c:pt idx="0">
                  <c:v>Q1 2020</c:v>
                </c:pt>
                <c:pt idx="4">
                  <c:v>Q1 2021</c:v>
                </c:pt>
                <c:pt idx="8">
                  <c:v>Q1 2022</c:v>
                </c:pt>
                <c:pt idx="12">
                  <c:v>Q1 2023</c:v>
                </c:pt>
                <c:pt idx="16">
                  <c:v>Q1 2024</c:v>
                </c:pt>
                <c:pt idx="20">
                  <c:v>Q1 2025</c:v>
                </c:pt>
              </c:strCache>
            </c:strRef>
          </c:cat>
          <c:val>
            <c:numRef>
              <c:f>Model!$AU$8:$BR$8</c:f>
              <c:numCache>
                <c:formatCode>0</c:formatCode>
                <c:ptCount val="24"/>
                <c:pt idx="0">
                  <c:v>12715</c:v>
                </c:pt>
                <c:pt idx="1">
                  <c:v>13348</c:v>
                </c:pt>
                <c:pt idx="2">
                  <c:v>13156</c:v>
                </c:pt>
                <c:pt idx="3">
                  <c:v>14549</c:v>
                </c:pt>
                <c:pt idx="4">
                  <c:v>15761</c:v>
                </c:pt>
                <c:pt idx="5">
                  <c:v>16901</c:v>
                </c:pt>
                <c:pt idx="6">
                  <c:v>17486</c:v>
                </c:pt>
                <c:pt idx="7">
                  <c:v>18277</c:v>
                </c:pt>
                <c:pt idx="8">
                  <c:v>19516</c:v>
                </c:pt>
                <c:pt idx="9">
                  <c:v>19821</c:v>
                </c:pt>
                <c:pt idx="10">
                  <c:v>19604</c:v>
                </c:pt>
                <c:pt idx="11">
                  <c:v>19188</c:v>
                </c:pt>
                <c:pt idx="12">
                  <c:v>20766</c:v>
                </c:pt>
                <c:pt idx="13">
                  <c:v>20907</c:v>
                </c:pt>
                <c:pt idx="14">
                  <c:v>21213</c:v>
                </c:pt>
                <c:pt idx="15">
                  <c:v>22314</c:v>
                </c:pt>
                <c:pt idx="16">
                  <c:v>23117</c:v>
                </c:pt>
                <c:pt idx="17">
                  <c:v>23867</c:v>
                </c:pt>
                <c:pt idx="18">
                  <c:v>24213</c:v>
                </c:pt>
                <c:pt idx="19">
                  <c:v>24972</c:v>
                </c:pt>
                <c:pt idx="20">
                  <c:v>26340</c:v>
                </c:pt>
                <c:pt idx="21">
                  <c:v>26645</c:v>
                </c:pt>
                <c:pt idx="22">
                  <c:v>27423</c:v>
                </c:pt>
                <c:pt idx="23">
                  <c:v>28750</c:v>
                </c:pt>
              </c:numCache>
            </c:numRef>
          </c:val>
          <c:extLst>
            <c:ext xmlns:c16="http://schemas.microsoft.com/office/drawing/2014/chart" uri="{C3380CC4-5D6E-409C-BE32-E72D297353CC}">
              <c16:uniqueId val="{00000004-763E-43B3-B662-D76C6E829219}"/>
            </c:ext>
          </c:extLst>
        </c:ser>
        <c:ser>
          <c:idx val="2"/>
          <c:order val="2"/>
          <c:tx>
            <c:strRef>
              <c:f>Model!$B$6</c:f>
              <c:strCache>
                <c:ptCount val="1"/>
                <c:pt idx="0">
                  <c:v>iPad </c:v>
                </c:pt>
              </c:strCache>
            </c:strRef>
          </c:tx>
          <c:spPr>
            <a:solidFill>
              <a:srgbClr val="5B9BD5">
                <a:lumMod val="75000"/>
              </a:srgbClr>
            </a:solidFill>
            <a:ln>
              <a:noFill/>
            </a:ln>
            <a:effectLst/>
          </c:spPr>
          <c:invertIfNegative val="0"/>
          <c:cat>
            <c:strRef>
              <c:f>Model!$AU$1:$BR$1</c:f>
              <c:strCache>
                <c:ptCount val="21"/>
                <c:pt idx="0">
                  <c:v>Q1 2020</c:v>
                </c:pt>
                <c:pt idx="4">
                  <c:v>Q1 2021</c:v>
                </c:pt>
                <c:pt idx="8">
                  <c:v>Q1 2022</c:v>
                </c:pt>
                <c:pt idx="12">
                  <c:v>Q1 2023</c:v>
                </c:pt>
                <c:pt idx="16">
                  <c:v>Q1 2024</c:v>
                </c:pt>
                <c:pt idx="20">
                  <c:v>Q1 2025</c:v>
                </c:pt>
              </c:strCache>
            </c:strRef>
          </c:cat>
          <c:val>
            <c:numRef>
              <c:f>Model!$AU$6:$BR$6</c:f>
              <c:numCache>
                <c:formatCode>0</c:formatCode>
                <c:ptCount val="24"/>
                <c:pt idx="0">
                  <c:v>5977</c:v>
                </c:pt>
                <c:pt idx="1">
                  <c:v>4368</c:v>
                </c:pt>
                <c:pt idx="2">
                  <c:v>6582</c:v>
                </c:pt>
                <c:pt idx="3">
                  <c:v>6797</c:v>
                </c:pt>
                <c:pt idx="4">
                  <c:v>8435</c:v>
                </c:pt>
                <c:pt idx="5">
                  <c:v>7807</c:v>
                </c:pt>
                <c:pt idx="6">
                  <c:v>7368</c:v>
                </c:pt>
                <c:pt idx="7">
                  <c:v>8252</c:v>
                </c:pt>
                <c:pt idx="8">
                  <c:v>7248</c:v>
                </c:pt>
                <c:pt idx="9">
                  <c:v>7646</c:v>
                </c:pt>
                <c:pt idx="10">
                  <c:v>7224</c:v>
                </c:pt>
                <c:pt idx="11">
                  <c:v>7174</c:v>
                </c:pt>
                <c:pt idx="12">
                  <c:v>9396</c:v>
                </c:pt>
                <c:pt idx="13">
                  <c:v>6670</c:v>
                </c:pt>
                <c:pt idx="14">
                  <c:v>5791</c:v>
                </c:pt>
                <c:pt idx="15">
                  <c:v>6443</c:v>
                </c:pt>
                <c:pt idx="16">
                  <c:v>7023</c:v>
                </c:pt>
                <c:pt idx="17">
                  <c:v>5559</c:v>
                </c:pt>
                <c:pt idx="18">
                  <c:v>7162</c:v>
                </c:pt>
                <c:pt idx="19">
                  <c:v>6950</c:v>
                </c:pt>
                <c:pt idx="20">
                  <c:v>8088</c:v>
                </c:pt>
                <c:pt idx="21">
                  <c:v>6402</c:v>
                </c:pt>
                <c:pt idx="22">
                  <c:v>6581</c:v>
                </c:pt>
                <c:pt idx="23">
                  <c:v>6952</c:v>
                </c:pt>
              </c:numCache>
            </c:numRef>
          </c:val>
          <c:extLst>
            <c:ext xmlns:c16="http://schemas.microsoft.com/office/drawing/2014/chart" uri="{C3380CC4-5D6E-409C-BE32-E72D297353CC}">
              <c16:uniqueId val="{00000002-763E-43B3-B662-D76C6E829219}"/>
            </c:ext>
          </c:extLst>
        </c:ser>
        <c:ser>
          <c:idx val="1"/>
          <c:order val="3"/>
          <c:tx>
            <c:strRef>
              <c:f>Model!$B$5</c:f>
              <c:strCache>
                <c:ptCount val="1"/>
                <c:pt idx="0">
                  <c:v>Mac</c:v>
                </c:pt>
              </c:strCache>
            </c:strRef>
          </c:tx>
          <c:spPr>
            <a:solidFill>
              <a:srgbClr val="73A9DB"/>
            </a:solidFill>
            <a:ln>
              <a:noFill/>
            </a:ln>
            <a:effectLst/>
          </c:spPr>
          <c:invertIfNegative val="0"/>
          <c:cat>
            <c:strRef>
              <c:f>Model!$AU$1:$BR$1</c:f>
              <c:strCache>
                <c:ptCount val="21"/>
                <c:pt idx="0">
                  <c:v>Q1 2020</c:v>
                </c:pt>
                <c:pt idx="4">
                  <c:v>Q1 2021</c:v>
                </c:pt>
                <c:pt idx="8">
                  <c:v>Q1 2022</c:v>
                </c:pt>
                <c:pt idx="12">
                  <c:v>Q1 2023</c:v>
                </c:pt>
                <c:pt idx="16">
                  <c:v>Q1 2024</c:v>
                </c:pt>
                <c:pt idx="20">
                  <c:v>Q1 2025</c:v>
                </c:pt>
              </c:strCache>
            </c:strRef>
          </c:cat>
          <c:val>
            <c:numRef>
              <c:f>Model!$AU$5:$BR$5</c:f>
              <c:numCache>
                <c:formatCode>0</c:formatCode>
                <c:ptCount val="24"/>
                <c:pt idx="0">
                  <c:v>7160</c:v>
                </c:pt>
                <c:pt idx="1">
                  <c:v>5351</c:v>
                </c:pt>
                <c:pt idx="2">
                  <c:v>7079</c:v>
                </c:pt>
                <c:pt idx="3">
                  <c:v>9032</c:v>
                </c:pt>
                <c:pt idx="4">
                  <c:v>8675</c:v>
                </c:pt>
                <c:pt idx="5">
                  <c:v>9102</c:v>
                </c:pt>
                <c:pt idx="6">
                  <c:v>8235</c:v>
                </c:pt>
                <c:pt idx="7">
                  <c:v>9178</c:v>
                </c:pt>
                <c:pt idx="8">
                  <c:v>10852</c:v>
                </c:pt>
                <c:pt idx="9">
                  <c:v>10435</c:v>
                </c:pt>
                <c:pt idx="10">
                  <c:v>7382</c:v>
                </c:pt>
                <c:pt idx="11">
                  <c:v>11508</c:v>
                </c:pt>
                <c:pt idx="12">
                  <c:v>7735</c:v>
                </c:pt>
                <c:pt idx="13">
                  <c:v>7168</c:v>
                </c:pt>
                <c:pt idx="14">
                  <c:v>6840</c:v>
                </c:pt>
                <c:pt idx="15">
                  <c:v>7614</c:v>
                </c:pt>
                <c:pt idx="16">
                  <c:v>7780</c:v>
                </c:pt>
                <c:pt idx="17">
                  <c:v>7451</c:v>
                </c:pt>
                <c:pt idx="18">
                  <c:v>7009</c:v>
                </c:pt>
                <c:pt idx="19">
                  <c:v>7744</c:v>
                </c:pt>
                <c:pt idx="20">
                  <c:v>8987</c:v>
                </c:pt>
                <c:pt idx="21">
                  <c:v>7949</c:v>
                </c:pt>
                <c:pt idx="22">
                  <c:v>8046</c:v>
                </c:pt>
                <c:pt idx="23">
                  <c:v>8726</c:v>
                </c:pt>
              </c:numCache>
            </c:numRef>
          </c:val>
          <c:extLst>
            <c:ext xmlns:c16="http://schemas.microsoft.com/office/drawing/2014/chart" uri="{C3380CC4-5D6E-409C-BE32-E72D297353CC}">
              <c16:uniqueId val="{00000001-763E-43B3-B662-D76C6E829219}"/>
            </c:ext>
          </c:extLst>
        </c:ser>
        <c:ser>
          <c:idx val="0"/>
          <c:order val="4"/>
          <c:tx>
            <c:strRef>
              <c:f>Model!$B$4</c:f>
              <c:strCache>
                <c:ptCount val="1"/>
                <c:pt idx="0">
                  <c:v>iPhone</c:v>
                </c:pt>
              </c:strCache>
            </c:strRef>
          </c:tx>
          <c:spPr>
            <a:solidFill>
              <a:srgbClr val="5B9BD5">
                <a:lumMod val="60000"/>
                <a:lumOff val="40000"/>
              </a:srgbClr>
            </a:solidFill>
            <a:ln>
              <a:noFill/>
            </a:ln>
            <a:effectLst/>
          </c:spPr>
          <c:invertIfNegative val="0"/>
          <c:cat>
            <c:strRef>
              <c:f>Model!$AU$1:$BR$1</c:f>
              <c:strCache>
                <c:ptCount val="21"/>
                <c:pt idx="0">
                  <c:v>Q1 2020</c:v>
                </c:pt>
                <c:pt idx="4">
                  <c:v>Q1 2021</c:v>
                </c:pt>
                <c:pt idx="8">
                  <c:v>Q1 2022</c:v>
                </c:pt>
                <c:pt idx="12">
                  <c:v>Q1 2023</c:v>
                </c:pt>
                <c:pt idx="16">
                  <c:v>Q1 2024</c:v>
                </c:pt>
                <c:pt idx="20">
                  <c:v>Q1 2025</c:v>
                </c:pt>
              </c:strCache>
            </c:strRef>
          </c:cat>
          <c:val>
            <c:numRef>
              <c:f>Model!$AU$4:$BR$4</c:f>
              <c:numCache>
                <c:formatCode>0</c:formatCode>
                <c:ptCount val="24"/>
                <c:pt idx="0">
                  <c:v>55957</c:v>
                </c:pt>
                <c:pt idx="1">
                  <c:v>28962</c:v>
                </c:pt>
                <c:pt idx="2">
                  <c:v>26418</c:v>
                </c:pt>
                <c:pt idx="3">
                  <c:v>26444</c:v>
                </c:pt>
                <c:pt idx="4">
                  <c:v>65597</c:v>
                </c:pt>
                <c:pt idx="5">
                  <c:v>47938</c:v>
                </c:pt>
                <c:pt idx="6">
                  <c:v>39570</c:v>
                </c:pt>
                <c:pt idx="7">
                  <c:v>38868</c:v>
                </c:pt>
                <c:pt idx="8">
                  <c:v>71628</c:v>
                </c:pt>
                <c:pt idx="9">
                  <c:v>50570</c:v>
                </c:pt>
                <c:pt idx="10">
                  <c:v>40665</c:v>
                </c:pt>
                <c:pt idx="11">
                  <c:v>42626</c:v>
                </c:pt>
                <c:pt idx="12">
                  <c:v>65775</c:v>
                </c:pt>
                <c:pt idx="13">
                  <c:v>51334</c:v>
                </c:pt>
                <c:pt idx="14">
                  <c:v>39669</c:v>
                </c:pt>
                <c:pt idx="15">
                  <c:v>43805</c:v>
                </c:pt>
                <c:pt idx="16">
                  <c:v>69702</c:v>
                </c:pt>
                <c:pt idx="17">
                  <c:v>45963</c:v>
                </c:pt>
                <c:pt idx="18">
                  <c:v>39296</c:v>
                </c:pt>
                <c:pt idx="19">
                  <c:v>46222</c:v>
                </c:pt>
                <c:pt idx="20">
                  <c:v>69138</c:v>
                </c:pt>
                <c:pt idx="21">
                  <c:v>46841</c:v>
                </c:pt>
                <c:pt idx="22">
                  <c:v>44582</c:v>
                </c:pt>
                <c:pt idx="23">
                  <c:v>49025</c:v>
                </c:pt>
              </c:numCache>
            </c:numRef>
          </c:val>
          <c:extLst>
            <c:ext xmlns:c16="http://schemas.microsoft.com/office/drawing/2014/chart" uri="{C3380CC4-5D6E-409C-BE32-E72D297353CC}">
              <c16:uniqueId val="{00000000-763E-43B3-B662-D76C6E829219}"/>
            </c:ext>
          </c:extLst>
        </c:ser>
        <c:dLbls>
          <c:showLegendKey val="0"/>
          <c:showVal val="0"/>
          <c:showCatName val="0"/>
          <c:showSerName val="0"/>
          <c:showPercent val="0"/>
          <c:showBubbleSize val="0"/>
        </c:dLbls>
        <c:gapWidth val="46"/>
        <c:overlap val="100"/>
        <c:axId val="826587039"/>
        <c:axId val="826586079"/>
      </c:barChart>
      <c:catAx>
        <c:axId val="8265870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826586079"/>
        <c:crossesAt val="-10000"/>
        <c:auto val="1"/>
        <c:lblAlgn val="ctr"/>
        <c:lblOffset val="100"/>
        <c:noMultiLvlLbl val="0"/>
      </c:catAx>
      <c:valAx>
        <c:axId val="8265860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826587039"/>
        <c:crosses val="autoZero"/>
        <c:crossBetween val="between"/>
      </c:valAx>
      <c:spPr>
        <a:noFill/>
        <a:ln>
          <a:noFill/>
        </a:ln>
        <a:effectLst/>
      </c:spPr>
    </c:plotArea>
    <c:legend>
      <c:legendPos val="t"/>
      <c:layout>
        <c:manualLayout>
          <c:xMode val="edge"/>
          <c:yMode val="edge"/>
          <c:x val="0.12500001367016772"/>
          <c:y val="5.2058346839546202E-2"/>
          <c:w val="0.79166664388305374"/>
          <c:h val="0.10738353815983699"/>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lgn="ctr" rtl="0">
              <a:defRPr sz="1440" b="0" i="0" u="none" strike="noStrike" kern="1200" spc="0" baseline="0">
                <a:solidFill>
                  <a:schemeClr val="tx1">
                    <a:lumMod val="65000"/>
                    <a:lumOff val="35000"/>
                  </a:schemeClr>
                </a:solidFill>
                <a:latin typeface="Calibre"/>
                <a:ea typeface="+mn-ea"/>
                <a:cs typeface="+mn-cs"/>
              </a:defRPr>
            </a:pPr>
            <a:r>
              <a:rPr lang="en-US" sz="1400" b="0" i="0" u="none" strike="noStrike" kern="1200" spc="0" baseline="0">
                <a:solidFill>
                  <a:sysClr val="windowText" lastClr="000000">
                    <a:lumMod val="65000"/>
                    <a:lumOff val="35000"/>
                  </a:sysClr>
                </a:solidFill>
                <a:latin typeface="Calibre"/>
              </a:rPr>
              <a:t>(AAPL) Quarterly Ttl Revenues, Net Income, Free Cash Flows (in $ millions)</a:t>
            </a:r>
            <a:endParaRPr lang="en-US"/>
          </a:p>
        </c:rich>
      </c:tx>
      <c:overlay val="0"/>
      <c:spPr>
        <a:noFill/>
        <a:ln>
          <a:noFill/>
        </a:ln>
        <a:effectLst/>
      </c:spPr>
    </c:title>
    <c:autoTitleDeleted val="0"/>
    <c:plotArea>
      <c:layout>
        <c:manualLayout>
          <c:layoutTarget val="inner"/>
          <c:xMode val="edge"/>
          <c:yMode val="edge"/>
          <c:x val="9.6798377690229573E-2"/>
          <c:y val="0.11478174751218337"/>
          <c:w val="0.88242614721237911"/>
          <c:h val="0.75563693032380408"/>
        </c:manualLayout>
      </c:layout>
      <c:barChart>
        <c:barDir val="col"/>
        <c:grouping val="clustered"/>
        <c:varyColors val="0"/>
        <c:ser>
          <c:idx val="1"/>
          <c:order val="1"/>
          <c:tx>
            <c:v>Income</c:v>
          </c:tx>
          <c:spPr>
            <a:solidFill>
              <a:srgbClr val="00B050"/>
            </a:solidFill>
          </c:spPr>
          <c:invertIfNegative val="0"/>
          <c:cat>
            <c:strRef>
              <c:f>[1]Model!$AW$3:$BQ$3</c:f>
              <c:strCache>
                <c:ptCount val="21"/>
                <c:pt idx="0">
                  <c:v>Q1 2020</c:v>
                </c:pt>
                <c:pt idx="1">
                  <c:v>Q2 2020</c:v>
                </c:pt>
                <c:pt idx="2">
                  <c:v>Q3 2020</c:v>
                </c:pt>
                <c:pt idx="3">
                  <c:v>Q4 2020</c:v>
                </c:pt>
                <c:pt idx="4">
                  <c:v>Q1 2021</c:v>
                </c:pt>
                <c:pt idx="5">
                  <c:v>Q2 2021</c:v>
                </c:pt>
                <c:pt idx="6">
                  <c:v>Q3 2021</c:v>
                </c:pt>
                <c:pt idx="7">
                  <c:v>Q4 2021</c:v>
                </c:pt>
                <c:pt idx="8">
                  <c:v>Q1 2022</c:v>
                </c:pt>
                <c:pt idx="9">
                  <c:v>Q2 2022</c:v>
                </c:pt>
                <c:pt idx="10">
                  <c:v>Q3 2022</c:v>
                </c:pt>
                <c:pt idx="11">
                  <c:v>Q4 2022</c:v>
                </c:pt>
                <c:pt idx="12">
                  <c:v>Q1 2023</c:v>
                </c:pt>
                <c:pt idx="13">
                  <c:v>Q2 2023</c:v>
                </c:pt>
                <c:pt idx="14">
                  <c:v>Q3 2023</c:v>
                </c:pt>
                <c:pt idx="15">
                  <c:v>Q4 2023</c:v>
                </c:pt>
                <c:pt idx="16">
                  <c:v>Q1 2024</c:v>
                </c:pt>
                <c:pt idx="17">
                  <c:v>Q2 2024</c:v>
                </c:pt>
                <c:pt idx="18">
                  <c:v>Q3 2024</c:v>
                </c:pt>
                <c:pt idx="19">
                  <c:v>Q4 2024</c:v>
                </c:pt>
                <c:pt idx="20">
                  <c:v>Q1 2025</c:v>
                </c:pt>
              </c:strCache>
            </c:strRef>
          </c:cat>
          <c:val>
            <c:numRef>
              <c:f>Model!$AU$53:$BR$53</c:f>
              <c:numCache>
                <c:formatCode>0</c:formatCode>
                <c:ptCount val="24"/>
                <c:pt idx="0">
                  <c:v>22236</c:v>
                </c:pt>
                <c:pt idx="1">
                  <c:v>11249</c:v>
                </c:pt>
                <c:pt idx="2">
                  <c:v>11253</c:v>
                </c:pt>
                <c:pt idx="3">
                  <c:v>12673</c:v>
                </c:pt>
                <c:pt idx="4">
                  <c:v>28755</c:v>
                </c:pt>
                <c:pt idx="5">
                  <c:v>23630</c:v>
                </c:pt>
                <c:pt idx="6">
                  <c:v>21744</c:v>
                </c:pt>
                <c:pt idx="7">
                  <c:v>20551</c:v>
                </c:pt>
                <c:pt idx="8">
                  <c:v>34630</c:v>
                </c:pt>
                <c:pt idx="9">
                  <c:v>25010</c:v>
                </c:pt>
                <c:pt idx="10">
                  <c:v>19442</c:v>
                </c:pt>
                <c:pt idx="11">
                  <c:v>20821</c:v>
                </c:pt>
                <c:pt idx="12">
                  <c:v>29998</c:v>
                </c:pt>
                <c:pt idx="13">
                  <c:v>24160</c:v>
                </c:pt>
                <c:pt idx="14">
                  <c:v>19881</c:v>
                </c:pt>
                <c:pt idx="15">
                  <c:v>22956</c:v>
                </c:pt>
                <c:pt idx="16">
                  <c:v>33916</c:v>
                </c:pt>
                <c:pt idx="17">
                  <c:v>23636</c:v>
                </c:pt>
                <c:pt idx="18">
                  <c:v>21448</c:v>
                </c:pt>
                <c:pt idx="19">
                  <c:v>14736</c:v>
                </c:pt>
                <c:pt idx="20">
                  <c:v>36330</c:v>
                </c:pt>
                <c:pt idx="21">
                  <c:v>24780</c:v>
                </c:pt>
                <c:pt idx="22">
                  <c:v>23434</c:v>
                </c:pt>
                <c:pt idx="23">
                  <c:v>27648</c:v>
                </c:pt>
              </c:numCache>
            </c:numRef>
          </c:val>
          <c:extLst>
            <c:ext xmlns:c16="http://schemas.microsoft.com/office/drawing/2014/chart" uri="{C3380CC4-5D6E-409C-BE32-E72D297353CC}">
              <c16:uniqueId val="{00000001-3646-4EF6-8D0F-B65629DF816B}"/>
            </c:ext>
          </c:extLst>
        </c:ser>
        <c:ser>
          <c:idx val="2"/>
          <c:order val="2"/>
          <c:tx>
            <c:v>FCF</c:v>
          </c:tx>
          <c:spPr>
            <a:solidFill>
              <a:srgbClr val="FFC000"/>
            </a:solidFill>
          </c:spPr>
          <c:invertIfNegative val="0"/>
          <c:cat>
            <c:strRef>
              <c:f>[1]Model!$AW$3:$BQ$3</c:f>
              <c:strCache>
                <c:ptCount val="21"/>
                <c:pt idx="0">
                  <c:v>Q1 2020</c:v>
                </c:pt>
                <c:pt idx="1">
                  <c:v>Q2 2020</c:v>
                </c:pt>
                <c:pt idx="2">
                  <c:v>Q3 2020</c:v>
                </c:pt>
                <c:pt idx="3">
                  <c:v>Q4 2020</c:v>
                </c:pt>
                <c:pt idx="4">
                  <c:v>Q1 2021</c:v>
                </c:pt>
                <c:pt idx="5">
                  <c:v>Q2 2021</c:v>
                </c:pt>
                <c:pt idx="6">
                  <c:v>Q3 2021</c:v>
                </c:pt>
                <c:pt idx="7">
                  <c:v>Q4 2021</c:v>
                </c:pt>
                <c:pt idx="8">
                  <c:v>Q1 2022</c:v>
                </c:pt>
                <c:pt idx="9">
                  <c:v>Q2 2022</c:v>
                </c:pt>
                <c:pt idx="10">
                  <c:v>Q3 2022</c:v>
                </c:pt>
                <c:pt idx="11">
                  <c:v>Q4 2022</c:v>
                </c:pt>
                <c:pt idx="12">
                  <c:v>Q1 2023</c:v>
                </c:pt>
                <c:pt idx="13">
                  <c:v>Q2 2023</c:v>
                </c:pt>
                <c:pt idx="14">
                  <c:v>Q3 2023</c:v>
                </c:pt>
                <c:pt idx="15">
                  <c:v>Q4 2023</c:v>
                </c:pt>
                <c:pt idx="16">
                  <c:v>Q1 2024</c:v>
                </c:pt>
                <c:pt idx="17">
                  <c:v>Q2 2024</c:v>
                </c:pt>
                <c:pt idx="18">
                  <c:v>Q3 2024</c:v>
                </c:pt>
                <c:pt idx="19">
                  <c:v>Q4 2024</c:v>
                </c:pt>
                <c:pt idx="20">
                  <c:v>Q1 2025</c:v>
                </c:pt>
              </c:strCache>
            </c:strRef>
          </c:cat>
          <c:val>
            <c:numRef>
              <c:f>Model!$AU$97:$BR$97</c:f>
              <c:numCache>
                <c:formatCode>0</c:formatCode>
                <c:ptCount val="24"/>
                <c:pt idx="0">
                  <c:v>32623</c:v>
                </c:pt>
                <c:pt idx="1">
                  <c:v>15164</c:v>
                </c:pt>
                <c:pt idx="2">
                  <c:v>17836</c:v>
                </c:pt>
                <c:pt idx="3">
                  <c:v>22360</c:v>
                </c:pt>
                <c:pt idx="4">
                  <c:v>42263</c:v>
                </c:pt>
                <c:pt idx="5">
                  <c:v>26250</c:v>
                </c:pt>
                <c:pt idx="6">
                  <c:v>23187</c:v>
                </c:pt>
                <c:pt idx="7">
                  <c:v>23423</c:v>
                </c:pt>
                <c:pt idx="8">
                  <c:v>49769</c:v>
                </c:pt>
                <c:pt idx="9">
                  <c:v>30680</c:v>
                </c:pt>
                <c:pt idx="10">
                  <c:v>24994</c:v>
                </c:pt>
                <c:pt idx="11">
                  <c:v>27416</c:v>
                </c:pt>
                <c:pt idx="12">
                  <c:v>37792</c:v>
                </c:pt>
                <c:pt idx="13">
                  <c:v>31476</c:v>
                </c:pt>
                <c:pt idx="14">
                  <c:v>28473</c:v>
                </c:pt>
                <c:pt idx="15">
                  <c:v>23761</c:v>
                </c:pt>
                <c:pt idx="16">
                  <c:v>42287</c:v>
                </c:pt>
                <c:pt idx="17">
                  <c:v>24686</c:v>
                </c:pt>
                <c:pt idx="18">
                  <c:v>31009</c:v>
                </c:pt>
                <c:pt idx="19">
                  <c:v>29719</c:v>
                </c:pt>
                <c:pt idx="20">
                  <c:v>32875</c:v>
                </c:pt>
                <c:pt idx="21">
                  <c:v>27023</c:v>
                </c:pt>
                <c:pt idx="22">
                  <c:v>31329</c:v>
                </c:pt>
                <c:pt idx="23">
                  <c:v>32970</c:v>
                </c:pt>
              </c:numCache>
            </c:numRef>
          </c:val>
          <c:extLst>
            <c:ext xmlns:c16="http://schemas.microsoft.com/office/drawing/2014/chart" uri="{C3380CC4-5D6E-409C-BE32-E72D297353CC}">
              <c16:uniqueId val="{00000003-3646-4EF6-8D0F-B65629DF816B}"/>
            </c:ext>
          </c:extLst>
        </c:ser>
        <c:dLbls>
          <c:showLegendKey val="0"/>
          <c:showVal val="0"/>
          <c:showCatName val="0"/>
          <c:showSerName val="0"/>
          <c:showPercent val="0"/>
          <c:showBubbleSize val="0"/>
        </c:dLbls>
        <c:gapWidth val="57"/>
        <c:axId val="1243124976"/>
        <c:axId val="1243123056"/>
      </c:barChart>
      <c:lineChart>
        <c:grouping val="standard"/>
        <c:varyColors val="0"/>
        <c:ser>
          <c:idx val="0"/>
          <c:order val="0"/>
          <c:tx>
            <c:strRef>
              <c:f>Model!$B$44</c:f>
              <c:strCache>
                <c:ptCount val="1"/>
                <c:pt idx="0">
                  <c:v>Revenues</c:v>
                </c:pt>
              </c:strCache>
            </c:strRef>
          </c:tx>
          <c:spPr>
            <a:ln w="27940">
              <a:solidFill>
                <a:srgbClr val="00B0F0"/>
              </a:solidFill>
            </a:ln>
          </c:spPr>
          <c:marker>
            <c:symbol val="none"/>
          </c:marker>
          <c:cat>
            <c:strRef>
              <c:f>Model!$AU$1:$BR$1</c:f>
              <c:strCache>
                <c:ptCount val="21"/>
                <c:pt idx="0">
                  <c:v>Q1 2020</c:v>
                </c:pt>
                <c:pt idx="4">
                  <c:v>Q1 2021</c:v>
                </c:pt>
                <c:pt idx="8">
                  <c:v>Q1 2022</c:v>
                </c:pt>
                <c:pt idx="12">
                  <c:v>Q1 2023</c:v>
                </c:pt>
                <c:pt idx="16">
                  <c:v>Q1 2024</c:v>
                </c:pt>
                <c:pt idx="20">
                  <c:v>Q1 2025</c:v>
                </c:pt>
              </c:strCache>
            </c:strRef>
          </c:cat>
          <c:val>
            <c:numRef>
              <c:f>Model!$AU$44:$BR$44</c:f>
              <c:numCache>
                <c:formatCode>0</c:formatCode>
                <c:ptCount val="24"/>
                <c:pt idx="0">
                  <c:v>91819</c:v>
                </c:pt>
                <c:pt idx="1">
                  <c:v>58313</c:v>
                </c:pt>
                <c:pt idx="2">
                  <c:v>59685</c:v>
                </c:pt>
                <c:pt idx="3">
                  <c:v>64698</c:v>
                </c:pt>
                <c:pt idx="4">
                  <c:v>111439</c:v>
                </c:pt>
                <c:pt idx="5">
                  <c:v>89584</c:v>
                </c:pt>
                <c:pt idx="6">
                  <c:v>81434</c:v>
                </c:pt>
                <c:pt idx="7">
                  <c:v>83360</c:v>
                </c:pt>
                <c:pt idx="8">
                  <c:v>123945</c:v>
                </c:pt>
                <c:pt idx="9">
                  <c:v>97278</c:v>
                </c:pt>
                <c:pt idx="10">
                  <c:v>82959</c:v>
                </c:pt>
                <c:pt idx="11">
                  <c:v>90246</c:v>
                </c:pt>
                <c:pt idx="12">
                  <c:v>117154</c:v>
                </c:pt>
                <c:pt idx="13">
                  <c:v>94836</c:v>
                </c:pt>
                <c:pt idx="14">
                  <c:v>81797</c:v>
                </c:pt>
                <c:pt idx="15">
                  <c:v>89498</c:v>
                </c:pt>
                <c:pt idx="16">
                  <c:v>119575</c:v>
                </c:pt>
                <c:pt idx="17">
                  <c:v>90753</c:v>
                </c:pt>
                <c:pt idx="18">
                  <c:v>85777</c:v>
                </c:pt>
                <c:pt idx="19">
                  <c:v>94930</c:v>
                </c:pt>
                <c:pt idx="20">
                  <c:v>124300</c:v>
                </c:pt>
                <c:pt idx="21">
                  <c:v>95359</c:v>
                </c:pt>
                <c:pt idx="22">
                  <c:v>94036</c:v>
                </c:pt>
                <c:pt idx="23">
                  <c:v>102648</c:v>
                </c:pt>
              </c:numCache>
            </c:numRef>
          </c:val>
          <c:smooth val="0"/>
          <c:extLst>
            <c:ext xmlns:c16="http://schemas.microsoft.com/office/drawing/2014/chart" uri="{C3380CC4-5D6E-409C-BE32-E72D297353CC}">
              <c16:uniqueId val="{00000005-3646-4EF6-8D0F-B65629DF816B}"/>
            </c:ext>
          </c:extLst>
        </c:ser>
        <c:dLbls>
          <c:showLegendKey val="0"/>
          <c:showVal val="0"/>
          <c:showCatName val="0"/>
          <c:showSerName val="0"/>
          <c:showPercent val="0"/>
          <c:showBubbleSize val="0"/>
        </c:dLbls>
        <c:marker val="1"/>
        <c:smooth val="0"/>
        <c:axId val="1243124976"/>
        <c:axId val="1243123056"/>
      </c:lineChart>
      <c:dateAx>
        <c:axId val="1243124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ysClr val="windowText" lastClr="000000"/>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3056"/>
        <c:crosses val="autoZero"/>
        <c:auto val="0"/>
        <c:lblOffset val="100"/>
        <c:baseTimeUnit val="days"/>
        <c:majorUnit val="1"/>
      </c:dateAx>
      <c:valAx>
        <c:axId val="12431230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4976"/>
        <c:crosses val="autoZero"/>
        <c:crossBetween val="between"/>
      </c:valAx>
      <c:spPr>
        <a:noFill/>
        <a:ln>
          <a:noFill/>
        </a:ln>
        <a:effectLst/>
      </c:spPr>
    </c:plotArea>
    <c:legend>
      <c:legendPos val="t"/>
      <c:layout>
        <c:manualLayout>
          <c:xMode val="edge"/>
          <c:yMode val="edge"/>
          <c:x val="0.23601803088279277"/>
          <c:y val="6.8226667462544965E-2"/>
          <c:w val="0.53831279215259631"/>
          <c:h val="3.4184204239573995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sz="1200">
          <a:latin typeface="Calibre"/>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a:t>(AAPL) Historical Return Histogram + Normal Distribution Overlay</a:t>
            </a:r>
          </a:p>
        </c:rich>
      </c:tx>
      <c:layout>
        <c:manualLayout>
          <c:xMode val="edge"/>
          <c:yMode val="edge"/>
          <c:x val="0.26993827160493827"/>
          <c:y val="9.084836817195378E-3"/>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manualLayout>
          <c:layoutTarget val="inner"/>
          <c:xMode val="edge"/>
          <c:yMode val="edge"/>
          <c:x val="3.5764362787984838E-2"/>
          <c:y val="6.1527057344455703E-2"/>
          <c:w val="0.93313376105764534"/>
          <c:h val="0.87215756826816704"/>
        </c:manualLayout>
      </c:layout>
      <c:scatterChart>
        <c:scatterStyle val="smoothMarker"/>
        <c:varyColors val="0"/>
        <c:ser>
          <c:idx val="0"/>
          <c:order val="0"/>
          <c:tx>
            <c:strRef>
              <c:f>'Notes | Quant Analysis'!$I$243</c:f>
              <c:strCache>
                <c:ptCount val="1"/>
                <c:pt idx="0">
                  <c:v>Histogram Data</c:v>
                </c:pt>
              </c:strCache>
            </c:strRef>
          </c:tx>
          <c:spPr>
            <a:ln w="38100" cap="rnd">
              <a:noFill/>
              <a:round/>
            </a:ln>
            <a:effectLst/>
          </c:spPr>
          <c:marker>
            <c:symbol val="none"/>
          </c:marker>
          <c:errBars>
            <c:errDir val="y"/>
            <c:errBarType val="minus"/>
            <c:errValType val="percentage"/>
            <c:noEndCap val="1"/>
            <c:val val="100"/>
            <c:spPr>
              <a:noFill/>
              <a:ln w="127000" cap="flat" cmpd="sng" algn="ctr">
                <a:solidFill>
                  <a:srgbClr val="00B0F0"/>
                </a:solidFill>
                <a:round/>
              </a:ln>
              <a:effectLst/>
            </c:spPr>
          </c:errBars>
          <c:xVal>
            <c:numRef>
              <c:f>'Notes | Quant Analysis'!$I$245:$I$337</c:f>
              <c:numCache>
                <c:formatCode>0.00%</c:formatCode>
                <c:ptCount val="93"/>
                <c:pt idx="0">
                  <c:v>-4.6000000000000034E-2</c:v>
                </c:pt>
                <c:pt idx="1">
                  <c:v>-4.5000000000000033E-2</c:v>
                </c:pt>
                <c:pt idx="2">
                  <c:v>-4.4000000000000032E-2</c:v>
                </c:pt>
                <c:pt idx="3">
                  <c:v>-4.3000000000000031E-2</c:v>
                </c:pt>
                <c:pt idx="4">
                  <c:v>-4.200000000000003E-2</c:v>
                </c:pt>
                <c:pt idx="5">
                  <c:v>-4.1000000000000029E-2</c:v>
                </c:pt>
                <c:pt idx="6">
                  <c:v>-4.0000000000000029E-2</c:v>
                </c:pt>
                <c:pt idx="7">
                  <c:v>-3.9000000000000028E-2</c:v>
                </c:pt>
                <c:pt idx="8">
                  <c:v>-3.8000000000000027E-2</c:v>
                </c:pt>
                <c:pt idx="9">
                  <c:v>-3.7000000000000026E-2</c:v>
                </c:pt>
                <c:pt idx="10">
                  <c:v>-3.6000000000000025E-2</c:v>
                </c:pt>
                <c:pt idx="11">
                  <c:v>-3.5000000000000024E-2</c:v>
                </c:pt>
                <c:pt idx="12">
                  <c:v>-3.4000000000000023E-2</c:v>
                </c:pt>
                <c:pt idx="13">
                  <c:v>-3.3000000000000022E-2</c:v>
                </c:pt>
                <c:pt idx="14">
                  <c:v>-3.2000000000000021E-2</c:v>
                </c:pt>
                <c:pt idx="15">
                  <c:v>-3.1000000000000021E-2</c:v>
                </c:pt>
                <c:pt idx="16">
                  <c:v>-3.000000000000002E-2</c:v>
                </c:pt>
                <c:pt idx="17">
                  <c:v>-2.9000000000000019E-2</c:v>
                </c:pt>
                <c:pt idx="18">
                  <c:v>-2.8000000000000018E-2</c:v>
                </c:pt>
                <c:pt idx="19">
                  <c:v>-2.7000000000000017E-2</c:v>
                </c:pt>
                <c:pt idx="20">
                  <c:v>-2.6000000000000016E-2</c:v>
                </c:pt>
                <c:pt idx="21">
                  <c:v>-2.5000000000000015E-2</c:v>
                </c:pt>
                <c:pt idx="22">
                  <c:v>-2.4000000000000014E-2</c:v>
                </c:pt>
                <c:pt idx="23">
                  <c:v>-2.3000000000000013E-2</c:v>
                </c:pt>
                <c:pt idx="24">
                  <c:v>-2.2000000000000013E-2</c:v>
                </c:pt>
                <c:pt idx="25">
                  <c:v>-2.1000000000000012E-2</c:v>
                </c:pt>
                <c:pt idx="26">
                  <c:v>-2.0000000000000011E-2</c:v>
                </c:pt>
                <c:pt idx="27">
                  <c:v>-1.900000000000001E-2</c:v>
                </c:pt>
                <c:pt idx="28">
                  <c:v>-1.8000000000000009E-2</c:v>
                </c:pt>
                <c:pt idx="29">
                  <c:v>-1.7000000000000008E-2</c:v>
                </c:pt>
                <c:pt idx="30">
                  <c:v>-1.6000000000000007E-2</c:v>
                </c:pt>
                <c:pt idx="31">
                  <c:v>-1.5000000000000006E-2</c:v>
                </c:pt>
                <c:pt idx="32">
                  <c:v>-1.4000000000000005E-2</c:v>
                </c:pt>
                <c:pt idx="33">
                  <c:v>-1.3000000000000005E-2</c:v>
                </c:pt>
                <c:pt idx="34">
                  <c:v>-1.2000000000000004E-2</c:v>
                </c:pt>
                <c:pt idx="35">
                  <c:v>-1.1000000000000003E-2</c:v>
                </c:pt>
                <c:pt idx="36">
                  <c:v>-1.0000000000000002E-2</c:v>
                </c:pt>
                <c:pt idx="37">
                  <c:v>-9.0000000000000011E-3</c:v>
                </c:pt>
                <c:pt idx="38">
                  <c:v>-8.0000000000000002E-3</c:v>
                </c:pt>
                <c:pt idx="39">
                  <c:v>-7.0000000000000001E-3</c:v>
                </c:pt>
                <c:pt idx="40">
                  <c:v>-6.0000000000000001E-3</c:v>
                </c:pt>
                <c:pt idx="41">
                  <c:v>-5.0000000000000001E-3</c:v>
                </c:pt>
                <c:pt idx="42">
                  <c:v>-4.0000000000000001E-3</c:v>
                </c:pt>
                <c:pt idx="43">
                  <c:v>-3.0000000000000001E-3</c:v>
                </c:pt>
                <c:pt idx="44">
                  <c:v>-2E-3</c:v>
                </c:pt>
                <c:pt idx="45">
                  <c:v>-1E-3</c:v>
                </c:pt>
                <c:pt idx="46">
                  <c:v>0</c:v>
                </c:pt>
                <c:pt idx="47">
                  <c:v>1E-3</c:v>
                </c:pt>
                <c:pt idx="48">
                  <c:v>2E-3</c:v>
                </c:pt>
                <c:pt idx="49">
                  <c:v>3.0000000000000001E-3</c:v>
                </c:pt>
                <c:pt idx="50">
                  <c:v>4.0000000000000001E-3</c:v>
                </c:pt>
                <c:pt idx="51">
                  <c:v>5.0000000000000001E-3</c:v>
                </c:pt>
                <c:pt idx="52">
                  <c:v>6.0000000000000001E-3</c:v>
                </c:pt>
                <c:pt idx="53">
                  <c:v>7.0000000000000001E-3</c:v>
                </c:pt>
                <c:pt idx="54">
                  <c:v>8.0000000000000002E-3</c:v>
                </c:pt>
                <c:pt idx="55">
                  <c:v>9.0000000000000011E-3</c:v>
                </c:pt>
                <c:pt idx="56">
                  <c:v>1.0000000000000002E-2</c:v>
                </c:pt>
                <c:pt idx="57">
                  <c:v>1.1000000000000003E-2</c:v>
                </c:pt>
                <c:pt idx="58">
                  <c:v>1.2000000000000004E-2</c:v>
                </c:pt>
                <c:pt idx="59">
                  <c:v>1.3000000000000005E-2</c:v>
                </c:pt>
                <c:pt idx="60">
                  <c:v>1.4000000000000005E-2</c:v>
                </c:pt>
                <c:pt idx="61">
                  <c:v>1.5000000000000006E-2</c:v>
                </c:pt>
                <c:pt idx="62">
                  <c:v>1.6000000000000007E-2</c:v>
                </c:pt>
                <c:pt idx="63">
                  <c:v>1.7000000000000008E-2</c:v>
                </c:pt>
                <c:pt idx="64">
                  <c:v>1.8000000000000009E-2</c:v>
                </c:pt>
                <c:pt idx="65">
                  <c:v>1.900000000000001E-2</c:v>
                </c:pt>
                <c:pt idx="66">
                  <c:v>2.0000000000000011E-2</c:v>
                </c:pt>
                <c:pt idx="67">
                  <c:v>2.1000000000000012E-2</c:v>
                </c:pt>
                <c:pt idx="68">
                  <c:v>2.2000000000000013E-2</c:v>
                </c:pt>
                <c:pt idx="69">
                  <c:v>2.3000000000000013E-2</c:v>
                </c:pt>
                <c:pt idx="70">
                  <c:v>2.4000000000000014E-2</c:v>
                </c:pt>
                <c:pt idx="71">
                  <c:v>2.5000000000000015E-2</c:v>
                </c:pt>
                <c:pt idx="72">
                  <c:v>2.6000000000000016E-2</c:v>
                </c:pt>
                <c:pt idx="73">
                  <c:v>2.7000000000000017E-2</c:v>
                </c:pt>
                <c:pt idx="74">
                  <c:v>2.8000000000000018E-2</c:v>
                </c:pt>
                <c:pt idx="75">
                  <c:v>2.9000000000000019E-2</c:v>
                </c:pt>
                <c:pt idx="76">
                  <c:v>3.000000000000002E-2</c:v>
                </c:pt>
                <c:pt idx="77">
                  <c:v>3.1000000000000021E-2</c:v>
                </c:pt>
                <c:pt idx="78">
                  <c:v>3.2000000000000021E-2</c:v>
                </c:pt>
                <c:pt idx="79">
                  <c:v>3.3000000000000022E-2</c:v>
                </c:pt>
                <c:pt idx="80">
                  <c:v>3.4000000000000023E-2</c:v>
                </c:pt>
                <c:pt idx="81">
                  <c:v>3.5000000000000024E-2</c:v>
                </c:pt>
                <c:pt idx="82">
                  <c:v>3.6000000000000025E-2</c:v>
                </c:pt>
                <c:pt idx="83">
                  <c:v>3.7000000000000026E-2</c:v>
                </c:pt>
                <c:pt idx="84">
                  <c:v>3.8000000000000027E-2</c:v>
                </c:pt>
                <c:pt idx="85">
                  <c:v>3.9000000000000028E-2</c:v>
                </c:pt>
                <c:pt idx="86">
                  <c:v>4.0000000000000029E-2</c:v>
                </c:pt>
                <c:pt idx="87">
                  <c:v>4.1000000000000029E-2</c:v>
                </c:pt>
                <c:pt idx="88">
                  <c:v>4.200000000000003E-2</c:v>
                </c:pt>
                <c:pt idx="89">
                  <c:v>4.3000000000000031E-2</c:v>
                </c:pt>
                <c:pt idx="90">
                  <c:v>4.4000000000000032E-2</c:v>
                </c:pt>
                <c:pt idx="91">
                  <c:v>4.5000000000000033E-2</c:v>
                </c:pt>
                <c:pt idx="92">
                  <c:v>4.6000000000000034E-2</c:v>
                </c:pt>
              </c:numCache>
            </c:numRef>
          </c:xVal>
          <c:yVal>
            <c:numRef>
              <c:f>'Notes | Quant Analysis'!$J$245:$J$337</c:f>
              <c:numCache>
                <c:formatCode>General</c:formatCode>
                <c:ptCount val="93"/>
                <c:pt idx="0">
                  <c:v>1</c:v>
                </c:pt>
                <c:pt idx="1">
                  <c:v>2</c:v>
                </c:pt>
                <c:pt idx="2">
                  <c:v>0</c:v>
                </c:pt>
                <c:pt idx="3">
                  <c:v>1</c:v>
                </c:pt>
                <c:pt idx="4">
                  <c:v>1</c:v>
                </c:pt>
                <c:pt idx="5">
                  <c:v>2</c:v>
                </c:pt>
                <c:pt idx="6">
                  <c:v>3</c:v>
                </c:pt>
                <c:pt idx="7">
                  <c:v>2</c:v>
                </c:pt>
                <c:pt idx="8">
                  <c:v>2</c:v>
                </c:pt>
                <c:pt idx="9">
                  <c:v>2</c:v>
                </c:pt>
                <c:pt idx="10">
                  <c:v>0</c:v>
                </c:pt>
                <c:pt idx="11">
                  <c:v>0</c:v>
                </c:pt>
                <c:pt idx="12">
                  <c:v>2</c:v>
                </c:pt>
                <c:pt idx="13">
                  <c:v>5</c:v>
                </c:pt>
                <c:pt idx="14">
                  <c:v>3</c:v>
                </c:pt>
                <c:pt idx="15">
                  <c:v>1</c:v>
                </c:pt>
                <c:pt idx="16">
                  <c:v>2</c:v>
                </c:pt>
                <c:pt idx="17">
                  <c:v>4</c:v>
                </c:pt>
                <c:pt idx="18">
                  <c:v>6</c:v>
                </c:pt>
                <c:pt idx="19">
                  <c:v>1</c:v>
                </c:pt>
                <c:pt idx="20">
                  <c:v>8</c:v>
                </c:pt>
                <c:pt idx="21">
                  <c:v>4</c:v>
                </c:pt>
                <c:pt idx="22">
                  <c:v>5</c:v>
                </c:pt>
                <c:pt idx="23">
                  <c:v>7</c:v>
                </c:pt>
                <c:pt idx="24">
                  <c:v>8</c:v>
                </c:pt>
                <c:pt idx="25">
                  <c:v>9</c:v>
                </c:pt>
                <c:pt idx="26">
                  <c:v>6</c:v>
                </c:pt>
                <c:pt idx="27">
                  <c:v>10</c:v>
                </c:pt>
                <c:pt idx="28">
                  <c:v>9</c:v>
                </c:pt>
                <c:pt idx="29">
                  <c:v>12</c:v>
                </c:pt>
                <c:pt idx="30">
                  <c:v>10</c:v>
                </c:pt>
                <c:pt idx="31">
                  <c:v>11</c:v>
                </c:pt>
                <c:pt idx="32">
                  <c:v>24</c:v>
                </c:pt>
                <c:pt idx="33">
                  <c:v>22</c:v>
                </c:pt>
                <c:pt idx="34">
                  <c:v>12</c:v>
                </c:pt>
                <c:pt idx="35">
                  <c:v>14</c:v>
                </c:pt>
                <c:pt idx="36">
                  <c:v>17</c:v>
                </c:pt>
                <c:pt idx="37">
                  <c:v>25</c:v>
                </c:pt>
                <c:pt idx="38">
                  <c:v>25</c:v>
                </c:pt>
                <c:pt idx="39">
                  <c:v>26</c:v>
                </c:pt>
                <c:pt idx="40">
                  <c:v>37</c:v>
                </c:pt>
                <c:pt idx="41">
                  <c:v>38</c:v>
                </c:pt>
                <c:pt idx="42">
                  <c:v>36</c:v>
                </c:pt>
                <c:pt idx="43">
                  <c:v>42</c:v>
                </c:pt>
                <c:pt idx="44">
                  <c:v>39</c:v>
                </c:pt>
                <c:pt idx="45">
                  <c:v>43</c:v>
                </c:pt>
                <c:pt idx="46">
                  <c:v>46</c:v>
                </c:pt>
                <c:pt idx="47">
                  <c:v>52</c:v>
                </c:pt>
                <c:pt idx="48">
                  <c:v>43</c:v>
                </c:pt>
                <c:pt idx="49">
                  <c:v>37</c:v>
                </c:pt>
                <c:pt idx="50">
                  <c:v>47</c:v>
                </c:pt>
                <c:pt idx="51">
                  <c:v>30</c:v>
                </c:pt>
                <c:pt idx="52">
                  <c:v>34</c:v>
                </c:pt>
                <c:pt idx="53">
                  <c:v>21</c:v>
                </c:pt>
                <c:pt idx="54">
                  <c:v>43</c:v>
                </c:pt>
                <c:pt idx="55">
                  <c:v>36</c:v>
                </c:pt>
                <c:pt idx="56">
                  <c:v>28</c:v>
                </c:pt>
                <c:pt idx="57">
                  <c:v>26</c:v>
                </c:pt>
                <c:pt idx="58">
                  <c:v>33</c:v>
                </c:pt>
                <c:pt idx="59">
                  <c:v>25</c:v>
                </c:pt>
                <c:pt idx="60">
                  <c:v>22</c:v>
                </c:pt>
                <c:pt idx="61">
                  <c:v>20</c:v>
                </c:pt>
                <c:pt idx="62">
                  <c:v>18</c:v>
                </c:pt>
                <c:pt idx="63">
                  <c:v>20</c:v>
                </c:pt>
                <c:pt idx="64">
                  <c:v>17</c:v>
                </c:pt>
                <c:pt idx="65">
                  <c:v>13</c:v>
                </c:pt>
                <c:pt idx="66">
                  <c:v>15</c:v>
                </c:pt>
                <c:pt idx="67">
                  <c:v>9</c:v>
                </c:pt>
                <c:pt idx="68">
                  <c:v>10</c:v>
                </c:pt>
                <c:pt idx="69">
                  <c:v>7</c:v>
                </c:pt>
                <c:pt idx="70">
                  <c:v>3</c:v>
                </c:pt>
                <c:pt idx="71">
                  <c:v>9</c:v>
                </c:pt>
                <c:pt idx="72">
                  <c:v>2</c:v>
                </c:pt>
                <c:pt idx="73">
                  <c:v>6</c:v>
                </c:pt>
                <c:pt idx="74">
                  <c:v>9</c:v>
                </c:pt>
                <c:pt idx="75">
                  <c:v>2</c:v>
                </c:pt>
                <c:pt idx="76">
                  <c:v>3</c:v>
                </c:pt>
                <c:pt idx="77">
                  <c:v>4</c:v>
                </c:pt>
                <c:pt idx="78">
                  <c:v>2</c:v>
                </c:pt>
                <c:pt idx="79">
                  <c:v>3</c:v>
                </c:pt>
                <c:pt idx="80">
                  <c:v>2</c:v>
                </c:pt>
                <c:pt idx="81">
                  <c:v>1</c:v>
                </c:pt>
                <c:pt idx="82">
                  <c:v>1</c:v>
                </c:pt>
                <c:pt idx="83">
                  <c:v>1</c:v>
                </c:pt>
                <c:pt idx="84">
                  <c:v>1</c:v>
                </c:pt>
                <c:pt idx="85">
                  <c:v>2</c:v>
                </c:pt>
                <c:pt idx="86">
                  <c:v>3</c:v>
                </c:pt>
                <c:pt idx="87">
                  <c:v>0</c:v>
                </c:pt>
                <c:pt idx="88">
                  <c:v>0</c:v>
                </c:pt>
                <c:pt idx="89">
                  <c:v>0</c:v>
                </c:pt>
                <c:pt idx="90">
                  <c:v>1</c:v>
                </c:pt>
                <c:pt idx="91">
                  <c:v>0</c:v>
                </c:pt>
                <c:pt idx="92">
                  <c:v>0</c:v>
                </c:pt>
              </c:numCache>
            </c:numRef>
          </c:yVal>
          <c:smooth val="1"/>
          <c:extLst>
            <c:ext xmlns:c16="http://schemas.microsoft.com/office/drawing/2014/chart" uri="{C3380CC4-5D6E-409C-BE32-E72D297353CC}">
              <c16:uniqueId val="{00000000-28C7-4862-86E9-AF862A5BA0AD}"/>
            </c:ext>
          </c:extLst>
        </c:ser>
        <c:ser>
          <c:idx val="1"/>
          <c:order val="1"/>
          <c:tx>
            <c:strRef>
              <c:f>'Notes | Quant Analysis'!$L$243</c:f>
              <c:strCache>
                <c:ptCount val="1"/>
                <c:pt idx="0">
                  <c:v>Distribution Overlay</c:v>
                </c:pt>
              </c:strCache>
            </c:strRef>
          </c:tx>
          <c:spPr>
            <a:ln w="19050" cap="rnd">
              <a:solidFill>
                <a:srgbClr val="FFC000"/>
              </a:solidFill>
              <a:round/>
            </a:ln>
            <a:effectLst/>
          </c:spPr>
          <c:marker>
            <c:symbol val="none"/>
          </c:marker>
          <c:xVal>
            <c:numRef>
              <c:f>'Notes | Quant Analysis'!$L$245:$L$339</c:f>
              <c:numCache>
                <c:formatCode>0.00%</c:formatCode>
                <c:ptCount val="95"/>
                <c:pt idx="0">
                  <c:v>-4.7E-2</c:v>
                </c:pt>
                <c:pt idx="1">
                  <c:v>-4.6000000000000034E-2</c:v>
                </c:pt>
                <c:pt idx="2">
                  <c:v>-4.5000000000000033E-2</c:v>
                </c:pt>
                <c:pt idx="3">
                  <c:v>-4.4000000000000032E-2</c:v>
                </c:pt>
                <c:pt idx="4">
                  <c:v>-4.3000000000000031E-2</c:v>
                </c:pt>
                <c:pt idx="5">
                  <c:v>-4.200000000000003E-2</c:v>
                </c:pt>
                <c:pt idx="6">
                  <c:v>-4.1000000000000029E-2</c:v>
                </c:pt>
                <c:pt idx="7">
                  <c:v>-4.0000000000000029E-2</c:v>
                </c:pt>
                <c:pt idx="8">
                  <c:v>-3.9000000000000028E-2</c:v>
                </c:pt>
                <c:pt idx="9">
                  <c:v>-3.8000000000000027E-2</c:v>
                </c:pt>
                <c:pt idx="10">
                  <c:v>-3.7000000000000026E-2</c:v>
                </c:pt>
                <c:pt idx="11">
                  <c:v>-3.6000000000000025E-2</c:v>
                </c:pt>
                <c:pt idx="12">
                  <c:v>-3.5000000000000024E-2</c:v>
                </c:pt>
                <c:pt idx="13">
                  <c:v>-3.4000000000000023E-2</c:v>
                </c:pt>
                <c:pt idx="14">
                  <c:v>-3.3000000000000022E-2</c:v>
                </c:pt>
                <c:pt idx="15">
                  <c:v>-3.2000000000000021E-2</c:v>
                </c:pt>
                <c:pt idx="16">
                  <c:v>-3.1000000000000021E-2</c:v>
                </c:pt>
                <c:pt idx="17">
                  <c:v>-3.000000000000002E-2</c:v>
                </c:pt>
                <c:pt idx="18">
                  <c:v>-2.9000000000000019E-2</c:v>
                </c:pt>
                <c:pt idx="19">
                  <c:v>-2.8000000000000018E-2</c:v>
                </c:pt>
                <c:pt idx="20">
                  <c:v>-2.7000000000000017E-2</c:v>
                </c:pt>
                <c:pt idx="21">
                  <c:v>-2.6000000000000016E-2</c:v>
                </c:pt>
                <c:pt idx="22">
                  <c:v>-2.5000000000000015E-2</c:v>
                </c:pt>
                <c:pt idx="23">
                  <c:v>-2.4000000000000014E-2</c:v>
                </c:pt>
                <c:pt idx="24">
                  <c:v>-2.3000000000000013E-2</c:v>
                </c:pt>
                <c:pt idx="25">
                  <c:v>-2.2000000000000013E-2</c:v>
                </c:pt>
                <c:pt idx="26">
                  <c:v>-2.1000000000000012E-2</c:v>
                </c:pt>
                <c:pt idx="27">
                  <c:v>-2.0000000000000011E-2</c:v>
                </c:pt>
                <c:pt idx="28">
                  <c:v>-1.900000000000001E-2</c:v>
                </c:pt>
                <c:pt idx="29">
                  <c:v>-1.8000000000000009E-2</c:v>
                </c:pt>
                <c:pt idx="30">
                  <c:v>-1.7000000000000008E-2</c:v>
                </c:pt>
                <c:pt idx="31">
                  <c:v>-1.6000000000000007E-2</c:v>
                </c:pt>
                <c:pt idx="32">
                  <c:v>-1.5000000000000006E-2</c:v>
                </c:pt>
                <c:pt idx="33">
                  <c:v>-1.4000000000000005E-2</c:v>
                </c:pt>
                <c:pt idx="34">
                  <c:v>-1.3000000000000005E-2</c:v>
                </c:pt>
                <c:pt idx="35">
                  <c:v>-1.2000000000000004E-2</c:v>
                </c:pt>
                <c:pt idx="36">
                  <c:v>-1.1000000000000003E-2</c:v>
                </c:pt>
                <c:pt idx="37">
                  <c:v>-1.0000000000000002E-2</c:v>
                </c:pt>
                <c:pt idx="38">
                  <c:v>-9.0000000000000011E-3</c:v>
                </c:pt>
                <c:pt idx="39">
                  <c:v>-8.0000000000000002E-3</c:v>
                </c:pt>
                <c:pt idx="40">
                  <c:v>-7.0000000000000001E-3</c:v>
                </c:pt>
                <c:pt idx="41">
                  <c:v>-6.0000000000000001E-3</c:v>
                </c:pt>
                <c:pt idx="42">
                  <c:v>-5.0000000000000001E-3</c:v>
                </c:pt>
                <c:pt idx="43">
                  <c:v>-4.0000000000000001E-3</c:v>
                </c:pt>
                <c:pt idx="44">
                  <c:v>-3.0000000000000001E-3</c:v>
                </c:pt>
                <c:pt idx="45">
                  <c:v>-2E-3</c:v>
                </c:pt>
                <c:pt idx="46">
                  <c:v>-1E-3</c:v>
                </c:pt>
                <c:pt idx="47">
                  <c:v>0</c:v>
                </c:pt>
                <c:pt idx="48">
                  <c:v>1E-3</c:v>
                </c:pt>
                <c:pt idx="49">
                  <c:v>2E-3</c:v>
                </c:pt>
                <c:pt idx="50">
                  <c:v>3.0000000000000001E-3</c:v>
                </c:pt>
                <c:pt idx="51">
                  <c:v>4.0000000000000001E-3</c:v>
                </c:pt>
                <c:pt idx="52">
                  <c:v>5.0000000000000001E-3</c:v>
                </c:pt>
                <c:pt idx="53">
                  <c:v>6.0000000000000001E-3</c:v>
                </c:pt>
                <c:pt idx="54">
                  <c:v>7.0000000000000001E-3</c:v>
                </c:pt>
                <c:pt idx="55">
                  <c:v>8.0000000000000002E-3</c:v>
                </c:pt>
                <c:pt idx="56">
                  <c:v>9.0000000000000011E-3</c:v>
                </c:pt>
                <c:pt idx="57">
                  <c:v>1.0000000000000002E-2</c:v>
                </c:pt>
                <c:pt idx="58">
                  <c:v>1.1000000000000003E-2</c:v>
                </c:pt>
                <c:pt idx="59">
                  <c:v>1.2000000000000004E-2</c:v>
                </c:pt>
                <c:pt idx="60">
                  <c:v>1.3000000000000005E-2</c:v>
                </c:pt>
                <c:pt idx="61">
                  <c:v>1.4000000000000005E-2</c:v>
                </c:pt>
                <c:pt idx="62">
                  <c:v>1.5000000000000006E-2</c:v>
                </c:pt>
                <c:pt idx="63">
                  <c:v>1.6000000000000007E-2</c:v>
                </c:pt>
                <c:pt idx="64">
                  <c:v>1.7000000000000008E-2</c:v>
                </c:pt>
                <c:pt idx="65">
                  <c:v>1.8000000000000009E-2</c:v>
                </c:pt>
                <c:pt idx="66">
                  <c:v>1.900000000000001E-2</c:v>
                </c:pt>
                <c:pt idx="67">
                  <c:v>2.0000000000000011E-2</c:v>
                </c:pt>
                <c:pt idx="68">
                  <c:v>2.1000000000000012E-2</c:v>
                </c:pt>
                <c:pt idx="69">
                  <c:v>2.2000000000000013E-2</c:v>
                </c:pt>
                <c:pt idx="70">
                  <c:v>2.3000000000000013E-2</c:v>
                </c:pt>
                <c:pt idx="71">
                  <c:v>2.4000000000000014E-2</c:v>
                </c:pt>
                <c:pt idx="72">
                  <c:v>2.5000000000000015E-2</c:v>
                </c:pt>
                <c:pt idx="73">
                  <c:v>2.6000000000000016E-2</c:v>
                </c:pt>
                <c:pt idx="74">
                  <c:v>2.7000000000000017E-2</c:v>
                </c:pt>
                <c:pt idx="75">
                  <c:v>2.8000000000000018E-2</c:v>
                </c:pt>
                <c:pt idx="76">
                  <c:v>2.9000000000000019E-2</c:v>
                </c:pt>
                <c:pt idx="77">
                  <c:v>3.000000000000002E-2</c:v>
                </c:pt>
                <c:pt idx="78">
                  <c:v>3.1000000000000021E-2</c:v>
                </c:pt>
                <c:pt idx="79">
                  <c:v>3.2000000000000021E-2</c:v>
                </c:pt>
                <c:pt idx="80">
                  <c:v>3.3000000000000022E-2</c:v>
                </c:pt>
                <c:pt idx="81">
                  <c:v>3.4000000000000023E-2</c:v>
                </c:pt>
                <c:pt idx="82">
                  <c:v>3.5000000000000024E-2</c:v>
                </c:pt>
                <c:pt idx="83">
                  <c:v>3.6000000000000025E-2</c:v>
                </c:pt>
                <c:pt idx="84">
                  <c:v>3.7000000000000026E-2</c:v>
                </c:pt>
                <c:pt idx="85">
                  <c:v>3.8000000000000027E-2</c:v>
                </c:pt>
                <c:pt idx="86">
                  <c:v>3.9000000000000028E-2</c:v>
                </c:pt>
                <c:pt idx="87">
                  <c:v>4.0000000000000029E-2</c:v>
                </c:pt>
                <c:pt idx="88">
                  <c:v>4.1000000000000029E-2</c:v>
                </c:pt>
                <c:pt idx="89">
                  <c:v>4.200000000000003E-2</c:v>
                </c:pt>
                <c:pt idx="90">
                  <c:v>4.3000000000000031E-2</c:v>
                </c:pt>
                <c:pt idx="91">
                  <c:v>4.4000000000000032E-2</c:v>
                </c:pt>
                <c:pt idx="92">
                  <c:v>4.5000000000000033E-2</c:v>
                </c:pt>
                <c:pt idx="93">
                  <c:v>4.6000000000000034E-2</c:v>
                </c:pt>
                <c:pt idx="94">
                  <c:v>4.7E-2</c:v>
                </c:pt>
              </c:numCache>
            </c:numRef>
          </c:xVal>
          <c:yVal>
            <c:numRef>
              <c:f>'Notes | Quant Analysis'!$M$245:$M$339</c:f>
              <c:numCache>
                <c:formatCode>General</c:formatCode>
                <c:ptCount val="95"/>
                <c:pt idx="0">
                  <c:v>0.16666107638351327</c:v>
                </c:pt>
                <c:pt idx="1">
                  <c:v>0.20532296022609262</c:v>
                </c:pt>
                <c:pt idx="2">
                  <c:v>0.25184646411437622</c:v>
                </c:pt>
                <c:pt idx="3">
                  <c:v>0.30755954143791303</c:v>
                </c:pt>
                <c:pt idx="4">
                  <c:v>0.37395346160576565</c:v>
                </c:pt>
                <c:pt idx="5">
                  <c:v>0.45269001662893366</c:v>
                </c:pt>
                <c:pt idx="6">
                  <c:v>0.54560618169373876</c:v>
                </c:pt>
                <c:pt idx="7">
                  <c:v>0.65471554663852638</c:v>
                </c:pt>
                <c:pt idx="8">
                  <c:v>0.78220579876809826</c:v>
                </c:pt>
                <c:pt idx="9">
                  <c:v>0.93043152095073123</c:v>
                </c:pt>
                <c:pt idx="10">
                  <c:v>1.1019015772933252</c:v>
                </c:pt>
                <c:pt idx="11">
                  <c:v>1.2992603965366796</c:v>
                </c:pt>
                <c:pt idx="12">
                  <c:v>1.5252625348298334</c:v>
                </c:pt>
                <c:pt idx="13">
                  <c:v>1.782740008110836</c:v>
                </c:pt>
                <c:pt idx="14">
                  <c:v>2.0745620321994349</c:v>
                </c:pt>
                <c:pt idx="15">
                  <c:v>2.4035869967043055</c:v>
                </c:pt>
                <c:pt idx="16">
                  <c:v>2.7726067260190814</c:v>
                </c:pt>
                <c:pt idx="17">
                  <c:v>3.184283344070546</c:v>
                </c:pt>
                <c:pt idx="18">
                  <c:v>3.6410793539290927</c:v>
                </c:pt>
                <c:pt idx="19">
                  <c:v>4.145181861435236</c:v>
                </c:pt>
                <c:pt idx="20">
                  <c:v>4.6984222038911447</c:v>
                </c:pt>
                <c:pt idx="21">
                  <c:v>5.302192578728997</c:v>
                </c:pt>
                <c:pt idx="22">
                  <c:v>5.9573615891651759</c:v>
                </c:pt>
                <c:pt idx="23">
                  <c:v>6.6641909190329862</c:v>
                </c:pt>
                <c:pt idx="24">
                  <c:v>7.4222556012708036</c:v>
                </c:pt>
                <c:pt idx="25">
                  <c:v>8.2303705378042675</c:v>
                </c:pt>
                <c:pt idx="26">
                  <c:v>9.0865260473446305</c:v>
                </c:pt>
                <c:pt idx="27">
                  <c:v>9.9878352480095529</c:v>
                </c:pt>
                <c:pt idx="28">
                  <c:v>10.930496012162424</c:v>
                </c:pt>
                <c:pt idx="29">
                  <c:v>11.909770053254604</c:v>
                </c:pt>
                <c:pt idx="30">
                  <c:v>12.919981414600379</c:v>
                </c:pt>
                <c:pt idx="31">
                  <c:v>13.954536228481965</c:v>
                </c:pt>
                <c:pt idx="32">
                  <c:v>15.005965106489322</c:v>
                </c:pt>
                <c:pt idx="33">
                  <c:v>16.06598891962917</c:v>
                </c:pt>
                <c:pt idx="34">
                  <c:v>17.125608045871026</c:v>
                </c:pt>
                <c:pt idx="35">
                  <c:v>18.175214424762409</c:v>
                </c:pt>
                <c:pt idx="36">
                  <c:v>19.204724989153178</c:v>
                </c:pt>
                <c:pt idx="37">
                  <c:v>20.203734271882581</c:v>
                </c:pt>
                <c:pt idx="38">
                  <c:v>21.161683241616434</c:v>
                </c:pt>
                <c:pt idx="39">
                  <c:v>22.068040738755904</c:v>
                </c:pt>
                <c:pt idx="40">
                  <c:v>22.912493290588852</c:v>
                </c:pt>
                <c:pt idx="41">
                  <c:v>23.685138613397637</c:v>
                </c:pt>
                <c:pt idx="42">
                  <c:v>24.376677782971225</c:v>
                </c:pt>
                <c:pt idx="43">
                  <c:v>24.978600893500314</c:v>
                </c:pt>
                <c:pt idx="44">
                  <c:v>25.483361041278435</c:v>
                </c:pt>
                <c:pt idx="45">
                  <c:v>25.884531669715987</c:v>
                </c:pt>
                <c:pt idx="46">
                  <c:v>26.176942693688009</c:v>
                </c:pt>
                <c:pt idx="47">
                  <c:v>26.356791373895639</c:v>
                </c:pt>
                <c:pt idx="48">
                  <c:v>26.421724617645573</c:v>
                </c:pt>
                <c:pt idx="49">
                  <c:v>26.370890216068627</c:v>
                </c:pt>
                <c:pt idx="50">
                  <c:v>26.204955458129451</c:v>
                </c:pt>
                <c:pt idx="51">
                  <c:v>25.926092553060549</c:v>
                </c:pt>
                <c:pt idx="52">
                  <c:v>25.537931306416311</c:v>
                </c:pt>
                <c:pt idx="53">
                  <c:v>25.045480491049148</c:v>
                </c:pt>
                <c:pt idx="54">
                  <c:v>24.455020294061043</c:v>
                </c:pt>
                <c:pt idx="55">
                  <c:v>23.773969067966576</c:v>
                </c:pt>
                <c:pt idx="56">
                  <c:v>23.010728337099714</c:v>
                </c:pt>
                <c:pt idx="57">
                  <c:v>22.174510582735074</c:v>
                </c:pt>
                <c:pt idx="58">
                  <c:v>21.275154733484552</c:v>
                </c:pt>
                <c:pt idx="59">
                  <c:v>20.322934510013958</c:v>
                </c:pt>
                <c:pt idx="60">
                  <c:v>19.328364811806303</c:v>
                </c:pt>
                <c:pt idx="61">
                  <c:v>18.30201119335857</c:v>
                </c:pt>
                <c:pt idx="62">
                  <c:v>17.254307170094638</c:v>
                </c:pt>
                <c:pt idx="63">
                  <c:v>16.19538363928184</c:v>
                </c:pt>
                <c:pt idx="64">
                  <c:v>15.134914122677323</c:v>
                </c:pt>
                <c:pt idx="65">
                  <c:v>14.081978863887954</c:v>
                </c:pt>
                <c:pt idx="66">
                  <c:v>13.044950075419578</c:v>
                </c:pt>
                <c:pt idx="67">
                  <c:v>12.031399859987447</c:v>
                </c:pt>
                <c:pt idx="68">
                  <c:v>11.048031559145853</c:v>
                </c:pt>
                <c:pt idx="69">
                  <c:v>10.100634538963968</c:v>
                </c:pt>
                <c:pt idx="70">
                  <c:v>9.1940617334039061</c:v>
                </c:pt>
                <c:pt idx="71">
                  <c:v>8.3322286531360543</c:v>
                </c:pt>
                <c:pt idx="72">
                  <c:v>7.5181320477658709</c:v>
                </c:pt>
                <c:pt idx="73">
                  <c:v>6.7538859945831335</c:v>
                </c:pt>
                <c:pt idx="74">
                  <c:v>6.0407728833443857</c:v>
                </c:pt>
                <c:pt idx="75">
                  <c:v>5.3793065754362068</c:v>
                </c:pt>
                <c:pt idx="76">
                  <c:v>4.769304933441922</c:v>
                </c:pt>
                <c:pt idx="77">
                  <c:v>4.2099689358971712</c:v>
                </c:pt>
                <c:pt idx="78">
                  <c:v>3.6999657007306848</c:v>
                </c:pt>
                <c:pt idx="79">
                  <c:v>3.2375129258731361</c:v>
                </c:pt>
                <c:pt idx="80">
                  <c:v>2.820462501462798</c:v>
                </c:pt>
                <c:pt idx="81">
                  <c:v>2.446381338895617</c:v>
                </c:pt>
                <c:pt idx="82">
                  <c:v>2.1126277816170442</c:v>
                </c:pt>
                <c:pt idx="83">
                  <c:v>1.8164222957492187</c:v>
                </c:pt>
                <c:pt idx="84">
                  <c:v>1.5549114714587478</c:v>
                </c:pt>
                <c:pt idx="85">
                  <c:v>1.3252246862690868</c:v>
                </c:pt>
                <c:pt idx="86">
                  <c:v>1.1245230792908296</c:v>
                </c:pt>
                <c:pt idx="87">
                  <c:v>0.95004075284056999</c:v>
                </c:pt>
                <c:pt idx="88">
                  <c:v>0.79911834970707096</c:v>
                </c:pt>
                <c:pt idx="89">
                  <c:v>0.6692293471852786</c:v>
                </c:pt>
                <c:pt idx="90">
                  <c:v>0.55799956175713938</c:v>
                </c:pt>
                <c:pt idx="91">
                  <c:v>0.46322047156423074</c:v>
                </c:pt>
                <c:pt idx="92">
                  <c:v>0.38285703968974971</c:v>
                </c:pt>
                <c:pt idx="93">
                  <c:v>0.31505076300828044</c:v>
                </c:pt>
                <c:pt idx="94">
                  <c:v>0.25811868306612812</c:v>
                </c:pt>
              </c:numCache>
            </c:numRef>
          </c:yVal>
          <c:smooth val="1"/>
          <c:extLst>
            <c:ext xmlns:c16="http://schemas.microsoft.com/office/drawing/2014/chart" uri="{C3380CC4-5D6E-409C-BE32-E72D297353CC}">
              <c16:uniqueId val="{00000001-28C7-4862-86E9-AF862A5BA0AD}"/>
            </c:ext>
          </c:extLst>
        </c:ser>
        <c:ser>
          <c:idx val="2"/>
          <c:order val="2"/>
          <c:tx>
            <c:strRef>
              <c:f>'Notes | Quant Analysis'!$O$245</c:f>
              <c:strCache>
                <c:ptCount val="1"/>
                <c:pt idx="0">
                  <c:v>Mean</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2-28C7-4862-86E9-AF862A5BA0AD}"/>
                </c:ext>
              </c:extLst>
            </c:dLbl>
            <c:dLbl>
              <c:idx val="1"/>
              <c:layout>
                <c:manualLayout>
                  <c:x val="-6.2867669579158389E-2"/>
                  <c:y val="-2.7103269222475232E-2"/>
                </c:manualLayout>
              </c:layout>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15:layout>
                    <c:manualLayout>
                      <c:w val="0.11471643418293129"/>
                      <c:h val="7.7448389040038423E-2"/>
                    </c:manualLayout>
                  </c15:layout>
                </c:ext>
                <c:ext xmlns:c16="http://schemas.microsoft.com/office/drawing/2014/chart" uri="{C3380CC4-5D6E-409C-BE32-E72D297353CC}">
                  <c16:uniqueId val="{00000003-28C7-4862-86E9-AF862A5BA0AD}"/>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Analysis'!$P$245:$P$246</c:f>
              <c:numCache>
                <c:formatCode>0.00%</c:formatCode>
                <c:ptCount val="2"/>
                <c:pt idx="0">
                  <c:v>1.0609586741359687E-3</c:v>
                </c:pt>
                <c:pt idx="1">
                  <c:v>1.0609586741359687E-3</c:v>
                </c:pt>
              </c:numCache>
            </c:numRef>
          </c:xVal>
          <c:yVal>
            <c:numRef>
              <c:f>'Notes | Quant Analysis'!$Q$245:$Q$246</c:f>
              <c:numCache>
                <c:formatCode>General</c:formatCode>
                <c:ptCount val="2"/>
                <c:pt idx="0">
                  <c:v>0</c:v>
                </c:pt>
                <c:pt idx="1">
                  <c:v>26.5</c:v>
                </c:pt>
              </c:numCache>
            </c:numRef>
          </c:yVal>
          <c:smooth val="1"/>
          <c:extLst>
            <c:ext xmlns:c16="http://schemas.microsoft.com/office/drawing/2014/chart" uri="{C3380CC4-5D6E-409C-BE32-E72D297353CC}">
              <c16:uniqueId val="{00000004-28C7-4862-86E9-AF862A5BA0AD}"/>
            </c:ext>
          </c:extLst>
        </c:ser>
        <c:ser>
          <c:idx val="3"/>
          <c:order val="3"/>
          <c:tx>
            <c:strRef>
              <c:f>'Notes | Quant Analysis'!$O$247</c:f>
              <c:strCache>
                <c:ptCount val="1"/>
                <c:pt idx="0">
                  <c:v>-3σ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5-28C7-4862-86E9-AF862A5BA0AD}"/>
                </c:ext>
              </c:extLst>
            </c:dLbl>
            <c:dLbl>
              <c:idx val="1"/>
              <c:layout>
                <c:manualLayout>
                  <c:x val="-4.9274278806852319E-2"/>
                  <c:y val="-2.9376872351280676E-2"/>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6-28C7-4862-86E9-AF862A5BA0A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Analysis'!$P$247:$P$248</c:f>
              <c:numCache>
                <c:formatCode>0.00%</c:formatCode>
                <c:ptCount val="2"/>
                <c:pt idx="0">
                  <c:v>-4.4235747146125028E-2</c:v>
                </c:pt>
                <c:pt idx="1">
                  <c:v>-4.4235747146125028E-2</c:v>
                </c:pt>
              </c:numCache>
            </c:numRef>
          </c:xVal>
          <c:yVal>
            <c:numRef>
              <c:f>'Notes | Quant Analysis'!$Q$247:$Q$248</c:f>
              <c:numCache>
                <c:formatCode>General</c:formatCode>
                <c:ptCount val="2"/>
                <c:pt idx="0">
                  <c:v>0</c:v>
                </c:pt>
                <c:pt idx="1">
                  <c:v>1</c:v>
                </c:pt>
              </c:numCache>
            </c:numRef>
          </c:yVal>
          <c:smooth val="1"/>
          <c:extLst>
            <c:ext xmlns:c16="http://schemas.microsoft.com/office/drawing/2014/chart" uri="{C3380CC4-5D6E-409C-BE32-E72D297353CC}">
              <c16:uniqueId val="{00000007-28C7-4862-86E9-AF862A5BA0AD}"/>
            </c:ext>
          </c:extLst>
        </c:ser>
        <c:ser>
          <c:idx val="4"/>
          <c:order val="4"/>
          <c:tx>
            <c:strRef>
              <c:f>'Notes | Quant Analysis'!$O$249</c:f>
              <c:strCache>
                <c:ptCount val="1"/>
                <c:pt idx="0">
                  <c:v>-2σ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8-28C7-4862-86E9-AF862A5BA0AD}"/>
                </c:ext>
              </c:extLst>
            </c:dLbl>
            <c:dLbl>
              <c:idx val="1"/>
              <c:layout>
                <c:manualLayout>
                  <c:x val="-7.9373552072082076E-2"/>
                  <c:y val="-4.6058176971567388E-2"/>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9-28C7-4862-86E9-AF862A5BA0A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Analysis'!$P$249:$P$250</c:f>
              <c:numCache>
                <c:formatCode>0.00%</c:formatCode>
                <c:ptCount val="2"/>
                <c:pt idx="0">
                  <c:v>-2.9136845206038028E-2</c:v>
                </c:pt>
                <c:pt idx="1">
                  <c:v>-2.9136845206038028E-2</c:v>
                </c:pt>
              </c:numCache>
            </c:numRef>
          </c:xVal>
          <c:yVal>
            <c:numRef>
              <c:f>'Notes | Quant Analysis'!$Q$249:$Q$250</c:f>
              <c:numCache>
                <c:formatCode>General</c:formatCode>
                <c:ptCount val="2"/>
                <c:pt idx="0">
                  <c:v>0</c:v>
                </c:pt>
                <c:pt idx="1">
                  <c:v>4</c:v>
                </c:pt>
              </c:numCache>
            </c:numRef>
          </c:yVal>
          <c:smooth val="1"/>
          <c:extLst>
            <c:ext xmlns:c16="http://schemas.microsoft.com/office/drawing/2014/chart" uri="{C3380CC4-5D6E-409C-BE32-E72D297353CC}">
              <c16:uniqueId val="{0000000A-28C7-4862-86E9-AF862A5BA0AD}"/>
            </c:ext>
          </c:extLst>
        </c:ser>
        <c:ser>
          <c:idx val="5"/>
          <c:order val="5"/>
          <c:tx>
            <c:strRef>
              <c:f>'Notes | Quant Analysis'!$O$251</c:f>
              <c:strCache>
                <c:ptCount val="1"/>
                <c:pt idx="0">
                  <c:v>-1σ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B-28C7-4862-86E9-AF862A5BA0AD}"/>
                </c:ext>
              </c:extLst>
            </c:dLbl>
            <c:dLbl>
              <c:idx val="1"/>
              <c:layout>
                <c:manualLayout>
                  <c:x val="-7.8892433470783258E-2"/>
                  <c:y val="-8.0441567336276026E-2"/>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C-28C7-4862-86E9-AF862A5BA0A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Analysis'!$P$251:$P$252</c:f>
              <c:numCache>
                <c:formatCode>0.00%</c:formatCode>
                <c:ptCount val="2"/>
                <c:pt idx="0">
                  <c:v>-1.4037943265951031E-2</c:v>
                </c:pt>
                <c:pt idx="1">
                  <c:v>-1.4037943265951031E-2</c:v>
                </c:pt>
              </c:numCache>
            </c:numRef>
          </c:xVal>
          <c:yVal>
            <c:numRef>
              <c:f>'Notes | Quant Analysis'!$Q$251:$Q$252</c:f>
              <c:numCache>
                <c:formatCode>General</c:formatCode>
                <c:ptCount val="2"/>
                <c:pt idx="0">
                  <c:v>0</c:v>
                </c:pt>
                <c:pt idx="1">
                  <c:v>16</c:v>
                </c:pt>
              </c:numCache>
            </c:numRef>
          </c:yVal>
          <c:smooth val="1"/>
          <c:extLst>
            <c:ext xmlns:c16="http://schemas.microsoft.com/office/drawing/2014/chart" uri="{C3380CC4-5D6E-409C-BE32-E72D297353CC}">
              <c16:uniqueId val="{0000000D-28C7-4862-86E9-AF862A5BA0AD}"/>
            </c:ext>
          </c:extLst>
        </c:ser>
        <c:ser>
          <c:idx val="6"/>
          <c:order val="6"/>
          <c:tx>
            <c:strRef>
              <c:f>'Notes | Quant Analysis'!$O$253</c:f>
              <c:strCache>
                <c:ptCount val="1"/>
                <c:pt idx="0">
                  <c:v>1σ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E-28C7-4862-86E9-AF862A5BA0AD}"/>
                </c:ext>
              </c:extLst>
            </c:dLbl>
            <c:dLbl>
              <c:idx val="1"/>
              <c:layout>
                <c:manualLayout>
                  <c:x val="-2.0173929827854948E-2"/>
                  <c:y val="-8.0441567336276026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0-EE2D-40A7-A22D-BAD8FA8D64DC}"/>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Analysis'!$P$253:$P$254</c:f>
              <c:numCache>
                <c:formatCode>0.00%</c:formatCode>
                <c:ptCount val="2"/>
                <c:pt idx="0">
                  <c:v>1.6159860614222969E-2</c:v>
                </c:pt>
                <c:pt idx="1">
                  <c:v>1.6159860614222969E-2</c:v>
                </c:pt>
              </c:numCache>
            </c:numRef>
          </c:xVal>
          <c:yVal>
            <c:numRef>
              <c:f>'Notes | Quant Analysis'!$Q$253:$Q$254</c:f>
              <c:numCache>
                <c:formatCode>General</c:formatCode>
                <c:ptCount val="2"/>
                <c:pt idx="0">
                  <c:v>0</c:v>
                </c:pt>
                <c:pt idx="1">
                  <c:v>16</c:v>
                </c:pt>
              </c:numCache>
            </c:numRef>
          </c:yVal>
          <c:smooth val="1"/>
          <c:extLst>
            <c:ext xmlns:c16="http://schemas.microsoft.com/office/drawing/2014/chart" uri="{C3380CC4-5D6E-409C-BE32-E72D297353CC}">
              <c16:uniqueId val="{0000000F-28C7-4862-86E9-AF862A5BA0AD}"/>
            </c:ext>
          </c:extLst>
        </c:ser>
        <c:ser>
          <c:idx val="7"/>
          <c:order val="7"/>
          <c:tx>
            <c:strRef>
              <c:f>'Notes | Quant Analysis'!$O$255</c:f>
              <c:strCache>
                <c:ptCount val="1"/>
                <c:pt idx="0">
                  <c:v>2σ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10-28C7-4862-86E9-AF862A5BA0AD}"/>
                </c:ext>
              </c:extLst>
            </c:dLbl>
            <c:dLbl>
              <c:idx val="1"/>
              <c:layout>
                <c:manualLayout>
                  <c:x val="-2.1240168853128714E-2"/>
                  <c:y val="-4.1156996574142478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11-28C7-4862-86E9-AF862A5BA0AD}"/>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Analysis'!$P$255:$P$256</c:f>
              <c:numCache>
                <c:formatCode>0.00%</c:formatCode>
                <c:ptCount val="2"/>
                <c:pt idx="0">
                  <c:v>3.1258762554309968E-2</c:v>
                </c:pt>
                <c:pt idx="1">
                  <c:v>3.1258762554309968E-2</c:v>
                </c:pt>
              </c:numCache>
            </c:numRef>
          </c:xVal>
          <c:yVal>
            <c:numRef>
              <c:f>'Notes | Quant Analysis'!$Q$255:$Q$256</c:f>
              <c:numCache>
                <c:formatCode>General</c:formatCode>
                <c:ptCount val="2"/>
                <c:pt idx="0">
                  <c:v>0</c:v>
                </c:pt>
                <c:pt idx="1">
                  <c:v>4</c:v>
                </c:pt>
              </c:numCache>
            </c:numRef>
          </c:yVal>
          <c:smooth val="1"/>
          <c:extLst>
            <c:ext xmlns:c16="http://schemas.microsoft.com/office/drawing/2014/chart" uri="{C3380CC4-5D6E-409C-BE32-E72D297353CC}">
              <c16:uniqueId val="{00000012-28C7-4862-86E9-AF862A5BA0AD}"/>
            </c:ext>
          </c:extLst>
        </c:ser>
        <c:ser>
          <c:idx val="8"/>
          <c:order val="8"/>
          <c:tx>
            <c:strRef>
              <c:f>'Notes | Quant Analysis'!$O$257</c:f>
              <c:strCache>
                <c:ptCount val="1"/>
                <c:pt idx="0">
                  <c:v>3σ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13-28C7-4862-86E9-AF862A5BA0AD}"/>
                </c:ext>
              </c:extLst>
            </c:dLbl>
            <c:dLbl>
              <c:idx val="1"/>
              <c:layout>
                <c:manualLayout>
                  <c:x val="-3.3066410011321212E-2"/>
                  <c:y val="-2.6657770606869882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14-28C7-4862-86E9-AF862A5BA0AD}"/>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Analysis'!$P$257:$P$258</c:f>
              <c:numCache>
                <c:formatCode>0.00%</c:formatCode>
                <c:ptCount val="2"/>
                <c:pt idx="0">
                  <c:v>4.6357664494396968E-2</c:v>
                </c:pt>
                <c:pt idx="1">
                  <c:v>4.6357664494396968E-2</c:v>
                </c:pt>
              </c:numCache>
            </c:numRef>
          </c:xVal>
          <c:yVal>
            <c:numRef>
              <c:f>'Notes | Quant Analysis'!$Q$257:$Q$258</c:f>
              <c:numCache>
                <c:formatCode>General</c:formatCode>
                <c:ptCount val="2"/>
                <c:pt idx="0">
                  <c:v>0</c:v>
                </c:pt>
                <c:pt idx="1">
                  <c:v>1</c:v>
                </c:pt>
              </c:numCache>
            </c:numRef>
          </c:yVal>
          <c:smooth val="1"/>
          <c:extLst>
            <c:ext xmlns:c16="http://schemas.microsoft.com/office/drawing/2014/chart" uri="{C3380CC4-5D6E-409C-BE32-E72D297353CC}">
              <c16:uniqueId val="{00000015-28C7-4862-86E9-AF862A5BA0AD}"/>
            </c:ext>
          </c:extLst>
        </c:ser>
        <c:dLbls>
          <c:showLegendKey val="0"/>
          <c:showVal val="0"/>
          <c:showCatName val="0"/>
          <c:showSerName val="0"/>
          <c:showPercent val="0"/>
          <c:showBubbleSize val="0"/>
        </c:dLbls>
        <c:axId val="1274098191"/>
        <c:axId val="1274092911"/>
      </c:scatterChart>
      <c:valAx>
        <c:axId val="1274098191"/>
        <c:scaling>
          <c:orientation val="minMax"/>
          <c:max val="5.000000000000001E-2"/>
          <c:min val="-5.000000000000001E-2"/>
        </c:scaling>
        <c:delete val="0"/>
        <c:axPos val="b"/>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092911"/>
        <c:crossesAt val="0"/>
        <c:crossBetween val="midCat"/>
        <c:majorUnit val="1.0000000000000002E-2"/>
      </c:valAx>
      <c:valAx>
        <c:axId val="1274092911"/>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098191"/>
        <c:crossesAt val="-1000"/>
        <c:crossBetween val="midCat"/>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lgn="ctr" rtl="0">
              <a:defRPr sz="1440" b="0" i="0" u="none" strike="noStrike" kern="1200" spc="0" baseline="0">
                <a:solidFill>
                  <a:schemeClr val="tx1">
                    <a:lumMod val="65000"/>
                    <a:lumOff val="35000"/>
                  </a:schemeClr>
                </a:solidFill>
                <a:latin typeface="Calibre"/>
                <a:ea typeface="+mn-ea"/>
                <a:cs typeface="+mn-cs"/>
              </a:defRPr>
            </a:pPr>
            <a:r>
              <a:rPr lang="en-US" sz="1400" b="0" i="0" u="none" strike="noStrike" kern="1200" spc="0" baseline="0">
                <a:solidFill>
                  <a:sysClr val="windowText" lastClr="000000">
                    <a:lumMod val="65000"/>
                    <a:lumOff val="35000"/>
                  </a:sysClr>
                </a:solidFill>
                <a:latin typeface="Calibre"/>
              </a:rPr>
              <a:t>(AAPL) Annual Ttl Revenues, Net Income, Free Cash Flows (in $ millions)</a:t>
            </a:r>
            <a:endParaRPr lang="en-US"/>
          </a:p>
        </c:rich>
      </c:tx>
      <c:overlay val="0"/>
      <c:spPr>
        <a:noFill/>
        <a:ln>
          <a:noFill/>
        </a:ln>
        <a:effectLst/>
      </c:spPr>
    </c:title>
    <c:autoTitleDeleted val="0"/>
    <c:plotArea>
      <c:layout>
        <c:manualLayout>
          <c:layoutTarget val="inner"/>
          <c:xMode val="edge"/>
          <c:yMode val="edge"/>
          <c:x val="9.6798377690229573E-2"/>
          <c:y val="0.11478174751218337"/>
          <c:w val="0.88242614721237911"/>
          <c:h val="0.75563693032380408"/>
        </c:manualLayout>
      </c:layout>
      <c:barChart>
        <c:barDir val="col"/>
        <c:grouping val="clustered"/>
        <c:varyColors val="0"/>
        <c:ser>
          <c:idx val="1"/>
          <c:order val="1"/>
          <c:tx>
            <c:v>Income</c:v>
          </c:tx>
          <c:spPr>
            <a:solidFill>
              <a:srgbClr val="00B050"/>
            </a:solidFill>
          </c:spPr>
          <c:invertIfNegative val="0"/>
          <c:cat>
            <c:strRef>
              <c:f>[1]Model!$AW$3:$BQ$3</c:f>
              <c:strCache>
                <c:ptCount val="21"/>
                <c:pt idx="0">
                  <c:v>Q1 2020</c:v>
                </c:pt>
                <c:pt idx="1">
                  <c:v>Q2 2020</c:v>
                </c:pt>
                <c:pt idx="2">
                  <c:v>Q3 2020</c:v>
                </c:pt>
                <c:pt idx="3">
                  <c:v>Q4 2020</c:v>
                </c:pt>
                <c:pt idx="4">
                  <c:v>Q1 2021</c:v>
                </c:pt>
                <c:pt idx="5">
                  <c:v>Q2 2021</c:v>
                </c:pt>
                <c:pt idx="6">
                  <c:v>Q3 2021</c:v>
                </c:pt>
                <c:pt idx="7">
                  <c:v>Q4 2021</c:v>
                </c:pt>
                <c:pt idx="8">
                  <c:v>Q1 2022</c:v>
                </c:pt>
                <c:pt idx="9">
                  <c:v>Q2 2022</c:v>
                </c:pt>
                <c:pt idx="10">
                  <c:v>Q3 2022</c:v>
                </c:pt>
                <c:pt idx="11">
                  <c:v>Q4 2022</c:v>
                </c:pt>
                <c:pt idx="12">
                  <c:v>Q1 2023</c:v>
                </c:pt>
                <c:pt idx="13">
                  <c:v>Q2 2023</c:v>
                </c:pt>
                <c:pt idx="14">
                  <c:v>Q3 2023</c:v>
                </c:pt>
                <c:pt idx="15">
                  <c:v>Q4 2023</c:v>
                </c:pt>
                <c:pt idx="16">
                  <c:v>Q1 2024</c:v>
                </c:pt>
                <c:pt idx="17">
                  <c:v>Q2 2024</c:v>
                </c:pt>
                <c:pt idx="18">
                  <c:v>Q3 2024</c:v>
                </c:pt>
                <c:pt idx="19">
                  <c:v>Q4 2024</c:v>
                </c:pt>
                <c:pt idx="20">
                  <c:v>Q1 2025</c:v>
                </c:pt>
              </c:strCache>
            </c:strRef>
          </c:cat>
          <c:val>
            <c:numRef>
              <c:f>Model!$CA$53:$CQ$53</c:f>
              <c:numCache>
                <c:formatCode>0</c:formatCode>
                <c:ptCount val="17"/>
                <c:pt idx="0">
                  <c:v>8235</c:v>
                </c:pt>
                <c:pt idx="1">
                  <c:v>14013</c:v>
                </c:pt>
                <c:pt idx="2">
                  <c:v>25922</c:v>
                </c:pt>
                <c:pt idx="3">
                  <c:v>41733</c:v>
                </c:pt>
                <c:pt idx="4">
                  <c:v>37037</c:v>
                </c:pt>
                <c:pt idx="5">
                  <c:v>39510</c:v>
                </c:pt>
                <c:pt idx="6">
                  <c:v>53394</c:v>
                </c:pt>
                <c:pt idx="7">
                  <c:v>45687</c:v>
                </c:pt>
                <c:pt idx="8">
                  <c:v>48351</c:v>
                </c:pt>
                <c:pt idx="9">
                  <c:v>59531</c:v>
                </c:pt>
                <c:pt idx="10">
                  <c:v>55256</c:v>
                </c:pt>
                <c:pt idx="11">
                  <c:v>57411</c:v>
                </c:pt>
                <c:pt idx="12">
                  <c:v>94680</c:v>
                </c:pt>
                <c:pt idx="13">
                  <c:v>99903</c:v>
                </c:pt>
                <c:pt idx="14">
                  <c:v>96995</c:v>
                </c:pt>
                <c:pt idx="15">
                  <c:v>93736</c:v>
                </c:pt>
                <c:pt idx="16">
                  <c:v>112192</c:v>
                </c:pt>
              </c:numCache>
            </c:numRef>
          </c:val>
          <c:extLst>
            <c:ext xmlns:c16="http://schemas.microsoft.com/office/drawing/2014/chart" uri="{C3380CC4-5D6E-409C-BE32-E72D297353CC}">
              <c16:uniqueId val="{00000003-185C-48BA-84D0-EF540439F646}"/>
            </c:ext>
          </c:extLst>
        </c:ser>
        <c:ser>
          <c:idx val="2"/>
          <c:order val="2"/>
          <c:tx>
            <c:v>FCF</c:v>
          </c:tx>
          <c:spPr>
            <a:solidFill>
              <a:srgbClr val="FFC000"/>
            </a:solidFill>
          </c:spPr>
          <c:invertIfNegative val="0"/>
          <c:cat>
            <c:strRef>
              <c:f>[1]Model!$AW$3:$BQ$3</c:f>
              <c:strCache>
                <c:ptCount val="21"/>
                <c:pt idx="0">
                  <c:v>Q1 2020</c:v>
                </c:pt>
                <c:pt idx="1">
                  <c:v>Q2 2020</c:v>
                </c:pt>
                <c:pt idx="2">
                  <c:v>Q3 2020</c:v>
                </c:pt>
                <c:pt idx="3">
                  <c:v>Q4 2020</c:v>
                </c:pt>
                <c:pt idx="4">
                  <c:v>Q1 2021</c:v>
                </c:pt>
                <c:pt idx="5">
                  <c:v>Q2 2021</c:v>
                </c:pt>
                <c:pt idx="6">
                  <c:v>Q3 2021</c:v>
                </c:pt>
                <c:pt idx="7">
                  <c:v>Q4 2021</c:v>
                </c:pt>
                <c:pt idx="8">
                  <c:v>Q1 2022</c:v>
                </c:pt>
                <c:pt idx="9">
                  <c:v>Q2 2022</c:v>
                </c:pt>
                <c:pt idx="10">
                  <c:v>Q3 2022</c:v>
                </c:pt>
                <c:pt idx="11">
                  <c:v>Q4 2022</c:v>
                </c:pt>
                <c:pt idx="12">
                  <c:v>Q1 2023</c:v>
                </c:pt>
                <c:pt idx="13">
                  <c:v>Q2 2023</c:v>
                </c:pt>
                <c:pt idx="14">
                  <c:v>Q3 2023</c:v>
                </c:pt>
                <c:pt idx="15">
                  <c:v>Q4 2023</c:v>
                </c:pt>
                <c:pt idx="16">
                  <c:v>Q1 2024</c:v>
                </c:pt>
                <c:pt idx="17">
                  <c:v>Q2 2024</c:v>
                </c:pt>
                <c:pt idx="18">
                  <c:v>Q3 2024</c:v>
                </c:pt>
                <c:pt idx="19">
                  <c:v>Q4 2024</c:v>
                </c:pt>
                <c:pt idx="20">
                  <c:v>Q1 2025</c:v>
                </c:pt>
              </c:strCache>
            </c:strRef>
          </c:cat>
          <c:val>
            <c:numRef>
              <c:f>Model!$CA$97:$CQ$97</c:f>
              <c:numCache>
                <c:formatCode>0</c:formatCode>
                <c:ptCount val="17"/>
                <c:pt idx="0">
                  <c:v>11372</c:v>
                </c:pt>
                <c:pt idx="1">
                  <c:v>20716</c:v>
                </c:pt>
                <c:pt idx="2">
                  <c:v>44981</c:v>
                </c:pt>
                <c:pt idx="3">
                  <c:v>60258</c:v>
                </c:pt>
                <c:pt idx="4">
                  <c:v>62742</c:v>
                </c:pt>
                <c:pt idx="5">
                  <c:v>69284</c:v>
                </c:pt>
                <c:pt idx="6">
                  <c:v>92513</c:v>
                </c:pt>
                <c:pt idx="7">
                  <c:v>78965</c:v>
                </c:pt>
                <c:pt idx="8">
                  <c:v>76676</c:v>
                </c:pt>
                <c:pt idx="9">
                  <c:v>90747</c:v>
                </c:pt>
                <c:pt idx="10">
                  <c:v>79886</c:v>
                </c:pt>
                <c:pt idx="11">
                  <c:v>87983</c:v>
                </c:pt>
                <c:pt idx="12">
                  <c:v>115123</c:v>
                </c:pt>
                <c:pt idx="13">
                  <c:v>132859</c:v>
                </c:pt>
                <c:pt idx="14">
                  <c:v>121502</c:v>
                </c:pt>
                <c:pt idx="15">
                  <c:v>127701</c:v>
                </c:pt>
                <c:pt idx="16">
                  <c:v>118289</c:v>
                </c:pt>
              </c:numCache>
            </c:numRef>
          </c:val>
          <c:extLst>
            <c:ext xmlns:c16="http://schemas.microsoft.com/office/drawing/2014/chart" uri="{C3380CC4-5D6E-409C-BE32-E72D297353CC}">
              <c16:uniqueId val="{00000004-185C-48BA-84D0-EF540439F646}"/>
            </c:ext>
          </c:extLst>
        </c:ser>
        <c:dLbls>
          <c:showLegendKey val="0"/>
          <c:showVal val="0"/>
          <c:showCatName val="0"/>
          <c:showSerName val="0"/>
          <c:showPercent val="0"/>
          <c:showBubbleSize val="0"/>
        </c:dLbls>
        <c:gapWidth val="57"/>
        <c:axId val="1243124976"/>
        <c:axId val="1243123056"/>
      </c:barChart>
      <c:lineChart>
        <c:grouping val="standard"/>
        <c:varyColors val="0"/>
        <c:ser>
          <c:idx val="0"/>
          <c:order val="0"/>
          <c:tx>
            <c:v>Revenues</c:v>
          </c:tx>
          <c:spPr>
            <a:ln w="27940">
              <a:solidFill>
                <a:srgbClr val="00B0F0"/>
              </a:solidFill>
            </a:ln>
          </c:spPr>
          <c:marker>
            <c:symbol val="none"/>
          </c:marker>
          <c:cat>
            <c:numRef>
              <c:f>Model!$CA$3:$CQ$3</c:f>
              <c:numCache>
                <c:formatCode>General</c:formatCode>
                <c:ptCount val="17"/>
                <c:pt idx="0">
                  <c:v>2009</c:v>
                </c:pt>
                <c:pt idx="1">
                  <c:v>2010</c:v>
                </c:pt>
                <c:pt idx="2">
                  <c:v>2011</c:v>
                </c:pt>
                <c:pt idx="3">
                  <c:v>2012</c:v>
                </c:pt>
                <c:pt idx="4">
                  <c:v>2013</c:v>
                </c:pt>
                <c:pt idx="5">
                  <c:v>2014</c:v>
                </c:pt>
                <c:pt idx="6">
                  <c:v>2015</c:v>
                </c:pt>
                <c:pt idx="7">
                  <c:v>2016</c:v>
                </c:pt>
                <c:pt idx="8">
                  <c:v>2017</c:v>
                </c:pt>
                <c:pt idx="9">
                  <c:v>2018</c:v>
                </c:pt>
                <c:pt idx="10">
                  <c:v>2019</c:v>
                </c:pt>
                <c:pt idx="11">
                  <c:v>2020</c:v>
                </c:pt>
                <c:pt idx="12">
                  <c:v>2021</c:v>
                </c:pt>
                <c:pt idx="13">
                  <c:v>2022</c:v>
                </c:pt>
                <c:pt idx="14">
                  <c:v>2023</c:v>
                </c:pt>
                <c:pt idx="15">
                  <c:v>2024</c:v>
                </c:pt>
                <c:pt idx="16">
                  <c:v>2025</c:v>
                </c:pt>
              </c:numCache>
            </c:numRef>
          </c:cat>
          <c:val>
            <c:numRef>
              <c:f>Model!$CA$44:$CQ$44</c:f>
              <c:numCache>
                <c:formatCode>0</c:formatCode>
                <c:ptCount val="17"/>
                <c:pt idx="0">
                  <c:v>42905</c:v>
                </c:pt>
                <c:pt idx="1">
                  <c:v>65225</c:v>
                </c:pt>
                <c:pt idx="2">
                  <c:v>108249</c:v>
                </c:pt>
                <c:pt idx="3">
                  <c:v>156508</c:v>
                </c:pt>
                <c:pt idx="4">
                  <c:v>170910</c:v>
                </c:pt>
                <c:pt idx="5">
                  <c:v>182795</c:v>
                </c:pt>
                <c:pt idx="6">
                  <c:v>233715</c:v>
                </c:pt>
                <c:pt idx="7">
                  <c:v>215639</c:v>
                </c:pt>
                <c:pt idx="8">
                  <c:v>229234</c:v>
                </c:pt>
                <c:pt idx="9">
                  <c:v>265595</c:v>
                </c:pt>
                <c:pt idx="10">
                  <c:v>260174</c:v>
                </c:pt>
                <c:pt idx="11">
                  <c:v>274515</c:v>
                </c:pt>
                <c:pt idx="12">
                  <c:v>365817</c:v>
                </c:pt>
                <c:pt idx="13">
                  <c:v>394428</c:v>
                </c:pt>
                <c:pt idx="14">
                  <c:v>383285</c:v>
                </c:pt>
                <c:pt idx="15">
                  <c:v>391035</c:v>
                </c:pt>
                <c:pt idx="16">
                  <c:v>416343</c:v>
                </c:pt>
              </c:numCache>
            </c:numRef>
          </c:val>
          <c:smooth val="0"/>
          <c:extLst>
            <c:ext xmlns:c16="http://schemas.microsoft.com/office/drawing/2014/chart" uri="{C3380CC4-5D6E-409C-BE32-E72D297353CC}">
              <c16:uniqueId val="{00000005-185C-48BA-84D0-EF540439F646}"/>
            </c:ext>
          </c:extLst>
        </c:ser>
        <c:dLbls>
          <c:showLegendKey val="0"/>
          <c:showVal val="0"/>
          <c:showCatName val="0"/>
          <c:showSerName val="0"/>
          <c:showPercent val="0"/>
          <c:showBubbleSize val="0"/>
        </c:dLbls>
        <c:marker val="1"/>
        <c:smooth val="0"/>
        <c:axId val="1243124976"/>
        <c:axId val="1243123056"/>
      </c:lineChart>
      <c:dateAx>
        <c:axId val="1243124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ysClr val="windowText" lastClr="000000"/>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3056"/>
        <c:crosses val="autoZero"/>
        <c:auto val="0"/>
        <c:lblOffset val="100"/>
        <c:baseTimeUnit val="days"/>
        <c:majorUnit val="1"/>
      </c:dateAx>
      <c:valAx>
        <c:axId val="12431230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4976"/>
        <c:crosses val="autoZero"/>
        <c:crossBetween val="between"/>
      </c:valAx>
      <c:spPr>
        <a:noFill/>
        <a:ln>
          <a:noFill/>
        </a:ln>
        <a:effectLst/>
      </c:spPr>
    </c:plotArea>
    <c:legend>
      <c:legendPos val="t"/>
      <c:layout>
        <c:manualLayout>
          <c:xMode val="edge"/>
          <c:yMode val="edge"/>
          <c:x val="0.23601803088279277"/>
          <c:y val="6.8226667462544965E-2"/>
          <c:w val="0.53831279215259631"/>
          <c:h val="3.4184204239573995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sz="1200">
          <a:latin typeface="Calibre"/>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(AAPL) Revenue by Geography (in $ millions)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109587501048507E-2"/>
          <c:y val="0.16630261573867286"/>
          <c:w val="0.91646860416323306"/>
          <c:h val="0.74917903495450422"/>
        </c:manualLayout>
      </c:layout>
      <c:barChart>
        <c:barDir val="col"/>
        <c:grouping val="stacked"/>
        <c:varyColors val="0"/>
        <c:ser>
          <c:idx val="3"/>
          <c:order val="0"/>
          <c:tx>
            <c:strRef>
              <c:f>Model!$B$27</c:f>
              <c:strCache>
                <c:ptCount val="1"/>
                <c:pt idx="0">
                  <c:v>Japan </c:v>
                </c:pt>
              </c:strCache>
            </c:strRef>
          </c:tx>
          <c:spPr>
            <a:solidFill>
              <a:schemeClr val="accent4"/>
            </a:solidFill>
            <a:ln>
              <a:noFill/>
            </a:ln>
            <a:effectLst/>
          </c:spPr>
          <c:invertIfNegative val="0"/>
          <c:cat>
            <c:strRef>
              <c:f>[2]Model!$AW$1:$BQ$1</c:f>
              <c:strCache>
                <c:ptCount val="21"/>
                <c:pt idx="2">
                  <c:v>Q1 2021</c:v>
                </c:pt>
                <c:pt idx="6">
                  <c:v>Q1 2022</c:v>
                </c:pt>
                <c:pt idx="10">
                  <c:v>Q1 2023</c:v>
                </c:pt>
                <c:pt idx="14">
                  <c:v>Q1 2024</c:v>
                </c:pt>
                <c:pt idx="18">
                  <c:v>Q1 2025</c:v>
                </c:pt>
              </c:strCache>
            </c:strRef>
          </c:cat>
          <c:val>
            <c:numRef>
              <c:f>Model!$AU$27:$BR$27</c:f>
              <c:numCache>
                <c:formatCode>0</c:formatCode>
                <c:ptCount val="24"/>
                <c:pt idx="0">
                  <c:v>6223</c:v>
                </c:pt>
                <c:pt idx="1">
                  <c:v>5206</c:v>
                </c:pt>
                <c:pt idx="2">
                  <c:v>4966</c:v>
                </c:pt>
                <c:pt idx="3">
                  <c:v>5023</c:v>
                </c:pt>
                <c:pt idx="4">
                  <c:v>8285</c:v>
                </c:pt>
                <c:pt idx="5">
                  <c:v>7742</c:v>
                </c:pt>
                <c:pt idx="6">
                  <c:v>6464</c:v>
                </c:pt>
                <c:pt idx="7">
                  <c:v>5991</c:v>
                </c:pt>
                <c:pt idx="8">
                  <c:v>7107</c:v>
                </c:pt>
                <c:pt idx="9">
                  <c:v>7724</c:v>
                </c:pt>
                <c:pt idx="10">
                  <c:v>5446</c:v>
                </c:pt>
                <c:pt idx="11">
                  <c:v>5700</c:v>
                </c:pt>
                <c:pt idx="12">
                  <c:v>6755</c:v>
                </c:pt>
                <c:pt idx="13">
                  <c:v>7176</c:v>
                </c:pt>
                <c:pt idx="14">
                  <c:v>4821</c:v>
                </c:pt>
                <c:pt idx="15">
                  <c:v>5505</c:v>
                </c:pt>
                <c:pt idx="16">
                  <c:v>7767</c:v>
                </c:pt>
                <c:pt idx="17">
                  <c:v>6262</c:v>
                </c:pt>
                <c:pt idx="18">
                  <c:v>5097</c:v>
                </c:pt>
                <c:pt idx="19">
                  <c:v>5926</c:v>
                </c:pt>
                <c:pt idx="20">
                  <c:v>8987</c:v>
                </c:pt>
                <c:pt idx="21">
                  <c:v>7298</c:v>
                </c:pt>
                <c:pt idx="22">
                  <c:v>5782</c:v>
                </c:pt>
                <c:pt idx="23">
                  <c:v>6636</c:v>
                </c:pt>
              </c:numCache>
            </c:numRef>
          </c:val>
          <c:extLst>
            <c:ext xmlns:c16="http://schemas.microsoft.com/office/drawing/2014/chart" uri="{C3380CC4-5D6E-409C-BE32-E72D297353CC}">
              <c16:uniqueId val="{00000003-0715-461A-BE92-76DAA624CACE}"/>
            </c:ext>
          </c:extLst>
        </c:ser>
        <c:ser>
          <c:idx val="4"/>
          <c:order val="1"/>
          <c:tx>
            <c:strRef>
              <c:f>Model!$B$28</c:f>
              <c:strCache>
                <c:ptCount val="1"/>
                <c:pt idx="0">
                  <c:v>Rest of AIPAC</c:v>
                </c:pt>
              </c:strCache>
            </c:strRef>
          </c:tx>
          <c:spPr>
            <a:solidFill>
              <a:srgbClr val="FFC000">
                <a:lumMod val="60000"/>
                <a:lumOff val="40000"/>
              </a:srgbClr>
            </a:solidFill>
            <a:ln>
              <a:noFill/>
            </a:ln>
            <a:effectLst/>
          </c:spPr>
          <c:invertIfNegative val="0"/>
          <c:cat>
            <c:strRef>
              <c:f>[2]Model!$AW$1:$BQ$1</c:f>
              <c:strCache>
                <c:ptCount val="21"/>
                <c:pt idx="2">
                  <c:v>Q1 2021</c:v>
                </c:pt>
                <c:pt idx="6">
                  <c:v>Q1 2022</c:v>
                </c:pt>
                <c:pt idx="10">
                  <c:v>Q1 2023</c:v>
                </c:pt>
                <c:pt idx="14">
                  <c:v>Q1 2024</c:v>
                </c:pt>
                <c:pt idx="18">
                  <c:v>Q1 2025</c:v>
                </c:pt>
              </c:strCache>
            </c:strRef>
          </c:cat>
          <c:val>
            <c:numRef>
              <c:f>Model!$AU$28:$BR$28</c:f>
              <c:numCache>
                <c:formatCode>0</c:formatCode>
                <c:ptCount val="24"/>
                <c:pt idx="0">
                  <c:v>7378</c:v>
                </c:pt>
                <c:pt idx="1">
                  <c:v>3885</c:v>
                </c:pt>
                <c:pt idx="2">
                  <c:v>4199</c:v>
                </c:pt>
                <c:pt idx="3">
                  <c:v>4131</c:v>
                </c:pt>
                <c:pt idx="4">
                  <c:v>8225</c:v>
                </c:pt>
                <c:pt idx="5">
                  <c:v>7544</c:v>
                </c:pt>
                <c:pt idx="6">
                  <c:v>5395</c:v>
                </c:pt>
                <c:pt idx="7">
                  <c:v>5192</c:v>
                </c:pt>
                <c:pt idx="8">
                  <c:v>9810</c:v>
                </c:pt>
                <c:pt idx="9">
                  <c:v>7042</c:v>
                </c:pt>
                <c:pt idx="10">
                  <c:v>6150</c:v>
                </c:pt>
                <c:pt idx="11">
                  <c:v>6373</c:v>
                </c:pt>
                <c:pt idx="12">
                  <c:v>9535</c:v>
                </c:pt>
                <c:pt idx="13">
                  <c:v>8119</c:v>
                </c:pt>
                <c:pt idx="14">
                  <c:v>5630</c:v>
                </c:pt>
                <c:pt idx="15">
                  <c:v>6331</c:v>
                </c:pt>
                <c:pt idx="16">
                  <c:v>10162</c:v>
                </c:pt>
                <c:pt idx="17">
                  <c:v>6723</c:v>
                </c:pt>
                <c:pt idx="18">
                  <c:v>6390</c:v>
                </c:pt>
                <c:pt idx="19">
                  <c:v>7383</c:v>
                </c:pt>
                <c:pt idx="20">
                  <c:v>10291</c:v>
                </c:pt>
                <c:pt idx="21">
                  <c:v>7290</c:v>
                </c:pt>
                <c:pt idx="22">
                  <c:v>7673</c:v>
                </c:pt>
                <c:pt idx="23">
                  <c:v>8442</c:v>
                </c:pt>
              </c:numCache>
            </c:numRef>
          </c:val>
          <c:extLst>
            <c:ext xmlns:c16="http://schemas.microsoft.com/office/drawing/2014/chart" uri="{C3380CC4-5D6E-409C-BE32-E72D297353CC}">
              <c16:uniqueId val="{00000004-0715-461A-BE92-76DAA624CACE}"/>
            </c:ext>
          </c:extLst>
        </c:ser>
        <c:ser>
          <c:idx val="2"/>
          <c:order val="2"/>
          <c:tx>
            <c:strRef>
              <c:f>Model!$B$26</c:f>
              <c:strCache>
                <c:ptCount val="1"/>
                <c:pt idx="0">
                  <c:v>China </c:v>
                </c:pt>
              </c:strCache>
            </c:strRef>
          </c:tx>
          <c:spPr>
            <a:solidFill>
              <a:srgbClr val="FFC000">
                <a:lumMod val="40000"/>
                <a:lumOff val="60000"/>
              </a:srgbClr>
            </a:solidFill>
            <a:ln>
              <a:noFill/>
            </a:ln>
            <a:effectLst/>
          </c:spPr>
          <c:invertIfNegative val="0"/>
          <c:cat>
            <c:strRef>
              <c:f>[2]Model!$AW$1:$BQ$1</c:f>
              <c:strCache>
                <c:ptCount val="21"/>
                <c:pt idx="2">
                  <c:v>Q1 2021</c:v>
                </c:pt>
                <c:pt idx="6">
                  <c:v>Q1 2022</c:v>
                </c:pt>
                <c:pt idx="10">
                  <c:v>Q1 2023</c:v>
                </c:pt>
                <c:pt idx="14">
                  <c:v>Q1 2024</c:v>
                </c:pt>
                <c:pt idx="18">
                  <c:v>Q1 2025</c:v>
                </c:pt>
              </c:strCache>
            </c:strRef>
          </c:cat>
          <c:val>
            <c:numRef>
              <c:f>Model!$AU$26:$BR$26</c:f>
              <c:numCache>
                <c:formatCode>0</c:formatCode>
                <c:ptCount val="24"/>
                <c:pt idx="0">
                  <c:v>13578</c:v>
                </c:pt>
                <c:pt idx="1">
                  <c:v>9455</c:v>
                </c:pt>
                <c:pt idx="2">
                  <c:v>9329</c:v>
                </c:pt>
                <c:pt idx="3">
                  <c:v>7946</c:v>
                </c:pt>
                <c:pt idx="4">
                  <c:v>21313</c:v>
                </c:pt>
                <c:pt idx="5">
                  <c:v>17728</c:v>
                </c:pt>
                <c:pt idx="6">
                  <c:v>14762</c:v>
                </c:pt>
                <c:pt idx="7">
                  <c:v>14563</c:v>
                </c:pt>
                <c:pt idx="8">
                  <c:v>25783</c:v>
                </c:pt>
                <c:pt idx="9">
                  <c:v>18343</c:v>
                </c:pt>
                <c:pt idx="10">
                  <c:v>14604</c:v>
                </c:pt>
                <c:pt idx="11">
                  <c:v>15470</c:v>
                </c:pt>
                <c:pt idx="12">
                  <c:v>23905</c:v>
                </c:pt>
                <c:pt idx="13">
                  <c:v>17812</c:v>
                </c:pt>
                <c:pt idx="14">
                  <c:v>15758</c:v>
                </c:pt>
                <c:pt idx="15">
                  <c:v>15084</c:v>
                </c:pt>
                <c:pt idx="16">
                  <c:v>20819</c:v>
                </c:pt>
                <c:pt idx="17">
                  <c:v>16372</c:v>
                </c:pt>
                <c:pt idx="18">
                  <c:v>14728</c:v>
                </c:pt>
                <c:pt idx="19">
                  <c:v>15033</c:v>
                </c:pt>
                <c:pt idx="20">
                  <c:v>18513</c:v>
                </c:pt>
                <c:pt idx="21">
                  <c:v>16002</c:v>
                </c:pt>
                <c:pt idx="22">
                  <c:v>15369</c:v>
                </c:pt>
                <c:pt idx="23">
                  <c:v>14493</c:v>
                </c:pt>
              </c:numCache>
            </c:numRef>
          </c:val>
          <c:extLst>
            <c:ext xmlns:c16="http://schemas.microsoft.com/office/drawing/2014/chart" uri="{C3380CC4-5D6E-409C-BE32-E72D297353CC}">
              <c16:uniqueId val="{00000002-0715-461A-BE92-76DAA624CACE}"/>
            </c:ext>
          </c:extLst>
        </c:ser>
        <c:ser>
          <c:idx val="1"/>
          <c:order val="3"/>
          <c:tx>
            <c:strRef>
              <c:f>Model!$B$25</c:f>
              <c:strCache>
                <c:ptCount val="1"/>
                <c:pt idx="0">
                  <c:v>Europe </c:v>
                </c:pt>
              </c:strCache>
            </c:strRef>
          </c:tx>
          <c:spPr>
            <a:solidFill>
              <a:srgbClr val="70AD47">
                <a:lumMod val="60000"/>
                <a:lumOff val="40000"/>
              </a:srgbClr>
            </a:solidFill>
            <a:ln>
              <a:noFill/>
            </a:ln>
            <a:effectLst/>
          </c:spPr>
          <c:invertIfNegative val="0"/>
          <c:cat>
            <c:strRef>
              <c:f>[2]Model!$AW$1:$BQ$1</c:f>
              <c:strCache>
                <c:ptCount val="21"/>
                <c:pt idx="2">
                  <c:v>Q1 2021</c:v>
                </c:pt>
                <c:pt idx="6">
                  <c:v>Q1 2022</c:v>
                </c:pt>
                <c:pt idx="10">
                  <c:v>Q1 2023</c:v>
                </c:pt>
                <c:pt idx="14">
                  <c:v>Q1 2024</c:v>
                </c:pt>
                <c:pt idx="18">
                  <c:v>Q1 2025</c:v>
                </c:pt>
              </c:strCache>
            </c:strRef>
          </c:cat>
          <c:val>
            <c:numRef>
              <c:f>Model!$AU$25:$BR$25</c:f>
              <c:numCache>
                <c:formatCode>0</c:formatCode>
                <c:ptCount val="24"/>
                <c:pt idx="0">
                  <c:v>23273</c:v>
                </c:pt>
                <c:pt idx="1">
                  <c:v>14294</c:v>
                </c:pt>
                <c:pt idx="2">
                  <c:v>14173</c:v>
                </c:pt>
                <c:pt idx="3">
                  <c:v>16900</c:v>
                </c:pt>
                <c:pt idx="4">
                  <c:v>27306</c:v>
                </c:pt>
                <c:pt idx="5">
                  <c:v>22264</c:v>
                </c:pt>
                <c:pt idx="6">
                  <c:v>18943</c:v>
                </c:pt>
                <c:pt idx="7">
                  <c:v>20794</c:v>
                </c:pt>
                <c:pt idx="8">
                  <c:v>29749</c:v>
                </c:pt>
                <c:pt idx="9">
                  <c:v>23287</c:v>
                </c:pt>
                <c:pt idx="10">
                  <c:v>19287</c:v>
                </c:pt>
                <c:pt idx="11">
                  <c:v>22795</c:v>
                </c:pt>
                <c:pt idx="12">
                  <c:v>27681</c:v>
                </c:pt>
                <c:pt idx="13">
                  <c:v>23945</c:v>
                </c:pt>
                <c:pt idx="14">
                  <c:v>20205</c:v>
                </c:pt>
                <c:pt idx="15">
                  <c:v>22463</c:v>
                </c:pt>
                <c:pt idx="16">
                  <c:v>30397</c:v>
                </c:pt>
                <c:pt idx="17">
                  <c:v>24123</c:v>
                </c:pt>
                <c:pt idx="18">
                  <c:v>21884</c:v>
                </c:pt>
                <c:pt idx="19">
                  <c:v>24924</c:v>
                </c:pt>
                <c:pt idx="20">
                  <c:v>33861</c:v>
                </c:pt>
                <c:pt idx="21">
                  <c:v>24454</c:v>
                </c:pt>
                <c:pt idx="22">
                  <c:v>24014</c:v>
                </c:pt>
                <c:pt idx="23">
                  <c:v>28703</c:v>
                </c:pt>
              </c:numCache>
            </c:numRef>
          </c:val>
          <c:extLst>
            <c:ext xmlns:c16="http://schemas.microsoft.com/office/drawing/2014/chart" uri="{C3380CC4-5D6E-409C-BE32-E72D297353CC}">
              <c16:uniqueId val="{00000001-0715-461A-BE92-76DAA624CACE}"/>
            </c:ext>
          </c:extLst>
        </c:ser>
        <c:ser>
          <c:idx val="0"/>
          <c:order val="4"/>
          <c:tx>
            <c:strRef>
              <c:f>Model!$B$24</c:f>
              <c:strCache>
                <c:ptCount val="1"/>
                <c:pt idx="0">
                  <c:v>Americas </c:v>
                </c:pt>
              </c:strCache>
            </c:strRef>
          </c:tx>
          <c:spPr>
            <a:solidFill>
              <a:srgbClr val="73A9DB"/>
            </a:solidFill>
            <a:ln>
              <a:noFill/>
            </a:ln>
            <a:effectLst/>
          </c:spPr>
          <c:invertIfNegative val="0"/>
          <c:cat>
            <c:strRef>
              <c:f>[2]Model!$AW$1:$BQ$1</c:f>
              <c:strCache>
                <c:ptCount val="21"/>
                <c:pt idx="2">
                  <c:v>Q1 2021</c:v>
                </c:pt>
                <c:pt idx="6">
                  <c:v>Q1 2022</c:v>
                </c:pt>
                <c:pt idx="10">
                  <c:v>Q1 2023</c:v>
                </c:pt>
                <c:pt idx="14">
                  <c:v>Q1 2024</c:v>
                </c:pt>
                <c:pt idx="18">
                  <c:v>Q1 2025</c:v>
                </c:pt>
              </c:strCache>
            </c:strRef>
          </c:cat>
          <c:val>
            <c:numRef>
              <c:f>Model!$AU$24:$BR$24</c:f>
              <c:numCache>
                <c:formatCode>0</c:formatCode>
                <c:ptCount val="24"/>
                <c:pt idx="0">
                  <c:v>41367</c:v>
                </c:pt>
                <c:pt idx="1">
                  <c:v>25473</c:v>
                </c:pt>
                <c:pt idx="2">
                  <c:v>27018</c:v>
                </c:pt>
                <c:pt idx="3">
                  <c:v>30698</c:v>
                </c:pt>
                <c:pt idx="4">
                  <c:v>46310</c:v>
                </c:pt>
                <c:pt idx="5">
                  <c:v>34306</c:v>
                </c:pt>
                <c:pt idx="6">
                  <c:v>35870</c:v>
                </c:pt>
                <c:pt idx="7">
                  <c:v>36820</c:v>
                </c:pt>
                <c:pt idx="8">
                  <c:v>51496</c:v>
                </c:pt>
                <c:pt idx="9">
                  <c:v>40882</c:v>
                </c:pt>
                <c:pt idx="10">
                  <c:v>37472</c:v>
                </c:pt>
                <c:pt idx="11">
                  <c:v>39808</c:v>
                </c:pt>
                <c:pt idx="12">
                  <c:v>49278</c:v>
                </c:pt>
                <c:pt idx="13">
                  <c:v>37784</c:v>
                </c:pt>
                <c:pt idx="14">
                  <c:v>35383</c:v>
                </c:pt>
                <c:pt idx="15">
                  <c:v>40115</c:v>
                </c:pt>
                <c:pt idx="16">
                  <c:v>50430</c:v>
                </c:pt>
                <c:pt idx="17">
                  <c:v>37273</c:v>
                </c:pt>
                <c:pt idx="18">
                  <c:v>37678</c:v>
                </c:pt>
                <c:pt idx="19">
                  <c:v>41664</c:v>
                </c:pt>
                <c:pt idx="20">
                  <c:v>52648</c:v>
                </c:pt>
                <c:pt idx="21">
                  <c:v>40315</c:v>
                </c:pt>
                <c:pt idx="22">
                  <c:v>41198</c:v>
                </c:pt>
                <c:pt idx="23">
                  <c:v>44192</c:v>
                </c:pt>
              </c:numCache>
            </c:numRef>
          </c:val>
          <c:extLst>
            <c:ext xmlns:c16="http://schemas.microsoft.com/office/drawing/2014/chart" uri="{C3380CC4-5D6E-409C-BE32-E72D297353CC}">
              <c16:uniqueId val="{00000000-0715-461A-BE92-76DAA624CACE}"/>
            </c:ext>
          </c:extLst>
        </c:ser>
        <c:dLbls>
          <c:showLegendKey val="0"/>
          <c:showVal val="0"/>
          <c:showCatName val="0"/>
          <c:showSerName val="0"/>
          <c:showPercent val="0"/>
          <c:showBubbleSize val="0"/>
        </c:dLbls>
        <c:gapWidth val="46"/>
        <c:overlap val="100"/>
        <c:axId val="826587039"/>
        <c:axId val="826586079"/>
      </c:barChart>
      <c:catAx>
        <c:axId val="8265870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826586079"/>
        <c:crossesAt val="-10000"/>
        <c:auto val="1"/>
        <c:lblAlgn val="ctr"/>
        <c:lblOffset val="100"/>
        <c:noMultiLvlLbl val="0"/>
      </c:catAx>
      <c:valAx>
        <c:axId val="8265860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826587039"/>
        <c:crosses val="autoZero"/>
        <c:crossBetween val="between"/>
      </c:valAx>
      <c:spPr>
        <a:noFill/>
        <a:ln>
          <a:noFill/>
        </a:ln>
        <a:effectLst/>
      </c:spPr>
    </c:plotArea>
    <c:legend>
      <c:legendPos val="t"/>
      <c:layout>
        <c:manualLayout>
          <c:xMode val="edge"/>
          <c:yMode val="edge"/>
          <c:x val="0.12500001367016772"/>
          <c:y val="5.2058346839546202E-2"/>
          <c:w val="0.79166664388305374"/>
          <c:h val="0.10738353815983699"/>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chart" Target="../charts/chart3.xml"/><Relationship Id="rId7" Type="http://schemas.openxmlformats.org/officeDocument/2006/relationships/image" Target="../media/image4.png"/><Relationship Id="rId12" Type="http://schemas.openxmlformats.org/officeDocument/2006/relationships/image" Target="../media/image8.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3.png"/><Relationship Id="rId11" Type="http://schemas.openxmlformats.org/officeDocument/2006/relationships/image" Target="../media/image7.png"/><Relationship Id="rId5" Type="http://schemas.openxmlformats.org/officeDocument/2006/relationships/image" Target="../media/image2.png"/><Relationship Id="rId10" Type="http://schemas.openxmlformats.org/officeDocument/2006/relationships/image" Target="../media/image6.png"/><Relationship Id="rId4" Type="http://schemas.openxmlformats.org/officeDocument/2006/relationships/chart" Target="../charts/chart4.xml"/><Relationship Id="rId9"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5</xdr:col>
      <xdr:colOff>9525</xdr:colOff>
      <xdr:row>2</xdr:row>
      <xdr:rowOff>9525</xdr:rowOff>
    </xdr:from>
    <xdr:to>
      <xdr:col>8</xdr:col>
      <xdr:colOff>0</xdr:colOff>
      <xdr:row>7</xdr:row>
      <xdr:rowOff>171450</xdr:rowOff>
    </xdr:to>
    <xdr:pic>
      <xdr:nvPicPr>
        <xdr:cNvPr id="2" name="Picture 1">
          <a:extLst>
            <a:ext uri="{FF2B5EF4-FFF2-40B4-BE49-F238E27FC236}">
              <a16:creationId xmlns:a16="http://schemas.microsoft.com/office/drawing/2014/main" id="{0A03B8D3-87E4-6A82-D4BC-FCC23A26CAD3}"/>
            </a:ext>
          </a:extLst>
        </xdr:cNvPr>
        <xdr:cNvPicPr>
          <a:picLocks noChangeAspect="1"/>
        </xdr:cNvPicPr>
      </xdr:nvPicPr>
      <xdr:blipFill rotWithShape="1">
        <a:blip xmlns:r="http://schemas.openxmlformats.org/officeDocument/2006/relationships" r:embed="rId1"/>
        <a:srcRect l="2950" t="3788" r="3136" b="4545"/>
        <a:stretch>
          <a:fillRect/>
        </a:stretch>
      </xdr:blipFill>
      <xdr:spPr>
        <a:xfrm>
          <a:off x="2971800" y="381000"/>
          <a:ext cx="1819275" cy="10668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69</xdr:col>
      <xdr:colOff>605117</xdr:colOff>
      <xdr:row>0</xdr:row>
      <xdr:rowOff>0</xdr:rowOff>
    </xdr:from>
    <xdr:to>
      <xdr:col>69</xdr:col>
      <xdr:colOff>605117</xdr:colOff>
      <xdr:row>120</xdr:row>
      <xdr:rowOff>152400</xdr:rowOff>
    </xdr:to>
    <xdr:cxnSp macro="">
      <xdr:nvCxnSpPr>
        <xdr:cNvPr id="2" name="Straight Connector 1">
          <a:extLst>
            <a:ext uri="{FF2B5EF4-FFF2-40B4-BE49-F238E27FC236}">
              <a16:creationId xmlns:a16="http://schemas.microsoft.com/office/drawing/2014/main" id="{1D82459E-58B3-42DB-9684-9D533E1F9712}"/>
            </a:ext>
          </a:extLst>
        </xdr:cNvPr>
        <xdr:cNvCxnSpPr/>
      </xdr:nvCxnSpPr>
      <xdr:spPr>
        <a:xfrm>
          <a:off x="46213058" y="0"/>
          <a:ext cx="0" cy="229899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95</xdr:col>
      <xdr:colOff>0</xdr:colOff>
      <xdr:row>0</xdr:row>
      <xdr:rowOff>0</xdr:rowOff>
    </xdr:from>
    <xdr:to>
      <xdr:col>95</xdr:col>
      <xdr:colOff>0</xdr:colOff>
      <xdr:row>119</xdr:row>
      <xdr:rowOff>76200</xdr:rowOff>
    </xdr:to>
    <xdr:cxnSp macro="">
      <xdr:nvCxnSpPr>
        <xdr:cNvPr id="3" name="Straight Connector 2">
          <a:extLst>
            <a:ext uri="{FF2B5EF4-FFF2-40B4-BE49-F238E27FC236}">
              <a16:creationId xmlns:a16="http://schemas.microsoft.com/office/drawing/2014/main" id="{1001E5F4-1B9E-487D-83F1-747CF5EB542B}"/>
            </a:ext>
          </a:extLst>
        </xdr:cNvPr>
        <xdr:cNvCxnSpPr/>
      </xdr:nvCxnSpPr>
      <xdr:spPr>
        <a:xfrm>
          <a:off x="61946118" y="0"/>
          <a:ext cx="0" cy="22734494"/>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8</xdr:col>
      <xdr:colOff>0</xdr:colOff>
      <xdr:row>66</xdr:row>
      <xdr:rowOff>190499</xdr:rowOff>
    </xdr:from>
    <xdr:to>
      <xdr:col>23</xdr:col>
      <xdr:colOff>0</xdr:colOff>
      <xdr:row>97</xdr:row>
      <xdr:rowOff>180974</xdr:rowOff>
    </xdr:to>
    <xdr:graphicFrame macro="">
      <xdr:nvGraphicFramePr>
        <xdr:cNvPr id="2" name="Chart 1">
          <a:extLst>
            <a:ext uri="{FF2B5EF4-FFF2-40B4-BE49-F238E27FC236}">
              <a16:creationId xmlns:a16="http://schemas.microsoft.com/office/drawing/2014/main" id="{142CD92D-8EF4-4572-94B5-6164D39572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139</xdr:row>
      <xdr:rowOff>-1</xdr:rowOff>
    </xdr:from>
    <xdr:to>
      <xdr:col>23</xdr:col>
      <xdr:colOff>0</xdr:colOff>
      <xdr:row>166</xdr:row>
      <xdr:rowOff>179293</xdr:rowOff>
    </xdr:to>
    <xdr:graphicFrame macro="">
      <xdr:nvGraphicFramePr>
        <xdr:cNvPr id="3" name="Chart 2">
          <a:extLst>
            <a:ext uri="{FF2B5EF4-FFF2-40B4-BE49-F238E27FC236}">
              <a16:creationId xmlns:a16="http://schemas.microsoft.com/office/drawing/2014/main" id="{211860B7-2944-492B-8E4C-F0D96D28C3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0</xdr:colOff>
      <xdr:row>204</xdr:row>
      <xdr:rowOff>0</xdr:rowOff>
    </xdr:from>
    <xdr:to>
      <xdr:col>23</xdr:col>
      <xdr:colOff>0</xdr:colOff>
      <xdr:row>232</xdr:row>
      <xdr:rowOff>0</xdr:rowOff>
    </xdr:to>
    <xdr:graphicFrame macro="">
      <xdr:nvGraphicFramePr>
        <xdr:cNvPr id="4" name="Chart 3">
          <a:extLst>
            <a:ext uri="{FF2B5EF4-FFF2-40B4-BE49-F238E27FC236}">
              <a16:creationId xmlns:a16="http://schemas.microsoft.com/office/drawing/2014/main" id="{DD74BBAA-4B76-40FC-A8E5-A62056E8DD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0</xdr:colOff>
      <xdr:row>172</xdr:row>
      <xdr:rowOff>0</xdr:rowOff>
    </xdr:from>
    <xdr:to>
      <xdr:col>23</xdr:col>
      <xdr:colOff>0</xdr:colOff>
      <xdr:row>200</xdr:row>
      <xdr:rowOff>0</xdr:rowOff>
    </xdr:to>
    <xdr:graphicFrame macro="">
      <xdr:nvGraphicFramePr>
        <xdr:cNvPr id="5" name="Chart 4">
          <a:extLst>
            <a:ext uri="{FF2B5EF4-FFF2-40B4-BE49-F238E27FC236}">
              <a16:creationId xmlns:a16="http://schemas.microsoft.com/office/drawing/2014/main" id="{FF7CCC47-4E69-431D-A35B-BB93EEC582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0</xdr:colOff>
      <xdr:row>33</xdr:row>
      <xdr:rowOff>0</xdr:rowOff>
    </xdr:from>
    <xdr:to>
      <xdr:col>17</xdr:col>
      <xdr:colOff>11205</xdr:colOff>
      <xdr:row>62</xdr:row>
      <xdr:rowOff>0</xdr:rowOff>
    </xdr:to>
    <xdr:pic>
      <xdr:nvPicPr>
        <xdr:cNvPr id="6" name="Picture 5">
          <a:extLst>
            <a:ext uri="{FF2B5EF4-FFF2-40B4-BE49-F238E27FC236}">
              <a16:creationId xmlns:a16="http://schemas.microsoft.com/office/drawing/2014/main" id="{52768349-AD94-2D2C-68DB-3A544581B17E}"/>
            </a:ext>
          </a:extLst>
        </xdr:cNvPr>
        <xdr:cNvPicPr>
          <a:picLocks noChangeAspect="1"/>
        </xdr:cNvPicPr>
      </xdr:nvPicPr>
      <xdr:blipFill>
        <a:blip xmlns:r="http://schemas.openxmlformats.org/officeDocument/2006/relationships" r:embed="rId5"/>
        <a:stretch>
          <a:fillRect/>
        </a:stretch>
      </xdr:blipFill>
      <xdr:spPr>
        <a:xfrm>
          <a:off x="212912" y="6488206"/>
          <a:ext cx="5457264" cy="5199529"/>
        </a:xfrm>
        <a:prstGeom prst="rect">
          <a:avLst/>
        </a:prstGeom>
      </xdr:spPr>
    </xdr:pic>
    <xdr:clientData/>
  </xdr:twoCellAnchor>
  <xdr:twoCellAnchor editAs="oneCell">
    <xdr:from>
      <xdr:col>8</xdr:col>
      <xdr:colOff>11206</xdr:colOff>
      <xdr:row>2</xdr:row>
      <xdr:rowOff>11207</xdr:rowOff>
    </xdr:from>
    <xdr:to>
      <xdr:col>18</xdr:col>
      <xdr:colOff>44824</xdr:colOff>
      <xdr:row>28</xdr:row>
      <xdr:rowOff>0</xdr:rowOff>
    </xdr:to>
    <xdr:pic>
      <xdr:nvPicPr>
        <xdr:cNvPr id="7" name="Picture 6">
          <a:extLst>
            <a:ext uri="{FF2B5EF4-FFF2-40B4-BE49-F238E27FC236}">
              <a16:creationId xmlns:a16="http://schemas.microsoft.com/office/drawing/2014/main" id="{04BA6FF4-118F-400F-B980-B9C23AD48CDC}"/>
            </a:ext>
          </a:extLst>
        </xdr:cNvPr>
        <xdr:cNvPicPr>
          <a:picLocks noChangeAspect="1"/>
        </xdr:cNvPicPr>
      </xdr:nvPicPr>
      <xdr:blipFill>
        <a:blip xmlns:r="http://schemas.openxmlformats.org/officeDocument/2006/relationships" r:embed="rId6"/>
        <a:stretch>
          <a:fillRect/>
        </a:stretch>
      </xdr:blipFill>
      <xdr:spPr>
        <a:xfrm>
          <a:off x="224118" y="381001"/>
          <a:ext cx="6084794" cy="4650440"/>
        </a:xfrm>
        <a:prstGeom prst="rect">
          <a:avLst/>
        </a:prstGeom>
      </xdr:spPr>
    </xdr:pic>
    <xdr:clientData/>
  </xdr:twoCellAnchor>
  <xdr:twoCellAnchor editAs="oneCell">
    <xdr:from>
      <xdr:col>17</xdr:col>
      <xdr:colOff>605116</xdr:colOff>
      <xdr:row>2</xdr:row>
      <xdr:rowOff>11206</xdr:rowOff>
    </xdr:from>
    <xdr:to>
      <xdr:col>27</xdr:col>
      <xdr:colOff>605117</xdr:colOff>
      <xdr:row>27</xdr:row>
      <xdr:rowOff>175522</xdr:rowOff>
    </xdr:to>
    <xdr:pic>
      <xdr:nvPicPr>
        <xdr:cNvPr id="8" name="Picture 7">
          <a:extLst>
            <a:ext uri="{FF2B5EF4-FFF2-40B4-BE49-F238E27FC236}">
              <a16:creationId xmlns:a16="http://schemas.microsoft.com/office/drawing/2014/main" id="{AA6F66A8-74D6-1D11-FB58-E1BFBAD82A81}"/>
            </a:ext>
          </a:extLst>
        </xdr:cNvPr>
        <xdr:cNvPicPr>
          <a:picLocks noChangeAspect="1"/>
        </xdr:cNvPicPr>
      </xdr:nvPicPr>
      <xdr:blipFill>
        <a:blip xmlns:r="http://schemas.openxmlformats.org/officeDocument/2006/relationships" r:embed="rId7"/>
        <a:stretch>
          <a:fillRect/>
        </a:stretch>
      </xdr:blipFill>
      <xdr:spPr>
        <a:xfrm>
          <a:off x="6264087" y="381000"/>
          <a:ext cx="6051177" cy="4646669"/>
        </a:xfrm>
        <a:prstGeom prst="rect">
          <a:avLst/>
        </a:prstGeom>
      </xdr:spPr>
    </xdr:pic>
    <xdr:clientData/>
  </xdr:twoCellAnchor>
  <xdr:twoCellAnchor>
    <xdr:from>
      <xdr:col>8</xdr:col>
      <xdr:colOff>0</xdr:colOff>
      <xdr:row>102</xdr:row>
      <xdr:rowOff>190499</xdr:rowOff>
    </xdr:from>
    <xdr:to>
      <xdr:col>23</xdr:col>
      <xdr:colOff>0</xdr:colOff>
      <xdr:row>133</xdr:row>
      <xdr:rowOff>180974</xdr:rowOff>
    </xdr:to>
    <xdr:graphicFrame macro="">
      <xdr:nvGraphicFramePr>
        <xdr:cNvPr id="9" name="Chart 8">
          <a:extLst>
            <a:ext uri="{FF2B5EF4-FFF2-40B4-BE49-F238E27FC236}">
              <a16:creationId xmlns:a16="http://schemas.microsoft.com/office/drawing/2014/main" id="{E602D21D-0CDE-43C7-8B33-45ECBBBD58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30</xdr:col>
      <xdr:colOff>3880</xdr:colOff>
      <xdr:row>33</xdr:row>
      <xdr:rowOff>3879</xdr:rowOff>
    </xdr:from>
    <xdr:to>
      <xdr:col>41</xdr:col>
      <xdr:colOff>7327</xdr:colOff>
      <xdr:row>62</xdr:row>
      <xdr:rowOff>10120</xdr:rowOff>
    </xdr:to>
    <xdr:pic>
      <xdr:nvPicPr>
        <xdr:cNvPr id="10" name="Picture 9">
          <a:extLst>
            <a:ext uri="{FF2B5EF4-FFF2-40B4-BE49-F238E27FC236}">
              <a16:creationId xmlns:a16="http://schemas.microsoft.com/office/drawing/2014/main" id="{347F9357-7D3F-067A-4ABE-A4F5CC450AEB}"/>
            </a:ext>
          </a:extLst>
        </xdr:cNvPr>
        <xdr:cNvPicPr>
          <a:picLocks noChangeAspect="1"/>
        </xdr:cNvPicPr>
      </xdr:nvPicPr>
      <xdr:blipFill>
        <a:blip xmlns:r="http://schemas.openxmlformats.org/officeDocument/2006/relationships" r:embed="rId9"/>
        <a:stretch>
          <a:fillRect/>
        </a:stretch>
      </xdr:blipFill>
      <xdr:spPr>
        <a:xfrm>
          <a:off x="13177688" y="6070571"/>
          <a:ext cx="6692927" cy="5318261"/>
        </a:xfrm>
        <a:prstGeom prst="rect">
          <a:avLst/>
        </a:prstGeom>
      </xdr:spPr>
    </xdr:pic>
    <xdr:clientData/>
  </xdr:twoCellAnchor>
  <xdr:twoCellAnchor editAs="oneCell">
    <xdr:from>
      <xdr:col>29</xdr:col>
      <xdr:colOff>190499</xdr:colOff>
      <xdr:row>67</xdr:row>
      <xdr:rowOff>0</xdr:rowOff>
    </xdr:from>
    <xdr:to>
      <xdr:col>41</xdr:col>
      <xdr:colOff>23811</xdr:colOff>
      <xdr:row>96</xdr:row>
      <xdr:rowOff>0</xdr:rowOff>
    </xdr:to>
    <xdr:pic>
      <xdr:nvPicPr>
        <xdr:cNvPr id="11" name="Picture 10">
          <a:extLst>
            <a:ext uri="{FF2B5EF4-FFF2-40B4-BE49-F238E27FC236}">
              <a16:creationId xmlns:a16="http://schemas.microsoft.com/office/drawing/2014/main" id="{F3D8D102-FC34-D9E0-5B10-F296DD5F2129}"/>
            </a:ext>
          </a:extLst>
        </xdr:cNvPr>
        <xdr:cNvPicPr>
          <a:picLocks noChangeAspect="1"/>
        </xdr:cNvPicPr>
      </xdr:nvPicPr>
      <xdr:blipFill>
        <a:blip xmlns:r="http://schemas.openxmlformats.org/officeDocument/2006/relationships" r:embed="rId10"/>
        <a:stretch>
          <a:fillRect/>
        </a:stretch>
      </xdr:blipFill>
      <xdr:spPr>
        <a:xfrm>
          <a:off x="13268738" y="12241696"/>
          <a:ext cx="6765856" cy="5284304"/>
        </a:xfrm>
        <a:prstGeom prst="rect">
          <a:avLst/>
        </a:prstGeom>
      </xdr:spPr>
    </xdr:pic>
    <xdr:clientData/>
  </xdr:twoCellAnchor>
  <xdr:twoCellAnchor editAs="oneCell">
    <xdr:from>
      <xdr:col>41</xdr:col>
      <xdr:colOff>1</xdr:colOff>
      <xdr:row>67</xdr:row>
      <xdr:rowOff>0</xdr:rowOff>
    </xdr:from>
    <xdr:to>
      <xdr:col>52</xdr:col>
      <xdr:colOff>0</xdr:colOff>
      <xdr:row>96</xdr:row>
      <xdr:rowOff>0</xdr:rowOff>
    </xdr:to>
    <xdr:pic>
      <xdr:nvPicPr>
        <xdr:cNvPr id="12" name="Picture 11">
          <a:extLst>
            <a:ext uri="{FF2B5EF4-FFF2-40B4-BE49-F238E27FC236}">
              <a16:creationId xmlns:a16="http://schemas.microsoft.com/office/drawing/2014/main" id="{1005CD2F-B3F0-9275-F066-B23B376E52E8}"/>
            </a:ext>
          </a:extLst>
        </xdr:cNvPr>
        <xdr:cNvPicPr>
          <a:picLocks noChangeAspect="1"/>
        </xdr:cNvPicPr>
      </xdr:nvPicPr>
      <xdr:blipFill>
        <a:blip xmlns:r="http://schemas.openxmlformats.org/officeDocument/2006/relationships" r:embed="rId11"/>
        <a:stretch>
          <a:fillRect/>
        </a:stretch>
      </xdr:blipFill>
      <xdr:spPr>
        <a:xfrm>
          <a:off x="19829860" y="12013406"/>
          <a:ext cx="6679406" cy="5179219"/>
        </a:xfrm>
        <a:prstGeom prst="rect">
          <a:avLst/>
        </a:prstGeom>
      </xdr:spPr>
    </xdr:pic>
    <xdr:clientData/>
  </xdr:twoCellAnchor>
  <xdr:twoCellAnchor editAs="oneCell">
    <xdr:from>
      <xdr:col>30</xdr:col>
      <xdr:colOff>0</xdr:colOff>
      <xdr:row>139</xdr:row>
      <xdr:rowOff>0</xdr:rowOff>
    </xdr:from>
    <xdr:to>
      <xdr:col>43</xdr:col>
      <xdr:colOff>14065</xdr:colOff>
      <xdr:row>172</xdr:row>
      <xdr:rowOff>0</xdr:rowOff>
    </xdr:to>
    <xdr:pic>
      <xdr:nvPicPr>
        <xdr:cNvPr id="14" name="Picture 13">
          <a:extLst>
            <a:ext uri="{FF2B5EF4-FFF2-40B4-BE49-F238E27FC236}">
              <a16:creationId xmlns:a16="http://schemas.microsoft.com/office/drawing/2014/main" id="{73456EAE-C0FB-CECD-1713-E732C0B01888}"/>
            </a:ext>
          </a:extLst>
        </xdr:cNvPr>
        <xdr:cNvPicPr>
          <a:picLocks noChangeAspect="1"/>
        </xdr:cNvPicPr>
      </xdr:nvPicPr>
      <xdr:blipFill>
        <a:blip xmlns:r="http://schemas.openxmlformats.org/officeDocument/2006/relationships" r:embed="rId12"/>
        <a:stretch>
          <a:fillRect/>
        </a:stretch>
      </xdr:blipFill>
      <xdr:spPr>
        <a:xfrm>
          <a:off x="13127182" y="24176182"/>
          <a:ext cx="7893838" cy="574963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User\Desktop\Equity%20Research\Models\Health%20Care\MedTech\BSX_Model.xlsx" TargetMode="External"/><Relationship Id="rId1" Type="http://schemas.openxmlformats.org/officeDocument/2006/relationships/externalLinkPath" Target="https://d.docs.live.net/Users/User/Desktop/Equity%20Research/Models/Health%20Care/MedTech/BSX_Model.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User\Desktop\Equity%20Research\Models\Health%20Care\MedTech\SYK_Model.xlsx" TargetMode="External"/><Relationship Id="rId1" Type="http://schemas.openxmlformats.org/officeDocument/2006/relationships/externalLinkPath" Target="https://d.docs.live.net/Users/User/Desktop/Equity%20Research/Models/Health%20Care/MedTech/SYK_Mode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 Overview"/>
      <sheetName val="Model"/>
      <sheetName val="Notes | Quant Analysis"/>
      <sheetName val="M&amp;A Scope"/>
      <sheetName val="Markets | Product Lines"/>
      <sheetName val="Management"/>
      <sheetName val="Debt Schedule"/>
      <sheetName val="Clinical Trial Channel"/>
    </sheetNames>
    <sheetDataSet>
      <sheetData sheetId="0"/>
      <sheetData sheetId="1">
        <row r="3">
          <cell r="AW3" t="str">
            <v>Q1 2020</v>
          </cell>
          <cell r="AX3" t="str">
            <v>Q2 2020</v>
          </cell>
          <cell r="AY3" t="str">
            <v>Q3 2020</v>
          </cell>
          <cell r="AZ3" t="str">
            <v>Q4 2020</v>
          </cell>
          <cell r="BA3" t="str">
            <v>Q1 2021</v>
          </cell>
          <cell r="BB3" t="str">
            <v>Q2 2021</v>
          </cell>
          <cell r="BC3" t="str">
            <v>Q3 2021</v>
          </cell>
          <cell r="BD3" t="str">
            <v>Q4 2021</v>
          </cell>
          <cell r="BE3" t="str">
            <v>Q1 2022</v>
          </cell>
          <cell r="BF3" t="str">
            <v>Q2 2022</v>
          </cell>
          <cell r="BG3" t="str">
            <v>Q3 2022</v>
          </cell>
          <cell r="BH3" t="str">
            <v>Q4 2022</v>
          </cell>
          <cell r="BI3" t="str">
            <v>Q1 2023</v>
          </cell>
          <cell r="BJ3" t="str">
            <v>Q2 2023</v>
          </cell>
          <cell r="BK3" t="str">
            <v>Q3 2023</v>
          </cell>
          <cell r="BL3" t="str">
            <v>Q4 2023</v>
          </cell>
          <cell r="BM3" t="str">
            <v>Q1 2024</v>
          </cell>
          <cell r="BN3" t="str">
            <v>Q2 2024</v>
          </cell>
          <cell r="BO3" t="str">
            <v>Q3 2024</v>
          </cell>
          <cell r="BP3" t="str">
            <v>Q4 2024</v>
          </cell>
          <cell r="BQ3" t="str">
            <v>Q1 2025</v>
          </cell>
        </row>
      </sheetData>
      <sheetData sheetId="2"/>
      <sheetData sheetId="3"/>
      <sheetData sheetId="4"/>
      <sheetData sheetId="5"/>
      <sheetData sheetId="6"/>
      <sheetData sheetId="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sheetName val="Model"/>
      <sheetName val="Notes | Quant Analysis"/>
      <sheetName val="M&amp;A"/>
      <sheetName val="Management"/>
      <sheetName val="Markets | Product Lines"/>
      <sheetName val="Debt Schedule"/>
    </sheetNames>
    <sheetDataSet>
      <sheetData sheetId="0"/>
      <sheetData sheetId="1">
        <row r="1">
          <cell r="AY1" t="str">
            <v>Q1 2021</v>
          </cell>
          <cell r="BC1" t="str">
            <v>Q1 2022</v>
          </cell>
          <cell r="BG1" t="str">
            <v>Q1 2023</v>
          </cell>
          <cell r="BK1" t="str">
            <v>Q1 2024</v>
          </cell>
          <cell r="BO1" t="str">
            <v>Q1 2025</v>
          </cell>
        </row>
      </sheetData>
      <sheetData sheetId="2">
        <row r="188">
          <cell r="I188" t="str">
            <v>Notes:</v>
          </cell>
        </row>
      </sheetData>
      <sheetData sheetId="3"/>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www.apple.com/" TargetMode="External"/><Relationship Id="rId1" Type="http://schemas.openxmlformats.org/officeDocument/2006/relationships/hyperlink" Target="https://app.godelterminal.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Q57"/>
  <sheetViews>
    <sheetView tabSelected="1" zoomScale="85" zoomScaleNormal="85" workbookViewId="0">
      <selection activeCell="C9" sqref="C9"/>
    </sheetView>
  </sheetViews>
  <sheetFormatPr defaultColWidth="9.140625" defaultRowHeight="14.25"/>
  <cols>
    <col min="1" max="1" width="3.42578125" style="1" customWidth="1"/>
    <col min="2" max="2" width="9.140625" style="1" customWidth="1"/>
    <col min="3" max="3" width="13.5703125" style="1" customWidth="1"/>
    <col min="4" max="4" width="9.140625" style="1" customWidth="1"/>
    <col min="5" max="16384" width="9.140625" style="1"/>
  </cols>
  <sheetData>
    <row r="2" spans="2:17" ht="15">
      <c r="B2" s="2" t="s">
        <v>185</v>
      </c>
    </row>
    <row r="3" spans="2:17">
      <c r="B3" s="1" t="s">
        <v>0</v>
      </c>
      <c r="C3" s="43">
        <v>259.37</v>
      </c>
      <c r="D3" s="42" t="s">
        <v>1556</v>
      </c>
    </row>
    <row r="4" spans="2:17">
      <c r="B4" s="1" t="s">
        <v>1</v>
      </c>
      <c r="C4" s="44">
        <v>14840</v>
      </c>
      <c r="D4" s="1" t="s">
        <v>1555</v>
      </c>
    </row>
    <row r="5" spans="2:17">
      <c r="B5" s="1" t="s">
        <v>2</v>
      </c>
      <c r="C5" s="59">
        <f>C3*C4</f>
        <v>3849050.8000000003</v>
      </c>
    </row>
    <row r="6" spans="2:17">
      <c r="B6" s="1" t="s">
        <v>3</v>
      </c>
      <c r="C6" s="45">
        <f>36269+19103</f>
        <v>55372</v>
      </c>
      <c r="D6" s="1" t="s">
        <v>1555</v>
      </c>
    </row>
    <row r="7" spans="2:17">
      <c r="B7" s="1" t="s">
        <v>4</v>
      </c>
      <c r="C7" s="45">
        <f>9345+82430</f>
        <v>91775</v>
      </c>
      <c r="D7" s="1" t="s">
        <v>1555</v>
      </c>
    </row>
    <row r="8" spans="2:17">
      <c r="B8" s="1" t="s">
        <v>5</v>
      </c>
      <c r="C8" s="60">
        <f>C5-C6+C7</f>
        <v>3885453.8000000003</v>
      </c>
    </row>
    <row r="10" spans="2:17" ht="15">
      <c r="B10" s="2" t="s">
        <v>186</v>
      </c>
    </row>
    <row r="12" spans="2:17" ht="15">
      <c r="B12" s="1" t="s">
        <v>187</v>
      </c>
      <c r="M12" s="1" t="s">
        <v>162</v>
      </c>
      <c r="P12" s="2"/>
    </row>
    <row r="13" spans="2:17">
      <c r="B13" s="1" t="s">
        <v>188</v>
      </c>
      <c r="M13" s="1" t="s">
        <v>7</v>
      </c>
      <c r="P13" s="46" t="s">
        <v>198</v>
      </c>
    </row>
    <row r="14" spans="2:17" ht="15">
      <c r="B14" s="1" t="s">
        <v>189</v>
      </c>
      <c r="F14" s="1" t="s">
        <v>195</v>
      </c>
      <c r="M14" s="1" t="s">
        <v>166</v>
      </c>
      <c r="P14" s="61" t="s">
        <v>199</v>
      </c>
    </row>
    <row r="15" spans="2:17">
      <c r="B15" s="1" t="s">
        <v>190</v>
      </c>
      <c r="F15" s="1" t="s">
        <v>196</v>
      </c>
      <c r="N15" s="1" t="s">
        <v>165</v>
      </c>
      <c r="Q15" s="46" t="s">
        <v>200</v>
      </c>
    </row>
    <row r="16" spans="2:17">
      <c r="B16" s="1" t="s">
        <v>191</v>
      </c>
      <c r="F16" s="1" t="s">
        <v>6</v>
      </c>
      <c r="M16" s="1" t="s">
        <v>156</v>
      </c>
      <c r="P16" s="46" t="s">
        <v>201</v>
      </c>
    </row>
    <row r="17" spans="1:16">
      <c r="B17" s="1" t="s">
        <v>192</v>
      </c>
      <c r="F17" s="1" t="s">
        <v>159</v>
      </c>
      <c r="M17" s="1" t="s">
        <v>157</v>
      </c>
      <c r="P17" s="46" t="s">
        <v>202</v>
      </c>
    </row>
    <row r="18" spans="1:16">
      <c r="B18" s="1" t="s">
        <v>193</v>
      </c>
      <c r="F18" s="1" t="s">
        <v>153</v>
      </c>
      <c r="G18" s="1" t="s">
        <v>197</v>
      </c>
      <c r="I18" s="1" t="s">
        <v>154</v>
      </c>
      <c r="M18" s="1" t="s">
        <v>167</v>
      </c>
      <c r="P18" s="46" t="s">
        <v>203</v>
      </c>
    </row>
    <row r="19" spans="1:16">
      <c r="B19" s="1" t="s">
        <v>194</v>
      </c>
      <c r="M19" s="1" t="s">
        <v>168</v>
      </c>
      <c r="P19" s="46" t="s">
        <v>204</v>
      </c>
    </row>
    <row r="20" spans="1:16">
      <c r="B20" s="1" t="s">
        <v>1526</v>
      </c>
      <c r="M20" s="1" t="s">
        <v>8</v>
      </c>
      <c r="P20" s="46" t="s">
        <v>158</v>
      </c>
    </row>
    <row r="21" spans="1:16">
      <c r="P21" s="46"/>
    </row>
    <row r="22" spans="1:16" ht="15">
      <c r="A22" s="2" t="s">
        <v>9</v>
      </c>
      <c r="M22" s="2"/>
    </row>
    <row r="23" spans="1:16">
      <c r="B23" s="1" t="s">
        <v>205</v>
      </c>
    </row>
    <row r="24" spans="1:16">
      <c r="C24" s="1" t="s">
        <v>234</v>
      </c>
    </row>
    <row r="25" spans="1:16">
      <c r="C25" s="1" t="s">
        <v>1554</v>
      </c>
    </row>
    <row r="26" spans="1:16">
      <c r="B26" s="1" t="s">
        <v>233</v>
      </c>
    </row>
    <row r="27" spans="1:16">
      <c r="B27" s="1" t="s">
        <v>206</v>
      </c>
    </row>
    <row r="28" spans="1:16">
      <c r="C28" s="1" t="s">
        <v>208</v>
      </c>
    </row>
    <row r="29" spans="1:16">
      <c r="D29" s="1" t="s">
        <v>207</v>
      </c>
    </row>
    <row r="30" spans="1:16">
      <c r="D30" s="1" t="s">
        <v>209</v>
      </c>
    </row>
    <row r="31" spans="1:16">
      <c r="D31" s="1" t="s">
        <v>210</v>
      </c>
    </row>
    <row r="32" spans="1:16">
      <c r="B32" s="1" t="s">
        <v>211</v>
      </c>
    </row>
    <row r="33" spans="2:4">
      <c r="C33" s="1" t="s">
        <v>212</v>
      </c>
    </row>
    <row r="34" spans="2:4">
      <c r="D34" s="1" t="s">
        <v>232</v>
      </c>
    </row>
    <row r="35" spans="2:4">
      <c r="C35" s="1" t="s">
        <v>213</v>
      </c>
    </row>
    <row r="36" spans="2:4">
      <c r="D36" s="1" t="s">
        <v>214</v>
      </c>
    </row>
    <row r="37" spans="2:4">
      <c r="C37" s="1" t="s">
        <v>215</v>
      </c>
    </row>
    <row r="38" spans="2:4">
      <c r="D38" s="1" t="s">
        <v>216</v>
      </c>
    </row>
    <row r="39" spans="2:4">
      <c r="D39" s="1" t="s">
        <v>217</v>
      </c>
    </row>
    <row r="40" spans="2:4">
      <c r="B40" s="1" t="s">
        <v>218</v>
      </c>
    </row>
    <row r="41" spans="2:4">
      <c r="C41" s="1" t="s">
        <v>219</v>
      </c>
    </row>
    <row r="42" spans="2:4">
      <c r="C42" s="1" t="s">
        <v>220</v>
      </c>
    </row>
    <row r="43" spans="2:4">
      <c r="D43" s="1" t="s">
        <v>221</v>
      </c>
    </row>
    <row r="44" spans="2:4">
      <c r="B44" s="1" t="s">
        <v>222</v>
      </c>
    </row>
    <row r="45" spans="2:4">
      <c r="C45" s="1" t="s">
        <v>223</v>
      </c>
    </row>
    <row r="46" spans="2:4">
      <c r="C46" s="1" t="s">
        <v>224</v>
      </c>
    </row>
    <row r="47" spans="2:4">
      <c r="D47" s="1" t="s">
        <v>231</v>
      </c>
    </row>
    <row r="48" spans="2:4">
      <c r="D48" s="1" t="s">
        <v>225</v>
      </c>
    </row>
    <row r="49" spans="1:3">
      <c r="B49" s="1" t="s">
        <v>226</v>
      </c>
    </row>
    <row r="50" spans="1:3">
      <c r="C50" s="1" t="s">
        <v>227</v>
      </c>
    </row>
    <row r="51" spans="1:3">
      <c r="C51" s="1" t="s">
        <v>228</v>
      </c>
    </row>
    <row r="52" spans="1:3" ht="15">
      <c r="B52" s="1" t="s">
        <v>229</v>
      </c>
    </row>
    <row r="53" spans="1:3">
      <c r="C53" s="1" t="s">
        <v>230</v>
      </c>
    </row>
    <row r="55" spans="1:3" ht="15">
      <c r="A55" s="2" t="s">
        <v>160</v>
      </c>
    </row>
    <row r="57" spans="1:3" ht="15">
      <c r="A57" s="2"/>
    </row>
  </sheetData>
  <hyperlinks>
    <hyperlink ref="P20" r:id="rId1" xr:uid="{14375537-5C3D-4253-9650-337AB6789785}"/>
    <hyperlink ref="P14" r:id="rId2" xr:uid="{CE68CDAE-8042-4939-BB57-CC6215F339BE}"/>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27957-A42B-4AB7-A411-12A70E029F5D}">
  <dimension ref="B1:FA99"/>
  <sheetViews>
    <sheetView zoomScale="85" zoomScaleNormal="85" workbookViewId="0">
      <pane xSplit="2" ySplit="3" topLeftCell="CT39" activePane="bottomRight" state="frozen"/>
      <selection pane="topRight" activeCell="C1" sqref="C1"/>
      <selection pane="bottomLeft" activeCell="A4" sqref="A4"/>
      <selection pane="bottomRight" activeCell="DA39" sqref="DA39"/>
    </sheetView>
  </sheetViews>
  <sheetFormatPr defaultColWidth="9.140625" defaultRowHeight="14.25"/>
  <cols>
    <col min="1" max="1" width="3.140625" style="1" customWidth="1"/>
    <col min="2" max="2" width="36.42578125" style="1" customWidth="1"/>
    <col min="3" max="50" width="9.140625" style="1"/>
    <col min="51" max="63" width="9.28515625" style="1" bestFit="1" customWidth="1"/>
    <col min="64" max="70" width="9" style="1" customWidth="1"/>
    <col min="71" max="74" width="9.140625" style="35"/>
    <col min="75" max="94" width="9.140625" style="1"/>
    <col min="95" max="95" width="9.140625" style="35"/>
    <col min="96" max="104" width="9.140625" style="35" customWidth="1"/>
    <col min="105" max="105" width="13.140625" style="35" customWidth="1"/>
    <col min="106" max="156" width="9.140625" style="35"/>
    <col min="157" max="16384" width="9.140625" style="1"/>
  </cols>
  <sheetData>
    <row r="1" spans="2:157" ht="15">
      <c r="B1" s="1" t="s">
        <v>115</v>
      </c>
      <c r="AU1" s="33" t="s">
        <v>87</v>
      </c>
      <c r="AY1" s="33" t="s">
        <v>91</v>
      </c>
      <c r="BC1" s="33" t="s">
        <v>95</v>
      </c>
      <c r="BG1" s="33" t="s">
        <v>99</v>
      </c>
      <c r="BK1" s="33" t="s">
        <v>103</v>
      </c>
      <c r="BO1" s="33" t="s">
        <v>107</v>
      </c>
      <c r="BS1" s="34" t="s">
        <v>111</v>
      </c>
    </row>
    <row r="2" spans="2:157">
      <c r="B2" s="1" t="s">
        <v>116</v>
      </c>
    </row>
    <row r="3" spans="2:157" ht="15">
      <c r="B3" s="2" t="s">
        <v>117</v>
      </c>
      <c r="C3" s="33" t="s">
        <v>43</v>
      </c>
      <c r="D3" s="33" t="s">
        <v>44</v>
      </c>
      <c r="E3" s="33" t="s">
        <v>45</v>
      </c>
      <c r="F3" s="33" t="s">
        <v>46</v>
      </c>
      <c r="G3" s="33" t="s">
        <v>47</v>
      </c>
      <c r="H3" s="33" t="s">
        <v>48</v>
      </c>
      <c r="I3" s="33" t="s">
        <v>49</v>
      </c>
      <c r="J3" s="33" t="s">
        <v>50</v>
      </c>
      <c r="K3" s="33" t="s">
        <v>51</v>
      </c>
      <c r="L3" s="33" t="s">
        <v>52</v>
      </c>
      <c r="M3" s="33" t="s">
        <v>53</v>
      </c>
      <c r="N3" s="33" t="s">
        <v>54</v>
      </c>
      <c r="O3" s="33" t="s">
        <v>55</v>
      </c>
      <c r="P3" s="33" t="s">
        <v>56</v>
      </c>
      <c r="Q3" s="33" t="s">
        <v>57</v>
      </c>
      <c r="R3" s="33" t="s">
        <v>58</v>
      </c>
      <c r="S3" s="33" t="s">
        <v>59</v>
      </c>
      <c r="T3" s="33" t="s">
        <v>60</v>
      </c>
      <c r="U3" s="33" t="s">
        <v>61</v>
      </c>
      <c r="V3" s="33" t="s">
        <v>62</v>
      </c>
      <c r="W3" s="33" t="s">
        <v>63</v>
      </c>
      <c r="X3" s="33" t="s">
        <v>64</v>
      </c>
      <c r="Y3" s="33" t="s">
        <v>65</v>
      </c>
      <c r="Z3" s="33" t="s">
        <v>66</v>
      </c>
      <c r="AA3" s="33" t="s">
        <v>67</v>
      </c>
      <c r="AB3" s="33" t="s">
        <v>68</v>
      </c>
      <c r="AC3" s="33" t="s">
        <v>69</v>
      </c>
      <c r="AD3" s="33" t="s">
        <v>70</v>
      </c>
      <c r="AE3" s="33" t="s">
        <v>71</v>
      </c>
      <c r="AF3" s="33" t="s">
        <v>72</v>
      </c>
      <c r="AG3" s="33" t="s">
        <v>73</v>
      </c>
      <c r="AH3" s="33" t="s">
        <v>74</v>
      </c>
      <c r="AI3" s="33" t="s">
        <v>75</v>
      </c>
      <c r="AJ3" s="33" t="s">
        <v>76</v>
      </c>
      <c r="AK3" s="33" t="s">
        <v>77</v>
      </c>
      <c r="AL3" s="33" t="s">
        <v>78</v>
      </c>
      <c r="AM3" s="33" t="s">
        <v>79</v>
      </c>
      <c r="AN3" s="33" t="s">
        <v>80</v>
      </c>
      <c r="AO3" s="33" t="s">
        <v>81</v>
      </c>
      <c r="AP3" s="33" t="s">
        <v>82</v>
      </c>
      <c r="AQ3" s="33" t="s">
        <v>83</v>
      </c>
      <c r="AR3" s="33" t="s">
        <v>84</v>
      </c>
      <c r="AS3" s="33" t="s">
        <v>85</v>
      </c>
      <c r="AT3" s="33" t="s">
        <v>86</v>
      </c>
      <c r="AU3" s="33" t="s">
        <v>87</v>
      </c>
      <c r="AV3" s="33" t="s">
        <v>88</v>
      </c>
      <c r="AW3" s="33" t="s">
        <v>89</v>
      </c>
      <c r="AX3" s="33" t="s">
        <v>90</v>
      </c>
      <c r="AY3" s="33" t="s">
        <v>91</v>
      </c>
      <c r="AZ3" s="33" t="s">
        <v>92</v>
      </c>
      <c r="BA3" s="33" t="s">
        <v>93</v>
      </c>
      <c r="BB3" s="33" t="s">
        <v>94</v>
      </c>
      <c r="BC3" s="33" t="s">
        <v>95</v>
      </c>
      <c r="BD3" s="33" t="s">
        <v>96</v>
      </c>
      <c r="BE3" s="33" t="s">
        <v>97</v>
      </c>
      <c r="BF3" s="33" t="s">
        <v>98</v>
      </c>
      <c r="BG3" s="33" t="s">
        <v>99</v>
      </c>
      <c r="BH3" s="33" t="s">
        <v>100</v>
      </c>
      <c r="BI3" s="33" t="s">
        <v>101</v>
      </c>
      <c r="BJ3" s="33" t="s">
        <v>102</v>
      </c>
      <c r="BK3" s="33" t="s">
        <v>103</v>
      </c>
      <c r="BL3" s="33" t="s">
        <v>104</v>
      </c>
      <c r="BM3" s="33" t="s">
        <v>105</v>
      </c>
      <c r="BN3" s="33" t="s">
        <v>106</v>
      </c>
      <c r="BO3" s="33" t="s">
        <v>107</v>
      </c>
      <c r="BP3" s="2" t="s">
        <v>108</v>
      </c>
      <c r="BQ3" s="2" t="s">
        <v>109</v>
      </c>
      <c r="BR3" s="2" t="s">
        <v>110</v>
      </c>
      <c r="BS3" s="34" t="s">
        <v>111</v>
      </c>
      <c r="BT3" s="34" t="s">
        <v>112</v>
      </c>
      <c r="BU3" s="34" t="s">
        <v>113</v>
      </c>
      <c r="BV3" s="34" t="s">
        <v>114</v>
      </c>
      <c r="CA3" s="2">
        <v>2009</v>
      </c>
      <c r="CB3" s="2">
        <f t="shared" ref="CB3:EM3" si="0">CA3+1</f>
        <v>2010</v>
      </c>
      <c r="CC3" s="2">
        <f t="shared" si="0"/>
        <v>2011</v>
      </c>
      <c r="CD3" s="2">
        <f t="shared" si="0"/>
        <v>2012</v>
      </c>
      <c r="CE3" s="2">
        <f t="shared" si="0"/>
        <v>2013</v>
      </c>
      <c r="CF3" s="2">
        <f t="shared" si="0"/>
        <v>2014</v>
      </c>
      <c r="CG3" s="2">
        <f t="shared" si="0"/>
        <v>2015</v>
      </c>
      <c r="CH3" s="2">
        <f t="shared" si="0"/>
        <v>2016</v>
      </c>
      <c r="CI3" s="2">
        <f t="shared" si="0"/>
        <v>2017</v>
      </c>
      <c r="CJ3" s="2">
        <f t="shared" si="0"/>
        <v>2018</v>
      </c>
      <c r="CK3" s="2">
        <f t="shared" si="0"/>
        <v>2019</v>
      </c>
      <c r="CL3" s="2">
        <f t="shared" si="0"/>
        <v>2020</v>
      </c>
      <c r="CM3" s="2">
        <f t="shared" si="0"/>
        <v>2021</v>
      </c>
      <c r="CN3" s="2">
        <f t="shared" si="0"/>
        <v>2022</v>
      </c>
      <c r="CO3" s="2">
        <f t="shared" si="0"/>
        <v>2023</v>
      </c>
      <c r="CP3" s="2">
        <f t="shared" si="0"/>
        <v>2024</v>
      </c>
      <c r="CQ3" s="2">
        <f t="shared" si="0"/>
        <v>2025</v>
      </c>
      <c r="CR3" s="34">
        <f t="shared" si="0"/>
        <v>2026</v>
      </c>
      <c r="CS3" s="34">
        <f t="shared" si="0"/>
        <v>2027</v>
      </c>
      <c r="CT3" s="34">
        <f t="shared" si="0"/>
        <v>2028</v>
      </c>
      <c r="CU3" s="34">
        <f t="shared" si="0"/>
        <v>2029</v>
      </c>
      <c r="CV3" s="34">
        <f t="shared" si="0"/>
        <v>2030</v>
      </c>
      <c r="CW3" s="34">
        <f t="shared" si="0"/>
        <v>2031</v>
      </c>
      <c r="CX3" s="34">
        <f t="shared" si="0"/>
        <v>2032</v>
      </c>
      <c r="CY3" s="34">
        <f t="shared" si="0"/>
        <v>2033</v>
      </c>
      <c r="CZ3" s="34">
        <f t="shared" si="0"/>
        <v>2034</v>
      </c>
      <c r="DA3" s="34">
        <f t="shared" si="0"/>
        <v>2035</v>
      </c>
      <c r="DB3" s="34">
        <f t="shared" si="0"/>
        <v>2036</v>
      </c>
      <c r="DC3" s="34">
        <f t="shared" si="0"/>
        <v>2037</v>
      </c>
      <c r="DD3" s="34">
        <f t="shared" si="0"/>
        <v>2038</v>
      </c>
      <c r="DE3" s="34">
        <f t="shared" si="0"/>
        <v>2039</v>
      </c>
      <c r="DF3" s="34">
        <f t="shared" si="0"/>
        <v>2040</v>
      </c>
      <c r="DG3" s="34">
        <f t="shared" si="0"/>
        <v>2041</v>
      </c>
      <c r="DH3" s="34">
        <f t="shared" si="0"/>
        <v>2042</v>
      </c>
      <c r="DI3" s="34">
        <f t="shared" si="0"/>
        <v>2043</v>
      </c>
      <c r="DJ3" s="34">
        <f t="shared" si="0"/>
        <v>2044</v>
      </c>
      <c r="DK3" s="34">
        <f t="shared" si="0"/>
        <v>2045</v>
      </c>
      <c r="DL3" s="34">
        <f t="shared" si="0"/>
        <v>2046</v>
      </c>
      <c r="DM3" s="34">
        <f t="shared" si="0"/>
        <v>2047</v>
      </c>
      <c r="DN3" s="34">
        <f t="shared" si="0"/>
        <v>2048</v>
      </c>
      <c r="DO3" s="34">
        <f t="shared" si="0"/>
        <v>2049</v>
      </c>
      <c r="DP3" s="34">
        <f t="shared" si="0"/>
        <v>2050</v>
      </c>
      <c r="DQ3" s="34">
        <f t="shared" si="0"/>
        <v>2051</v>
      </c>
      <c r="DR3" s="34">
        <f t="shared" si="0"/>
        <v>2052</v>
      </c>
      <c r="DS3" s="34">
        <f t="shared" si="0"/>
        <v>2053</v>
      </c>
      <c r="DT3" s="34">
        <f t="shared" si="0"/>
        <v>2054</v>
      </c>
      <c r="DU3" s="34">
        <f t="shared" si="0"/>
        <v>2055</v>
      </c>
      <c r="DV3" s="34">
        <f t="shared" si="0"/>
        <v>2056</v>
      </c>
      <c r="DW3" s="34">
        <f t="shared" si="0"/>
        <v>2057</v>
      </c>
      <c r="DX3" s="34">
        <f t="shared" si="0"/>
        <v>2058</v>
      </c>
      <c r="DY3" s="34">
        <f t="shared" si="0"/>
        <v>2059</v>
      </c>
      <c r="DZ3" s="34">
        <f t="shared" si="0"/>
        <v>2060</v>
      </c>
      <c r="EA3" s="34">
        <f t="shared" si="0"/>
        <v>2061</v>
      </c>
      <c r="EB3" s="34">
        <f t="shared" si="0"/>
        <v>2062</v>
      </c>
      <c r="EC3" s="34">
        <f t="shared" si="0"/>
        <v>2063</v>
      </c>
      <c r="ED3" s="34">
        <f t="shared" si="0"/>
        <v>2064</v>
      </c>
      <c r="EE3" s="34">
        <f t="shared" si="0"/>
        <v>2065</v>
      </c>
      <c r="EF3" s="34">
        <f t="shared" si="0"/>
        <v>2066</v>
      </c>
      <c r="EG3" s="34">
        <f t="shared" si="0"/>
        <v>2067</v>
      </c>
      <c r="EH3" s="34">
        <f t="shared" si="0"/>
        <v>2068</v>
      </c>
      <c r="EI3" s="34">
        <f t="shared" si="0"/>
        <v>2069</v>
      </c>
      <c r="EJ3" s="34">
        <f t="shared" si="0"/>
        <v>2070</v>
      </c>
      <c r="EK3" s="34">
        <f t="shared" si="0"/>
        <v>2071</v>
      </c>
      <c r="EL3" s="34">
        <f t="shared" si="0"/>
        <v>2072</v>
      </c>
      <c r="EM3" s="34">
        <f t="shared" si="0"/>
        <v>2073</v>
      </c>
      <c r="EN3" s="34">
        <f t="shared" ref="EN3:EX3" si="1">EM3+1</f>
        <v>2074</v>
      </c>
      <c r="EO3" s="34">
        <f t="shared" si="1"/>
        <v>2075</v>
      </c>
      <c r="EP3" s="34">
        <f t="shared" si="1"/>
        <v>2076</v>
      </c>
      <c r="EQ3" s="34">
        <f t="shared" si="1"/>
        <v>2077</v>
      </c>
      <c r="ER3" s="34">
        <f t="shared" si="1"/>
        <v>2078</v>
      </c>
      <c r="ES3" s="34">
        <f t="shared" si="1"/>
        <v>2079</v>
      </c>
      <c r="ET3" s="34">
        <f t="shared" si="1"/>
        <v>2080</v>
      </c>
      <c r="EU3" s="34">
        <f t="shared" si="1"/>
        <v>2081</v>
      </c>
      <c r="EV3" s="34">
        <f t="shared" si="1"/>
        <v>2082</v>
      </c>
      <c r="EW3" s="34">
        <f t="shared" si="1"/>
        <v>2083</v>
      </c>
      <c r="EX3" s="34">
        <f t="shared" si="1"/>
        <v>2084</v>
      </c>
      <c r="EY3" s="34"/>
      <c r="EZ3" s="34"/>
      <c r="FA3" s="2"/>
    </row>
    <row r="4" spans="2:157">
      <c r="B4" s="36" t="s">
        <v>1495</v>
      </c>
      <c r="AU4" s="68">
        <v>55957</v>
      </c>
      <c r="AV4" s="68">
        <v>28962</v>
      </c>
      <c r="AW4" s="68">
        <v>26418</v>
      </c>
      <c r="AX4" s="68">
        <f>137781-SUM(AU4:AW4)</f>
        <v>26444</v>
      </c>
      <c r="AY4" s="68">
        <v>65597</v>
      </c>
      <c r="AZ4" s="68">
        <v>47938</v>
      </c>
      <c r="BA4" s="68">
        <v>39570</v>
      </c>
      <c r="BB4" s="68">
        <f>191973-SUM(AY4:BA4)</f>
        <v>38868</v>
      </c>
      <c r="BC4" s="68">
        <v>71628</v>
      </c>
      <c r="BD4" s="68">
        <v>50570</v>
      </c>
      <c r="BE4" s="68">
        <v>40665</v>
      </c>
      <c r="BF4" s="68">
        <f>205489-SUM(BC4:BE4)</f>
        <v>42626</v>
      </c>
      <c r="BG4" s="68">
        <v>65775</v>
      </c>
      <c r="BH4" s="68">
        <v>51334</v>
      </c>
      <c r="BI4" s="68">
        <v>39669</v>
      </c>
      <c r="BJ4" s="68">
        <f>200583-SUM(BG4:BI4)</f>
        <v>43805</v>
      </c>
      <c r="BK4" s="68">
        <v>69702</v>
      </c>
      <c r="BL4" s="68">
        <v>45963</v>
      </c>
      <c r="BM4" s="68">
        <v>39296</v>
      </c>
      <c r="BN4" s="68">
        <f>201183-SUM(BK4:BM4)</f>
        <v>46222</v>
      </c>
      <c r="BO4" s="68">
        <v>69138</v>
      </c>
      <c r="BP4" s="68">
        <v>46841</v>
      </c>
      <c r="BQ4" s="68">
        <v>44582</v>
      </c>
      <c r="BR4" s="68">
        <f>209586-SUM(BO4:BQ4)</f>
        <v>49025</v>
      </c>
      <c r="CA4" s="68"/>
      <c r="CB4" s="68"/>
      <c r="CC4" s="68"/>
      <c r="CD4" s="68"/>
      <c r="CE4" s="68"/>
      <c r="CF4" s="68"/>
      <c r="CG4" s="68"/>
      <c r="CH4" s="68"/>
      <c r="CI4" s="68"/>
      <c r="CJ4" s="68"/>
      <c r="CK4" s="68"/>
      <c r="CL4" s="68">
        <f t="shared" ref="CL4:CL9" si="2">SUM(AU4:AX4)</f>
        <v>137781</v>
      </c>
      <c r="CM4" s="68">
        <f t="shared" ref="CM4:CM9" si="3">SUM(AY4:BB4)</f>
        <v>191973</v>
      </c>
      <c r="CN4" s="68">
        <f t="shared" ref="CN4:CN9" si="4">SUM(BC4:BF4)</f>
        <v>205489</v>
      </c>
      <c r="CO4" s="68">
        <f t="shared" ref="CO4:CO9" si="5">SUM(BG4:BJ4)</f>
        <v>200583</v>
      </c>
      <c r="CP4" s="68">
        <f t="shared" ref="CP4:CP9" si="6">SUM(BK4:BN4)</f>
        <v>201183</v>
      </c>
      <c r="CQ4" s="68">
        <f t="shared" ref="CQ4:CQ9" si="7">SUM(BO4:BR4)</f>
        <v>209586</v>
      </c>
      <c r="CR4" s="74">
        <f t="shared" ref="CR4:DA4" si="8">CQ4*(1+CR11)</f>
        <v>225304.94999999998</v>
      </c>
      <c r="CS4" s="74">
        <f t="shared" si="8"/>
        <v>244455.87074999997</v>
      </c>
      <c r="CT4" s="74">
        <f t="shared" si="8"/>
        <v>261567.78170249998</v>
      </c>
      <c r="CU4" s="74">
        <f t="shared" si="8"/>
        <v>278569.68751316244</v>
      </c>
      <c r="CV4" s="74">
        <f t="shared" si="8"/>
        <v>295283.86876395222</v>
      </c>
      <c r="CW4" s="74">
        <f t="shared" si="8"/>
        <v>311524.48154596955</v>
      </c>
      <c r="CX4" s="74">
        <f t="shared" si="8"/>
        <v>325543.08321553818</v>
      </c>
      <c r="CY4" s="74">
        <f t="shared" si="8"/>
        <v>338564.80654415971</v>
      </c>
      <c r="CZ4" s="74">
        <f t="shared" si="8"/>
        <v>348721.75074048451</v>
      </c>
      <c r="DA4" s="74">
        <f t="shared" si="8"/>
        <v>355696.18575529422</v>
      </c>
    </row>
    <row r="5" spans="2:157">
      <c r="B5" s="36" t="s">
        <v>1496</v>
      </c>
      <c r="AU5" s="68">
        <v>7160</v>
      </c>
      <c r="AV5" s="68">
        <v>5351</v>
      </c>
      <c r="AW5" s="68">
        <v>7079</v>
      </c>
      <c r="AX5" s="68">
        <f>28622-SUM(AU5:AW5)</f>
        <v>9032</v>
      </c>
      <c r="AY5" s="68">
        <v>8675</v>
      </c>
      <c r="AZ5" s="68">
        <v>9102</v>
      </c>
      <c r="BA5" s="68">
        <v>8235</v>
      </c>
      <c r="BB5" s="68">
        <f>35190-SUM(AY5:BA5)</f>
        <v>9178</v>
      </c>
      <c r="BC5" s="68">
        <v>10852</v>
      </c>
      <c r="BD5" s="68">
        <v>10435</v>
      </c>
      <c r="BE5" s="68">
        <v>7382</v>
      </c>
      <c r="BF5" s="68">
        <f>40177-SUM(BC5:BE5)</f>
        <v>11508</v>
      </c>
      <c r="BG5" s="68">
        <v>7735</v>
      </c>
      <c r="BH5" s="68">
        <v>7168</v>
      </c>
      <c r="BI5" s="68">
        <v>6840</v>
      </c>
      <c r="BJ5" s="68">
        <f>29357-SUM(BG5:BI5)</f>
        <v>7614</v>
      </c>
      <c r="BK5" s="68">
        <v>7780</v>
      </c>
      <c r="BL5" s="68">
        <v>7451</v>
      </c>
      <c r="BM5" s="68">
        <v>7009</v>
      </c>
      <c r="BN5" s="68">
        <f>29984-SUM(BK5:BM5)</f>
        <v>7744</v>
      </c>
      <c r="BO5" s="68">
        <v>8987</v>
      </c>
      <c r="BP5" s="68">
        <v>7949</v>
      </c>
      <c r="BQ5" s="68">
        <v>8046</v>
      </c>
      <c r="BR5" s="68">
        <f>33708-SUM(BO5:BQ5)</f>
        <v>8726</v>
      </c>
      <c r="CA5" s="68"/>
      <c r="CB5" s="68"/>
      <c r="CC5" s="68"/>
      <c r="CD5" s="68"/>
      <c r="CE5" s="68"/>
      <c r="CF5" s="68"/>
      <c r="CG5" s="68"/>
      <c r="CH5" s="68"/>
      <c r="CI5" s="68"/>
      <c r="CJ5" s="68"/>
      <c r="CK5" s="68"/>
      <c r="CL5" s="68">
        <f t="shared" si="2"/>
        <v>28622</v>
      </c>
      <c r="CM5" s="68">
        <f t="shared" si="3"/>
        <v>35190</v>
      </c>
      <c r="CN5" s="68">
        <f t="shared" si="4"/>
        <v>40177</v>
      </c>
      <c r="CO5" s="68">
        <f t="shared" si="5"/>
        <v>29357</v>
      </c>
      <c r="CP5" s="68">
        <f t="shared" si="6"/>
        <v>29984</v>
      </c>
      <c r="CQ5" s="68">
        <f t="shared" si="7"/>
        <v>33708</v>
      </c>
      <c r="CR5" s="74">
        <f t="shared" ref="CR5:DA5" si="9">CQ5*(1+CR12)</f>
        <v>37752.960000000006</v>
      </c>
      <c r="CS5" s="74">
        <f t="shared" si="9"/>
        <v>41150.726400000007</v>
      </c>
      <c r="CT5" s="74">
        <f t="shared" si="9"/>
        <v>46088.813568000012</v>
      </c>
      <c r="CU5" s="74">
        <f t="shared" si="9"/>
        <v>50236.806789120019</v>
      </c>
      <c r="CV5" s="74">
        <f t="shared" si="9"/>
        <v>53753.383264358425</v>
      </c>
      <c r="CW5" s="74">
        <f t="shared" si="9"/>
        <v>56978.586260219934</v>
      </c>
      <c r="CX5" s="74">
        <f t="shared" si="9"/>
        <v>59827.515573230936</v>
      </c>
      <c r="CY5" s="74">
        <f t="shared" si="9"/>
        <v>62519.753774026321</v>
      </c>
      <c r="CZ5" s="74">
        <f t="shared" si="9"/>
        <v>65020.543924987374</v>
      </c>
      <c r="DA5" s="74">
        <f t="shared" si="9"/>
        <v>67296.262962361929</v>
      </c>
    </row>
    <row r="6" spans="2:157">
      <c r="B6" s="36" t="s">
        <v>1497</v>
      </c>
      <c r="AU6" s="68">
        <v>5977</v>
      </c>
      <c r="AV6" s="68">
        <v>4368</v>
      </c>
      <c r="AW6" s="68">
        <v>6582</v>
      </c>
      <c r="AX6" s="68">
        <f>23724-SUM(AU6:AW6)</f>
        <v>6797</v>
      </c>
      <c r="AY6" s="68">
        <v>8435</v>
      </c>
      <c r="AZ6" s="68">
        <v>7807</v>
      </c>
      <c r="BA6" s="68">
        <v>7368</v>
      </c>
      <c r="BB6" s="68">
        <f>31862-SUM(AY6:BA6)</f>
        <v>8252</v>
      </c>
      <c r="BC6" s="68">
        <v>7248</v>
      </c>
      <c r="BD6" s="68">
        <v>7646</v>
      </c>
      <c r="BE6" s="68">
        <v>7224</v>
      </c>
      <c r="BF6" s="68">
        <f>29292-SUM(BC6:BE6)</f>
        <v>7174</v>
      </c>
      <c r="BG6" s="68">
        <v>9396</v>
      </c>
      <c r="BH6" s="68">
        <v>6670</v>
      </c>
      <c r="BI6" s="68">
        <v>5791</v>
      </c>
      <c r="BJ6" s="68">
        <f>28300-SUM(BG6:BI6)</f>
        <v>6443</v>
      </c>
      <c r="BK6" s="68">
        <v>7023</v>
      </c>
      <c r="BL6" s="68">
        <v>5559</v>
      </c>
      <c r="BM6" s="68">
        <v>7162</v>
      </c>
      <c r="BN6" s="68">
        <f>26694-SUM(BK6:BM6)</f>
        <v>6950</v>
      </c>
      <c r="BO6" s="68">
        <v>8088</v>
      </c>
      <c r="BP6" s="68">
        <v>6402</v>
      </c>
      <c r="BQ6" s="68">
        <v>6581</v>
      </c>
      <c r="BR6" s="68">
        <f>28023-SUM(BO6:BQ6)</f>
        <v>6952</v>
      </c>
      <c r="CA6" s="68"/>
      <c r="CB6" s="68"/>
      <c r="CC6" s="68"/>
      <c r="CD6" s="68"/>
      <c r="CE6" s="68"/>
      <c r="CF6" s="68"/>
      <c r="CG6" s="68"/>
      <c r="CH6" s="68"/>
      <c r="CI6" s="68"/>
      <c r="CJ6" s="68"/>
      <c r="CK6" s="68"/>
      <c r="CL6" s="68">
        <f t="shared" si="2"/>
        <v>23724</v>
      </c>
      <c r="CM6" s="68">
        <f t="shared" si="3"/>
        <v>31862</v>
      </c>
      <c r="CN6" s="68">
        <f t="shared" si="4"/>
        <v>29292</v>
      </c>
      <c r="CO6" s="68">
        <f t="shared" si="5"/>
        <v>28300</v>
      </c>
      <c r="CP6" s="68">
        <f t="shared" si="6"/>
        <v>26694</v>
      </c>
      <c r="CQ6" s="68">
        <f t="shared" si="7"/>
        <v>28023</v>
      </c>
      <c r="CR6" s="74">
        <f t="shared" ref="CR6:DA6" si="10">CQ6*(1+CR13)</f>
        <v>28863.690000000002</v>
      </c>
      <c r="CS6" s="74">
        <f t="shared" si="10"/>
        <v>29440.963800000001</v>
      </c>
      <c r="CT6" s="74">
        <f t="shared" si="10"/>
        <v>30029.783076000003</v>
      </c>
      <c r="CU6" s="74">
        <f t="shared" si="10"/>
        <v>30630.378737520005</v>
      </c>
      <c r="CV6" s="74">
        <f t="shared" si="10"/>
        <v>31242.986312270405</v>
      </c>
      <c r="CW6" s="74">
        <f t="shared" si="10"/>
        <v>31867.846038515814</v>
      </c>
      <c r="CX6" s="74">
        <f t="shared" si="10"/>
        <v>32186.524498900973</v>
      </c>
      <c r="CY6" s="74">
        <f t="shared" si="10"/>
        <v>32508.389743889984</v>
      </c>
      <c r="CZ6" s="74">
        <f t="shared" si="10"/>
        <v>32833.473641328885</v>
      </c>
      <c r="DA6" s="74">
        <f t="shared" si="10"/>
        <v>33161.808377742171</v>
      </c>
    </row>
    <row r="7" spans="2:157">
      <c r="B7" s="36" t="s">
        <v>1498</v>
      </c>
      <c r="AU7" s="68">
        <v>10010</v>
      </c>
      <c r="AV7" s="68">
        <v>6284</v>
      </c>
      <c r="AW7" s="68">
        <v>6450</v>
      </c>
      <c r="AX7" s="68">
        <f>30620-SUM(AU7:AW7)</f>
        <v>7876</v>
      </c>
      <c r="AY7" s="68">
        <v>12971</v>
      </c>
      <c r="AZ7" s="68">
        <v>7836</v>
      </c>
      <c r="BA7" s="68">
        <v>8775</v>
      </c>
      <c r="BB7" s="68">
        <f>38367-SUM(AY7:BA7)</f>
        <v>8785</v>
      </c>
      <c r="BC7" s="68">
        <v>14701</v>
      </c>
      <c r="BD7" s="68">
        <v>8806</v>
      </c>
      <c r="BE7" s="68">
        <v>8084</v>
      </c>
      <c r="BF7" s="68">
        <f>41341-SUM(BC7:BE7)</f>
        <v>9750</v>
      </c>
      <c r="BG7" s="68">
        <v>13482</v>
      </c>
      <c r="BH7" s="68">
        <v>8757</v>
      </c>
      <c r="BI7" s="68">
        <v>8284</v>
      </c>
      <c r="BJ7" s="68">
        <f>39845-SUM(BG7:BI7)</f>
        <v>9322</v>
      </c>
      <c r="BK7" s="68">
        <v>11953</v>
      </c>
      <c r="BL7" s="68">
        <v>7913</v>
      </c>
      <c r="BM7" s="68">
        <v>8097</v>
      </c>
      <c r="BN7" s="68">
        <f>37005-SUM(BK7:BM7)</f>
        <v>9042</v>
      </c>
      <c r="BO7" s="68">
        <v>11747</v>
      </c>
      <c r="BP7" s="68">
        <v>7522</v>
      </c>
      <c r="BQ7" s="68">
        <v>7404</v>
      </c>
      <c r="BR7" s="68">
        <f>35868-SUM(BO7:BQ7)</f>
        <v>9195</v>
      </c>
      <c r="CA7" s="68"/>
      <c r="CB7" s="68"/>
      <c r="CC7" s="68"/>
      <c r="CD7" s="68"/>
      <c r="CE7" s="68"/>
      <c r="CF7" s="68"/>
      <c r="CG7" s="68"/>
      <c r="CH7" s="68"/>
      <c r="CI7" s="68"/>
      <c r="CJ7" s="68"/>
      <c r="CK7" s="68"/>
      <c r="CL7" s="68">
        <f t="shared" si="2"/>
        <v>30620</v>
      </c>
      <c r="CM7" s="68">
        <f t="shared" si="3"/>
        <v>38367</v>
      </c>
      <c r="CN7" s="68">
        <f t="shared" si="4"/>
        <v>41341</v>
      </c>
      <c r="CO7" s="68">
        <f t="shared" si="5"/>
        <v>39845</v>
      </c>
      <c r="CP7" s="68">
        <f t="shared" si="6"/>
        <v>37005</v>
      </c>
      <c r="CQ7" s="68">
        <f t="shared" si="7"/>
        <v>35868</v>
      </c>
      <c r="CR7" s="74">
        <f t="shared" ref="CR7:DA7" si="11">CQ7*(1+CR14)</f>
        <v>34433.279999999999</v>
      </c>
      <c r="CS7" s="74">
        <f t="shared" si="11"/>
        <v>35466.278400000003</v>
      </c>
      <c r="CT7" s="74">
        <f t="shared" si="11"/>
        <v>35111.615616000003</v>
      </c>
      <c r="CU7" s="74">
        <f t="shared" si="11"/>
        <v>36164.964084480001</v>
      </c>
      <c r="CV7" s="74">
        <f t="shared" si="11"/>
        <v>37249.913007014402</v>
      </c>
      <c r="CW7" s="74">
        <f t="shared" si="11"/>
        <v>38367.410397224834</v>
      </c>
      <c r="CX7" s="74">
        <f t="shared" si="11"/>
        <v>39134.758605169329</v>
      </c>
      <c r="CY7" s="74">
        <f t="shared" si="11"/>
        <v>39917.453777272713</v>
      </c>
      <c r="CZ7" s="74">
        <f t="shared" si="11"/>
        <v>40316.62831504544</v>
      </c>
      <c r="DA7" s="74">
        <f t="shared" si="11"/>
        <v>40719.794598195898</v>
      </c>
    </row>
    <row r="8" spans="2:157">
      <c r="B8" s="36" t="s">
        <v>1499</v>
      </c>
      <c r="AU8" s="68">
        <v>12715</v>
      </c>
      <c r="AV8" s="68">
        <v>13348</v>
      </c>
      <c r="AW8" s="68">
        <v>13156</v>
      </c>
      <c r="AX8" s="68">
        <f>53768-SUM(AU8:AW8)</f>
        <v>14549</v>
      </c>
      <c r="AY8" s="68">
        <v>15761</v>
      </c>
      <c r="AZ8" s="68">
        <v>16901</v>
      </c>
      <c r="BA8" s="68">
        <v>17486</v>
      </c>
      <c r="BB8" s="68">
        <f>68425-SUM(AY8:BA8)</f>
        <v>18277</v>
      </c>
      <c r="BC8" s="68">
        <v>19516</v>
      </c>
      <c r="BD8" s="68">
        <v>19821</v>
      </c>
      <c r="BE8" s="68">
        <v>19604</v>
      </c>
      <c r="BF8" s="68">
        <f>78129-SUM(BC8:BE8)</f>
        <v>19188</v>
      </c>
      <c r="BG8" s="68">
        <v>20766</v>
      </c>
      <c r="BH8" s="68">
        <v>20907</v>
      </c>
      <c r="BI8" s="68">
        <v>21213</v>
      </c>
      <c r="BJ8" s="68">
        <f>85200-SUM(BG8:BI8)</f>
        <v>22314</v>
      </c>
      <c r="BK8" s="68">
        <v>23117</v>
      </c>
      <c r="BL8" s="68">
        <v>23867</v>
      </c>
      <c r="BM8" s="68">
        <v>24213</v>
      </c>
      <c r="BN8" s="68">
        <f>96169-SUM(BK8:BM8)</f>
        <v>24972</v>
      </c>
      <c r="BO8" s="68">
        <v>26340</v>
      </c>
      <c r="BP8" s="68">
        <v>26645</v>
      </c>
      <c r="BQ8" s="68">
        <v>27423</v>
      </c>
      <c r="BR8" s="68">
        <f>109158-SUM(BO8:BQ8)</f>
        <v>28750</v>
      </c>
      <c r="CA8" s="68"/>
      <c r="CB8" s="68"/>
      <c r="CC8" s="68"/>
      <c r="CD8" s="68"/>
      <c r="CE8" s="68"/>
      <c r="CF8" s="68"/>
      <c r="CG8" s="68"/>
      <c r="CH8" s="68"/>
      <c r="CI8" s="68"/>
      <c r="CJ8" s="68"/>
      <c r="CK8" s="68"/>
      <c r="CL8" s="68">
        <f t="shared" si="2"/>
        <v>53768</v>
      </c>
      <c r="CM8" s="68">
        <f t="shared" si="3"/>
        <v>68425</v>
      </c>
      <c r="CN8" s="68">
        <f t="shared" si="4"/>
        <v>78129</v>
      </c>
      <c r="CO8" s="68">
        <f t="shared" si="5"/>
        <v>85200</v>
      </c>
      <c r="CP8" s="68">
        <f t="shared" si="6"/>
        <v>96169</v>
      </c>
      <c r="CQ8" s="68">
        <f t="shared" si="7"/>
        <v>109158</v>
      </c>
      <c r="CR8" s="74">
        <f t="shared" ref="CR8:DA8" si="12">CQ8*(1+CR15)</f>
        <v>124440.12000000001</v>
      </c>
      <c r="CS8" s="74">
        <f t="shared" si="12"/>
        <v>140617.33559999999</v>
      </c>
      <c r="CT8" s="74">
        <f t="shared" si="12"/>
        <v>157491.41587200001</v>
      </c>
      <c r="CU8" s="74">
        <f t="shared" si="12"/>
        <v>173240.55745920003</v>
      </c>
      <c r="CV8" s="74">
        <f t="shared" si="12"/>
        <v>187099.80205593604</v>
      </c>
      <c r="CW8" s="74">
        <f t="shared" si="12"/>
        <v>200196.78819985158</v>
      </c>
      <c r="CX8" s="74">
        <f t="shared" si="12"/>
        <v>212208.59549184269</v>
      </c>
      <c r="CY8" s="74">
        <f t="shared" si="12"/>
        <v>222819.02526643482</v>
      </c>
      <c r="CZ8" s="74">
        <f t="shared" si="12"/>
        <v>231731.78627709224</v>
      </c>
      <c r="DA8" s="74">
        <f t="shared" si="12"/>
        <v>238683.73986540502</v>
      </c>
    </row>
    <row r="9" spans="2:157" s="2" customFormat="1" ht="15">
      <c r="B9" s="33" t="s">
        <v>118</v>
      </c>
      <c r="AU9" s="69">
        <f t="shared" ref="AU9:BN9" si="13">SUM(AU4:AU8)</f>
        <v>91819</v>
      </c>
      <c r="AV9" s="69">
        <f t="shared" si="13"/>
        <v>58313</v>
      </c>
      <c r="AW9" s="69">
        <f t="shared" si="13"/>
        <v>59685</v>
      </c>
      <c r="AX9" s="69">
        <f t="shared" si="13"/>
        <v>64698</v>
      </c>
      <c r="AY9" s="69">
        <f t="shared" si="13"/>
        <v>111439</v>
      </c>
      <c r="AZ9" s="69">
        <f t="shared" si="13"/>
        <v>89584</v>
      </c>
      <c r="BA9" s="69">
        <f t="shared" si="13"/>
        <v>81434</v>
      </c>
      <c r="BB9" s="69">
        <f t="shared" si="13"/>
        <v>83360</v>
      </c>
      <c r="BC9" s="69">
        <f t="shared" si="13"/>
        <v>123945</v>
      </c>
      <c r="BD9" s="69">
        <f t="shared" si="13"/>
        <v>97278</v>
      </c>
      <c r="BE9" s="69">
        <f t="shared" si="13"/>
        <v>82959</v>
      </c>
      <c r="BF9" s="69">
        <f t="shared" si="13"/>
        <v>90246</v>
      </c>
      <c r="BG9" s="69">
        <f t="shared" si="13"/>
        <v>117154</v>
      </c>
      <c r="BH9" s="69">
        <f t="shared" si="13"/>
        <v>94836</v>
      </c>
      <c r="BI9" s="69">
        <f t="shared" si="13"/>
        <v>81797</v>
      </c>
      <c r="BJ9" s="69">
        <f t="shared" si="13"/>
        <v>89498</v>
      </c>
      <c r="BK9" s="69">
        <f t="shared" si="13"/>
        <v>119575</v>
      </c>
      <c r="BL9" s="69">
        <f t="shared" si="13"/>
        <v>90753</v>
      </c>
      <c r="BM9" s="69">
        <f t="shared" si="13"/>
        <v>85777</v>
      </c>
      <c r="BN9" s="69">
        <f t="shared" si="13"/>
        <v>94930</v>
      </c>
      <c r="BO9" s="69">
        <f>SUM(BO4:BO8)</f>
        <v>124300</v>
      </c>
      <c r="BP9" s="69">
        <f t="shared" ref="BP9:BR9" si="14">SUM(BP4:BP8)</f>
        <v>95359</v>
      </c>
      <c r="BQ9" s="69">
        <f t="shared" si="14"/>
        <v>94036</v>
      </c>
      <c r="BR9" s="69">
        <f t="shared" si="14"/>
        <v>102648</v>
      </c>
      <c r="BS9" s="34"/>
      <c r="BT9" s="34"/>
      <c r="BU9" s="34"/>
      <c r="BV9" s="34"/>
      <c r="CA9" s="69"/>
      <c r="CB9" s="69"/>
      <c r="CC9" s="69"/>
      <c r="CD9" s="69"/>
      <c r="CE9" s="69"/>
      <c r="CF9" s="69"/>
      <c r="CG9" s="69"/>
      <c r="CH9" s="69"/>
      <c r="CI9" s="69"/>
      <c r="CJ9" s="69"/>
      <c r="CK9" s="69"/>
      <c r="CL9" s="69">
        <f t="shared" si="2"/>
        <v>274515</v>
      </c>
      <c r="CM9" s="69">
        <f t="shared" si="3"/>
        <v>365817</v>
      </c>
      <c r="CN9" s="69">
        <f t="shared" si="4"/>
        <v>394428</v>
      </c>
      <c r="CO9" s="69">
        <f t="shared" si="5"/>
        <v>383285</v>
      </c>
      <c r="CP9" s="69">
        <f t="shared" si="6"/>
        <v>391035</v>
      </c>
      <c r="CQ9" s="69">
        <f t="shared" si="7"/>
        <v>416343</v>
      </c>
      <c r="CR9" s="75">
        <f t="shared" ref="CR9:CZ9" si="15">SUM(CR4:CR8)</f>
        <v>450795</v>
      </c>
      <c r="CS9" s="75">
        <f t="shared" si="15"/>
        <v>491131.17495000002</v>
      </c>
      <c r="CT9" s="75">
        <f t="shared" si="15"/>
        <v>530289.40983450005</v>
      </c>
      <c r="CU9" s="75">
        <f t="shared" si="15"/>
        <v>568842.39458348253</v>
      </c>
      <c r="CV9" s="75">
        <f t="shared" si="15"/>
        <v>604629.95340353157</v>
      </c>
      <c r="CW9" s="75">
        <f t="shared" si="15"/>
        <v>638935.11244178168</v>
      </c>
      <c r="CX9" s="75">
        <f t="shared" si="15"/>
        <v>668900.47738468205</v>
      </c>
      <c r="CY9" s="75">
        <f t="shared" si="15"/>
        <v>696329.42910578358</v>
      </c>
      <c r="CZ9" s="75">
        <f t="shared" si="15"/>
        <v>718624.18289893842</v>
      </c>
      <c r="DA9" s="75">
        <f t="shared" ref="DA9" si="16">SUM(DA4:DA8)</f>
        <v>735557.79155899922</v>
      </c>
      <c r="DB9" s="34"/>
      <c r="DC9" s="34"/>
      <c r="DD9" s="34"/>
      <c r="DE9" s="34"/>
      <c r="DF9" s="34"/>
      <c r="DG9" s="34"/>
      <c r="DH9" s="34"/>
      <c r="DI9" s="34"/>
      <c r="DJ9" s="34"/>
      <c r="DK9" s="34"/>
      <c r="DL9" s="34"/>
      <c r="DM9" s="34"/>
      <c r="DN9" s="34"/>
      <c r="DO9" s="34"/>
      <c r="DP9" s="34"/>
      <c r="DQ9" s="34"/>
      <c r="DR9" s="34"/>
      <c r="DS9" s="34"/>
      <c r="DT9" s="34"/>
      <c r="DU9" s="34"/>
      <c r="DV9" s="34"/>
      <c r="DW9" s="34"/>
      <c r="DX9" s="34"/>
      <c r="DY9" s="34"/>
      <c r="DZ9" s="34"/>
      <c r="EA9" s="34"/>
      <c r="EB9" s="34"/>
      <c r="EC9" s="34"/>
      <c r="ED9" s="34"/>
      <c r="EE9" s="34"/>
      <c r="EF9" s="34"/>
      <c r="EG9" s="34"/>
      <c r="EH9" s="34"/>
      <c r="EI9" s="34"/>
      <c r="EJ9" s="34"/>
      <c r="EK9" s="34"/>
      <c r="EL9" s="34"/>
      <c r="EM9" s="34"/>
      <c r="EN9" s="34"/>
      <c r="EO9" s="34"/>
      <c r="EP9" s="34"/>
      <c r="EQ9" s="34"/>
      <c r="ER9" s="34"/>
      <c r="ES9" s="34"/>
      <c r="ET9" s="34"/>
      <c r="EU9" s="34"/>
      <c r="EV9" s="34"/>
      <c r="EW9" s="34"/>
      <c r="EX9" s="34"/>
      <c r="EY9" s="34"/>
      <c r="EZ9" s="34"/>
    </row>
    <row r="10" spans="2:157">
      <c r="B10" s="36"/>
      <c r="CQ10" s="1"/>
    </row>
    <row r="11" spans="2:157">
      <c r="B11" s="36" t="s">
        <v>1500</v>
      </c>
      <c r="AU11" s="70"/>
      <c r="AV11" s="70"/>
      <c r="AW11" s="70"/>
      <c r="AX11" s="70"/>
      <c r="AY11" s="70">
        <f t="shared" ref="AY11:BM16" si="17">AY4/AU4-1</f>
        <v>0.1722751398395197</v>
      </c>
      <c r="AZ11" s="70">
        <f t="shared" si="17"/>
        <v>0.65520336993301576</v>
      </c>
      <c r="BA11" s="70">
        <f t="shared" si="17"/>
        <v>0.49784238019532134</v>
      </c>
      <c r="BB11" s="70">
        <f t="shared" si="17"/>
        <v>0.46982302223566785</v>
      </c>
      <c r="BC11" s="70">
        <f t="shared" si="17"/>
        <v>9.1940180191167231E-2</v>
      </c>
      <c r="BD11" s="70">
        <f t="shared" si="17"/>
        <v>5.4904251324627618E-2</v>
      </c>
      <c r="BE11" s="70">
        <f t="shared" si="17"/>
        <v>2.7672479150871787E-2</v>
      </c>
      <c r="BF11" s="70">
        <f t="shared" si="17"/>
        <v>9.6686220026757308E-2</v>
      </c>
      <c r="BG11" s="70">
        <f t="shared" si="17"/>
        <v>-8.1713854917071505E-2</v>
      </c>
      <c r="BH11" s="70">
        <f t="shared" si="17"/>
        <v>1.510777140597197E-2</v>
      </c>
      <c r="BI11" s="70">
        <f t="shared" si="17"/>
        <v>-2.4492807082257428E-2</v>
      </c>
      <c r="BJ11" s="70">
        <f t="shared" ref="BJ11:BJ16" si="18">BJ4/BF4-1</f>
        <v>2.7659175151315996E-2</v>
      </c>
      <c r="BK11" s="70">
        <f t="shared" si="17"/>
        <v>5.9703534777651113E-2</v>
      </c>
      <c r="BL11" s="70">
        <f t="shared" si="17"/>
        <v>-0.10462851131803486</v>
      </c>
      <c r="BM11" s="70">
        <f t="shared" si="17"/>
        <v>-9.4028082381708566E-3</v>
      </c>
      <c r="BN11" s="70">
        <f t="shared" ref="BN11:BO16" si="19">BN4/BJ4-1</f>
        <v>5.5176349731765884E-2</v>
      </c>
      <c r="BO11" s="70">
        <f t="shared" si="19"/>
        <v>-8.0915899113368495E-3</v>
      </c>
      <c r="BP11" s="70">
        <f t="shared" ref="BP11:BQ16" si="20">BP4/BL4-1</f>
        <v>1.9102321432456604E-2</v>
      </c>
      <c r="BQ11" s="70">
        <f t="shared" si="20"/>
        <v>0.13451750814332253</v>
      </c>
      <c r="BR11" s="70">
        <f t="shared" ref="BR11:BR16" si="21">BR4/BN4-1</f>
        <v>6.0642118471723405E-2</v>
      </c>
      <c r="CA11" s="70"/>
      <c r="CB11" s="70"/>
      <c r="CC11" s="70"/>
      <c r="CD11" s="70"/>
      <c r="CE11" s="70"/>
      <c r="CF11" s="70"/>
      <c r="CG11" s="70"/>
      <c r="CH11" s="70"/>
      <c r="CI11" s="70"/>
      <c r="CJ11" s="70"/>
      <c r="CK11" s="70"/>
      <c r="CL11" s="70"/>
      <c r="CM11" s="70">
        <f t="shared" ref="CM11:CQ11" si="22">CM4/CL4-1</f>
        <v>0.39331983364905176</v>
      </c>
      <c r="CN11" s="70">
        <f t="shared" si="22"/>
        <v>7.0405734139696641E-2</v>
      </c>
      <c r="CO11" s="70">
        <f t="shared" si="22"/>
        <v>-2.3874757286278081E-2</v>
      </c>
      <c r="CP11" s="70">
        <f t="shared" si="22"/>
        <v>2.9912804175826757E-3</v>
      </c>
      <c r="CQ11" s="70">
        <f t="shared" si="22"/>
        <v>4.1767942619406195E-2</v>
      </c>
      <c r="CR11" s="72">
        <v>7.4999999999999997E-2</v>
      </c>
      <c r="CS11" s="72">
        <v>8.5000000000000006E-2</v>
      </c>
      <c r="CT11" s="72">
        <v>7.0000000000000007E-2</v>
      </c>
      <c r="CU11" s="72">
        <v>6.5000000000000002E-2</v>
      </c>
      <c r="CV11" s="72">
        <v>0.06</v>
      </c>
      <c r="CW11" s="72">
        <v>5.5E-2</v>
      </c>
      <c r="CX11" s="72">
        <v>4.4999999999999998E-2</v>
      </c>
      <c r="CY11" s="72">
        <v>0.04</v>
      </c>
      <c r="CZ11" s="72">
        <v>0.03</v>
      </c>
      <c r="DA11" s="72">
        <v>0.02</v>
      </c>
    </row>
    <row r="12" spans="2:157">
      <c r="B12" s="36" t="s">
        <v>1501</v>
      </c>
      <c r="AU12" s="70"/>
      <c r="AV12" s="70"/>
      <c r="AW12" s="70"/>
      <c r="AX12" s="70"/>
      <c r="AY12" s="70">
        <f t="shared" si="17"/>
        <v>0.21159217877094982</v>
      </c>
      <c r="AZ12" s="70">
        <f t="shared" si="17"/>
        <v>0.70099046907120166</v>
      </c>
      <c r="BA12" s="70">
        <f t="shared" si="17"/>
        <v>0.16329990111597681</v>
      </c>
      <c r="BB12" s="70">
        <f t="shared" si="17"/>
        <v>1.6164747564216153E-2</v>
      </c>
      <c r="BC12" s="70">
        <f t="shared" si="17"/>
        <v>0.2509510086455331</v>
      </c>
      <c r="BD12" s="70">
        <f t="shared" si="17"/>
        <v>0.14645132937815863</v>
      </c>
      <c r="BE12" s="70">
        <f t="shared" si="17"/>
        <v>-0.10358227079538551</v>
      </c>
      <c r="BF12" s="70">
        <f t="shared" si="17"/>
        <v>0.25386794508607546</v>
      </c>
      <c r="BG12" s="70">
        <f t="shared" si="17"/>
        <v>-0.28722816070770363</v>
      </c>
      <c r="BH12" s="70">
        <f t="shared" si="17"/>
        <v>-0.31308097747963581</v>
      </c>
      <c r="BI12" s="70">
        <f t="shared" si="17"/>
        <v>-7.3421836900568915E-2</v>
      </c>
      <c r="BJ12" s="70">
        <f t="shared" si="18"/>
        <v>-0.33837330552659017</v>
      </c>
      <c r="BK12" s="70">
        <f t="shared" si="17"/>
        <v>5.8177117000646206E-3</v>
      </c>
      <c r="BL12" s="70">
        <f t="shared" si="17"/>
        <v>3.9481026785714191E-2</v>
      </c>
      <c r="BM12" s="70">
        <f t="shared" si="17"/>
        <v>2.4707602339181234E-2</v>
      </c>
      <c r="BN12" s="70">
        <f t="shared" si="19"/>
        <v>1.7073811400052596E-2</v>
      </c>
      <c r="BO12" s="70">
        <f t="shared" si="19"/>
        <v>0.15514138817480716</v>
      </c>
      <c r="BP12" s="70">
        <f t="shared" si="20"/>
        <v>6.6836666219299401E-2</v>
      </c>
      <c r="BQ12" s="70">
        <f t="shared" si="20"/>
        <v>0.14795263232986167</v>
      </c>
      <c r="BR12" s="70">
        <f t="shared" si="21"/>
        <v>0.12680785123966931</v>
      </c>
      <c r="CA12" s="70"/>
      <c r="CB12" s="70"/>
      <c r="CC12" s="70"/>
      <c r="CD12" s="70"/>
      <c r="CE12" s="70"/>
      <c r="CF12" s="70"/>
      <c r="CG12" s="70"/>
      <c r="CH12" s="70"/>
      <c r="CI12" s="70"/>
      <c r="CJ12" s="70"/>
      <c r="CK12" s="70"/>
      <c r="CL12" s="70"/>
      <c r="CM12" s="70">
        <f t="shared" ref="CM12:CQ12" si="23">CM5/CL5-1</f>
        <v>0.22947383131856625</v>
      </c>
      <c r="CN12" s="70">
        <f t="shared" si="23"/>
        <v>0.14171639670360903</v>
      </c>
      <c r="CO12" s="70">
        <f t="shared" si="23"/>
        <v>-0.26930831072504169</v>
      </c>
      <c r="CP12" s="70">
        <f t="shared" si="23"/>
        <v>2.1357768164322E-2</v>
      </c>
      <c r="CQ12" s="70">
        <f t="shared" si="23"/>
        <v>0.12419957310565644</v>
      </c>
      <c r="CR12" s="72">
        <v>0.12</v>
      </c>
      <c r="CS12" s="72">
        <v>0.09</v>
      </c>
      <c r="CT12" s="72">
        <v>0.12</v>
      </c>
      <c r="CU12" s="72">
        <v>0.09</v>
      </c>
      <c r="CV12" s="72">
        <v>7.0000000000000007E-2</v>
      </c>
      <c r="CW12" s="72">
        <v>0.06</v>
      </c>
      <c r="CX12" s="72">
        <v>0.05</v>
      </c>
      <c r="CY12" s="72">
        <v>4.4999999999999998E-2</v>
      </c>
      <c r="CZ12" s="72">
        <v>0.04</v>
      </c>
      <c r="DA12" s="72">
        <v>3.5000000000000003E-2</v>
      </c>
    </row>
    <row r="13" spans="2:157">
      <c r="B13" s="36" t="s">
        <v>1502</v>
      </c>
      <c r="AU13" s="70"/>
      <c r="AV13" s="70"/>
      <c r="AW13" s="70"/>
      <c r="AX13" s="70"/>
      <c r="AY13" s="70">
        <f t="shared" si="17"/>
        <v>0.4112430985444202</v>
      </c>
      <c r="AZ13" s="70">
        <f t="shared" si="17"/>
        <v>0.78731684981684991</v>
      </c>
      <c r="BA13" s="70">
        <f t="shared" si="17"/>
        <v>0.11941659070191424</v>
      </c>
      <c r="BB13" s="70">
        <f t="shared" si="17"/>
        <v>0.21406502868912747</v>
      </c>
      <c r="BC13" s="70">
        <f t="shared" si="17"/>
        <v>-0.14072317723770011</v>
      </c>
      <c r="BD13" s="70">
        <f t="shared" si="17"/>
        <v>-2.0622518252849997E-2</v>
      </c>
      <c r="BE13" s="70">
        <f t="shared" si="17"/>
        <v>-1.9543973941368087E-2</v>
      </c>
      <c r="BF13" s="70">
        <f t="shared" si="17"/>
        <v>-0.13063499757634511</v>
      </c>
      <c r="BG13" s="70">
        <f t="shared" si="17"/>
        <v>0.29635761589403975</v>
      </c>
      <c r="BH13" s="70">
        <f t="shared" si="17"/>
        <v>-0.12764844363065653</v>
      </c>
      <c r="BI13" s="70">
        <f t="shared" si="17"/>
        <v>-0.19836655592469543</v>
      </c>
      <c r="BJ13" s="70">
        <f t="shared" si="18"/>
        <v>-0.1018957345971564</v>
      </c>
      <c r="BK13" s="70">
        <f t="shared" si="17"/>
        <v>-0.25255427841634737</v>
      </c>
      <c r="BL13" s="70">
        <f t="shared" si="17"/>
        <v>-0.16656671664167921</v>
      </c>
      <c r="BM13" s="70">
        <f t="shared" si="17"/>
        <v>0.23674667587635989</v>
      </c>
      <c r="BN13" s="70">
        <f t="shared" si="19"/>
        <v>7.8690051218376578E-2</v>
      </c>
      <c r="BO13" s="70">
        <f t="shared" si="19"/>
        <v>0.15164459632635618</v>
      </c>
      <c r="BP13" s="70">
        <f t="shared" si="20"/>
        <v>0.15164597949271452</v>
      </c>
      <c r="BQ13" s="70">
        <f t="shared" si="20"/>
        <v>-8.1122591454900861E-2</v>
      </c>
      <c r="BR13" s="70">
        <f t="shared" si="21"/>
        <v>2.877697841725535E-4</v>
      </c>
      <c r="CA13" s="70"/>
      <c r="CB13" s="70"/>
      <c r="CC13" s="70"/>
      <c r="CD13" s="70"/>
      <c r="CE13" s="70"/>
      <c r="CF13" s="70"/>
      <c r="CG13" s="70"/>
      <c r="CH13" s="70"/>
      <c r="CI13" s="70"/>
      <c r="CJ13" s="70"/>
      <c r="CK13" s="70"/>
      <c r="CL13" s="70"/>
      <c r="CM13" s="70">
        <f t="shared" ref="CM13:CQ13" si="24">CM6/CL6-1</f>
        <v>0.34302815714044854</v>
      </c>
      <c r="CN13" s="70">
        <f t="shared" si="24"/>
        <v>-8.0660347749670458E-2</v>
      </c>
      <c r="CO13" s="70">
        <f t="shared" si="24"/>
        <v>-3.3865901952751631E-2</v>
      </c>
      <c r="CP13" s="70">
        <f t="shared" si="24"/>
        <v>-5.674911660777382E-2</v>
      </c>
      <c r="CQ13" s="70">
        <f t="shared" si="24"/>
        <v>4.9786468869408962E-2</v>
      </c>
      <c r="CR13" s="72">
        <v>0.03</v>
      </c>
      <c r="CS13" s="72">
        <v>0.02</v>
      </c>
      <c r="CT13" s="72">
        <v>0.02</v>
      </c>
      <c r="CU13" s="72">
        <v>0.02</v>
      </c>
      <c r="CV13" s="72">
        <v>0.02</v>
      </c>
      <c r="CW13" s="72">
        <v>0.02</v>
      </c>
      <c r="CX13" s="72">
        <v>0.01</v>
      </c>
      <c r="CY13" s="72">
        <v>0.01</v>
      </c>
      <c r="CZ13" s="72">
        <v>0.01</v>
      </c>
      <c r="DA13" s="72">
        <v>0.01</v>
      </c>
    </row>
    <row r="14" spans="2:157">
      <c r="B14" s="36" t="s">
        <v>1503</v>
      </c>
      <c r="AU14" s="70"/>
      <c r="AV14" s="70"/>
      <c r="AW14" s="70"/>
      <c r="AX14" s="70"/>
      <c r="AY14" s="70">
        <f t="shared" si="17"/>
        <v>0.2958041958041957</v>
      </c>
      <c r="AZ14" s="70">
        <f t="shared" si="17"/>
        <v>0.2469764481222152</v>
      </c>
      <c r="BA14" s="70">
        <f t="shared" si="17"/>
        <v>0.36046511627906974</v>
      </c>
      <c r="BB14" s="70">
        <f t="shared" si="17"/>
        <v>0.11541391569324522</v>
      </c>
      <c r="BC14" s="70">
        <f t="shared" si="17"/>
        <v>0.13337445069771037</v>
      </c>
      <c r="BD14" s="70">
        <f t="shared" si="17"/>
        <v>0.12378764675855036</v>
      </c>
      <c r="BE14" s="70">
        <f t="shared" si="17"/>
        <v>-7.8746438746438718E-2</v>
      </c>
      <c r="BF14" s="70">
        <f t="shared" si="17"/>
        <v>0.10984632896983504</v>
      </c>
      <c r="BG14" s="70">
        <f t="shared" si="17"/>
        <v>-8.2919529283722149E-2</v>
      </c>
      <c r="BH14" s="70">
        <f t="shared" si="17"/>
        <v>-5.56438791732905E-3</v>
      </c>
      <c r="BI14" s="70">
        <f t="shared" si="17"/>
        <v>2.474022761009409E-2</v>
      </c>
      <c r="BJ14" s="70">
        <f t="shared" si="18"/>
        <v>-4.3897435897435888E-2</v>
      </c>
      <c r="BK14" s="70">
        <f t="shared" si="17"/>
        <v>-0.11341047322355735</v>
      </c>
      <c r="BL14" s="70">
        <f t="shared" si="17"/>
        <v>-9.6380038826082037E-2</v>
      </c>
      <c r="BM14" s="70">
        <f t="shared" si="17"/>
        <v>-2.2573635924674096E-2</v>
      </c>
      <c r="BN14" s="70">
        <f t="shared" si="19"/>
        <v>-3.0036472859901298E-2</v>
      </c>
      <c r="BO14" s="70">
        <f t="shared" si="19"/>
        <v>-1.7234167154689173E-2</v>
      </c>
      <c r="BP14" s="70">
        <f t="shared" si="20"/>
        <v>-4.9412359408568141E-2</v>
      </c>
      <c r="BQ14" s="70">
        <f t="shared" si="20"/>
        <v>-8.5587254538718072E-2</v>
      </c>
      <c r="BR14" s="70">
        <f t="shared" si="21"/>
        <v>1.6921035169210397E-2</v>
      </c>
      <c r="CA14" s="70"/>
      <c r="CB14" s="70"/>
      <c r="CC14" s="70"/>
      <c r="CD14" s="70"/>
      <c r="CE14" s="70"/>
      <c r="CF14" s="70"/>
      <c r="CG14" s="70"/>
      <c r="CH14" s="70"/>
      <c r="CI14" s="70"/>
      <c r="CJ14" s="70"/>
      <c r="CK14" s="70"/>
      <c r="CL14" s="70"/>
      <c r="CM14" s="70">
        <f t="shared" ref="CM14:CQ14" si="25">CM7/CL7-1</f>
        <v>0.2530045721750489</v>
      </c>
      <c r="CN14" s="70">
        <f t="shared" si="25"/>
        <v>7.7514530716501051E-2</v>
      </c>
      <c r="CO14" s="70">
        <f t="shared" si="25"/>
        <v>-3.618683631261943E-2</v>
      </c>
      <c r="CP14" s="70">
        <f t="shared" si="25"/>
        <v>-7.1276195256619435E-2</v>
      </c>
      <c r="CQ14" s="70">
        <f t="shared" si="25"/>
        <v>-3.0725577624645339E-2</v>
      </c>
      <c r="CR14" s="72">
        <v>-0.04</v>
      </c>
      <c r="CS14" s="72">
        <v>0.03</v>
      </c>
      <c r="CT14" s="72">
        <v>-0.01</v>
      </c>
      <c r="CU14" s="72">
        <v>0.03</v>
      </c>
      <c r="CV14" s="72">
        <v>0.03</v>
      </c>
      <c r="CW14" s="72">
        <v>0.03</v>
      </c>
      <c r="CX14" s="72">
        <v>0.02</v>
      </c>
      <c r="CY14" s="72">
        <v>0.02</v>
      </c>
      <c r="CZ14" s="72">
        <v>0.01</v>
      </c>
      <c r="DA14" s="72">
        <v>0.01</v>
      </c>
    </row>
    <row r="15" spans="2:157">
      <c r="B15" s="36" t="s">
        <v>1504</v>
      </c>
      <c r="AU15" s="70"/>
      <c r="AV15" s="70"/>
      <c r="AW15" s="70"/>
      <c r="AX15" s="70"/>
      <c r="AY15" s="70">
        <f t="shared" si="17"/>
        <v>0.23955957530475813</v>
      </c>
      <c r="AZ15" s="70">
        <f t="shared" si="17"/>
        <v>0.26618219958046141</v>
      </c>
      <c r="BA15" s="70">
        <f t="shared" si="17"/>
        <v>0.32912739434478566</v>
      </c>
      <c r="BB15" s="70">
        <f t="shared" si="17"/>
        <v>0.25623754209911342</v>
      </c>
      <c r="BC15" s="70">
        <f t="shared" si="17"/>
        <v>0.23824630416851722</v>
      </c>
      <c r="BD15" s="70">
        <f t="shared" si="17"/>
        <v>0.17277084196201398</v>
      </c>
      <c r="BE15" s="70">
        <f t="shared" si="17"/>
        <v>0.12112547180601618</v>
      </c>
      <c r="BF15" s="70">
        <f t="shared" si="17"/>
        <v>4.984406631285232E-2</v>
      </c>
      <c r="BG15" s="70">
        <f t="shared" si="17"/>
        <v>6.4050010248001721E-2</v>
      </c>
      <c r="BH15" s="70">
        <f t="shared" si="17"/>
        <v>5.4790373845921003E-2</v>
      </c>
      <c r="BI15" s="70">
        <f t="shared" si="17"/>
        <v>8.2075086716996593E-2</v>
      </c>
      <c r="BJ15" s="70">
        <f t="shared" si="18"/>
        <v>0.16291432145090678</v>
      </c>
      <c r="BK15" s="70">
        <f t="shared" si="17"/>
        <v>0.11321390734855052</v>
      </c>
      <c r="BL15" s="70">
        <f t="shared" si="17"/>
        <v>0.14157937532883724</v>
      </c>
      <c r="BM15" s="70">
        <f t="shared" si="17"/>
        <v>0.1414227124876255</v>
      </c>
      <c r="BN15" s="70">
        <f t="shared" si="19"/>
        <v>0.11911804248453883</v>
      </c>
      <c r="BO15" s="70">
        <f t="shared" si="19"/>
        <v>0.13942120517368162</v>
      </c>
      <c r="BP15" s="70">
        <f t="shared" si="20"/>
        <v>0.11639502241588806</v>
      </c>
      <c r="BQ15" s="70">
        <f t="shared" si="20"/>
        <v>0.13257341097757402</v>
      </c>
      <c r="BR15" s="70">
        <f t="shared" si="21"/>
        <v>0.1512894441774788</v>
      </c>
      <c r="CA15" s="70"/>
      <c r="CB15" s="70"/>
      <c r="CC15" s="70"/>
      <c r="CD15" s="70"/>
      <c r="CE15" s="70"/>
      <c r="CF15" s="70"/>
      <c r="CG15" s="70"/>
      <c r="CH15" s="70"/>
      <c r="CI15" s="70"/>
      <c r="CJ15" s="70"/>
      <c r="CK15" s="70"/>
      <c r="CL15" s="70"/>
      <c r="CM15" s="70">
        <f t="shared" ref="CM15:CQ15" si="26">CM8/CL8-1</f>
        <v>0.27259708376729663</v>
      </c>
      <c r="CN15" s="70">
        <f t="shared" si="26"/>
        <v>0.14181951041286078</v>
      </c>
      <c r="CO15" s="70">
        <f t="shared" si="26"/>
        <v>9.0504166186691215E-2</v>
      </c>
      <c r="CP15" s="70">
        <f t="shared" si="26"/>
        <v>0.12874413145539898</v>
      </c>
      <c r="CQ15" s="70">
        <f t="shared" si="26"/>
        <v>0.13506431386413498</v>
      </c>
      <c r="CR15" s="72">
        <v>0.14000000000000001</v>
      </c>
      <c r="CS15" s="72">
        <v>0.13</v>
      </c>
      <c r="CT15" s="72">
        <v>0.12</v>
      </c>
      <c r="CU15" s="72">
        <v>0.1</v>
      </c>
      <c r="CV15" s="72">
        <v>0.08</v>
      </c>
      <c r="CW15" s="72">
        <v>7.0000000000000007E-2</v>
      </c>
      <c r="CX15" s="72">
        <v>0.06</v>
      </c>
      <c r="CY15" s="72">
        <v>0.05</v>
      </c>
      <c r="CZ15" s="72">
        <v>0.04</v>
      </c>
      <c r="DA15" s="72">
        <v>0.03</v>
      </c>
    </row>
    <row r="16" spans="2:157" s="2" customFormat="1" ht="15">
      <c r="B16" s="33" t="s">
        <v>169</v>
      </c>
      <c r="G16" s="71">
        <f t="shared" ref="G16:AW16" si="27">G44/C44-1</f>
        <v>0</v>
      </c>
      <c r="H16" s="71">
        <f t="shared" si="27"/>
        <v>0.48601937472479073</v>
      </c>
      <c r="I16" s="71">
        <f t="shared" si="27"/>
        <v>0.61290322580645151</v>
      </c>
      <c r="J16" s="71">
        <f t="shared" si="27"/>
        <v>1.4206330318895763</v>
      </c>
      <c r="K16" s="71">
        <f t="shared" si="27"/>
        <v>0.7050946885162277</v>
      </c>
      <c r="L16" s="71">
        <f t="shared" si="27"/>
        <v>0.82732054226238971</v>
      </c>
      <c r="M16" s="71">
        <f t="shared" si="27"/>
        <v>0.8198089171974523</v>
      </c>
      <c r="N16" s="71">
        <f t="shared" si="27"/>
        <v>0.38966720739320659</v>
      </c>
      <c r="O16" s="71">
        <f t="shared" si="27"/>
        <v>0.73265771661493595</v>
      </c>
      <c r="P16" s="71">
        <f t="shared" si="27"/>
        <v>0.5886001540519723</v>
      </c>
      <c r="Q16" s="71">
        <f t="shared" si="27"/>
        <v>0.2258233873508102</v>
      </c>
      <c r="R16" s="71">
        <f t="shared" si="27"/>
        <v>0.27223204810753443</v>
      </c>
      <c r="S16" s="71">
        <f t="shared" si="27"/>
        <v>0.17652644983057431</v>
      </c>
      <c r="T16" s="71">
        <f t="shared" si="27"/>
        <v>0.11271882815291168</v>
      </c>
      <c r="U16" s="71">
        <f t="shared" si="27"/>
        <v>8.5657996173942319E-3</v>
      </c>
      <c r="V16" s="71">
        <f t="shared" si="27"/>
        <v>4.1872879942167707E-2</v>
      </c>
      <c r="W16" s="71">
        <f t="shared" si="27"/>
        <v>5.6538009979454129E-2</v>
      </c>
      <c r="X16" s="71">
        <f t="shared" si="27"/>
        <v>4.6854574226544043E-2</v>
      </c>
      <c r="Y16" s="71">
        <f t="shared" si="27"/>
        <v>5.9706140475044522E-2</v>
      </c>
      <c r="Z16" s="71">
        <f t="shared" si="27"/>
        <v>0.12411934244235701</v>
      </c>
      <c r="AA16" s="71">
        <f t="shared" si="27"/>
        <v>0.29525645032468661</v>
      </c>
      <c r="AB16" s="71">
        <f t="shared" si="27"/>
        <v>0.27086710774218981</v>
      </c>
      <c r="AC16" s="71">
        <f t="shared" si="27"/>
        <v>0.32520303483650359</v>
      </c>
      <c r="AD16" s="71">
        <f t="shared" si="27"/>
        <v>0.22263371554732569</v>
      </c>
      <c r="AE16" s="71">
        <f t="shared" si="27"/>
        <v>1.7064571911151516E-2</v>
      </c>
      <c r="AF16" s="71">
        <f t="shared" si="27"/>
        <v>-0.12847784864678502</v>
      </c>
      <c r="AG16" s="71">
        <f t="shared" si="27"/>
        <v>-0.14609414373551055</v>
      </c>
      <c r="AH16" s="71">
        <f t="shared" si="27"/>
        <v>-9.0270091842876821E-2</v>
      </c>
      <c r="AI16" s="71">
        <f t="shared" si="27"/>
        <v>3.2673450021088124E-2</v>
      </c>
      <c r="AJ16" s="71">
        <f t="shared" si="27"/>
        <v>4.626461221987066E-2</v>
      </c>
      <c r="AK16" s="71">
        <f t="shared" si="27"/>
        <v>7.2005288257235955E-2</v>
      </c>
      <c r="AL16" s="71">
        <f t="shared" si="27"/>
        <v>0.1222359771194399</v>
      </c>
      <c r="AM16" s="71">
        <f t="shared" si="27"/>
        <v>0.12689053107171566</v>
      </c>
      <c r="AN16" s="71">
        <f t="shared" si="27"/>
        <v>0.15579627949183306</v>
      </c>
      <c r="AO16" s="71">
        <f t="shared" si="27"/>
        <v>0.17303118393234662</v>
      </c>
      <c r="AP16" s="71">
        <f t="shared" si="27"/>
        <v>0.19629509880370488</v>
      </c>
      <c r="AQ16" s="71">
        <f t="shared" si="27"/>
        <v>-4.5111163965433243E-2</v>
      </c>
      <c r="AR16" s="71">
        <f t="shared" si="27"/>
        <v>-5.1065639465462831E-2</v>
      </c>
      <c r="AS16" s="71">
        <f t="shared" si="27"/>
        <v>1.0213085515817122E-2</v>
      </c>
      <c r="AT16" s="71">
        <f t="shared" si="27"/>
        <v>1.8124006359300449E-2</v>
      </c>
      <c r="AU16" s="71">
        <f t="shared" si="27"/>
        <v>8.9064167951607098E-2</v>
      </c>
      <c r="AV16" s="71">
        <f t="shared" si="27"/>
        <v>5.1366026027750422E-3</v>
      </c>
      <c r="AW16" s="71">
        <f t="shared" si="27"/>
        <v>0.10920106301919752</v>
      </c>
      <c r="AX16" s="71">
        <f>AX44/AT44-1</f>
        <v>1.0274828232354816E-2</v>
      </c>
      <c r="AY16" s="71">
        <f t="shared" si="17"/>
        <v>0.21368126422635836</v>
      </c>
      <c r="AZ16" s="71">
        <f t="shared" si="17"/>
        <v>0.53626121105070901</v>
      </c>
      <c r="BA16" s="71">
        <f t="shared" si="17"/>
        <v>0.36439641450950822</v>
      </c>
      <c r="BB16" s="71">
        <f t="shared" si="17"/>
        <v>0.28844786546724777</v>
      </c>
      <c r="BC16" s="71">
        <f t="shared" si="17"/>
        <v>0.11222283042740866</v>
      </c>
      <c r="BD16" s="71">
        <f t="shared" si="17"/>
        <v>8.5885872477228009E-2</v>
      </c>
      <c r="BE16" s="71">
        <f t="shared" si="17"/>
        <v>1.8726821720657316E-2</v>
      </c>
      <c r="BF16" s="71">
        <f t="shared" si="17"/>
        <v>8.2605566218809878E-2</v>
      </c>
      <c r="BG16" s="71">
        <f t="shared" si="17"/>
        <v>-5.4790431239662762E-2</v>
      </c>
      <c r="BH16" s="71">
        <f t="shared" si="17"/>
        <v>-2.5103312156911084E-2</v>
      </c>
      <c r="BI16" s="71">
        <f t="shared" si="17"/>
        <v>-1.4006919080509661E-2</v>
      </c>
      <c r="BJ16" s="71">
        <f t="shared" si="18"/>
        <v>-8.2884559980497263E-3</v>
      </c>
      <c r="BK16" s="71">
        <f t="shared" si="17"/>
        <v>2.0665107465387411E-2</v>
      </c>
      <c r="BL16" s="71">
        <f t="shared" si="17"/>
        <v>-4.3053270909781061E-2</v>
      </c>
      <c r="BM16" s="71">
        <f t="shared" si="17"/>
        <v>4.8657041211780383E-2</v>
      </c>
      <c r="BN16" s="71">
        <f t="shared" si="19"/>
        <v>6.0694093722764686E-2</v>
      </c>
      <c r="BO16" s="71">
        <f t="shared" si="19"/>
        <v>3.9514948776918191E-2</v>
      </c>
      <c r="BP16" s="71">
        <f t="shared" si="20"/>
        <v>5.075314314678292E-2</v>
      </c>
      <c r="BQ16" s="71">
        <f t="shared" si="20"/>
        <v>9.628455180293094E-2</v>
      </c>
      <c r="BR16" s="71">
        <f t="shared" si="21"/>
        <v>8.1302012008848568E-2</v>
      </c>
      <c r="BS16" s="34"/>
      <c r="BT16" s="34"/>
      <c r="BU16" s="34"/>
      <c r="BV16" s="34"/>
      <c r="CA16" s="71"/>
      <c r="CB16" s="71">
        <f t="shared" ref="CB16:CK16" si="28">CB44/CA44-1</f>
        <v>0.52021908868430256</v>
      </c>
      <c r="CC16" s="71">
        <f t="shared" si="28"/>
        <v>0.65962437715599842</v>
      </c>
      <c r="CD16" s="71">
        <f t="shared" si="28"/>
        <v>0.44581474193756976</v>
      </c>
      <c r="CE16" s="71">
        <f t="shared" si="28"/>
        <v>9.2020855163953197E-2</v>
      </c>
      <c r="CF16" s="71">
        <f t="shared" si="28"/>
        <v>6.9539523725937524E-2</v>
      </c>
      <c r="CG16" s="71">
        <f t="shared" si="28"/>
        <v>0.27856341803659834</v>
      </c>
      <c r="CH16" s="71">
        <f t="shared" si="28"/>
        <v>-7.7342061913013738E-2</v>
      </c>
      <c r="CI16" s="71">
        <f t="shared" si="28"/>
        <v>6.304518199398057E-2</v>
      </c>
      <c r="CJ16" s="71">
        <f t="shared" si="28"/>
        <v>0.15861957650261305</v>
      </c>
      <c r="CK16" s="71">
        <f t="shared" si="28"/>
        <v>-2.04107758052674E-2</v>
      </c>
      <c r="CL16" s="71">
        <f>CL44/CK44-1</f>
        <v>5.5120803769784787E-2</v>
      </c>
      <c r="CM16" s="71">
        <f t="shared" ref="CM16:CQ16" si="29">CM9/CL9-1</f>
        <v>0.33259384733074704</v>
      </c>
      <c r="CN16" s="71">
        <f t="shared" si="29"/>
        <v>7.8211236765924008E-2</v>
      </c>
      <c r="CO16" s="71">
        <f t="shared" si="29"/>
        <v>-2.8251036944638819E-2</v>
      </c>
      <c r="CP16" s="71">
        <f t="shared" si="29"/>
        <v>2.021994077514111E-2</v>
      </c>
      <c r="CQ16" s="71">
        <f t="shared" si="29"/>
        <v>6.4720549311442666E-2</v>
      </c>
      <c r="CR16" s="73">
        <f t="shared" ref="CR16:DA16" si="30">CR9/CQ9-1</f>
        <v>8.2749079484943922E-2</v>
      </c>
      <c r="CS16" s="73">
        <f t="shared" si="30"/>
        <v>8.9477866768708614E-2</v>
      </c>
      <c r="CT16" s="73">
        <f t="shared" si="30"/>
        <v>7.973070511862046E-2</v>
      </c>
      <c r="CU16" s="73">
        <f t="shared" si="30"/>
        <v>7.2701781393323728E-2</v>
      </c>
      <c r="CV16" s="73">
        <f t="shared" si="30"/>
        <v>6.2912960005826246E-2</v>
      </c>
      <c r="CW16" s="73">
        <f t="shared" si="30"/>
        <v>5.6737445515463447E-2</v>
      </c>
      <c r="CX16" s="73">
        <f t="shared" si="30"/>
        <v>4.6898917213022528E-2</v>
      </c>
      <c r="CY16" s="73">
        <f t="shared" si="30"/>
        <v>4.1006028024296537E-2</v>
      </c>
      <c r="CZ16" s="73">
        <f t="shared" si="30"/>
        <v>3.2017537764827075E-2</v>
      </c>
      <c r="DA16" s="73">
        <f t="shared" si="30"/>
        <v>2.3563928215928343E-2</v>
      </c>
      <c r="DB16" s="34"/>
      <c r="DC16" s="34"/>
      <c r="DD16" s="34"/>
      <c r="DE16" s="34"/>
      <c r="DF16" s="34"/>
      <c r="DG16" s="34"/>
      <c r="DH16" s="34"/>
      <c r="DI16" s="34"/>
      <c r="DJ16" s="34"/>
      <c r="DK16" s="34"/>
      <c r="DL16" s="34"/>
      <c r="DM16" s="34"/>
      <c r="DN16" s="34"/>
      <c r="DO16" s="34"/>
      <c r="DP16" s="34"/>
      <c r="DQ16" s="34"/>
      <c r="DR16" s="34"/>
      <c r="DS16" s="34"/>
      <c r="DT16" s="34"/>
      <c r="DU16" s="34"/>
      <c r="DV16" s="34"/>
      <c r="DW16" s="34"/>
      <c r="DX16" s="34"/>
      <c r="DY16" s="34"/>
      <c r="DZ16" s="34"/>
      <c r="EA16" s="34"/>
      <c r="EB16" s="34"/>
      <c r="EC16" s="34"/>
      <c r="ED16" s="34"/>
      <c r="EE16" s="34"/>
      <c r="EF16" s="34"/>
      <c r="EG16" s="34"/>
      <c r="EH16" s="34"/>
      <c r="EI16" s="34"/>
      <c r="EJ16" s="34"/>
      <c r="EK16" s="34"/>
      <c r="EL16" s="34"/>
      <c r="EM16" s="34"/>
      <c r="EN16" s="34"/>
      <c r="EO16" s="34"/>
      <c r="EP16" s="34"/>
      <c r="EQ16" s="34"/>
      <c r="ER16" s="34"/>
      <c r="ES16" s="34"/>
      <c r="ET16" s="34"/>
      <c r="EU16" s="34"/>
      <c r="EV16" s="34"/>
      <c r="EW16" s="34"/>
      <c r="EX16" s="34"/>
      <c r="EY16" s="34"/>
      <c r="EZ16" s="34"/>
    </row>
    <row r="17" spans="2:95">
      <c r="CQ17" s="1"/>
    </row>
    <row r="18" spans="2:95">
      <c r="B18" s="36" t="s">
        <v>1505</v>
      </c>
      <c r="AU18" s="70">
        <f t="shared" ref="AU18:BQ18" si="31">AU4/AU9</f>
        <v>0.60942724272754001</v>
      </c>
      <c r="AV18" s="70">
        <f t="shared" si="31"/>
        <v>0.49666455164371581</v>
      </c>
      <c r="AW18" s="70">
        <f t="shared" si="31"/>
        <v>0.44262377481779341</v>
      </c>
      <c r="AX18" s="70">
        <f t="shared" si="31"/>
        <v>0.40872979071996041</v>
      </c>
      <c r="AY18" s="70">
        <f t="shared" si="31"/>
        <v>0.5886359353547681</v>
      </c>
      <c r="AZ18" s="70">
        <f t="shared" si="31"/>
        <v>0.53511787819253442</v>
      </c>
      <c r="BA18" s="70">
        <f t="shared" si="31"/>
        <v>0.48591497408944667</v>
      </c>
      <c r="BB18" s="70">
        <f t="shared" si="31"/>
        <v>0.46626679462571979</v>
      </c>
      <c r="BC18" s="70">
        <f t="shared" si="31"/>
        <v>0.57790148856347578</v>
      </c>
      <c r="BD18" s="70">
        <f t="shared" si="31"/>
        <v>0.51985032587018642</v>
      </c>
      <c r="BE18" s="70">
        <f t="shared" si="31"/>
        <v>0.49018189708169096</v>
      </c>
      <c r="BF18" s="70">
        <f t="shared" si="31"/>
        <v>0.47233118365356913</v>
      </c>
      <c r="BG18" s="70">
        <f t="shared" si="31"/>
        <v>0.56144049712344435</v>
      </c>
      <c r="BH18" s="70">
        <f t="shared" si="31"/>
        <v>0.54129233624362061</v>
      </c>
      <c r="BI18" s="70">
        <f t="shared" si="31"/>
        <v>0.48496888638947638</v>
      </c>
      <c r="BJ18" s="70">
        <f t="shared" si="31"/>
        <v>0.48945227826320142</v>
      </c>
      <c r="BK18" s="70">
        <f t="shared" si="31"/>
        <v>0.58291448881455155</v>
      </c>
      <c r="BL18" s="70">
        <f t="shared" si="31"/>
        <v>0.50646259627780899</v>
      </c>
      <c r="BM18" s="70">
        <f t="shared" si="31"/>
        <v>0.4581181435582965</v>
      </c>
      <c r="BN18" s="70">
        <f t="shared" si="31"/>
        <v>0.4869061413673233</v>
      </c>
      <c r="BO18" s="70">
        <f t="shared" si="31"/>
        <v>0.55621882542236523</v>
      </c>
      <c r="BP18" s="70">
        <f t="shared" si="31"/>
        <v>0.49120691282416973</v>
      </c>
      <c r="BQ18" s="70">
        <f t="shared" si="31"/>
        <v>0.474095027436301</v>
      </c>
      <c r="BR18" s="70">
        <f>BR4/BR9</f>
        <v>0.47760307068817709</v>
      </c>
      <c r="CA18" s="70"/>
      <c r="CB18" s="70"/>
      <c r="CC18" s="70"/>
      <c r="CD18" s="70"/>
      <c r="CE18" s="70"/>
      <c r="CF18" s="70"/>
      <c r="CG18" s="70"/>
      <c r="CH18" s="70"/>
      <c r="CI18" s="70"/>
      <c r="CJ18" s="70"/>
      <c r="CK18" s="70"/>
      <c r="CL18" s="70">
        <f t="shared" ref="CL18:CQ18" si="32">CL4/CL9</f>
        <v>0.50190699961750729</v>
      </c>
      <c r="CM18" s="70">
        <f t="shared" si="32"/>
        <v>0.52477878283404</v>
      </c>
      <c r="CN18" s="70">
        <f t="shared" si="32"/>
        <v>0.52097974788808099</v>
      </c>
      <c r="CO18" s="70">
        <f t="shared" si="32"/>
        <v>0.52332598458066448</v>
      </c>
      <c r="CP18" s="70">
        <f t="shared" si="32"/>
        <v>0.51448847289884536</v>
      </c>
      <c r="CQ18" s="70">
        <f t="shared" si="32"/>
        <v>0.50339743913071677</v>
      </c>
    </row>
    <row r="19" spans="2:95">
      <c r="B19" s="36" t="s">
        <v>1506</v>
      </c>
      <c r="AU19" s="70">
        <f t="shared" ref="AU19:BQ19" si="33">AU5/AU9</f>
        <v>7.7979503152942206E-2</v>
      </c>
      <c r="AV19" s="70">
        <f t="shared" si="33"/>
        <v>9.1763414675972765E-2</v>
      </c>
      <c r="AW19" s="70">
        <f t="shared" si="33"/>
        <v>0.11860601491161933</v>
      </c>
      <c r="AX19" s="70">
        <f t="shared" si="33"/>
        <v>0.13960246066338991</v>
      </c>
      <c r="AY19" s="70">
        <f t="shared" si="33"/>
        <v>7.7845278582901856E-2</v>
      </c>
      <c r="AZ19" s="70">
        <f t="shared" si="33"/>
        <v>0.10160296481514557</v>
      </c>
      <c r="BA19" s="70">
        <f t="shared" si="33"/>
        <v>0.10112483729154899</v>
      </c>
      <c r="BB19" s="70">
        <f t="shared" si="33"/>
        <v>0.11010076775431862</v>
      </c>
      <c r="BC19" s="70">
        <f t="shared" si="33"/>
        <v>8.7554963895276131E-2</v>
      </c>
      <c r="BD19" s="70">
        <f t="shared" si="33"/>
        <v>0.10726988630522831</v>
      </c>
      <c r="BE19" s="70">
        <f t="shared" si="33"/>
        <v>8.8983714847093137E-2</v>
      </c>
      <c r="BF19" s="70">
        <f t="shared" si="33"/>
        <v>0.12751811714646633</v>
      </c>
      <c r="BG19" s="70">
        <f t="shared" si="33"/>
        <v>6.6024207453437359E-2</v>
      </c>
      <c r="BH19" s="70">
        <f t="shared" si="33"/>
        <v>7.5583111898435196E-2</v>
      </c>
      <c r="BI19" s="70">
        <f t="shared" si="33"/>
        <v>8.3621648715723071E-2</v>
      </c>
      <c r="BJ19" s="70">
        <f t="shared" si="33"/>
        <v>8.5074526805068273E-2</v>
      </c>
      <c r="BK19" s="70">
        <f t="shared" si="33"/>
        <v>6.5063767509931009E-2</v>
      </c>
      <c r="BL19" s="70">
        <f t="shared" si="33"/>
        <v>8.2101969080911927E-2</v>
      </c>
      <c r="BM19" s="70">
        <f t="shared" si="33"/>
        <v>8.1711880807209397E-2</v>
      </c>
      <c r="BN19" s="70">
        <f t="shared" si="33"/>
        <v>8.1575898030127464E-2</v>
      </c>
      <c r="BO19" s="70">
        <f t="shared" si="33"/>
        <v>7.2300884955752209E-2</v>
      </c>
      <c r="BP19" s="70">
        <f t="shared" si="33"/>
        <v>8.3358676160614098E-2</v>
      </c>
      <c r="BQ19" s="70">
        <f t="shared" si="33"/>
        <v>8.5562975881577269E-2</v>
      </c>
      <c r="BR19" s="70">
        <f>BR5/BR9</f>
        <v>8.5008962668537136E-2</v>
      </c>
      <c r="CA19" s="70"/>
      <c r="CB19" s="70"/>
      <c r="CC19" s="70"/>
      <c r="CD19" s="70"/>
      <c r="CE19" s="70"/>
      <c r="CF19" s="70"/>
      <c r="CG19" s="70"/>
      <c r="CH19" s="70"/>
      <c r="CI19" s="70"/>
      <c r="CJ19" s="70"/>
      <c r="CK19" s="70"/>
      <c r="CL19" s="70">
        <f t="shared" ref="CL19:CQ19" si="34">CL5/CL9</f>
        <v>0.10426388357648944</v>
      </c>
      <c r="CM19" s="70">
        <f t="shared" si="34"/>
        <v>9.6195638803008063E-2</v>
      </c>
      <c r="CN19" s="70">
        <f t="shared" si="34"/>
        <v>0.10186142971594309</v>
      </c>
      <c r="CO19" s="70">
        <f t="shared" si="34"/>
        <v>7.659313565623492E-2</v>
      </c>
      <c r="CP19" s="70">
        <f t="shared" si="34"/>
        <v>7.6678558185328677E-2</v>
      </c>
      <c r="CQ19" s="70">
        <f t="shared" si="34"/>
        <v>8.0962091352562673E-2</v>
      </c>
    </row>
    <row r="20" spans="2:95">
      <c r="B20" s="36" t="s">
        <v>1507</v>
      </c>
      <c r="AU20" s="70">
        <f t="shared" ref="AU20:BQ20" si="35">AU6/AU9</f>
        <v>6.5095459545409989E-2</v>
      </c>
      <c r="AV20" s="70">
        <f t="shared" si="35"/>
        <v>7.4906110129816683E-2</v>
      </c>
      <c r="AW20" s="70">
        <f t="shared" si="35"/>
        <v>0.11027896456396079</v>
      </c>
      <c r="AX20" s="70">
        <f t="shared" si="35"/>
        <v>0.10505734334909889</v>
      </c>
      <c r="AY20" s="70">
        <f t="shared" si="35"/>
        <v>7.5691633988101109E-2</v>
      </c>
      <c r="AZ20" s="70">
        <f t="shared" si="35"/>
        <v>8.7147258439006961E-2</v>
      </c>
      <c r="BA20" s="70">
        <f t="shared" si="35"/>
        <v>9.0478178647739271E-2</v>
      </c>
      <c r="BB20" s="70">
        <f t="shared" si="35"/>
        <v>9.8992322456813817E-2</v>
      </c>
      <c r="BC20" s="70">
        <f t="shared" si="35"/>
        <v>5.8477550526443184E-2</v>
      </c>
      <c r="BD20" s="70">
        <f t="shared" si="35"/>
        <v>7.8599477785316313E-2</v>
      </c>
      <c r="BE20" s="70">
        <f t="shared" si="35"/>
        <v>8.7079159584855167E-2</v>
      </c>
      <c r="BF20" s="70">
        <f t="shared" si="35"/>
        <v>7.9493827981295576E-2</v>
      </c>
      <c r="BG20" s="70">
        <f t="shared" si="35"/>
        <v>8.020212711473787E-2</v>
      </c>
      <c r="BH20" s="70">
        <f t="shared" si="35"/>
        <v>7.0331941456830735E-2</v>
      </c>
      <c r="BI20" s="70">
        <f t="shared" si="35"/>
        <v>7.0797217501864365E-2</v>
      </c>
      <c r="BJ20" s="70">
        <f t="shared" si="35"/>
        <v>7.1990435540459002E-2</v>
      </c>
      <c r="BK20" s="70">
        <f t="shared" si="35"/>
        <v>5.8733012753501984E-2</v>
      </c>
      <c r="BL20" s="70">
        <f t="shared" si="35"/>
        <v>6.1254173415754849E-2</v>
      </c>
      <c r="BM20" s="70">
        <f t="shared" si="35"/>
        <v>8.34955757370857E-2</v>
      </c>
      <c r="BN20" s="70">
        <f t="shared" si="35"/>
        <v>7.3211840303381445E-2</v>
      </c>
      <c r="BO20" s="70">
        <f t="shared" si="35"/>
        <v>6.5068382944489134E-2</v>
      </c>
      <c r="BP20" s="70">
        <f t="shared" si="35"/>
        <v>6.7135771138539621E-2</v>
      </c>
      <c r="BQ20" s="70">
        <f t="shared" si="35"/>
        <v>6.9983835977710671E-2</v>
      </c>
      <c r="BR20" s="70">
        <f>BR6/BR9</f>
        <v>6.772659964149326E-2</v>
      </c>
      <c r="CA20" s="70"/>
      <c r="CB20" s="70"/>
      <c r="CC20" s="70"/>
      <c r="CD20" s="70"/>
      <c r="CE20" s="70"/>
      <c r="CF20" s="70"/>
      <c r="CG20" s="70"/>
      <c r="CH20" s="70"/>
      <c r="CI20" s="70"/>
      <c r="CJ20" s="70"/>
      <c r="CK20" s="70"/>
      <c r="CL20" s="70">
        <f t="shared" ref="CL20:CQ20" si="36">CL6/CL9</f>
        <v>8.6421507021474234E-2</v>
      </c>
      <c r="CM20" s="70">
        <f t="shared" si="36"/>
        <v>8.7098193905696022E-2</v>
      </c>
      <c r="CN20" s="70">
        <f t="shared" si="36"/>
        <v>7.4264504548358631E-2</v>
      </c>
      <c r="CO20" s="70">
        <f t="shared" si="36"/>
        <v>7.3835396636967268E-2</v>
      </c>
      <c r="CP20" s="70">
        <f t="shared" si="36"/>
        <v>6.8264989067474774E-2</v>
      </c>
      <c r="CQ20" s="70">
        <f t="shared" si="36"/>
        <v>6.7307484453923802E-2</v>
      </c>
    </row>
    <row r="21" spans="2:95">
      <c r="B21" s="36" t="s">
        <v>1508</v>
      </c>
      <c r="AU21" s="70">
        <f t="shared" ref="AU21:BQ21" si="37">AU7/AU9</f>
        <v>0.10901883052527254</v>
      </c>
      <c r="AV21" s="70">
        <f t="shared" si="37"/>
        <v>0.10776327748529488</v>
      </c>
      <c r="AW21" s="70">
        <f t="shared" si="37"/>
        <v>0.10806735360643378</v>
      </c>
      <c r="AX21" s="70">
        <f t="shared" si="37"/>
        <v>0.12173482951559554</v>
      </c>
      <c r="AY21" s="70">
        <f t="shared" si="37"/>
        <v>0.11639551682983516</v>
      </c>
      <c r="AZ21" s="70">
        <f t="shared" si="37"/>
        <v>8.7470976960171462E-2</v>
      </c>
      <c r="BA21" s="70">
        <f t="shared" si="37"/>
        <v>0.10775597416312596</v>
      </c>
      <c r="BB21" s="70">
        <f t="shared" si="37"/>
        <v>0.10538627639155471</v>
      </c>
      <c r="BC21" s="70">
        <f t="shared" si="37"/>
        <v>0.11860906047036993</v>
      </c>
      <c r="BD21" s="70">
        <f t="shared" si="37"/>
        <v>9.0524065050679489E-2</v>
      </c>
      <c r="BE21" s="70">
        <f t="shared" si="37"/>
        <v>9.7445726202099833E-2</v>
      </c>
      <c r="BF21" s="70">
        <f t="shared" si="37"/>
        <v>0.10803802938634399</v>
      </c>
      <c r="BG21" s="70">
        <f t="shared" si="37"/>
        <v>0.11507929733513153</v>
      </c>
      <c r="BH21" s="70">
        <f t="shared" si="37"/>
        <v>9.2338352524357833E-2</v>
      </c>
      <c r="BI21" s="70">
        <f t="shared" si="37"/>
        <v>0.10127510788904238</v>
      </c>
      <c r="BJ21" s="70">
        <f t="shared" si="37"/>
        <v>0.10415875215088605</v>
      </c>
      <c r="BK21" s="70">
        <f t="shared" si="37"/>
        <v>9.9962366715450557E-2</v>
      </c>
      <c r="BL21" s="70">
        <f t="shared" si="37"/>
        <v>8.7192709882868882E-2</v>
      </c>
      <c r="BM21" s="70">
        <f t="shared" si="37"/>
        <v>9.4395933641885352E-2</v>
      </c>
      <c r="BN21" s="70">
        <f t="shared" si="37"/>
        <v>9.5249130938586321E-2</v>
      </c>
      <c r="BO21" s="70">
        <f t="shared" si="37"/>
        <v>9.4505229283990341E-2</v>
      </c>
      <c r="BP21" s="70">
        <f t="shared" si="37"/>
        <v>7.8880860747281331E-2</v>
      </c>
      <c r="BQ21" s="70">
        <f t="shared" si="37"/>
        <v>7.8735803309370883E-2</v>
      </c>
      <c r="BR21" s="70">
        <f>BR7/BR9</f>
        <v>8.9577975216273087E-2</v>
      </c>
      <c r="CA21" s="70"/>
      <c r="CB21" s="70"/>
      <c r="CC21" s="70"/>
      <c r="CD21" s="70"/>
      <c r="CE21" s="70"/>
      <c r="CF21" s="70"/>
      <c r="CG21" s="70"/>
      <c r="CH21" s="70"/>
      <c r="CI21" s="70"/>
      <c r="CJ21" s="70"/>
      <c r="CK21" s="70"/>
      <c r="CL21" s="70">
        <f t="shared" ref="CL21:CQ21" si="38">CL7/CL9</f>
        <v>0.11154217438027066</v>
      </c>
      <c r="CM21" s="70">
        <f t="shared" si="38"/>
        <v>0.10488030900696249</v>
      </c>
      <c r="CN21" s="70">
        <f t="shared" si="38"/>
        <v>0.10481253866358373</v>
      </c>
      <c r="CO21" s="70">
        <f t="shared" si="38"/>
        <v>0.1039565858303873</v>
      </c>
      <c r="CP21" s="70">
        <f t="shared" si="38"/>
        <v>9.4633472707046681E-2</v>
      </c>
      <c r="CQ21" s="70">
        <f t="shared" si="38"/>
        <v>8.6150121414314634E-2</v>
      </c>
    </row>
    <row r="22" spans="2:95">
      <c r="B22" s="36" t="s">
        <v>1509</v>
      </c>
      <c r="AU22" s="70">
        <f t="shared" ref="AU22:BQ22" si="39">AU8/AU9</f>
        <v>0.1384789640488352</v>
      </c>
      <c r="AV22" s="70">
        <f t="shared" si="39"/>
        <v>0.22890264606519986</v>
      </c>
      <c r="AW22" s="70">
        <f t="shared" si="39"/>
        <v>0.22042389210019267</v>
      </c>
      <c r="AX22" s="70">
        <f t="shared" si="39"/>
        <v>0.22487557575195524</v>
      </c>
      <c r="AY22" s="70">
        <f t="shared" si="39"/>
        <v>0.14143163524439378</v>
      </c>
      <c r="AZ22" s="70">
        <f t="shared" si="39"/>
        <v>0.18866092159314163</v>
      </c>
      <c r="BA22" s="70">
        <f t="shared" si="39"/>
        <v>0.21472603580813909</v>
      </c>
      <c r="BB22" s="70">
        <f t="shared" si="39"/>
        <v>0.2192538387715931</v>
      </c>
      <c r="BC22" s="70">
        <f t="shared" si="39"/>
        <v>0.15745693654443504</v>
      </c>
      <c r="BD22" s="70">
        <f t="shared" si="39"/>
        <v>0.20375624498858941</v>
      </c>
      <c r="BE22" s="70">
        <f t="shared" si="39"/>
        <v>0.2363095022842609</v>
      </c>
      <c r="BF22" s="70">
        <f t="shared" si="39"/>
        <v>0.21261884183232499</v>
      </c>
      <c r="BG22" s="70">
        <f t="shared" si="39"/>
        <v>0.17725387097324888</v>
      </c>
      <c r="BH22" s="70">
        <f t="shared" si="39"/>
        <v>0.22045425787675565</v>
      </c>
      <c r="BI22" s="70">
        <f t="shared" si="39"/>
        <v>0.25933713950389381</v>
      </c>
      <c r="BJ22" s="70">
        <f t="shared" si="39"/>
        <v>0.24932400724038525</v>
      </c>
      <c r="BK22" s="70">
        <f t="shared" si="39"/>
        <v>0.1933263642065649</v>
      </c>
      <c r="BL22" s="70">
        <f t="shared" si="39"/>
        <v>0.26298855134265536</v>
      </c>
      <c r="BM22" s="70">
        <f t="shared" si="39"/>
        <v>0.28227846625552305</v>
      </c>
      <c r="BN22" s="70">
        <f t="shared" si="39"/>
        <v>0.26305698936058147</v>
      </c>
      <c r="BO22" s="70">
        <f t="shared" si="39"/>
        <v>0.21190667739340305</v>
      </c>
      <c r="BP22" s="70">
        <f t="shared" si="39"/>
        <v>0.27941777912939525</v>
      </c>
      <c r="BQ22" s="70">
        <f t="shared" si="39"/>
        <v>0.29162235739504022</v>
      </c>
      <c r="BR22" s="70">
        <f>BR8/BR9</f>
        <v>0.28008339178551944</v>
      </c>
      <c r="CA22" s="70"/>
      <c r="CB22" s="70"/>
      <c r="CC22" s="70"/>
      <c r="CD22" s="70"/>
      <c r="CE22" s="70"/>
      <c r="CF22" s="70"/>
      <c r="CG22" s="70"/>
      <c r="CH22" s="70"/>
      <c r="CI22" s="70"/>
      <c r="CJ22" s="70"/>
      <c r="CK22" s="70"/>
      <c r="CL22" s="70">
        <f t="shared" ref="CL22:CQ22" si="40">CL8/CL9</f>
        <v>0.19586543540425841</v>
      </c>
      <c r="CM22" s="70">
        <f t="shared" si="40"/>
        <v>0.18704707545029345</v>
      </c>
      <c r="CN22" s="70">
        <f t="shared" si="40"/>
        <v>0.19808177918403358</v>
      </c>
      <c r="CO22" s="70">
        <f t="shared" si="40"/>
        <v>0.222288897295746</v>
      </c>
      <c r="CP22" s="70">
        <f t="shared" si="40"/>
        <v>0.24593450714130449</v>
      </c>
      <c r="CQ22" s="70">
        <f t="shared" si="40"/>
        <v>0.26218286364848215</v>
      </c>
    </row>
    <row r="23" spans="2:95">
      <c r="CQ23" s="1"/>
    </row>
    <row r="24" spans="2:95">
      <c r="B24" s="67" t="s">
        <v>1512</v>
      </c>
      <c r="AU24" s="68">
        <v>41367</v>
      </c>
      <c r="AV24" s="68">
        <v>25473</v>
      </c>
      <c r="AW24" s="68">
        <v>27018</v>
      </c>
      <c r="AX24" s="68">
        <f>124556-SUM(AU24:AW24)</f>
        <v>30698</v>
      </c>
      <c r="AY24" s="68">
        <v>46310</v>
      </c>
      <c r="AZ24" s="68">
        <v>34306</v>
      </c>
      <c r="BA24" s="68">
        <v>35870</v>
      </c>
      <c r="BB24" s="68">
        <f>153306-SUM(AY24:BA24)</f>
        <v>36820</v>
      </c>
      <c r="BC24" s="68">
        <v>51496</v>
      </c>
      <c r="BD24" s="68">
        <v>40882</v>
      </c>
      <c r="BE24" s="68">
        <v>37472</v>
      </c>
      <c r="BF24" s="68">
        <f>169658-SUM(BC24:BE24)</f>
        <v>39808</v>
      </c>
      <c r="BG24" s="68">
        <v>49278</v>
      </c>
      <c r="BH24" s="68">
        <v>37784</v>
      </c>
      <c r="BI24" s="68">
        <v>35383</v>
      </c>
      <c r="BJ24" s="68">
        <f>162560-SUM(BG24:BI24)</f>
        <v>40115</v>
      </c>
      <c r="BK24" s="68">
        <v>50430</v>
      </c>
      <c r="BL24" s="68">
        <v>37273</v>
      </c>
      <c r="BM24" s="68">
        <v>37678</v>
      </c>
      <c r="BN24" s="68">
        <f>167045-SUM(BK24:BM24)</f>
        <v>41664</v>
      </c>
      <c r="BO24" s="68">
        <v>52648</v>
      </c>
      <c r="BP24" s="68">
        <v>40315</v>
      </c>
      <c r="BQ24" s="68">
        <v>41198</v>
      </c>
      <c r="BR24" s="68">
        <f>178353-SUM(BO24:BQ24)</f>
        <v>44192</v>
      </c>
      <c r="CA24" s="68"/>
      <c r="CB24" s="68"/>
      <c r="CC24" s="68"/>
      <c r="CD24" s="68"/>
      <c r="CE24" s="68"/>
      <c r="CF24" s="68"/>
      <c r="CG24" s="68"/>
      <c r="CH24" s="68"/>
      <c r="CI24" s="68"/>
      <c r="CJ24" s="68"/>
      <c r="CK24" s="68"/>
      <c r="CL24" s="68">
        <f t="shared" ref="CL24:CL29" si="41">SUM(AU24:AX24)</f>
        <v>124556</v>
      </c>
      <c r="CM24" s="68">
        <f t="shared" ref="CM24:CM29" si="42">SUM(AY24:BB24)</f>
        <v>153306</v>
      </c>
      <c r="CN24" s="68">
        <f t="shared" ref="CN24:CN29" si="43">SUM(BC24:BF24)</f>
        <v>169658</v>
      </c>
      <c r="CO24" s="68">
        <f t="shared" ref="CO24:CO29" si="44">SUM(BG24:BJ24)</f>
        <v>162560</v>
      </c>
      <c r="CP24" s="68">
        <f t="shared" ref="CP24:CQ29" si="45">SUM(BK24:BN24)</f>
        <v>167045</v>
      </c>
      <c r="CQ24" s="68">
        <f t="shared" si="45"/>
        <v>169263</v>
      </c>
    </row>
    <row r="25" spans="2:95">
      <c r="B25" s="67" t="s">
        <v>1513</v>
      </c>
      <c r="AU25" s="68">
        <v>23273</v>
      </c>
      <c r="AV25" s="68">
        <v>14294</v>
      </c>
      <c r="AW25" s="68">
        <v>14173</v>
      </c>
      <c r="AX25" s="68">
        <f>68640-SUM(AU25:AW25)</f>
        <v>16900</v>
      </c>
      <c r="AY25" s="68">
        <v>27306</v>
      </c>
      <c r="AZ25" s="68">
        <v>22264</v>
      </c>
      <c r="BA25" s="68">
        <v>18943</v>
      </c>
      <c r="BB25" s="68">
        <f>89307-SUM(AY25:BA25)</f>
        <v>20794</v>
      </c>
      <c r="BC25" s="68">
        <v>29749</v>
      </c>
      <c r="BD25" s="68">
        <v>23287</v>
      </c>
      <c r="BE25" s="68">
        <v>19287</v>
      </c>
      <c r="BF25" s="68">
        <f>95118-SUM(BC25:BE25)</f>
        <v>22795</v>
      </c>
      <c r="BG25" s="68">
        <v>27681</v>
      </c>
      <c r="BH25" s="68">
        <v>23945</v>
      </c>
      <c r="BI25" s="68">
        <v>20205</v>
      </c>
      <c r="BJ25" s="68">
        <f>94294-SUM(BG25:BI25)</f>
        <v>22463</v>
      </c>
      <c r="BK25" s="68">
        <v>30397</v>
      </c>
      <c r="BL25" s="68">
        <v>24123</v>
      </c>
      <c r="BM25" s="68">
        <v>21884</v>
      </c>
      <c r="BN25" s="68">
        <f>101328-SUM(BK25:BM25)</f>
        <v>24924</v>
      </c>
      <c r="BO25" s="68">
        <v>33861</v>
      </c>
      <c r="BP25" s="68">
        <v>24454</v>
      </c>
      <c r="BQ25" s="68">
        <v>24014</v>
      </c>
      <c r="BR25" s="68">
        <f>111032-SUM(BO25:BQ25)</f>
        <v>28703</v>
      </c>
      <c r="CA25" s="68"/>
      <c r="CB25" s="68"/>
      <c r="CC25" s="68"/>
      <c r="CD25" s="68"/>
      <c r="CE25" s="68"/>
      <c r="CF25" s="68"/>
      <c r="CG25" s="68"/>
      <c r="CH25" s="68"/>
      <c r="CI25" s="68"/>
      <c r="CJ25" s="68"/>
      <c r="CK25" s="68"/>
      <c r="CL25" s="68">
        <f t="shared" si="41"/>
        <v>68640</v>
      </c>
      <c r="CM25" s="68">
        <f t="shared" si="42"/>
        <v>89307</v>
      </c>
      <c r="CN25" s="68">
        <f t="shared" si="43"/>
        <v>95118</v>
      </c>
      <c r="CO25" s="68">
        <f t="shared" si="44"/>
        <v>94294</v>
      </c>
      <c r="CP25" s="68">
        <f t="shared" si="45"/>
        <v>101328</v>
      </c>
      <c r="CQ25" s="68">
        <f t="shared" si="45"/>
        <v>104792</v>
      </c>
    </row>
    <row r="26" spans="2:95">
      <c r="B26" s="67" t="s">
        <v>1514</v>
      </c>
      <c r="AU26" s="68">
        <v>13578</v>
      </c>
      <c r="AV26" s="68">
        <v>9455</v>
      </c>
      <c r="AW26" s="68">
        <v>9329</v>
      </c>
      <c r="AX26" s="68">
        <f>40308-SUM(AU26:AW26)</f>
        <v>7946</v>
      </c>
      <c r="AY26" s="68">
        <v>21313</v>
      </c>
      <c r="AZ26" s="68">
        <v>17728</v>
      </c>
      <c r="BA26" s="68">
        <v>14762</v>
      </c>
      <c r="BB26" s="68">
        <f>68366-SUM(AY26:BA26)</f>
        <v>14563</v>
      </c>
      <c r="BC26" s="68">
        <v>25783</v>
      </c>
      <c r="BD26" s="68">
        <v>18343</v>
      </c>
      <c r="BE26" s="68">
        <v>14604</v>
      </c>
      <c r="BF26" s="68">
        <f>74200-SUM(BC26:BE26)</f>
        <v>15470</v>
      </c>
      <c r="BG26" s="68">
        <v>23905</v>
      </c>
      <c r="BH26" s="68">
        <v>17812</v>
      </c>
      <c r="BI26" s="68">
        <v>15758</v>
      </c>
      <c r="BJ26" s="68">
        <f>72559-SUM(BG26:BI26)</f>
        <v>15084</v>
      </c>
      <c r="BK26" s="68">
        <v>20819</v>
      </c>
      <c r="BL26" s="68">
        <v>16372</v>
      </c>
      <c r="BM26" s="68">
        <v>14728</v>
      </c>
      <c r="BN26" s="68">
        <f>66952-SUM(BK26:BM26)</f>
        <v>15033</v>
      </c>
      <c r="BO26" s="68">
        <v>18513</v>
      </c>
      <c r="BP26" s="68">
        <v>16002</v>
      </c>
      <c r="BQ26" s="68">
        <v>15369</v>
      </c>
      <c r="BR26" s="68">
        <f>64377-SUM(BO26:BQ26)</f>
        <v>14493</v>
      </c>
      <c r="CA26" s="68"/>
      <c r="CB26" s="68"/>
      <c r="CC26" s="68"/>
      <c r="CD26" s="68"/>
      <c r="CE26" s="68"/>
      <c r="CF26" s="68"/>
      <c r="CG26" s="68"/>
      <c r="CH26" s="68"/>
      <c r="CI26" s="68"/>
      <c r="CJ26" s="68"/>
      <c r="CK26" s="68"/>
      <c r="CL26" s="68">
        <f t="shared" si="41"/>
        <v>40308</v>
      </c>
      <c r="CM26" s="68">
        <f t="shared" si="42"/>
        <v>68366</v>
      </c>
      <c r="CN26" s="68">
        <f t="shared" si="43"/>
        <v>74200</v>
      </c>
      <c r="CO26" s="68">
        <f t="shared" si="44"/>
        <v>72559</v>
      </c>
      <c r="CP26" s="68">
        <f t="shared" si="45"/>
        <v>66952</v>
      </c>
      <c r="CQ26" s="68">
        <f t="shared" si="45"/>
        <v>64646</v>
      </c>
    </row>
    <row r="27" spans="2:95">
      <c r="B27" s="67" t="s">
        <v>1511</v>
      </c>
      <c r="AU27" s="68">
        <v>6223</v>
      </c>
      <c r="AV27" s="68">
        <v>5206</v>
      </c>
      <c r="AW27" s="68">
        <v>4966</v>
      </c>
      <c r="AX27" s="68">
        <f>21418-SUM(AU27:AW27)</f>
        <v>5023</v>
      </c>
      <c r="AY27" s="68">
        <v>8285</v>
      </c>
      <c r="AZ27" s="68">
        <v>7742</v>
      </c>
      <c r="BA27" s="68">
        <v>6464</v>
      </c>
      <c r="BB27" s="68">
        <f>28482-SUM(AY27:BA27)</f>
        <v>5991</v>
      </c>
      <c r="BC27" s="68">
        <v>7107</v>
      </c>
      <c r="BD27" s="68">
        <v>7724</v>
      </c>
      <c r="BE27" s="68">
        <v>5446</v>
      </c>
      <c r="BF27" s="68">
        <f>25977-SUM(BC27:BE27)</f>
        <v>5700</v>
      </c>
      <c r="BG27" s="68">
        <v>6755</v>
      </c>
      <c r="BH27" s="68">
        <v>7176</v>
      </c>
      <c r="BI27" s="68">
        <v>4821</v>
      </c>
      <c r="BJ27" s="68">
        <f>24257-SUM(BG27:BI27)</f>
        <v>5505</v>
      </c>
      <c r="BK27" s="68">
        <v>7767</v>
      </c>
      <c r="BL27" s="68">
        <v>6262</v>
      </c>
      <c r="BM27" s="68">
        <v>5097</v>
      </c>
      <c r="BN27" s="68">
        <f>25052-SUM(BK27:BM27)</f>
        <v>5926</v>
      </c>
      <c r="BO27" s="68">
        <v>8987</v>
      </c>
      <c r="BP27" s="68">
        <v>7298</v>
      </c>
      <c r="BQ27" s="68">
        <v>5782</v>
      </c>
      <c r="BR27" s="68">
        <f>28703-SUM(BO27:BQ27)</f>
        <v>6636</v>
      </c>
      <c r="CA27" s="68"/>
      <c r="CB27" s="68"/>
      <c r="CC27" s="68"/>
      <c r="CD27" s="68"/>
      <c r="CE27" s="68"/>
      <c r="CF27" s="68"/>
      <c r="CG27" s="68"/>
      <c r="CH27" s="68"/>
      <c r="CI27" s="68"/>
      <c r="CJ27" s="68"/>
      <c r="CK27" s="68"/>
      <c r="CL27" s="68">
        <f t="shared" si="41"/>
        <v>21418</v>
      </c>
      <c r="CM27" s="68">
        <f t="shared" si="42"/>
        <v>28482</v>
      </c>
      <c r="CN27" s="68">
        <f t="shared" si="43"/>
        <v>25977</v>
      </c>
      <c r="CO27" s="68">
        <f t="shared" si="44"/>
        <v>24257</v>
      </c>
      <c r="CP27" s="68">
        <f t="shared" si="45"/>
        <v>25052</v>
      </c>
      <c r="CQ27" s="68">
        <f t="shared" si="45"/>
        <v>26272</v>
      </c>
    </row>
    <row r="28" spans="2:95">
      <c r="B28" s="67" t="s">
        <v>1510</v>
      </c>
      <c r="AU28" s="68">
        <v>7378</v>
      </c>
      <c r="AV28" s="68">
        <v>3885</v>
      </c>
      <c r="AW28" s="68">
        <v>4199</v>
      </c>
      <c r="AX28" s="68">
        <f>19593-SUM(AU28:AW28)</f>
        <v>4131</v>
      </c>
      <c r="AY28" s="68">
        <v>8225</v>
      </c>
      <c r="AZ28" s="68">
        <v>7544</v>
      </c>
      <c r="BA28" s="68">
        <v>5395</v>
      </c>
      <c r="BB28" s="68">
        <f>26356-SUM(AY28:BA28)</f>
        <v>5192</v>
      </c>
      <c r="BC28" s="68">
        <v>9810</v>
      </c>
      <c r="BD28" s="68">
        <v>7042</v>
      </c>
      <c r="BE28" s="68">
        <v>6150</v>
      </c>
      <c r="BF28" s="68">
        <f>29375-SUM(BC28:BE28)</f>
        <v>6373</v>
      </c>
      <c r="BG28" s="68">
        <v>9535</v>
      </c>
      <c r="BH28" s="68">
        <v>8119</v>
      </c>
      <c r="BI28" s="68">
        <v>5630</v>
      </c>
      <c r="BJ28" s="68">
        <f>29615-SUM(BG28:BI28)</f>
        <v>6331</v>
      </c>
      <c r="BK28" s="68">
        <v>10162</v>
      </c>
      <c r="BL28" s="68">
        <v>6723</v>
      </c>
      <c r="BM28" s="68">
        <v>6390</v>
      </c>
      <c r="BN28" s="68">
        <f>30658-SUM(BK28:BM28)</f>
        <v>7383</v>
      </c>
      <c r="BO28" s="68">
        <v>10291</v>
      </c>
      <c r="BP28" s="68">
        <v>7290</v>
      </c>
      <c r="BQ28" s="68">
        <v>7673</v>
      </c>
      <c r="BR28" s="68">
        <f>33696-SUM(BO28:BQ28)</f>
        <v>8442</v>
      </c>
      <c r="CA28" s="68"/>
      <c r="CB28" s="68"/>
      <c r="CC28" s="68"/>
      <c r="CD28" s="68"/>
      <c r="CE28" s="68"/>
      <c r="CF28" s="68"/>
      <c r="CG28" s="68"/>
      <c r="CH28" s="68"/>
      <c r="CI28" s="68"/>
      <c r="CJ28" s="68"/>
      <c r="CK28" s="68"/>
      <c r="CL28" s="68">
        <f t="shared" si="41"/>
        <v>19593</v>
      </c>
      <c r="CM28" s="68">
        <f t="shared" si="42"/>
        <v>26356</v>
      </c>
      <c r="CN28" s="68">
        <f t="shared" si="43"/>
        <v>29375</v>
      </c>
      <c r="CO28" s="68">
        <f t="shared" si="44"/>
        <v>29615</v>
      </c>
      <c r="CP28" s="68">
        <f t="shared" si="45"/>
        <v>30658</v>
      </c>
      <c r="CQ28" s="68">
        <f t="shared" si="45"/>
        <v>30787</v>
      </c>
    </row>
    <row r="29" spans="2:95" ht="15">
      <c r="B29" s="33" t="s">
        <v>118</v>
      </c>
      <c r="AU29" s="69">
        <f t="shared" ref="AU29:BN29" si="46">SUM(AU24:AU28)</f>
        <v>91819</v>
      </c>
      <c r="AV29" s="69">
        <f t="shared" si="46"/>
        <v>58313</v>
      </c>
      <c r="AW29" s="69">
        <f t="shared" si="46"/>
        <v>59685</v>
      </c>
      <c r="AX29" s="69">
        <f t="shared" si="46"/>
        <v>64698</v>
      </c>
      <c r="AY29" s="69">
        <f t="shared" si="46"/>
        <v>111439</v>
      </c>
      <c r="AZ29" s="69">
        <f t="shared" si="46"/>
        <v>89584</v>
      </c>
      <c r="BA29" s="69">
        <f t="shared" si="46"/>
        <v>81434</v>
      </c>
      <c r="BB29" s="69">
        <f t="shared" si="46"/>
        <v>83360</v>
      </c>
      <c r="BC29" s="69">
        <f t="shared" si="46"/>
        <v>123945</v>
      </c>
      <c r="BD29" s="69">
        <f t="shared" si="46"/>
        <v>97278</v>
      </c>
      <c r="BE29" s="69">
        <f t="shared" si="46"/>
        <v>82959</v>
      </c>
      <c r="BF29" s="69">
        <f t="shared" si="46"/>
        <v>90146</v>
      </c>
      <c r="BG29" s="69">
        <f t="shared" si="46"/>
        <v>117154</v>
      </c>
      <c r="BH29" s="69">
        <f t="shared" si="46"/>
        <v>94836</v>
      </c>
      <c r="BI29" s="69">
        <f t="shared" si="46"/>
        <v>81797</v>
      </c>
      <c r="BJ29" s="69">
        <f t="shared" si="46"/>
        <v>89498</v>
      </c>
      <c r="BK29" s="69">
        <f t="shared" si="46"/>
        <v>119575</v>
      </c>
      <c r="BL29" s="69">
        <f t="shared" si="46"/>
        <v>90753</v>
      </c>
      <c r="BM29" s="69">
        <f t="shared" si="46"/>
        <v>85777</v>
      </c>
      <c r="BN29" s="69">
        <f t="shared" si="46"/>
        <v>94930</v>
      </c>
      <c r="BO29" s="69">
        <f>SUM(BO24:BO28)</f>
        <v>124300</v>
      </c>
      <c r="BP29" s="69">
        <f t="shared" ref="BP29:BR29" si="47">SUM(BP24:BP28)</f>
        <v>95359</v>
      </c>
      <c r="BQ29" s="69">
        <f t="shared" si="47"/>
        <v>94036</v>
      </c>
      <c r="BR29" s="69">
        <f t="shared" si="47"/>
        <v>102466</v>
      </c>
      <c r="CA29" s="69"/>
      <c r="CB29" s="69"/>
      <c r="CC29" s="69"/>
      <c r="CD29" s="69"/>
      <c r="CE29" s="69"/>
      <c r="CF29" s="69"/>
      <c r="CG29" s="69"/>
      <c r="CH29" s="69"/>
      <c r="CI29" s="69"/>
      <c r="CJ29" s="69"/>
      <c r="CK29" s="69"/>
      <c r="CL29" s="69">
        <f t="shared" si="41"/>
        <v>274515</v>
      </c>
      <c r="CM29" s="69">
        <f t="shared" si="42"/>
        <v>365817</v>
      </c>
      <c r="CN29" s="69">
        <f t="shared" si="43"/>
        <v>394328</v>
      </c>
      <c r="CO29" s="69">
        <f t="shared" si="44"/>
        <v>383285</v>
      </c>
      <c r="CP29" s="69">
        <f t="shared" si="45"/>
        <v>391035</v>
      </c>
      <c r="CQ29" s="69">
        <f t="shared" si="45"/>
        <v>395760</v>
      </c>
    </row>
    <row r="30" spans="2:95">
      <c r="CQ30" s="1"/>
    </row>
    <row r="31" spans="2:95">
      <c r="B31" s="67" t="s">
        <v>1515</v>
      </c>
      <c r="AU31" s="70"/>
      <c r="AV31" s="70"/>
      <c r="AW31" s="70"/>
      <c r="AX31" s="70"/>
      <c r="AY31" s="70">
        <f t="shared" ref="AY31:BM36" si="48">AY24/AU24-1</f>
        <v>0.11949138201948406</v>
      </c>
      <c r="AZ31" s="70">
        <f t="shared" si="48"/>
        <v>0.34675931378322145</v>
      </c>
      <c r="BA31" s="70">
        <f t="shared" si="48"/>
        <v>0.32763342956547481</v>
      </c>
      <c r="BB31" s="70">
        <f t="shared" si="48"/>
        <v>0.19942667274741033</v>
      </c>
      <c r="BC31" s="70">
        <f t="shared" si="48"/>
        <v>0.11198445260202972</v>
      </c>
      <c r="BD31" s="70">
        <f t="shared" si="48"/>
        <v>0.19168658543694983</v>
      </c>
      <c r="BE31" s="70">
        <f t="shared" si="48"/>
        <v>4.4661276833008134E-2</v>
      </c>
      <c r="BF31" s="70">
        <f t="shared" si="48"/>
        <v>8.1151548071700219E-2</v>
      </c>
      <c r="BG31" s="70">
        <f t="shared" si="48"/>
        <v>-4.3071306509243401E-2</v>
      </c>
      <c r="BH31" s="70">
        <f t="shared" si="48"/>
        <v>-7.5779071473998316E-2</v>
      </c>
      <c r="BI31" s="70">
        <f t="shared" si="48"/>
        <v>-5.574829205806997E-2</v>
      </c>
      <c r="BJ31" s="70">
        <f t="shared" si="48"/>
        <v>7.7120176848874955E-3</v>
      </c>
      <c r="BK31" s="70">
        <f t="shared" si="48"/>
        <v>2.3377572141726422E-2</v>
      </c>
      <c r="BL31" s="70">
        <f t="shared" si="48"/>
        <v>-1.3524243065847985E-2</v>
      </c>
      <c r="BM31" s="70">
        <f t="shared" si="48"/>
        <v>6.4861656727807082E-2</v>
      </c>
      <c r="BN31" s="70">
        <f>BN24/BJ24-1</f>
        <v>3.8613984793718137E-2</v>
      </c>
      <c r="BO31" s="70">
        <f>BO24/BK24-1</f>
        <v>4.3981756890739687E-2</v>
      </c>
      <c r="BP31" s="70">
        <f t="shared" ref="BP31:BR36" si="49">BP24/BL24-1</f>
        <v>8.1614036970461212E-2</v>
      </c>
      <c r="BQ31" s="70">
        <f t="shared" si="49"/>
        <v>9.3423217792876434E-2</v>
      </c>
      <c r="BR31" s="70">
        <f t="shared" si="49"/>
        <v>6.0675883256528396E-2</v>
      </c>
      <c r="CA31" s="70"/>
      <c r="CB31" s="70"/>
      <c r="CC31" s="70"/>
      <c r="CD31" s="70"/>
      <c r="CE31" s="70"/>
      <c r="CF31" s="70"/>
      <c r="CG31" s="70"/>
      <c r="CH31" s="70"/>
      <c r="CI31" s="70"/>
      <c r="CJ31" s="70"/>
      <c r="CK31" s="70"/>
      <c r="CL31" s="70"/>
      <c r="CM31" s="70">
        <f t="shared" ref="CM31:CO31" si="50">CM24/CL24-1</f>
        <v>0.23081987218600464</v>
      </c>
      <c r="CN31" s="70">
        <f t="shared" si="50"/>
        <v>0.10666249200944522</v>
      </c>
      <c r="CO31" s="70">
        <f t="shared" si="50"/>
        <v>-4.1837107592922251E-2</v>
      </c>
      <c r="CP31" s="70">
        <f t="shared" ref="CP31:CQ36" si="51">CP24/CO24-1</f>
        <v>2.7589812992125928E-2</v>
      </c>
      <c r="CQ31" s="70">
        <f t="shared" si="51"/>
        <v>1.3277859259480884E-2</v>
      </c>
    </row>
    <row r="32" spans="2:95">
      <c r="B32" s="67" t="s">
        <v>1516</v>
      </c>
      <c r="AU32" s="70"/>
      <c r="AV32" s="70"/>
      <c r="AW32" s="70"/>
      <c r="AX32" s="70"/>
      <c r="AY32" s="70">
        <f t="shared" si="48"/>
        <v>0.17329093799682038</v>
      </c>
      <c r="AZ32" s="70">
        <f t="shared" si="48"/>
        <v>0.55757660556877009</v>
      </c>
      <c r="BA32" s="70">
        <f t="shared" si="48"/>
        <v>0.33655542228180346</v>
      </c>
      <c r="BB32" s="70">
        <f t="shared" si="48"/>
        <v>0.23041420118343203</v>
      </c>
      <c r="BC32" s="70">
        <f t="shared" si="48"/>
        <v>8.9467516296784622E-2</v>
      </c>
      <c r="BD32" s="70">
        <f t="shared" si="48"/>
        <v>4.5948616600790526E-2</v>
      </c>
      <c r="BE32" s="70">
        <f t="shared" si="48"/>
        <v>1.8159742385049915E-2</v>
      </c>
      <c r="BF32" s="70">
        <f t="shared" si="48"/>
        <v>9.6229681638934306E-2</v>
      </c>
      <c r="BG32" s="70">
        <f t="shared" si="48"/>
        <v>-6.9514941678711861E-2</v>
      </c>
      <c r="BH32" s="70">
        <f t="shared" si="48"/>
        <v>2.8256108558423199E-2</v>
      </c>
      <c r="BI32" s="70">
        <f t="shared" si="48"/>
        <v>4.7596826878208098E-2</v>
      </c>
      <c r="BJ32" s="70">
        <f t="shared" si="48"/>
        <v>-1.4564597499451604E-2</v>
      </c>
      <c r="BK32" s="70">
        <f t="shared" si="48"/>
        <v>9.8117842563491209E-2</v>
      </c>
      <c r="BL32" s="70">
        <f t="shared" si="48"/>
        <v>7.4337022342869652E-3</v>
      </c>
      <c r="BM32" s="70">
        <f t="shared" si="48"/>
        <v>8.3098243009156247E-2</v>
      </c>
      <c r="BN32" s="70">
        <f t="shared" ref="BN32:BO36" si="52">BN25/BJ25-1</f>
        <v>0.10955793972310013</v>
      </c>
      <c r="BO32" s="70">
        <f t="shared" si="52"/>
        <v>0.1139586143369411</v>
      </c>
      <c r="BP32" s="70">
        <f t="shared" si="49"/>
        <v>1.3721344774696442E-2</v>
      </c>
      <c r="BQ32" s="70">
        <f t="shared" si="49"/>
        <v>9.733138365929439E-2</v>
      </c>
      <c r="BR32" s="70">
        <f t="shared" si="49"/>
        <v>0.15162092761996471</v>
      </c>
      <c r="CA32" s="70"/>
      <c r="CB32" s="70"/>
      <c r="CC32" s="70"/>
      <c r="CD32" s="70"/>
      <c r="CE32" s="70"/>
      <c r="CF32" s="70"/>
      <c r="CG32" s="70"/>
      <c r="CH32" s="70"/>
      <c r="CI32" s="70"/>
      <c r="CJ32" s="70"/>
      <c r="CK32" s="70"/>
      <c r="CL32" s="70"/>
      <c r="CM32" s="70">
        <f t="shared" ref="CM32:CO32" si="53">CM25/CL25-1</f>
        <v>0.30109265734265733</v>
      </c>
      <c r="CN32" s="70">
        <f t="shared" si="53"/>
        <v>6.5067687863213486E-2</v>
      </c>
      <c r="CO32" s="70">
        <f t="shared" si="53"/>
        <v>-8.662923947097334E-3</v>
      </c>
      <c r="CP32" s="70">
        <f t="shared" si="51"/>
        <v>7.4596474855239903E-2</v>
      </c>
      <c r="CQ32" s="70">
        <f t="shared" si="51"/>
        <v>3.4186009789988869E-2</v>
      </c>
    </row>
    <row r="33" spans="2:156">
      <c r="B33" s="67" t="s">
        <v>1517</v>
      </c>
      <c r="AU33" s="70"/>
      <c r="AV33" s="70"/>
      <c r="AW33" s="70"/>
      <c r="AX33" s="70"/>
      <c r="AY33" s="70">
        <f t="shared" si="48"/>
        <v>0.56967152747090877</v>
      </c>
      <c r="AZ33" s="70">
        <f t="shared" si="48"/>
        <v>0.87498677948175563</v>
      </c>
      <c r="BA33" s="70">
        <f t="shared" si="48"/>
        <v>0.58237753242576917</v>
      </c>
      <c r="BB33" s="70">
        <f t="shared" si="48"/>
        <v>0.8327460357412535</v>
      </c>
      <c r="BC33" s="70">
        <f t="shared" si="48"/>
        <v>0.20973115000234599</v>
      </c>
      <c r="BD33" s="70">
        <f t="shared" si="48"/>
        <v>3.4690884476534345E-2</v>
      </c>
      <c r="BE33" s="70">
        <f t="shared" si="48"/>
        <v>-1.0703156753827381E-2</v>
      </c>
      <c r="BF33" s="70">
        <f t="shared" si="48"/>
        <v>6.2281123394904991E-2</v>
      </c>
      <c r="BG33" s="70">
        <f t="shared" si="48"/>
        <v>-7.2838692161501739E-2</v>
      </c>
      <c r="BH33" s="70">
        <f t="shared" si="48"/>
        <v>-2.8948372676225298E-2</v>
      </c>
      <c r="BI33" s="70">
        <f t="shared" si="48"/>
        <v>7.901944672692407E-2</v>
      </c>
      <c r="BJ33" s="70">
        <f t="shared" si="48"/>
        <v>-2.495151906916615E-2</v>
      </c>
      <c r="BK33" s="70">
        <f t="shared" si="48"/>
        <v>-0.1290943317297637</v>
      </c>
      <c r="BL33" s="70">
        <f t="shared" si="48"/>
        <v>-8.0844374578935563E-2</v>
      </c>
      <c r="BM33" s="70">
        <f t="shared" si="48"/>
        <v>-6.5363624825485522E-2</v>
      </c>
      <c r="BN33" s="70">
        <f t="shared" si="52"/>
        <v>-3.381066030230695E-3</v>
      </c>
      <c r="BO33" s="70">
        <f t="shared" si="52"/>
        <v>-0.11076420577357227</v>
      </c>
      <c r="BP33" s="70">
        <f t="shared" si="49"/>
        <v>-2.2599560224774051E-2</v>
      </c>
      <c r="BQ33" s="70">
        <f t="shared" si="49"/>
        <v>4.352254209668649E-2</v>
      </c>
      <c r="BR33" s="70">
        <f t="shared" si="49"/>
        <v>-3.5920973857513472E-2</v>
      </c>
      <c r="CA33" s="70"/>
      <c r="CB33" s="70"/>
      <c r="CC33" s="70"/>
      <c r="CD33" s="70"/>
      <c r="CE33" s="70"/>
      <c r="CF33" s="70"/>
      <c r="CG33" s="70"/>
      <c r="CH33" s="70"/>
      <c r="CI33" s="70"/>
      <c r="CJ33" s="70"/>
      <c r="CK33" s="70"/>
      <c r="CL33" s="70"/>
      <c r="CM33" s="70">
        <f t="shared" ref="CM33:CO33" si="54">CM26/CL26-1</f>
        <v>0.69609010618239564</v>
      </c>
      <c r="CN33" s="70">
        <f t="shared" si="54"/>
        <v>8.533481555159006E-2</v>
      </c>
      <c r="CO33" s="70">
        <f t="shared" si="54"/>
        <v>-2.2115902964959577E-2</v>
      </c>
      <c r="CP33" s="70">
        <f t="shared" si="51"/>
        <v>-7.7275045135682729E-2</v>
      </c>
      <c r="CQ33" s="70">
        <f t="shared" si="51"/>
        <v>-3.444258573306247E-2</v>
      </c>
    </row>
    <row r="34" spans="2:156">
      <c r="B34" s="67" t="s">
        <v>1518</v>
      </c>
      <c r="AU34" s="70"/>
      <c r="AV34" s="70"/>
      <c r="AW34" s="70"/>
      <c r="AX34" s="70"/>
      <c r="AY34" s="70">
        <f t="shared" si="48"/>
        <v>0.33135143821308044</v>
      </c>
      <c r="AZ34" s="70">
        <f t="shared" si="48"/>
        <v>0.48713023434498659</v>
      </c>
      <c r="BA34" s="70">
        <f t="shared" si="48"/>
        <v>0.30165122835279901</v>
      </c>
      <c r="BB34" s="70">
        <f t="shared" si="48"/>
        <v>0.19271351781803703</v>
      </c>
      <c r="BC34" s="70">
        <f t="shared" si="48"/>
        <v>-0.14218467109233557</v>
      </c>
      <c r="BD34" s="70">
        <f t="shared" si="48"/>
        <v>-2.3249806251615102E-3</v>
      </c>
      <c r="BE34" s="70">
        <f t="shared" si="48"/>
        <v>-0.15748762376237624</v>
      </c>
      <c r="BF34" s="70">
        <f t="shared" si="48"/>
        <v>-4.8572859288933401E-2</v>
      </c>
      <c r="BG34" s="70">
        <f t="shared" si="48"/>
        <v>-4.9528633741381722E-2</v>
      </c>
      <c r="BH34" s="70">
        <f t="shared" si="48"/>
        <v>-7.0947695494562368E-2</v>
      </c>
      <c r="BI34" s="70">
        <f t="shared" si="48"/>
        <v>-0.1147631289019464</v>
      </c>
      <c r="BJ34" s="70">
        <f t="shared" si="48"/>
        <v>-3.4210526315789469E-2</v>
      </c>
      <c r="BK34" s="70">
        <f t="shared" si="48"/>
        <v>0.14981495188749072</v>
      </c>
      <c r="BL34" s="70">
        <f t="shared" si="48"/>
        <v>-0.12736900780379046</v>
      </c>
      <c r="BM34" s="70">
        <f t="shared" si="48"/>
        <v>5.724953329184812E-2</v>
      </c>
      <c r="BN34" s="70">
        <f t="shared" si="52"/>
        <v>7.6475930971843686E-2</v>
      </c>
      <c r="BO34" s="70">
        <f t="shared" si="52"/>
        <v>0.15707480365649551</v>
      </c>
      <c r="BP34" s="70">
        <f t="shared" si="49"/>
        <v>0.16544235068668156</v>
      </c>
      <c r="BQ34" s="70">
        <f t="shared" si="49"/>
        <v>0.13439278006670596</v>
      </c>
      <c r="BR34" s="70">
        <f t="shared" si="49"/>
        <v>0.11981100236247055</v>
      </c>
      <c r="CA34" s="70"/>
      <c r="CB34" s="70"/>
      <c r="CC34" s="70"/>
      <c r="CD34" s="70"/>
      <c r="CE34" s="70"/>
      <c r="CF34" s="70"/>
      <c r="CG34" s="70"/>
      <c r="CH34" s="70"/>
      <c r="CI34" s="70"/>
      <c r="CJ34" s="70"/>
      <c r="CK34" s="70"/>
      <c r="CL34" s="70"/>
      <c r="CM34" s="70">
        <f t="shared" ref="CM34:CO34" si="55">CM27/CL27-1</f>
        <v>0.32981604258100661</v>
      </c>
      <c r="CN34" s="70">
        <f t="shared" si="55"/>
        <v>-8.7950284390141187E-2</v>
      </c>
      <c r="CO34" s="70">
        <f t="shared" si="55"/>
        <v>-6.621241867806138E-2</v>
      </c>
      <c r="CP34" s="70">
        <f t="shared" si="51"/>
        <v>3.2774044605680785E-2</v>
      </c>
      <c r="CQ34" s="70">
        <f t="shared" si="51"/>
        <v>4.8698706690084581E-2</v>
      </c>
    </row>
    <row r="35" spans="2:156">
      <c r="B35" s="67" t="s">
        <v>1519</v>
      </c>
      <c r="AU35" s="70"/>
      <c r="AV35" s="70"/>
      <c r="AW35" s="70"/>
      <c r="AX35" s="70"/>
      <c r="AY35" s="70">
        <f t="shared" si="48"/>
        <v>0.11480075901328268</v>
      </c>
      <c r="AZ35" s="70">
        <f t="shared" si="48"/>
        <v>0.94182754182754191</v>
      </c>
      <c r="BA35" s="70">
        <f t="shared" si="48"/>
        <v>0.28482972136222906</v>
      </c>
      <c r="BB35" s="70">
        <f t="shared" si="48"/>
        <v>0.25683853788428945</v>
      </c>
      <c r="BC35" s="70">
        <f t="shared" si="48"/>
        <v>0.19270516717325226</v>
      </c>
      <c r="BD35" s="70">
        <f t="shared" si="48"/>
        <v>-6.6542948038176064E-2</v>
      </c>
      <c r="BE35" s="70">
        <f t="shared" si="48"/>
        <v>0.13994439295644123</v>
      </c>
      <c r="BF35" s="70">
        <f t="shared" si="48"/>
        <v>0.22746533127889057</v>
      </c>
      <c r="BG35" s="70">
        <f t="shared" si="48"/>
        <v>-2.8032619775739009E-2</v>
      </c>
      <c r="BH35" s="70">
        <f t="shared" si="48"/>
        <v>0.15293950582220961</v>
      </c>
      <c r="BI35" s="70">
        <f t="shared" si="48"/>
        <v>-8.4552845528455323E-2</v>
      </c>
      <c r="BJ35" s="70">
        <f t="shared" si="48"/>
        <v>-6.5903028401067543E-3</v>
      </c>
      <c r="BK35" s="70">
        <f t="shared" si="48"/>
        <v>6.5757734661772371E-2</v>
      </c>
      <c r="BL35" s="70">
        <f t="shared" si="48"/>
        <v>-0.17194235743318143</v>
      </c>
      <c r="BM35" s="70">
        <f t="shared" si="48"/>
        <v>0.13499111900532856</v>
      </c>
      <c r="BN35" s="70">
        <f t="shared" si="52"/>
        <v>0.16616648238824827</v>
      </c>
      <c r="BO35" s="70">
        <f t="shared" si="52"/>
        <v>1.2694351505609047E-2</v>
      </c>
      <c r="BP35" s="70">
        <f t="shared" si="49"/>
        <v>8.43373493975903E-2</v>
      </c>
      <c r="BQ35" s="70">
        <f t="shared" si="49"/>
        <v>0.20078247261345861</v>
      </c>
      <c r="BR35" s="70">
        <f t="shared" si="49"/>
        <v>0.14343762698090212</v>
      </c>
      <c r="CA35" s="70"/>
      <c r="CB35" s="70"/>
      <c r="CC35" s="70"/>
      <c r="CD35" s="70"/>
      <c r="CE35" s="70"/>
      <c r="CF35" s="70"/>
      <c r="CG35" s="70"/>
      <c r="CH35" s="70"/>
      <c r="CI35" s="70"/>
      <c r="CJ35" s="70"/>
      <c r="CK35" s="70"/>
      <c r="CL35" s="70"/>
      <c r="CM35" s="70">
        <f t="shared" ref="CM35:CO35" si="56">CM28/CL28-1</f>
        <v>0.34517429694278579</v>
      </c>
      <c r="CN35" s="70">
        <f t="shared" si="56"/>
        <v>0.11454697222643806</v>
      </c>
      <c r="CO35" s="70">
        <f t="shared" si="56"/>
        <v>8.1702127659575297E-3</v>
      </c>
      <c r="CP35" s="70">
        <f t="shared" si="51"/>
        <v>3.5218639203106639E-2</v>
      </c>
      <c r="CQ35" s="70">
        <f t="shared" si="51"/>
        <v>4.2077108748124203E-3</v>
      </c>
    </row>
    <row r="36" spans="2:156" s="2" customFormat="1" ht="15">
      <c r="B36" s="33" t="s">
        <v>1520</v>
      </c>
      <c r="AU36" s="71"/>
      <c r="AV36" s="71"/>
      <c r="AW36" s="71"/>
      <c r="AX36" s="71"/>
      <c r="AY36" s="71">
        <f t="shared" si="48"/>
        <v>0.21368126422635836</v>
      </c>
      <c r="AZ36" s="71">
        <f t="shared" si="48"/>
        <v>0.53626121105070901</v>
      </c>
      <c r="BA36" s="71">
        <f t="shared" si="48"/>
        <v>0.36439641450950822</v>
      </c>
      <c r="BB36" s="71">
        <f t="shared" si="48"/>
        <v>0.28844786546724777</v>
      </c>
      <c r="BC36" s="71">
        <f t="shared" si="48"/>
        <v>0.11222283042740866</v>
      </c>
      <c r="BD36" s="71">
        <f t="shared" si="48"/>
        <v>8.5885872477228009E-2</v>
      </c>
      <c r="BE36" s="71">
        <f t="shared" si="48"/>
        <v>1.8726821720657316E-2</v>
      </c>
      <c r="BF36" s="71">
        <f t="shared" si="48"/>
        <v>8.1405950095969182E-2</v>
      </c>
      <c r="BG36" s="71">
        <f t="shared" si="48"/>
        <v>-5.4790431239662762E-2</v>
      </c>
      <c r="BH36" s="71">
        <f t="shared" si="48"/>
        <v>-2.5103312156911084E-2</v>
      </c>
      <c r="BI36" s="71">
        <f t="shared" si="48"/>
        <v>-1.4006919080509661E-2</v>
      </c>
      <c r="BJ36" s="71">
        <f t="shared" si="48"/>
        <v>-7.1883389168682088E-3</v>
      </c>
      <c r="BK36" s="71">
        <f t="shared" si="48"/>
        <v>2.0665107465387411E-2</v>
      </c>
      <c r="BL36" s="71">
        <f t="shared" si="48"/>
        <v>-4.3053270909781061E-2</v>
      </c>
      <c r="BM36" s="71">
        <f t="shared" si="48"/>
        <v>4.8657041211780383E-2</v>
      </c>
      <c r="BN36" s="71">
        <f t="shared" si="52"/>
        <v>6.0694093722764686E-2</v>
      </c>
      <c r="BO36" s="71">
        <f t="shared" si="52"/>
        <v>3.9514948776918191E-2</v>
      </c>
      <c r="BP36" s="71">
        <f t="shared" si="49"/>
        <v>5.075314314678292E-2</v>
      </c>
      <c r="BQ36" s="71">
        <f t="shared" si="49"/>
        <v>9.628455180293094E-2</v>
      </c>
      <c r="BR36" s="71">
        <f t="shared" si="49"/>
        <v>7.9384809859896821E-2</v>
      </c>
      <c r="BS36" s="34"/>
      <c r="BT36" s="34"/>
      <c r="BU36" s="34"/>
      <c r="BV36" s="34"/>
      <c r="CA36" s="71"/>
      <c r="CB36" s="71"/>
      <c r="CC36" s="71"/>
      <c r="CD36" s="71"/>
      <c r="CE36" s="71"/>
      <c r="CF36" s="71"/>
      <c r="CG36" s="71"/>
      <c r="CH36" s="71"/>
      <c r="CI36" s="71"/>
      <c r="CJ36" s="71"/>
      <c r="CK36" s="71"/>
      <c r="CL36" s="71"/>
      <c r="CM36" s="71">
        <f t="shared" ref="CM36:CO36" si="57">CM29/CL29-1</f>
        <v>0.33259384733074704</v>
      </c>
      <c r="CN36" s="71">
        <f t="shared" si="57"/>
        <v>7.7937876041846099E-2</v>
      </c>
      <c r="CO36" s="71">
        <f t="shared" si="57"/>
        <v>-2.800460530319937E-2</v>
      </c>
      <c r="CP36" s="71">
        <f t="shared" si="51"/>
        <v>2.021994077514111E-2</v>
      </c>
      <c r="CQ36" s="71">
        <f t="shared" si="51"/>
        <v>1.2083317350109368E-2</v>
      </c>
      <c r="CR36" s="34"/>
      <c r="CS36" s="34"/>
      <c r="CT36" s="34"/>
      <c r="CU36" s="34"/>
      <c r="CV36" s="34"/>
      <c r="CW36" s="34"/>
      <c r="CX36" s="34"/>
      <c r="CY36" s="34"/>
      <c r="CZ36" s="34"/>
      <c r="DA36" s="34"/>
      <c r="DB36" s="34"/>
      <c r="DC36" s="34"/>
      <c r="DD36" s="34"/>
      <c r="DE36" s="34"/>
      <c r="DF36" s="34"/>
      <c r="DG36" s="34"/>
      <c r="DH36" s="34"/>
      <c r="DI36" s="34"/>
      <c r="DJ36" s="34"/>
      <c r="DK36" s="34"/>
      <c r="DL36" s="34"/>
      <c r="DM36" s="34"/>
      <c r="DN36" s="34"/>
      <c r="DO36" s="34"/>
      <c r="DP36" s="34"/>
      <c r="DQ36" s="34"/>
      <c r="DR36" s="34"/>
      <c r="DS36" s="34"/>
      <c r="DT36" s="34"/>
      <c r="DU36" s="34"/>
      <c r="DV36" s="34"/>
      <c r="DW36" s="34"/>
      <c r="DX36" s="34"/>
      <c r="DY36" s="34"/>
      <c r="DZ36" s="34"/>
      <c r="EA36" s="34"/>
      <c r="EB36" s="34"/>
      <c r="EC36" s="34"/>
      <c r="ED36" s="34"/>
      <c r="EE36" s="34"/>
      <c r="EF36" s="34"/>
      <c r="EG36" s="34"/>
      <c r="EH36" s="34"/>
      <c r="EI36" s="34"/>
      <c r="EJ36" s="34"/>
      <c r="EK36" s="34"/>
      <c r="EL36" s="34"/>
      <c r="EM36" s="34"/>
      <c r="EN36" s="34"/>
      <c r="EO36" s="34"/>
      <c r="EP36" s="34"/>
      <c r="EQ36" s="34"/>
      <c r="ER36" s="34"/>
      <c r="ES36" s="34"/>
      <c r="ET36" s="34"/>
      <c r="EU36" s="34"/>
      <c r="EV36" s="34"/>
      <c r="EW36" s="34"/>
      <c r="EX36" s="34"/>
      <c r="EY36" s="34"/>
      <c r="EZ36" s="34"/>
    </row>
    <row r="37" spans="2:156">
      <c r="AU37" s="70"/>
      <c r="AV37" s="70"/>
      <c r="AW37" s="70"/>
      <c r="AX37" s="70"/>
      <c r="AY37" s="70"/>
      <c r="AZ37" s="70"/>
      <c r="BA37" s="70"/>
      <c r="BB37" s="70"/>
      <c r="BC37" s="70"/>
      <c r="BD37" s="70"/>
      <c r="BE37" s="70"/>
      <c r="BF37" s="70"/>
      <c r="BG37" s="70"/>
      <c r="BH37" s="70"/>
      <c r="BI37" s="70"/>
      <c r="BJ37" s="70"/>
      <c r="BK37" s="70"/>
      <c r="BL37" s="70"/>
      <c r="BM37" s="70"/>
      <c r="BN37" s="70"/>
      <c r="BO37" s="70"/>
      <c r="BP37" s="70"/>
      <c r="BQ37" s="70"/>
      <c r="BR37" s="70"/>
      <c r="CQ37" s="1"/>
    </row>
    <row r="38" spans="2:156">
      <c r="B38" s="67" t="s">
        <v>1521</v>
      </c>
      <c r="AU38" s="70">
        <f t="shared" ref="AU38:BQ38" si="58">AU24/AU29</f>
        <v>0.45052766856532961</v>
      </c>
      <c r="AV38" s="70">
        <f t="shared" si="58"/>
        <v>0.43683226724744051</v>
      </c>
      <c r="AW38" s="70">
        <f t="shared" si="58"/>
        <v>0.4526765518974617</v>
      </c>
      <c r="AX38" s="70">
        <f t="shared" si="58"/>
        <v>0.47448143682957744</v>
      </c>
      <c r="AY38" s="70">
        <f t="shared" si="58"/>
        <v>0.41556367160509339</v>
      </c>
      <c r="AZ38" s="70">
        <f t="shared" si="58"/>
        <v>0.38294784782996966</v>
      </c>
      <c r="BA38" s="70">
        <f t="shared" si="58"/>
        <v>0.44047940663604884</v>
      </c>
      <c r="BB38" s="70">
        <f t="shared" si="58"/>
        <v>0.44169865642994244</v>
      </c>
      <c r="BC38" s="70">
        <f t="shared" si="58"/>
        <v>0.41547460567187061</v>
      </c>
      <c r="BD38" s="70">
        <f t="shared" si="58"/>
        <v>0.42025946257118774</v>
      </c>
      <c r="BE38" s="70">
        <f t="shared" si="58"/>
        <v>0.45169300497836279</v>
      </c>
      <c r="BF38" s="70">
        <f t="shared" si="58"/>
        <v>0.44159474630044593</v>
      </c>
      <c r="BG38" s="70">
        <f t="shared" si="58"/>
        <v>0.42062584290762584</v>
      </c>
      <c r="BH38" s="70">
        <f t="shared" si="58"/>
        <v>0.39841410434855962</v>
      </c>
      <c r="BI38" s="70">
        <f t="shared" si="58"/>
        <v>0.43257087668251892</v>
      </c>
      <c r="BJ38" s="70">
        <f t="shared" ref="BJ38" si="59">BJ24/BJ29</f>
        <v>0.44822230664372387</v>
      </c>
      <c r="BK38" s="70">
        <f t="shared" si="58"/>
        <v>0.42174367551745767</v>
      </c>
      <c r="BL38" s="70">
        <f t="shared" si="58"/>
        <v>0.41070818595528524</v>
      </c>
      <c r="BM38" s="70">
        <f t="shared" si="58"/>
        <v>0.43925527822143468</v>
      </c>
      <c r="BN38" s="70">
        <f t="shared" si="58"/>
        <v>0.43889181502159486</v>
      </c>
      <c r="BO38" s="70">
        <f t="shared" si="58"/>
        <v>0.42355591311343521</v>
      </c>
      <c r="BP38" s="70">
        <f t="shared" si="58"/>
        <v>0.422770792478948</v>
      </c>
      <c r="BQ38" s="70">
        <f t="shared" si="58"/>
        <v>0.43810880939214769</v>
      </c>
      <c r="BR38" s="70">
        <f>BR24/BR29</f>
        <v>0.43128452364686826</v>
      </c>
      <c r="CA38" s="70"/>
      <c r="CB38" s="70"/>
      <c r="CC38" s="70"/>
      <c r="CD38" s="70"/>
      <c r="CE38" s="70"/>
      <c r="CF38" s="70"/>
      <c r="CG38" s="70"/>
      <c r="CH38" s="70"/>
      <c r="CI38" s="70"/>
      <c r="CJ38" s="70"/>
      <c r="CK38" s="70"/>
      <c r="CL38" s="70">
        <f t="shared" ref="CL38:CQ38" si="60">CL24/CL29</f>
        <v>0.45373112580369013</v>
      </c>
      <c r="CM38" s="70">
        <f t="shared" si="60"/>
        <v>0.41907839165484384</v>
      </c>
      <c r="CN38" s="70">
        <f t="shared" si="60"/>
        <v>0.43024588667302349</v>
      </c>
      <c r="CO38" s="70">
        <f t="shared" si="60"/>
        <v>0.42412304160089748</v>
      </c>
      <c r="CP38" s="70">
        <f t="shared" si="60"/>
        <v>0.42718682470878566</v>
      </c>
      <c r="CQ38" s="70">
        <f t="shared" si="60"/>
        <v>0.42769102486355365</v>
      </c>
    </row>
    <row r="39" spans="2:156">
      <c r="B39" s="67" t="s">
        <v>1522</v>
      </c>
      <c r="AU39" s="70">
        <f t="shared" ref="AU39:BQ39" si="61">AU25/AU29</f>
        <v>0.25346605822324353</v>
      </c>
      <c r="AV39" s="70">
        <f t="shared" si="61"/>
        <v>0.24512544372609882</v>
      </c>
      <c r="AW39" s="70">
        <f t="shared" si="61"/>
        <v>0.23746334925023038</v>
      </c>
      <c r="AX39" s="70">
        <f t="shared" si="61"/>
        <v>0.26121363875235709</v>
      </c>
      <c r="AY39" s="70">
        <f t="shared" si="61"/>
        <v>0.24503091377345454</v>
      </c>
      <c r="AZ39" s="70">
        <f t="shared" si="61"/>
        <v>0.24852652259332023</v>
      </c>
      <c r="BA39" s="70">
        <f t="shared" si="61"/>
        <v>0.23261782547830145</v>
      </c>
      <c r="BB39" s="70">
        <f t="shared" si="61"/>
        <v>0.24944817658349328</v>
      </c>
      <c r="BC39" s="70">
        <f t="shared" si="61"/>
        <v>0.24001774980838275</v>
      </c>
      <c r="BD39" s="70">
        <f t="shared" si="61"/>
        <v>0.23938608935216596</v>
      </c>
      <c r="BE39" s="70">
        <f t="shared" si="61"/>
        <v>0.23248833761255561</v>
      </c>
      <c r="BF39" s="70">
        <f t="shared" si="61"/>
        <v>0.25286757038581859</v>
      </c>
      <c r="BG39" s="70">
        <f t="shared" si="61"/>
        <v>0.2362787442170135</v>
      </c>
      <c r="BH39" s="70">
        <f t="shared" si="61"/>
        <v>0.25248850647433463</v>
      </c>
      <c r="BI39" s="70">
        <f t="shared" si="61"/>
        <v>0.24701394916683986</v>
      </c>
      <c r="BJ39" s="70">
        <f t="shared" ref="BJ39" si="62">BJ25/BJ29</f>
        <v>0.25098884891282486</v>
      </c>
      <c r="BK39" s="70">
        <f t="shared" si="61"/>
        <v>0.25420865565544637</v>
      </c>
      <c r="BL39" s="70">
        <f t="shared" si="61"/>
        <v>0.26580939473075271</v>
      </c>
      <c r="BM39" s="70">
        <f t="shared" si="61"/>
        <v>0.25512666565629483</v>
      </c>
      <c r="BN39" s="70">
        <f t="shared" si="61"/>
        <v>0.26255135362898979</v>
      </c>
      <c r="BO39" s="70">
        <f t="shared" si="61"/>
        <v>0.27241351568785199</v>
      </c>
      <c r="BP39" s="70">
        <f t="shared" si="61"/>
        <v>0.25644144758229426</v>
      </c>
      <c r="BQ39" s="70">
        <f t="shared" si="61"/>
        <v>0.25537028372112808</v>
      </c>
      <c r="BR39" s="70">
        <f>BR25/BR29</f>
        <v>0.28012218687174284</v>
      </c>
      <c r="CA39" s="70"/>
      <c r="CB39" s="70"/>
      <c r="CC39" s="70"/>
      <c r="CD39" s="70"/>
      <c r="CE39" s="70"/>
      <c r="CF39" s="70"/>
      <c r="CG39" s="70"/>
      <c r="CH39" s="70"/>
      <c r="CI39" s="70"/>
      <c r="CJ39" s="70"/>
      <c r="CK39" s="70"/>
      <c r="CL39" s="70">
        <f t="shared" ref="CL39:CQ39" si="63">CL25/CL29</f>
        <v>0.25004098136713843</v>
      </c>
      <c r="CM39" s="70">
        <f t="shared" si="63"/>
        <v>0.2441302618522376</v>
      </c>
      <c r="CN39" s="70">
        <f t="shared" si="63"/>
        <v>0.24121543486640562</v>
      </c>
      <c r="CO39" s="70">
        <f t="shared" si="63"/>
        <v>0.24601536715498912</v>
      </c>
      <c r="CP39" s="70">
        <f t="shared" si="63"/>
        <v>0.25912769956653497</v>
      </c>
      <c r="CQ39" s="70">
        <f t="shared" si="63"/>
        <v>0.26478673943804326</v>
      </c>
    </row>
    <row r="40" spans="2:156">
      <c r="B40" s="67" t="s">
        <v>1523</v>
      </c>
      <c r="AU40" s="70">
        <f t="shared" ref="AU40:BQ40" si="64">AU26/AU29</f>
        <v>0.14787789019701805</v>
      </c>
      <c r="AV40" s="70">
        <f t="shared" si="64"/>
        <v>0.16214223243530601</v>
      </c>
      <c r="AW40" s="70">
        <f t="shared" si="64"/>
        <v>0.15630392896037532</v>
      </c>
      <c r="AX40" s="70">
        <f t="shared" si="64"/>
        <v>0.12281677949859346</v>
      </c>
      <c r="AY40" s="70">
        <f t="shared" si="64"/>
        <v>0.19125261353745099</v>
      </c>
      <c r="AZ40" s="70">
        <f t="shared" si="64"/>
        <v>0.19789248080014288</v>
      </c>
      <c r="BA40" s="70">
        <f t="shared" si="64"/>
        <v>0.18127563425596188</v>
      </c>
      <c r="BB40" s="70">
        <f t="shared" si="64"/>
        <v>0.17470009596928981</v>
      </c>
      <c r="BC40" s="70">
        <f t="shared" si="64"/>
        <v>0.20801968615111541</v>
      </c>
      <c r="BD40" s="70">
        <f t="shared" si="64"/>
        <v>0.18856267604185942</v>
      </c>
      <c r="BE40" s="70">
        <f t="shared" si="64"/>
        <v>0.17603876613748962</v>
      </c>
      <c r="BF40" s="70">
        <f t="shared" si="64"/>
        <v>0.17161049852461563</v>
      </c>
      <c r="BG40" s="70">
        <f t="shared" si="64"/>
        <v>0.2040476637588132</v>
      </c>
      <c r="BH40" s="70">
        <f t="shared" si="64"/>
        <v>0.18781897169851111</v>
      </c>
      <c r="BI40" s="70">
        <f t="shared" si="64"/>
        <v>0.19264765211438073</v>
      </c>
      <c r="BJ40" s="70">
        <f t="shared" ref="BJ40" si="65">BJ26/BJ29</f>
        <v>0.16854007910791302</v>
      </c>
      <c r="BK40" s="70">
        <f t="shared" si="64"/>
        <v>0.17410830022998119</v>
      </c>
      <c r="BL40" s="70">
        <f t="shared" si="64"/>
        <v>0.18040174980441417</v>
      </c>
      <c r="BM40" s="70">
        <f t="shared" si="64"/>
        <v>0.17170103873998857</v>
      </c>
      <c r="BN40" s="70">
        <f t="shared" si="64"/>
        <v>0.15835879068787528</v>
      </c>
      <c r="BO40" s="70">
        <f t="shared" si="64"/>
        <v>0.14893805309734512</v>
      </c>
      <c r="BP40" s="70">
        <f t="shared" si="64"/>
        <v>0.16780796778489707</v>
      </c>
      <c r="BQ40" s="70">
        <f t="shared" si="64"/>
        <v>0.16343740695052958</v>
      </c>
      <c r="BR40" s="70">
        <f>BR26/BR29</f>
        <v>0.14144203931060059</v>
      </c>
      <c r="CA40" s="70"/>
      <c r="CB40" s="70"/>
      <c r="CC40" s="70"/>
      <c r="CD40" s="70"/>
      <c r="CE40" s="70"/>
      <c r="CF40" s="70"/>
      <c r="CG40" s="70"/>
      <c r="CH40" s="70"/>
      <c r="CI40" s="70"/>
      <c r="CJ40" s="70"/>
      <c r="CK40" s="70"/>
      <c r="CL40" s="70">
        <f t="shared" ref="CL40:CQ40" si="66">CL26/CL29</f>
        <v>0.14683350636577236</v>
      </c>
      <c r="CM40" s="70">
        <f t="shared" si="66"/>
        <v>0.18688579262308749</v>
      </c>
      <c r="CN40" s="70">
        <f t="shared" si="66"/>
        <v>0.18816822543669229</v>
      </c>
      <c r="CO40" s="70">
        <f t="shared" si="66"/>
        <v>0.18930821712302856</v>
      </c>
      <c r="CP40" s="70">
        <f t="shared" si="66"/>
        <v>0.17121741020624753</v>
      </c>
      <c r="CQ40" s="70">
        <f t="shared" si="66"/>
        <v>0.16334647260966242</v>
      </c>
    </row>
    <row r="41" spans="2:156">
      <c r="B41" s="67" t="s">
        <v>1524</v>
      </c>
      <c r="AU41" s="70">
        <f t="shared" ref="AU41:BQ41" si="67">AU27/AU29</f>
        <v>6.7774643592284828E-2</v>
      </c>
      <c r="AV41" s="70">
        <f t="shared" si="67"/>
        <v>8.9276833639154216E-2</v>
      </c>
      <c r="AW41" s="70">
        <f t="shared" si="67"/>
        <v>8.3203484962720953E-2</v>
      </c>
      <c r="AX41" s="70">
        <f t="shared" si="67"/>
        <v>7.7637639494265664E-2</v>
      </c>
      <c r="AY41" s="70">
        <f t="shared" si="67"/>
        <v>7.4345606116350646E-2</v>
      </c>
      <c r="AZ41" s="70">
        <f t="shared" si="67"/>
        <v>8.6421682443293443E-2</v>
      </c>
      <c r="BA41" s="70">
        <f t="shared" si="67"/>
        <v>7.937716432939558E-2</v>
      </c>
      <c r="BB41" s="70">
        <f t="shared" si="67"/>
        <v>7.1869001919385792E-2</v>
      </c>
      <c r="BC41" s="70">
        <f t="shared" si="67"/>
        <v>5.7339949171003268E-2</v>
      </c>
      <c r="BD41" s="70">
        <f t="shared" si="67"/>
        <v>7.9401303480745908E-2</v>
      </c>
      <c r="BE41" s="70">
        <f t="shared" si="67"/>
        <v>6.5646885811063302E-2</v>
      </c>
      <c r="BF41" s="70">
        <f t="shared" si="67"/>
        <v>6.3230758990970207E-2</v>
      </c>
      <c r="BG41" s="70">
        <f t="shared" si="67"/>
        <v>5.7659149495535793E-2</v>
      </c>
      <c r="BH41" s="70">
        <f t="shared" si="67"/>
        <v>7.5667468050107559E-2</v>
      </c>
      <c r="BI41" s="70">
        <f t="shared" si="67"/>
        <v>5.8938591879897799E-2</v>
      </c>
      <c r="BJ41" s="70">
        <f t="shared" ref="BJ41" si="68">BJ27/BJ29</f>
        <v>6.1509754407919733E-2</v>
      </c>
      <c r="BK41" s="70">
        <f t="shared" si="67"/>
        <v>6.495504913234372E-2</v>
      </c>
      <c r="BL41" s="70">
        <f t="shared" si="67"/>
        <v>6.9000473813537841E-2</v>
      </c>
      <c r="BM41" s="70">
        <f t="shared" si="67"/>
        <v>5.9421523252153843E-2</v>
      </c>
      <c r="BN41" s="70">
        <f t="shared" si="67"/>
        <v>6.2424944696091854E-2</v>
      </c>
      <c r="BO41" s="70">
        <f t="shared" si="67"/>
        <v>7.2300884955752209E-2</v>
      </c>
      <c r="BP41" s="70">
        <f t="shared" si="67"/>
        <v>7.6531842825532992E-2</v>
      </c>
      <c r="BQ41" s="70">
        <f t="shared" si="67"/>
        <v>6.1487090050618913E-2</v>
      </c>
      <c r="BR41" s="70">
        <f>BR27/BR29</f>
        <v>6.4762945757617166E-2</v>
      </c>
      <c r="CA41" s="70"/>
      <c r="CB41" s="70"/>
      <c r="CC41" s="70"/>
      <c r="CD41" s="70"/>
      <c r="CE41" s="70"/>
      <c r="CF41" s="70"/>
      <c r="CG41" s="70"/>
      <c r="CH41" s="70"/>
      <c r="CI41" s="70"/>
      <c r="CJ41" s="70"/>
      <c r="CK41" s="70"/>
      <c r="CL41" s="70">
        <f t="shared" ref="CL41:CQ41" si="69">CL27/CL29</f>
        <v>7.8021237455148176E-2</v>
      </c>
      <c r="CM41" s="70">
        <f t="shared" si="69"/>
        <v>7.7858601431863475E-2</v>
      </c>
      <c r="CN41" s="70">
        <f t="shared" si="69"/>
        <v>6.5876630622223126E-2</v>
      </c>
      <c r="CO41" s="70">
        <f t="shared" si="69"/>
        <v>6.3287110113883924E-2</v>
      </c>
      <c r="CP41" s="70">
        <f t="shared" si="69"/>
        <v>6.4065876456071702E-2</v>
      </c>
      <c r="CQ41" s="70">
        <f t="shared" si="69"/>
        <v>6.638366686880938E-2</v>
      </c>
    </row>
    <row r="42" spans="2:156">
      <c r="B42" s="67" t="s">
        <v>1525</v>
      </c>
      <c r="AU42" s="70">
        <f t="shared" ref="AU42:BQ42" si="70">AU28/AU29</f>
        <v>8.0353739422123968E-2</v>
      </c>
      <c r="AV42" s="70">
        <f t="shared" si="70"/>
        <v>6.6623222952000405E-2</v>
      </c>
      <c r="AW42" s="70">
        <f t="shared" si="70"/>
        <v>7.0352684929211692E-2</v>
      </c>
      <c r="AX42" s="70">
        <f t="shared" si="70"/>
        <v>6.3850505425206344E-2</v>
      </c>
      <c r="AY42" s="70">
        <f t="shared" si="70"/>
        <v>7.3807194967650466E-2</v>
      </c>
      <c r="AZ42" s="70">
        <f t="shared" si="70"/>
        <v>8.4211466333273796E-2</v>
      </c>
      <c r="BA42" s="70">
        <f t="shared" si="70"/>
        <v>6.6249969300292255E-2</v>
      </c>
      <c r="BB42" s="70">
        <f t="shared" si="70"/>
        <v>6.2284069097888674E-2</v>
      </c>
      <c r="BC42" s="70">
        <f t="shared" si="70"/>
        <v>7.9148009197627975E-2</v>
      </c>
      <c r="BD42" s="70">
        <f t="shared" si="70"/>
        <v>7.2390468554040993E-2</v>
      </c>
      <c r="BE42" s="70">
        <f t="shared" si="70"/>
        <v>7.41330054605287E-2</v>
      </c>
      <c r="BF42" s="70">
        <f t="shared" si="70"/>
        <v>7.0696425798149665E-2</v>
      </c>
      <c r="BG42" s="70">
        <f t="shared" si="70"/>
        <v>8.1388599621011665E-2</v>
      </c>
      <c r="BH42" s="70">
        <f t="shared" si="70"/>
        <v>8.5610949428487071E-2</v>
      </c>
      <c r="BI42" s="70">
        <f t="shared" si="70"/>
        <v>6.8828930156362697E-2</v>
      </c>
      <c r="BJ42" s="70">
        <f t="shared" ref="BJ42" si="71">BJ28/BJ29</f>
        <v>7.0739010927618501E-2</v>
      </c>
      <c r="BK42" s="70">
        <f t="shared" si="70"/>
        <v>8.4984319464771058E-2</v>
      </c>
      <c r="BL42" s="70">
        <f t="shared" si="70"/>
        <v>7.4080195696010043E-2</v>
      </c>
      <c r="BM42" s="70">
        <f t="shared" si="70"/>
        <v>7.4495494130128126E-2</v>
      </c>
      <c r="BN42" s="70">
        <f t="shared" si="70"/>
        <v>7.7773095965448222E-2</v>
      </c>
      <c r="BO42" s="70">
        <f t="shared" si="70"/>
        <v>8.279163314561544E-2</v>
      </c>
      <c r="BP42" s="70">
        <f t="shared" si="70"/>
        <v>7.6447949328327686E-2</v>
      </c>
      <c r="BQ42" s="70">
        <f t="shared" si="70"/>
        <v>8.1596409885575732E-2</v>
      </c>
      <c r="BR42" s="70">
        <f>BR28/BR29</f>
        <v>8.2388304413171201E-2</v>
      </c>
      <c r="CA42" s="70"/>
      <c r="CB42" s="70"/>
      <c r="CC42" s="70"/>
      <c r="CD42" s="70"/>
      <c r="CE42" s="70"/>
      <c r="CF42" s="70"/>
      <c r="CG42" s="70"/>
      <c r="CH42" s="70"/>
      <c r="CI42" s="70"/>
      <c r="CJ42" s="70"/>
      <c r="CK42" s="70"/>
      <c r="CL42" s="70">
        <f t="shared" ref="CL42:CQ42" si="72">CL28/CL29</f>
        <v>7.1373149008250911E-2</v>
      </c>
      <c r="CM42" s="70">
        <f t="shared" si="72"/>
        <v>7.2046952437967618E-2</v>
      </c>
      <c r="CN42" s="70">
        <f t="shared" si="72"/>
        <v>7.4493822401655474E-2</v>
      </c>
      <c r="CO42" s="70">
        <f t="shared" si="72"/>
        <v>7.7266264007200908E-2</v>
      </c>
      <c r="CP42" s="70">
        <f t="shared" si="72"/>
        <v>7.8402189062360142E-2</v>
      </c>
      <c r="CQ42" s="70">
        <f t="shared" si="72"/>
        <v>7.7792096219931273E-2</v>
      </c>
    </row>
    <row r="43" spans="2:156">
      <c r="CQ43" s="1"/>
    </row>
    <row r="44" spans="2:156" s="2" customFormat="1" ht="15">
      <c r="B44" s="2" t="s">
        <v>117</v>
      </c>
      <c r="C44" s="69">
        <v>15683</v>
      </c>
      <c r="D44" s="69">
        <v>9084</v>
      </c>
      <c r="E44" s="69">
        <v>9734</v>
      </c>
      <c r="F44" s="69">
        <v>8404</v>
      </c>
      <c r="G44" s="69">
        <v>15683</v>
      </c>
      <c r="H44" s="69">
        <v>13499</v>
      </c>
      <c r="I44" s="69">
        <v>15700</v>
      </c>
      <c r="J44" s="69">
        <v>20343</v>
      </c>
      <c r="K44" s="69">
        <v>26741</v>
      </c>
      <c r="L44" s="69">
        <v>24667</v>
      </c>
      <c r="M44" s="69">
        <v>28571</v>
      </c>
      <c r="N44" s="69">
        <v>28270</v>
      </c>
      <c r="O44" s="69">
        <v>46333</v>
      </c>
      <c r="P44" s="69">
        <v>39186</v>
      </c>
      <c r="Q44" s="69">
        <v>35023</v>
      </c>
      <c r="R44" s="69">
        <v>35966</v>
      </c>
      <c r="S44" s="69">
        <v>54512</v>
      </c>
      <c r="T44" s="69">
        <v>43603</v>
      </c>
      <c r="U44" s="69">
        <v>35323</v>
      </c>
      <c r="V44" s="69">
        <v>37472</v>
      </c>
      <c r="W44" s="69">
        <v>57594</v>
      </c>
      <c r="X44" s="69">
        <v>45646</v>
      </c>
      <c r="Y44" s="69">
        <v>37432</v>
      </c>
      <c r="Z44" s="69">
        <v>42123</v>
      </c>
      <c r="AA44" s="69">
        <v>74599</v>
      </c>
      <c r="AB44" s="69">
        <v>58010</v>
      </c>
      <c r="AC44" s="69">
        <v>49605</v>
      </c>
      <c r="AD44" s="69">
        <v>51501</v>
      </c>
      <c r="AE44" s="69">
        <v>75872</v>
      </c>
      <c r="AF44" s="69">
        <v>50557</v>
      </c>
      <c r="AG44" s="69">
        <v>42358</v>
      </c>
      <c r="AH44" s="69">
        <v>46852</v>
      </c>
      <c r="AI44" s="69">
        <v>78351</v>
      </c>
      <c r="AJ44" s="69">
        <v>52896</v>
      </c>
      <c r="AK44" s="69">
        <v>45408</v>
      </c>
      <c r="AL44" s="69">
        <v>52579</v>
      </c>
      <c r="AM44" s="69">
        <v>88293</v>
      </c>
      <c r="AN44" s="69">
        <v>61137</v>
      </c>
      <c r="AO44" s="69">
        <v>53265</v>
      </c>
      <c r="AP44" s="69">
        <v>62900</v>
      </c>
      <c r="AQ44" s="69">
        <v>84310</v>
      </c>
      <c r="AR44" s="69">
        <v>58015</v>
      </c>
      <c r="AS44" s="69">
        <v>53809</v>
      </c>
      <c r="AT44" s="69">
        <v>64040</v>
      </c>
      <c r="AU44" s="69">
        <f t="shared" ref="AU44:BN44" si="73">AU9</f>
        <v>91819</v>
      </c>
      <c r="AV44" s="69">
        <f t="shared" si="73"/>
        <v>58313</v>
      </c>
      <c r="AW44" s="69">
        <f t="shared" si="73"/>
        <v>59685</v>
      </c>
      <c r="AX44" s="69">
        <f t="shared" si="73"/>
        <v>64698</v>
      </c>
      <c r="AY44" s="69">
        <f t="shared" si="73"/>
        <v>111439</v>
      </c>
      <c r="AZ44" s="69">
        <f t="shared" si="73"/>
        <v>89584</v>
      </c>
      <c r="BA44" s="69">
        <f t="shared" si="73"/>
        <v>81434</v>
      </c>
      <c r="BB44" s="69">
        <f t="shared" si="73"/>
        <v>83360</v>
      </c>
      <c r="BC44" s="69">
        <f t="shared" si="73"/>
        <v>123945</v>
      </c>
      <c r="BD44" s="69">
        <f t="shared" si="73"/>
        <v>97278</v>
      </c>
      <c r="BE44" s="69">
        <f t="shared" si="73"/>
        <v>82959</v>
      </c>
      <c r="BF44" s="69">
        <f t="shared" si="73"/>
        <v>90246</v>
      </c>
      <c r="BG44" s="69">
        <f t="shared" si="73"/>
        <v>117154</v>
      </c>
      <c r="BH44" s="69">
        <f t="shared" si="73"/>
        <v>94836</v>
      </c>
      <c r="BI44" s="69">
        <f t="shared" si="73"/>
        <v>81797</v>
      </c>
      <c r="BJ44" s="69">
        <f t="shared" si="73"/>
        <v>89498</v>
      </c>
      <c r="BK44" s="69">
        <f t="shared" si="73"/>
        <v>119575</v>
      </c>
      <c r="BL44" s="69">
        <f t="shared" si="73"/>
        <v>90753</v>
      </c>
      <c r="BM44" s="69">
        <f t="shared" si="73"/>
        <v>85777</v>
      </c>
      <c r="BN44" s="69">
        <f t="shared" si="73"/>
        <v>94930</v>
      </c>
      <c r="BO44" s="69">
        <f>BO9</f>
        <v>124300</v>
      </c>
      <c r="BP44" s="69">
        <f t="shared" ref="BP44:BQ44" si="74">BP9</f>
        <v>95359</v>
      </c>
      <c r="BQ44" s="69">
        <f t="shared" si="74"/>
        <v>94036</v>
      </c>
      <c r="BR44" s="69">
        <f t="shared" ref="BR44" si="75">BR9</f>
        <v>102648</v>
      </c>
      <c r="BS44" s="34"/>
      <c r="BT44" s="34"/>
      <c r="BU44" s="34"/>
      <c r="BV44" s="34"/>
      <c r="CA44" s="69">
        <f t="shared" ref="CA44:CA53" si="76">SUM(C44:F44)</f>
        <v>42905</v>
      </c>
      <c r="CB44" s="69">
        <f t="shared" ref="CB44:CB53" si="77">SUM(G44:J44)</f>
        <v>65225</v>
      </c>
      <c r="CC44" s="69">
        <f t="shared" ref="CC44:CC53" si="78">SUM(K44:N44)</f>
        <v>108249</v>
      </c>
      <c r="CD44" s="69">
        <f t="shared" ref="CD44:CD53" si="79">SUM(O44:R44)</f>
        <v>156508</v>
      </c>
      <c r="CE44" s="69">
        <f t="shared" ref="CE44:CE53" si="80">SUM(S44:V44)</f>
        <v>170910</v>
      </c>
      <c r="CF44" s="69">
        <f t="shared" ref="CF44:CF53" si="81">SUM(W44:Z44)</f>
        <v>182795</v>
      </c>
      <c r="CG44" s="69">
        <f t="shared" ref="CG44:CG53" si="82">SUM(AA44:AD44)</f>
        <v>233715</v>
      </c>
      <c r="CH44" s="69">
        <f t="shared" ref="CH44:CH53" si="83">SUM(AE44:AH44)</f>
        <v>215639</v>
      </c>
      <c r="CI44" s="69">
        <f t="shared" ref="CI44:CI53" si="84">SUM(AI44:AL44)</f>
        <v>229234</v>
      </c>
      <c r="CJ44" s="69">
        <f t="shared" ref="CJ44:CJ53" si="85">SUM(AM44:AP44)</f>
        <v>265595</v>
      </c>
      <c r="CK44" s="69">
        <f t="shared" ref="CK44:CK53" si="86">SUM(AQ44:AT44)</f>
        <v>260174</v>
      </c>
      <c r="CL44" s="69">
        <f t="shared" ref="CL44:CL53" si="87">SUM(AU44:AX44)</f>
        <v>274515</v>
      </c>
      <c r="CM44" s="69">
        <f t="shared" ref="CM44:CM53" si="88">SUM(AY44:BB44)</f>
        <v>365817</v>
      </c>
      <c r="CN44" s="69">
        <f t="shared" ref="CN44:CN53" si="89">SUM(BC44:BF44)</f>
        <v>394428</v>
      </c>
      <c r="CO44" s="69">
        <f>SUM(BG44:BJ44)</f>
        <v>383285</v>
      </c>
      <c r="CP44" s="69">
        <f>SUM(BK44:BN44)</f>
        <v>391035</v>
      </c>
      <c r="CQ44" s="69">
        <f>SUM(BO44:BR44)</f>
        <v>416343</v>
      </c>
      <c r="CR44" s="75">
        <f>CR9</f>
        <v>450795</v>
      </c>
      <c r="CS44" s="75">
        <f t="shared" ref="CS44:DA44" si="90">CS9</f>
        <v>491131.17495000002</v>
      </c>
      <c r="CT44" s="75">
        <f t="shared" si="90"/>
        <v>530289.40983450005</v>
      </c>
      <c r="CU44" s="75">
        <f t="shared" si="90"/>
        <v>568842.39458348253</v>
      </c>
      <c r="CV44" s="75">
        <f t="shared" si="90"/>
        <v>604629.95340353157</v>
      </c>
      <c r="CW44" s="75">
        <f t="shared" si="90"/>
        <v>638935.11244178168</v>
      </c>
      <c r="CX44" s="75">
        <f t="shared" si="90"/>
        <v>668900.47738468205</v>
      </c>
      <c r="CY44" s="75">
        <f t="shared" si="90"/>
        <v>696329.42910578358</v>
      </c>
      <c r="CZ44" s="75">
        <f t="shared" si="90"/>
        <v>718624.18289893842</v>
      </c>
      <c r="DA44" s="75">
        <f t="shared" si="90"/>
        <v>735557.79155899922</v>
      </c>
      <c r="DB44" s="34"/>
      <c r="DC44" s="34"/>
      <c r="DD44" s="34"/>
      <c r="DE44" s="34"/>
      <c r="DF44" s="34"/>
      <c r="DG44" s="34"/>
      <c r="DH44" s="34"/>
      <c r="DI44" s="34"/>
      <c r="DJ44" s="34"/>
      <c r="DK44" s="34"/>
      <c r="DL44" s="34"/>
      <c r="DM44" s="34"/>
      <c r="DN44" s="34"/>
      <c r="DO44" s="34"/>
      <c r="DP44" s="34"/>
      <c r="DQ44" s="34"/>
      <c r="DR44" s="34"/>
      <c r="DS44" s="34"/>
      <c r="DT44" s="34"/>
      <c r="DU44" s="34"/>
      <c r="DV44" s="34"/>
      <c r="DW44" s="34"/>
      <c r="DX44" s="34"/>
      <c r="DY44" s="34"/>
      <c r="DZ44" s="34"/>
      <c r="EA44" s="34"/>
      <c r="EB44" s="34"/>
      <c r="EC44" s="34"/>
      <c r="ED44" s="34"/>
      <c r="EE44" s="34"/>
      <c r="EF44" s="34"/>
      <c r="EG44" s="34"/>
      <c r="EH44" s="34"/>
      <c r="EI44" s="34"/>
      <c r="EJ44" s="34"/>
      <c r="EK44" s="34"/>
      <c r="EL44" s="34"/>
      <c r="EM44" s="34"/>
      <c r="EN44" s="34"/>
      <c r="EO44" s="34"/>
      <c r="EP44" s="34"/>
      <c r="EQ44" s="34"/>
      <c r="ER44" s="34"/>
      <c r="ES44" s="34"/>
      <c r="ET44" s="34"/>
      <c r="EU44" s="34"/>
      <c r="EV44" s="34"/>
      <c r="EW44" s="34"/>
      <c r="EX44" s="34"/>
      <c r="EY44" s="34"/>
      <c r="EZ44" s="34"/>
    </row>
    <row r="45" spans="2:156">
      <c r="B45" s="1" t="s">
        <v>119</v>
      </c>
      <c r="C45" s="68">
        <v>9272</v>
      </c>
      <c r="D45" s="68">
        <v>5457</v>
      </c>
      <c r="E45" s="68">
        <v>5751</v>
      </c>
      <c r="F45" s="68">
        <v>5203</v>
      </c>
      <c r="G45" s="68">
        <v>9272</v>
      </c>
      <c r="H45" s="68">
        <v>7874</v>
      </c>
      <c r="I45" s="68">
        <v>9564</v>
      </c>
      <c r="J45" s="68">
        <v>12831</v>
      </c>
      <c r="K45" s="68">
        <v>16443</v>
      </c>
      <c r="L45" s="68">
        <v>14449</v>
      </c>
      <c r="M45" s="68">
        <v>16649</v>
      </c>
      <c r="N45" s="68">
        <v>16890</v>
      </c>
      <c r="O45" s="68">
        <v>25630</v>
      </c>
      <c r="P45" s="68">
        <v>20622</v>
      </c>
      <c r="Q45" s="68">
        <v>20029</v>
      </c>
      <c r="R45" s="68">
        <v>21565</v>
      </c>
      <c r="S45" s="68">
        <v>33452</v>
      </c>
      <c r="T45" s="68">
        <v>27254</v>
      </c>
      <c r="U45" s="68">
        <v>22299</v>
      </c>
      <c r="V45" s="68">
        <v>23601</v>
      </c>
      <c r="W45" s="68">
        <v>35748</v>
      </c>
      <c r="X45" s="68">
        <v>27699</v>
      </c>
      <c r="Y45" s="68">
        <v>22697</v>
      </c>
      <c r="Z45" s="68">
        <v>26114</v>
      </c>
      <c r="AA45" s="68">
        <v>44858</v>
      </c>
      <c r="AB45" s="68">
        <v>34354</v>
      </c>
      <c r="AC45" s="68">
        <v>29924</v>
      </c>
      <c r="AD45" s="68">
        <v>30953</v>
      </c>
      <c r="AE45" s="68">
        <v>45449</v>
      </c>
      <c r="AF45" s="68">
        <v>30636</v>
      </c>
      <c r="AG45" s="68">
        <v>26252</v>
      </c>
      <c r="AH45" s="68">
        <v>29039</v>
      </c>
      <c r="AI45" s="68">
        <v>48175</v>
      </c>
      <c r="AJ45" s="68">
        <v>32305</v>
      </c>
      <c r="AK45" s="68">
        <v>27920</v>
      </c>
      <c r="AL45" s="68">
        <v>32648</v>
      </c>
      <c r="AM45" s="68">
        <v>54381</v>
      </c>
      <c r="AN45" s="68">
        <v>37715</v>
      </c>
      <c r="AO45" s="68">
        <v>32844</v>
      </c>
      <c r="AP45" s="68">
        <v>38816</v>
      </c>
      <c r="AQ45" s="68">
        <v>52279</v>
      </c>
      <c r="AR45" s="68">
        <v>36194</v>
      </c>
      <c r="AS45" s="68">
        <v>33582</v>
      </c>
      <c r="AT45" s="68">
        <v>39727</v>
      </c>
      <c r="AU45" s="68">
        <v>56602</v>
      </c>
      <c r="AV45" s="68">
        <v>35943</v>
      </c>
      <c r="AW45" s="68">
        <v>37005</v>
      </c>
      <c r="AX45" s="68">
        <v>40009</v>
      </c>
      <c r="AY45" s="68">
        <v>67111</v>
      </c>
      <c r="AZ45" s="68">
        <v>51505</v>
      </c>
      <c r="BA45" s="68">
        <v>46179</v>
      </c>
      <c r="BB45" s="68">
        <v>48186</v>
      </c>
      <c r="BC45" s="68">
        <v>69702</v>
      </c>
      <c r="BD45" s="68">
        <v>54719</v>
      </c>
      <c r="BE45" s="68">
        <v>47074</v>
      </c>
      <c r="BF45" s="68">
        <v>52051</v>
      </c>
      <c r="BG45" s="68">
        <v>66822</v>
      </c>
      <c r="BH45" s="68">
        <v>52860</v>
      </c>
      <c r="BI45" s="68">
        <v>45384</v>
      </c>
      <c r="BJ45" s="68">
        <v>49071</v>
      </c>
      <c r="BK45" s="68">
        <v>64720</v>
      </c>
      <c r="BL45" s="68">
        <v>48482</v>
      </c>
      <c r="BM45" s="68">
        <v>46099</v>
      </c>
      <c r="BN45" s="68">
        <v>51051</v>
      </c>
      <c r="BO45" s="68">
        <v>66025</v>
      </c>
      <c r="BP45" s="68">
        <v>50492</v>
      </c>
      <c r="BQ45" s="68">
        <v>50318</v>
      </c>
      <c r="BR45" s="68">
        <v>54125</v>
      </c>
      <c r="CA45" s="68">
        <f t="shared" si="76"/>
        <v>25683</v>
      </c>
      <c r="CB45" s="68">
        <f t="shared" si="77"/>
        <v>39541</v>
      </c>
      <c r="CC45" s="68">
        <f t="shared" si="78"/>
        <v>64431</v>
      </c>
      <c r="CD45" s="68">
        <f t="shared" si="79"/>
        <v>87846</v>
      </c>
      <c r="CE45" s="68">
        <f t="shared" si="80"/>
        <v>106606</v>
      </c>
      <c r="CF45" s="68">
        <f t="shared" si="81"/>
        <v>112258</v>
      </c>
      <c r="CG45" s="68">
        <f t="shared" si="82"/>
        <v>140089</v>
      </c>
      <c r="CH45" s="68">
        <f t="shared" si="83"/>
        <v>131376</v>
      </c>
      <c r="CI45" s="68">
        <f t="shared" si="84"/>
        <v>141048</v>
      </c>
      <c r="CJ45" s="68">
        <f t="shared" si="85"/>
        <v>163756</v>
      </c>
      <c r="CK45" s="68">
        <f t="shared" si="86"/>
        <v>161782</v>
      </c>
      <c r="CL45" s="68">
        <f t="shared" si="87"/>
        <v>169559</v>
      </c>
      <c r="CM45" s="68">
        <f t="shared" si="88"/>
        <v>212981</v>
      </c>
      <c r="CN45" s="68">
        <f t="shared" si="89"/>
        <v>223546</v>
      </c>
      <c r="CO45" s="68">
        <f t="shared" ref="CO45:CO53" si="91">SUM(BG45:BJ45)</f>
        <v>214137</v>
      </c>
      <c r="CP45" s="68">
        <f t="shared" ref="CP45:CP53" si="92">SUM(BK45:BN45)</f>
        <v>210352</v>
      </c>
      <c r="CQ45" s="68">
        <f t="shared" ref="CQ45:CQ55" si="93">SUM(BO45:BR45)</f>
        <v>220960</v>
      </c>
      <c r="CR45" s="35">
        <f>CR44*(1-CR57)</f>
        <v>238921.35</v>
      </c>
      <c r="CS45" s="35">
        <f t="shared" ref="CS45:DA45" si="94">CS44*(1-CS57)</f>
        <v>259317.26037360003</v>
      </c>
      <c r="CT45" s="35">
        <f t="shared" si="94"/>
        <v>278932.22957294702</v>
      </c>
      <c r="CU45" s="35">
        <f t="shared" si="94"/>
        <v>298073.41476174485</v>
      </c>
      <c r="CV45" s="35">
        <f t="shared" si="94"/>
        <v>315616.83567664347</v>
      </c>
      <c r="CW45" s="35">
        <f t="shared" si="94"/>
        <v>332246.25846972648</v>
      </c>
      <c r="CX45" s="35">
        <f t="shared" si="94"/>
        <v>347159.34776265</v>
      </c>
      <c r="CY45" s="35">
        <f t="shared" si="94"/>
        <v>360698.64427679591</v>
      </c>
      <c r="CZ45" s="35">
        <f t="shared" si="94"/>
        <v>371528.70255875116</v>
      </c>
      <c r="DA45" s="74">
        <f t="shared" si="94"/>
        <v>379547.82044444361</v>
      </c>
    </row>
    <row r="46" spans="2:156">
      <c r="B46" s="1" t="s">
        <v>120</v>
      </c>
      <c r="C46" s="68">
        <f t="shared" ref="C46:AT46" si="95">C44-C45</f>
        <v>6411</v>
      </c>
      <c r="D46" s="68">
        <f t="shared" si="95"/>
        <v>3627</v>
      </c>
      <c r="E46" s="68">
        <f t="shared" si="95"/>
        <v>3983</v>
      </c>
      <c r="F46" s="68">
        <f t="shared" si="95"/>
        <v>3201</v>
      </c>
      <c r="G46" s="68">
        <f t="shared" si="95"/>
        <v>6411</v>
      </c>
      <c r="H46" s="68">
        <f t="shared" si="95"/>
        <v>5625</v>
      </c>
      <c r="I46" s="68">
        <f t="shared" si="95"/>
        <v>6136</v>
      </c>
      <c r="J46" s="68">
        <f t="shared" si="95"/>
        <v>7512</v>
      </c>
      <c r="K46" s="68">
        <f t="shared" si="95"/>
        <v>10298</v>
      </c>
      <c r="L46" s="68">
        <f t="shared" si="95"/>
        <v>10218</v>
      </c>
      <c r="M46" s="68">
        <f t="shared" si="95"/>
        <v>11922</v>
      </c>
      <c r="N46" s="68">
        <f t="shared" si="95"/>
        <v>11380</v>
      </c>
      <c r="O46" s="68">
        <f t="shared" si="95"/>
        <v>20703</v>
      </c>
      <c r="P46" s="68">
        <f t="shared" si="95"/>
        <v>18564</v>
      </c>
      <c r="Q46" s="68">
        <f t="shared" si="95"/>
        <v>14994</v>
      </c>
      <c r="R46" s="68">
        <f t="shared" si="95"/>
        <v>14401</v>
      </c>
      <c r="S46" s="68">
        <f t="shared" si="95"/>
        <v>21060</v>
      </c>
      <c r="T46" s="68">
        <f t="shared" si="95"/>
        <v>16349</v>
      </c>
      <c r="U46" s="68">
        <f t="shared" si="95"/>
        <v>13024</v>
      </c>
      <c r="V46" s="68">
        <f t="shared" si="95"/>
        <v>13871</v>
      </c>
      <c r="W46" s="68">
        <f t="shared" si="95"/>
        <v>21846</v>
      </c>
      <c r="X46" s="68">
        <f t="shared" si="95"/>
        <v>17947</v>
      </c>
      <c r="Y46" s="68">
        <f t="shared" si="95"/>
        <v>14735</v>
      </c>
      <c r="Z46" s="68">
        <f t="shared" si="95"/>
        <v>16009</v>
      </c>
      <c r="AA46" s="68">
        <f t="shared" si="95"/>
        <v>29741</v>
      </c>
      <c r="AB46" s="68">
        <f t="shared" si="95"/>
        <v>23656</v>
      </c>
      <c r="AC46" s="68">
        <f t="shared" si="95"/>
        <v>19681</v>
      </c>
      <c r="AD46" s="68">
        <f t="shared" si="95"/>
        <v>20548</v>
      </c>
      <c r="AE46" s="68">
        <f t="shared" si="95"/>
        <v>30423</v>
      </c>
      <c r="AF46" s="68">
        <f t="shared" si="95"/>
        <v>19921</v>
      </c>
      <c r="AG46" s="68">
        <f t="shared" si="95"/>
        <v>16106</v>
      </c>
      <c r="AH46" s="68">
        <f t="shared" si="95"/>
        <v>17813</v>
      </c>
      <c r="AI46" s="68">
        <f t="shared" si="95"/>
        <v>30176</v>
      </c>
      <c r="AJ46" s="68">
        <f t="shared" si="95"/>
        <v>20591</v>
      </c>
      <c r="AK46" s="68">
        <f t="shared" si="95"/>
        <v>17488</v>
      </c>
      <c r="AL46" s="68">
        <f t="shared" si="95"/>
        <v>19931</v>
      </c>
      <c r="AM46" s="68">
        <f t="shared" si="95"/>
        <v>33912</v>
      </c>
      <c r="AN46" s="68">
        <f t="shared" si="95"/>
        <v>23422</v>
      </c>
      <c r="AO46" s="68">
        <f t="shared" si="95"/>
        <v>20421</v>
      </c>
      <c r="AP46" s="68">
        <f t="shared" si="95"/>
        <v>24084</v>
      </c>
      <c r="AQ46" s="68">
        <f t="shared" si="95"/>
        <v>32031</v>
      </c>
      <c r="AR46" s="68">
        <f t="shared" si="95"/>
        <v>21821</v>
      </c>
      <c r="AS46" s="68">
        <f t="shared" si="95"/>
        <v>20227</v>
      </c>
      <c r="AT46" s="68">
        <f t="shared" si="95"/>
        <v>24313</v>
      </c>
      <c r="AU46" s="68">
        <f t="shared" ref="AU46:BN46" si="96">AU44-AU45</f>
        <v>35217</v>
      </c>
      <c r="AV46" s="68">
        <f t="shared" si="96"/>
        <v>22370</v>
      </c>
      <c r="AW46" s="68">
        <f t="shared" si="96"/>
        <v>22680</v>
      </c>
      <c r="AX46" s="68">
        <f t="shared" si="96"/>
        <v>24689</v>
      </c>
      <c r="AY46" s="68">
        <f t="shared" si="96"/>
        <v>44328</v>
      </c>
      <c r="AZ46" s="68">
        <f t="shared" si="96"/>
        <v>38079</v>
      </c>
      <c r="BA46" s="68">
        <f t="shared" si="96"/>
        <v>35255</v>
      </c>
      <c r="BB46" s="68">
        <f t="shared" si="96"/>
        <v>35174</v>
      </c>
      <c r="BC46" s="68">
        <f t="shared" si="96"/>
        <v>54243</v>
      </c>
      <c r="BD46" s="68">
        <f t="shared" si="96"/>
        <v>42559</v>
      </c>
      <c r="BE46" s="68">
        <f t="shared" si="96"/>
        <v>35885</v>
      </c>
      <c r="BF46" s="68">
        <f t="shared" si="96"/>
        <v>38195</v>
      </c>
      <c r="BG46" s="68">
        <f t="shared" si="96"/>
        <v>50332</v>
      </c>
      <c r="BH46" s="68">
        <f t="shared" si="96"/>
        <v>41976</v>
      </c>
      <c r="BI46" s="68">
        <f t="shared" si="96"/>
        <v>36413</v>
      </c>
      <c r="BJ46" s="68">
        <f t="shared" si="96"/>
        <v>40427</v>
      </c>
      <c r="BK46" s="68">
        <f t="shared" si="96"/>
        <v>54855</v>
      </c>
      <c r="BL46" s="68">
        <f t="shared" si="96"/>
        <v>42271</v>
      </c>
      <c r="BM46" s="68">
        <f t="shared" si="96"/>
        <v>39678</v>
      </c>
      <c r="BN46" s="68">
        <f t="shared" si="96"/>
        <v>43879</v>
      </c>
      <c r="BO46" s="68">
        <f>BO44-BO45</f>
        <v>58275</v>
      </c>
      <c r="BP46" s="68">
        <f t="shared" ref="BP46:BR46" si="97">BP44-BP45</f>
        <v>44867</v>
      </c>
      <c r="BQ46" s="68">
        <f t="shared" si="97"/>
        <v>43718</v>
      </c>
      <c r="BR46" s="68">
        <f t="shared" si="97"/>
        <v>48523</v>
      </c>
      <c r="CA46" s="68">
        <f t="shared" si="76"/>
        <v>17222</v>
      </c>
      <c r="CB46" s="68">
        <f t="shared" si="77"/>
        <v>25684</v>
      </c>
      <c r="CC46" s="68">
        <f t="shared" si="78"/>
        <v>43818</v>
      </c>
      <c r="CD46" s="68">
        <f t="shared" si="79"/>
        <v>68662</v>
      </c>
      <c r="CE46" s="68">
        <f t="shared" si="80"/>
        <v>64304</v>
      </c>
      <c r="CF46" s="68">
        <f t="shared" si="81"/>
        <v>70537</v>
      </c>
      <c r="CG46" s="68">
        <f t="shared" si="82"/>
        <v>93626</v>
      </c>
      <c r="CH46" s="68">
        <f t="shared" si="83"/>
        <v>84263</v>
      </c>
      <c r="CI46" s="68">
        <f t="shared" si="84"/>
        <v>88186</v>
      </c>
      <c r="CJ46" s="68">
        <f t="shared" si="85"/>
        <v>101839</v>
      </c>
      <c r="CK46" s="68">
        <f t="shared" si="86"/>
        <v>98392</v>
      </c>
      <c r="CL46" s="68">
        <f t="shared" si="87"/>
        <v>104956</v>
      </c>
      <c r="CM46" s="68">
        <f t="shared" si="88"/>
        <v>152836</v>
      </c>
      <c r="CN46" s="68">
        <f t="shared" si="89"/>
        <v>170882</v>
      </c>
      <c r="CO46" s="68">
        <f t="shared" si="91"/>
        <v>169148</v>
      </c>
      <c r="CP46" s="68">
        <f t="shared" si="92"/>
        <v>180683</v>
      </c>
      <c r="CQ46" s="68">
        <f t="shared" si="93"/>
        <v>195383</v>
      </c>
      <c r="CR46" s="74">
        <f>CR44-CR45</f>
        <v>211873.65</v>
      </c>
      <c r="CS46" s="74">
        <f t="shared" ref="CS46:DA46" si="98">CS44-CS45</f>
        <v>231813.91457639998</v>
      </c>
      <c r="CT46" s="74">
        <f t="shared" si="98"/>
        <v>251357.18026155303</v>
      </c>
      <c r="CU46" s="74">
        <f t="shared" si="98"/>
        <v>270768.97982173768</v>
      </c>
      <c r="CV46" s="74">
        <f t="shared" si="98"/>
        <v>289013.1177268881</v>
      </c>
      <c r="CW46" s="74">
        <f t="shared" si="98"/>
        <v>306688.85397205519</v>
      </c>
      <c r="CX46" s="74">
        <f t="shared" si="98"/>
        <v>321741.12962203205</v>
      </c>
      <c r="CY46" s="74">
        <f t="shared" si="98"/>
        <v>335630.78482898767</v>
      </c>
      <c r="CZ46" s="74">
        <f t="shared" si="98"/>
        <v>347095.48034018726</v>
      </c>
      <c r="DA46" s="74">
        <f t="shared" si="98"/>
        <v>356009.97111455561</v>
      </c>
    </row>
    <row r="47" spans="2:156">
      <c r="B47" s="1" t="s">
        <v>1527</v>
      </c>
      <c r="C47" s="68">
        <v>398</v>
      </c>
      <c r="D47" s="68">
        <v>319</v>
      </c>
      <c r="E47" s="68">
        <v>341</v>
      </c>
      <c r="F47" s="68">
        <v>275</v>
      </c>
      <c r="G47" s="68">
        <v>398</v>
      </c>
      <c r="H47" s="68">
        <v>426</v>
      </c>
      <c r="I47" s="68">
        <v>464</v>
      </c>
      <c r="J47" s="68">
        <v>494</v>
      </c>
      <c r="K47" s="68">
        <v>575</v>
      </c>
      <c r="L47" s="68">
        <v>581</v>
      </c>
      <c r="M47" s="68">
        <v>628</v>
      </c>
      <c r="N47" s="68">
        <v>645</v>
      </c>
      <c r="O47" s="68">
        <v>758</v>
      </c>
      <c r="P47" s="68">
        <v>841</v>
      </c>
      <c r="Q47" s="68">
        <v>876</v>
      </c>
      <c r="R47" s="68">
        <v>906</v>
      </c>
      <c r="S47" s="68">
        <v>1010</v>
      </c>
      <c r="T47" s="68">
        <v>1119</v>
      </c>
      <c r="U47" s="68">
        <v>1178</v>
      </c>
      <c r="V47" s="68">
        <v>1168</v>
      </c>
      <c r="W47" s="68">
        <v>1330</v>
      </c>
      <c r="X47" s="68">
        <v>1422</v>
      </c>
      <c r="Y47" s="68">
        <v>1603</v>
      </c>
      <c r="Z47" s="68">
        <v>1686</v>
      </c>
      <c r="AA47" s="68">
        <v>1895</v>
      </c>
      <c r="AB47" s="68">
        <v>1918</v>
      </c>
      <c r="AC47" s="68">
        <v>2034</v>
      </c>
      <c r="AD47" s="68">
        <v>2220</v>
      </c>
      <c r="AE47" s="68">
        <v>2404</v>
      </c>
      <c r="AF47" s="68">
        <v>2511</v>
      </c>
      <c r="AG47" s="68">
        <v>2560</v>
      </c>
      <c r="AH47" s="68">
        <v>2570</v>
      </c>
      <c r="AI47" s="68">
        <v>2871</v>
      </c>
      <c r="AJ47" s="68">
        <v>2776</v>
      </c>
      <c r="AK47" s="68">
        <v>2937</v>
      </c>
      <c r="AL47" s="68">
        <v>2997</v>
      </c>
      <c r="AM47" s="68">
        <v>3407</v>
      </c>
      <c r="AN47" s="68">
        <v>3378</v>
      </c>
      <c r="AO47" s="68">
        <v>3701</v>
      </c>
      <c r="AP47" s="68">
        <v>3750</v>
      </c>
      <c r="AQ47" s="68">
        <v>3902</v>
      </c>
      <c r="AR47" s="68">
        <v>3948</v>
      </c>
      <c r="AS47" s="68">
        <v>4257</v>
      </c>
      <c r="AT47" s="68">
        <v>4110</v>
      </c>
      <c r="AU47" s="68">
        <v>4451</v>
      </c>
      <c r="AV47" s="68">
        <v>4565</v>
      </c>
      <c r="AW47" s="68">
        <v>4758</v>
      </c>
      <c r="AX47" s="68">
        <v>4978</v>
      </c>
      <c r="AY47" s="68">
        <v>5163</v>
      </c>
      <c r="AZ47" s="68">
        <v>5262</v>
      </c>
      <c r="BA47" s="68">
        <v>5717</v>
      </c>
      <c r="BB47" s="68">
        <v>5772</v>
      </c>
      <c r="BC47" s="68">
        <v>6306</v>
      </c>
      <c r="BD47" s="68">
        <v>6387</v>
      </c>
      <c r="BE47" s="68">
        <v>6797</v>
      </c>
      <c r="BF47" s="68">
        <v>6761</v>
      </c>
      <c r="BG47" s="68">
        <v>7709</v>
      </c>
      <c r="BH47" s="68">
        <v>7457</v>
      </c>
      <c r="BI47" s="68">
        <v>7442</v>
      </c>
      <c r="BJ47" s="68">
        <v>7307</v>
      </c>
      <c r="BK47" s="68">
        <v>7696</v>
      </c>
      <c r="BL47" s="68">
        <v>7903</v>
      </c>
      <c r="BM47" s="68">
        <v>8006</v>
      </c>
      <c r="BN47" s="68">
        <v>7765</v>
      </c>
      <c r="BO47" s="68">
        <v>8268</v>
      </c>
      <c r="BP47" s="68">
        <v>8550</v>
      </c>
      <c r="BQ47" s="68">
        <v>8866</v>
      </c>
      <c r="BR47" s="68">
        <v>8866</v>
      </c>
      <c r="CA47" s="68">
        <f t="shared" si="76"/>
        <v>1333</v>
      </c>
      <c r="CB47" s="68">
        <f t="shared" si="77"/>
        <v>1782</v>
      </c>
      <c r="CC47" s="68">
        <f t="shared" si="78"/>
        <v>2429</v>
      </c>
      <c r="CD47" s="68">
        <f t="shared" si="79"/>
        <v>3381</v>
      </c>
      <c r="CE47" s="68">
        <f t="shared" si="80"/>
        <v>4475</v>
      </c>
      <c r="CF47" s="68">
        <f t="shared" si="81"/>
        <v>6041</v>
      </c>
      <c r="CG47" s="68">
        <f t="shared" si="82"/>
        <v>8067</v>
      </c>
      <c r="CH47" s="68">
        <f t="shared" si="83"/>
        <v>10045</v>
      </c>
      <c r="CI47" s="68">
        <f t="shared" si="84"/>
        <v>11581</v>
      </c>
      <c r="CJ47" s="68">
        <f t="shared" si="85"/>
        <v>14236</v>
      </c>
      <c r="CK47" s="68">
        <f t="shared" si="86"/>
        <v>16217</v>
      </c>
      <c r="CL47" s="68">
        <f t="shared" si="87"/>
        <v>18752</v>
      </c>
      <c r="CM47" s="68">
        <f t="shared" si="88"/>
        <v>21914</v>
      </c>
      <c r="CN47" s="68">
        <f t="shared" si="89"/>
        <v>26251</v>
      </c>
      <c r="CO47" s="68">
        <f t="shared" si="91"/>
        <v>29915</v>
      </c>
      <c r="CP47" s="68">
        <f t="shared" si="92"/>
        <v>31370</v>
      </c>
      <c r="CQ47" s="68">
        <f t="shared" si="93"/>
        <v>34550</v>
      </c>
      <c r="CR47" s="74">
        <f>CR44*CR58</f>
        <v>36383.90410855064</v>
      </c>
      <c r="CS47" s="74">
        <f t="shared" ref="CS47:DA47" si="99">CS44*CS58</f>
        <v>41746.149870750007</v>
      </c>
      <c r="CT47" s="74">
        <f t="shared" si="99"/>
        <v>47726.046885105003</v>
      </c>
      <c r="CU47" s="74">
        <f t="shared" si="99"/>
        <v>46929.497553137313</v>
      </c>
      <c r="CV47" s="74">
        <f t="shared" si="99"/>
        <v>45347.246505264869</v>
      </c>
      <c r="CW47" s="74">
        <f t="shared" si="99"/>
        <v>46003.328095808276</v>
      </c>
      <c r="CX47" s="74">
        <f t="shared" si="99"/>
        <v>46823.033416927748</v>
      </c>
      <c r="CY47" s="74">
        <f t="shared" si="99"/>
        <v>47350.401179193286</v>
      </c>
      <c r="CZ47" s="74">
        <f t="shared" si="99"/>
        <v>47429.196071329941</v>
      </c>
      <c r="DA47" s="74">
        <f t="shared" si="99"/>
        <v>47811.25645133495</v>
      </c>
    </row>
    <row r="48" spans="2:156">
      <c r="B48" s="1" t="s">
        <v>1528</v>
      </c>
      <c r="C48" s="68">
        <v>1288</v>
      </c>
      <c r="D48" s="68">
        <v>985</v>
      </c>
      <c r="E48" s="68">
        <v>1010</v>
      </c>
      <c r="F48" s="68">
        <v>866</v>
      </c>
      <c r="G48" s="68">
        <v>1288</v>
      </c>
      <c r="H48" s="68">
        <v>1220</v>
      </c>
      <c r="I48" s="68">
        <v>1438</v>
      </c>
      <c r="J48" s="68">
        <v>1571</v>
      </c>
      <c r="K48" s="68">
        <v>1896</v>
      </c>
      <c r="L48" s="68">
        <v>1763</v>
      </c>
      <c r="M48" s="68">
        <v>1915</v>
      </c>
      <c r="N48" s="68">
        <v>2025</v>
      </c>
      <c r="O48" s="68">
        <v>2605</v>
      </c>
      <c r="P48" s="68">
        <v>2339</v>
      </c>
      <c r="Q48" s="68">
        <v>2545</v>
      </c>
      <c r="R48" s="68">
        <v>2551</v>
      </c>
      <c r="S48" s="68">
        <v>2840</v>
      </c>
      <c r="T48" s="68">
        <v>2672</v>
      </c>
      <c r="U48" s="68">
        <v>2645</v>
      </c>
      <c r="V48" s="68">
        <v>2673</v>
      </c>
      <c r="W48" s="68">
        <v>3053</v>
      </c>
      <c r="X48" s="68">
        <v>2932</v>
      </c>
      <c r="Y48" s="68">
        <v>2850</v>
      </c>
      <c r="Z48" s="68">
        <v>3158</v>
      </c>
      <c r="AA48" s="68">
        <v>3600</v>
      </c>
      <c r="AB48" s="68">
        <v>3460</v>
      </c>
      <c r="AC48" s="68">
        <v>3564</v>
      </c>
      <c r="AD48" s="68">
        <v>3705</v>
      </c>
      <c r="AE48" s="68">
        <v>3848</v>
      </c>
      <c r="AF48" s="68">
        <v>3423</v>
      </c>
      <c r="AG48" s="68">
        <v>3441</v>
      </c>
      <c r="AH48" s="68">
        <v>3482</v>
      </c>
      <c r="AI48" s="68">
        <v>3946</v>
      </c>
      <c r="AJ48" s="68">
        <v>3718</v>
      </c>
      <c r="AK48" s="68">
        <v>3783</v>
      </c>
      <c r="AL48" s="68">
        <v>3814</v>
      </c>
      <c r="AM48" s="68">
        <v>4231</v>
      </c>
      <c r="AN48" s="68">
        <v>4150</v>
      </c>
      <c r="AO48" s="68">
        <v>4108</v>
      </c>
      <c r="AP48" s="68">
        <v>4216</v>
      </c>
      <c r="AQ48" s="68">
        <v>4783</v>
      </c>
      <c r="AR48" s="68">
        <v>4458</v>
      </c>
      <c r="AS48" s="68">
        <v>4426</v>
      </c>
      <c r="AT48" s="68">
        <v>4578</v>
      </c>
      <c r="AU48" s="68">
        <v>5197</v>
      </c>
      <c r="AV48" s="68">
        <v>4952</v>
      </c>
      <c r="AW48" s="68">
        <v>4831</v>
      </c>
      <c r="AX48" s="68">
        <v>4936</v>
      </c>
      <c r="AY48" s="68">
        <v>5631</v>
      </c>
      <c r="AZ48" s="68">
        <v>5314</v>
      </c>
      <c r="BA48" s="68">
        <v>5412</v>
      </c>
      <c r="BB48" s="68">
        <v>5616</v>
      </c>
      <c r="BC48" s="68">
        <v>6449</v>
      </c>
      <c r="BD48" s="68">
        <v>6193</v>
      </c>
      <c r="BE48" s="68">
        <v>6012</v>
      </c>
      <c r="BF48" s="68">
        <v>6440</v>
      </c>
      <c r="BG48" s="68">
        <v>6607</v>
      </c>
      <c r="BH48" s="68">
        <v>6201</v>
      </c>
      <c r="BI48" s="68">
        <v>5973</v>
      </c>
      <c r="BJ48" s="68">
        <v>6151</v>
      </c>
      <c r="BK48" s="68">
        <v>6786</v>
      </c>
      <c r="BL48" s="68">
        <v>6468</v>
      </c>
      <c r="BM48" s="68">
        <v>6320</v>
      </c>
      <c r="BN48" s="68">
        <v>6523</v>
      </c>
      <c r="BO48" s="68">
        <v>7175</v>
      </c>
      <c r="BP48" s="68">
        <v>6728</v>
      </c>
      <c r="BQ48" s="68">
        <v>6650</v>
      </c>
      <c r="BR48" s="68">
        <v>7048</v>
      </c>
      <c r="CA48" s="68">
        <f t="shared" si="76"/>
        <v>4149</v>
      </c>
      <c r="CB48" s="68">
        <f t="shared" si="77"/>
        <v>5517</v>
      </c>
      <c r="CC48" s="68">
        <f t="shared" si="78"/>
        <v>7599</v>
      </c>
      <c r="CD48" s="68">
        <f t="shared" si="79"/>
        <v>10040</v>
      </c>
      <c r="CE48" s="68">
        <f t="shared" si="80"/>
        <v>10830</v>
      </c>
      <c r="CF48" s="68">
        <f t="shared" si="81"/>
        <v>11993</v>
      </c>
      <c r="CG48" s="68">
        <f t="shared" si="82"/>
        <v>14329</v>
      </c>
      <c r="CH48" s="68">
        <f t="shared" si="83"/>
        <v>14194</v>
      </c>
      <c r="CI48" s="68">
        <f t="shared" si="84"/>
        <v>15261</v>
      </c>
      <c r="CJ48" s="68">
        <f t="shared" si="85"/>
        <v>16705</v>
      </c>
      <c r="CK48" s="68">
        <f t="shared" si="86"/>
        <v>18245</v>
      </c>
      <c r="CL48" s="68">
        <f t="shared" si="87"/>
        <v>19916</v>
      </c>
      <c r="CM48" s="68">
        <f t="shared" si="88"/>
        <v>21973</v>
      </c>
      <c r="CN48" s="68">
        <f t="shared" si="89"/>
        <v>25094</v>
      </c>
      <c r="CO48" s="68">
        <f t="shared" si="91"/>
        <v>24932</v>
      </c>
      <c r="CP48" s="68">
        <f t="shared" si="92"/>
        <v>26097</v>
      </c>
      <c r="CQ48" s="68">
        <f t="shared" si="93"/>
        <v>27601</v>
      </c>
      <c r="CR48" s="74">
        <f>CR44*CR59</f>
        <v>30169.184278350516</v>
      </c>
      <c r="CS48" s="74">
        <f t="shared" ref="CS48:DA48" si="100">CS44*CS59</f>
        <v>32868.658529729379</v>
      </c>
      <c r="CT48" s="74">
        <f t="shared" si="100"/>
        <v>35489.299850607866</v>
      </c>
      <c r="CU48" s="74">
        <f t="shared" si="100"/>
        <v>38069.43517014887</v>
      </c>
      <c r="CV48" s="74">
        <f t="shared" si="100"/>
        <v>40464.49602245284</v>
      </c>
      <c r="CW48" s="74">
        <f t="shared" si="100"/>
        <v>42760.34816083745</v>
      </c>
      <c r="CX48" s="74">
        <f t="shared" si="100"/>
        <v>44765.762189232584</v>
      </c>
      <c r="CY48" s="74">
        <f t="shared" si="100"/>
        <v>46601.428288093244</v>
      </c>
      <c r="CZ48" s="74">
        <f t="shared" si="100"/>
        <v>48093.491278202149</v>
      </c>
      <c r="DA48" s="74">
        <f t="shared" si="100"/>
        <v>49226.762854335087</v>
      </c>
    </row>
    <row r="49" spans="2:156">
      <c r="B49" s="1" t="s">
        <v>1529</v>
      </c>
      <c r="C49" s="68">
        <f t="shared" ref="C49:AT49" si="101">C46-SUM(C47:C48)</f>
        <v>4725</v>
      </c>
      <c r="D49" s="68">
        <f t="shared" si="101"/>
        <v>2323</v>
      </c>
      <c r="E49" s="68">
        <f t="shared" si="101"/>
        <v>2632</v>
      </c>
      <c r="F49" s="68">
        <f t="shared" si="101"/>
        <v>2060</v>
      </c>
      <c r="G49" s="68">
        <f t="shared" si="101"/>
        <v>4725</v>
      </c>
      <c r="H49" s="68">
        <f t="shared" si="101"/>
        <v>3979</v>
      </c>
      <c r="I49" s="68">
        <f t="shared" si="101"/>
        <v>4234</v>
      </c>
      <c r="J49" s="68">
        <f t="shared" si="101"/>
        <v>5447</v>
      </c>
      <c r="K49" s="68">
        <f t="shared" si="101"/>
        <v>7827</v>
      </c>
      <c r="L49" s="68">
        <f t="shared" si="101"/>
        <v>7874</v>
      </c>
      <c r="M49" s="68">
        <f t="shared" si="101"/>
        <v>9379</v>
      </c>
      <c r="N49" s="68">
        <f t="shared" si="101"/>
        <v>8710</v>
      </c>
      <c r="O49" s="68">
        <f t="shared" si="101"/>
        <v>17340</v>
      </c>
      <c r="P49" s="68">
        <f t="shared" si="101"/>
        <v>15384</v>
      </c>
      <c r="Q49" s="68">
        <f t="shared" si="101"/>
        <v>11573</v>
      </c>
      <c r="R49" s="68">
        <f t="shared" si="101"/>
        <v>10944</v>
      </c>
      <c r="S49" s="68">
        <f t="shared" si="101"/>
        <v>17210</v>
      </c>
      <c r="T49" s="68">
        <f t="shared" si="101"/>
        <v>12558</v>
      </c>
      <c r="U49" s="68">
        <f t="shared" si="101"/>
        <v>9201</v>
      </c>
      <c r="V49" s="68">
        <f t="shared" si="101"/>
        <v>10030</v>
      </c>
      <c r="W49" s="68">
        <f t="shared" si="101"/>
        <v>17463</v>
      </c>
      <c r="X49" s="68">
        <f t="shared" si="101"/>
        <v>13593</v>
      </c>
      <c r="Y49" s="68">
        <f t="shared" si="101"/>
        <v>10282</v>
      </c>
      <c r="Z49" s="68">
        <f t="shared" si="101"/>
        <v>11165</v>
      </c>
      <c r="AA49" s="68">
        <f t="shared" si="101"/>
        <v>24246</v>
      </c>
      <c r="AB49" s="68">
        <f t="shared" si="101"/>
        <v>18278</v>
      </c>
      <c r="AC49" s="68">
        <f t="shared" si="101"/>
        <v>14083</v>
      </c>
      <c r="AD49" s="68">
        <f t="shared" si="101"/>
        <v>14623</v>
      </c>
      <c r="AE49" s="68">
        <f t="shared" si="101"/>
        <v>24171</v>
      </c>
      <c r="AF49" s="68">
        <f t="shared" si="101"/>
        <v>13987</v>
      </c>
      <c r="AG49" s="68">
        <f t="shared" si="101"/>
        <v>10105</v>
      </c>
      <c r="AH49" s="68">
        <f t="shared" si="101"/>
        <v>11761</v>
      </c>
      <c r="AI49" s="68">
        <f t="shared" si="101"/>
        <v>23359</v>
      </c>
      <c r="AJ49" s="68">
        <f t="shared" si="101"/>
        <v>14097</v>
      </c>
      <c r="AK49" s="68">
        <f t="shared" si="101"/>
        <v>10768</v>
      </c>
      <c r="AL49" s="68">
        <f t="shared" si="101"/>
        <v>13120</v>
      </c>
      <c r="AM49" s="68">
        <f t="shared" si="101"/>
        <v>26274</v>
      </c>
      <c r="AN49" s="68">
        <f t="shared" si="101"/>
        <v>15894</v>
      </c>
      <c r="AO49" s="68">
        <f t="shared" si="101"/>
        <v>12612</v>
      </c>
      <c r="AP49" s="68">
        <f t="shared" si="101"/>
        <v>16118</v>
      </c>
      <c r="AQ49" s="68">
        <f t="shared" si="101"/>
        <v>23346</v>
      </c>
      <c r="AR49" s="68">
        <f t="shared" si="101"/>
        <v>13415</v>
      </c>
      <c r="AS49" s="68">
        <f t="shared" si="101"/>
        <v>11544</v>
      </c>
      <c r="AT49" s="68">
        <f t="shared" si="101"/>
        <v>15625</v>
      </c>
      <c r="AU49" s="68">
        <f t="shared" ref="AU49:BQ49" si="102">AU46-SUM(AU47:AU48)</f>
        <v>25569</v>
      </c>
      <c r="AV49" s="68">
        <f t="shared" si="102"/>
        <v>12853</v>
      </c>
      <c r="AW49" s="68">
        <f t="shared" si="102"/>
        <v>13091</v>
      </c>
      <c r="AX49" s="68">
        <f t="shared" si="102"/>
        <v>14775</v>
      </c>
      <c r="AY49" s="68">
        <f t="shared" si="102"/>
        <v>33534</v>
      </c>
      <c r="AZ49" s="68">
        <f t="shared" si="102"/>
        <v>27503</v>
      </c>
      <c r="BA49" s="68">
        <f t="shared" si="102"/>
        <v>24126</v>
      </c>
      <c r="BB49" s="68">
        <f t="shared" si="102"/>
        <v>23786</v>
      </c>
      <c r="BC49" s="68">
        <f t="shared" si="102"/>
        <v>41488</v>
      </c>
      <c r="BD49" s="68">
        <f t="shared" si="102"/>
        <v>29979</v>
      </c>
      <c r="BE49" s="68">
        <f t="shared" si="102"/>
        <v>23076</v>
      </c>
      <c r="BF49" s="68">
        <f t="shared" si="102"/>
        <v>24994</v>
      </c>
      <c r="BG49" s="68">
        <f t="shared" si="102"/>
        <v>36016</v>
      </c>
      <c r="BH49" s="68">
        <f t="shared" si="102"/>
        <v>28318</v>
      </c>
      <c r="BI49" s="68">
        <f t="shared" si="102"/>
        <v>22998</v>
      </c>
      <c r="BJ49" s="68">
        <f t="shared" si="102"/>
        <v>26969</v>
      </c>
      <c r="BK49" s="68">
        <f t="shared" si="102"/>
        <v>40373</v>
      </c>
      <c r="BL49" s="68">
        <f t="shared" si="102"/>
        <v>27900</v>
      </c>
      <c r="BM49" s="68">
        <f t="shared" si="102"/>
        <v>25352</v>
      </c>
      <c r="BN49" s="68">
        <f t="shared" si="102"/>
        <v>29591</v>
      </c>
      <c r="BO49" s="68">
        <f t="shared" si="102"/>
        <v>42832</v>
      </c>
      <c r="BP49" s="68">
        <f t="shared" si="102"/>
        <v>29589</v>
      </c>
      <c r="BQ49" s="68">
        <f t="shared" si="102"/>
        <v>28202</v>
      </c>
      <c r="BR49" s="68">
        <f>BR46-SUM(BR47:BR48)</f>
        <v>32609</v>
      </c>
      <c r="CA49" s="68">
        <f t="shared" si="76"/>
        <v>11740</v>
      </c>
      <c r="CB49" s="68">
        <f t="shared" si="77"/>
        <v>18385</v>
      </c>
      <c r="CC49" s="68">
        <f t="shared" si="78"/>
        <v>33790</v>
      </c>
      <c r="CD49" s="68">
        <f t="shared" si="79"/>
        <v>55241</v>
      </c>
      <c r="CE49" s="68">
        <f t="shared" si="80"/>
        <v>48999</v>
      </c>
      <c r="CF49" s="68">
        <f t="shared" si="81"/>
        <v>52503</v>
      </c>
      <c r="CG49" s="68">
        <f t="shared" si="82"/>
        <v>71230</v>
      </c>
      <c r="CH49" s="68">
        <f t="shared" si="83"/>
        <v>60024</v>
      </c>
      <c r="CI49" s="68">
        <f t="shared" si="84"/>
        <v>61344</v>
      </c>
      <c r="CJ49" s="68">
        <f t="shared" si="85"/>
        <v>70898</v>
      </c>
      <c r="CK49" s="68">
        <f t="shared" si="86"/>
        <v>63930</v>
      </c>
      <c r="CL49" s="68">
        <f t="shared" si="87"/>
        <v>66288</v>
      </c>
      <c r="CM49" s="68">
        <f t="shared" si="88"/>
        <v>108949</v>
      </c>
      <c r="CN49" s="68">
        <f t="shared" si="89"/>
        <v>119537</v>
      </c>
      <c r="CO49" s="68">
        <f t="shared" si="91"/>
        <v>114301</v>
      </c>
      <c r="CP49" s="68">
        <f t="shared" si="92"/>
        <v>123216</v>
      </c>
      <c r="CQ49" s="68">
        <f t="shared" si="93"/>
        <v>133232</v>
      </c>
      <c r="CR49" s="74">
        <f>CR46-SUM(CR47:CR48)</f>
        <v>145320.56161309883</v>
      </c>
      <c r="CS49" s="74">
        <f t="shared" ref="CS49:DA49" si="103">CS46-SUM(CS47:CS48)</f>
        <v>157199.10617592061</v>
      </c>
      <c r="CT49" s="74">
        <f t="shared" si="103"/>
        <v>168141.83352584016</v>
      </c>
      <c r="CU49" s="74">
        <f t="shared" si="103"/>
        <v>185770.0470984515</v>
      </c>
      <c r="CV49" s="74">
        <f t="shared" si="103"/>
        <v>203201.37519917038</v>
      </c>
      <c r="CW49" s="74">
        <f t="shared" si="103"/>
        <v>217925.17771540946</v>
      </c>
      <c r="CX49" s="74">
        <f t="shared" si="103"/>
        <v>230152.33401587172</v>
      </c>
      <c r="CY49" s="74">
        <f t="shared" si="103"/>
        <v>241678.95536170114</v>
      </c>
      <c r="CZ49" s="74">
        <f t="shared" si="103"/>
        <v>251572.79299065517</v>
      </c>
      <c r="DA49" s="74">
        <f t="shared" si="103"/>
        <v>258971.95180888555</v>
      </c>
    </row>
    <row r="50" spans="2:156">
      <c r="B50" s="1" t="s">
        <v>1530</v>
      </c>
      <c r="C50" s="68">
        <v>33</v>
      </c>
      <c r="D50" s="68">
        <v>63</v>
      </c>
      <c r="E50" s="68">
        <v>60</v>
      </c>
      <c r="F50" s="68">
        <v>170</v>
      </c>
      <c r="G50" s="68">
        <v>33</v>
      </c>
      <c r="H50" s="68">
        <v>50</v>
      </c>
      <c r="I50" s="68">
        <v>58</v>
      </c>
      <c r="J50" s="68">
        <v>14</v>
      </c>
      <c r="K50" s="68">
        <v>136</v>
      </c>
      <c r="L50" s="68">
        <v>26</v>
      </c>
      <c r="M50" s="68">
        <v>172</v>
      </c>
      <c r="N50" s="68">
        <v>81</v>
      </c>
      <c r="O50" s="68">
        <v>137</v>
      </c>
      <c r="P50" s="68">
        <v>148</v>
      </c>
      <c r="Q50" s="68">
        <v>288</v>
      </c>
      <c r="R50" s="68">
        <v>-51</v>
      </c>
      <c r="S50" s="68">
        <v>462</v>
      </c>
      <c r="T50" s="68">
        <v>347</v>
      </c>
      <c r="U50" s="68">
        <v>234</v>
      </c>
      <c r="V50" s="68">
        <v>113</v>
      </c>
      <c r="W50" s="68">
        <v>246</v>
      </c>
      <c r="X50" s="68">
        <v>225</v>
      </c>
      <c r="Y50" s="68">
        <v>202</v>
      </c>
      <c r="Z50" s="68">
        <v>307</v>
      </c>
      <c r="AA50" s="68">
        <v>170</v>
      </c>
      <c r="AB50" s="68">
        <v>286</v>
      </c>
      <c r="AC50" s="68">
        <v>390</v>
      </c>
      <c r="AD50" s="68">
        <v>439</v>
      </c>
      <c r="AE50" s="68">
        <v>402</v>
      </c>
      <c r="AF50" s="68">
        <v>155</v>
      </c>
      <c r="AG50" s="68">
        <v>364</v>
      </c>
      <c r="AH50" s="68">
        <v>427</v>
      </c>
      <c r="AI50" s="68">
        <v>821</v>
      </c>
      <c r="AJ50" s="68">
        <v>587</v>
      </c>
      <c r="AK50" s="68">
        <v>540</v>
      </c>
      <c r="AL50" s="68">
        <v>797</v>
      </c>
      <c r="AM50" s="68">
        <v>756</v>
      </c>
      <c r="AN50" s="68">
        <v>274</v>
      </c>
      <c r="AO50" s="68">
        <v>672</v>
      </c>
      <c r="AP50" s="68">
        <v>303</v>
      </c>
      <c r="AQ50" s="68">
        <v>560</v>
      </c>
      <c r="AR50" s="68">
        <v>378</v>
      </c>
      <c r="AS50" s="68">
        <v>367</v>
      </c>
      <c r="AT50" s="68">
        <v>502</v>
      </c>
      <c r="AU50" s="68">
        <v>349</v>
      </c>
      <c r="AV50" s="68">
        <v>282</v>
      </c>
      <c r="AW50" s="68">
        <v>46</v>
      </c>
      <c r="AX50" s="68">
        <v>126</v>
      </c>
      <c r="AY50" s="68">
        <v>45</v>
      </c>
      <c r="AZ50" s="68">
        <v>508</v>
      </c>
      <c r="BA50" s="68">
        <v>243</v>
      </c>
      <c r="BB50" s="68">
        <v>-538</v>
      </c>
      <c r="BC50" s="68">
        <v>-247</v>
      </c>
      <c r="BD50" s="68">
        <v>160</v>
      </c>
      <c r="BE50" s="68">
        <v>-10</v>
      </c>
      <c r="BF50" s="68">
        <v>-237</v>
      </c>
      <c r="BG50" s="68">
        <v>-393</v>
      </c>
      <c r="BH50" s="68">
        <v>64</v>
      </c>
      <c r="BI50" s="68">
        <v>-265</v>
      </c>
      <c r="BJ50" s="68">
        <v>29</v>
      </c>
      <c r="BK50" s="68">
        <v>-50</v>
      </c>
      <c r="BL50" s="68">
        <v>158</v>
      </c>
      <c r="BM50" s="68">
        <v>142</v>
      </c>
      <c r="BN50" s="68">
        <v>19</v>
      </c>
      <c r="BO50" s="68">
        <v>-248</v>
      </c>
      <c r="BP50" s="68">
        <v>-279</v>
      </c>
      <c r="BQ50" s="68">
        <v>-171</v>
      </c>
      <c r="BR50" s="68">
        <v>377</v>
      </c>
      <c r="CA50" s="68">
        <f t="shared" si="76"/>
        <v>326</v>
      </c>
      <c r="CB50" s="68">
        <f t="shared" si="77"/>
        <v>155</v>
      </c>
      <c r="CC50" s="68">
        <f t="shared" si="78"/>
        <v>415</v>
      </c>
      <c r="CD50" s="68">
        <f t="shared" si="79"/>
        <v>522</v>
      </c>
      <c r="CE50" s="68">
        <f t="shared" si="80"/>
        <v>1156</v>
      </c>
      <c r="CF50" s="68">
        <f t="shared" si="81"/>
        <v>980</v>
      </c>
      <c r="CG50" s="68">
        <f t="shared" si="82"/>
        <v>1285</v>
      </c>
      <c r="CH50" s="68">
        <f t="shared" si="83"/>
        <v>1348</v>
      </c>
      <c r="CI50" s="68">
        <f t="shared" si="84"/>
        <v>2745</v>
      </c>
      <c r="CJ50" s="68">
        <f t="shared" si="85"/>
        <v>2005</v>
      </c>
      <c r="CK50" s="68">
        <f t="shared" si="86"/>
        <v>1807</v>
      </c>
      <c r="CL50" s="68">
        <f t="shared" si="87"/>
        <v>803</v>
      </c>
      <c r="CM50" s="68">
        <f t="shared" si="88"/>
        <v>258</v>
      </c>
      <c r="CN50" s="68">
        <f t="shared" si="89"/>
        <v>-334</v>
      </c>
      <c r="CO50" s="68">
        <f t="shared" si="91"/>
        <v>-565</v>
      </c>
      <c r="CP50" s="68">
        <f t="shared" si="92"/>
        <v>269</v>
      </c>
      <c r="CQ50" s="68">
        <f t="shared" si="93"/>
        <v>-321</v>
      </c>
      <c r="CR50" s="74">
        <f>CQ64*($DA$66)</f>
        <v>7276.6350000000002</v>
      </c>
      <c r="CS50" s="74">
        <f t="shared" ref="CS50:DA50" si="104">CR64*($DA$66)-(10000*(0.035))</f>
        <v>32265.399497605064</v>
      </c>
      <c r="CT50" s="74">
        <f t="shared" si="104"/>
        <v>63725.980664694012</v>
      </c>
      <c r="CU50" s="74">
        <f t="shared" si="104"/>
        <v>102227.63121103222</v>
      </c>
      <c r="CV50" s="74">
        <f t="shared" si="104"/>
        <v>150049.64569432201</v>
      </c>
      <c r="CW50" s="74">
        <f t="shared" si="104"/>
        <v>208706.97771368638</v>
      </c>
      <c r="CX50" s="74">
        <f t="shared" si="104"/>
        <v>279549.24712268775</v>
      </c>
      <c r="CY50" s="74">
        <f t="shared" si="104"/>
        <v>364185.19467074558</v>
      </c>
      <c r="CZ50" s="74">
        <f t="shared" si="104"/>
        <v>464788.93678363337</v>
      </c>
      <c r="DA50" s="74">
        <f t="shared" si="104"/>
        <v>583740.80201265402</v>
      </c>
    </row>
    <row r="51" spans="2:156">
      <c r="B51" s="1" t="s">
        <v>1531</v>
      </c>
      <c r="C51" s="68">
        <f t="shared" ref="C51:AT51" si="105">C49+C50</f>
        <v>4758</v>
      </c>
      <c r="D51" s="68">
        <f t="shared" si="105"/>
        <v>2386</v>
      </c>
      <c r="E51" s="68">
        <f t="shared" si="105"/>
        <v>2692</v>
      </c>
      <c r="F51" s="68">
        <f t="shared" si="105"/>
        <v>2230</v>
      </c>
      <c r="G51" s="68">
        <f t="shared" si="105"/>
        <v>4758</v>
      </c>
      <c r="H51" s="68">
        <f t="shared" si="105"/>
        <v>4029</v>
      </c>
      <c r="I51" s="68">
        <f t="shared" si="105"/>
        <v>4292</v>
      </c>
      <c r="J51" s="68">
        <f t="shared" si="105"/>
        <v>5461</v>
      </c>
      <c r="K51" s="68">
        <f t="shared" si="105"/>
        <v>7963</v>
      </c>
      <c r="L51" s="68">
        <f t="shared" si="105"/>
        <v>7900</v>
      </c>
      <c r="M51" s="68">
        <f t="shared" si="105"/>
        <v>9551</v>
      </c>
      <c r="N51" s="68">
        <f t="shared" si="105"/>
        <v>8791</v>
      </c>
      <c r="O51" s="68">
        <f t="shared" si="105"/>
        <v>17477</v>
      </c>
      <c r="P51" s="68">
        <f t="shared" si="105"/>
        <v>15532</v>
      </c>
      <c r="Q51" s="68">
        <f t="shared" si="105"/>
        <v>11861</v>
      </c>
      <c r="R51" s="68">
        <f t="shared" si="105"/>
        <v>10893</v>
      </c>
      <c r="S51" s="68">
        <f t="shared" si="105"/>
        <v>17672</v>
      </c>
      <c r="T51" s="68">
        <f t="shared" si="105"/>
        <v>12905</v>
      </c>
      <c r="U51" s="68">
        <f t="shared" si="105"/>
        <v>9435</v>
      </c>
      <c r="V51" s="68">
        <f t="shared" si="105"/>
        <v>10143</v>
      </c>
      <c r="W51" s="68">
        <f t="shared" si="105"/>
        <v>17709</v>
      </c>
      <c r="X51" s="68">
        <f t="shared" si="105"/>
        <v>13818</v>
      </c>
      <c r="Y51" s="68">
        <f t="shared" si="105"/>
        <v>10484</v>
      </c>
      <c r="Z51" s="68">
        <f t="shared" si="105"/>
        <v>11472</v>
      </c>
      <c r="AA51" s="68">
        <f t="shared" si="105"/>
        <v>24416</v>
      </c>
      <c r="AB51" s="68">
        <f t="shared" si="105"/>
        <v>18564</v>
      </c>
      <c r="AC51" s="68">
        <f t="shared" si="105"/>
        <v>14473</v>
      </c>
      <c r="AD51" s="68">
        <f t="shared" si="105"/>
        <v>15062</v>
      </c>
      <c r="AE51" s="68">
        <f t="shared" si="105"/>
        <v>24573</v>
      </c>
      <c r="AF51" s="68">
        <f t="shared" si="105"/>
        <v>14142</v>
      </c>
      <c r="AG51" s="68">
        <f t="shared" si="105"/>
        <v>10469</v>
      </c>
      <c r="AH51" s="68">
        <f t="shared" si="105"/>
        <v>12188</v>
      </c>
      <c r="AI51" s="68">
        <f t="shared" si="105"/>
        <v>24180</v>
      </c>
      <c r="AJ51" s="68">
        <f t="shared" si="105"/>
        <v>14684</v>
      </c>
      <c r="AK51" s="68">
        <f t="shared" si="105"/>
        <v>11308</v>
      </c>
      <c r="AL51" s="68">
        <f t="shared" si="105"/>
        <v>13917</v>
      </c>
      <c r="AM51" s="68">
        <f t="shared" si="105"/>
        <v>27030</v>
      </c>
      <c r="AN51" s="68">
        <f t="shared" si="105"/>
        <v>16168</v>
      </c>
      <c r="AO51" s="68">
        <f t="shared" si="105"/>
        <v>13284</v>
      </c>
      <c r="AP51" s="68">
        <f t="shared" si="105"/>
        <v>16421</v>
      </c>
      <c r="AQ51" s="68">
        <f t="shared" si="105"/>
        <v>23906</v>
      </c>
      <c r="AR51" s="68">
        <f t="shared" si="105"/>
        <v>13793</v>
      </c>
      <c r="AS51" s="68">
        <f t="shared" si="105"/>
        <v>11911</v>
      </c>
      <c r="AT51" s="68">
        <f t="shared" si="105"/>
        <v>16127</v>
      </c>
      <c r="AU51" s="68">
        <f t="shared" ref="AU51:BQ51" si="106">AU49+AU50</f>
        <v>25918</v>
      </c>
      <c r="AV51" s="68">
        <f t="shared" si="106"/>
        <v>13135</v>
      </c>
      <c r="AW51" s="68">
        <f t="shared" si="106"/>
        <v>13137</v>
      </c>
      <c r="AX51" s="68">
        <f t="shared" si="106"/>
        <v>14901</v>
      </c>
      <c r="AY51" s="68">
        <f t="shared" si="106"/>
        <v>33579</v>
      </c>
      <c r="AZ51" s="68">
        <f t="shared" si="106"/>
        <v>28011</v>
      </c>
      <c r="BA51" s="68">
        <f t="shared" si="106"/>
        <v>24369</v>
      </c>
      <c r="BB51" s="68">
        <f t="shared" si="106"/>
        <v>23248</v>
      </c>
      <c r="BC51" s="68">
        <f t="shared" si="106"/>
        <v>41241</v>
      </c>
      <c r="BD51" s="68">
        <f t="shared" si="106"/>
        <v>30139</v>
      </c>
      <c r="BE51" s="68">
        <f t="shared" si="106"/>
        <v>23066</v>
      </c>
      <c r="BF51" s="68">
        <f t="shared" si="106"/>
        <v>24757</v>
      </c>
      <c r="BG51" s="68">
        <f t="shared" si="106"/>
        <v>35623</v>
      </c>
      <c r="BH51" s="68">
        <f t="shared" si="106"/>
        <v>28382</v>
      </c>
      <c r="BI51" s="68">
        <f t="shared" si="106"/>
        <v>22733</v>
      </c>
      <c r="BJ51" s="68">
        <f t="shared" si="106"/>
        <v>26998</v>
      </c>
      <c r="BK51" s="68">
        <f t="shared" si="106"/>
        <v>40323</v>
      </c>
      <c r="BL51" s="68">
        <f t="shared" si="106"/>
        <v>28058</v>
      </c>
      <c r="BM51" s="68">
        <f t="shared" si="106"/>
        <v>25494</v>
      </c>
      <c r="BN51" s="68">
        <f t="shared" si="106"/>
        <v>29610</v>
      </c>
      <c r="BO51" s="68">
        <f t="shared" si="106"/>
        <v>42584</v>
      </c>
      <c r="BP51" s="68">
        <f t="shared" si="106"/>
        <v>29310</v>
      </c>
      <c r="BQ51" s="68">
        <f t="shared" si="106"/>
        <v>28031</v>
      </c>
      <c r="BR51" s="68">
        <f>BR49+BR50</f>
        <v>32986</v>
      </c>
      <c r="CA51" s="68">
        <f t="shared" si="76"/>
        <v>12066</v>
      </c>
      <c r="CB51" s="68">
        <f t="shared" si="77"/>
        <v>18540</v>
      </c>
      <c r="CC51" s="68">
        <f t="shared" si="78"/>
        <v>34205</v>
      </c>
      <c r="CD51" s="68">
        <f t="shared" si="79"/>
        <v>55763</v>
      </c>
      <c r="CE51" s="68">
        <f t="shared" si="80"/>
        <v>50155</v>
      </c>
      <c r="CF51" s="68">
        <f t="shared" si="81"/>
        <v>53483</v>
      </c>
      <c r="CG51" s="68">
        <f t="shared" si="82"/>
        <v>72515</v>
      </c>
      <c r="CH51" s="68">
        <f t="shared" si="83"/>
        <v>61372</v>
      </c>
      <c r="CI51" s="68">
        <f t="shared" si="84"/>
        <v>64089</v>
      </c>
      <c r="CJ51" s="68">
        <f t="shared" si="85"/>
        <v>72903</v>
      </c>
      <c r="CK51" s="68">
        <f t="shared" si="86"/>
        <v>65737</v>
      </c>
      <c r="CL51" s="68">
        <f t="shared" si="87"/>
        <v>67091</v>
      </c>
      <c r="CM51" s="68">
        <f t="shared" si="88"/>
        <v>109207</v>
      </c>
      <c r="CN51" s="68">
        <f t="shared" si="89"/>
        <v>119203</v>
      </c>
      <c r="CO51" s="68">
        <f t="shared" si="91"/>
        <v>113736</v>
      </c>
      <c r="CP51" s="68">
        <f t="shared" si="92"/>
        <v>123485</v>
      </c>
      <c r="CQ51" s="68">
        <f t="shared" si="93"/>
        <v>132911</v>
      </c>
      <c r="CR51" s="74">
        <f>CR49+CR50</f>
        <v>152597.19661309884</v>
      </c>
      <c r="CS51" s="74">
        <f t="shared" ref="CS51:DA51" si="107">CS49+CS50</f>
        <v>189464.50567352568</v>
      </c>
      <c r="CT51" s="74">
        <f t="shared" si="107"/>
        <v>231867.81419053418</v>
      </c>
      <c r="CU51" s="74">
        <f t="shared" si="107"/>
        <v>287997.67830948369</v>
      </c>
      <c r="CV51" s="74">
        <f t="shared" si="107"/>
        <v>353251.02089349239</v>
      </c>
      <c r="CW51" s="74">
        <f t="shared" si="107"/>
        <v>426632.15542909584</v>
      </c>
      <c r="CX51" s="74">
        <f t="shared" si="107"/>
        <v>509701.5811385595</v>
      </c>
      <c r="CY51" s="74">
        <f t="shared" si="107"/>
        <v>605864.15003244672</v>
      </c>
      <c r="CZ51" s="74">
        <f t="shared" si="107"/>
        <v>716361.7297742886</v>
      </c>
      <c r="DA51" s="74">
        <f t="shared" si="107"/>
        <v>842712.75382153958</v>
      </c>
    </row>
    <row r="52" spans="2:156">
      <c r="B52" s="1" t="s">
        <v>1532</v>
      </c>
      <c r="C52" s="68">
        <v>1380</v>
      </c>
      <c r="D52" s="68">
        <v>766</v>
      </c>
      <c r="E52" s="68">
        <v>864</v>
      </c>
      <c r="F52" s="68">
        <v>821</v>
      </c>
      <c r="G52" s="68">
        <v>1380</v>
      </c>
      <c r="H52" s="68">
        <v>955</v>
      </c>
      <c r="I52" s="68">
        <v>1039</v>
      </c>
      <c r="J52" s="68">
        <v>1153</v>
      </c>
      <c r="K52" s="68">
        <v>1959</v>
      </c>
      <c r="L52" s="68">
        <v>1913</v>
      </c>
      <c r="M52" s="68">
        <v>2243</v>
      </c>
      <c r="N52" s="68">
        <v>2168</v>
      </c>
      <c r="O52" s="68">
        <v>4413</v>
      </c>
      <c r="P52" s="68">
        <v>3910</v>
      </c>
      <c r="Q52" s="68">
        <v>3037</v>
      </c>
      <c r="R52" s="68">
        <v>2670</v>
      </c>
      <c r="S52" s="68">
        <v>4594</v>
      </c>
      <c r="T52" s="68">
        <v>3358</v>
      </c>
      <c r="U52" s="68">
        <v>2535</v>
      </c>
      <c r="V52" s="68">
        <v>2631</v>
      </c>
      <c r="W52" s="68">
        <v>4637</v>
      </c>
      <c r="X52" s="68">
        <v>3595</v>
      </c>
      <c r="Y52" s="68">
        <v>2736</v>
      </c>
      <c r="Z52" s="68">
        <v>3005</v>
      </c>
      <c r="AA52" s="68">
        <v>6392</v>
      </c>
      <c r="AB52" s="68">
        <v>4995</v>
      </c>
      <c r="AC52" s="68">
        <v>3796</v>
      </c>
      <c r="AD52" s="68">
        <v>3938</v>
      </c>
      <c r="AE52" s="68">
        <v>6212</v>
      </c>
      <c r="AF52" s="68">
        <v>3626</v>
      </c>
      <c r="AG52" s="68">
        <v>2673</v>
      </c>
      <c r="AH52" s="68">
        <v>3174</v>
      </c>
      <c r="AI52" s="68">
        <v>6289</v>
      </c>
      <c r="AJ52" s="68">
        <v>3655</v>
      </c>
      <c r="AK52" s="68">
        <v>2591</v>
      </c>
      <c r="AL52" s="68">
        <v>3203</v>
      </c>
      <c r="AM52" s="68">
        <v>6965</v>
      </c>
      <c r="AN52" s="68">
        <v>2346</v>
      </c>
      <c r="AO52" s="68">
        <v>1765</v>
      </c>
      <c r="AP52" s="68">
        <v>2296</v>
      </c>
      <c r="AQ52" s="68">
        <v>3941</v>
      </c>
      <c r="AR52" s="68">
        <v>2232</v>
      </c>
      <c r="AS52" s="68">
        <v>1867</v>
      </c>
      <c r="AT52" s="68">
        <v>2441</v>
      </c>
      <c r="AU52" s="68">
        <v>3682</v>
      </c>
      <c r="AV52" s="68">
        <v>1886</v>
      </c>
      <c r="AW52" s="68">
        <v>1884</v>
      </c>
      <c r="AX52" s="68">
        <v>2228</v>
      </c>
      <c r="AY52" s="68">
        <v>4824</v>
      </c>
      <c r="AZ52" s="68">
        <v>4381</v>
      </c>
      <c r="BA52" s="68">
        <v>2625</v>
      </c>
      <c r="BB52" s="68">
        <v>2697</v>
      </c>
      <c r="BC52" s="68">
        <v>6611</v>
      </c>
      <c r="BD52" s="68">
        <v>5129</v>
      </c>
      <c r="BE52" s="68">
        <v>3624</v>
      </c>
      <c r="BF52" s="68">
        <v>3936</v>
      </c>
      <c r="BG52" s="68">
        <v>5625</v>
      </c>
      <c r="BH52" s="68">
        <v>4222</v>
      </c>
      <c r="BI52" s="68">
        <v>2852</v>
      </c>
      <c r="BJ52" s="68">
        <v>4042</v>
      </c>
      <c r="BK52" s="68">
        <v>6407</v>
      </c>
      <c r="BL52" s="68">
        <v>4422</v>
      </c>
      <c r="BM52" s="68">
        <v>4046</v>
      </c>
      <c r="BN52" s="68">
        <v>14874</v>
      </c>
      <c r="BO52" s="68">
        <v>6254</v>
      </c>
      <c r="BP52" s="68">
        <v>4530</v>
      </c>
      <c r="BQ52" s="68">
        <v>4597</v>
      </c>
      <c r="BR52" s="68">
        <v>5338</v>
      </c>
      <c r="CA52" s="68">
        <f t="shared" si="76"/>
        <v>3831</v>
      </c>
      <c r="CB52" s="68">
        <f t="shared" si="77"/>
        <v>4527</v>
      </c>
      <c r="CC52" s="68">
        <f t="shared" si="78"/>
        <v>8283</v>
      </c>
      <c r="CD52" s="68">
        <f t="shared" si="79"/>
        <v>14030</v>
      </c>
      <c r="CE52" s="68">
        <f t="shared" si="80"/>
        <v>13118</v>
      </c>
      <c r="CF52" s="68">
        <f t="shared" si="81"/>
        <v>13973</v>
      </c>
      <c r="CG52" s="68">
        <f t="shared" si="82"/>
        <v>19121</v>
      </c>
      <c r="CH52" s="68">
        <f t="shared" si="83"/>
        <v>15685</v>
      </c>
      <c r="CI52" s="68">
        <f t="shared" si="84"/>
        <v>15738</v>
      </c>
      <c r="CJ52" s="68">
        <f t="shared" si="85"/>
        <v>13372</v>
      </c>
      <c r="CK52" s="68">
        <f t="shared" si="86"/>
        <v>10481</v>
      </c>
      <c r="CL52" s="68">
        <f t="shared" si="87"/>
        <v>9680</v>
      </c>
      <c r="CM52" s="68">
        <f t="shared" si="88"/>
        <v>14527</v>
      </c>
      <c r="CN52" s="68">
        <f t="shared" si="89"/>
        <v>19300</v>
      </c>
      <c r="CO52" s="68">
        <f t="shared" si="91"/>
        <v>16741</v>
      </c>
      <c r="CP52" s="68">
        <f t="shared" si="92"/>
        <v>29749</v>
      </c>
      <c r="CQ52" s="68">
        <f t="shared" si="93"/>
        <v>20719</v>
      </c>
      <c r="CR52" s="74">
        <f>CR51*CR61</f>
        <v>27467.495390357792</v>
      </c>
      <c r="CS52" s="74">
        <f t="shared" ref="CS52:DA52" si="108">CS51*CS61</f>
        <v>34103.611021234625</v>
      </c>
      <c r="CT52" s="74">
        <f t="shared" si="108"/>
        <v>41736.20655429615</v>
      </c>
      <c r="CU52" s="74">
        <f t="shared" si="108"/>
        <v>51839.582095707061</v>
      </c>
      <c r="CV52" s="74">
        <f t="shared" si="108"/>
        <v>63585.18376082863</v>
      </c>
      <c r="CW52" s="74">
        <f t="shared" si="108"/>
        <v>76793.787977237254</v>
      </c>
      <c r="CX52" s="74">
        <f t="shared" si="108"/>
        <v>91746.284604940709</v>
      </c>
      <c r="CY52" s="74">
        <f t="shared" si="108"/>
        <v>109055.5470058404</v>
      </c>
      <c r="CZ52" s="74">
        <f t="shared" si="108"/>
        <v>128945.11135937195</v>
      </c>
      <c r="DA52" s="74">
        <f t="shared" si="108"/>
        <v>151688.29568787711</v>
      </c>
    </row>
    <row r="53" spans="2:156" s="2" customFormat="1" ht="15">
      <c r="B53" s="2" t="s">
        <v>136</v>
      </c>
      <c r="C53" s="69">
        <f t="shared" ref="C53:AT53" si="109">C51-C52</f>
        <v>3378</v>
      </c>
      <c r="D53" s="69">
        <f t="shared" si="109"/>
        <v>1620</v>
      </c>
      <c r="E53" s="69">
        <f t="shared" si="109"/>
        <v>1828</v>
      </c>
      <c r="F53" s="69">
        <f t="shared" si="109"/>
        <v>1409</v>
      </c>
      <c r="G53" s="69">
        <f t="shared" si="109"/>
        <v>3378</v>
      </c>
      <c r="H53" s="69">
        <f t="shared" si="109"/>
        <v>3074</v>
      </c>
      <c r="I53" s="69">
        <f t="shared" si="109"/>
        <v>3253</v>
      </c>
      <c r="J53" s="69">
        <f t="shared" si="109"/>
        <v>4308</v>
      </c>
      <c r="K53" s="69">
        <f t="shared" si="109"/>
        <v>6004</v>
      </c>
      <c r="L53" s="69">
        <f t="shared" si="109"/>
        <v>5987</v>
      </c>
      <c r="M53" s="69">
        <f t="shared" si="109"/>
        <v>7308</v>
      </c>
      <c r="N53" s="69">
        <f t="shared" si="109"/>
        <v>6623</v>
      </c>
      <c r="O53" s="69">
        <f t="shared" si="109"/>
        <v>13064</v>
      </c>
      <c r="P53" s="69">
        <f t="shared" si="109"/>
        <v>11622</v>
      </c>
      <c r="Q53" s="69">
        <f t="shared" si="109"/>
        <v>8824</v>
      </c>
      <c r="R53" s="69">
        <f t="shared" si="109"/>
        <v>8223</v>
      </c>
      <c r="S53" s="69">
        <f t="shared" si="109"/>
        <v>13078</v>
      </c>
      <c r="T53" s="69">
        <f t="shared" si="109"/>
        <v>9547</v>
      </c>
      <c r="U53" s="69">
        <f t="shared" si="109"/>
        <v>6900</v>
      </c>
      <c r="V53" s="69">
        <f t="shared" si="109"/>
        <v>7512</v>
      </c>
      <c r="W53" s="69">
        <f t="shared" si="109"/>
        <v>13072</v>
      </c>
      <c r="X53" s="69">
        <f t="shared" si="109"/>
        <v>10223</v>
      </c>
      <c r="Y53" s="69">
        <f t="shared" si="109"/>
        <v>7748</v>
      </c>
      <c r="Z53" s="69">
        <f t="shared" si="109"/>
        <v>8467</v>
      </c>
      <c r="AA53" s="69">
        <f t="shared" si="109"/>
        <v>18024</v>
      </c>
      <c r="AB53" s="69">
        <f t="shared" si="109"/>
        <v>13569</v>
      </c>
      <c r="AC53" s="69">
        <f t="shared" si="109"/>
        <v>10677</v>
      </c>
      <c r="AD53" s="69">
        <f t="shared" si="109"/>
        <v>11124</v>
      </c>
      <c r="AE53" s="69">
        <f t="shared" si="109"/>
        <v>18361</v>
      </c>
      <c r="AF53" s="69">
        <f t="shared" si="109"/>
        <v>10516</v>
      </c>
      <c r="AG53" s="69">
        <f t="shared" si="109"/>
        <v>7796</v>
      </c>
      <c r="AH53" s="69">
        <f t="shared" si="109"/>
        <v>9014</v>
      </c>
      <c r="AI53" s="69">
        <f t="shared" si="109"/>
        <v>17891</v>
      </c>
      <c r="AJ53" s="69">
        <f t="shared" si="109"/>
        <v>11029</v>
      </c>
      <c r="AK53" s="69">
        <f t="shared" si="109"/>
        <v>8717</v>
      </c>
      <c r="AL53" s="69">
        <f t="shared" si="109"/>
        <v>10714</v>
      </c>
      <c r="AM53" s="69">
        <f t="shared" si="109"/>
        <v>20065</v>
      </c>
      <c r="AN53" s="69">
        <f t="shared" si="109"/>
        <v>13822</v>
      </c>
      <c r="AO53" s="69">
        <f t="shared" si="109"/>
        <v>11519</v>
      </c>
      <c r="AP53" s="69">
        <f t="shared" si="109"/>
        <v>14125</v>
      </c>
      <c r="AQ53" s="69">
        <f t="shared" si="109"/>
        <v>19965</v>
      </c>
      <c r="AR53" s="69">
        <f t="shared" si="109"/>
        <v>11561</v>
      </c>
      <c r="AS53" s="69">
        <f t="shared" si="109"/>
        <v>10044</v>
      </c>
      <c r="AT53" s="69">
        <f t="shared" si="109"/>
        <v>13686</v>
      </c>
      <c r="AU53" s="69">
        <f t="shared" ref="AU53:BQ53" si="110">AU51-AU52</f>
        <v>22236</v>
      </c>
      <c r="AV53" s="69">
        <f t="shared" si="110"/>
        <v>11249</v>
      </c>
      <c r="AW53" s="69">
        <f t="shared" si="110"/>
        <v>11253</v>
      </c>
      <c r="AX53" s="69">
        <f t="shared" si="110"/>
        <v>12673</v>
      </c>
      <c r="AY53" s="69">
        <f t="shared" si="110"/>
        <v>28755</v>
      </c>
      <c r="AZ53" s="69">
        <f t="shared" si="110"/>
        <v>23630</v>
      </c>
      <c r="BA53" s="69">
        <f t="shared" si="110"/>
        <v>21744</v>
      </c>
      <c r="BB53" s="69">
        <f t="shared" si="110"/>
        <v>20551</v>
      </c>
      <c r="BC53" s="69">
        <f t="shared" si="110"/>
        <v>34630</v>
      </c>
      <c r="BD53" s="69">
        <f t="shared" si="110"/>
        <v>25010</v>
      </c>
      <c r="BE53" s="69">
        <f t="shared" si="110"/>
        <v>19442</v>
      </c>
      <c r="BF53" s="69">
        <f t="shared" si="110"/>
        <v>20821</v>
      </c>
      <c r="BG53" s="69">
        <f t="shared" si="110"/>
        <v>29998</v>
      </c>
      <c r="BH53" s="69">
        <f t="shared" si="110"/>
        <v>24160</v>
      </c>
      <c r="BI53" s="69">
        <f t="shared" si="110"/>
        <v>19881</v>
      </c>
      <c r="BJ53" s="69">
        <f t="shared" si="110"/>
        <v>22956</v>
      </c>
      <c r="BK53" s="69">
        <f t="shared" si="110"/>
        <v>33916</v>
      </c>
      <c r="BL53" s="69">
        <f t="shared" si="110"/>
        <v>23636</v>
      </c>
      <c r="BM53" s="69">
        <f t="shared" si="110"/>
        <v>21448</v>
      </c>
      <c r="BN53" s="69">
        <f t="shared" si="110"/>
        <v>14736</v>
      </c>
      <c r="BO53" s="69">
        <f t="shared" si="110"/>
        <v>36330</v>
      </c>
      <c r="BP53" s="69">
        <f t="shared" si="110"/>
        <v>24780</v>
      </c>
      <c r="BQ53" s="69">
        <f t="shared" si="110"/>
        <v>23434</v>
      </c>
      <c r="BR53" s="69">
        <f>BR51-BR52</f>
        <v>27648</v>
      </c>
      <c r="BS53" s="34"/>
      <c r="BT53" s="34"/>
      <c r="BU53" s="34"/>
      <c r="BV53" s="34"/>
      <c r="CA53" s="69">
        <f t="shared" si="76"/>
        <v>8235</v>
      </c>
      <c r="CB53" s="69">
        <f t="shared" si="77"/>
        <v>14013</v>
      </c>
      <c r="CC53" s="69">
        <f t="shared" si="78"/>
        <v>25922</v>
      </c>
      <c r="CD53" s="69">
        <f t="shared" si="79"/>
        <v>41733</v>
      </c>
      <c r="CE53" s="69">
        <f t="shared" si="80"/>
        <v>37037</v>
      </c>
      <c r="CF53" s="69">
        <f t="shared" si="81"/>
        <v>39510</v>
      </c>
      <c r="CG53" s="69">
        <f t="shared" si="82"/>
        <v>53394</v>
      </c>
      <c r="CH53" s="69">
        <f t="shared" si="83"/>
        <v>45687</v>
      </c>
      <c r="CI53" s="69">
        <f t="shared" si="84"/>
        <v>48351</v>
      </c>
      <c r="CJ53" s="69">
        <f t="shared" si="85"/>
        <v>59531</v>
      </c>
      <c r="CK53" s="69">
        <f t="shared" si="86"/>
        <v>55256</v>
      </c>
      <c r="CL53" s="69">
        <f t="shared" si="87"/>
        <v>57411</v>
      </c>
      <c r="CM53" s="69">
        <f t="shared" si="88"/>
        <v>94680</v>
      </c>
      <c r="CN53" s="69">
        <f t="shared" si="89"/>
        <v>99903</v>
      </c>
      <c r="CO53" s="69">
        <f t="shared" si="91"/>
        <v>96995</v>
      </c>
      <c r="CP53" s="69">
        <f t="shared" si="92"/>
        <v>93736</v>
      </c>
      <c r="CQ53" s="69">
        <f t="shared" si="93"/>
        <v>112192</v>
      </c>
      <c r="CR53" s="75">
        <f>CR51-CR52</f>
        <v>125129.70122274105</v>
      </c>
      <c r="CS53" s="75">
        <f t="shared" ref="CS53:DA53" si="111">CS51-CS52</f>
        <v>155360.89465229106</v>
      </c>
      <c r="CT53" s="75">
        <f t="shared" si="111"/>
        <v>190131.60763623804</v>
      </c>
      <c r="CU53" s="75">
        <f t="shared" si="111"/>
        <v>236158.09621377662</v>
      </c>
      <c r="CV53" s="75">
        <f t="shared" si="111"/>
        <v>289665.83713266376</v>
      </c>
      <c r="CW53" s="75">
        <f t="shared" si="111"/>
        <v>349838.36745185859</v>
      </c>
      <c r="CX53" s="75">
        <f t="shared" si="111"/>
        <v>417955.29653361882</v>
      </c>
      <c r="CY53" s="75">
        <f t="shared" si="111"/>
        <v>496808.60302660632</v>
      </c>
      <c r="CZ53" s="75">
        <f t="shared" si="111"/>
        <v>587416.61841491668</v>
      </c>
      <c r="DA53" s="75">
        <f t="shared" si="111"/>
        <v>691024.45813366247</v>
      </c>
      <c r="DB53" s="34">
        <f>DA53*(1+DA67)</f>
        <v>704844.94729633571</v>
      </c>
      <c r="DC53" s="34">
        <f t="shared" ref="DC53:EX53" si="112">DB53*(1+DB67)</f>
        <v>704844.94729633571</v>
      </c>
      <c r="DD53" s="34">
        <f t="shared" si="112"/>
        <v>704844.94729633571</v>
      </c>
      <c r="DE53" s="34">
        <f t="shared" si="112"/>
        <v>704844.94729633571</v>
      </c>
      <c r="DF53" s="34">
        <f t="shared" si="112"/>
        <v>704844.94729633571</v>
      </c>
      <c r="DG53" s="34">
        <f t="shared" si="112"/>
        <v>704844.94729633571</v>
      </c>
      <c r="DH53" s="34">
        <f t="shared" si="112"/>
        <v>704844.94729633571</v>
      </c>
      <c r="DI53" s="34">
        <f t="shared" si="112"/>
        <v>704844.94729633571</v>
      </c>
      <c r="DJ53" s="34">
        <f t="shared" si="112"/>
        <v>704844.94729633571</v>
      </c>
      <c r="DK53" s="34">
        <f t="shared" si="112"/>
        <v>704844.94729633571</v>
      </c>
      <c r="DL53" s="34">
        <f t="shared" si="112"/>
        <v>704844.94729633571</v>
      </c>
      <c r="DM53" s="34">
        <f t="shared" si="112"/>
        <v>704844.94729633571</v>
      </c>
      <c r="DN53" s="34">
        <f t="shared" si="112"/>
        <v>704844.94729633571</v>
      </c>
      <c r="DO53" s="34">
        <f t="shared" si="112"/>
        <v>704844.94729633571</v>
      </c>
      <c r="DP53" s="34">
        <f t="shared" si="112"/>
        <v>704844.94729633571</v>
      </c>
      <c r="DQ53" s="34">
        <f t="shared" si="112"/>
        <v>704844.94729633571</v>
      </c>
      <c r="DR53" s="34">
        <f t="shared" si="112"/>
        <v>704844.94729633571</v>
      </c>
      <c r="DS53" s="34">
        <f t="shared" si="112"/>
        <v>704844.94729633571</v>
      </c>
      <c r="DT53" s="34">
        <f t="shared" si="112"/>
        <v>704844.94729633571</v>
      </c>
      <c r="DU53" s="34">
        <f t="shared" si="112"/>
        <v>704844.94729633571</v>
      </c>
      <c r="DV53" s="34">
        <f t="shared" si="112"/>
        <v>704844.94729633571</v>
      </c>
      <c r="DW53" s="34">
        <f t="shared" si="112"/>
        <v>704844.94729633571</v>
      </c>
      <c r="DX53" s="34">
        <f t="shared" si="112"/>
        <v>704844.94729633571</v>
      </c>
      <c r="DY53" s="34">
        <f t="shared" si="112"/>
        <v>704844.94729633571</v>
      </c>
      <c r="DZ53" s="34">
        <f t="shared" si="112"/>
        <v>704844.94729633571</v>
      </c>
      <c r="EA53" s="34">
        <f t="shared" si="112"/>
        <v>704844.94729633571</v>
      </c>
      <c r="EB53" s="34">
        <f t="shared" si="112"/>
        <v>704844.94729633571</v>
      </c>
      <c r="EC53" s="34">
        <f t="shared" si="112"/>
        <v>704844.94729633571</v>
      </c>
      <c r="ED53" s="34">
        <f t="shared" si="112"/>
        <v>704844.94729633571</v>
      </c>
      <c r="EE53" s="34">
        <f t="shared" si="112"/>
        <v>704844.94729633571</v>
      </c>
      <c r="EF53" s="34">
        <f t="shared" si="112"/>
        <v>704844.94729633571</v>
      </c>
      <c r="EG53" s="34">
        <f t="shared" si="112"/>
        <v>704844.94729633571</v>
      </c>
      <c r="EH53" s="34">
        <f t="shared" si="112"/>
        <v>704844.94729633571</v>
      </c>
      <c r="EI53" s="34">
        <f t="shared" si="112"/>
        <v>704844.94729633571</v>
      </c>
      <c r="EJ53" s="34">
        <f t="shared" si="112"/>
        <v>704844.94729633571</v>
      </c>
      <c r="EK53" s="34">
        <f t="shared" si="112"/>
        <v>704844.94729633571</v>
      </c>
      <c r="EL53" s="34">
        <f t="shared" si="112"/>
        <v>704844.94729633571</v>
      </c>
      <c r="EM53" s="34">
        <f t="shared" si="112"/>
        <v>704844.94729633571</v>
      </c>
      <c r="EN53" s="34">
        <f t="shared" si="112"/>
        <v>704844.94729633571</v>
      </c>
      <c r="EO53" s="34">
        <f t="shared" si="112"/>
        <v>704844.94729633571</v>
      </c>
      <c r="EP53" s="34">
        <f t="shared" si="112"/>
        <v>704844.94729633571</v>
      </c>
      <c r="EQ53" s="34">
        <f t="shared" si="112"/>
        <v>704844.94729633571</v>
      </c>
      <c r="ER53" s="34">
        <f t="shared" si="112"/>
        <v>704844.94729633571</v>
      </c>
      <c r="ES53" s="34">
        <f t="shared" si="112"/>
        <v>704844.94729633571</v>
      </c>
      <c r="ET53" s="34">
        <f t="shared" si="112"/>
        <v>704844.94729633571</v>
      </c>
      <c r="EU53" s="34">
        <f t="shared" si="112"/>
        <v>704844.94729633571</v>
      </c>
      <c r="EV53" s="34">
        <f t="shared" si="112"/>
        <v>704844.94729633571</v>
      </c>
      <c r="EW53" s="34">
        <f t="shared" si="112"/>
        <v>704844.94729633571</v>
      </c>
      <c r="EX53" s="34">
        <f t="shared" si="112"/>
        <v>704844.94729633571</v>
      </c>
      <c r="EY53" s="34"/>
      <c r="EZ53" s="34"/>
    </row>
    <row r="54" spans="2:156">
      <c r="B54" s="1" t="s">
        <v>140</v>
      </c>
      <c r="C54" s="1">
        <v>24974</v>
      </c>
      <c r="D54" s="1">
        <v>25081</v>
      </c>
      <c r="E54" s="1">
        <v>25195</v>
      </c>
      <c r="F54" s="1">
        <v>25376</v>
      </c>
      <c r="G54" s="1">
        <v>25470</v>
      </c>
      <c r="H54" s="1">
        <v>25578</v>
      </c>
      <c r="I54" s="1">
        <v>25647</v>
      </c>
      <c r="J54" s="1">
        <v>25789</v>
      </c>
      <c r="K54" s="1">
        <v>25740</v>
      </c>
      <c r="L54" s="1">
        <v>25849</v>
      </c>
      <c r="M54" s="1">
        <v>25931</v>
      </c>
      <c r="N54" s="1">
        <v>25879</v>
      </c>
      <c r="O54" s="1">
        <v>26069</v>
      </c>
      <c r="P54" s="1">
        <v>26140</v>
      </c>
      <c r="Q54" s="1">
        <v>26225</v>
      </c>
      <c r="R54" s="1">
        <v>26175</v>
      </c>
      <c r="S54" s="1">
        <v>26290</v>
      </c>
      <c r="T54" s="1">
        <v>26310</v>
      </c>
      <c r="U54" s="1">
        <v>25721</v>
      </c>
      <c r="V54" s="1">
        <v>25909</v>
      </c>
      <c r="W54" s="1">
        <v>25090</v>
      </c>
      <c r="X54" s="1">
        <v>24493</v>
      </c>
      <c r="Y54" s="1">
        <v>24051</v>
      </c>
      <c r="Z54" s="1">
        <v>24342</v>
      </c>
      <c r="AA54" s="1">
        <v>23372</v>
      </c>
      <c r="AB54" s="1">
        <v>23175</v>
      </c>
      <c r="AC54" s="1">
        <v>22920</v>
      </c>
      <c r="AD54" s="1">
        <v>23014</v>
      </c>
      <c r="AE54" s="1">
        <v>22236</v>
      </c>
      <c r="AF54" s="1">
        <v>22058</v>
      </c>
      <c r="AG54" s="1">
        <v>21772</v>
      </c>
      <c r="AH54" s="1">
        <v>21883</v>
      </c>
      <c r="AI54" s="1">
        <v>21195</v>
      </c>
      <c r="AJ54" s="1">
        <v>20903</v>
      </c>
      <c r="AK54" s="1">
        <v>20780</v>
      </c>
      <c r="AL54" s="1">
        <v>20869</v>
      </c>
      <c r="AM54" s="1">
        <v>20452</v>
      </c>
      <c r="AN54" s="1">
        <v>20100</v>
      </c>
      <c r="AO54" s="1">
        <v>19529</v>
      </c>
      <c r="AP54" s="1">
        <v>19822</v>
      </c>
      <c r="AQ54" s="1">
        <v>18943</v>
      </c>
      <c r="AR54" s="1">
        <v>18696</v>
      </c>
      <c r="AS54" s="1">
        <v>18283</v>
      </c>
      <c r="AT54" s="1">
        <v>18471</v>
      </c>
      <c r="AU54" s="68">
        <v>17660</v>
      </c>
      <c r="AV54" s="68">
        <v>17440</v>
      </c>
      <c r="AW54" s="68">
        <v>17250</v>
      </c>
      <c r="AX54" s="68">
        <v>17352</v>
      </c>
      <c r="AY54" s="68">
        <v>16935</v>
      </c>
      <c r="AZ54" s="68">
        <v>16753</v>
      </c>
      <c r="BA54" s="68">
        <v>16629</v>
      </c>
      <c r="BB54" s="68">
        <v>16701</v>
      </c>
      <c r="BC54" s="68">
        <v>16392</v>
      </c>
      <c r="BD54" s="68">
        <v>16279</v>
      </c>
      <c r="BE54" s="68">
        <v>16163</v>
      </c>
      <c r="BF54" s="68">
        <v>16216</v>
      </c>
      <c r="BG54" s="68">
        <v>15893</v>
      </c>
      <c r="BH54" s="68">
        <v>15787</v>
      </c>
      <c r="BI54" s="68">
        <v>15698</v>
      </c>
      <c r="BJ54" s="68">
        <v>15744</v>
      </c>
      <c r="BK54" s="68">
        <v>15510</v>
      </c>
      <c r="BL54" s="68">
        <v>15406</v>
      </c>
      <c r="BM54" s="68">
        <v>15288</v>
      </c>
      <c r="BN54" s="68">
        <v>15343</v>
      </c>
      <c r="BO54" s="68">
        <v>15082</v>
      </c>
      <c r="BP54" s="68">
        <v>14994</v>
      </c>
      <c r="BQ54" s="68">
        <v>14903</v>
      </c>
      <c r="BR54" s="68">
        <v>14949</v>
      </c>
      <c r="CA54" s="68">
        <f>AVERAGE(C54:F54)</f>
        <v>25156.5</v>
      </c>
      <c r="CB54" s="68">
        <f>AVERAGE(G54:J54)</f>
        <v>25621</v>
      </c>
      <c r="CC54" s="68">
        <f>AVERAGE(K54:N54)</f>
        <v>25849.75</v>
      </c>
      <c r="CD54" s="68">
        <f>AVERAGE(O54:R54)</f>
        <v>26152.25</v>
      </c>
      <c r="CE54" s="68">
        <f>AVERAGE(S54:V54)</f>
        <v>26057.5</v>
      </c>
      <c r="CF54" s="68">
        <f>AVERAGE(W54:Z54)</f>
        <v>24494</v>
      </c>
      <c r="CG54" s="68">
        <f>AVERAGE(AA54:AD54)</f>
        <v>23120.25</v>
      </c>
      <c r="CH54" s="68">
        <f>AVERAGE(AE54:AH54)</f>
        <v>21987.25</v>
      </c>
      <c r="CI54" s="68">
        <f>AVERAGE(AI54:AL54)</f>
        <v>20936.75</v>
      </c>
      <c r="CJ54" s="68">
        <f>AVERAGE(AM54:AP54)</f>
        <v>19975.75</v>
      </c>
      <c r="CK54" s="68">
        <f>AVERAGE(AQ54:AT54)</f>
        <v>18598.25</v>
      </c>
      <c r="CL54" s="68">
        <f>AVERAGE(AU54:AX54)</f>
        <v>17425.5</v>
      </c>
      <c r="CM54" s="68">
        <f>AVERAGE(AY54:BB54)</f>
        <v>16754.5</v>
      </c>
      <c r="CN54" s="68">
        <f>AVERAGE(BC54:BF54)</f>
        <v>16262.5</v>
      </c>
      <c r="CO54" s="68">
        <f>AVERAGE(BG54:BJ54)</f>
        <v>15780.5</v>
      </c>
      <c r="CP54" s="68">
        <f>AVERAGE(BK54:BN54)</f>
        <v>15386.75</v>
      </c>
      <c r="CQ54" s="68">
        <f t="shared" si="93"/>
        <v>59928</v>
      </c>
    </row>
    <row r="55" spans="2:156">
      <c r="B55" s="1" t="s">
        <v>1533</v>
      </c>
      <c r="C55" s="39">
        <f t="shared" ref="C55:AT55" si="113">C53/C54</f>
        <v>0.13526067109794185</v>
      </c>
      <c r="D55" s="39">
        <f t="shared" si="113"/>
        <v>6.4590726047605754E-2</v>
      </c>
      <c r="E55" s="39">
        <f t="shared" si="113"/>
        <v>7.2554078190117083E-2</v>
      </c>
      <c r="F55" s="39">
        <f t="shared" si="113"/>
        <v>5.5524905422446404E-2</v>
      </c>
      <c r="G55" s="39">
        <f t="shared" si="113"/>
        <v>0.13262661955241462</v>
      </c>
      <c r="H55" s="39">
        <f t="shared" si="113"/>
        <v>0.12018140589569161</v>
      </c>
      <c r="I55" s="39">
        <f t="shared" si="113"/>
        <v>0.12683744687487816</v>
      </c>
      <c r="J55" s="39">
        <f t="shared" si="113"/>
        <v>0.16704796618713405</v>
      </c>
      <c r="K55" s="39">
        <f t="shared" si="113"/>
        <v>0.23325563325563325</v>
      </c>
      <c r="L55" s="39">
        <f t="shared" si="113"/>
        <v>0.2316143757979032</v>
      </c>
      <c r="M55" s="39">
        <f t="shared" si="113"/>
        <v>0.28182484285218462</v>
      </c>
      <c r="N55" s="39">
        <f t="shared" si="113"/>
        <v>0.25592178986823294</v>
      </c>
      <c r="O55" s="39">
        <f t="shared" si="113"/>
        <v>0.5011316122597721</v>
      </c>
      <c r="P55" s="39">
        <f t="shared" si="113"/>
        <v>0.44460596786534046</v>
      </c>
      <c r="Q55" s="39">
        <f t="shared" si="113"/>
        <v>0.33647283126787414</v>
      </c>
      <c r="R55" s="39">
        <f t="shared" si="113"/>
        <v>0.3141547277936963</v>
      </c>
      <c r="S55" s="39">
        <f t="shared" si="113"/>
        <v>0.49745150247242298</v>
      </c>
      <c r="T55" s="39">
        <f t="shared" si="113"/>
        <v>0.36286583048270621</v>
      </c>
      <c r="U55" s="39">
        <f t="shared" si="113"/>
        <v>0.26826328680844447</v>
      </c>
      <c r="V55" s="39">
        <f t="shared" si="113"/>
        <v>0.28993785943108574</v>
      </c>
      <c r="W55" s="39">
        <f t="shared" si="113"/>
        <v>0.52100438421681949</v>
      </c>
      <c r="X55" s="39">
        <f t="shared" si="113"/>
        <v>0.41738455885354997</v>
      </c>
      <c r="Y55" s="39">
        <f t="shared" si="113"/>
        <v>0.32214876720302688</v>
      </c>
      <c r="Z55" s="39">
        <f t="shared" si="113"/>
        <v>0.34783501766494124</v>
      </c>
      <c r="AA55" s="39">
        <f t="shared" si="113"/>
        <v>0.7711791887728906</v>
      </c>
      <c r="AB55" s="39">
        <f t="shared" si="113"/>
        <v>0.5855016181229773</v>
      </c>
      <c r="AC55" s="39">
        <f t="shared" si="113"/>
        <v>0.46583769633507854</v>
      </c>
      <c r="AD55" s="39">
        <f t="shared" si="113"/>
        <v>0.48335795602676629</v>
      </c>
      <c r="AE55" s="39">
        <f t="shared" si="113"/>
        <v>0.82573304551178273</v>
      </c>
      <c r="AF55" s="39">
        <f t="shared" si="113"/>
        <v>0.47674313174358507</v>
      </c>
      <c r="AG55" s="39">
        <f t="shared" si="113"/>
        <v>0.35807459121807828</v>
      </c>
      <c r="AH55" s="39">
        <f t="shared" si="113"/>
        <v>0.41191792715806791</v>
      </c>
      <c r="AI55" s="39">
        <f t="shared" si="113"/>
        <v>0.8441141778721396</v>
      </c>
      <c r="AJ55" s="39">
        <f t="shared" si="113"/>
        <v>0.5276276132612544</v>
      </c>
      <c r="AK55" s="39">
        <f t="shared" si="113"/>
        <v>0.41948989412897014</v>
      </c>
      <c r="AL55" s="39">
        <f t="shared" si="113"/>
        <v>0.51339307106234122</v>
      </c>
      <c r="AM55" s="39">
        <f t="shared" si="113"/>
        <v>0.98107764521807161</v>
      </c>
      <c r="AN55" s="39">
        <f t="shared" si="113"/>
        <v>0.68766169154228851</v>
      </c>
      <c r="AO55" s="39">
        <f t="shared" si="113"/>
        <v>0.58984074965436017</v>
      </c>
      <c r="AP55" s="39">
        <f t="shared" si="113"/>
        <v>0.71259206941781861</v>
      </c>
      <c r="AQ55" s="39">
        <f t="shared" si="113"/>
        <v>1.0539513276672121</v>
      </c>
      <c r="AR55" s="39">
        <f t="shared" si="113"/>
        <v>0.6183675652545999</v>
      </c>
      <c r="AS55" s="39">
        <f t="shared" si="113"/>
        <v>0.54936279604003724</v>
      </c>
      <c r="AT55" s="39">
        <f t="shared" si="113"/>
        <v>0.74094526555140494</v>
      </c>
      <c r="AU55" s="39">
        <f t="shared" ref="AU55:BQ55" si="114">AU53/AU54</f>
        <v>1.2591166477916196</v>
      </c>
      <c r="AV55" s="39">
        <f t="shared" si="114"/>
        <v>0.64501146788990826</v>
      </c>
      <c r="AW55" s="39">
        <f t="shared" si="114"/>
        <v>0.65234782608695652</v>
      </c>
      <c r="AX55" s="39">
        <f t="shared" si="114"/>
        <v>0.73034808667588746</v>
      </c>
      <c r="AY55" s="39">
        <f t="shared" si="114"/>
        <v>1.6979627989371124</v>
      </c>
      <c r="AZ55" s="39">
        <f t="shared" si="114"/>
        <v>1.4104936429296246</v>
      </c>
      <c r="BA55" s="39">
        <f t="shared" si="114"/>
        <v>1.3075951650730651</v>
      </c>
      <c r="BB55" s="39">
        <f t="shared" si="114"/>
        <v>1.2305251182563919</v>
      </c>
      <c r="BC55" s="39">
        <f t="shared" si="114"/>
        <v>2.1126159102000974</v>
      </c>
      <c r="BD55" s="39">
        <f t="shared" si="114"/>
        <v>1.5363351557220959</v>
      </c>
      <c r="BE55" s="39">
        <f t="shared" si="114"/>
        <v>1.2028707541916723</v>
      </c>
      <c r="BF55" s="39">
        <f t="shared" si="114"/>
        <v>1.2839787863838183</v>
      </c>
      <c r="BG55" s="39">
        <f t="shared" si="114"/>
        <v>1.8874976404706474</v>
      </c>
      <c r="BH55" s="39">
        <f t="shared" si="114"/>
        <v>1.5303730917843796</v>
      </c>
      <c r="BI55" s="39">
        <f t="shared" si="114"/>
        <v>1.2664670658682635</v>
      </c>
      <c r="BJ55" s="39">
        <f t="shared" si="114"/>
        <v>1.4580792682926829</v>
      </c>
      <c r="BK55" s="39">
        <f t="shared" si="114"/>
        <v>2.1867182462927142</v>
      </c>
      <c r="BL55" s="39">
        <f t="shared" si="114"/>
        <v>1.5342074516422173</v>
      </c>
      <c r="BM55" s="39">
        <f t="shared" si="114"/>
        <v>1.4029304029304028</v>
      </c>
      <c r="BN55" s="39">
        <f t="shared" si="114"/>
        <v>0.96043798474874531</v>
      </c>
      <c r="BO55" s="39">
        <f t="shared" si="114"/>
        <v>2.4088317199310438</v>
      </c>
      <c r="BP55" s="39">
        <f t="shared" si="114"/>
        <v>1.6526610644257702</v>
      </c>
      <c r="BQ55" s="39">
        <f t="shared" si="114"/>
        <v>1.5724350801851976</v>
      </c>
      <c r="BR55" s="39">
        <f>BR53/BR54</f>
        <v>1.8494882600842866</v>
      </c>
      <c r="CA55" s="39">
        <f>SUM(C55:F55)</f>
        <v>0.32793038075811115</v>
      </c>
      <c r="CB55" s="39">
        <f>SUM(G55:J55)</f>
        <v>0.54669343851011842</v>
      </c>
      <c r="CC55" s="39">
        <f>SUM(K55:N55)</f>
        <v>1.0026166417739539</v>
      </c>
      <c r="CD55" s="39">
        <f>SUM(O55:R55)</f>
        <v>1.5963651391866829</v>
      </c>
      <c r="CE55" s="39">
        <f>SUM(S55:V55)</f>
        <v>1.4185184791946595</v>
      </c>
      <c r="CF55" s="39">
        <f>SUM(W55:Z55)</f>
        <v>1.6083727279383375</v>
      </c>
      <c r="CG55" s="39">
        <f>SUM(AA55:AD55)</f>
        <v>2.3058764592577128</v>
      </c>
      <c r="CH55" s="39">
        <f>SUM(AE55:AH55)</f>
        <v>2.0724686956315139</v>
      </c>
      <c r="CI55" s="39">
        <f>SUM(AI55:AL55)</f>
        <v>2.3046247563247055</v>
      </c>
      <c r="CJ55" s="39">
        <f>SUM(AM55:AP55)</f>
        <v>2.9711721558325386</v>
      </c>
      <c r="CK55" s="39">
        <f>SUM(AQ55:AT55)</f>
        <v>2.962626954513254</v>
      </c>
      <c r="CL55" s="39">
        <f>SUM(AU55:AX55)</f>
        <v>3.2868240284443719</v>
      </c>
      <c r="CM55" s="39">
        <f>SUM(AY55:BB55)</f>
        <v>5.6465767251961942</v>
      </c>
      <c r="CN55" s="39">
        <f>SUM(BC55:BF55)</f>
        <v>6.1358006064976838</v>
      </c>
      <c r="CO55" s="39">
        <f>SUM(BG55:BJ55)</f>
        <v>6.1424170664159732</v>
      </c>
      <c r="CP55" s="39">
        <f>SUM(BK55:BN55)</f>
        <v>6.0842940856140793</v>
      </c>
      <c r="CQ55" s="39">
        <f t="shared" si="93"/>
        <v>7.4834161246262978</v>
      </c>
    </row>
    <row r="56" spans="2:156">
      <c r="C56" s="68"/>
      <c r="D56" s="68"/>
      <c r="E56" s="68"/>
      <c r="F56" s="68"/>
      <c r="G56" s="68"/>
      <c r="H56" s="68"/>
      <c r="I56" s="68"/>
      <c r="J56" s="68"/>
      <c r="K56" s="68"/>
      <c r="L56" s="68"/>
      <c r="M56" s="68"/>
      <c r="N56" s="68"/>
      <c r="O56" s="68"/>
      <c r="P56" s="68"/>
      <c r="Q56" s="68"/>
      <c r="R56" s="68"/>
      <c r="S56" s="68"/>
      <c r="T56" s="68"/>
      <c r="U56" s="68"/>
      <c r="V56" s="68"/>
      <c r="W56" s="68"/>
      <c r="X56" s="68"/>
      <c r="Y56" s="68"/>
      <c r="Z56" s="68"/>
      <c r="AA56" s="68"/>
      <c r="AB56" s="68"/>
      <c r="AC56" s="68"/>
      <c r="AD56" s="68"/>
      <c r="AE56" s="68"/>
      <c r="AF56" s="68"/>
      <c r="AG56" s="68"/>
      <c r="AH56" s="68"/>
      <c r="AI56" s="68"/>
      <c r="AJ56" s="68"/>
      <c r="AK56" s="68"/>
      <c r="AL56" s="68"/>
      <c r="AM56" s="68"/>
      <c r="AN56" s="68"/>
      <c r="AO56" s="68"/>
      <c r="AP56" s="68"/>
      <c r="AQ56" s="68"/>
      <c r="AR56" s="68"/>
      <c r="AS56" s="68"/>
      <c r="AT56" s="68"/>
      <c r="AU56" s="68"/>
      <c r="AV56" s="68"/>
      <c r="AW56" s="68"/>
      <c r="AX56" s="68"/>
      <c r="AY56" s="68"/>
      <c r="AZ56" s="68"/>
      <c r="BA56" s="68"/>
      <c r="BB56" s="68"/>
      <c r="BC56" s="68"/>
      <c r="BD56" s="68"/>
      <c r="BE56" s="68"/>
      <c r="BF56" s="68"/>
      <c r="BG56" s="68"/>
      <c r="BH56" s="68"/>
      <c r="BI56" s="68"/>
      <c r="BJ56" s="68"/>
      <c r="BK56" s="68"/>
      <c r="BL56" s="68"/>
      <c r="BM56" s="68"/>
      <c r="BN56" s="68"/>
      <c r="BO56" s="68"/>
      <c r="BP56" s="68"/>
      <c r="BQ56" s="68"/>
      <c r="BR56" s="68"/>
      <c r="CQ56" s="1"/>
    </row>
    <row r="57" spans="2:156">
      <c r="B57" s="37" t="s">
        <v>121</v>
      </c>
      <c r="C57" s="70">
        <f t="shared" ref="C57:AT57" si="115">C46/C44</f>
        <v>0.40878658419945163</v>
      </c>
      <c r="D57" s="70">
        <f t="shared" si="115"/>
        <v>0.39927344782034346</v>
      </c>
      <c r="E57" s="70">
        <f t="shared" si="115"/>
        <v>0.40918430244503801</v>
      </c>
      <c r="F57" s="70">
        <f t="shared" si="115"/>
        <v>0.38089005235602097</v>
      </c>
      <c r="G57" s="70">
        <f t="shared" si="115"/>
        <v>0.40878658419945163</v>
      </c>
      <c r="H57" s="70">
        <f t="shared" si="115"/>
        <v>0.41669753315060376</v>
      </c>
      <c r="I57" s="70">
        <f t="shared" si="115"/>
        <v>0.39082802547770701</v>
      </c>
      <c r="J57" s="70">
        <f t="shared" si="115"/>
        <v>0.36926706975372364</v>
      </c>
      <c r="K57" s="70">
        <f t="shared" si="115"/>
        <v>0.38510152948655624</v>
      </c>
      <c r="L57" s="70">
        <f t="shared" si="115"/>
        <v>0.4142376454372238</v>
      </c>
      <c r="M57" s="70">
        <f t="shared" si="115"/>
        <v>0.41727625914388716</v>
      </c>
      <c r="N57" s="70">
        <f t="shared" si="115"/>
        <v>0.40254686947293949</v>
      </c>
      <c r="O57" s="70">
        <f t="shared" si="115"/>
        <v>0.44683055273778949</v>
      </c>
      <c r="P57" s="70">
        <f t="shared" si="115"/>
        <v>0.4737406216505895</v>
      </c>
      <c r="Q57" s="70">
        <f t="shared" si="115"/>
        <v>0.42811866487736633</v>
      </c>
      <c r="R57" s="70">
        <f t="shared" si="115"/>
        <v>0.40040593894233445</v>
      </c>
      <c r="S57" s="70">
        <f t="shared" si="115"/>
        <v>0.38633695333137658</v>
      </c>
      <c r="T57" s="70">
        <f t="shared" si="115"/>
        <v>0.37495126482122787</v>
      </c>
      <c r="U57" s="70">
        <f t="shared" si="115"/>
        <v>0.36871160433711747</v>
      </c>
      <c r="V57" s="70">
        <f t="shared" si="115"/>
        <v>0.37016972672929122</v>
      </c>
      <c r="W57" s="70">
        <f t="shared" si="115"/>
        <v>0.37931034482758619</v>
      </c>
      <c r="X57" s="70">
        <f t="shared" si="115"/>
        <v>0.39317793453971872</v>
      </c>
      <c r="Y57" s="70">
        <f t="shared" si="115"/>
        <v>0.39364714682624491</v>
      </c>
      <c r="Z57" s="70">
        <f t="shared" si="115"/>
        <v>0.38005365239892697</v>
      </c>
      <c r="AA57" s="70">
        <f t="shared" si="115"/>
        <v>0.39867826646469789</v>
      </c>
      <c r="AB57" s="70">
        <f t="shared" si="115"/>
        <v>0.40779176004137219</v>
      </c>
      <c r="AC57" s="70">
        <f t="shared" si="115"/>
        <v>0.3967543594395726</v>
      </c>
      <c r="AD57" s="70">
        <f t="shared" si="115"/>
        <v>0.39898254402827127</v>
      </c>
      <c r="AE57" s="70">
        <f t="shared" si="115"/>
        <v>0.40097796288485871</v>
      </c>
      <c r="AF57" s="70">
        <f t="shared" si="115"/>
        <v>0.39403050022746605</v>
      </c>
      <c r="AG57" s="70">
        <f t="shared" si="115"/>
        <v>0.38023513858066954</v>
      </c>
      <c r="AH57" s="70">
        <f t="shared" si="115"/>
        <v>0.38019721676769402</v>
      </c>
      <c r="AI57" s="70">
        <f t="shared" si="115"/>
        <v>0.38513867085295656</v>
      </c>
      <c r="AJ57" s="70">
        <f t="shared" si="115"/>
        <v>0.38927329098608593</v>
      </c>
      <c r="AK57" s="70">
        <f t="shared" si="115"/>
        <v>0.38513037350246654</v>
      </c>
      <c r="AL57" s="70">
        <f t="shared" si="115"/>
        <v>0.37906768862093232</v>
      </c>
      <c r="AM57" s="70">
        <f t="shared" si="115"/>
        <v>0.38408480853521798</v>
      </c>
      <c r="AN57" s="70">
        <f t="shared" si="115"/>
        <v>0.38310679294044525</v>
      </c>
      <c r="AO57" s="70">
        <f t="shared" si="115"/>
        <v>0.38338496198254013</v>
      </c>
      <c r="AP57" s="70">
        <f t="shared" si="115"/>
        <v>0.38289348171701115</v>
      </c>
      <c r="AQ57" s="70">
        <f t="shared" si="115"/>
        <v>0.37991934527339583</v>
      </c>
      <c r="AR57" s="70">
        <f t="shared" si="115"/>
        <v>0.37612686374213566</v>
      </c>
      <c r="AS57" s="70">
        <f t="shared" si="115"/>
        <v>0.37590365923916075</v>
      </c>
      <c r="AT57" s="70">
        <f t="shared" si="115"/>
        <v>0.37965334166146159</v>
      </c>
      <c r="AU57" s="70">
        <f t="shared" ref="AU57:BQ57" si="116">AU46/AU44</f>
        <v>0.38354806739345887</v>
      </c>
      <c r="AV57" s="70">
        <f t="shared" si="116"/>
        <v>0.38361943305952362</v>
      </c>
      <c r="AW57" s="70">
        <f t="shared" si="116"/>
        <v>0.37999497361146017</v>
      </c>
      <c r="AX57" s="70">
        <f t="shared" si="116"/>
        <v>0.38160375900336951</v>
      </c>
      <c r="AY57" s="70">
        <f t="shared" si="116"/>
        <v>0.39777815665969724</v>
      </c>
      <c r="AZ57" s="70">
        <f t="shared" si="116"/>
        <v>0.42506474370423292</v>
      </c>
      <c r="BA57" s="70">
        <f t="shared" si="116"/>
        <v>0.43292727853230839</v>
      </c>
      <c r="BB57" s="70">
        <f t="shared" si="116"/>
        <v>0.42195297504798462</v>
      </c>
      <c r="BC57" s="70">
        <f t="shared" si="116"/>
        <v>0.43763766186615033</v>
      </c>
      <c r="BD57" s="70">
        <f t="shared" si="116"/>
        <v>0.43749871502292398</v>
      </c>
      <c r="BE57" s="70">
        <f t="shared" si="116"/>
        <v>0.43256307332537758</v>
      </c>
      <c r="BF57" s="70">
        <f t="shared" si="116"/>
        <v>0.42323205460629831</v>
      </c>
      <c r="BG57" s="70">
        <f t="shared" si="116"/>
        <v>0.42962254809908323</v>
      </c>
      <c r="BH57" s="70">
        <f t="shared" si="116"/>
        <v>0.44261672782487665</v>
      </c>
      <c r="BI57" s="70">
        <f t="shared" si="116"/>
        <v>0.44516302553883397</v>
      </c>
      <c r="BJ57" s="70">
        <f t="shared" si="116"/>
        <v>0.45170841806520817</v>
      </c>
      <c r="BK57" s="70">
        <f t="shared" si="116"/>
        <v>0.45874973865774621</v>
      </c>
      <c r="BL57" s="70">
        <f t="shared" si="116"/>
        <v>0.46578074554009236</v>
      </c>
      <c r="BM57" s="70">
        <f t="shared" si="116"/>
        <v>0.46257155181458898</v>
      </c>
      <c r="BN57" s="70">
        <f t="shared" si="116"/>
        <v>0.4622247972190035</v>
      </c>
      <c r="BO57" s="70">
        <f t="shared" si="116"/>
        <v>0.46882542236524538</v>
      </c>
      <c r="BP57" s="70">
        <f t="shared" si="116"/>
        <v>0.47050619238876246</v>
      </c>
      <c r="BQ57" s="70">
        <f t="shared" si="116"/>
        <v>0.46490705687183631</v>
      </c>
      <c r="BR57" s="70">
        <f>BR46/BR44</f>
        <v>0.47271257111682646</v>
      </c>
      <c r="CA57" s="70">
        <f t="shared" ref="CA57:CQ57" si="117">CA46/CA44</f>
        <v>0.40139843841044165</v>
      </c>
      <c r="CB57" s="70">
        <f t="shared" si="117"/>
        <v>0.39377539287083174</v>
      </c>
      <c r="CC57" s="70">
        <f t="shared" si="117"/>
        <v>0.40478895878945764</v>
      </c>
      <c r="CD57" s="70">
        <f t="shared" si="117"/>
        <v>0.43871239808827661</v>
      </c>
      <c r="CE57" s="70">
        <f t="shared" si="117"/>
        <v>0.37624480720847231</v>
      </c>
      <c r="CF57" s="70">
        <f t="shared" si="117"/>
        <v>0.38588035777783858</v>
      </c>
      <c r="CG57" s="70">
        <f t="shared" si="117"/>
        <v>0.40059902017414373</v>
      </c>
      <c r="CH57" s="70">
        <f t="shared" si="117"/>
        <v>0.39075955648097049</v>
      </c>
      <c r="CI57" s="70">
        <f t="shared" si="117"/>
        <v>0.38469860491899105</v>
      </c>
      <c r="CJ57" s="70">
        <f t="shared" si="117"/>
        <v>0.38343718820007905</v>
      </c>
      <c r="CK57" s="70">
        <f t="shared" si="117"/>
        <v>0.37817768109034722</v>
      </c>
      <c r="CL57" s="70">
        <f t="shared" si="117"/>
        <v>0.38233247727810865</v>
      </c>
      <c r="CM57" s="70">
        <f t="shared" si="117"/>
        <v>0.41779359625167778</v>
      </c>
      <c r="CN57" s="70">
        <f t="shared" si="117"/>
        <v>0.43324003366900932</v>
      </c>
      <c r="CO57" s="70">
        <f t="shared" si="117"/>
        <v>0.44131129577207562</v>
      </c>
      <c r="CP57" s="70">
        <f t="shared" si="117"/>
        <v>0.46206349815233932</v>
      </c>
      <c r="CQ57" s="70">
        <f t="shared" si="117"/>
        <v>0.46928373960892822</v>
      </c>
      <c r="CR57" s="72">
        <v>0.47</v>
      </c>
      <c r="CS57" s="72">
        <v>0.47199999999999998</v>
      </c>
      <c r="CT57" s="72">
        <v>0.47399999999999998</v>
      </c>
      <c r="CU57" s="72">
        <v>0.47599999999999998</v>
      </c>
      <c r="CV57" s="72">
        <v>0.47799999999999998</v>
      </c>
      <c r="CW57" s="72">
        <v>0.48</v>
      </c>
      <c r="CX57" s="72">
        <v>0.48099999999999998</v>
      </c>
      <c r="CY57" s="72">
        <v>0.48199999999999998</v>
      </c>
      <c r="CZ57" s="72">
        <v>0.48299999999999998</v>
      </c>
      <c r="DA57" s="72">
        <v>0.48399999999999999</v>
      </c>
    </row>
    <row r="58" spans="2:156">
      <c r="B58" s="37" t="s">
        <v>122</v>
      </c>
      <c r="C58" s="70">
        <f t="shared" ref="C58:AT58" si="118">C47/C44</f>
        <v>2.5377797615252183E-2</v>
      </c>
      <c r="D58" s="70">
        <f t="shared" si="118"/>
        <v>3.5116688683399386E-2</v>
      </c>
      <c r="E58" s="70">
        <f t="shared" si="118"/>
        <v>3.5031847133757961E-2</v>
      </c>
      <c r="F58" s="70">
        <f t="shared" si="118"/>
        <v>3.2722513089005235E-2</v>
      </c>
      <c r="G58" s="70">
        <f t="shared" si="118"/>
        <v>2.5377797615252183E-2</v>
      </c>
      <c r="H58" s="70">
        <f t="shared" si="118"/>
        <v>3.1557893177272388E-2</v>
      </c>
      <c r="I58" s="70">
        <f t="shared" si="118"/>
        <v>2.9554140127388533E-2</v>
      </c>
      <c r="J58" s="70">
        <f t="shared" si="118"/>
        <v>2.428353733470973E-2</v>
      </c>
      <c r="K58" s="70">
        <f t="shared" si="118"/>
        <v>2.1502561609513481E-2</v>
      </c>
      <c r="L58" s="70">
        <f t="shared" si="118"/>
        <v>2.3553735760327564E-2</v>
      </c>
      <c r="M58" s="70">
        <f t="shared" si="118"/>
        <v>2.1980329704945574E-2</v>
      </c>
      <c r="N58" s="70">
        <f t="shared" si="118"/>
        <v>2.2815705695083129E-2</v>
      </c>
      <c r="O58" s="70">
        <f t="shared" si="118"/>
        <v>1.6359829926834005E-2</v>
      </c>
      <c r="P58" s="70">
        <f t="shared" si="118"/>
        <v>2.1461746542132395E-2</v>
      </c>
      <c r="Q58" s="70">
        <f t="shared" si="118"/>
        <v>2.5012134882791307E-2</v>
      </c>
      <c r="R58" s="70">
        <f t="shared" si="118"/>
        <v>2.5190457654451427E-2</v>
      </c>
      <c r="S58" s="70">
        <f t="shared" si="118"/>
        <v>1.8528030525388907E-2</v>
      </c>
      <c r="T58" s="70">
        <f t="shared" si="118"/>
        <v>2.5663371786344976E-2</v>
      </c>
      <c r="U58" s="70">
        <f t="shared" si="118"/>
        <v>3.3349375760835714E-2</v>
      </c>
      <c r="V58" s="70">
        <f t="shared" si="118"/>
        <v>3.1169940222032452E-2</v>
      </c>
      <c r="W58" s="70">
        <f t="shared" si="118"/>
        <v>2.3092683265617947E-2</v>
      </c>
      <c r="X58" s="70">
        <f t="shared" si="118"/>
        <v>3.1152784471804758E-2</v>
      </c>
      <c r="Y58" s="70">
        <f t="shared" si="118"/>
        <v>4.2824321436204314E-2</v>
      </c>
      <c r="Z58" s="70">
        <f t="shared" si="118"/>
        <v>4.0025639199487213E-2</v>
      </c>
      <c r="AA58" s="70">
        <f t="shared" si="118"/>
        <v>2.5402485288006541E-2</v>
      </c>
      <c r="AB58" s="70">
        <f t="shared" si="118"/>
        <v>3.3063264954318224E-2</v>
      </c>
      <c r="AC58" s="70">
        <f t="shared" si="118"/>
        <v>4.1003931055337166E-2</v>
      </c>
      <c r="AD58" s="70">
        <f t="shared" si="118"/>
        <v>4.3105959107590144E-2</v>
      </c>
      <c r="AE58" s="70">
        <f t="shared" si="118"/>
        <v>3.1684943061999156E-2</v>
      </c>
      <c r="AF58" s="70">
        <f t="shared" si="118"/>
        <v>4.966671281919418E-2</v>
      </c>
      <c r="AG58" s="70">
        <f t="shared" si="118"/>
        <v>6.0437225553614429E-2</v>
      </c>
      <c r="AH58" s="70">
        <f t="shared" si="118"/>
        <v>5.4853581490651414E-2</v>
      </c>
      <c r="AI58" s="70">
        <f t="shared" si="118"/>
        <v>3.6642799709001798E-2</v>
      </c>
      <c r="AJ58" s="70">
        <f t="shared" si="118"/>
        <v>5.2480338777979432E-2</v>
      </c>
      <c r="AK58" s="70">
        <f t="shared" si="118"/>
        <v>6.4680232558139539E-2</v>
      </c>
      <c r="AL58" s="70">
        <f t="shared" si="118"/>
        <v>5.6999942943000058E-2</v>
      </c>
      <c r="AM58" s="70">
        <f t="shared" si="118"/>
        <v>3.8587430487128087E-2</v>
      </c>
      <c r="AN58" s="70">
        <f t="shared" si="118"/>
        <v>5.5252956474802495E-2</v>
      </c>
      <c r="AO58" s="70">
        <f t="shared" si="118"/>
        <v>6.9482774805219194E-2</v>
      </c>
      <c r="AP58" s="70">
        <f t="shared" si="118"/>
        <v>5.9618441971383149E-2</v>
      </c>
      <c r="AQ58" s="70">
        <f t="shared" si="118"/>
        <v>4.6281579883762303E-2</v>
      </c>
      <c r="AR58" s="70">
        <f t="shared" si="118"/>
        <v>6.8051366026027751E-2</v>
      </c>
      <c r="AS58" s="70">
        <f t="shared" si="118"/>
        <v>7.9113159508632389E-2</v>
      </c>
      <c r="AT58" s="70">
        <f t="shared" si="118"/>
        <v>6.4178638351030604E-2</v>
      </c>
      <c r="AU58" s="70">
        <f t="shared" ref="AU58:BQ58" si="119">AU47/AU44</f>
        <v>4.8475805661137676E-2</v>
      </c>
      <c r="AV58" s="70">
        <f t="shared" si="119"/>
        <v>7.828443057294257E-2</v>
      </c>
      <c r="AW58" s="70">
        <f t="shared" si="119"/>
        <v>7.9718522241769285E-2</v>
      </c>
      <c r="AX58" s="70">
        <f t="shared" si="119"/>
        <v>7.694210021948128E-2</v>
      </c>
      <c r="AY58" s="70">
        <f t="shared" si="119"/>
        <v>4.6330279345650982E-2</v>
      </c>
      <c r="AZ58" s="70">
        <f t="shared" si="119"/>
        <v>5.8738167529916056E-2</v>
      </c>
      <c r="BA58" s="70">
        <f t="shared" si="119"/>
        <v>7.0204091657047427E-2</v>
      </c>
      <c r="BB58" s="70">
        <f t="shared" si="119"/>
        <v>6.9241842610364687E-2</v>
      </c>
      <c r="BC58" s="70">
        <f t="shared" si="119"/>
        <v>5.0877405300738233E-2</v>
      </c>
      <c r="BD58" s="70">
        <f t="shared" si="119"/>
        <v>6.5657188675754027E-2</v>
      </c>
      <c r="BE58" s="70">
        <f t="shared" si="119"/>
        <v>8.1932038717920902E-2</v>
      </c>
      <c r="BF58" s="70">
        <f t="shared" si="119"/>
        <v>7.4917447864725303E-2</v>
      </c>
      <c r="BG58" s="70">
        <f t="shared" si="119"/>
        <v>6.5802277344350166E-2</v>
      </c>
      <c r="BH58" s="70">
        <f t="shared" si="119"/>
        <v>7.863047787759922E-2</v>
      </c>
      <c r="BI58" s="70">
        <f t="shared" si="119"/>
        <v>9.0981331833685827E-2</v>
      </c>
      <c r="BJ58" s="70">
        <f t="shared" si="119"/>
        <v>8.1644282553800088E-2</v>
      </c>
      <c r="BK58" s="70">
        <f t="shared" si="119"/>
        <v>6.4361279531674684E-2</v>
      </c>
      <c r="BL58" s="70">
        <f t="shared" si="119"/>
        <v>8.7082520688021331E-2</v>
      </c>
      <c r="BM58" s="70">
        <f t="shared" si="119"/>
        <v>9.3335043193396833E-2</v>
      </c>
      <c r="BN58" s="70">
        <f t="shared" si="119"/>
        <v>8.1797113662698831E-2</v>
      </c>
      <c r="BO58" s="70">
        <f t="shared" si="119"/>
        <v>6.6516492357200321E-2</v>
      </c>
      <c r="BP58" s="70">
        <f t="shared" si="119"/>
        <v>8.9661175138162102E-2</v>
      </c>
      <c r="BQ58" s="70">
        <f t="shared" si="119"/>
        <v>9.4283040537666424E-2</v>
      </c>
      <c r="BR58" s="70">
        <f>BR47/BR44</f>
        <v>8.6372847011144879E-2</v>
      </c>
      <c r="CA58" s="70">
        <f t="shared" ref="CA58:CQ58" si="120">CA47/CA44</f>
        <v>3.1068640018645847E-2</v>
      </c>
      <c r="CB58" s="70">
        <f t="shared" si="120"/>
        <v>2.7320812571866616E-2</v>
      </c>
      <c r="CC58" s="70">
        <f t="shared" si="120"/>
        <v>2.2439006364954873E-2</v>
      </c>
      <c r="CD58" s="70">
        <f t="shared" si="120"/>
        <v>2.1602729572929181E-2</v>
      </c>
      <c r="CE58" s="70">
        <f t="shared" si="120"/>
        <v>2.6183371365045931E-2</v>
      </c>
      <c r="CF58" s="70">
        <f t="shared" si="120"/>
        <v>3.3047949889220163E-2</v>
      </c>
      <c r="CG58" s="70">
        <f t="shared" si="120"/>
        <v>3.4516398177267184E-2</v>
      </c>
      <c r="CH58" s="70">
        <f t="shared" si="120"/>
        <v>4.6582482760539605E-2</v>
      </c>
      <c r="CI58" s="70">
        <f t="shared" si="120"/>
        <v>5.0520428906706681E-2</v>
      </c>
      <c r="CJ58" s="70">
        <f t="shared" si="120"/>
        <v>5.3600406634161032E-2</v>
      </c>
      <c r="CK58" s="70">
        <f t="shared" si="120"/>
        <v>6.233136285716482E-2</v>
      </c>
      <c r="CL58" s="70">
        <f t="shared" si="120"/>
        <v>6.8309564140393061E-2</v>
      </c>
      <c r="CM58" s="70">
        <f t="shared" si="120"/>
        <v>5.9904269074427925E-2</v>
      </c>
      <c r="CN58" s="70">
        <f t="shared" si="120"/>
        <v>6.6554605656799215E-2</v>
      </c>
      <c r="CO58" s="70">
        <f t="shared" si="120"/>
        <v>7.8048971392045086E-2</v>
      </c>
      <c r="CP58" s="70">
        <f t="shared" si="120"/>
        <v>8.0222997941360744E-2</v>
      </c>
      <c r="CQ58" s="70">
        <f t="shared" si="120"/>
        <v>8.298446233033821E-2</v>
      </c>
      <c r="CR58" s="72">
        <v>8.0710531635334551E-2</v>
      </c>
      <c r="CS58" s="72">
        <v>8.5000000000000006E-2</v>
      </c>
      <c r="CT58" s="72">
        <v>0.09</v>
      </c>
      <c r="CU58" s="72">
        <v>8.2500000000000004E-2</v>
      </c>
      <c r="CV58" s="72">
        <v>7.4999999999999997E-2</v>
      </c>
      <c r="CW58" s="72">
        <v>7.1999999999999995E-2</v>
      </c>
      <c r="CX58" s="72">
        <v>7.0000000000000007E-2</v>
      </c>
      <c r="CY58" s="72">
        <v>6.8000000000000005E-2</v>
      </c>
      <c r="CZ58" s="72">
        <v>6.6000000000000003E-2</v>
      </c>
      <c r="DA58" s="72">
        <v>6.5000000000000002E-2</v>
      </c>
    </row>
    <row r="59" spans="2:156">
      <c r="B59" s="37" t="s">
        <v>123</v>
      </c>
      <c r="C59" s="70">
        <f t="shared" ref="C59:AT59" si="121">C48/C44</f>
        <v>8.2127144041318628E-2</v>
      </c>
      <c r="D59" s="70">
        <f t="shared" si="121"/>
        <v>0.10843240863055922</v>
      </c>
      <c r="E59" s="70">
        <f t="shared" si="121"/>
        <v>0.10376001643723033</v>
      </c>
      <c r="F59" s="70">
        <f t="shared" si="121"/>
        <v>0.10304616849119468</v>
      </c>
      <c r="G59" s="70">
        <f t="shared" si="121"/>
        <v>8.2127144041318628E-2</v>
      </c>
      <c r="H59" s="70">
        <f t="shared" si="121"/>
        <v>9.0377064967775395E-2</v>
      </c>
      <c r="I59" s="70">
        <f t="shared" si="121"/>
        <v>9.1592356687898085E-2</v>
      </c>
      <c r="J59" s="70">
        <f t="shared" si="121"/>
        <v>7.7225581281030325E-2</v>
      </c>
      <c r="K59" s="70">
        <f t="shared" si="121"/>
        <v>7.0902359672413151E-2</v>
      </c>
      <c r="L59" s="70">
        <f t="shared" si="121"/>
        <v>7.147200713503872E-2</v>
      </c>
      <c r="M59" s="70">
        <f t="shared" si="121"/>
        <v>6.7026005390080856E-2</v>
      </c>
      <c r="N59" s="70">
        <f t="shared" si="121"/>
        <v>7.1630703926423775E-2</v>
      </c>
      <c r="O59" s="70">
        <f t="shared" si="121"/>
        <v>5.6223426067813435E-2</v>
      </c>
      <c r="P59" s="70">
        <f t="shared" si="121"/>
        <v>5.9689685091614354E-2</v>
      </c>
      <c r="Q59" s="70">
        <f t="shared" si="121"/>
        <v>7.2666533420894838E-2</v>
      </c>
      <c r="R59" s="70">
        <f t="shared" si="121"/>
        <v>7.0928098759939939E-2</v>
      </c>
      <c r="S59" s="70">
        <f t="shared" si="121"/>
        <v>5.209862048723217E-2</v>
      </c>
      <c r="T59" s="70">
        <f t="shared" si="121"/>
        <v>6.1280187143086487E-2</v>
      </c>
      <c r="U59" s="70">
        <f t="shared" si="121"/>
        <v>7.4880389547886644E-2</v>
      </c>
      <c r="V59" s="70">
        <f t="shared" si="121"/>
        <v>7.1333262169086253E-2</v>
      </c>
      <c r="W59" s="70">
        <f t="shared" si="121"/>
        <v>5.3008993992429768E-2</v>
      </c>
      <c r="X59" s="70">
        <f t="shared" si="121"/>
        <v>6.4233448714016567E-2</v>
      </c>
      <c r="Y59" s="70">
        <f t="shared" si="121"/>
        <v>7.6138063688822394E-2</v>
      </c>
      <c r="Z59" s="70">
        <f t="shared" si="121"/>
        <v>7.4970918500581629E-2</v>
      </c>
      <c r="AA59" s="70">
        <f t="shared" si="121"/>
        <v>4.8258019544497918E-2</v>
      </c>
      <c r="AB59" s="70">
        <f t="shared" si="121"/>
        <v>5.9644888812273748E-2</v>
      </c>
      <c r="AC59" s="70">
        <f t="shared" si="121"/>
        <v>7.1847596008466894E-2</v>
      </c>
      <c r="AD59" s="70">
        <f t="shared" si="121"/>
        <v>7.1940350672802467E-2</v>
      </c>
      <c r="AE59" s="70">
        <f t="shared" si="121"/>
        <v>5.0716997047659217E-2</v>
      </c>
      <c r="AF59" s="70">
        <f t="shared" si="121"/>
        <v>6.770575785746781E-2</v>
      </c>
      <c r="AG59" s="70">
        <f t="shared" si="121"/>
        <v>8.1236130128901268E-2</v>
      </c>
      <c r="AH59" s="70">
        <f t="shared" si="121"/>
        <v>7.4319132587723047E-2</v>
      </c>
      <c r="AI59" s="70">
        <f t="shared" si="121"/>
        <v>5.0363109596559076E-2</v>
      </c>
      <c r="AJ59" s="70">
        <f t="shared" si="121"/>
        <v>7.0288868723532974E-2</v>
      </c>
      <c r="AK59" s="70">
        <f t="shared" si="121"/>
        <v>8.3311310782241021E-2</v>
      </c>
      <c r="AL59" s="70">
        <f t="shared" si="121"/>
        <v>7.2538465927461535E-2</v>
      </c>
      <c r="AM59" s="70">
        <f t="shared" si="121"/>
        <v>4.7919993657481341E-2</v>
      </c>
      <c r="AN59" s="70">
        <f t="shared" si="121"/>
        <v>6.788033433109246E-2</v>
      </c>
      <c r="AO59" s="70">
        <f t="shared" si="121"/>
        <v>7.7123814887825021E-2</v>
      </c>
      <c r="AP59" s="70">
        <f t="shared" si="121"/>
        <v>6.7027027027027022E-2</v>
      </c>
      <c r="AQ59" s="70">
        <f t="shared" si="121"/>
        <v>5.6731111374688649E-2</v>
      </c>
      <c r="AR59" s="70">
        <f t="shared" si="121"/>
        <v>7.6842195983797296E-2</v>
      </c>
      <c r="AS59" s="70">
        <f t="shared" si="121"/>
        <v>8.2253898046795143E-2</v>
      </c>
      <c r="AT59" s="70">
        <f t="shared" si="121"/>
        <v>7.1486570893191756E-2</v>
      </c>
      <c r="AU59" s="70">
        <f t="shared" ref="AU59:BQ59" si="122">AU48/AU44</f>
        <v>5.6600485738245894E-2</v>
      </c>
      <c r="AV59" s="70">
        <f t="shared" si="122"/>
        <v>8.4921029616037591E-2</v>
      </c>
      <c r="AW59" s="70">
        <f t="shared" si="122"/>
        <v>8.0941610119795587E-2</v>
      </c>
      <c r="AX59" s="70">
        <f t="shared" si="122"/>
        <v>7.6292930229682532E-2</v>
      </c>
      <c r="AY59" s="70">
        <f t="shared" si="122"/>
        <v>5.0529886305512431E-2</v>
      </c>
      <c r="AZ59" s="70">
        <f t="shared" si="122"/>
        <v>5.9318628326486871E-2</v>
      </c>
      <c r="BA59" s="70">
        <f t="shared" si="122"/>
        <v>6.645872731291598E-2</v>
      </c>
      <c r="BB59" s="70">
        <f t="shared" si="122"/>
        <v>6.7370441458733207E-2</v>
      </c>
      <c r="BC59" s="70">
        <f t="shared" si="122"/>
        <v>5.2031142845617009E-2</v>
      </c>
      <c r="BD59" s="70">
        <f t="shared" si="122"/>
        <v>6.3662904253788108E-2</v>
      </c>
      <c r="BE59" s="70">
        <f t="shared" si="122"/>
        <v>7.2469533142877809E-2</v>
      </c>
      <c r="BF59" s="70">
        <f t="shared" si="122"/>
        <v>7.1360503512621062E-2</v>
      </c>
      <c r="BG59" s="70">
        <f t="shared" si="122"/>
        <v>5.6395855028424126E-2</v>
      </c>
      <c r="BH59" s="70">
        <f t="shared" si="122"/>
        <v>6.5386562065038595E-2</v>
      </c>
      <c r="BI59" s="70">
        <f t="shared" si="122"/>
        <v>7.3022237979387991E-2</v>
      </c>
      <c r="BJ59" s="70">
        <f t="shared" si="122"/>
        <v>6.8727792799839107E-2</v>
      </c>
      <c r="BK59" s="70">
        <f t="shared" si="122"/>
        <v>5.6750993100564501E-2</v>
      </c>
      <c r="BL59" s="70">
        <f t="shared" si="122"/>
        <v>7.1270371227397447E-2</v>
      </c>
      <c r="BM59" s="70">
        <f t="shared" si="122"/>
        <v>7.3679424554367726E-2</v>
      </c>
      <c r="BN59" s="70">
        <f t="shared" si="122"/>
        <v>6.8713789107763615E-2</v>
      </c>
      <c r="BO59" s="70">
        <f t="shared" si="122"/>
        <v>5.7723250201126307E-2</v>
      </c>
      <c r="BP59" s="70">
        <f t="shared" si="122"/>
        <v>7.0554431149655511E-2</v>
      </c>
      <c r="BQ59" s="70">
        <f t="shared" si="122"/>
        <v>7.0717597515844999E-2</v>
      </c>
      <c r="BR59" s="70">
        <f>BR48/BR44</f>
        <v>6.8661834619281423E-2</v>
      </c>
      <c r="CA59" s="70">
        <f t="shared" ref="CA59:CQ59" si="123">CA48/CA44</f>
        <v>9.6702016082041722E-2</v>
      </c>
      <c r="CB59" s="70">
        <f t="shared" si="123"/>
        <v>8.4584131851284022E-2</v>
      </c>
      <c r="CC59" s="70">
        <f t="shared" si="123"/>
        <v>7.0199262810741903E-2</v>
      </c>
      <c r="CD59" s="70">
        <f t="shared" si="123"/>
        <v>6.4150075395506934E-2</v>
      </c>
      <c r="CE59" s="70">
        <f t="shared" si="123"/>
        <v>6.3366684219764782E-2</v>
      </c>
      <c r="CF59" s="70">
        <f t="shared" si="123"/>
        <v>6.5609015563883044E-2</v>
      </c>
      <c r="CG59" s="70">
        <f t="shared" si="123"/>
        <v>6.1309714823609952E-2</v>
      </c>
      <c r="CH59" s="70">
        <f t="shared" si="123"/>
        <v>6.5822972653369755E-2</v>
      </c>
      <c r="CI59" s="70">
        <f t="shared" si="123"/>
        <v>6.6573893924984945E-2</v>
      </c>
      <c r="CJ59" s="70">
        <f t="shared" si="123"/>
        <v>6.2896515371147807E-2</v>
      </c>
      <c r="CK59" s="70">
        <f t="shared" si="123"/>
        <v>7.0126146348213125E-2</v>
      </c>
      <c r="CL59" s="70">
        <f t="shared" si="123"/>
        <v>7.2549769593646979E-2</v>
      </c>
      <c r="CM59" s="70">
        <f t="shared" si="123"/>
        <v>6.006555190163388E-2</v>
      </c>
      <c r="CN59" s="70">
        <f t="shared" si="123"/>
        <v>6.3621243927915863E-2</v>
      </c>
      <c r="CO59" s="70">
        <f t="shared" si="123"/>
        <v>6.5048201729783317E-2</v>
      </c>
      <c r="CP59" s="70">
        <f t="shared" si="123"/>
        <v>6.6738271510222866E-2</v>
      </c>
      <c r="CQ59" s="70">
        <f t="shared" si="123"/>
        <v>6.629389709926671E-2</v>
      </c>
      <c r="CR59" s="72">
        <v>6.6924398625429551E-2</v>
      </c>
      <c r="CS59" s="72">
        <v>6.6924398625429551E-2</v>
      </c>
      <c r="CT59" s="72">
        <v>6.6924398625429551E-2</v>
      </c>
      <c r="CU59" s="72">
        <v>6.6924398625429551E-2</v>
      </c>
      <c r="CV59" s="72">
        <v>6.6924398625429551E-2</v>
      </c>
      <c r="CW59" s="72">
        <v>6.6924398625429551E-2</v>
      </c>
      <c r="CX59" s="72">
        <v>6.6924398625429551E-2</v>
      </c>
      <c r="CY59" s="72">
        <v>6.6924398625429551E-2</v>
      </c>
      <c r="CZ59" s="72">
        <v>6.6924398625429551E-2</v>
      </c>
      <c r="DA59" s="72">
        <v>6.6924398625429551E-2</v>
      </c>
    </row>
    <row r="60" spans="2:156">
      <c r="B60" s="37" t="s">
        <v>124</v>
      </c>
      <c r="C60" s="70">
        <f t="shared" ref="C60:AT60" si="124">C49/C44</f>
        <v>0.30128164254288081</v>
      </c>
      <c r="D60" s="70">
        <f t="shared" si="124"/>
        <v>0.25572435050638487</v>
      </c>
      <c r="E60" s="70">
        <f t="shared" si="124"/>
        <v>0.27039243887404973</v>
      </c>
      <c r="F60" s="70">
        <f t="shared" si="124"/>
        <v>0.24512137077582105</v>
      </c>
      <c r="G60" s="70">
        <f t="shared" si="124"/>
        <v>0.30128164254288081</v>
      </c>
      <c r="H60" s="70">
        <f t="shared" si="124"/>
        <v>0.29476257500555597</v>
      </c>
      <c r="I60" s="70">
        <f t="shared" si="124"/>
        <v>0.2696815286624204</v>
      </c>
      <c r="J60" s="70">
        <f t="shared" si="124"/>
        <v>0.26775795113798356</v>
      </c>
      <c r="K60" s="70">
        <f t="shared" si="124"/>
        <v>0.29269660820462962</v>
      </c>
      <c r="L60" s="70">
        <f t="shared" si="124"/>
        <v>0.31921190254185755</v>
      </c>
      <c r="M60" s="70">
        <f t="shared" si="124"/>
        <v>0.32826992404886074</v>
      </c>
      <c r="N60" s="70">
        <f t="shared" si="124"/>
        <v>0.30810045985143264</v>
      </c>
      <c r="O60" s="70">
        <f t="shared" si="124"/>
        <v>0.37424729674314205</v>
      </c>
      <c r="P60" s="70">
        <f t="shared" si="124"/>
        <v>0.39258919001684273</v>
      </c>
      <c r="Q60" s="70">
        <f t="shared" si="124"/>
        <v>0.33043999657368017</v>
      </c>
      <c r="R60" s="70">
        <f t="shared" si="124"/>
        <v>0.30428738252794307</v>
      </c>
      <c r="S60" s="70">
        <f t="shared" si="124"/>
        <v>0.31571030231875552</v>
      </c>
      <c r="T60" s="70">
        <f t="shared" si="124"/>
        <v>0.28800770589179642</v>
      </c>
      <c r="U60" s="70">
        <f t="shared" si="124"/>
        <v>0.26048183902839511</v>
      </c>
      <c r="V60" s="70">
        <f t="shared" si="124"/>
        <v>0.26766652433817251</v>
      </c>
      <c r="W60" s="70">
        <f t="shared" si="124"/>
        <v>0.30320866756953851</v>
      </c>
      <c r="X60" s="70">
        <f t="shared" si="124"/>
        <v>0.29779170135389738</v>
      </c>
      <c r="Y60" s="70">
        <f t="shared" si="124"/>
        <v>0.27468476170121819</v>
      </c>
      <c r="Z60" s="70">
        <f t="shared" si="124"/>
        <v>0.26505709469885813</v>
      </c>
      <c r="AA60" s="70">
        <f t="shared" si="124"/>
        <v>0.32501776163219348</v>
      </c>
      <c r="AB60" s="70">
        <f t="shared" si="124"/>
        <v>0.31508360627478021</v>
      </c>
      <c r="AC60" s="70">
        <f t="shared" si="124"/>
        <v>0.28390283237576858</v>
      </c>
      <c r="AD60" s="70">
        <f t="shared" si="124"/>
        <v>0.28393623424787867</v>
      </c>
      <c r="AE60" s="70">
        <f t="shared" si="124"/>
        <v>0.31857602277520036</v>
      </c>
      <c r="AF60" s="70">
        <f t="shared" si="124"/>
        <v>0.27665802955080404</v>
      </c>
      <c r="AG60" s="70">
        <f t="shared" si="124"/>
        <v>0.23856178289815383</v>
      </c>
      <c r="AH60" s="70">
        <f t="shared" si="124"/>
        <v>0.25102450268931958</v>
      </c>
      <c r="AI60" s="70">
        <f t="shared" si="124"/>
        <v>0.29813276154739571</v>
      </c>
      <c r="AJ60" s="70">
        <f t="shared" si="124"/>
        <v>0.2665040834845735</v>
      </c>
      <c r="AK60" s="70">
        <f t="shared" si="124"/>
        <v>0.23713883016208598</v>
      </c>
      <c r="AL60" s="70">
        <f t="shared" si="124"/>
        <v>0.24952927975047073</v>
      </c>
      <c r="AM60" s="70">
        <f t="shared" si="124"/>
        <v>0.29757738439060855</v>
      </c>
      <c r="AN60" s="70">
        <f t="shared" si="124"/>
        <v>0.25997350213455028</v>
      </c>
      <c r="AO60" s="70">
        <f t="shared" si="124"/>
        <v>0.23677837228949591</v>
      </c>
      <c r="AP60" s="70">
        <f t="shared" si="124"/>
        <v>0.25624801271860098</v>
      </c>
      <c r="AQ60" s="70">
        <f t="shared" si="124"/>
        <v>0.27690665401494485</v>
      </c>
      <c r="AR60" s="70">
        <f t="shared" si="124"/>
        <v>0.2312333017323106</v>
      </c>
      <c r="AS60" s="70">
        <f t="shared" si="124"/>
        <v>0.2145366016837332</v>
      </c>
      <c r="AT60" s="70">
        <f t="shared" si="124"/>
        <v>0.24398813241723921</v>
      </c>
      <c r="AU60" s="70">
        <f t="shared" ref="AU60:BQ60" si="125">AU49/AU44</f>
        <v>0.2784717759940753</v>
      </c>
      <c r="AV60" s="70">
        <f t="shared" si="125"/>
        <v>0.22041397287054346</v>
      </c>
      <c r="AW60" s="70">
        <f t="shared" si="125"/>
        <v>0.21933484124989527</v>
      </c>
      <c r="AX60" s="70">
        <f t="shared" si="125"/>
        <v>0.2283687285542057</v>
      </c>
      <c r="AY60" s="70">
        <f t="shared" si="125"/>
        <v>0.30091799100853384</v>
      </c>
      <c r="AZ60" s="70">
        <f t="shared" si="125"/>
        <v>0.30700794784782998</v>
      </c>
      <c r="BA60" s="70">
        <f t="shared" si="125"/>
        <v>0.29626445956234498</v>
      </c>
      <c r="BB60" s="70">
        <f t="shared" si="125"/>
        <v>0.28534069097888676</v>
      </c>
      <c r="BC60" s="70">
        <f t="shared" si="125"/>
        <v>0.33472911371979508</v>
      </c>
      <c r="BD60" s="70">
        <f t="shared" si="125"/>
        <v>0.30817862209338187</v>
      </c>
      <c r="BE60" s="70">
        <f t="shared" si="125"/>
        <v>0.27816150146457891</v>
      </c>
      <c r="BF60" s="70">
        <f t="shared" si="125"/>
        <v>0.27695410322895198</v>
      </c>
      <c r="BG60" s="70">
        <f t="shared" si="125"/>
        <v>0.30742441572630896</v>
      </c>
      <c r="BH60" s="70">
        <f t="shared" si="125"/>
        <v>0.29859968788223878</v>
      </c>
      <c r="BI60" s="70">
        <f t="shared" si="125"/>
        <v>0.28115945572576012</v>
      </c>
      <c r="BJ60" s="70">
        <f t="shared" si="125"/>
        <v>0.30133634271156895</v>
      </c>
      <c r="BK60" s="70">
        <f t="shared" si="125"/>
        <v>0.33763746602550698</v>
      </c>
      <c r="BL60" s="70">
        <f t="shared" si="125"/>
        <v>0.30742785362467356</v>
      </c>
      <c r="BM60" s="70">
        <f t="shared" si="125"/>
        <v>0.29555708406682446</v>
      </c>
      <c r="BN60" s="70">
        <f t="shared" si="125"/>
        <v>0.31171389444854103</v>
      </c>
      <c r="BO60" s="70">
        <f t="shared" si="125"/>
        <v>0.34458567980691873</v>
      </c>
      <c r="BP60" s="70">
        <f t="shared" si="125"/>
        <v>0.31029058610094484</v>
      </c>
      <c r="BQ60" s="70">
        <f t="shared" si="125"/>
        <v>0.29990641881832492</v>
      </c>
      <c r="BR60" s="70">
        <f>BR49/BR44</f>
        <v>0.31767788948640013</v>
      </c>
      <c r="CA60" s="70">
        <f t="shared" ref="CA60:CQ60" si="126">CA49/CA44</f>
        <v>0.2736277823097541</v>
      </c>
      <c r="CB60" s="70">
        <f t="shared" si="126"/>
        <v>0.28187044844768111</v>
      </c>
      <c r="CC60" s="70">
        <f t="shared" si="126"/>
        <v>0.31215068961376086</v>
      </c>
      <c r="CD60" s="70">
        <f t="shared" si="126"/>
        <v>0.35295959311984054</v>
      </c>
      <c r="CE60" s="70">
        <f t="shared" si="126"/>
        <v>0.28669475162366159</v>
      </c>
      <c r="CF60" s="70">
        <f t="shared" si="126"/>
        <v>0.28722339232473537</v>
      </c>
      <c r="CG60" s="70">
        <f t="shared" si="126"/>
        <v>0.30477290717326661</v>
      </c>
      <c r="CH60" s="70">
        <f t="shared" si="126"/>
        <v>0.27835410106706115</v>
      </c>
      <c r="CI60" s="70">
        <f t="shared" si="126"/>
        <v>0.26760428208729942</v>
      </c>
      <c r="CJ60" s="70">
        <f t="shared" si="126"/>
        <v>0.26694026619477024</v>
      </c>
      <c r="CK60" s="70">
        <f t="shared" si="126"/>
        <v>0.24572017188496928</v>
      </c>
      <c r="CL60" s="70">
        <f t="shared" si="126"/>
        <v>0.24147314354406862</v>
      </c>
      <c r="CM60" s="70">
        <f t="shared" si="126"/>
        <v>0.29782377527561593</v>
      </c>
      <c r="CN60" s="70">
        <f t="shared" si="126"/>
        <v>0.3030641840842942</v>
      </c>
      <c r="CO60" s="70">
        <f t="shared" si="126"/>
        <v>0.29821412265024722</v>
      </c>
      <c r="CP60" s="70">
        <f t="shared" si="126"/>
        <v>0.31510222870075566</v>
      </c>
      <c r="CQ60" s="70">
        <f t="shared" si="126"/>
        <v>0.32000538017932328</v>
      </c>
      <c r="CR60" s="72">
        <v>0.31755356781888011</v>
      </c>
      <c r="CS60" s="72">
        <v>0.31755356781888011</v>
      </c>
      <c r="CT60" s="72">
        <v>0.31755356781888011</v>
      </c>
      <c r="CU60" s="72">
        <v>0.31755356781888011</v>
      </c>
      <c r="CV60" s="72">
        <v>0.31755356781888011</v>
      </c>
      <c r="CW60" s="72">
        <v>0.31755356781888011</v>
      </c>
      <c r="CX60" s="72">
        <v>0.31755356781888011</v>
      </c>
      <c r="CY60" s="72">
        <v>0.31755356781888011</v>
      </c>
      <c r="CZ60" s="72">
        <v>0.31755356781888011</v>
      </c>
      <c r="DA60" s="72">
        <v>0.31755356781888011</v>
      </c>
    </row>
    <row r="61" spans="2:156">
      <c r="B61" s="37" t="s">
        <v>125</v>
      </c>
      <c r="C61" s="70">
        <f t="shared" ref="C61:AT61" si="127">C52/C51</f>
        <v>0.2900378310214376</v>
      </c>
      <c r="D61" s="70">
        <f t="shared" si="127"/>
        <v>0.32103939647946356</v>
      </c>
      <c r="E61" s="70">
        <f t="shared" si="127"/>
        <v>0.3209509658246657</v>
      </c>
      <c r="F61" s="70">
        <f t="shared" si="127"/>
        <v>0.36816143497757847</v>
      </c>
      <c r="G61" s="70">
        <f t="shared" si="127"/>
        <v>0.2900378310214376</v>
      </c>
      <c r="H61" s="70">
        <f t="shared" si="127"/>
        <v>0.23703152146934722</v>
      </c>
      <c r="I61" s="70">
        <f t="shared" si="127"/>
        <v>0.24207828518173347</v>
      </c>
      <c r="J61" s="70">
        <f t="shared" si="127"/>
        <v>0.21113349203442594</v>
      </c>
      <c r="K61" s="70">
        <f t="shared" si="127"/>
        <v>0.24601280924274771</v>
      </c>
      <c r="L61" s="70">
        <f t="shared" si="127"/>
        <v>0.24215189873417722</v>
      </c>
      <c r="M61" s="70">
        <f t="shared" si="127"/>
        <v>0.23484451889854466</v>
      </c>
      <c r="N61" s="70">
        <f t="shared" si="127"/>
        <v>0.24661585712660675</v>
      </c>
      <c r="O61" s="70">
        <f t="shared" si="127"/>
        <v>0.2525032900383361</v>
      </c>
      <c r="P61" s="70">
        <f t="shared" si="127"/>
        <v>0.25173834663919648</v>
      </c>
      <c r="Q61" s="70">
        <f t="shared" si="127"/>
        <v>0.25604923699519433</v>
      </c>
      <c r="R61" s="70">
        <f t="shared" si="127"/>
        <v>0.24511153952079318</v>
      </c>
      <c r="S61" s="70">
        <f t="shared" si="127"/>
        <v>0.25995925758261657</v>
      </c>
      <c r="T61" s="70">
        <f t="shared" si="127"/>
        <v>0.26020922123208057</v>
      </c>
      <c r="U61" s="70">
        <f t="shared" si="127"/>
        <v>0.2686804451510334</v>
      </c>
      <c r="V61" s="70">
        <f t="shared" si="127"/>
        <v>0.25939071280686188</v>
      </c>
      <c r="W61" s="70">
        <f t="shared" si="127"/>
        <v>0.26184425998080074</v>
      </c>
      <c r="X61" s="70">
        <f t="shared" si="127"/>
        <v>0.26016789694601244</v>
      </c>
      <c r="Y61" s="70">
        <f t="shared" si="127"/>
        <v>0.26096909576497518</v>
      </c>
      <c r="Z61" s="70">
        <f t="shared" si="127"/>
        <v>0.26194211994421202</v>
      </c>
      <c r="AA61" s="70">
        <f t="shared" si="127"/>
        <v>0.26179554390563564</v>
      </c>
      <c r="AB61" s="70">
        <f t="shared" si="127"/>
        <v>0.26906916612798965</v>
      </c>
      <c r="AC61" s="70">
        <f t="shared" si="127"/>
        <v>0.26228148967042081</v>
      </c>
      <c r="AD61" s="70">
        <f t="shared" si="127"/>
        <v>0.26145266232903996</v>
      </c>
      <c r="AE61" s="70">
        <f t="shared" si="127"/>
        <v>0.25279778618809262</v>
      </c>
      <c r="AF61" s="70">
        <f t="shared" si="127"/>
        <v>0.25639937774006505</v>
      </c>
      <c r="AG61" s="70">
        <f t="shared" si="127"/>
        <v>0.25532524596427547</v>
      </c>
      <c r="AH61" s="70">
        <f t="shared" si="127"/>
        <v>0.26042008532983263</v>
      </c>
      <c r="AI61" s="70">
        <f t="shared" si="127"/>
        <v>0.26009098428453264</v>
      </c>
      <c r="AJ61" s="70">
        <f t="shared" si="127"/>
        <v>0.24891037864342141</v>
      </c>
      <c r="AK61" s="70">
        <f t="shared" si="127"/>
        <v>0.22912981959674567</v>
      </c>
      <c r="AL61" s="70">
        <f t="shared" si="127"/>
        <v>0.23015017604368757</v>
      </c>
      <c r="AM61" s="70">
        <f t="shared" si="127"/>
        <v>0.25767665556788755</v>
      </c>
      <c r="AN61" s="70">
        <f t="shared" si="127"/>
        <v>0.14510143493320138</v>
      </c>
      <c r="AO61" s="70">
        <f t="shared" si="127"/>
        <v>0.13286660644384221</v>
      </c>
      <c r="AP61" s="70">
        <f t="shared" si="127"/>
        <v>0.13982096096461846</v>
      </c>
      <c r="AQ61" s="70">
        <f t="shared" si="127"/>
        <v>0.16485401154521878</v>
      </c>
      <c r="AR61" s="70">
        <f t="shared" si="127"/>
        <v>0.16182121365910243</v>
      </c>
      <c r="AS61" s="70">
        <f t="shared" si="127"/>
        <v>0.15674586516665268</v>
      </c>
      <c r="AT61" s="70">
        <f t="shared" si="127"/>
        <v>0.15136107149500838</v>
      </c>
      <c r="AU61" s="70">
        <f t="shared" ref="AU61:BQ61" si="128">AU52/AU51</f>
        <v>0.14206343082027933</v>
      </c>
      <c r="AV61" s="70">
        <f t="shared" si="128"/>
        <v>0.14358583936048724</v>
      </c>
      <c r="AW61" s="70">
        <f t="shared" si="128"/>
        <v>0.14341173783968944</v>
      </c>
      <c r="AX61" s="70">
        <f t="shared" si="128"/>
        <v>0.14952016643178309</v>
      </c>
      <c r="AY61" s="70">
        <f t="shared" si="128"/>
        <v>0.14366121683194855</v>
      </c>
      <c r="AZ61" s="70">
        <f t="shared" si="128"/>
        <v>0.1564028417407447</v>
      </c>
      <c r="BA61" s="70">
        <f t="shared" si="128"/>
        <v>0.10771882309491568</v>
      </c>
      <c r="BB61" s="70">
        <f t="shared" si="128"/>
        <v>0.11600997935306263</v>
      </c>
      <c r="BC61" s="70">
        <f t="shared" si="128"/>
        <v>0.16030164157028201</v>
      </c>
      <c r="BD61" s="70">
        <f t="shared" si="128"/>
        <v>0.17017817445834302</v>
      </c>
      <c r="BE61" s="70">
        <f t="shared" si="128"/>
        <v>0.15711436746726784</v>
      </c>
      <c r="BF61" s="70">
        <f t="shared" si="128"/>
        <v>0.1589853374803086</v>
      </c>
      <c r="BG61" s="70">
        <f t="shared" si="128"/>
        <v>0.15790360160570419</v>
      </c>
      <c r="BH61" s="70">
        <f t="shared" si="128"/>
        <v>0.14875625396377987</v>
      </c>
      <c r="BI61" s="70">
        <f t="shared" si="128"/>
        <v>0.12545638499098227</v>
      </c>
      <c r="BJ61" s="70">
        <f t="shared" si="128"/>
        <v>0.14971479368842136</v>
      </c>
      <c r="BK61" s="70">
        <f t="shared" si="128"/>
        <v>0.15889194752374575</v>
      </c>
      <c r="BL61" s="70">
        <f t="shared" si="128"/>
        <v>0.1576021099151757</v>
      </c>
      <c r="BM61" s="70">
        <f t="shared" si="128"/>
        <v>0.15870400878638111</v>
      </c>
      <c r="BN61" s="70">
        <f t="shared" si="128"/>
        <v>0.50233029381965555</v>
      </c>
      <c r="BO61" s="70">
        <f t="shared" si="128"/>
        <v>0.14686267142588766</v>
      </c>
      <c r="BP61" s="70">
        <f t="shared" si="128"/>
        <v>0.15455475946775846</v>
      </c>
      <c r="BQ61" s="70">
        <f t="shared" si="128"/>
        <v>0.16399700331775535</v>
      </c>
      <c r="BR61" s="70">
        <f>BR52/BR51</f>
        <v>0.16182622930940399</v>
      </c>
      <c r="CA61" s="70">
        <f t="shared" ref="CA61:CQ61" si="129">CA52/CA51</f>
        <v>0.31750372948781702</v>
      </c>
      <c r="CB61" s="70">
        <f t="shared" si="129"/>
        <v>0.24417475728155341</v>
      </c>
      <c r="CC61" s="70">
        <f t="shared" si="129"/>
        <v>0.24215757930127174</v>
      </c>
      <c r="CD61" s="70">
        <f t="shared" si="129"/>
        <v>0.25160052364471064</v>
      </c>
      <c r="CE61" s="70">
        <f t="shared" si="129"/>
        <v>0.26154919748778788</v>
      </c>
      <c r="CF61" s="70">
        <f t="shared" si="129"/>
        <v>0.26126058747639436</v>
      </c>
      <c r="CG61" s="70">
        <f t="shared" si="129"/>
        <v>0.26368337585327173</v>
      </c>
      <c r="CH61" s="70">
        <f t="shared" si="129"/>
        <v>0.25557257381216192</v>
      </c>
      <c r="CI61" s="70">
        <f t="shared" si="129"/>
        <v>0.24556476150353415</v>
      </c>
      <c r="CJ61" s="70">
        <f t="shared" si="129"/>
        <v>0.18342180705869443</v>
      </c>
      <c r="CK61" s="70">
        <f t="shared" si="129"/>
        <v>0.15943836804235059</v>
      </c>
      <c r="CL61" s="70">
        <f t="shared" si="129"/>
        <v>0.14428164731484103</v>
      </c>
      <c r="CM61" s="70">
        <f t="shared" si="129"/>
        <v>0.13302260844085087</v>
      </c>
      <c r="CN61" s="70">
        <f t="shared" si="129"/>
        <v>0.16190867679504711</v>
      </c>
      <c r="CO61" s="70">
        <f t="shared" si="129"/>
        <v>0.14719174228036858</v>
      </c>
      <c r="CP61" s="70">
        <f t="shared" si="129"/>
        <v>0.24091185164189982</v>
      </c>
      <c r="CQ61" s="70">
        <f t="shared" si="129"/>
        <v>0.1558862697594631</v>
      </c>
      <c r="CR61" s="72">
        <v>0.18</v>
      </c>
      <c r="CS61" s="72">
        <v>0.18</v>
      </c>
      <c r="CT61" s="72">
        <v>0.18</v>
      </c>
      <c r="CU61" s="72">
        <v>0.18</v>
      </c>
      <c r="CV61" s="72">
        <v>0.18</v>
      </c>
      <c r="CW61" s="72">
        <v>0.18</v>
      </c>
      <c r="CX61" s="72">
        <v>0.18</v>
      </c>
      <c r="CY61" s="72">
        <v>0.18</v>
      </c>
      <c r="CZ61" s="72">
        <v>0.18</v>
      </c>
      <c r="DA61" s="72">
        <v>0.18</v>
      </c>
    </row>
    <row r="62" spans="2:156">
      <c r="B62" s="37" t="s">
        <v>126</v>
      </c>
      <c r="C62" s="70">
        <f t="shared" ref="C62:AT62" si="130">C53/C44</f>
        <v>0.21539246317668814</v>
      </c>
      <c r="D62" s="70">
        <f t="shared" si="130"/>
        <v>0.17833553500660501</v>
      </c>
      <c r="E62" s="70">
        <f t="shared" si="130"/>
        <v>0.1877953564824327</v>
      </c>
      <c r="F62" s="70">
        <f t="shared" si="130"/>
        <v>0.16765825797239409</v>
      </c>
      <c r="G62" s="70">
        <f t="shared" si="130"/>
        <v>0.21539246317668814</v>
      </c>
      <c r="H62" s="70">
        <f t="shared" si="130"/>
        <v>0.22772057189421438</v>
      </c>
      <c r="I62" s="70">
        <f t="shared" si="130"/>
        <v>0.20719745222929936</v>
      </c>
      <c r="J62" s="70">
        <f t="shared" si="130"/>
        <v>0.2117681757852824</v>
      </c>
      <c r="K62" s="70">
        <f t="shared" si="130"/>
        <v>0.22452413896264165</v>
      </c>
      <c r="L62" s="70">
        <f t="shared" si="130"/>
        <v>0.24271293631167146</v>
      </c>
      <c r="M62" s="70">
        <f t="shared" si="130"/>
        <v>0.25578383675755134</v>
      </c>
      <c r="N62" s="70">
        <f t="shared" si="130"/>
        <v>0.23427661832331093</v>
      </c>
      <c r="O62" s="70">
        <f t="shared" si="130"/>
        <v>0.28195886301340295</v>
      </c>
      <c r="P62" s="70">
        <f t="shared" si="130"/>
        <v>0.2965855152350329</v>
      </c>
      <c r="Q62" s="70">
        <f t="shared" si="130"/>
        <v>0.25194871941295721</v>
      </c>
      <c r="R62" s="70">
        <f t="shared" si="130"/>
        <v>0.2286325974531502</v>
      </c>
      <c r="S62" s="70">
        <f t="shared" si="130"/>
        <v>0.23991047842676841</v>
      </c>
      <c r="T62" s="70">
        <f t="shared" si="130"/>
        <v>0.2189528243469486</v>
      </c>
      <c r="U62" s="70">
        <f t="shared" si="130"/>
        <v>0.19534014664666083</v>
      </c>
      <c r="V62" s="70">
        <f t="shared" si="130"/>
        <v>0.20046968403074295</v>
      </c>
      <c r="W62" s="70">
        <f t="shared" si="130"/>
        <v>0.2269680869535021</v>
      </c>
      <c r="X62" s="70">
        <f t="shared" si="130"/>
        <v>0.22396266923717303</v>
      </c>
      <c r="Y62" s="70">
        <f t="shared" si="130"/>
        <v>0.20698867279333191</v>
      </c>
      <c r="Z62" s="70">
        <f t="shared" si="130"/>
        <v>0.20100657597986848</v>
      </c>
      <c r="AA62" s="70">
        <f t="shared" si="130"/>
        <v>0.24161181785278624</v>
      </c>
      <c r="AB62" s="70">
        <f t="shared" si="130"/>
        <v>0.2339079469057059</v>
      </c>
      <c r="AC62" s="70">
        <f t="shared" si="130"/>
        <v>0.21524039915331117</v>
      </c>
      <c r="AD62" s="70">
        <f t="shared" si="130"/>
        <v>0.21599580590668144</v>
      </c>
      <c r="AE62" s="70">
        <f t="shared" si="130"/>
        <v>0.24199968367777308</v>
      </c>
      <c r="AF62" s="70">
        <f t="shared" si="130"/>
        <v>0.20800284827026921</v>
      </c>
      <c r="AG62" s="70">
        <f t="shared" si="130"/>
        <v>0.18405023844374144</v>
      </c>
      <c r="AH62" s="70">
        <f t="shared" si="130"/>
        <v>0.19239306753180227</v>
      </c>
      <c r="AI62" s="70">
        <f t="shared" si="130"/>
        <v>0.22834424576584855</v>
      </c>
      <c r="AJ62" s="70">
        <f t="shared" si="130"/>
        <v>0.20850347852389595</v>
      </c>
      <c r="AK62" s="70">
        <f t="shared" si="130"/>
        <v>0.19197057787174066</v>
      </c>
      <c r="AL62" s="70">
        <f t="shared" si="130"/>
        <v>0.20376956579623043</v>
      </c>
      <c r="AM62" s="70">
        <f t="shared" si="130"/>
        <v>0.22725470875380835</v>
      </c>
      <c r="AN62" s="70">
        <f t="shared" si="130"/>
        <v>0.22608240509020724</v>
      </c>
      <c r="AO62" s="70">
        <f t="shared" si="130"/>
        <v>0.21625833098657654</v>
      </c>
      <c r="AP62" s="70">
        <f t="shared" si="130"/>
        <v>0.22456279809220986</v>
      </c>
      <c r="AQ62" s="70">
        <f t="shared" si="130"/>
        <v>0.23680464950776894</v>
      </c>
      <c r="AR62" s="70">
        <f t="shared" si="130"/>
        <v>0.19927604929759546</v>
      </c>
      <c r="AS62" s="70">
        <f t="shared" si="130"/>
        <v>0.18666022412607555</v>
      </c>
      <c r="AT62" s="70">
        <f t="shared" si="130"/>
        <v>0.2137101811367895</v>
      </c>
      <c r="AU62" s="70">
        <f t="shared" ref="AU62:BQ62" si="131">AU53/AU44</f>
        <v>0.2421720994565395</v>
      </c>
      <c r="AV62" s="70">
        <f t="shared" si="131"/>
        <v>0.19290724195290929</v>
      </c>
      <c r="AW62" s="70">
        <f t="shared" si="131"/>
        <v>0.18853983412917819</v>
      </c>
      <c r="AX62" s="70">
        <f t="shared" si="131"/>
        <v>0.19587931620761073</v>
      </c>
      <c r="AY62" s="70">
        <f t="shared" si="131"/>
        <v>0.25803354301456405</v>
      </c>
      <c r="AZ62" s="70">
        <f t="shared" si="131"/>
        <v>0.26377478121093051</v>
      </c>
      <c r="BA62" s="70">
        <f t="shared" si="131"/>
        <v>0.26701377802883319</v>
      </c>
      <c r="BB62" s="70">
        <f t="shared" si="131"/>
        <v>0.2465331094049904</v>
      </c>
      <c r="BC62" s="70">
        <f t="shared" si="131"/>
        <v>0.27939812013393039</v>
      </c>
      <c r="BD62" s="70">
        <f t="shared" si="131"/>
        <v>0.25709821336787353</v>
      </c>
      <c r="BE62" s="70">
        <f t="shared" si="131"/>
        <v>0.23435673043310551</v>
      </c>
      <c r="BF62" s="70">
        <f t="shared" si="131"/>
        <v>0.23071382665159676</v>
      </c>
      <c r="BG62" s="70">
        <f t="shared" si="131"/>
        <v>0.2560561312460522</v>
      </c>
      <c r="BH62" s="70">
        <f t="shared" si="131"/>
        <v>0.25475557805052934</v>
      </c>
      <c r="BI62" s="70">
        <f t="shared" si="131"/>
        <v>0.24305292370135825</v>
      </c>
      <c r="BJ62" s="70">
        <f t="shared" si="131"/>
        <v>0.25649735189613176</v>
      </c>
      <c r="BK62" s="70">
        <f t="shared" si="131"/>
        <v>0.28363788417311309</v>
      </c>
      <c r="BL62" s="70">
        <f t="shared" si="131"/>
        <v>0.26044318094167684</v>
      </c>
      <c r="BM62" s="70">
        <f t="shared" si="131"/>
        <v>0.25004371801298714</v>
      </c>
      <c r="BN62" s="70">
        <f t="shared" si="131"/>
        <v>0.15523016959865163</v>
      </c>
      <c r="BO62" s="70">
        <f t="shared" si="131"/>
        <v>0.29227674979887369</v>
      </c>
      <c r="BP62" s="70">
        <f t="shared" si="131"/>
        <v>0.25986010759341016</v>
      </c>
      <c r="BQ62" s="70">
        <f t="shared" si="131"/>
        <v>0.24920243311072354</v>
      </c>
      <c r="BR62" s="70">
        <f>BR53/BR44</f>
        <v>0.26934767360299278</v>
      </c>
      <c r="CA62" s="70">
        <f t="shared" ref="CA62:CQ62" si="132">CA53/CA44</f>
        <v>0.19193567183311969</v>
      </c>
      <c r="CB62" s="70">
        <f t="shared" si="132"/>
        <v>0.21484093522422384</v>
      </c>
      <c r="CC62" s="70">
        <f t="shared" si="132"/>
        <v>0.2394664153941376</v>
      </c>
      <c r="CD62" s="70">
        <f t="shared" si="132"/>
        <v>0.26665090602397323</v>
      </c>
      <c r="CE62" s="70">
        <f t="shared" si="132"/>
        <v>0.21670469837926393</v>
      </c>
      <c r="CF62" s="70">
        <f t="shared" si="132"/>
        <v>0.21614376760852322</v>
      </c>
      <c r="CG62" s="70">
        <f t="shared" si="132"/>
        <v>0.22845773698735639</v>
      </c>
      <c r="CH62" s="70">
        <f t="shared" si="132"/>
        <v>0.211867983064288</v>
      </c>
      <c r="CI62" s="70">
        <f t="shared" si="132"/>
        <v>0.21092420845075338</v>
      </c>
      <c r="CJ62" s="70">
        <f t="shared" si="132"/>
        <v>0.22414202074587247</v>
      </c>
      <c r="CK62" s="70">
        <f t="shared" si="132"/>
        <v>0.21238094505984456</v>
      </c>
      <c r="CL62" s="70">
        <f t="shared" si="132"/>
        <v>0.20913611278072236</v>
      </c>
      <c r="CM62" s="70">
        <f t="shared" si="132"/>
        <v>0.25881793355694238</v>
      </c>
      <c r="CN62" s="70">
        <f t="shared" si="132"/>
        <v>0.25328577078706382</v>
      </c>
      <c r="CO62" s="70">
        <f t="shared" si="132"/>
        <v>0.25306234264320282</v>
      </c>
      <c r="CP62" s="70">
        <f t="shared" si="132"/>
        <v>0.23971255769943867</v>
      </c>
      <c r="CQ62" s="70">
        <f t="shared" si="132"/>
        <v>0.26947012439262819</v>
      </c>
      <c r="CR62" s="72">
        <v>0.24295027289266222</v>
      </c>
      <c r="CS62" s="72">
        <v>0.24295027289266222</v>
      </c>
      <c r="CT62" s="72">
        <v>0.24295027289266222</v>
      </c>
      <c r="CU62" s="72">
        <v>0.24295027289266222</v>
      </c>
      <c r="CV62" s="72">
        <v>0.24295027289266222</v>
      </c>
      <c r="CW62" s="72">
        <v>0.24295027289266222</v>
      </c>
      <c r="CX62" s="72">
        <v>0.24295027289266222</v>
      </c>
      <c r="CY62" s="72">
        <v>0.24295027289266222</v>
      </c>
      <c r="CZ62" s="72">
        <v>0.24295027289266222</v>
      </c>
      <c r="DA62" s="72">
        <v>0.24295027289266222</v>
      </c>
    </row>
    <row r="63" spans="2:156">
      <c r="CQ63" s="1"/>
    </row>
    <row r="64" spans="2:156">
      <c r="B64" s="1" t="s">
        <v>127</v>
      </c>
      <c r="AU64" s="68"/>
      <c r="AV64" s="68"/>
      <c r="AW64" s="68"/>
      <c r="AX64" s="68">
        <v>38016</v>
      </c>
      <c r="AY64" s="68">
        <v>36010</v>
      </c>
      <c r="AZ64" s="68">
        <v>38466</v>
      </c>
      <c r="BA64" s="68">
        <v>34050</v>
      </c>
      <c r="BB64" s="68">
        <v>34940</v>
      </c>
      <c r="BC64" s="68">
        <v>37119</v>
      </c>
      <c r="BD64" s="68">
        <v>28098</v>
      </c>
      <c r="BE64" s="68">
        <v>27502</v>
      </c>
      <c r="BF64" s="68">
        <v>23646</v>
      </c>
      <c r="BG64" s="68">
        <v>20535</v>
      </c>
      <c r="BH64" s="68">
        <v>24687</v>
      </c>
      <c r="BI64" s="68">
        <v>28408</v>
      </c>
      <c r="BJ64" s="68">
        <v>29965</v>
      </c>
      <c r="BK64" s="68">
        <v>40760</v>
      </c>
      <c r="BL64" s="68">
        <v>32695</v>
      </c>
      <c r="BM64" s="68">
        <v>25565</v>
      </c>
      <c r="BN64" s="68">
        <v>29943</v>
      </c>
      <c r="BO64" s="68">
        <v>30299</v>
      </c>
      <c r="BP64" s="68">
        <v>28162</v>
      </c>
      <c r="BQ64" s="68">
        <v>36269</v>
      </c>
      <c r="BR64" s="68">
        <v>35934</v>
      </c>
      <c r="CL64" s="1">
        <f>AX64</f>
        <v>38016</v>
      </c>
      <c r="CM64" s="1">
        <f>BB64</f>
        <v>34940</v>
      </c>
      <c r="CN64" s="1">
        <f>BF64</f>
        <v>23646</v>
      </c>
      <c r="CO64" s="68">
        <f>BJ64</f>
        <v>29965</v>
      </c>
      <c r="CP64" s="68">
        <f>BN64</f>
        <v>29943</v>
      </c>
      <c r="CQ64" s="68">
        <f>BR64</f>
        <v>35934</v>
      </c>
      <c r="CR64" s="74">
        <f>CQ64+CR53</f>
        <v>161063.70122274105</v>
      </c>
      <c r="CS64" s="74">
        <f t="shared" ref="CS64:DA64" si="133">CR64+CS53</f>
        <v>316424.59587503213</v>
      </c>
      <c r="CT64" s="74">
        <f t="shared" si="133"/>
        <v>506556.20351127017</v>
      </c>
      <c r="CU64" s="74">
        <f t="shared" si="133"/>
        <v>742714.29972504685</v>
      </c>
      <c r="CV64" s="74">
        <f t="shared" si="133"/>
        <v>1032380.1368577105</v>
      </c>
      <c r="CW64" s="74">
        <f t="shared" si="133"/>
        <v>1382218.504309569</v>
      </c>
      <c r="CX64" s="74">
        <f t="shared" si="133"/>
        <v>1800173.8008431878</v>
      </c>
      <c r="CY64" s="74">
        <f t="shared" si="133"/>
        <v>2296982.4038697942</v>
      </c>
      <c r="CZ64" s="74">
        <f t="shared" si="133"/>
        <v>2884399.0222847108</v>
      </c>
      <c r="DA64" s="74">
        <f t="shared" si="133"/>
        <v>3575423.4804183734</v>
      </c>
    </row>
    <row r="65" spans="2:156">
      <c r="B65" s="1" t="s">
        <v>128</v>
      </c>
      <c r="AU65" s="68"/>
      <c r="AV65" s="68"/>
      <c r="AW65" s="68"/>
      <c r="AX65" s="68">
        <v>52927</v>
      </c>
      <c r="AY65" s="68">
        <v>40816</v>
      </c>
      <c r="AZ65" s="68">
        <v>31368</v>
      </c>
      <c r="BA65" s="68">
        <v>27646</v>
      </c>
      <c r="BB65" s="68">
        <v>27699</v>
      </c>
      <c r="BC65" s="68">
        <v>26794</v>
      </c>
      <c r="BD65" s="68">
        <v>23413</v>
      </c>
      <c r="BE65" s="68">
        <v>20729</v>
      </c>
      <c r="BF65" s="68">
        <v>24658</v>
      </c>
      <c r="BG65" s="68">
        <v>30820</v>
      </c>
      <c r="BH65" s="68">
        <v>31185</v>
      </c>
      <c r="BI65" s="68">
        <v>34074</v>
      </c>
      <c r="BJ65" s="68">
        <v>31590</v>
      </c>
      <c r="BK65" s="68">
        <v>32340</v>
      </c>
      <c r="BL65" s="68">
        <v>34455</v>
      </c>
      <c r="BM65" s="68">
        <v>36236</v>
      </c>
      <c r="BN65" s="68">
        <v>35228</v>
      </c>
      <c r="BO65" s="68">
        <v>23476</v>
      </c>
      <c r="BP65" s="68">
        <v>20336</v>
      </c>
      <c r="BQ65" s="68">
        <v>19103</v>
      </c>
      <c r="BR65" s="68">
        <v>18763</v>
      </c>
      <c r="CL65" s="1">
        <f t="shared" ref="CL65:CL73" si="134">AX65</f>
        <v>52927</v>
      </c>
      <c r="CM65" s="1">
        <f t="shared" ref="CM65:CM73" si="135">BB65</f>
        <v>27699</v>
      </c>
      <c r="CN65" s="1">
        <f t="shared" ref="CN65:CN73" si="136">BF65</f>
        <v>24658</v>
      </c>
      <c r="CO65" s="1">
        <f t="shared" ref="CO65:CO73" si="137">BJ65</f>
        <v>31590</v>
      </c>
      <c r="CP65" s="1">
        <f t="shared" ref="CP65:CP73" si="138">BN65</f>
        <v>35228</v>
      </c>
      <c r="CQ65" s="1">
        <f t="shared" ref="CQ65:CQ73" si="139">BO65</f>
        <v>23476</v>
      </c>
    </row>
    <row r="66" spans="2:156">
      <c r="B66" s="1" t="s">
        <v>1534</v>
      </c>
      <c r="AU66" s="68"/>
      <c r="AV66" s="68"/>
      <c r="AW66" s="68"/>
      <c r="AX66" s="68">
        <v>16120</v>
      </c>
      <c r="AY66" s="68">
        <v>27101</v>
      </c>
      <c r="AZ66" s="68">
        <v>18503</v>
      </c>
      <c r="BA66" s="68">
        <v>17475</v>
      </c>
      <c r="BB66" s="68">
        <v>26278</v>
      </c>
      <c r="BC66" s="68">
        <v>30213</v>
      </c>
      <c r="BD66" s="68">
        <v>20815</v>
      </c>
      <c r="BE66" s="68">
        <v>21803</v>
      </c>
      <c r="BF66" s="68">
        <v>28184</v>
      </c>
      <c r="BG66" s="68">
        <v>23752</v>
      </c>
      <c r="BH66" s="68">
        <v>17936</v>
      </c>
      <c r="BI66" s="68">
        <v>19549</v>
      </c>
      <c r="BJ66" s="68">
        <v>29508</v>
      </c>
      <c r="BK66" s="68">
        <v>23194</v>
      </c>
      <c r="BL66" s="68">
        <v>21837</v>
      </c>
      <c r="BM66" s="68">
        <v>22795</v>
      </c>
      <c r="BN66" s="68">
        <v>33410</v>
      </c>
      <c r="BO66" s="68">
        <v>29639</v>
      </c>
      <c r="BP66" s="68">
        <v>26136</v>
      </c>
      <c r="BQ66" s="68">
        <v>27557</v>
      </c>
      <c r="BR66" s="68">
        <v>39777</v>
      </c>
      <c r="CL66" s="1">
        <f t="shared" si="134"/>
        <v>16120</v>
      </c>
      <c r="CM66" s="1">
        <f t="shared" si="135"/>
        <v>26278</v>
      </c>
      <c r="CN66" s="1">
        <f t="shared" si="136"/>
        <v>28184</v>
      </c>
      <c r="CO66" s="1">
        <f t="shared" si="137"/>
        <v>29508</v>
      </c>
      <c r="CP66" s="1">
        <f t="shared" si="138"/>
        <v>33410</v>
      </c>
      <c r="CQ66" s="1">
        <f t="shared" si="139"/>
        <v>29639</v>
      </c>
      <c r="CS66" s="47" t="s">
        <v>170</v>
      </c>
      <c r="CT66" s="48"/>
      <c r="CU66" s="48"/>
      <c r="CV66" s="47" t="s">
        <v>171</v>
      </c>
      <c r="CW66" s="48"/>
      <c r="CX66" s="49" t="s">
        <v>172</v>
      </c>
      <c r="CY66" s="48"/>
      <c r="CZ66" s="50" t="s">
        <v>173</v>
      </c>
      <c r="DA66" s="51">
        <v>0.20250000000000001</v>
      </c>
      <c r="DB66" s="48"/>
    </row>
    <row r="67" spans="2:156" ht="13.5" customHeight="1">
      <c r="B67" s="1" t="s">
        <v>1535</v>
      </c>
      <c r="AU67" s="68"/>
      <c r="AV67" s="68"/>
      <c r="AW67" s="68"/>
      <c r="AX67" s="68">
        <v>4061</v>
      </c>
      <c r="AY67" s="68">
        <v>4973</v>
      </c>
      <c r="AZ67" s="68">
        <v>5219</v>
      </c>
      <c r="BA67" s="68">
        <v>5178</v>
      </c>
      <c r="BB67" s="68">
        <v>6580</v>
      </c>
      <c r="BC67" s="68">
        <v>5876</v>
      </c>
      <c r="BD67" s="68">
        <v>5460</v>
      </c>
      <c r="BE67" s="68">
        <v>5433</v>
      </c>
      <c r="BF67" s="68">
        <v>32748</v>
      </c>
      <c r="BG67" s="68">
        <v>6820</v>
      </c>
      <c r="BH67" s="68">
        <v>7482</v>
      </c>
      <c r="BI67" s="68">
        <v>7351</v>
      </c>
      <c r="BJ67" s="68">
        <v>31477</v>
      </c>
      <c r="BK67" s="68">
        <v>26908</v>
      </c>
      <c r="BL67" s="68">
        <v>19313</v>
      </c>
      <c r="BM67" s="68">
        <v>20377</v>
      </c>
      <c r="BN67" s="68">
        <v>32833</v>
      </c>
      <c r="BO67" s="68">
        <v>29667</v>
      </c>
      <c r="BP67" s="68">
        <v>23662</v>
      </c>
      <c r="BQ67" s="68">
        <v>19278</v>
      </c>
      <c r="BR67" s="68">
        <v>33180</v>
      </c>
      <c r="CL67" s="1">
        <f t="shared" si="134"/>
        <v>4061</v>
      </c>
      <c r="CM67" s="1">
        <f t="shared" si="135"/>
        <v>6580</v>
      </c>
      <c r="CN67" s="1">
        <f t="shared" si="136"/>
        <v>32748</v>
      </c>
      <c r="CO67" s="1">
        <f t="shared" si="137"/>
        <v>31477</v>
      </c>
      <c r="CP67" s="1">
        <f t="shared" si="138"/>
        <v>32833</v>
      </c>
      <c r="CQ67" s="1">
        <f t="shared" si="139"/>
        <v>29667</v>
      </c>
      <c r="CS67" s="48">
        <v>2025</v>
      </c>
      <c r="CT67" s="48"/>
      <c r="CU67" s="48">
        <v>2023</v>
      </c>
      <c r="CV67" s="48">
        <v>2024</v>
      </c>
      <c r="CW67" s="48"/>
      <c r="CX67" s="49" t="s">
        <v>174</v>
      </c>
      <c r="CY67" s="48"/>
      <c r="CZ67" s="50" t="s">
        <v>175</v>
      </c>
      <c r="DA67" s="51">
        <v>0.02</v>
      </c>
      <c r="DB67" s="48"/>
    </row>
    <row r="68" spans="2:156" ht="13.5" customHeight="1">
      <c r="B68" s="1" t="s">
        <v>1536</v>
      </c>
      <c r="AU68" s="68"/>
      <c r="AV68" s="68"/>
      <c r="AW68" s="68"/>
      <c r="AX68" s="68">
        <v>21325</v>
      </c>
      <c r="AY68" s="68">
        <v>31519</v>
      </c>
      <c r="AZ68" s="68">
        <v>14533</v>
      </c>
      <c r="BA68" s="68">
        <v>16433</v>
      </c>
      <c r="BB68" s="68">
        <v>25228</v>
      </c>
      <c r="BC68" s="68">
        <v>35040</v>
      </c>
      <c r="BD68" s="68">
        <v>24585</v>
      </c>
      <c r="BE68" s="68">
        <v>20439</v>
      </c>
      <c r="BF68" s="68">
        <v>4946</v>
      </c>
      <c r="BG68" s="68">
        <v>30428</v>
      </c>
      <c r="BH68" s="68">
        <v>17963</v>
      </c>
      <c r="BI68" s="68">
        <v>19637</v>
      </c>
      <c r="BJ68" s="68">
        <v>6331</v>
      </c>
      <c r="BK68" s="68">
        <v>6511</v>
      </c>
      <c r="BL68" s="68">
        <v>6232</v>
      </c>
      <c r="BM68" s="68">
        <v>6165</v>
      </c>
      <c r="BN68" s="68">
        <v>7286</v>
      </c>
      <c r="BO68" s="68">
        <v>6911</v>
      </c>
      <c r="BP68" s="68">
        <v>6269</v>
      </c>
      <c r="BQ68" s="68">
        <v>5925</v>
      </c>
      <c r="BR68" s="68">
        <v>5718</v>
      </c>
      <c r="CL68" s="1">
        <f t="shared" si="134"/>
        <v>21325</v>
      </c>
      <c r="CM68" s="1">
        <f t="shared" si="135"/>
        <v>25228</v>
      </c>
      <c r="CN68" s="1">
        <f t="shared" si="136"/>
        <v>4946</v>
      </c>
      <c r="CO68" s="1">
        <f t="shared" si="137"/>
        <v>6331</v>
      </c>
      <c r="CP68" s="1">
        <f t="shared" si="138"/>
        <v>7286</v>
      </c>
      <c r="CQ68" s="1">
        <f t="shared" si="139"/>
        <v>6911</v>
      </c>
      <c r="CS68" s="52">
        <f>AVERAGE(CR49)*(1-CR61)</f>
        <v>119162.86052274106</v>
      </c>
      <c r="CT68" s="48"/>
      <c r="CU68" s="52">
        <f>SUM(CP64:CP69)-CP75+CP71+CP72</f>
        <v>204541</v>
      </c>
      <c r="CV68" s="52">
        <f>SUM(CQ64:CQ69)-CQ75+CQ71+CQ72</f>
        <v>200217</v>
      </c>
      <c r="CW68" s="48"/>
      <c r="CX68" s="52">
        <f>AVERAGE(CU68:CV68)</f>
        <v>202379</v>
      </c>
      <c r="CY68" s="48"/>
      <c r="CZ68" s="50" t="s">
        <v>176</v>
      </c>
      <c r="DA68" s="51">
        <v>3.9899999999999998E-2</v>
      </c>
      <c r="DB68" s="48"/>
    </row>
    <row r="69" spans="2:156" ht="13.5" customHeight="1">
      <c r="B69" s="1" t="s">
        <v>1537</v>
      </c>
      <c r="AU69" s="68"/>
      <c r="AV69" s="68"/>
      <c r="AW69" s="68"/>
      <c r="AX69" s="68">
        <v>11264</v>
      </c>
      <c r="AY69" s="68">
        <v>13687</v>
      </c>
      <c r="AZ69" s="68">
        <v>13376</v>
      </c>
      <c r="BA69" s="68">
        <v>13641</v>
      </c>
      <c r="BB69" s="68">
        <v>14111</v>
      </c>
      <c r="BC69" s="68">
        <v>18112</v>
      </c>
      <c r="BD69" s="68">
        <v>15809</v>
      </c>
      <c r="BE69" s="68">
        <v>16386</v>
      </c>
      <c r="BF69" s="68">
        <v>21223</v>
      </c>
      <c r="BG69" s="68">
        <v>16422</v>
      </c>
      <c r="BH69" s="68">
        <v>13660</v>
      </c>
      <c r="BI69" s="68">
        <v>13640</v>
      </c>
      <c r="BJ69" s="68">
        <v>14695</v>
      </c>
      <c r="BK69" s="68">
        <v>13979</v>
      </c>
      <c r="BL69" s="68">
        <v>13884</v>
      </c>
      <c r="BM69" s="68">
        <v>14297</v>
      </c>
      <c r="BN69" s="68">
        <v>14287</v>
      </c>
      <c r="BO69" s="68">
        <v>13248</v>
      </c>
      <c r="BP69" s="68">
        <v>14109</v>
      </c>
      <c r="BQ69" s="68">
        <v>14359</v>
      </c>
      <c r="BR69" s="68">
        <v>14585</v>
      </c>
      <c r="CL69" s="1">
        <f t="shared" si="134"/>
        <v>11264</v>
      </c>
      <c r="CM69" s="1">
        <f t="shared" si="135"/>
        <v>14111</v>
      </c>
      <c r="CN69" s="1">
        <f t="shared" si="136"/>
        <v>21223</v>
      </c>
      <c r="CO69" s="1">
        <f t="shared" si="137"/>
        <v>14695</v>
      </c>
      <c r="CP69" s="1">
        <f t="shared" si="138"/>
        <v>14287</v>
      </c>
      <c r="CQ69" s="1">
        <f t="shared" si="139"/>
        <v>13248</v>
      </c>
      <c r="CS69" s="53">
        <f>CS68/CX68</f>
        <v>0.58881040287154818</v>
      </c>
      <c r="CT69" s="48"/>
      <c r="CU69" s="48"/>
      <c r="CV69" s="48"/>
      <c r="CW69" s="48"/>
      <c r="CX69" s="48"/>
      <c r="CY69" s="48"/>
      <c r="CZ69" s="50" t="s">
        <v>177</v>
      </c>
      <c r="DA69" s="51">
        <f>9.25%-DA68</f>
        <v>5.2600000000000001E-2</v>
      </c>
      <c r="DB69" s="48"/>
    </row>
    <row r="70" spans="2:156" ht="13.5" customHeight="1">
      <c r="B70" s="1" t="s">
        <v>1538</v>
      </c>
      <c r="AU70" s="68"/>
      <c r="AV70" s="68"/>
      <c r="AW70" s="68"/>
      <c r="AX70" s="68">
        <v>100887</v>
      </c>
      <c r="AY70" s="68">
        <v>118745</v>
      </c>
      <c r="AZ70" s="68">
        <v>134539</v>
      </c>
      <c r="BA70" s="68">
        <v>131948</v>
      </c>
      <c r="BB70" s="68">
        <v>127877</v>
      </c>
      <c r="BC70" s="68">
        <v>138683</v>
      </c>
      <c r="BD70" s="68">
        <v>141219</v>
      </c>
      <c r="BE70" s="68">
        <v>131077</v>
      </c>
      <c r="BF70" s="68">
        <v>120805</v>
      </c>
      <c r="BG70" s="68">
        <v>114095</v>
      </c>
      <c r="BH70" s="68">
        <v>110461</v>
      </c>
      <c r="BI70" s="68">
        <v>104061</v>
      </c>
      <c r="BJ70" s="68">
        <v>100544</v>
      </c>
      <c r="BK70" s="68">
        <v>99475</v>
      </c>
      <c r="BL70" s="68">
        <v>95187</v>
      </c>
      <c r="BM70" s="68">
        <v>91240</v>
      </c>
      <c r="BN70" s="68">
        <v>91479</v>
      </c>
      <c r="BO70" s="68">
        <v>87593</v>
      </c>
      <c r="BP70" s="68">
        <v>84424</v>
      </c>
      <c r="BQ70" s="68">
        <v>77614</v>
      </c>
      <c r="BR70" s="68">
        <v>77723</v>
      </c>
      <c r="CL70" s="1">
        <f t="shared" si="134"/>
        <v>100887</v>
      </c>
      <c r="CM70" s="1">
        <f t="shared" si="135"/>
        <v>127877</v>
      </c>
      <c r="CN70" s="1">
        <f t="shared" si="136"/>
        <v>120805</v>
      </c>
      <c r="CO70" s="1">
        <f t="shared" si="137"/>
        <v>100544</v>
      </c>
      <c r="CP70" s="1">
        <f t="shared" si="138"/>
        <v>91479</v>
      </c>
      <c r="CQ70" s="1">
        <f t="shared" si="139"/>
        <v>87593</v>
      </c>
      <c r="CS70" s="48"/>
      <c r="CT70" s="48"/>
      <c r="CU70" s="48"/>
      <c r="CV70" s="48"/>
      <c r="CW70" s="48"/>
      <c r="CX70" s="48"/>
      <c r="CY70" s="48"/>
      <c r="CZ70" s="50" t="s">
        <v>178</v>
      </c>
      <c r="DA70" s="48">
        <f>'Notes | Quant Analysis'!K240</f>
        <v>1.1100000000000001</v>
      </c>
      <c r="DB70" s="48"/>
    </row>
    <row r="71" spans="2:156" ht="13.5" customHeight="1">
      <c r="B71" s="1" t="s">
        <v>1541</v>
      </c>
      <c r="AU71" s="68"/>
      <c r="AV71" s="68"/>
      <c r="AW71" s="68"/>
      <c r="AX71" s="68">
        <v>36766</v>
      </c>
      <c r="AY71" s="68">
        <v>37933</v>
      </c>
      <c r="AZ71" s="68">
        <v>37815</v>
      </c>
      <c r="BA71" s="68">
        <v>38615</v>
      </c>
      <c r="BB71" s="68">
        <v>39440</v>
      </c>
      <c r="BC71" s="68">
        <v>39245</v>
      </c>
      <c r="BD71" s="68">
        <v>39304</v>
      </c>
      <c r="BE71" s="68">
        <v>40335</v>
      </c>
      <c r="BF71" s="68">
        <v>42117</v>
      </c>
      <c r="BG71" s="68">
        <v>42951</v>
      </c>
      <c r="BH71" s="68">
        <v>43398</v>
      </c>
      <c r="BI71" s="68">
        <v>43550</v>
      </c>
      <c r="BJ71" s="68">
        <v>43715</v>
      </c>
      <c r="BK71" s="68">
        <v>43666</v>
      </c>
      <c r="BL71" s="68">
        <v>43546</v>
      </c>
      <c r="BM71" s="68">
        <v>44502</v>
      </c>
      <c r="BN71" s="68">
        <v>45680</v>
      </c>
      <c r="BO71" s="68">
        <v>46069</v>
      </c>
      <c r="BP71" s="68">
        <v>46876</v>
      </c>
      <c r="BQ71" s="68">
        <v>48508</v>
      </c>
      <c r="BR71" s="68">
        <v>49834</v>
      </c>
      <c r="CL71" s="1">
        <f t="shared" si="134"/>
        <v>36766</v>
      </c>
      <c r="CM71" s="1">
        <f t="shared" si="135"/>
        <v>39440</v>
      </c>
      <c r="CN71" s="1">
        <f t="shared" si="136"/>
        <v>42117</v>
      </c>
      <c r="CO71" s="1">
        <f t="shared" si="137"/>
        <v>43715</v>
      </c>
      <c r="CP71" s="1">
        <f t="shared" si="138"/>
        <v>45680</v>
      </c>
      <c r="CQ71" s="1">
        <f t="shared" si="139"/>
        <v>46069</v>
      </c>
      <c r="CS71" s="48"/>
      <c r="CT71" s="48"/>
      <c r="CU71" s="48"/>
      <c r="CV71" s="48"/>
      <c r="CW71" s="48"/>
      <c r="CX71" s="48"/>
      <c r="CY71" s="48"/>
      <c r="CZ71" s="50" t="s">
        <v>179</v>
      </c>
      <c r="DA71" s="51">
        <f>+DA68+(DA69*DA70)</f>
        <v>9.8286000000000012E-2</v>
      </c>
      <c r="DB71" s="54"/>
    </row>
    <row r="72" spans="2:156" ht="13.5" customHeight="1">
      <c r="B72" s="1" t="s">
        <v>1539</v>
      </c>
      <c r="AU72" s="68"/>
      <c r="AV72" s="68"/>
      <c r="AW72" s="68"/>
      <c r="AX72" s="68">
        <v>42522</v>
      </c>
      <c r="AY72" s="68">
        <v>43270</v>
      </c>
      <c r="AZ72" s="68">
        <v>43339</v>
      </c>
      <c r="BA72" s="68">
        <v>44854</v>
      </c>
      <c r="BB72" s="68">
        <v>48849</v>
      </c>
      <c r="BC72" s="68">
        <v>50109</v>
      </c>
      <c r="BD72" s="68">
        <v>51959</v>
      </c>
      <c r="BE72" s="68">
        <v>52605</v>
      </c>
      <c r="BF72" s="68">
        <v>54428</v>
      </c>
      <c r="BG72" s="68">
        <v>60924</v>
      </c>
      <c r="BH72" s="68">
        <v>65388</v>
      </c>
      <c r="BI72" s="68">
        <v>64768</v>
      </c>
      <c r="BJ72" s="68">
        <v>64758</v>
      </c>
      <c r="BK72" s="68">
        <v>66681</v>
      </c>
      <c r="BL72" s="68">
        <v>70262</v>
      </c>
      <c r="BM72" s="68">
        <v>70435</v>
      </c>
      <c r="BN72" s="68">
        <v>74834</v>
      </c>
      <c r="BO72" s="68">
        <v>77183</v>
      </c>
      <c r="BP72" s="68">
        <v>81259</v>
      </c>
      <c r="BQ72" s="68">
        <v>82882</v>
      </c>
      <c r="BR72" s="68">
        <v>83727</v>
      </c>
      <c r="CL72" s="1">
        <f t="shared" si="134"/>
        <v>42522</v>
      </c>
      <c r="CM72" s="1">
        <f t="shared" si="135"/>
        <v>48849</v>
      </c>
      <c r="CN72" s="1">
        <f t="shared" si="136"/>
        <v>54428</v>
      </c>
      <c r="CO72" s="1">
        <f t="shared" si="137"/>
        <v>64758</v>
      </c>
      <c r="CP72" s="1">
        <f t="shared" si="138"/>
        <v>74834</v>
      </c>
      <c r="CQ72" s="1">
        <f t="shared" si="139"/>
        <v>77183</v>
      </c>
      <c r="CS72" s="54"/>
      <c r="CT72" s="54"/>
      <c r="CU72" s="54"/>
      <c r="CV72" s="54"/>
      <c r="CW72" s="54"/>
      <c r="CX72" s="54"/>
      <c r="CY72" s="54"/>
      <c r="CZ72" s="50"/>
      <c r="DA72" s="48"/>
      <c r="DB72" s="48"/>
    </row>
    <row r="73" spans="2:156" s="2" customFormat="1" ht="13.5" customHeight="1">
      <c r="B73" s="2" t="s">
        <v>1540</v>
      </c>
      <c r="AU73" s="69"/>
      <c r="AV73" s="69"/>
      <c r="AW73" s="69"/>
      <c r="AX73" s="69">
        <f t="shared" ref="AX73" si="140">SUM(AX64:AX72)</f>
        <v>323888</v>
      </c>
      <c r="AY73" s="69">
        <f t="shared" ref="AY73:BR73" si="141">SUM(AY64:AY72)</f>
        <v>354054</v>
      </c>
      <c r="AZ73" s="69">
        <f t="shared" si="141"/>
        <v>337158</v>
      </c>
      <c r="BA73" s="69">
        <f t="shared" si="141"/>
        <v>329840</v>
      </c>
      <c r="BB73" s="69">
        <f t="shared" si="141"/>
        <v>351002</v>
      </c>
      <c r="BC73" s="69">
        <f t="shared" si="141"/>
        <v>381191</v>
      </c>
      <c r="BD73" s="69">
        <f t="shared" si="141"/>
        <v>350662</v>
      </c>
      <c r="BE73" s="69">
        <f t="shared" si="141"/>
        <v>336309</v>
      </c>
      <c r="BF73" s="69">
        <f t="shared" si="141"/>
        <v>352755</v>
      </c>
      <c r="BG73" s="69">
        <f t="shared" si="141"/>
        <v>346747</v>
      </c>
      <c r="BH73" s="69">
        <f t="shared" si="141"/>
        <v>332160</v>
      </c>
      <c r="BI73" s="69">
        <f t="shared" si="141"/>
        <v>335038</v>
      </c>
      <c r="BJ73" s="69">
        <f t="shared" si="141"/>
        <v>352583</v>
      </c>
      <c r="BK73" s="69">
        <f t="shared" si="141"/>
        <v>353514</v>
      </c>
      <c r="BL73" s="69">
        <f t="shared" si="141"/>
        <v>337411</v>
      </c>
      <c r="BM73" s="69">
        <f t="shared" si="141"/>
        <v>331612</v>
      </c>
      <c r="BN73" s="69">
        <f t="shared" si="141"/>
        <v>364980</v>
      </c>
      <c r="BO73" s="69">
        <f t="shared" si="141"/>
        <v>344085</v>
      </c>
      <c r="BP73" s="69">
        <f t="shared" si="141"/>
        <v>331233</v>
      </c>
      <c r="BQ73" s="69">
        <f t="shared" si="141"/>
        <v>331495</v>
      </c>
      <c r="BR73" s="69">
        <f t="shared" si="141"/>
        <v>359241</v>
      </c>
      <c r="BS73" s="34"/>
      <c r="BT73" s="34"/>
      <c r="BU73" s="34"/>
      <c r="BV73" s="34"/>
      <c r="CL73" s="2">
        <f t="shared" si="134"/>
        <v>323888</v>
      </c>
      <c r="CM73" s="2">
        <f t="shared" si="135"/>
        <v>351002</v>
      </c>
      <c r="CN73" s="2">
        <f t="shared" si="136"/>
        <v>352755</v>
      </c>
      <c r="CO73" s="2">
        <f t="shared" si="137"/>
        <v>352583</v>
      </c>
      <c r="CP73" s="2">
        <f t="shared" si="138"/>
        <v>364980</v>
      </c>
      <c r="CQ73" s="2">
        <f t="shared" si="139"/>
        <v>344085</v>
      </c>
      <c r="CS73" s="54"/>
      <c r="CT73" s="54"/>
      <c r="CU73" s="54"/>
      <c r="CV73" s="54"/>
      <c r="CW73" s="54"/>
      <c r="CX73" s="54"/>
      <c r="CY73" s="54"/>
      <c r="CZ73" s="50" t="s">
        <v>180</v>
      </c>
      <c r="DA73" s="76">
        <f>NPV(DA71,CR53:EO53)</f>
        <v>4646193.2668503616</v>
      </c>
      <c r="DB73" s="76"/>
      <c r="DC73" s="34"/>
      <c r="DD73" s="34"/>
      <c r="DE73" s="34"/>
      <c r="DF73" s="34"/>
      <c r="DG73" s="34"/>
      <c r="DH73" s="34"/>
      <c r="DI73" s="34"/>
      <c r="DJ73" s="34"/>
      <c r="DK73" s="34"/>
      <c r="DL73" s="34"/>
      <c r="DM73" s="34"/>
      <c r="DN73" s="34"/>
      <c r="DO73" s="34"/>
      <c r="DP73" s="34"/>
      <c r="DQ73" s="34"/>
      <c r="DR73" s="34"/>
      <c r="DS73" s="34"/>
      <c r="DT73" s="34"/>
      <c r="DU73" s="34"/>
      <c r="DV73" s="34"/>
      <c r="DW73" s="34"/>
      <c r="DX73" s="34"/>
      <c r="DY73" s="34"/>
      <c r="DZ73" s="34"/>
      <c r="EA73" s="34"/>
      <c r="EB73" s="34"/>
      <c r="EC73" s="34"/>
      <c r="ED73" s="34"/>
      <c r="EE73" s="34"/>
      <c r="EF73" s="34"/>
      <c r="EG73" s="34"/>
      <c r="EH73" s="34"/>
      <c r="EI73" s="34"/>
      <c r="EJ73" s="34"/>
      <c r="EK73" s="34"/>
      <c r="EL73" s="34"/>
      <c r="EM73" s="34"/>
      <c r="EN73" s="34"/>
      <c r="EO73" s="34"/>
      <c r="EP73" s="34"/>
      <c r="EQ73" s="34"/>
      <c r="ER73" s="34"/>
      <c r="ES73" s="34"/>
      <c r="ET73" s="34"/>
      <c r="EU73" s="34"/>
      <c r="EV73" s="34"/>
      <c r="EW73" s="34"/>
      <c r="EX73" s="34"/>
      <c r="EY73" s="34"/>
      <c r="EZ73" s="34"/>
    </row>
    <row r="74" spans="2:156" ht="13.5" customHeight="1">
      <c r="CS74" s="48"/>
      <c r="CT74" s="48"/>
      <c r="CU74" s="48"/>
      <c r="CV74" s="48"/>
      <c r="CW74" s="48"/>
      <c r="CX74" s="48"/>
      <c r="CY74" s="48"/>
      <c r="CZ74" s="50" t="s">
        <v>140</v>
      </c>
      <c r="DA74" s="52">
        <f>Main!C4</f>
        <v>14840</v>
      </c>
      <c r="DB74" s="55" t="s">
        <v>181</v>
      </c>
    </row>
    <row r="75" spans="2:156" ht="13.5" customHeight="1">
      <c r="B75" s="1" t="s">
        <v>1542</v>
      </c>
      <c r="AX75" s="1">
        <v>42296</v>
      </c>
      <c r="AY75" s="1">
        <v>63846</v>
      </c>
      <c r="AZ75" s="1">
        <v>40127</v>
      </c>
      <c r="BA75" s="1">
        <v>40409</v>
      </c>
      <c r="BB75" s="1">
        <v>54763</v>
      </c>
      <c r="BC75" s="1">
        <v>74362</v>
      </c>
      <c r="BD75" s="1">
        <v>52682</v>
      </c>
      <c r="BE75" s="1">
        <v>48343</v>
      </c>
      <c r="BF75" s="1">
        <v>64115</v>
      </c>
      <c r="BG75" s="1">
        <v>57918</v>
      </c>
      <c r="BH75" s="1">
        <v>42945</v>
      </c>
      <c r="BI75" s="1">
        <v>46699</v>
      </c>
      <c r="BJ75" s="1">
        <v>62611</v>
      </c>
      <c r="BK75" s="1">
        <v>58146</v>
      </c>
      <c r="BL75" s="1">
        <v>45753</v>
      </c>
      <c r="BM75" s="1">
        <v>47574</v>
      </c>
      <c r="BN75" s="1">
        <v>68960</v>
      </c>
      <c r="BO75" s="1">
        <v>61910</v>
      </c>
      <c r="BP75" s="1">
        <v>54126</v>
      </c>
      <c r="BQ75" s="1">
        <v>50374</v>
      </c>
      <c r="BR75" s="1">
        <v>69860</v>
      </c>
      <c r="CL75" s="1">
        <f t="shared" ref="CL75:CL84" si="142">AX75</f>
        <v>42296</v>
      </c>
      <c r="CM75" s="1">
        <f t="shared" ref="CM75:CM84" si="143">BB75</f>
        <v>54763</v>
      </c>
      <c r="CN75" s="1">
        <f t="shared" ref="CN75:CN84" si="144">BF75</f>
        <v>64115</v>
      </c>
      <c r="CO75" s="1">
        <f t="shared" ref="CO75:CO84" si="145">BJ75</f>
        <v>62611</v>
      </c>
      <c r="CP75" s="1">
        <f t="shared" ref="CP75:CP84" si="146">BN75</f>
        <v>68960</v>
      </c>
      <c r="CQ75" s="1">
        <f t="shared" ref="CQ75:CQ84" si="147">BO75</f>
        <v>61910</v>
      </c>
      <c r="CS75" s="48"/>
      <c r="CT75" s="48"/>
      <c r="CU75" s="48"/>
      <c r="CV75" s="48"/>
      <c r="CW75" s="48"/>
      <c r="CX75" s="48"/>
      <c r="CY75" s="48"/>
      <c r="CZ75" s="50" t="s">
        <v>182</v>
      </c>
      <c r="DA75" s="56">
        <f>DA73/DA74</f>
        <v>313.08579965298935</v>
      </c>
      <c r="DB75" s="47"/>
    </row>
    <row r="76" spans="2:156" ht="13.5" customHeight="1">
      <c r="B76" s="1" t="s">
        <v>1543</v>
      </c>
      <c r="AX76" s="1">
        <v>42684</v>
      </c>
      <c r="AY76" s="1">
        <v>48504</v>
      </c>
      <c r="AZ76" s="1">
        <v>45660</v>
      </c>
      <c r="BA76" s="1">
        <v>43625</v>
      </c>
      <c r="BB76" s="1">
        <v>47493</v>
      </c>
      <c r="BC76" s="1">
        <v>49167</v>
      </c>
      <c r="BD76" s="1">
        <v>50248</v>
      </c>
      <c r="BE76" s="1">
        <v>48811</v>
      </c>
      <c r="BF76" s="1">
        <v>60845</v>
      </c>
      <c r="BG76" s="1">
        <v>59893</v>
      </c>
      <c r="BH76" s="1">
        <v>56425</v>
      </c>
      <c r="BI76" s="1">
        <v>58897</v>
      </c>
      <c r="BJ76" s="1">
        <v>58829</v>
      </c>
      <c r="BK76" s="1">
        <v>54611</v>
      </c>
      <c r="BL76" s="1">
        <v>57298</v>
      </c>
      <c r="BM76" s="1">
        <v>60889</v>
      </c>
      <c r="BN76" s="1">
        <v>78304</v>
      </c>
      <c r="BO76" s="1">
        <v>61151</v>
      </c>
      <c r="BP76" s="1">
        <v>61849</v>
      </c>
      <c r="BQ76" s="1">
        <v>62499</v>
      </c>
      <c r="BR76" s="1">
        <v>66387</v>
      </c>
      <c r="CL76" s="1">
        <f t="shared" si="142"/>
        <v>42684</v>
      </c>
      <c r="CM76" s="1">
        <f t="shared" si="143"/>
        <v>47493</v>
      </c>
      <c r="CN76" s="1">
        <f t="shared" si="144"/>
        <v>60845</v>
      </c>
      <c r="CO76" s="1">
        <f t="shared" si="145"/>
        <v>58829</v>
      </c>
      <c r="CP76" s="1">
        <f t="shared" si="146"/>
        <v>78304</v>
      </c>
      <c r="CQ76" s="1">
        <f t="shared" si="147"/>
        <v>61151</v>
      </c>
      <c r="CS76" s="48"/>
      <c r="CT76" s="48"/>
      <c r="CU76" s="48"/>
      <c r="CV76" s="48"/>
      <c r="CW76" s="48"/>
      <c r="CX76" s="48"/>
      <c r="CY76" s="48"/>
      <c r="CZ76" s="50" t="s">
        <v>183</v>
      </c>
      <c r="DA76" s="56">
        <f>Main!C3</f>
        <v>259.37</v>
      </c>
      <c r="DB76" s="57"/>
    </row>
    <row r="77" spans="2:156" ht="13.5" customHeight="1">
      <c r="B77" s="1" t="s">
        <v>1544</v>
      </c>
      <c r="AX77" s="1">
        <v>6643</v>
      </c>
      <c r="AY77" s="1">
        <v>7395</v>
      </c>
      <c r="AZ77" s="1">
        <v>7595</v>
      </c>
      <c r="BA77" s="1">
        <v>7681</v>
      </c>
      <c r="BB77" s="1">
        <v>7612</v>
      </c>
      <c r="BC77" s="1">
        <v>7876</v>
      </c>
      <c r="BD77" s="1">
        <v>7920</v>
      </c>
      <c r="BE77" s="1">
        <v>7728</v>
      </c>
      <c r="BF77" s="1">
        <v>7912</v>
      </c>
      <c r="BG77" s="1">
        <v>7992</v>
      </c>
      <c r="BH77" s="1">
        <v>8131</v>
      </c>
      <c r="BI77" s="1">
        <v>8158</v>
      </c>
      <c r="BJ77" s="1">
        <v>8061</v>
      </c>
      <c r="BK77" s="1">
        <v>8264</v>
      </c>
      <c r="BL77" s="1">
        <v>8012</v>
      </c>
      <c r="BM77" s="1">
        <v>8053</v>
      </c>
      <c r="BN77" s="1">
        <v>8249</v>
      </c>
      <c r="BO77" s="1">
        <v>8461</v>
      </c>
      <c r="BP77" s="1">
        <v>8976</v>
      </c>
      <c r="BQ77" s="1">
        <v>8979</v>
      </c>
      <c r="BR77" s="1">
        <v>9055</v>
      </c>
      <c r="CL77" s="1">
        <f t="shared" si="142"/>
        <v>6643</v>
      </c>
      <c r="CM77" s="1">
        <f t="shared" si="143"/>
        <v>7612</v>
      </c>
      <c r="CN77" s="1">
        <f t="shared" si="144"/>
        <v>7912</v>
      </c>
      <c r="CO77" s="1">
        <f t="shared" si="145"/>
        <v>8061</v>
      </c>
      <c r="CP77" s="1">
        <f t="shared" si="146"/>
        <v>8249</v>
      </c>
      <c r="CQ77" s="1">
        <f t="shared" si="147"/>
        <v>8461</v>
      </c>
      <c r="CS77" s="54"/>
      <c r="CT77" s="54"/>
      <c r="CU77" s="54"/>
      <c r="CV77" s="54"/>
      <c r="CW77" s="54"/>
      <c r="CX77" s="54"/>
      <c r="CY77" s="54"/>
      <c r="CZ77" s="50" t="s">
        <v>184</v>
      </c>
      <c r="DA77" s="51">
        <f>DA75/DA76-1</f>
        <v>0.20710105121251243</v>
      </c>
      <c r="DB77" s="58" t="str">
        <f>IF(DA77&gt;0,"Upside","Downside")</f>
        <v>Upside</v>
      </c>
    </row>
    <row r="78" spans="2:156" ht="13.5" customHeight="1">
      <c r="B78" s="1" t="s">
        <v>1545</v>
      </c>
      <c r="AX78" s="1">
        <v>4996</v>
      </c>
      <c r="AY78" s="1">
        <v>5000</v>
      </c>
      <c r="AZ78" s="1">
        <v>5000</v>
      </c>
      <c r="BA78" s="1">
        <v>8000</v>
      </c>
      <c r="BB78" s="1">
        <v>6000</v>
      </c>
      <c r="BC78" s="1">
        <v>5000</v>
      </c>
      <c r="BD78" s="1">
        <v>6999</v>
      </c>
      <c r="BE78" s="1">
        <v>10982</v>
      </c>
      <c r="BF78" s="1">
        <v>9982</v>
      </c>
      <c r="BG78" s="1">
        <v>1743</v>
      </c>
      <c r="BH78" s="1">
        <v>1996</v>
      </c>
      <c r="BI78" s="1">
        <v>3993</v>
      </c>
      <c r="BJ78" s="1">
        <v>5985</v>
      </c>
      <c r="BK78" s="1">
        <v>1998</v>
      </c>
      <c r="BL78" s="1">
        <v>1997</v>
      </c>
      <c r="BM78" s="1">
        <v>2994</v>
      </c>
      <c r="BN78" s="1">
        <v>9967</v>
      </c>
      <c r="BO78" s="1">
        <v>1995</v>
      </c>
      <c r="BP78" s="1">
        <v>5982</v>
      </c>
      <c r="BQ78" s="1">
        <v>9923</v>
      </c>
      <c r="BR78" s="1">
        <v>7979</v>
      </c>
      <c r="CL78" s="1">
        <f t="shared" si="142"/>
        <v>4996</v>
      </c>
      <c r="CM78" s="1">
        <f t="shared" si="143"/>
        <v>6000</v>
      </c>
      <c r="CN78" s="1">
        <f t="shared" si="144"/>
        <v>9982</v>
      </c>
      <c r="CO78" s="1">
        <f t="shared" si="145"/>
        <v>5985</v>
      </c>
      <c r="CP78" s="1">
        <f t="shared" si="146"/>
        <v>9967</v>
      </c>
      <c r="CQ78" s="1">
        <f t="shared" si="147"/>
        <v>1995</v>
      </c>
      <c r="CZ78" s="77" t="str" cm="1">
        <f t="array" ref="CZ78">_xlfn.IFS(DA77&gt;=25%,"Strong Buy",DA77&gt;=10.00001%,"Buy",AND(DA77&lt;=10%,DA77&gt;=-4.9999%),"Hold",AND(DA77&lt;=-5%,DA77&gt;=-14.999999%),"Sell",DA77&lt;=-15%,"Strong Sell")</f>
        <v>Buy</v>
      </c>
      <c r="DA78" s="77"/>
    </row>
    <row r="79" spans="2:156" ht="13.5" customHeight="1">
      <c r="B79" s="1" t="s">
        <v>1546</v>
      </c>
      <c r="AX79" s="1">
        <v>8773</v>
      </c>
      <c r="AY79" s="1">
        <v>7762</v>
      </c>
      <c r="AZ79" s="1">
        <v>8003</v>
      </c>
      <c r="BA79" s="1">
        <v>8039</v>
      </c>
      <c r="BB79" s="1">
        <v>9613</v>
      </c>
      <c r="BC79" s="1">
        <v>11169</v>
      </c>
      <c r="BD79" s="1">
        <v>9659</v>
      </c>
      <c r="BE79" s="1">
        <v>14009</v>
      </c>
      <c r="BF79" s="1">
        <v>11128</v>
      </c>
      <c r="BG79" s="1">
        <v>9740</v>
      </c>
      <c r="BH79" s="1">
        <v>10578</v>
      </c>
      <c r="BI79" s="1">
        <v>7216</v>
      </c>
      <c r="BJ79" s="1">
        <v>9822</v>
      </c>
      <c r="BK79" s="1">
        <v>10954</v>
      </c>
      <c r="BL79" s="1">
        <v>10762</v>
      </c>
      <c r="BM79" s="1">
        <v>12114</v>
      </c>
      <c r="BN79" s="1">
        <v>10912</v>
      </c>
      <c r="BO79" s="1">
        <v>10848</v>
      </c>
      <c r="BP79" s="1">
        <v>13638</v>
      </c>
      <c r="BQ79" s="1">
        <v>9345</v>
      </c>
      <c r="BR79" s="1">
        <v>12350</v>
      </c>
      <c r="CL79" s="1">
        <f t="shared" si="142"/>
        <v>8773</v>
      </c>
      <c r="CM79" s="1">
        <f t="shared" si="143"/>
        <v>9613</v>
      </c>
      <c r="CN79" s="1">
        <f t="shared" si="144"/>
        <v>11128</v>
      </c>
      <c r="CO79" s="1">
        <f t="shared" si="145"/>
        <v>9822</v>
      </c>
      <c r="CP79" s="1">
        <f t="shared" si="146"/>
        <v>10912</v>
      </c>
      <c r="CQ79" s="1">
        <f t="shared" si="147"/>
        <v>10848</v>
      </c>
    </row>
    <row r="80" spans="2:156" ht="13.5" customHeight="1">
      <c r="B80" s="1" t="s">
        <v>1547</v>
      </c>
      <c r="AX80" s="1">
        <v>98667</v>
      </c>
      <c r="AY80" s="1">
        <v>99281</v>
      </c>
      <c r="AZ80" s="1">
        <v>108642</v>
      </c>
      <c r="BA80" s="1">
        <v>105752</v>
      </c>
      <c r="BB80" s="1">
        <v>109106</v>
      </c>
      <c r="BC80" s="1">
        <v>106629</v>
      </c>
      <c r="BD80" s="1">
        <v>103323</v>
      </c>
      <c r="BE80" s="1">
        <v>94700</v>
      </c>
      <c r="BF80" s="1">
        <v>98959</v>
      </c>
      <c r="BG80" s="1">
        <v>99627</v>
      </c>
      <c r="BH80" s="1">
        <v>97041</v>
      </c>
      <c r="BI80" s="1">
        <v>98071</v>
      </c>
      <c r="BJ80" s="1">
        <v>95281</v>
      </c>
      <c r="BK80" s="1">
        <v>95088</v>
      </c>
      <c r="BL80" s="1">
        <v>91831</v>
      </c>
      <c r="BM80" s="1">
        <v>86196</v>
      </c>
      <c r="BN80" s="1">
        <v>85750</v>
      </c>
      <c r="BO80" s="1">
        <v>83956</v>
      </c>
      <c r="BP80" s="1">
        <v>78566</v>
      </c>
      <c r="BQ80" s="1">
        <v>82430</v>
      </c>
      <c r="BR80" s="1">
        <v>78328</v>
      </c>
      <c r="CL80" s="1">
        <f t="shared" si="142"/>
        <v>98667</v>
      </c>
      <c r="CM80" s="1">
        <f t="shared" si="143"/>
        <v>109106</v>
      </c>
      <c r="CN80" s="1">
        <f t="shared" si="144"/>
        <v>98959</v>
      </c>
      <c r="CO80" s="1">
        <f t="shared" si="145"/>
        <v>95281</v>
      </c>
      <c r="CP80" s="1">
        <f t="shared" si="146"/>
        <v>85750</v>
      </c>
      <c r="CQ80" s="1">
        <f t="shared" si="147"/>
        <v>83956</v>
      </c>
    </row>
    <row r="81" spans="2:156" ht="13.5" customHeight="1">
      <c r="B81" s="1" t="s">
        <v>1548</v>
      </c>
      <c r="AX81" s="1">
        <v>54490</v>
      </c>
      <c r="AY81" s="1">
        <v>56042</v>
      </c>
      <c r="AZ81" s="1">
        <v>52953</v>
      </c>
      <c r="BA81" s="1">
        <v>52054</v>
      </c>
      <c r="BB81" s="1">
        <v>53325</v>
      </c>
      <c r="BC81" s="1">
        <v>55056</v>
      </c>
      <c r="BD81" s="1">
        <v>52432</v>
      </c>
      <c r="BE81" s="1">
        <v>53629</v>
      </c>
      <c r="BF81" s="1">
        <v>49142</v>
      </c>
      <c r="BG81" s="1">
        <v>53107</v>
      </c>
      <c r="BH81" s="1">
        <v>52886</v>
      </c>
      <c r="BI81" s="1">
        <v>51730</v>
      </c>
      <c r="BJ81" s="1">
        <v>49848</v>
      </c>
      <c r="BK81" s="1">
        <v>50353</v>
      </c>
      <c r="BL81" s="1">
        <v>47564</v>
      </c>
      <c r="BM81" s="1">
        <v>47084</v>
      </c>
      <c r="BN81" s="1">
        <v>45888</v>
      </c>
      <c r="BO81" s="1">
        <v>49006</v>
      </c>
      <c r="BP81" s="1">
        <v>41300</v>
      </c>
      <c r="BQ81" s="1">
        <v>42115</v>
      </c>
      <c r="BR81" s="1">
        <v>41549</v>
      </c>
      <c r="CL81" s="1">
        <f t="shared" si="142"/>
        <v>54490</v>
      </c>
      <c r="CM81" s="1">
        <f t="shared" si="143"/>
        <v>53325</v>
      </c>
      <c r="CN81" s="1">
        <f t="shared" si="144"/>
        <v>49142</v>
      </c>
      <c r="CO81" s="1">
        <f t="shared" si="145"/>
        <v>49848</v>
      </c>
      <c r="CP81" s="1">
        <f t="shared" si="146"/>
        <v>45888</v>
      </c>
      <c r="CQ81" s="1">
        <f t="shared" si="147"/>
        <v>49006</v>
      </c>
    </row>
    <row r="82" spans="2:156" s="2" customFormat="1" ht="13.5" customHeight="1">
      <c r="B82" s="2" t="s">
        <v>1549</v>
      </c>
      <c r="AX82" s="2">
        <f t="shared" ref="AX82" si="148">SUM(AX75:AX81)</f>
        <v>258549</v>
      </c>
      <c r="AY82" s="2">
        <f t="shared" ref="AY82:BR82" si="149">SUM(AY75:AY81)</f>
        <v>287830</v>
      </c>
      <c r="AZ82" s="2">
        <f t="shared" si="149"/>
        <v>267980</v>
      </c>
      <c r="BA82" s="2">
        <f t="shared" si="149"/>
        <v>265560</v>
      </c>
      <c r="BB82" s="2">
        <f t="shared" si="149"/>
        <v>287912</v>
      </c>
      <c r="BC82" s="2">
        <f t="shared" si="149"/>
        <v>309259</v>
      </c>
      <c r="BD82" s="2">
        <f t="shared" si="149"/>
        <v>283263</v>
      </c>
      <c r="BE82" s="2">
        <f t="shared" si="149"/>
        <v>278202</v>
      </c>
      <c r="BF82" s="2">
        <f t="shared" si="149"/>
        <v>302083</v>
      </c>
      <c r="BG82" s="2">
        <f t="shared" si="149"/>
        <v>290020</v>
      </c>
      <c r="BH82" s="2">
        <f t="shared" si="149"/>
        <v>270002</v>
      </c>
      <c r="BI82" s="2">
        <f t="shared" si="149"/>
        <v>274764</v>
      </c>
      <c r="BJ82" s="2">
        <f t="shared" si="149"/>
        <v>290437</v>
      </c>
      <c r="BK82" s="2">
        <f t="shared" si="149"/>
        <v>279414</v>
      </c>
      <c r="BL82" s="2">
        <f t="shared" si="149"/>
        <v>263217</v>
      </c>
      <c r="BM82" s="2">
        <f t="shared" si="149"/>
        <v>264904</v>
      </c>
      <c r="BN82" s="2">
        <f t="shared" si="149"/>
        <v>308030</v>
      </c>
      <c r="BO82" s="2">
        <f t="shared" si="149"/>
        <v>277327</v>
      </c>
      <c r="BP82" s="2">
        <f t="shared" si="149"/>
        <v>264437</v>
      </c>
      <c r="BQ82" s="2">
        <f t="shared" si="149"/>
        <v>265665</v>
      </c>
      <c r="BR82" s="2">
        <f t="shared" si="149"/>
        <v>285508</v>
      </c>
      <c r="BS82" s="34"/>
      <c r="BT82" s="34"/>
      <c r="BU82" s="34"/>
      <c r="BV82" s="34"/>
      <c r="CL82" s="2">
        <f t="shared" si="142"/>
        <v>258549</v>
      </c>
      <c r="CM82" s="2">
        <f t="shared" si="143"/>
        <v>287912</v>
      </c>
      <c r="CN82" s="2">
        <f t="shared" si="144"/>
        <v>302083</v>
      </c>
      <c r="CO82" s="2">
        <f t="shared" si="145"/>
        <v>290437</v>
      </c>
      <c r="CP82" s="2">
        <f t="shared" si="146"/>
        <v>308030</v>
      </c>
      <c r="CQ82" s="2">
        <f t="shared" si="147"/>
        <v>277327</v>
      </c>
      <c r="CR82" s="34"/>
      <c r="CS82" s="34"/>
      <c r="CT82" s="34"/>
      <c r="CU82" s="34"/>
      <c r="CV82" s="34"/>
      <c r="CW82" s="34"/>
      <c r="CX82" s="34"/>
      <c r="CY82" s="34"/>
      <c r="CZ82" s="34"/>
      <c r="DA82" s="34"/>
      <c r="DB82" s="34"/>
      <c r="DC82" s="34"/>
      <c r="DD82" s="34"/>
      <c r="DE82" s="34"/>
      <c r="DF82" s="34"/>
      <c r="DG82" s="34"/>
      <c r="DH82" s="34"/>
      <c r="DI82" s="34"/>
      <c r="DJ82" s="34"/>
      <c r="DK82" s="34"/>
      <c r="DL82" s="34"/>
      <c r="DM82" s="34"/>
      <c r="DN82" s="34"/>
      <c r="DO82" s="34"/>
      <c r="DP82" s="34"/>
      <c r="DQ82" s="34"/>
      <c r="DR82" s="34"/>
      <c r="DS82" s="34"/>
      <c r="DT82" s="34"/>
      <c r="DU82" s="34"/>
      <c r="DV82" s="34"/>
      <c r="DW82" s="34"/>
      <c r="DX82" s="34"/>
      <c r="DY82" s="34"/>
      <c r="DZ82" s="34"/>
      <c r="EA82" s="34"/>
      <c r="EB82" s="34"/>
      <c r="EC82" s="34"/>
      <c r="ED82" s="34"/>
      <c r="EE82" s="34"/>
      <c r="EF82" s="34"/>
      <c r="EG82" s="34"/>
      <c r="EH82" s="34"/>
      <c r="EI82" s="34"/>
      <c r="EJ82" s="34"/>
      <c r="EK82" s="34"/>
      <c r="EL82" s="34"/>
      <c r="EM82" s="34"/>
      <c r="EN82" s="34"/>
      <c r="EO82" s="34"/>
      <c r="EP82" s="34"/>
      <c r="EQ82" s="34"/>
      <c r="ER82" s="34"/>
      <c r="ES82" s="34"/>
      <c r="ET82" s="34"/>
      <c r="EU82" s="34"/>
      <c r="EV82" s="34"/>
      <c r="EW82" s="34"/>
      <c r="EX82" s="34"/>
      <c r="EY82" s="34"/>
      <c r="EZ82" s="34"/>
    </row>
    <row r="83" spans="2:156" ht="13.5" customHeight="1">
      <c r="B83" s="1" t="s">
        <v>1550</v>
      </c>
      <c r="AX83" s="1">
        <v>65339</v>
      </c>
      <c r="AY83" s="1">
        <v>66224</v>
      </c>
      <c r="AZ83" s="1">
        <v>69178</v>
      </c>
      <c r="BA83" s="1">
        <v>64280</v>
      </c>
      <c r="BB83" s="1">
        <v>63090</v>
      </c>
      <c r="BC83" s="1">
        <v>71932</v>
      </c>
      <c r="BD83" s="1">
        <v>67399</v>
      </c>
      <c r="BE83" s="1">
        <v>58107</v>
      </c>
      <c r="BF83" s="1">
        <v>148101</v>
      </c>
      <c r="BG83" s="1">
        <v>56727</v>
      </c>
      <c r="BH83" s="1">
        <v>62158</v>
      </c>
      <c r="BI83" s="1">
        <v>60274</v>
      </c>
      <c r="BJ83" s="1">
        <v>62146</v>
      </c>
      <c r="BK83" s="1">
        <v>74100</v>
      </c>
      <c r="BL83" s="1">
        <v>74194</v>
      </c>
      <c r="BM83" s="1">
        <v>66708</v>
      </c>
      <c r="BN83" s="1">
        <v>56950</v>
      </c>
      <c r="BO83" s="1">
        <v>66758</v>
      </c>
      <c r="BP83" s="1">
        <v>66796</v>
      </c>
      <c r="BQ83" s="1">
        <v>65830</v>
      </c>
      <c r="BR83" s="1">
        <v>73733</v>
      </c>
      <c r="CL83" s="1">
        <f t="shared" si="142"/>
        <v>65339</v>
      </c>
      <c r="CM83" s="1">
        <f t="shared" si="143"/>
        <v>63090</v>
      </c>
      <c r="CN83" s="1">
        <f t="shared" si="144"/>
        <v>148101</v>
      </c>
      <c r="CO83" s="1">
        <f t="shared" si="145"/>
        <v>62146</v>
      </c>
      <c r="CP83" s="1">
        <f t="shared" si="146"/>
        <v>56950</v>
      </c>
      <c r="CQ83" s="1">
        <f t="shared" si="147"/>
        <v>66758</v>
      </c>
    </row>
    <row r="84" spans="2:156" s="2" customFormat="1" ht="15">
      <c r="B84" s="2" t="s">
        <v>1551</v>
      </c>
      <c r="AX84" s="2">
        <f t="shared" ref="AX84" si="150">AX82+AX83</f>
        <v>323888</v>
      </c>
      <c r="AY84" s="2">
        <f t="shared" ref="AY84:BR84" si="151">AY82+AY83</f>
        <v>354054</v>
      </c>
      <c r="AZ84" s="2">
        <f t="shared" si="151"/>
        <v>337158</v>
      </c>
      <c r="BA84" s="2">
        <f t="shared" si="151"/>
        <v>329840</v>
      </c>
      <c r="BB84" s="2">
        <f t="shared" si="151"/>
        <v>351002</v>
      </c>
      <c r="BC84" s="2">
        <f t="shared" si="151"/>
        <v>381191</v>
      </c>
      <c r="BD84" s="2">
        <f t="shared" si="151"/>
        <v>350662</v>
      </c>
      <c r="BE84" s="2">
        <f t="shared" si="151"/>
        <v>336309</v>
      </c>
      <c r="BF84" s="2">
        <f t="shared" si="151"/>
        <v>450184</v>
      </c>
      <c r="BG84" s="2">
        <f t="shared" si="151"/>
        <v>346747</v>
      </c>
      <c r="BH84" s="2">
        <f t="shared" si="151"/>
        <v>332160</v>
      </c>
      <c r="BI84" s="2">
        <f t="shared" si="151"/>
        <v>335038</v>
      </c>
      <c r="BJ84" s="2">
        <f t="shared" si="151"/>
        <v>352583</v>
      </c>
      <c r="BK84" s="2">
        <f t="shared" si="151"/>
        <v>353514</v>
      </c>
      <c r="BL84" s="2">
        <f t="shared" si="151"/>
        <v>337411</v>
      </c>
      <c r="BM84" s="2">
        <f t="shared" si="151"/>
        <v>331612</v>
      </c>
      <c r="BN84" s="2">
        <f t="shared" si="151"/>
        <v>364980</v>
      </c>
      <c r="BO84" s="2">
        <f t="shared" si="151"/>
        <v>344085</v>
      </c>
      <c r="BP84" s="2">
        <f t="shared" si="151"/>
        <v>331233</v>
      </c>
      <c r="BQ84" s="2">
        <f t="shared" si="151"/>
        <v>331495</v>
      </c>
      <c r="BR84" s="2">
        <f t="shared" si="151"/>
        <v>359241</v>
      </c>
      <c r="BS84" s="34"/>
      <c r="BT84" s="34"/>
      <c r="BU84" s="34"/>
      <c r="BV84" s="34"/>
      <c r="CL84" s="2">
        <f t="shared" si="142"/>
        <v>323888</v>
      </c>
      <c r="CM84" s="2">
        <f t="shared" si="143"/>
        <v>351002</v>
      </c>
      <c r="CN84" s="2">
        <f t="shared" si="144"/>
        <v>450184</v>
      </c>
      <c r="CO84" s="2">
        <f t="shared" si="145"/>
        <v>352583</v>
      </c>
      <c r="CP84" s="2">
        <f t="shared" si="146"/>
        <v>364980</v>
      </c>
      <c r="CQ84" s="2">
        <f t="shared" si="147"/>
        <v>344085</v>
      </c>
      <c r="CR84" s="34"/>
      <c r="CS84" s="34"/>
      <c r="CT84" s="34"/>
      <c r="CU84" s="34"/>
      <c r="CV84" s="34"/>
      <c r="CW84" s="34"/>
      <c r="CX84" s="34"/>
      <c r="CY84" s="34"/>
      <c r="CZ84" s="34"/>
      <c r="DA84" s="34"/>
      <c r="DB84" s="34"/>
      <c r="DC84" s="34"/>
      <c r="DD84" s="34"/>
      <c r="DE84" s="34"/>
      <c r="DF84" s="34"/>
      <c r="DG84" s="34"/>
      <c r="DH84" s="34"/>
      <c r="DI84" s="34"/>
      <c r="DJ84" s="34"/>
      <c r="DK84" s="34"/>
      <c r="DL84" s="34"/>
      <c r="DM84" s="34"/>
      <c r="DN84" s="34"/>
      <c r="DO84" s="34"/>
      <c r="DP84" s="34"/>
      <c r="DQ84" s="34"/>
      <c r="DR84" s="34"/>
      <c r="DS84" s="34"/>
      <c r="DT84" s="34"/>
      <c r="DU84" s="34"/>
      <c r="DV84" s="34"/>
      <c r="DW84" s="34"/>
      <c r="DX84" s="34"/>
      <c r="DY84" s="34"/>
      <c r="DZ84" s="34"/>
      <c r="EA84" s="34"/>
      <c r="EB84" s="34"/>
      <c r="EC84" s="34"/>
      <c r="ED84" s="34"/>
      <c r="EE84" s="34"/>
      <c r="EF84" s="34"/>
      <c r="EG84" s="34"/>
      <c r="EH84" s="34"/>
      <c r="EI84" s="34"/>
      <c r="EJ84" s="34"/>
      <c r="EK84" s="34"/>
      <c r="EL84" s="34"/>
      <c r="EM84" s="34"/>
      <c r="EN84" s="34"/>
      <c r="EO84" s="34"/>
      <c r="EP84" s="34"/>
      <c r="EQ84" s="34"/>
      <c r="ER84" s="34"/>
      <c r="ES84" s="34"/>
      <c r="ET84" s="34"/>
      <c r="EU84" s="34"/>
      <c r="EV84" s="34"/>
      <c r="EW84" s="34"/>
      <c r="EX84" s="34"/>
      <c r="EY84" s="34"/>
      <c r="EZ84" s="34"/>
    </row>
    <row r="86" spans="2:156">
      <c r="B86" s="1" t="s">
        <v>129</v>
      </c>
      <c r="AX86" s="39">
        <f t="shared" ref="AX86" si="152">SUM(AX64:AX69)/SUM(AX75:AX79)</f>
        <v>1.3636044481554577</v>
      </c>
      <c r="AY86" s="39">
        <f t="shared" ref="AY86:BQ86" si="153">SUM(AY64:AY69)/SUM(AY75:AY79)</f>
        <v>1.1630027092908299</v>
      </c>
      <c r="AZ86" s="39">
        <f t="shared" si="153"/>
        <v>1.1417493067631714</v>
      </c>
      <c r="BA86" s="39">
        <f t="shared" si="153"/>
        <v>1.0618909738849602</v>
      </c>
      <c r="BB86" s="39">
        <f t="shared" si="153"/>
        <v>1.0745531195957954</v>
      </c>
      <c r="BC86" s="39">
        <f t="shared" si="153"/>
        <v>1.0378115386179136</v>
      </c>
      <c r="BD86" s="39">
        <f t="shared" si="153"/>
        <v>0.92684380587884685</v>
      </c>
      <c r="BE86" s="39">
        <f t="shared" si="153"/>
        <v>0.86462929169265357</v>
      </c>
      <c r="BF86" s="39">
        <f t="shared" si="153"/>
        <v>0.87935602862672257</v>
      </c>
      <c r="BG86" s="39">
        <f t="shared" si="153"/>
        <v>0.93801990006264291</v>
      </c>
      <c r="BH86" s="39">
        <f t="shared" si="153"/>
        <v>0.9403539454507599</v>
      </c>
      <c r="BI86" s="39">
        <f t="shared" si="153"/>
        <v>0.98156254251258368</v>
      </c>
      <c r="BJ86" s="39">
        <f t="shared" si="153"/>
        <v>0.98801167175929749</v>
      </c>
      <c r="BK86" s="39">
        <f t="shared" si="153"/>
        <v>1.072544467915177</v>
      </c>
      <c r="BL86" s="39">
        <f t="shared" si="153"/>
        <v>1.0371016459110658</v>
      </c>
      <c r="BM86" s="39">
        <f t="shared" si="153"/>
        <v>0.95297969975080532</v>
      </c>
      <c r="BN86" s="39">
        <f t="shared" si="153"/>
        <v>0.86731257653408322</v>
      </c>
      <c r="BO86" s="39">
        <f t="shared" si="153"/>
        <v>0.92293838534270767</v>
      </c>
      <c r="BP86" s="39">
        <f t="shared" si="153"/>
        <v>0.82087002234196349</v>
      </c>
      <c r="BQ86" s="39">
        <f t="shared" si="153"/>
        <v>0.86799178004535149</v>
      </c>
      <c r="BR86" s="39">
        <f>SUM(BR64:BR69)/SUM(BR75:BR79)</f>
        <v>0.89329292221866674</v>
      </c>
      <c r="CL86" s="39">
        <f t="shared" ref="CL86:CQ86" si="154">SUM(CL64:CL69)/SUM(CL75:CL79)</f>
        <v>1.3636044481554577</v>
      </c>
      <c r="CM86" s="39">
        <f t="shared" si="154"/>
        <v>1.0745531195957954</v>
      </c>
      <c r="CN86" s="39">
        <f t="shared" si="154"/>
        <v>0.87935602862672257</v>
      </c>
      <c r="CO86" s="39">
        <f t="shared" si="154"/>
        <v>0.98801167175929749</v>
      </c>
      <c r="CP86" s="39">
        <f t="shared" si="154"/>
        <v>0.86731257653408322</v>
      </c>
      <c r="CQ86" s="39">
        <f t="shared" si="154"/>
        <v>0.9619713919578845</v>
      </c>
    </row>
    <row r="87" spans="2:156">
      <c r="B87" s="1" t="s">
        <v>130</v>
      </c>
      <c r="AX87" s="39">
        <f t="shared" ref="AX87" si="155">(SUM(AX64:AX69)-AX68)/SUM(AX75:AX79)</f>
        <v>1.1612646121147716</v>
      </c>
      <c r="AY87" s="39">
        <f t="shared" ref="AY87:BP87" si="156">(SUM(AY64:AY69)-AY68)/SUM(AY75:AY79)</f>
        <v>0.92513603054932947</v>
      </c>
      <c r="AZ87" s="39">
        <f t="shared" si="156"/>
        <v>1.0051417023076561</v>
      </c>
      <c r="BA87" s="39">
        <f t="shared" si="156"/>
        <v>0.90938619448001934</v>
      </c>
      <c r="BB87" s="39">
        <f t="shared" si="156"/>
        <v>0.873502761374232</v>
      </c>
      <c r="BC87" s="39">
        <f t="shared" si="156"/>
        <v>0.80037133912477809</v>
      </c>
      <c r="BD87" s="39">
        <f t="shared" si="156"/>
        <v>0.73403237443925085</v>
      </c>
      <c r="BE87" s="39">
        <f t="shared" si="156"/>
        <v>0.70725246972041922</v>
      </c>
      <c r="BF87" s="39">
        <f t="shared" si="156"/>
        <v>0.84723539114961488</v>
      </c>
      <c r="BG87" s="39">
        <f t="shared" si="156"/>
        <v>0.7163804029544163</v>
      </c>
      <c r="BH87" s="39">
        <f t="shared" si="156"/>
        <v>0.79075577763897564</v>
      </c>
      <c r="BI87" s="39">
        <f t="shared" si="156"/>
        <v>0.82442002832838523</v>
      </c>
      <c r="BJ87" s="39">
        <f t="shared" si="156"/>
        <v>0.94444215046659508</v>
      </c>
      <c r="BK87" s="39">
        <f t="shared" si="156"/>
        <v>1.0239451232711068</v>
      </c>
      <c r="BL87" s="39">
        <f t="shared" si="156"/>
        <v>0.98677133304259335</v>
      </c>
      <c r="BM87" s="39">
        <f t="shared" si="156"/>
        <v>0.90614173706922752</v>
      </c>
      <c r="BN87" s="39">
        <f t="shared" si="156"/>
        <v>0.82600684838314664</v>
      </c>
      <c r="BO87" s="39">
        <f t="shared" si="156"/>
        <v>0.87506667128459115</v>
      </c>
      <c r="BP87" s="39">
        <f t="shared" si="156"/>
        <v>0.77750724557483863</v>
      </c>
      <c r="BQ87" s="39">
        <f>(SUM(BQ64:BQ69)-BQ68)/SUM(BQ75:BQ79)</f>
        <v>0.82600623582766441</v>
      </c>
      <c r="BR87" s="39">
        <f t="shared" ref="BR87" si="157">(SUM(BR64:BR69)-BR68)/SUM(BR75:BR79)</f>
        <v>0.85877039926100796</v>
      </c>
      <c r="CL87" s="39">
        <f t="shared" ref="CL87:CQ87" si="158">(SUM(CL64:CL69)-CL68)/SUM(CL75:CL79)</f>
        <v>1.1612646121147716</v>
      </c>
      <c r="CM87" s="39">
        <f t="shared" si="158"/>
        <v>0.873502761374232</v>
      </c>
      <c r="CN87" s="39">
        <f t="shared" si="158"/>
        <v>0.84723539114961488</v>
      </c>
      <c r="CO87" s="39">
        <f t="shared" si="158"/>
        <v>0.94444215046659508</v>
      </c>
      <c r="CP87" s="39">
        <f t="shared" si="158"/>
        <v>0.82600684838314664</v>
      </c>
      <c r="CQ87" s="39">
        <f t="shared" si="158"/>
        <v>0.91409967789976798</v>
      </c>
    </row>
    <row r="88" spans="2:156">
      <c r="B88" s="1" t="s">
        <v>131</v>
      </c>
      <c r="AX88" s="39">
        <f t="shared" ref="AX88" si="159">(SUM(AX64:AX65)+AX70)/SUM(AX75:AX79)</f>
        <v>1.8201571276757249</v>
      </c>
      <c r="AY88" s="39">
        <f t="shared" ref="AY88:BQ88" si="160">(SUM(AY64:AY65)+AY70)/SUM(AY75:AY79)</f>
        <v>1.4759295735319644</v>
      </c>
      <c r="AZ88" s="39">
        <f t="shared" si="160"/>
        <v>1.9210696996757062</v>
      </c>
      <c r="BA88" s="39">
        <f t="shared" si="160"/>
        <v>1.7970933793641071</v>
      </c>
      <c r="BB88" s="39">
        <f t="shared" si="160"/>
        <v>1.5182856368693269</v>
      </c>
      <c r="BC88" s="39">
        <f t="shared" si="160"/>
        <v>1.3728434548091126</v>
      </c>
      <c r="BD88" s="39">
        <f t="shared" si="160"/>
        <v>1.5115130031056876</v>
      </c>
      <c r="BE88" s="39">
        <f t="shared" si="160"/>
        <v>1.3806410878319588</v>
      </c>
      <c r="BF88" s="39">
        <f t="shared" si="160"/>
        <v>1.0982387551791768</v>
      </c>
      <c r="BG88" s="39">
        <f t="shared" si="160"/>
        <v>1.2051483763821511</v>
      </c>
      <c r="BH88" s="39">
        <f t="shared" si="160"/>
        <v>1.3852425567353737</v>
      </c>
      <c r="BI88" s="39">
        <f t="shared" si="160"/>
        <v>1.3327384905932156</v>
      </c>
      <c r="BJ88" s="39">
        <f t="shared" si="160"/>
        <v>1.1155545462053018</v>
      </c>
      <c r="BK88" s="39">
        <f t="shared" si="160"/>
        <v>1.2881326834511431</v>
      </c>
      <c r="BL88" s="39">
        <f t="shared" si="160"/>
        <v>1.3110513479026344</v>
      </c>
      <c r="BM88" s="39">
        <f t="shared" si="160"/>
        <v>1.1627134869020848</v>
      </c>
      <c r="BN88" s="39">
        <f t="shared" si="160"/>
        <v>0.88807882443648234</v>
      </c>
      <c r="BO88" s="39">
        <f t="shared" si="160"/>
        <v>0.97924012052782872</v>
      </c>
      <c r="BP88" s="39">
        <f t="shared" si="160"/>
        <v>0.91942367418085236</v>
      </c>
      <c r="BQ88" s="39">
        <f t="shared" si="160"/>
        <v>0.94236111111111109</v>
      </c>
      <c r="BR88" s="39">
        <f>(SUM(BR64:BR65)+BR70)/SUM(BR75:BR79)</f>
        <v>0.7994880185472526</v>
      </c>
      <c r="CL88" s="39">
        <f t="shared" ref="CL88:CQ88" si="161">(SUM(CL64:CL65)+CL70)/SUM(CL75:CL79)</f>
        <v>1.8201571276757249</v>
      </c>
      <c r="CM88" s="39">
        <f t="shared" si="161"/>
        <v>1.5182856368693269</v>
      </c>
      <c r="CN88" s="39">
        <f t="shared" si="161"/>
        <v>1.0982387551791768</v>
      </c>
      <c r="CO88" s="39">
        <f t="shared" si="161"/>
        <v>1.1155545462053018</v>
      </c>
      <c r="CP88" s="39">
        <f t="shared" si="161"/>
        <v>0.88807882443648234</v>
      </c>
      <c r="CQ88" s="39">
        <f t="shared" si="161"/>
        <v>1.0182731271430057</v>
      </c>
    </row>
    <row r="89" spans="2:156">
      <c r="B89" s="1" t="s">
        <v>132</v>
      </c>
      <c r="AX89" s="39">
        <f t="shared" ref="AX89" si="162">AX44/AX73</f>
        <v>0.19975423603220865</v>
      </c>
      <c r="AY89" s="39">
        <f t="shared" ref="AY89:BQ89" si="163">AY44/AY73</f>
        <v>0.31475142209945378</v>
      </c>
      <c r="AZ89" s="39">
        <f t="shared" si="163"/>
        <v>0.26570332010511394</v>
      </c>
      <c r="BA89" s="39">
        <f t="shared" si="163"/>
        <v>0.24688940092165898</v>
      </c>
      <c r="BB89" s="39">
        <f t="shared" si="163"/>
        <v>0.23749152426481901</v>
      </c>
      <c r="BC89" s="39">
        <f t="shared" si="163"/>
        <v>0.32515195794234386</v>
      </c>
      <c r="BD89" s="39">
        <f t="shared" si="163"/>
        <v>0.27741243704764129</v>
      </c>
      <c r="BE89" s="39">
        <f t="shared" si="163"/>
        <v>0.24667493287423173</v>
      </c>
      <c r="BF89" s="39">
        <f t="shared" si="163"/>
        <v>0.25583195135433939</v>
      </c>
      <c r="BG89" s="39">
        <f t="shared" si="163"/>
        <v>0.33786593683579091</v>
      </c>
      <c r="BH89" s="39">
        <f t="shared" si="163"/>
        <v>0.28551300578034683</v>
      </c>
      <c r="BI89" s="39">
        <f t="shared" si="163"/>
        <v>0.24414245548266167</v>
      </c>
      <c r="BJ89" s="39">
        <f t="shared" si="163"/>
        <v>0.25383526715695309</v>
      </c>
      <c r="BK89" s="39">
        <f t="shared" si="163"/>
        <v>0.33824685868169296</v>
      </c>
      <c r="BL89" s="39">
        <f t="shared" si="163"/>
        <v>0.26896870582168336</v>
      </c>
      <c r="BM89" s="39">
        <f t="shared" si="163"/>
        <v>0.25866675512345755</v>
      </c>
      <c r="BN89" s="39">
        <f t="shared" si="163"/>
        <v>0.26009644364074747</v>
      </c>
      <c r="BO89" s="39">
        <f t="shared" si="163"/>
        <v>0.36124794745484401</v>
      </c>
      <c r="BP89" s="39">
        <f t="shared" si="163"/>
        <v>0.2878910011985521</v>
      </c>
      <c r="BQ89" s="39">
        <f t="shared" si="163"/>
        <v>0.283672453581502</v>
      </c>
      <c r="BR89" s="39">
        <f>BR44/BR73</f>
        <v>0.28573575955973846</v>
      </c>
      <c r="CL89" s="39">
        <f t="shared" ref="CL89:CQ89" si="164">CL44/CL73</f>
        <v>0.84756150274168851</v>
      </c>
      <c r="CM89" s="39">
        <f t="shared" si="164"/>
        <v>1.0422077367080529</v>
      </c>
      <c r="CN89" s="39">
        <f t="shared" si="164"/>
        <v>1.1181358166432793</v>
      </c>
      <c r="CO89" s="39">
        <f t="shared" si="164"/>
        <v>1.0870773690166571</v>
      </c>
      <c r="CP89" s="39">
        <f t="shared" si="164"/>
        <v>1.0713874732862074</v>
      </c>
      <c r="CQ89" s="39">
        <f t="shared" si="164"/>
        <v>1.2100004359387941</v>
      </c>
    </row>
    <row r="90" spans="2:156">
      <c r="B90" s="1" t="s">
        <v>133</v>
      </c>
      <c r="AX90" s="39">
        <f t="shared" ref="AX90:BQ90" si="165">AX45/AVERAGE(AU68:AX68)</f>
        <v>1.8761547479484173</v>
      </c>
      <c r="AY90" s="39">
        <f t="shared" si="165"/>
        <v>2.5399666944213157</v>
      </c>
      <c r="AZ90" s="39">
        <f t="shared" si="165"/>
        <v>2.2932899951021861</v>
      </c>
      <c r="BA90" s="39">
        <f t="shared" si="165"/>
        <v>2.203985204629519</v>
      </c>
      <c r="BB90" s="39">
        <f t="shared" si="165"/>
        <v>2.1974393761472073</v>
      </c>
      <c r="BC90" s="39">
        <f t="shared" si="165"/>
        <v>3.0559659775960717</v>
      </c>
      <c r="BD90" s="39">
        <f t="shared" si="165"/>
        <v>2.1609699267420965</v>
      </c>
      <c r="BE90" s="39">
        <f t="shared" si="165"/>
        <v>1.7883219997720625</v>
      </c>
      <c r="BF90" s="39">
        <f t="shared" si="165"/>
        <v>2.4491706858016702</v>
      </c>
      <c r="BG90" s="39">
        <f t="shared" si="165"/>
        <v>3.3245603124455831</v>
      </c>
      <c r="BH90" s="39">
        <f t="shared" si="165"/>
        <v>2.8659726740403384</v>
      </c>
      <c r="BI90" s="39">
        <f t="shared" si="165"/>
        <v>2.4876805437553102</v>
      </c>
      <c r="BJ90" s="39">
        <f t="shared" si="165"/>
        <v>2.6396804690757003</v>
      </c>
      <c r="BK90" s="39">
        <f t="shared" si="165"/>
        <v>5.1322310772768729</v>
      </c>
      <c r="BL90" s="39">
        <f t="shared" si="165"/>
        <v>5.0096355041202756</v>
      </c>
      <c r="BM90" s="39">
        <f t="shared" si="165"/>
        <v>7.3059946907563695</v>
      </c>
      <c r="BN90" s="39">
        <f t="shared" si="165"/>
        <v>7.795831106360235</v>
      </c>
      <c r="BO90" s="39">
        <f t="shared" si="165"/>
        <v>9.9308114612318565</v>
      </c>
      <c r="BP90" s="39">
        <f t="shared" si="165"/>
        <v>7.5839435244639706</v>
      </c>
      <c r="BQ90" s="39">
        <f t="shared" si="165"/>
        <v>7.6265393505361674</v>
      </c>
      <c r="BR90" s="39">
        <f>BR45/AVERAGE(BO68:BR68)</f>
        <v>8.7217499899286945</v>
      </c>
      <c r="CL90" s="39">
        <f t="shared" ref="CL90:CQ90" si="166">CL45/AVERAGE(CI68:CL68)</f>
        <v>7.9511840562719813</v>
      </c>
      <c r="CM90" s="39">
        <f t="shared" si="166"/>
        <v>9.1500440358301294</v>
      </c>
      <c r="CN90" s="39">
        <f t="shared" si="166"/>
        <v>13.022349948542692</v>
      </c>
      <c r="CO90" s="39">
        <f t="shared" si="166"/>
        <v>14.811481929794224</v>
      </c>
      <c r="CP90" s="39">
        <f t="shared" si="166"/>
        <v>19.214176428946587</v>
      </c>
      <c r="CQ90" s="39">
        <f t="shared" si="166"/>
        <v>34.695768234278084</v>
      </c>
    </row>
    <row r="91" spans="2:156">
      <c r="B91" s="1" t="s">
        <v>134</v>
      </c>
      <c r="AX91" s="70">
        <f t="shared" ref="AX91" si="167">AX53/AX73</f>
        <v>3.9127723163562715E-2</v>
      </c>
      <c r="AY91" s="70">
        <f t="shared" ref="AY91:BQ91" si="168">AY53/AY73</f>
        <v>8.1216424613194602E-2</v>
      </c>
      <c r="AZ91" s="70">
        <f t="shared" si="168"/>
        <v>7.0085835127744259E-2</v>
      </c>
      <c r="BA91" s="70">
        <f t="shared" si="168"/>
        <v>6.5922871695367452E-2</v>
      </c>
      <c r="BB91" s="70">
        <f t="shared" si="168"/>
        <v>5.8549523934336559E-2</v>
      </c>
      <c r="BC91" s="70">
        <f t="shared" si="168"/>
        <v>9.0846845806957663E-2</v>
      </c>
      <c r="BD91" s="70">
        <f t="shared" si="168"/>
        <v>7.1322241930976263E-2</v>
      </c>
      <c r="BE91" s="70">
        <f t="shared" si="168"/>
        <v>5.7809930748210725E-2</v>
      </c>
      <c r="BF91" s="70">
        <f t="shared" si="168"/>
        <v>5.9023968476704797E-2</v>
      </c>
      <c r="BG91" s="70">
        <f t="shared" si="168"/>
        <v>8.6512644665995675E-2</v>
      </c>
      <c r="BH91" s="70">
        <f t="shared" si="168"/>
        <v>7.2736030828516374E-2</v>
      </c>
      <c r="BI91" s="70">
        <f t="shared" si="168"/>
        <v>5.9339537604689616E-2</v>
      </c>
      <c r="BJ91" s="70">
        <f t="shared" si="168"/>
        <v>6.5108073843605618E-2</v>
      </c>
      <c r="BK91" s="70">
        <f t="shared" si="168"/>
        <v>9.5939623324677384E-2</v>
      </c>
      <c r="BL91" s="70">
        <f t="shared" si="168"/>
        <v>7.005106531796533E-2</v>
      </c>
      <c r="BM91" s="70">
        <f t="shared" si="168"/>
        <v>6.4677997177424215E-2</v>
      </c>
      <c r="BN91" s="70">
        <f t="shared" si="168"/>
        <v>4.037481505835936E-2</v>
      </c>
      <c r="BO91" s="70">
        <f t="shared" si="168"/>
        <v>0.10558437595361611</v>
      </c>
      <c r="BP91" s="70">
        <f t="shared" si="168"/>
        <v>7.4811386546630318E-2</v>
      </c>
      <c r="BQ91" s="70">
        <f t="shared" si="168"/>
        <v>7.0691865638999082E-2</v>
      </c>
      <c r="BR91" s="70">
        <f>BR53/BR73</f>
        <v>7.6962262102599655E-2</v>
      </c>
      <c r="CL91" s="70">
        <f t="shared" ref="CL91:CQ91" si="169">CL53/CL73</f>
        <v>0.1772557180259843</v>
      </c>
      <c r="CM91" s="70">
        <f t="shared" si="169"/>
        <v>0.26974205275183616</v>
      </c>
      <c r="CN91" s="70">
        <f t="shared" si="169"/>
        <v>0.28320789216311604</v>
      </c>
      <c r="CO91" s="70">
        <f t="shared" si="169"/>
        <v>0.27509834563776475</v>
      </c>
      <c r="CP91" s="70">
        <f t="shared" si="169"/>
        <v>0.25682503150857583</v>
      </c>
      <c r="CQ91" s="70">
        <f t="shared" si="169"/>
        <v>0.32605896798756123</v>
      </c>
    </row>
    <row r="92" spans="2:156">
      <c r="B92" s="1" t="s">
        <v>135</v>
      </c>
      <c r="AX92" s="70">
        <f t="shared" ref="AX92" si="170">AX53/AX73</f>
        <v>3.9127723163562715E-2</v>
      </c>
      <c r="AY92" s="70">
        <f t="shared" ref="AY92:BQ92" si="171">AY53/AY73</f>
        <v>8.1216424613194602E-2</v>
      </c>
      <c r="AZ92" s="70">
        <f t="shared" si="171"/>
        <v>7.0085835127744259E-2</v>
      </c>
      <c r="BA92" s="70">
        <f t="shared" si="171"/>
        <v>6.5922871695367452E-2</v>
      </c>
      <c r="BB92" s="70">
        <f t="shared" si="171"/>
        <v>5.8549523934336559E-2</v>
      </c>
      <c r="BC92" s="70">
        <f t="shared" si="171"/>
        <v>9.0846845806957663E-2</v>
      </c>
      <c r="BD92" s="70">
        <f t="shared" si="171"/>
        <v>7.1322241930976263E-2</v>
      </c>
      <c r="BE92" s="70">
        <f t="shared" si="171"/>
        <v>5.7809930748210725E-2</v>
      </c>
      <c r="BF92" s="70">
        <f t="shared" si="171"/>
        <v>5.9023968476704797E-2</v>
      </c>
      <c r="BG92" s="70">
        <f t="shared" si="171"/>
        <v>8.6512644665995675E-2</v>
      </c>
      <c r="BH92" s="70">
        <f t="shared" si="171"/>
        <v>7.2736030828516374E-2</v>
      </c>
      <c r="BI92" s="70">
        <f t="shared" si="171"/>
        <v>5.9339537604689616E-2</v>
      </c>
      <c r="BJ92" s="70">
        <f t="shared" si="171"/>
        <v>6.5108073843605618E-2</v>
      </c>
      <c r="BK92" s="70">
        <f t="shared" si="171"/>
        <v>9.5939623324677384E-2</v>
      </c>
      <c r="BL92" s="70">
        <f t="shared" si="171"/>
        <v>7.005106531796533E-2</v>
      </c>
      <c r="BM92" s="70">
        <f t="shared" si="171"/>
        <v>6.4677997177424215E-2</v>
      </c>
      <c r="BN92" s="70">
        <f t="shared" si="171"/>
        <v>4.037481505835936E-2</v>
      </c>
      <c r="BO92" s="70">
        <f t="shared" si="171"/>
        <v>0.10558437595361611</v>
      </c>
      <c r="BP92" s="70">
        <f t="shared" si="171"/>
        <v>7.4811386546630318E-2</v>
      </c>
      <c r="BQ92" s="70">
        <f t="shared" si="171"/>
        <v>7.0691865638999082E-2</v>
      </c>
      <c r="BR92" s="70">
        <f>BR53/BR73</f>
        <v>7.6962262102599655E-2</v>
      </c>
      <c r="CL92" s="70">
        <f t="shared" ref="CL92:CQ92" si="172">CL53/CL73</f>
        <v>0.1772557180259843</v>
      </c>
      <c r="CM92" s="70">
        <f t="shared" si="172"/>
        <v>0.26974205275183616</v>
      </c>
      <c r="CN92" s="70">
        <f t="shared" si="172"/>
        <v>0.28320789216311604</v>
      </c>
      <c r="CO92" s="70">
        <f t="shared" si="172"/>
        <v>0.27509834563776475</v>
      </c>
      <c r="CP92" s="70">
        <f t="shared" si="172"/>
        <v>0.25682503150857583</v>
      </c>
      <c r="CQ92" s="70">
        <f t="shared" si="172"/>
        <v>0.32605896798756123</v>
      </c>
    </row>
    <row r="94" spans="2:156">
      <c r="B94" s="1" t="s">
        <v>136</v>
      </c>
      <c r="C94" s="68">
        <f t="shared" ref="C94:AT94" si="173">C53</f>
        <v>3378</v>
      </c>
      <c r="D94" s="68">
        <f t="shared" si="173"/>
        <v>1620</v>
      </c>
      <c r="E94" s="68">
        <f t="shared" si="173"/>
        <v>1828</v>
      </c>
      <c r="F94" s="68">
        <f t="shared" si="173"/>
        <v>1409</v>
      </c>
      <c r="G94" s="68">
        <f t="shared" si="173"/>
        <v>3378</v>
      </c>
      <c r="H94" s="68">
        <f t="shared" si="173"/>
        <v>3074</v>
      </c>
      <c r="I94" s="68">
        <f t="shared" si="173"/>
        <v>3253</v>
      </c>
      <c r="J94" s="68">
        <f t="shared" si="173"/>
        <v>4308</v>
      </c>
      <c r="K94" s="68">
        <f t="shared" si="173"/>
        <v>6004</v>
      </c>
      <c r="L94" s="68">
        <f t="shared" si="173"/>
        <v>5987</v>
      </c>
      <c r="M94" s="68">
        <f t="shared" si="173"/>
        <v>7308</v>
      </c>
      <c r="N94" s="68">
        <f t="shared" si="173"/>
        <v>6623</v>
      </c>
      <c r="O94" s="68">
        <f t="shared" si="173"/>
        <v>13064</v>
      </c>
      <c r="P94" s="68">
        <f t="shared" si="173"/>
        <v>11622</v>
      </c>
      <c r="Q94" s="68">
        <f t="shared" si="173"/>
        <v>8824</v>
      </c>
      <c r="R94" s="68">
        <f t="shared" si="173"/>
        <v>8223</v>
      </c>
      <c r="S94" s="68">
        <f t="shared" si="173"/>
        <v>13078</v>
      </c>
      <c r="T94" s="68">
        <f t="shared" si="173"/>
        <v>9547</v>
      </c>
      <c r="U94" s="68">
        <f t="shared" si="173"/>
        <v>6900</v>
      </c>
      <c r="V94" s="68">
        <f t="shared" si="173"/>
        <v>7512</v>
      </c>
      <c r="W94" s="68">
        <f t="shared" si="173"/>
        <v>13072</v>
      </c>
      <c r="X94" s="68">
        <f t="shared" si="173"/>
        <v>10223</v>
      </c>
      <c r="Y94" s="68">
        <f t="shared" si="173"/>
        <v>7748</v>
      </c>
      <c r="Z94" s="68">
        <f t="shared" si="173"/>
        <v>8467</v>
      </c>
      <c r="AA94" s="68">
        <f t="shared" si="173"/>
        <v>18024</v>
      </c>
      <c r="AB94" s="68">
        <f t="shared" si="173"/>
        <v>13569</v>
      </c>
      <c r="AC94" s="68">
        <f t="shared" si="173"/>
        <v>10677</v>
      </c>
      <c r="AD94" s="68">
        <f t="shared" si="173"/>
        <v>11124</v>
      </c>
      <c r="AE94" s="68">
        <f t="shared" si="173"/>
        <v>18361</v>
      </c>
      <c r="AF94" s="68">
        <f t="shared" si="173"/>
        <v>10516</v>
      </c>
      <c r="AG94" s="68">
        <f t="shared" si="173"/>
        <v>7796</v>
      </c>
      <c r="AH94" s="68">
        <f t="shared" si="173"/>
        <v>9014</v>
      </c>
      <c r="AI94" s="68">
        <f t="shared" si="173"/>
        <v>17891</v>
      </c>
      <c r="AJ94" s="68">
        <f t="shared" si="173"/>
        <v>11029</v>
      </c>
      <c r="AK94" s="68">
        <f t="shared" si="173"/>
        <v>8717</v>
      </c>
      <c r="AL94" s="68">
        <f t="shared" si="173"/>
        <v>10714</v>
      </c>
      <c r="AM94" s="68">
        <f t="shared" si="173"/>
        <v>20065</v>
      </c>
      <c r="AN94" s="68">
        <f t="shared" si="173"/>
        <v>13822</v>
      </c>
      <c r="AO94" s="68">
        <f t="shared" si="173"/>
        <v>11519</v>
      </c>
      <c r="AP94" s="68">
        <f t="shared" si="173"/>
        <v>14125</v>
      </c>
      <c r="AQ94" s="68">
        <f t="shared" si="173"/>
        <v>19965</v>
      </c>
      <c r="AR94" s="68">
        <f t="shared" si="173"/>
        <v>11561</v>
      </c>
      <c r="AS94" s="68">
        <f t="shared" si="173"/>
        <v>10044</v>
      </c>
      <c r="AT94" s="68">
        <f t="shared" si="173"/>
        <v>13686</v>
      </c>
      <c r="AU94" s="68">
        <f t="shared" ref="AU94:BQ94" si="174">AU53</f>
        <v>22236</v>
      </c>
      <c r="AV94" s="68">
        <f t="shared" si="174"/>
        <v>11249</v>
      </c>
      <c r="AW94" s="68">
        <f t="shared" si="174"/>
        <v>11253</v>
      </c>
      <c r="AX94" s="68">
        <f t="shared" si="174"/>
        <v>12673</v>
      </c>
      <c r="AY94" s="68">
        <f t="shared" si="174"/>
        <v>28755</v>
      </c>
      <c r="AZ94" s="68">
        <f t="shared" si="174"/>
        <v>23630</v>
      </c>
      <c r="BA94" s="68">
        <f t="shared" si="174"/>
        <v>21744</v>
      </c>
      <c r="BB94" s="68">
        <f t="shared" si="174"/>
        <v>20551</v>
      </c>
      <c r="BC94" s="68">
        <f t="shared" si="174"/>
        <v>34630</v>
      </c>
      <c r="BD94" s="68">
        <f t="shared" si="174"/>
        <v>25010</v>
      </c>
      <c r="BE94" s="68">
        <f t="shared" si="174"/>
        <v>19442</v>
      </c>
      <c r="BF94" s="68">
        <f t="shared" si="174"/>
        <v>20821</v>
      </c>
      <c r="BG94" s="68">
        <f t="shared" si="174"/>
        <v>29998</v>
      </c>
      <c r="BH94" s="68">
        <f t="shared" si="174"/>
        <v>24160</v>
      </c>
      <c r="BI94" s="68">
        <f t="shared" si="174"/>
        <v>19881</v>
      </c>
      <c r="BJ94" s="68">
        <f t="shared" si="174"/>
        <v>22956</v>
      </c>
      <c r="BK94" s="68">
        <f t="shared" si="174"/>
        <v>33916</v>
      </c>
      <c r="BL94" s="68">
        <f t="shared" si="174"/>
        <v>23636</v>
      </c>
      <c r="BM94" s="68">
        <f t="shared" si="174"/>
        <v>21448</v>
      </c>
      <c r="BN94" s="68">
        <f t="shared" si="174"/>
        <v>14736</v>
      </c>
      <c r="BO94" s="68">
        <f t="shared" si="174"/>
        <v>36330</v>
      </c>
      <c r="BP94" s="68">
        <f t="shared" si="174"/>
        <v>24780</v>
      </c>
      <c r="BQ94" s="68">
        <f t="shared" si="174"/>
        <v>23434</v>
      </c>
      <c r="BR94" s="68">
        <f>BR53</f>
        <v>27648</v>
      </c>
      <c r="CA94" s="68">
        <f>CA53</f>
        <v>8235</v>
      </c>
      <c r="CB94" s="68">
        <f t="shared" ref="CB94:CQ94" si="175">CB53</f>
        <v>14013</v>
      </c>
      <c r="CC94" s="68">
        <f t="shared" si="175"/>
        <v>25922</v>
      </c>
      <c r="CD94" s="68">
        <f t="shared" si="175"/>
        <v>41733</v>
      </c>
      <c r="CE94" s="68">
        <f t="shared" si="175"/>
        <v>37037</v>
      </c>
      <c r="CF94" s="68">
        <f t="shared" si="175"/>
        <v>39510</v>
      </c>
      <c r="CG94" s="68">
        <f t="shared" si="175"/>
        <v>53394</v>
      </c>
      <c r="CH94" s="68">
        <f t="shared" si="175"/>
        <v>45687</v>
      </c>
      <c r="CI94" s="68">
        <f t="shared" si="175"/>
        <v>48351</v>
      </c>
      <c r="CJ94" s="68">
        <f t="shared" si="175"/>
        <v>59531</v>
      </c>
      <c r="CK94" s="68">
        <f t="shared" si="175"/>
        <v>55256</v>
      </c>
      <c r="CL94" s="68">
        <f t="shared" si="175"/>
        <v>57411</v>
      </c>
      <c r="CM94" s="68">
        <f t="shared" si="175"/>
        <v>94680</v>
      </c>
      <c r="CN94" s="68">
        <f t="shared" si="175"/>
        <v>99903</v>
      </c>
      <c r="CO94" s="68">
        <f t="shared" si="175"/>
        <v>96995</v>
      </c>
      <c r="CP94" s="68">
        <f t="shared" si="175"/>
        <v>93736</v>
      </c>
      <c r="CQ94" s="68">
        <f t="shared" si="175"/>
        <v>112192</v>
      </c>
    </row>
    <row r="95" spans="2:156" s="2" customFormat="1" ht="15">
      <c r="B95" s="2" t="s">
        <v>137</v>
      </c>
      <c r="C95" s="69">
        <v>5781</v>
      </c>
      <c r="D95" s="69">
        <v>-1002</v>
      </c>
      <c r="E95" s="69">
        <v>2270</v>
      </c>
      <c r="F95" s="69">
        <v>3110</v>
      </c>
      <c r="G95" s="69">
        <v>5781</v>
      </c>
      <c r="H95" s="69">
        <v>2330</v>
      </c>
      <c r="I95" s="69">
        <v>4801</v>
      </c>
      <c r="J95" s="69">
        <v>5683</v>
      </c>
      <c r="K95" s="69">
        <v>9773</v>
      </c>
      <c r="L95" s="69">
        <v>6219</v>
      </c>
      <c r="M95" s="69">
        <v>11108</v>
      </c>
      <c r="N95" s="69">
        <v>10429</v>
      </c>
      <c r="O95" s="69">
        <v>17554</v>
      </c>
      <c r="P95" s="69">
        <v>13977</v>
      </c>
      <c r="Q95" s="69">
        <v>10189</v>
      </c>
      <c r="R95" s="69">
        <v>9136</v>
      </c>
      <c r="S95" s="69">
        <v>23426</v>
      </c>
      <c r="T95" s="69">
        <v>12504</v>
      </c>
      <c r="U95" s="69">
        <v>7828</v>
      </c>
      <c r="V95" s="69">
        <v>9908</v>
      </c>
      <c r="W95" s="69">
        <v>22670</v>
      </c>
      <c r="X95" s="69">
        <v>13538</v>
      </c>
      <c r="Y95" s="69">
        <v>10255</v>
      </c>
      <c r="Z95" s="69">
        <v>13250</v>
      </c>
      <c r="AA95" s="69">
        <v>33722</v>
      </c>
      <c r="AB95" s="69">
        <v>19081</v>
      </c>
      <c r="AC95" s="69">
        <v>14988</v>
      </c>
      <c r="AD95" s="69">
        <v>13475</v>
      </c>
      <c r="AE95" s="69">
        <v>27463</v>
      </c>
      <c r="AF95" s="69">
        <v>11601</v>
      </c>
      <c r="AG95" s="69">
        <v>10634</v>
      </c>
      <c r="AH95" s="69">
        <v>16533</v>
      </c>
      <c r="AI95" s="69">
        <v>27234</v>
      </c>
      <c r="AJ95" s="69">
        <v>12570</v>
      </c>
      <c r="AK95" s="69">
        <v>8672</v>
      </c>
      <c r="AL95" s="69">
        <v>15749</v>
      </c>
      <c r="AM95" s="69">
        <v>28293</v>
      </c>
      <c r="AN95" s="69">
        <v>15130</v>
      </c>
      <c r="AO95" s="69">
        <v>14488</v>
      </c>
      <c r="AP95" s="69">
        <v>19523</v>
      </c>
      <c r="AQ95" s="69">
        <v>26690</v>
      </c>
      <c r="AR95" s="69">
        <v>11155</v>
      </c>
      <c r="AS95" s="69">
        <v>11636</v>
      </c>
      <c r="AT95" s="69">
        <v>19910</v>
      </c>
      <c r="AU95" s="69">
        <v>30516</v>
      </c>
      <c r="AV95" s="69">
        <v>13311</v>
      </c>
      <c r="AW95" s="69">
        <v>16271</v>
      </c>
      <c r="AX95" s="69">
        <v>20576</v>
      </c>
      <c r="AY95" s="69">
        <v>38763</v>
      </c>
      <c r="AZ95" s="69">
        <v>23981</v>
      </c>
      <c r="BA95" s="69">
        <v>21094</v>
      </c>
      <c r="BB95" s="69">
        <v>20200</v>
      </c>
      <c r="BC95" s="69">
        <v>46966</v>
      </c>
      <c r="BD95" s="69">
        <v>28166</v>
      </c>
      <c r="BE95" s="69">
        <v>22892</v>
      </c>
      <c r="BF95" s="69">
        <v>24127</v>
      </c>
      <c r="BG95" s="69">
        <v>34005</v>
      </c>
      <c r="BH95" s="69">
        <v>28560</v>
      </c>
      <c r="BI95" s="69">
        <v>26380</v>
      </c>
      <c r="BJ95" s="69">
        <v>21598</v>
      </c>
      <c r="BK95" s="69">
        <v>39895</v>
      </c>
      <c r="BL95" s="69">
        <v>22690</v>
      </c>
      <c r="BM95" s="69">
        <v>28858</v>
      </c>
      <c r="BN95" s="69">
        <v>26811</v>
      </c>
      <c r="BO95" s="69">
        <v>29935</v>
      </c>
      <c r="BP95" s="69">
        <v>23952</v>
      </c>
      <c r="BQ95" s="69">
        <v>27867</v>
      </c>
      <c r="BR95" s="69">
        <v>29728</v>
      </c>
      <c r="BS95" s="34"/>
      <c r="BT95" s="34"/>
      <c r="BU95" s="34"/>
      <c r="BV95" s="34"/>
      <c r="CA95" s="69">
        <f t="shared" ref="CA95:CA99" si="176">SUM(C95:F95)</f>
        <v>10159</v>
      </c>
      <c r="CB95" s="69">
        <f t="shared" ref="CB95:CB99" si="177">SUM(G95:J95)</f>
        <v>18595</v>
      </c>
      <c r="CC95" s="69">
        <f t="shared" ref="CC95:CC99" si="178">SUM(K95:N95)</f>
        <v>37529</v>
      </c>
      <c r="CD95" s="69">
        <f t="shared" ref="CD95:CD99" si="179">SUM(O95:R95)</f>
        <v>50856</v>
      </c>
      <c r="CE95" s="69">
        <f t="shared" ref="CE95:CE99" si="180">SUM(S95:V95)</f>
        <v>53666</v>
      </c>
      <c r="CF95" s="69">
        <f t="shared" ref="CF95:CF99" si="181">SUM(W95:Z95)</f>
        <v>59713</v>
      </c>
      <c r="CG95" s="69">
        <f t="shared" ref="CG95:CG99" si="182">SUM(AA95:AD95)</f>
        <v>81266</v>
      </c>
      <c r="CH95" s="69">
        <f t="shared" ref="CH95:CH99" si="183">SUM(AE95:AH95)</f>
        <v>66231</v>
      </c>
      <c r="CI95" s="69">
        <f t="shared" ref="CI95:CI99" si="184">SUM(AI95:AL95)</f>
        <v>64225</v>
      </c>
      <c r="CJ95" s="69">
        <f t="shared" ref="CJ95:CJ99" si="185">SUM(AM95:AP95)</f>
        <v>77434</v>
      </c>
      <c r="CK95" s="69">
        <f t="shared" ref="CK95:CK99" si="186">SUM(AQ95:AT95)</f>
        <v>69391</v>
      </c>
      <c r="CL95" s="69">
        <f t="shared" ref="CL95:CL99" si="187">SUM(AU95:AX95)</f>
        <v>80674</v>
      </c>
      <c r="CM95" s="69">
        <f t="shared" ref="CM95:CM99" si="188">SUM(AY95:BB95)</f>
        <v>104038</v>
      </c>
      <c r="CN95" s="69">
        <f t="shared" ref="CN95:CN99" si="189">SUM(BC95:BF95)</f>
        <v>122151</v>
      </c>
      <c r="CO95" s="69">
        <f t="shared" ref="CO95:CO99" si="190">SUM(BG95:BJ95)</f>
        <v>110543</v>
      </c>
      <c r="CP95" s="69">
        <f t="shared" ref="CP95:CP99" si="191">SUM(BK95:BN95)</f>
        <v>118254</v>
      </c>
      <c r="CQ95" s="69">
        <f t="shared" ref="CQ95:CQ99" si="192">SUM(BL95:BO95)</f>
        <v>108294</v>
      </c>
      <c r="CR95" s="34"/>
      <c r="CS95" s="34"/>
      <c r="CT95" s="34"/>
      <c r="CU95" s="34"/>
      <c r="CV95" s="34"/>
      <c r="CW95" s="34"/>
      <c r="CX95" s="34"/>
      <c r="CY95" s="34"/>
      <c r="CZ95" s="34"/>
      <c r="DA95" s="34"/>
      <c r="DB95" s="34"/>
      <c r="DC95" s="34"/>
      <c r="DD95" s="34"/>
      <c r="DE95" s="34"/>
      <c r="DF95" s="34"/>
      <c r="DG95" s="34"/>
      <c r="DH95" s="34"/>
      <c r="DI95" s="34"/>
      <c r="DJ95" s="34"/>
      <c r="DK95" s="34"/>
      <c r="DL95" s="34"/>
      <c r="DM95" s="34"/>
      <c r="DN95" s="34"/>
      <c r="DO95" s="34"/>
      <c r="DP95" s="34"/>
      <c r="DQ95" s="34"/>
      <c r="DR95" s="34"/>
      <c r="DS95" s="34"/>
      <c r="DT95" s="34"/>
      <c r="DU95" s="34"/>
      <c r="DV95" s="34"/>
      <c r="DW95" s="34"/>
      <c r="DX95" s="34"/>
      <c r="DY95" s="34"/>
      <c r="DZ95" s="34"/>
      <c r="EA95" s="34"/>
      <c r="EB95" s="34"/>
      <c r="EC95" s="34"/>
      <c r="ED95" s="34"/>
      <c r="EE95" s="34"/>
      <c r="EF95" s="34"/>
      <c r="EG95" s="34"/>
      <c r="EH95" s="34"/>
      <c r="EI95" s="34"/>
      <c r="EJ95" s="34"/>
      <c r="EK95" s="34"/>
      <c r="EL95" s="34"/>
      <c r="EM95" s="34"/>
      <c r="EN95" s="34"/>
      <c r="EO95" s="34"/>
      <c r="EP95" s="34"/>
      <c r="EQ95" s="34"/>
      <c r="ER95" s="34"/>
      <c r="ES95" s="34"/>
      <c r="ET95" s="34"/>
      <c r="EU95" s="34"/>
      <c r="EV95" s="34"/>
      <c r="EW95" s="34"/>
      <c r="EX95" s="34"/>
      <c r="EY95" s="34"/>
      <c r="EZ95" s="34"/>
    </row>
    <row r="96" spans="2:156">
      <c r="B96" s="1" t="s">
        <v>138</v>
      </c>
      <c r="C96" s="68">
        <v>-353</v>
      </c>
      <c r="D96" s="68">
        <v>-116</v>
      </c>
      <c r="E96" s="68">
        <v>-272</v>
      </c>
      <c r="F96" s="68">
        <v>-472</v>
      </c>
      <c r="G96" s="68">
        <v>-381</v>
      </c>
      <c r="H96" s="68">
        <v>-301</v>
      </c>
      <c r="I96" s="68">
        <v>-626</v>
      </c>
      <c r="J96" s="68">
        <v>-813</v>
      </c>
      <c r="K96" s="68">
        <v>-1263</v>
      </c>
      <c r="L96" s="68">
        <v>-656</v>
      </c>
      <c r="M96" s="68">
        <v>-962</v>
      </c>
      <c r="N96" s="68">
        <v>-4571</v>
      </c>
      <c r="O96" s="68">
        <v>-1429</v>
      </c>
      <c r="P96" s="68">
        <v>-1509</v>
      </c>
      <c r="Q96" s="68">
        <v>-2963</v>
      </c>
      <c r="R96" s="68">
        <v>-3501</v>
      </c>
      <c r="S96" s="68">
        <v>-2455</v>
      </c>
      <c r="T96" s="68">
        <v>-2299</v>
      </c>
      <c r="U96" s="68">
        <v>-2016</v>
      </c>
      <c r="V96" s="68">
        <v>-2306</v>
      </c>
      <c r="W96" s="68">
        <v>-1985</v>
      </c>
      <c r="X96" s="68">
        <v>-1382</v>
      </c>
      <c r="Y96" s="68">
        <v>-2378</v>
      </c>
      <c r="Z96" s="68">
        <v>-3826</v>
      </c>
      <c r="AA96" s="68">
        <v>-3217</v>
      </c>
      <c r="AB96" s="68">
        <v>-2369</v>
      </c>
      <c r="AC96" s="68">
        <v>-2043</v>
      </c>
      <c r="AD96" s="68">
        <v>-3618</v>
      </c>
      <c r="AE96" s="68">
        <v>-3612</v>
      </c>
      <c r="AF96" s="68">
        <v>-2336</v>
      </c>
      <c r="AG96" s="68">
        <v>-2809</v>
      </c>
      <c r="AH96" s="68">
        <v>-3977</v>
      </c>
      <c r="AI96" s="68">
        <v>-3334</v>
      </c>
      <c r="AJ96" s="68">
        <v>-2975</v>
      </c>
      <c r="AK96" s="68">
        <v>-2277</v>
      </c>
      <c r="AL96" s="68">
        <v>-3865</v>
      </c>
      <c r="AM96" s="68">
        <v>-2810</v>
      </c>
      <c r="AN96" s="68">
        <v>-4195</v>
      </c>
      <c r="AO96" s="68">
        <v>-3267</v>
      </c>
      <c r="AP96" s="68">
        <v>-3041</v>
      </c>
      <c r="AQ96" s="68">
        <v>-3355</v>
      </c>
      <c r="AR96" s="68">
        <v>-2363</v>
      </c>
      <c r="AS96" s="68">
        <v>-2000</v>
      </c>
      <c r="AT96" s="68">
        <v>-2777</v>
      </c>
      <c r="AU96" s="68">
        <v>-2107</v>
      </c>
      <c r="AV96" s="68">
        <v>-1853</v>
      </c>
      <c r="AW96" s="68">
        <v>-1565</v>
      </c>
      <c r="AX96" s="68">
        <v>-1784</v>
      </c>
      <c r="AY96" s="68">
        <v>-3500</v>
      </c>
      <c r="AZ96" s="68">
        <v>-2269</v>
      </c>
      <c r="BA96" s="68">
        <v>-2093</v>
      </c>
      <c r="BB96" s="68">
        <v>-3223</v>
      </c>
      <c r="BC96" s="68">
        <v>-2803</v>
      </c>
      <c r="BD96" s="68">
        <v>-2514</v>
      </c>
      <c r="BE96" s="68">
        <v>-2102</v>
      </c>
      <c r="BF96" s="68">
        <v>-3289</v>
      </c>
      <c r="BG96" s="68">
        <v>-3787</v>
      </c>
      <c r="BH96" s="68">
        <v>-2916</v>
      </c>
      <c r="BI96" s="68">
        <v>-2093</v>
      </c>
      <c r="BJ96" s="68">
        <v>-2163</v>
      </c>
      <c r="BK96" s="68">
        <v>-2392</v>
      </c>
      <c r="BL96" s="68">
        <v>-1996</v>
      </c>
      <c r="BM96" s="68">
        <v>-2151</v>
      </c>
      <c r="BN96" s="68">
        <v>-2908</v>
      </c>
      <c r="BO96" s="68">
        <v>-2940</v>
      </c>
      <c r="BP96" s="68">
        <v>-3071</v>
      </c>
      <c r="BQ96" s="68">
        <v>-3462</v>
      </c>
      <c r="BR96" s="68">
        <v>-3242</v>
      </c>
      <c r="CA96" s="68">
        <f t="shared" si="176"/>
        <v>-1213</v>
      </c>
      <c r="CB96" s="68">
        <f t="shared" si="177"/>
        <v>-2121</v>
      </c>
      <c r="CC96" s="68">
        <f t="shared" si="178"/>
        <v>-7452</v>
      </c>
      <c r="CD96" s="68">
        <f t="shared" si="179"/>
        <v>-9402</v>
      </c>
      <c r="CE96" s="68">
        <f t="shared" si="180"/>
        <v>-9076</v>
      </c>
      <c r="CF96" s="68">
        <f t="shared" si="181"/>
        <v>-9571</v>
      </c>
      <c r="CG96" s="68">
        <f t="shared" si="182"/>
        <v>-11247</v>
      </c>
      <c r="CH96" s="68">
        <f t="shared" si="183"/>
        <v>-12734</v>
      </c>
      <c r="CI96" s="68">
        <f t="shared" si="184"/>
        <v>-12451</v>
      </c>
      <c r="CJ96" s="68">
        <f t="shared" si="185"/>
        <v>-13313</v>
      </c>
      <c r="CK96" s="68">
        <f t="shared" si="186"/>
        <v>-10495</v>
      </c>
      <c r="CL96" s="68">
        <f t="shared" si="187"/>
        <v>-7309</v>
      </c>
      <c r="CM96" s="68">
        <f t="shared" si="188"/>
        <v>-11085</v>
      </c>
      <c r="CN96" s="68">
        <f t="shared" si="189"/>
        <v>-10708</v>
      </c>
      <c r="CO96" s="68">
        <f t="shared" si="190"/>
        <v>-10959</v>
      </c>
      <c r="CP96" s="68">
        <f t="shared" si="191"/>
        <v>-9447</v>
      </c>
      <c r="CQ96" s="68">
        <f t="shared" si="192"/>
        <v>-9995</v>
      </c>
    </row>
    <row r="97" spans="2:156" s="2" customFormat="1" ht="15">
      <c r="B97" s="2" t="s">
        <v>139</v>
      </c>
      <c r="C97" s="69">
        <f t="shared" ref="C97" si="193">C95-C96</f>
        <v>6134</v>
      </c>
      <c r="D97" s="69">
        <f t="shared" ref="D97" si="194">D95-D96</f>
        <v>-886</v>
      </c>
      <c r="E97" s="69">
        <f t="shared" ref="E97" si="195">E95-E96</f>
        <v>2542</v>
      </c>
      <c r="F97" s="69">
        <f t="shared" ref="F97" si="196">F95-F96</f>
        <v>3582</v>
      </c>
      <c r="G97" s="69">
        <f t="shared" ref="G97" si="197">G95-G96</f>
        <v>6162</v>
      </c>
      <c r="H97" s="69">
        <f t="shared" ref="H97" si="198">H95-H96</f>
        <v>2631</v>
      </c>
      <c r="I97" s="69">
        <f t="shared" ref="I97" si="199">I95-I96</f>
        <v>5427</v>
      </c>
      <c r="J97" s="69">
        <f t="shared" ref="J97" si="200">J95-J96</f>
        <v>6496</v>
      </c>
      <c r="K97" s="69">
        <f t="shared" ref="K97" si="201">K95-K96</f>
        <v>11036</v>
      </c>
      <c r="L97" s="69">
        <f t="shared" ref="L97" si="202">L95-L96</f>
        <v>6875</v>
      </c>
      <c r="M97" s="69">
        <f t="shared" ref="M97" si="203">M95-M96</f>
        <v>12070</v>
      </c>
      <c r="N97" s="69">
        <f t="shared" ref="N97" si="204">N95-N96</f>
        <v>15000</v>
      </c>
      <c r="O97" s="69">
        <f t="shared" ref="O97" si="205">O95-O96</f>
        <v>18983</v>
      </c>
      <c r="P97" s="69">
        <f t="shared" ref="P97" si="206">P95-P96</f>
        <v>15486</v>
      </c>
      <c r="Q97" s="69">
        <f t="shared" ref="Q97" si="207">Q95-Q96</f>
        <v>13152</v>
      </c>
      <c r="R97" s="69">
        <f t="shared" ref="R97" si="208">R95-R96</f>
        <v>12637</v>
      </c>
      <c r="S97" s="69">
        <f t="shared" ref="S97" si="209">S95-S96</f>
        <v>25881</v>
      </c>
      <c r="T97" s="69">
        <f t="shared" ref="T97" si="210">T95-T96</f>
        <v>14803</v>
      </c>
      <c r="U97" s="69">
        <f t="shared" ref="U97" si="211">U95-U96</f>
        <v>9844</v>
      </c>
      <c r="V97" s="69">
        <f t="shared" ref="V97" si="212">V95-V96</f>
        <v>12214</v>
      </c>
      <c r="W97" s="69">
        <f t="shared" ref="W97" si="213">W95-W96</f>
        <v>24655</v>
      </c>
      <c r="X97" s="69">
        <f t="shared" ref="X97" si="214">X95-X96</f>
        <v>14920</v>
      </c>
      <c r="Y97" s="69">
        <f t="shared" ref="Y97" si="215">Y95-Y96</f>
        <v>12633</v>
      </c>
      <c r="Z97" s="69">
        <f t="shared" ref="Z97" si="216">Z95-Z96</f>
        <v>17076</v>
      </c>
      <c r="AA97" s="69">
        <f t="shared" ref="AA97" si="217">AA95-AA96</f>
        <v>36939</v>
      </c>
      <c r="AB97" s="69">
        <f t="shared" ref="AB97" si="218">AB95-AB96</f>
        <v>21450</v>
      </c>
      <c r="AC97" s="69">
        <f t="shared" ref="AC97" si="219">AC95-AC96</f>
        <v>17031</v>
      </c>
      <c r="AD97" s="69">
        <f t="shared" ref="AD97" si="220">AD95-AD96</f>
        <v>17093</v>
      </c>
      <c r="AE97" s="69">
        <f t="shared" ref="AE97" si="221">AE95-AE96</f>
        <v>31075</v>
      </c>
      <c r="AF97" s="69">
        <f t="shared" ref="AF97" si="222">AF95-AF96</f>
        <v>13937</v>
      </c>
      <c r="AG97" s="69">
        <f t="shared" ref="AG97" si="223">AG95-AG96</f>
        <v>13443</v>
      </c>
      <c r="AH97" s="69">
        <f t="shared" ref="AH97" si="224">AH95-AH96</f>
        <v>20510</v>
      </c>
      <c r="AI97" s="69">
        <f t="shared" ref="AI97" si="225">AI95-AI96</f>
        <v>30568</v>
      </c>
      <c r="AJ97" s="69">
        <f t="shared" ref="AJ97" si="226">AJ95-AJ96</f>
        <v>15545</v>
      </c>
      <c r="AK97" s="69">
        <f t="shared" ref="AK97" si="227">AK95-AK96</f>
        <v>10949</v>
      </c>
      <c r="AL97" s="69">
        <f t="shared" ref="AL97" si="228">AL95-AL96</f>
        <v>19614</v>
      </c>
      <c r="AM97" s="69">
        <f t="shared" ref="AM97" si="229">AM95-AM96</f>
        <v>31103</v>
      </c>
      <c r="AN97" s="69">
        <f t="shared" ref="AN97" si="230">AN95-AN96</f>
        <v>19325</v>
      </c>
      <c r="AO97" s="69">
        <f t="shared" ref="AO97" si="231">AO95-AO96</f>
        <v>17755</v>
      </c>
      <c r="AP97" s="69">
        <f t="shared" ref="AP97" si="232">AP95-AP96</f>
        <v>22564</v>
      </c>
      <c r="AQ97" s="69">
        <f t="shared" ref="AQ97" si="233">AQ95-AQ96</f>
        <v>30045</v>
      </c>
      <c r="AR97" s="69">
        <f t="shared" ref="AR97" si="234">AR95-AR96</f>
        <v>13518</v>
      </c>
      <c r="AS97" s="69">
        <f t="shared" ref="AS97" si="235">AS95-AS96</f>
        <v>13636</v>
      </c>
      <c r="AT97" s="69">
        <f t="shared" ref="AT97" si="236">AT95-AT96</f>
        <v>22687</v>
      </c>
      <c r="AU97" s="69">
        <f t="shared" ref="AU97:BQ97" si="237">AU95-AU96</f>
        <v>32623</v>
      </c>
      <c r="AV97" s="69">
        <f t="shared" si="237"/>
        <v>15164</v>
      </c>
      <c r="AW97" s="69">
        <f t="shared" si="237"/>
        <v>17836</v>
      </c>
      <c r="AX97" s="69">
        <f t="shared" si="237"/>
        <v>22360</v>
      </c>
      <c r="AY97" s="69">
        <f t="shared" si="237"/>
        <v>42263</v>
      </c>
      <c r="AZ97" s="69">
        <f t="shared" si="237"/>
        <v>26250</v>
      </c>
      <c r="BA97" s="69">
        <f t="shared" si="237"/>
        <v>23187</v>
      </c>
      <c r="BB97" s="69">
        <f t="shared" si="237"/>
        <v>23423</v>
      </c>
      <c r="BC97" s="69">
        <f t="shared" si="237"/>
        <v>49769</v>
      </c>
      <c r="BD97" s="69">
        <f t="shared" si="237"/>
        <v>30680</v>
      </c>
      <c r="BE97" s="69">
        <f t="shared" si="237"/>
        <v>24994</v>
      </c>
      <c r="BF97" s="69">
        <f t="shared" si="237"/>
        <v>27416</v>
      </c>
      <c r="BG97" s="69">
        <f t="shared" si="237"/>
        <v>37792</v>
      </c>
      <c r="BH97" s="69">
        <f t="shared" si="237"/>
        <v>31476</v>
      </c>
      <c r="BI97" s="69">
        <f t="shared" si="237"/>
        <v>28473</v>
      </c>
      <c r="BJ97" s="69">
        <f t="shared" si="237"/>
        <v>23761</v>
      </c>
      <c r="BK97" s="69">
        <f t="shared" si="237"/>
        <v>42287</v>
      </c>
      <c r="BL97" s="69">
        <f t="shared" si="237"/>
        <v>24686</v>
      </c>
      <c r="BM97" s="69">
        <f t="shared" si="237"/>
        <v>31009</v>
      </c>
      <c r="BN97" s="69">
        <f t="shared" si="237"/>
        <v>29719</v>
      </c>
      <c r="BO97" s="69">
        <f t="shared" si="237"/>
        <v>32875</v>
      </c>
      <c r="BP97" s="69">
        <f t="shared" si="237"/>
        <v>27023</v>
      </c>
      <c r="BQ97" s="69">
        <f t="shared" si="237"/>
        <v>31329</v>
      </c>
      <c r="BR97" s="69">
        <f>BR95-BR96</f>
        <v>32970</v>
      </c>
      <c r="BS97" s="34"/>
      <c r="BT97" s="34"/>
      <c r="BU97" s="34"/>
      <c r="BV97" s="34"/>
      <c r="CA97" s="69">
        <f t="shared" si="176"/>
        <v>11372</v>
      </c>
      <c r="CB97" s="69">
        <f t="shared" si="177"/>
        <v>20716</v>
      </c>
      <c r="CC97" s="69">
        <f t="shared" si="178"/>
        <v>44981</v>
      </c>
      <c r="CD97" s="69">
        <f t="shared" si="179"/>
        <v>60258</v>
      </c>
      <c r="CE97" s="69">
        <f t="shared" si="180"/>
        <v>62742</v>
      </c>
      <c r="CF97" s="69">
        <f t="shared" si="181"/>
        <v>69284</v>
      </c>
      <c r="CG97" s="69">
        <f t="shared" si="182"/>
        <v>92513</v>
      </c>
      <c r="CH97" s="69">
        <f t="shared" si="183"/>
        <v>78965</v>
      </c>
      <c r="CI97" s="69">
        <f t="shared" si="184"/>
        <v>76676</v>
      </c>
      <c r="CJ97" s="69">
        <f t="shared" si="185"/>
        <v>90747</v>
      </c>
      <c r="CK97" s="69">
        <f t="shared" si="186"/>
        <v>79886</v>
      </c>
      <c r="CL97" s="69">
        <f t="shared" si="187"/>
        <v>87983</v>
      </c>
      <c r="CM97" s="69">
        <f t="shared" si="188"/>
        <v>115123</v>
      </c>
      <c r="CN97" s="69">
        <f t="shared" si="189"/>
        <v>132859</v>
      </c>
      <c r="CO97" s="69">
        <f t="shared" si="190"/>
        <v>121502</v>
      </c>
      <c r="CP97" s="69">
        <f t="shared" si="191"/>
        <v>127701</v>
      </c>
      <c r="CQ97" s="69">
        <f t="shared" si="192"/>
        <v>118289</v>
      </c>
      <c r="CR97" s="34"/>
      <c r="CS97" s="34"/>
      <c r="CT97" s="34"/>
      <c r="CU97" s="34"/>
      <c r="CV97" s="34"/>
      <c r="CW97" s="34"/>
      <c r="CX97" s="34"/>
      <c r="CY97" s="34"/>
      <c r="CZ97" s="34"/>
      <c r="DA97" s="34"/>
      <c r="DB97" s="34"/>
      <c r="DC97" s="34"/>
      <c r="DD97" s="34"/>
      <c r="DE97" s="34"/>
      <c r="DF97" s="34"/>
      <c r="DG97" s="34"/>
      <c r="DH97" s="34"/>
      <c r="DI97" s="34"/>
      <c r="DJ97" s="34"/>
      <c r="DK97" s="34"/>
      <c r="DL97" s="34"/>
      <c r="DM97" s="34"/>
      <c r="DN97" s="34"/>
      <c r="DO97" s="34"/>
      <c r="DP97" s="34"/>
      <c r="DQ97" s="34"/>
      <c r="DR97" s="34"/>
      <c r="DS97" s="34"/>
      <c r="DT97" s="34"/>
      <c r="DU97" s="34"/>
      <c r="DV97" s="34"/>
      <c r="DW97" s="34"/>
      <c r="DX97" s="34"/>
      <c r="DY97" s="34"/>
      <c r="DZ97" s="34"/>
      <c r="EA97" s="34"/>
      <c r="EB97" s="34"/>
      <c r="EC97" s="34"/>
      <c r="ED97" s="34"/>
      <c r="EE97" s="34"/>
      <c r="EF97" s="34"/>
      <c r="EG97" s="34"/>
      <c r="EH97" s="34"/>
      <c r="EI97" s="34"/>
      <c r="EJ97" s="34"/>
      <c r="EK97" s="34"/>
      <c r="EL97" s="34"/>
      <c r="EM97" s="34"/>
      <c r="EN97" s="34"/>
      <c r="EO97" s="34"/>
      <c r="EP97" s="34"/>
      <c r="EQ97" s="34"/>
      <c r="ER97" s="34"/>
      <c r="ES97" s="34"/>
      <c r="ET97" s="34"/>
      <c r="EU97" s="34"/>
      <c r="EV97" s="34"/>
      <c r="EW97" s="34"/>
      <c r="EX97" s="34"/>
      <c r="EY97" s="34"/>
      <c r="EZ97" s="34"/>
    </row>
    <row r="98" spans="2:156">
      <c r="B98" s="1" t="s">
        <v>140</v>
      </c>
      <c r="C98" s="68">
        <f t="shared" ref="C98:AT98" si="238">C54</f>
        <v>24974</v>
      </c>
      <c r="D98" s="68">
        <f t="shared" si="238"/>
        <v>25081</v>
      </c>
      <c r="E98" s="68">
        <f t="shared" si="238"/>
        <v>25195</v>
      </c>
      <c r="F98" s="68">
        <f t="shared" si="238"/>
        <v>25376</v>
      </c>
      <c r="G98" s="68">
        <f t="shared" si="238"/>
        <v>25470</v>
      </c>
      <c r="H98" s="68">
        <f t="shared" si="238"/>
        <v>25578</v>
      </c>
      <c r="I98" s="68">
        <f t="shared" si="238"/>
        <v>25647</v>
      </c>
      <c r="J98" s="68">
        <f t="shared" si="238"/>
        <v>25789</v>
      </c>
      <c r="K98" s="68">
        <f t="shared" si="238"/>
        <v>25740</v>
      </c>
      <c r="L98" s="68">
        <f t="shared" si="238"/>
        <v>25849</v>
      </c>
      <c r="M98" s="68">
        <f t="shared" si="238"/>
        <v>25931</v>
      </c>
      <c r="N98" s="68">
        <f t="shared" si="238"/>
        <v>25879</v>
      </c>
      <c r="O98" s="68">
        <f t="shared" si="238"/>
        <v>26069</v>
      </c>
      <c r="P98" s="68">
        <f t="shared" si="238"/>
        <v>26140</v>
      </c>
      <c r="Q98" s="68">
        <f t="shared" si="238"/>
        <v>26225</v>
      </c>
      <c r="R98" s="68">
        <f t="shared" si="238"/>
        <v>26175</v>
      </c>
      <c r="S98" s="68">
        <f t="shared" si="238"/>
        <v>26290</v>
      </c>
      <c r="T98" s="68">
        <f t="shared" si="238"/>
        <v>26310</v>
      </c>
      <c r="U98" s="68">
        <f t="shared" si="238"/>
        <v>25721</v>
      </c>
      <c r="V98" s="68">
        <f t="shared" si="238"/>
        <v>25909</v>
      </c>
      <c r="W98" s="68">
        <f t="shared" si="238"/>
        <v>25090</v>
      </c>
      <c r="X98" s="68">
        <f t="shared" si="238"/>
        <v>24493</v>
      </c>
      <c r="Y98" s="68">
        <f t="shared" si="238"/>
        <v>24051</v>
      </c>
      <c r="Z98" s="68">
        <f t="shared" si="238"/>
        <v>24342</v>
      </c>
      <c r="AA98" s="68">
        <f t="shared" si="238"/>
        <v>23372</v>
      </c>
      <c r="AB98" s="68">
        <f t="shared" si="238"/>
        <v>23175</v>
      </c>
      <c r="AC98" s="68">
        <f t="shared" si="238"/>
        <v>22920</v>
      </c>
      <c r="AD98" s="68">
        <f t="shared" si="238"/>
        <v>23014</v>
      </c>
      <c r="AE98" s="68">
        <f t="shared" si="238"/>
        <v>22236</v>
      </c>
      <c r="AF98" s="68">
        <f t="shared" si="238"/>
        <v>22058</v>
      </c>
      <c r="AG98" s="68">
        <f t="shared" si="238"/>
        <v>21772</v>
      </c>
      <c r="AH98" s="68">
        <f t="shared" si="238"/>
        <v>21883</v>
      </c>
      <c r="AI98" s="68">
        <f t="shared" si="238"/>
        <v>21195</v>
      </c>
      <c r="AJ98" s="68">
        <f t="shared" si="238"/>
        <v>20903</v>
      </c>
      <c r="AK98" s="68">
        <f t="shared" si="238"/>
        <v>20780</v>
      </c>
      <c r="AL98" s="68">
        <f t="shared" si="238"/>
        <v>20869</v>
      </c>
      <c r="AM98" s="68">
        <f t="shared" si="238"/>
        <v>20452</v>
      </c>
      <c r="AN98" s="68">
        <f t="shared" si="238"/>
        <v>20100</v>
      </c>
      <c r="AO98" s="68">
        <f t="shared" si="238"/>
        <v>19529</v>
      </c>
      <c r="AP98" s="68">
        <f t="shared" si="238"/>
        <v>19822</v>
      </c>
      <c r="AQ98" s="68">
        <f t="shared" si="238"/>
        <v>18943</v>
      </c>
      <c r="AR98" s="68">
        <f t="shared" si="238"/>
        <v>18696</v>
      </c>
      <c r="AS98" s="68">
        <f t="shared" si="238"/>
        <v>18283</v>
      </c>
      <c r="AT98" s="68">
        <f t="shared" si="238"/>
        <v>18471</v>
      </c>
      <c r="AU98" s="68">
        <f t="shared" ref="AU98:BQ98" si="239">AU54</f>
        <v>17660</v>
      </c>
      <c r="AV98" s="68">
        <f t="shared" si="239"/>
        <v>17440</v>
      </c>
      <c r="AW98" s="68">
        <f t="shared" si="239"/>
        <v>17250</v>
      </c>
      <c r="AX98" s="68">
        <f t="shared" si="239"/>
        <v>17352</v>
      </c>
      <c r="AY98" s="68">
        <f t="shared" si="239"/>
        <v>16935</v>
      </c>
      <c r="AZ98" s="68">
        <f t="shared" si="239"/>
        <v>16753</v>
      </c>
      <c r="BA98" s="68">
        <f t="shared" si="239"/>
        <v>16629</v>
      </c>
      <c r="BB98" s="68">
        <f t="shared" si="239"/>
        <v>16701</v>
      </c>
      <c r="BC98" s="68">
        <f t="shared" si="239"/>
        <v>16392</v>
      </c>
      <c r="BD98" s="68">
        <f t="shared" si="239"/>
        <v>16279</v>
      </c>
      <c r="BE98" s="68">
        <f t="shared" si="239"/>
        <v>16163</v>
      </c>
      <c r="BF98" s="68">
        <f t="shared" si="239"/>
        <v>16216</v>
      </c>
      <c r="BG98" s="68">
        <f t="shared" si="239"/>
        <v>15893</v>
      </c>
      <c r="BH98" s="68">
        <f t="shared" si="239"/>
        <v>15787</v>
      </c>
      <c r="BI98" s="68">
        <f t="shared" si="239"/>
        <v>15698</v>
      </c>
      <c r="BJ98" s="68">
        <f t="shared" si="239"/>
        <v>15744</v>
      </c>
      <c r="BK98" s="68">
        <f t="shared" si="239"/>
        <v>15510</v>
      </c>
      <c r="BL98" s="68">
        <f t="shared" si="239"/>
        <v>15406</v>
      </c>
      <c r="BM98" s="68">
        <f t="shared" si="239"/>
        <v>15288</v>
      </c>
      <c r="BN98" s="68">
        <f t="shared" si="239"/>
        <v>15343</v>
      </c>
      <c r="BO98" s="68">
        <f t="shared" si="239"/>
        <v>15082</v>
      </c>
      <c r="BP98" s="68">
        <f t="shared" si="239"/>
        <v>14994</v>
      </c>
      <c r="BQ98" s="68">
        <f t="shared" si="239"/>
        <v>14903</v>
      </c>
      <c r="BR98" s="68">
        <f>BR54</f>
        <v>14949</v>
      </c>
      <c r="CA98" s="68">
        <f>CA54</f>
        <v>25156.5</v>
      </c>
      <c r="CB98" s="68">
        <f t="shared" ref="CB98:CQ98" si="240">CB54</f>
        <v>25621</v>
      </c>
      <c r="CC98" s="68">
        <f t="shared" si="240"/>
        <v>25849.75</v>
      </c>
      <c r="CD98" s="68">
        <f t="shared" si="240"/>
        <v>26152.25</v>
      </c>
      <c r="CE98" s="68">
        <f t="shared" si="240"/>
        <v>26057.5</v>
      </c>
      <c r="CF98" s="68">
        <f t="shared" si="240"/>
        <v>24494</v>
      </c>
      <c r="CG98" s="68">
        <f t="shared" si="240"/>
        <v>23120.25</v>
      </c>
      <c r="CH98" s="68">
        <f t="shared" si="240"/>
        <v>21987.25</v>
      </c>
      <c r="CI98" s="68">
        <f t="shared" si="240"/>
        <v>20936.75</v>
      </c>
      <c r="CJ98" s="68">
        <f t="shared" si="240"/>
        <v>19975.75</v>
      </c>
      <c r="CK98" s="68">
        <f t="shared" si="240"/>
        <v>18598.25</v>
      </c>
      <c r="CL98" s="68">
        <f t="shared" si="240"/>
        <v>17425.5</v>
      </c>
      <c r="CM98" s="68">
        <f t="shared" si="240"/>
        <v>16754.5</v>
      </c>
      <c r="CN98" s="68">
        <f t="shared" si="240"/>
        <v>16262.5</v>
      </c>
      <c r="CO98" s="68">
        <f t="shared" si="240"/>
        <v>15780.5</v>
      </c>
      <c r="CP98" s="68">
        <f t="shared" si="240"/>
        <v>15386.75</v>
      </c>
      <c r="CQ98" s="68">
        <f t="shared" si="240"/>
        <v>59928</v>
      </c>
    </row>
    <row r="99" spans="2:156">
      <c r="B99" s="1" t="s">
        <v>141</v>
      </c>
      <c r="C99" s="39">
        <f t="shared" ref="C99" si="241">C97/C98</f>
        <v>0.24561544005765998</v>
      </c>
      <c r="D99" s="39">
        <f t="shared" ref="D99" si="242">D97/D98</f>
        <v>-3.5325545233443639E-2</v>
      </c>
      <c r="E99" s="39">
        <f t="shared" ref="E99" si="243">E97/E98</f>
        <v>0.10089303433220877</v>
      </c>
      <c r="F99" s="39">
        <f t="shared" ref="F99" si="244">F97/F98</f>
        <v>0.14115699873896595</v>
      </c>
      <c r="G99" s="39">
        <f t="shared" ref="G99" si="245">G97/G98</f>
        <v>0.24193168433451118</v>
      </c>
      <c r="H99" s="39">
        <f t="shared" ref="H99" si="246">H97/H98</f>
        <v>0.10286183438892799</v>
      </c>
      <c r="I99" s="39">
        <f t="shared" ref="I99" si="247">I97/I98</f>
        <v>0.21160369633875306</v>
      </c>
      <c r="J99" s="39">
        <f t="shared" ref="J99" si="248">J97/J98</f>
        <v>0.25189034084299505</v>
      </c>
      <c r="K99" s="39">
        <f t="shared" ref="K99" si="249">K97/K98</f>
        <v>0.42874902874902876</v>
      </c>
      <c r="L99" s="39">
        <f t="shared" ref="L99" si="250">L97/L98</f>
        <v>0.26596773569577159</v>
      </c>
      <c r="M99" s="39">
        <f t="shared" ref="M99" si="251">M97/M98</f>
        <v>0.46546604450271878</v>
      </c>
      <c r="N99" s="39">
        <f t="shared" ref="N99" si="252">N97/N98</f>
        <v>0.57962054175199973</v>
      </c>
      <c r="O99" s="39">
        <f t="shared" ref="O99" si="253">O97/O98</f>
        <v>0.72818289922896928</v>
      </c>
      <c r="P99" s="39">
        <f t="shared" ref="P99" si="254">P97/P98</f>
        <v>0.59242540168324409</v>
      </c>
      <c r="Q99" s="39">
        <f t="shared" ref="Q99" si="255">Q97/Q98</f>
        <v>0.50150619637750238</v>
      </c>
      <c r="R99" s="39">
        <f t="shared" ref="R99" si="256">R97/R98</f>
        <v>0.48278892072588347</v>
      </c>
      <c r="S99" s="39">
        <f t="shared" ref="S99" si="257">S97/S98</f>
        <v>0.98444275389882085</v>
      </c>
      <c r="T99" s="39">
        <f t="shared" ref="T99" si="258">T97/T98</f>
        <v>0.56263778031166856</v>
      </c>
      <c r="U99" s="39">
        <f t="shared" ref="U99" si="259">U97/U98</f>
        <v>0.38272228918004741</v>
      </c>
      <c r="V99" s="39">
        <f t="shared" ref="V99" si="260">V97/V98</f>
        <v>0.47141919796209814</v>
      </c>
      <c r="W99" s="39">
        <f t="shared" ref="W99" si="261">W97/W98</f>
        <v>0.98266241530490239</v>
      </c>
      <c r="X99" s="39">
        <f t="shared" ref="X99" si="262">X97/X98</f>
        <v>0.60915363573265835</v>
      </c>
      <c r="Y99" s="39">
        <f t="shared" ref="Y99" si="263">Y97/Y98</f>
        <v>0.52525882499688159</v>
      </c>
      <c r="Z99" s="39">
        <f t="shared" ref="Z99" si="264">Z97/Z98</f>
        <v>0.70150357406950947</v>
      </c>
      <c r="AA99" s="39">
        <f t="shared" ref="AA99" si="265">AA97/AA98</f>
        <v>1.5804809173369845</v>
      </c>
      <c r="AB99" s="39">
        <f t="shared" ref="AB99" si="266">AB97/AB98</f>
        <v>0.92556634304207119</v>
      </c>
      <c r="AC99" s="39">
        <f t="shared" ref="AC99" si="267">AC97/AC98</f>
        <v>0.74306282722513084</v>
      </c>
      <c r="AD99" s="39">
        <f t="shared" ref="AD99" si="268">AD97/AD98</f>
        <v>0.74272182149995658</v>
      </c>
      <c r="AE99" s="39">
        <f t="shared" ref="AE99" si="269">AE97/AE98</f>
        <v>1.3975085447022846</v>
      </c>
      <c r="AF99" s="39">
        <f t="shared" ref="AF99" si="270">AF97/AF98</f>
        <v>0.63183425514552538</v>
      </c>
      <c r="AG99" s="39">
        <f t="shared" ref="AG99" si="271">AG97/AG98</f>
        <v>0.6174444240308653</v>
      </c>
      <c r="AH99" s="39">
        <f t="shared" ref="AH99" si="272">AH97/AH98</f>
        <v>0.93725723164099983</v>
      </c>
      <c r="AI99" s="39">
        <f t="shared" ref="AI99" si="273">AI97/AI98</f>
        <v>1.4422269403161123</v>
      </c>
      <c r="AJ99" s="39">
        <f t="shared" ref="AJ99" si="274">AJ97/AJ98</f>
        <v>0.74367315696311531</v>
      </c>
      <c r="AK99" s="39">
        <f t="shared" ref="AK99" si="275">AK97/AK98</f>
        <v>0.52690086621751686</v>
      </c>
      <c r="AL99" s="39">
        <f t="shared" ref="AL99" si="276">AL97/AL98</f>
        <v>0.93986295462168767</v>
      </c>
      <c r="AM99" s="39">
        <f t="shared" ref="AM99" si="277">AM97/AM98</f>
        <v>1.5207803637786035</v>
      </c>
      <c r="AN99" s="39">
        <f t="shared" ref="AN99" si="278">AN97/AN98</f>
        <v>0.96144278606965172</v>
      </c>
      <c r="AO99" s="39">
        <f t="shared" ref="AO99" si="279">AO97/AO98</f>
        <v>0.90916073531670849</v>
      </c>
      <c r="AP99" s="39">
        <f t="shared" ref="AP99" si="280">AP97/AP98</f>
        <v>1.1383311472101705</v>
      </c>
      <c r="AQ99" s="39">
        <f t="shared" ref="AQ99" si="281">AQ97/AQ98</f>
        <v>1.5860740115082088</v>
      </c>
      <c r="AR99" s="39">
        <f t="shared" ref="AR99" si="282">AR97/AR98</f>
        <v>0.72304236200256744</v>
      </c>
      <c r="AS99" s="39">
        <f t="shared" ref="AS99" si="283">AS97/AS98</f>
        <v>0.74582945906032927</v>
      </c>
      <c r="AT99" s="39">
        <f t="shared" ref="AT99" si="284">AT97/AT98</f>
        <v>1.2282496887012073</v>
      </c>
      <c r="AU99" s="39">
        <f t="shared" ref="AU99:BQ99" si="285">AU97/AU98</f>
        <v>1.8472819932049831</v>
      </c>
      <c r="AV99" s="39">
        <f t="shared" si="285"/>
        <v>0.86949541284403675</v>
      </c>
      <c r="AW99" s="39">
        <f t="shared" si="285"/>
        <v>1.0339710144927536</v>
      </c>
      <c r="AX99" s="39">
        <f t="shared" si="285"/>
        <v>1.2886122637159982</v>
      </c>
      <c r="AY99" s="39">
        <f t="shared" si="285"/>
        <v>2.4956008266902865</v>
      </c>
      <c r="AZ99" s="39">
        <f t="shared" si="285"/>
        <v>1.5668835432459858</v>
      </c>
      <c r="BA99" s="39">
        <f t="shared" si="285"/>
        <v>1.394371279090745</v>
      </c>
      <c r="BB99" s="39">
        <f t="shared" si="285"/>
        <v>1.4024908688102509</v>
      </c>
      <c r="BC99" s="39">
        <f t="shared" si="285"/>
        <v>3.0361761835041485</v>
      </c>
      <c r="BD99" s="39">
        <f t="shared" si="285"/>
        <v>1.884636648442779</v>
      </c>
      <c r="BE99" s="39">
        <f t="shared" si="285"/>
        <v>1.5463713419538452</v>
      </c>
      <c r="BF99" s="39">
        <f t="shared" si="285"/>
        <v>1.6906758756783424</v>
      </c>
      <c r="BG99" s="39">
        <f t="shared" si="285"/>
        <v>2.3779022211036307</v>
      </c>
      <c r="BH99" s="39">
        <f t="shared" si="285"/>
        <v>1.9937923608031924</v>
      </c>
      <c r="BI99" s="39">
        <f t="shared" si="285"/>
        <v>1.813797936042808</v>
      </c>
      <c r="BJ99" s="39">
        <f t="shared" si="285"/>
        <v>1.5092098577235773</v>
      </c>
      <c r="BK99" s="39">
        <f t="shared" si="285"/>
        <v>2.7264345583494518</v>
      </c>
      <c r="BL99" s="39">
        <f t="shared" si="285"/>
        <v>1.6023627158250033</v>
      </c>
      <c r="BM99" s="39">
        <f t="shared" si="285"/>
        <v>2.028322867608582</v>
      </c>
      <c r="BN99" s="39">
        <f t="shared" si="285"/>
        <v>1.9369745160659584</v>
      </c>
      <c r="BO99" s="39">
        <f t="shared" si="285"/>
        <v>2.1797506961941386</v>
      </c>
      <c r="BP99" s="39">
        <f t="shared" si="285"/>
        <v>1.8022542350273443</v>
      </c>
      <c r="BQ99" s="39">
        <f t="shared" si="285"/>
        <v>2.1021941890894449</v>
      </c>
      <c r="BR99" s="39">
        <f>BR97/BR98</f>
        <v>2.2054986955649207</v>
      </c>
      <c r="CA99" s="39">
        <f t="shared" si="176"/>
        <v>0.45233992789539101</v>
      </c>
      <c r="CB99" s="39">
        <f t="shared" si="177"/>
        <v>0.80828755590518719</v>
      </c>
      <c r="CC99" s="39">
        <f t="shared" si="178"/>
        <v>1.7398033506995187</v>
      </c>
      <c r="CD99" s="39">
        <f t="shared" si="179"/>
        <v>2.3049034180155989</v>
      </c>
      <c r="CE99" s="39">
        <f t="shared" si="180"/>
        <v>2.401222021352635</v>
      </c>
      <c r="CF99" s="39">
        <f t="shared" si="181"/>
        <v>2.8185784501039519</v>
      </c>
      <c r="CG99" s="39">
        <f t="shared" si="182"/>
        <v>3.991831909104143</v>
      </c>
      <c r="CH99" s="39">
        <f t="shared" si="183"/>
        <v>3.5840444555196753</v>
      </c>
      <c r="CI99" s="39">
        <f t="shared" si="184"/>
        <v>3.6526639181184319</v>
      </c>
      <c r="CJ99" s="39">
        <f t="shared" si="185"/>
        <v>4.5297150323751341</v>
      </c>
      <c r="CK99" s="39">
        <f t="shared" si="186"/>
        <v>4.2831955212723134</v>
      </c>
      <c r="CL99" s="39">
        <f t="shared" si="187"/>
        <v>5.0393606842577716</v>
      </c>
      <c r="CM99" s="39">
        <f t="shared" si="188"/>
        <v>6.8593465178372677</v>
      </c>
      <c r="CN99" s="39">
        <f t="shared" si="189"/>
        <v>8.1578600495791154</v>
      </c>
      <c r="CO99" s="39">
        <f t="shared" si="190"/>
        <v>7.6947023756732076</v>
      </c>
      <c r="CP99" s="39">
        <f t="shared" si="191"/>
        <v>8.294094657848996</v>
      </c>
      <c r="CQ99" s="39">
        <f t="shared" si="192"/>
        <v>7.747410795693682</v>
      </c>
    </row>
  </sheetData>
  <mergeCells count="1">
    <mergeCell ref="CZ78:DA78"/>
  </mergeCells>
  <conditionalFormatting sqref="CZ78">
    <cfRule type="colorScale" priority="1">
      <colorScale>
        <cfvo type="min"/>
        <cfvo type="percentile" val="50"/>
        <cfvo type="max"/>
        <color rgb="FFF8696B"/>
        <color rgb="FFFCFCFF"/>
        <color rgb="FF63BE7B"/>
      </colorScale>
    </cfRule>
    <cfRule type="containsText" dxfId="4" priority="2" operator="containsText" text="Strong Sell">
      <formula>NOT(ISERROR(SEARCH("Strong Sell",CZ78)))</formula>
    </cfRule>
    <cfRule type="containsText" dxfId="3" priority="3" operator="containsText" text="Sell">
      <formula>NOT(ISERROR(SEARCH("Sell",CZ78)))</formula>
    </cfRule>
    <cfRule type="containsText" dxfId="2" priority="4" operator="containsText" text="Hold">
      <formula>NOT(ISERROR(SEARCH("Hold",CZ78)))</formula>
    </cfRule>
    <cfRule type="beginsWith" dxfId="1" priority="5" operator="beginsWith" text="Buy">
      <formula>LEFT(CZ78,LEN("Buy"))="Buy"</formula>
    </cfRule>
    <cfRule type="beginsWith" dxfId="0" priority="6" operator="beginsWith" text="Strong">
      <formula>LEFT(CZ78,LEN("Strong"))="Strong"</formula>
    </cfRule>
  </conditionalFormatting>
  <pageMargins left="0.7" right="0.7" top="0.75" bottom="0.75" header="0.3" footer="0.3"/>
  <ignoredErrors>
    <ignoredError sqref="CR16:CZ16 CM11:CP11 CM12:CP15 CL17:CP17 AY11:BI16 BO31:BO36 AY31:BI36 BP11:BQ17 BR9:BR10 BR29:BR37 BR23 BP23:BQ23 BP43:BQ44 AU38:BI42 CL37 BK31:BM36 BK11:BM16 BK38:BQ42 BO11:BO16 BR17 BQ18:BQ22 AU18:BP22 AU55:BQ55 CA57:CQ62 AU57:BR62 AU99:BR99 B99:AT99 B55:AT55 BP29:BQ37 CM16:CP16" evalError="1"/>
    <ignoredError sqref="BR55 CA55:CP55 BP46:BQ46" evalError="1" formula="1"/>
    <ignoredError sqref="BR46 AX53:BQ53 AY46:BO46 BR49 BR51 BR53 AY49:BQ49 AY51:BQ51" formula="1"/>
    <ignoredError sqref="AX44 BR86 AX86 AX87 AX90 CA95:CQ97 CA45:CP53 CA44:CN44 CQ45:CQ54" formulaRange="1"/>
    <ignoredError sqref="AX46 AX49 AX51" formula="1" formulaRange="1"/>
    <ignoredError sqref="BF86:BQ86 BR89:BR92 AY90:BQ92 AY88:BE88 BN87:BR87 BN88:BQ88 BR88 AY89:BE89 BN89:BQ89 BF87:BM87 BF88:BM88 BF89:BM89 AY87:BE87 AY86:BE86 CA99:CQ99" evalError="1" formulaRange="1"/>
    <ignoredError sqref="CA98:CQ98 CA54:CP54" evalError="1" formula="1" formulaRange="1"/>
  </ignoredError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FD4A5-C172-4508-BDD9-9132B91E029B}">
  <dimension ref="A1:CB1558"/>
  <sheetViews>
    <sheetView topLeftCell="H105" zoomScale="55" zoomScaleNormal="55" workbookViewId="0">
      <selection activeCell="AV171" sqref="AV170:AV171"/>
    </sheetView>
  </sheetViews>
  <sheetFormatPr defaultColWidth="9.140625" defaultRowHeight="14.25"/>
  <cols>
    <col min="1" max="7" width="9.140625" style="1" hidden="1" customWidth="1"/>
    <col min="8" max="8" width="3.140625" style="1" customWidth="1"/>
    <col min="9" max="29" width="9.140625" style="1"/>
    <col min="30" max="30" width="2.85546875" style="1" customWidth="1"/>
    <col min="31" max="16384" width="9.140625" style="1"/>
  </cols>
  <sheetData>
    <row r="1" spans="8:80">
      <c r="CB1" s="1">
        <v>0</v>
      </c>
    </row>
    <row r="2" spans="8:80" ht="15">
      <c r="H2" s="2" t="s">
        <v>161</v>
      </c>
      <c r="AE2" s="2" t="s">
        <v>1494</v>
      </c>
    </row>
    <row r="29" spans="9:31">
      <c r="I29" s="1" t="s">
        <v>14</v>
      </c>
      <c r="J29" s="1" t="s">
        <v>15</v>
      </c>
    </row>
    <row r="30" spans="9:31">
      <c r="J30" s="1" t="s">
        <v>16</v>
      </c>
    </row>
    <row r="31" spans="9:31">
      <c r="J31" s="1" t="s">
        <v>17</v>
      </c>
    </row>
    <row r="32" spans="9:31" ht="15">
      <c r="AE32" s="2" t="s">
        <v>1493</v>
      </c>
    </row>
    <row r="33" spans="8:31" ht="15">
      <c r="H33" s="2" t="s">
        <v>1552</v>
      </c>
      <c r="AE33" s="2" t="s">
        <v>142</v>
      </c>
    </row>
    <row r="63" spans="9:10">
      <c r="I63" s="1" t="s">
        <v>14</v>
      </c>
      <c r="J63" s="1" t="s">
        <v>15</v>
      </c>
    </row>
    <row r="64" spans="9:10">
      <c r="J64" s="1" t="s">
        <v>16</v>
      </c>
    </row>
    <row r="65" spans="8:31">
      <c r="J65" s="1" t="s">
        <v>17</v>
      </c>
    </row>
    <row r="67" spans="8:31" ht="15">
      <c r="H67" s="2" t="s">
        <v>1492</v>
      </c>
      <c r="AE67" s="2" t="s">
        <v>143</v>
      </c>
    </row>
    <row r="99" spans="8:31">
      <c r="I99" s="1" t="s">
        <v>14</v>
      </c>
      <c r="J99" s="1" t="s">
        <v>15</v>
      </c>
    </row>
    <row r="100" spans="8:31">
      <c r="J100" s="1" t="s">
        <v>16</v>
      </c>
    </row>
    <row r="101" spans="8:31">
      <c r="J101" s="1" t="s">
        <v>17</v>
      </c>
    </row>
    <row r="103" spans="8:31" ht="15">
      <c r="H103" s="2" t="s">
        <v>1553</v>
      </c>
      <c r="AE103" s="2" t="s">
        <v>144</v>
      </c>
    </row>
    <row r="135" spans="8:31">
      <c r="I135" s="1" t="s">
        <v>14</v>
      </c>
      <c r="J135" s="1" t="s">
        <v>15</v>
      </c>
    </row>
    <row r="136" spans="8:31">
      <c r="J136" s="1" t="s">
        <v>16</v>
      </c>
    </row>
    <row r="137" spans="8:31">
      <c r="J137" s="1" t="s">
        <v>17</v>
      </c>
    </row>
    <row r="139" spans="8:31" ht="15">
      <c r="H139" s="2" t="s">
        <v>164</v>
      </c>
      <c r="AE139" s="2" t="s">
        <v>145</v>
      </c>
    </row>
    <row r="155" ht="15" customHeight="1"/>
    <row r="168" spans="8:10">
      <c r="I168" s="1" t="s">
        <v>14</v>
      </c>
      <c r="J168" s="1" t="s">
        <v>15</v>
      </c>
    </row>
    <row r="169" spans="8:10">
      <c r="J169" s="1" t="s">
        <v>16</v>
      </c>
    </row>
    <row r="170" spans="8:10">
      <c r="J170" s="1" t="s">
        <v>17</v>
      </c>
    </row>
    <row r="172" spans="8:10" ht="15">
      <c r="H172" s="2" t="s">
        <v>163</v>
      </c>
    </row>
    <row r="186" spans="1:7">
      <c r="A186" s="1" t="s">
        <v>1490</v>
      </c>
    </row>
    <row r="187" spans="1:7">
      <c r="A187" s="24" t="s">
        <v>18</v>
      </c>
      <c r="B187" s="24" t="s">
        <v>19</v>
      </c>
      <c r="C187" s="24" t="s">
        <v>20</v>
      </c>
      <c r="D187" s="24" t="s">
        <v>21</v>
      </c>
      <c r="E187" s="24" t="s">
        <v>22</v>
      </c>
      <c r="F187" s="24" t="s">
        <v>23</v>
      </c>
      <c r="G187" s="24" t="s">
        <v>24</v>
      </c>
    </row>
    <row r="188" spans="1:7">
      <c r="A188" s="62">
        <v>245.5</v>
      </c>
      <c r="B188" s="62">
        <v>246.3</v>
      </c>
      <c r="C188" s="62">
        <v>240.2106</v>
      </c>
      <c r="D188" s="62">
        <v>241.22499999999999</v>
      </c>
      <c r="E188" s="62">
        <v>163741314</v>
      </c>
      <c r="F188" s="62" t="s">
        <v>235</v>
      </c>
      <c r="G188" s="25">
        <f t="shared" ref="G188:G251" si="0">A188/D188-1</f>
        <v>1.7722043735102E-2</v>
      </c>
    </row>
    <row r="189" spans="1:7">
      <c r="A189" s="62">
        <v>237.88</v>
      </c>
      <c r="B189" s="62">
        <v>241.2</v>
      </c>
      <c r="C189" s="62">
        <v>236.65</v>
      </c>
      <c r="D189" s="62">
        <v>239.97</v>
      </c>
      <c r="E189" s="62">
        <v>43620443</v>
      </c>
      <c r="F189" s="62" t="s">
        <v>236</v>
      </c>
      <c r="G189" s="25">
        <f t="shared" si="0"/>
        <v>-8.7094220110847109E-3</v>
      </c>
    </row>
    <row r="190" spans="1:7">
      <c r="A190" s="62">
        <v>238.99</v>
      </c>
      <c r="B190" s="62">
        <v>240.1</v>
      </c>
      <c r="C190" s="62">
        <v>237.73009999999999</v>
      </c>
      <c r="D190" s="62">
        <v>238.97</v>
      </c>
      <c r="E190" s="62">
        <v>46508017</v>
      </c>
      <c r="F190" s="62" t="s">
        <v>237</v>
      </c>
      <c r="G190" s="25">
        <f t="shared" si="0"/>
        <v>8.3692513704658467E-5</v>
      </c>
    </row>
    <row r="191" spans="1:7">
      <c r="A191" s="62">
        <v>238.15</v>
      </c>
      <c r="B191" s="62">
        <v>241.22</v>
      </c>
      <c r="C191" s="62">
        <v>236.3235</v>
      </c>
      <c r="D191" s="62">
        <v>237.17500000000001</v>
      </c>
      <c r="E191" s="62">
        <v>63226993</v>
      </c>
      <c r="F191" s="62" t="s">
        <v>238</v>
      </c>
      <c r="G191" s="25">
        <f t="shared" si="0"/>
        <v>4.1108885843785803E-3</v>
      </c>
    </row>
    <row r="192" spans="1:7">
      <c r="A192" s="62">
        <v>236.7</v>
      </c>
      <c r="B192" s="62">
        <v>238.19</v>
      </c>
      <c r="C192" s="62">
        <v>235.03</v>
      </c>
      <c r="D192" s="62">
        <v>237</v>
      </c>
      <c r="E192" s="62">
        <v>42546234</v>
      </c>
      <c r="F192" s="62" t="s">
        <v>239</v>
      </c>
      <c r="G192" s="25">
        <f t="shared" si="0"/>
        <v>-1.2658227848101333E-3</v>
      </c>
    </row>
    <row r="193" spans="1:10">
      <c r="A193" s="62">
        <v>234.07</v>
      </c>
      <c r="B193" s="62">
        <v>234.51</v>
      </c>
      <c r="C193" s="62">
        <v>229.02</v>
      </c>
      <c r="D193" s="62">
        <v>229.22</v>
      </c>
      <c r="E193" s="62">
        <v>55239885</v>
      </c>
      <c r="F193" s="62" t="s">
        <v>240</v>
      </c>
      <c r="G193" s="25">
        <f t="shared" si="0"/>
        <v>2.1158712154262238E-2</v>
      </c>
    </row>
    <row r="194" spans="1:10">
      <c r="A194" s="62">
        <v>230.03</v>
      </c>
      <c r="B194" s="62">
        <v>230.45</v>
      </c>
      <c r="C194" s="62">
        <v>226.65</v>
      </c>
      <c r="D194" s="62">
        <v>226.875</v>
      </c>
      <c r="E194" s="62">
        <v>49983604</v>
      </c>
      <c r="F194" s="62" t="s">
        <v>241</v>
      </c>
      <c r="G194" s="25">
        <f t="shared" si="0"/>
        <v>1.390633608815417E-2</v>
      </c>
    </row>
    <row r="195" spans="1:10">
      <c r="A195" s="62">
        <v>226.79</v>
      </c>
      <c r="B195" s="62">
        <v>232.42</v>
      </c>
      <c r="C195" s="62">
        <v>225.95</v>
      </c>
      <c r="D195" s="62">
        <v>232.185</v>
      </c>
      <c r="E195" s="62">
        <v>83106807</v>
      </c>
      <c r="F195" s="62" t="s">
        <v>242</v>
      </c>
      <c r="G195" s="25">
        <f t="shared" si="0"/>
        <v>-2.3235781811917211E-2</v>
      </c>
    </row>
    <row r="196" spans="1:10">
      <c r="A196" s="62">
        <v>234.35</v>
      </c>
      <c r="B196" s="62">
        <v>238.78049999999999</v>
      </c>
      <c r="C196" s="62">
        <v>233.36</v>
      </c>
      <c r="D196" s="62">
        <v>237</v>
      </c>
      <c r="E196" s="62">
        <v>65202416</v>
      </c>
      <c r="F196" s="62" t="s">
        <v>243</v>
      </c>
      <c r="G196" s="25">
        <f t="shared" si="0"/>
        <v>-1.1181434599156104E-2</v>
      </c>
    </row>
    <row r="197" spans="1:10">
      <c r="A197" s="62">
        <v>237.88</v>
      </c>
      <c r="B197" s="62">
        <v>240.15</v>
      </c>
      <c r="C197" s="62">
        <v>236.34</v>
      </c>
      <c r="D197" s="62">
        <v>239.3</v>
      </c>
      <c r="E197" s="62">
        <v>48699387</v>
      </c>
      <c r="F197" s="62" t="s">
        <v>244</v>
      </c>
      <c r="G197" s="25">
        <f t="shared" si="0"/>
        <v>-5.9339740910990812E-3</v>
      </c>
    </row>
    <row r="198" spans="1:10">
      <c r="A198" s="62">
        <v>239.69</v>
      </c>
      <c r="B198" s="62">
        <v>241.32</v>
      </c>
      <c r="C198" s="62">
        <v>238.49010000000001</v>
      </c>
      <c r="D198" s="62">
        <v>239.995</v>
      </c>
      <c r="E198" s="62">
        <v>54230356</v>
      </c>
      <c r="F198" s="62" t="s">
        <v>245</v>
      </c>
      <c r="G198" s="25">
        <f t="shared" si="0"/>
        <v>-1.2708598095794166E-3</v>
      </c>
    </row>
    <row r="199" spans="1:10">
      <c r="A199" s="62">
        <v>239.78</v>
      </c>
      <c r="B199" s="62">
        <v>239.8999</v>
      </c>
      <c r="C199" s="62">
        <v>236.74</v>
      </c>
      <c r="D199" s="62">
        <v>238.45</v>
      </c>
      <c r="E199" s="62">
        <v>45904493</v>
      </c>
      <c r="F199" s="62" t="s">
        <v>246</v>
      </c>
      <c r="G199" s="25">
        <f t="shared" si="0"/>
        <v>5.5776892430279279E-3</v>
      </c>
    </row>
    <row r="200" spans="1:10">
      <c r="A200" s="62">
        <v>238.47</v>
      </c>
      <c r="B200" s="62">
        <v>238.85</v>
      </c>
      <c r="C200" s="62">
        <v>234.36</v>
      </c>
      <c r="D200" s="62">
        <v>237.21</v>
      </c>
      <c r="E200" s="62">
        <v>66043620</v>
      </c>
      <c r="F200" s="62" t="s">
        <v>247</v>
      </c>
      <c r="G200" s="25">
        <f t="shared" si="0"/>
        <v>5.3117490830909553E-3</v>
      </c>
    </row>
    <row r="201" spans="1:10">
      <c r="A201" s="62">
        <v>229.72</v>
      </c>
      <c r="B201" s="62">
        <v>230.85</v>
      </c>
      <c r="C201" s="62">
        <v>226.97</v>
      </c>
      <c r="D201" s="62">
        <v>229.25</v>
      </c>
      <c r="E201" s="62">
        <v>40239698</v>
      </c>
      <c r="F201" s="62" t="s">
        <v>248</v>
      </c>
      <c r="G201" s="25">
        <f t="shared" si="0"/>
        <v>2.0501635768810367E-3</v>
      </c>
      <c r="I201" s="1" t="s">
        <v>14</v>
      </c>
      <c r="J201" s="1" t="s">
        <v>15</v>
      </c>
    </row>
    <row r="202" spans="1:10">
      <c r="A202" s="62">
        <v>232.14</v>
      </c>
      <c r="B202" s="62">
        <v>233.38</v>
      </c>
      <c r="C202" s="62">
        <v>231.37</v>
      </c>
      <c r="D202" s="62">
        <v>232.51</v>
      </c>
      <c r="E202" s="62">
        <v>39286853</v>
      </c>
      <c r="F202" s="62" t="s">
        <v>249</v>
      </c>
      <c r="G202" s="25">
        <f t="shared" si="0"/>
        <v>-1.5913294051869142E-3</v>
      </c>
      <c r="J202" s="1" t="s">
        <v>16</v>
      </c>
    </row>
    <row r="203" spans="1:10">
      <c r="A203" s="62">
        <v>232.56</v>
      </c>
      <c r="B203" s="62">
        <v>233.41</v>
      </c>
      <c r="C203" s="62">
        <v>229.33500000000001</v>
      </c>
      <c r="D203" s="62">
        <v>230.82</v>
      </c>
      <c r="E203" s="62">
        <v>37933568</v>
      </c>
      <c r="F203" s="62" t="s">
        <v>250</v>
      </c>
      <c r="G203" s="25">
        <f t="shared" si="0"/>
        <v>7.5383415648557772E-3</v>
      </c>
      <c r="J203" s="1" t="s">
        <v>17</v>
      </c>
    </row>
    <row r="204" spans="1:10">
      <c r="A204" s="62">
        <v>230.49</v>
      </c>
      <c r="B204" s="62">
        <v>230.9</v>
      </c>
      <c r="C204" s="62">
        <v>228.26</v>
      </c>
      <c r="D204" s="62">
        <v>228.61</v>
      </c>
      <c r="E204" s="62">
        <v>29968360</v>
      </c>
      <c r="F204" s="62" t="s">
        <v>251</v>
      </c>
      <c r="G204" s="25">
        <f t="shared" si="0"/>
        <v>8.2236122654302246E-3</v>
      </c>
    </row>
    <row r="205" spans="1:10">
      <c r="A205" s="62">
        <v>229.31</v>
      </c>
      <c r="B205" s="62">
        <v>229.49</v>
      </c>
      <c r="C205" s="62">
        <v>224.69</v>
      </c>
      <c r="D205" s="62">
        <v>226.87</v>
      </c>
      <c r="E205" s="62">
        <v>54418331</v>
      </c>
      <c r="F205" s="62" t="s">
        <v>252</v>
      </c>
      <c r="G205" s="25">
        <f t="shared" si="0"/>
        <v>1.0755057962709813E-2</v>
      </c>
    </row>
    <row r="206" spans="1:10">
      <c r="A206" s="62">
        <v>227.16</v>
      </c>
      <c r="B206" s="62">
        <v>229.3</v>
      </c>
      <c r="C206" s="62">
        <v>226.23</v>
      </c>
      <c r="D206" s="62">
        <v>226.48</v>
      </c>
      <c r="E206" s="62">
        <v>30983133</v>
      </c>
      <c r="F206" s="62" t="s">
        <v>253</v>
      </c>
      <c r="G206" s="25">
        <f t="shared" si="0"/>
        <v>3.0024726245143629E-3</v>
      </c>
    </row>
    <row r="207" spans="1:10">
      <c r="A207" s="62">
        <v>227.76</v>
      </c>
      <c r="B207" s="62">
        <v>229.09</v>
      </c>
      <c r="C207" s="62">
        <v>225.41</v>
      </c>
      <c r="D207" s="62">
        <v>226.17</v>
      </c>
      <c r="E207" s="62">
        <v>42196093</v>
      </c>
      <c r="F207" s="62" t="s">
        <v>254</v>
      </c>
      <c r="G207" s="25">
        <f t="shared" si="0"/>
        <v>7.0301100941769779E-3</v>
      </c>
    </row>
    <row r="208" spans="1:10">
      <c r="A208" s="62">
        <v>224.9</v>
      </c>
      <c r="B208" s="62">
        <v>226.52</v>
      </c>
      <c r="C208" s="62">
        <v>223.78039999999999</v>
      </c>
      <c r="D208" s="62">
        <v>226.27</v>
      </c>
      <c r="E208" s="62">
        <v>30621249</v>
      </c>
      <c r="F208" s="62" t="s">
        <v>255</v>
      </c>
      <c r="G208" s="25">
        <f t="shared" si="0"/>
        <v>-6.0547133955010102E-3</v>
      </c>
    </row>
    <row r="209" spans="1:7">
      <c r="A209" s="62">
        <v>226.01</v>
      </c>
      <c r="B209" s="62">
        <v>230.47</v>
      </c>
      <c r="C209" s="62">
        <v>225.77</v>
      </c>
      <c r="D209" s="62">
        <v>229.98</v>
      </c>
      <c r="E209" s="62">
        <v>42086467</v>
      </c>
      <c r="F209" s="62" t="s">
        <v>256</v>
      </c>
      <c r="G209" s="25">
        <f t="shared" si="0"/>
        <v>-1.7262370640925284E-2</v>
      </c>
    </row>
    <row r="210" spans="1:7">
      <c r="A210" s="62">
        <v>230.56</v>
      </c>
      <c r="B210" s="62">
        <v>232.87</v>
      </c>
      <c r="C210" s="62">
        <v>229.35</v>
      </c>
      <c r="D210" s="62">
        <v>231.27500000000001</v>
      </c>
      <c r="E210" s="62">
        <v>36830349</v>
      </c>
      <c r="F210" s="62" t="s">
        <v>257</v>
      </c>
      <c r="G210" s="25">
        <f t="shared" si="0"/>
        <v>-3.0915576694411362E-3</v>
      </c>
    </row>
    <row r="211" spans="1:7" ht="15" customHeight="1">
      <c r="A211" s="62">
        <v>230.89</v>
      </c>
      <c r="B211" s="62">
        <v>233.12</v>
      </c>
      <c r="C211" s="62">
        <v>230.11</v>
      </c>
      <c r="D211" s="62">
        <v>231.7</v>
      </c>
      <c r="E211" s="62">
        <v>37476188</v>
      </c>
      <c r="F211" s="62" t="s">
        <v>258</v>
      </c>
      <c r="G211" s="25">
        <f t="shared" si="0"/>
        <v>-3.4958998705222344E-3</v>
      </c>
    </row>
    <row r="212" spans="1:7">
      <c r="A212" s="62">
        <v>231.59</v>
      </c>
      <c r="B212" s="62">
        <v>234.28</v>
      </c>
      <c r="C212" s="62">
        <v>229.33500000000001</v>
      </c>
      <c r="D212" s="62">
        <v>234</v>
      </c>
      <c r="E212" s="62">
        <v>56038657</v>
      </c>
      <c r="F212" s="62" t="s">
        <v>259</v>
      </c>
      <c r="G212" s="25">
        <f t="shared" si="0"/>
        <v>-1.0299145299145329E-2</v>
      </c>
    </row>
    <row r="213" spans="1:7">
      <c r="A213" s="62">
        <v>232.78</v>
      </c>
      <c r="B213" s="62">
        <v>235.12</v>
      </c>
      <c r="C213" s="62">
        <v>230.85</v>
      </c>
      <c r="D213" s="62">
        <v>234.05500000000001</v>
      </c>
      <c r="E213" s="62">
        <v>51916275</v>
      </c>
      <c r="F213" s="62" t="s">
        <v>260</v>
      </c>
      <c r="G213" s="25">
        <f t="shared" si="0"/>
        <v>-5.447437568092961E-3</v>
      </c>
    </row>
    <row r="214" spans="1:7">
      <c r="A214" s="62">
        <v>233.33</v>
      </c>
      <c r="B214" s="62">
        <v>235</v>
      </c>
      <c r="C214" s="62">
        <v>230.43</v>
      </c>
      <c r="D214" s="62">
        <v>231.07</v>
      </c>
      <c r="E214" s="62">
        <v>69878546</v>
      </c>
      <c r="F214" s="62" t="s">
        <v>261</v>
      </c>
      <c r="G214" s="25">
        <f t="shared" si="0"/>
        <v>9.7805859696196151E-3</v>
      </c>
    </row>
    <row r="215" spans="1:7">
      <c r="A215" s="62">
        <v>229.65</v>
      </c>
      <c r="B215" s="62">
        <v>230.8</v>
      </c>
      <c r="C215" s="62">
        <v>227.07</v>
      </c>
      <c r="D215" s="62">
        <v>228.005</v>
      </c>
      <c r="E215" s="62">
        <v>55672301</v>
      </c>
      <c r="F215" s="62" t="s">
        <v>262</v>
      </c>
      <c r="G215" s="25">
        <f t="shared" si="0"/>
        <v>7.2147540624110107E-3</v>
      </c>
    </row>
    <row r="216" spans="1:7">
      <c r="A216" s="62">
        <v>227.18</v>
      </c>
      <c r="B216" s="62">
        <v>229.56</v>
      </c>
      <c r="C216" s="62">
        <v>224.76</v>
      </c>
      <c r="D216" s="62">
        <v>227.92</v>
      </c>
      <c r="E216" s="62">
        <v>61806132</v>
      </c>
      <c r="F216" s="62" t="s">
        <v>263</v>
      </c>
      <c r="G216" s="25">
        <f t="shared" si="0"/>
        <v>-3.2467532467531646E-3</v>
      </c>
    </row>
    <row r="217" spans="1:7">
      <c r="A217" s="62">
        <v>229.35</v>
      </c>
      <c r="B217" s="62">
        <v>231</v>
      </c>
      <c r="C217" s="62">
        <v>219.25</v>
      </c>
      <c r="D217" s="62">
        <v>220.83</v>
      </c>
      <c r="E217" s="62">
        <v>113853967</v>
      </c>
      <c r="F217" s="62" t="s">
        <v>264</v>
      </c>
      <c r="G217" s="25">
        <f t="shared" si="0"/>
        <v>3.8581714440972581E-2</v>
      </c>
    </row>
    <row r="218" spans="1:7">
      <c r="A218" s="62">
        <v>220.03</v>
      </c>
      <c r="B218" s="62">
        <v>220.85</v>
      </c>
      <c r="C218" s="62">
        <v>216.58</v>
      </c>
      <c r="D218" s="62">
        <v>218.875</v>
      </c>
      <c r="E218" s="62">
        <v>90224834</v>
      </c>
      <c r="F218" s="62" t="s">
        <v>265</v>
      </c>
      <c r="G218" s="25">
        <f t="shared" si="0"/>
        <v>5.2769845802398407E-3</v>
      </c>
    </row>
    <row r="219" spans="1:7">
      <c r="A219" s="62">
        <v>213.25</v>
      </c>
      <c r="B219" s="62">
        <v>215.38</v>
      </c>
      <c r="C219" s="62">
        <v>205.59</v>
      </c>
      <c r="D219" s="62">
        <v>205.63</v>
      </c>
      <c r="E219" s="62">
        <v>108483103</v>
      </c>
      <c r="F219" s="62" t="s">
        <v>266</v>
      </c>
      <c r="G219" s="25">
        <f t="shared" si="0"/>
        <v>3.7056849681466719E-2</v>
      </c>
    </row>
    <row r="220" spans="1:7">
      <c r="A220" s="62">
        <v>202.92</v>
      </c>
      <c r="B220" s="62">
        <v>205.34</v>
      </c>
      <c r="C220" s="62">
        <v>202.16</v>
      </c>
      <c r="D220" s="62">
        <v>203.4</v>
      </c>
      <c r="E220" s="62">
        <v>44155079</v>
      </c>
      <c r="F220" s="62" t="s">
        <v>267</v>
      </c>
      <c r="G220" s="25">
        <f t="shared" si="0"/>
        <v>-2.3598820058997605E-3</v>
      </c>
    </row>
    <row r="221" spans="1:7">
      <c r="A221" s="62">
        <v>203.35</v>
      </c>
      <c r="B221" s="62">
        <v>207.88</v>
      </c>
      <c r="C221" s="62">
        <v>201.67500000000001</v>
      </c>
      <c r="D221" s="62">
        <v>204.505</v>
      </c>
      <c r="E221" s="62">
        <v>75109298</v>
      </c>
      <c r="F221" s="62" t="s">
        <v>268</v>
      </c>
      <c r="G221" s="25">
        <f t="shared" si="0"/>
        <v>-5.6477836727708564E-3</v>
      </c>
    </row>
    <row r="222" spans="1:7">
      <c r="A222" s="62">
        <v>202.38</v>
      </c>
      <c r="B222" s="62">
        <v>213.58</v>
      </c>
      <c r="C222" s="62">
        <v>201.5</v>
      </c>
      <c r="D222" s="62">
        <v>210.86500000000001</v>
      </c>
      <c r="E222" s="62">
        <v>104434473</v>
      </c>
      <c r="F222" s="62" t="s">
        <v>269</v>
      </c>
      <c r="G222" s="25">
        <f t="shared" si="0"/>
        <v>-4.0239015483840457E-2</v>
      </c>
    </row>
    <row r="223" spans="1:7">
      <c r="A223" s="62">
        <v>207.57</v>
      </c>
      <c r="B223" s="62">
        <v>209.84</v>
      </c>
      <c r="C223" s="62">
        <v>207.16</v>
      </c>
      <c r="D223" s="62">
        <v>208.49</v>
      </c>
      <c r="E223" s="62">
        <v>80698431</v>
      </c>
      <c r="F223" s="62" t="s">
        <v>270</v>
      </c>
      <c r="G223" s="25">
        <f t="shared" si="0"/>
        <v>-4.4126816633892618E-3</v>
      </c>
    </row>
    <row r="224" spans="1:7">
      <c r="A224" s="62">
        <v>209.05</v>
      </c>
      <c r="B224" s="62">
        <v>212.39</v>
      </c>
      <c r="C224" s="62">
        <v>207.72</v>
      </c>
      <c r="D224" s="62">
        <v>211.89500000000001</v>
      </c>
      <c r="E224" s="62">
        <v>45512514</v>
      </c>
      <c r="F224" s="62" t="s">
        <v>271</v>
      </c>
      <c r="G224" s="25">
        <f t="shared" si="0"/>
        <v>-1.342646121899993E-2</v>
      </c>
    </row>
    <row r="225" spans="1:13">
      <c r="A225" s="62">
        <v>211.27</v>
      </c>
      <c r="B225" s="62">
        <v>214.81</v>
      </c>
      <c r="C225" s="62">
        <v>210.82</v>
      </c>
      <c r="D225" s="62">
        <v>214.17500000000001</v>
      </c>
      <c r="E225" s="62">
        <v>48619335</v>
      </c>
      <c r="F225" s="62" t="s">
        <v>272</v>
      </c>
      <c r="G225" s="25">
        <f t="shared" si="0"/>
        <v>-1.356367456519203E-2</v>
      </c>
    </row>
    <row r="226" spans="1:13">
      <c r="A226" s="62">
        <v>214.05</v>
      </c>
      <c r="B226" s="62">
        <v>214.845</v>
      </c>
      <c r="C226" s="62">
        <v>213.06</v>
      </c>
      <c r="D226" s="62">
        <v>214.03</v>
      </c>
      <c r="E226" s="62">
        <v>36520903</v>
      </c>
      <c r="F226" s="62" t="s">
        <v>273</v>
      </c>
      <c r="G226" s="25">
        <f t="shared" si="0"/>
        <v>9.3444844180723408E-5</v>
      </c>
    </row>
    <row r="227" spans="1:13">
      <c r="A227" s="62">
        <v>213.88</v>
      </c>
      <c r="B227" s="62">
        <v>215.24</v>
      </c>
      <c r="C227" s="62">
        <v>213.4</v>
      </c>
      <c r="D227" s="62">
        <v>214.7</v>
      </c>
      <c r="E227" s="62">
        <v>38698259</v>
      </c>
      <c r="F227" s="62" t="s">
        <v>274</v>
      </c>
      <c r="G227" s="25">
        <f t="shared" si="0"/>
        <v>-3.8192827200744794E-3</v>
      </c>
    </row>
    <row r="228" spans="1:13">
      <c r="A228" s="62">
        <v>213.76</v>
      </c>
      <c r="B228" s="62">
        <v>215.69</v>
      </c>
      <c r="C228" s="62">
        <v>213.53</v>
      </c>
      <c r="D228" s="62">
        <v>213.9</v>
      </c>
      <c r="E228" s="62">
        <v>46022620</v>
      </c>
      <c r="F228" s="62" t="s">
        <v>275</v>
      </c>
      <c r="G228" s="25">
        <f t="shared" si="0"/>
        <v>-6.5451145395056809E-4</v>
      </c>
    </row>
    <row r="229" spans="1:13">
      <c r="A229" s="62">
        <v>214.15</v>
      </c>
      <c r="B229" s="62">
        <v>215.15</v>
      </c>
      <c r="C229" s="62">
        <v>212.41</v>
      </c>
      <c r="D229" s="62">
        <v>215</v>
      </c>
      <c r="E229" s="62">
        <v>46989301</v>
      </c>
      <c r="F229" s="62" t="s">
        <v>276</v>
      </c>
      <c r="G229" s="25">
        <f t="shared" si="0"/>
        <v>-3.9534883720929725E-3</v>
      </c>
    </row>
    <row r="230" spans="1:13">
      <c r="A230" s="62">
        <v>214.4</v>
      </c>
      <c r="B230" s="62">
        <v>214.95</v>
      </c>
      <c r="C230" s="62">
        <v>212.23009999999999</v>
      </c>
      <c r="D230" s="62">
        <v>213.14</v>
      </c>
      <c r="E230" s="62">
        <v>44924252</v>
      </c>
      <c r="F230" s="62" t="s">
        <v>277</v>
      </c>
      <c r="G230" s="25">
        <f t="shared" si="0"/>
        <v>5.9116073942011571E-3</v>
      </c>
    </row>
    <row r="231" spans="1:13">
      <c r="A231" s="62">
        <v>212.48</v>
      </c>
      <c r="B231" s="62">
        <v>215.78</v>
      </c>
      <c r="C231" s="62">
        <v>211.63</v>
      </c>
      <c r="D231" s="62">
        <v>212.1</v>
      </c>
      <c r="E231" s="62">
        <v>51124251</v>
      </c>
      <c r="F231" s="62" t="s">
        <v>278</v>
      </c>
      <c r="G231" s="25">
        <f t="shared" si="0"/>
        <v>1.7916077322017721E-3</v>
      </c>
    </row>
    <row r="232" spans="1:13">
      <c r="A232" s="62">
        <v>211.18</v>
      </c>
      <c r="B232" s="62">
        <v>211.79</v>
      </c>
      <c r="C232" s="62">
        <v>209.7045</v>
      </c>
      <c r="D232" s="62">
        <v>210.87</v>
      </c>
      <c r="E232" s="62">
        <v>48323825</v>
      </c>
      <c r="F232" s="62" t="s">
        <v>279</v>
      </c>
      <c r="G232" s="25">
        <f t="shared" si="0"/>
        <v>1.470100061649271E-3</v>
      </c>
    </row>
    <row r="233" spans="1:13">
      <c r="A233" s="62">
        <v>210.02</v>
      </c>
      <c r="B233" s="62">
        <v>211.8</v>
      </c>
      <c r="C233" s="62">
        <v>209.59</v>
      </c>
      <c r="D233" s="62">
        <v>210.57</v>
      </c>
      <c r="E233" s="62">
        <v>47830727</v>
      </c>
      <c r="F233" s="62" t="s">
        <v>280</v>
      </c>
      <c r="G233" s="25">
        <f t="shared" si="0"/>
        <v>-2.611958018711058E-3</v>
      </c>
    </row>
    <row r="234" spans="1:13">
      <c r="A234" s="62">
        <v>210.16</v>
      </c>
      <c r="B234" s="62">
        <v>212.4</v>
      </c>
      <c r="C234" s="62">
        <v>208.64</v>
      </c>
      <c r="D234" s="62">
        <v>210.29499999999999</v>
      </c>
      <c r="E234" s="62">
        <v>47182164</v>
      </c>
      <c r="F234" s="62" t="s">
        <v>281</v>
      </c>
      <c r="G234" s="25">
        <f t="shared" si="0"/>
        <v>-6.4195534843902724E-4</v>
      </c>
      <c r="I234" s="26"/>
      <c r="J234" s="26" t="s">
        <v>25</v>
      </c>
      <c r="K234" s="27">
        <f>MIN(G188:G1442)</f>
        <v>-7.6486341724692042E-2</v>
      </c>
    </row>
    <row r="235" spans="1:13">
      <c r="A235" s="62">
        <v>209.11</v>
      </c>
      <c r="B235" s="62">
        <v>211.89</v>
      </c>
      <c r="C235" s="62">
        <v>208.92</v>
      </c>
      <c r="D235" s="62">
        <v>209.22</v>
      </c>
      <c r="E235" s="62">
        <v>42092417</v>
      </c>
      <c r="F235" s="62" t="s">
        <v>282</v>
      </c>
      <c r="G235" s="25">
        <f t="shared" si="0"/>
        <v>-5.2576235541523797E-4</v>
      </c>
      <c r="I235" s="26"/>
      <c r="J235" s="26" t="s">
        <v>26</v>
      </c>
      <c r="K235" s="27">
        <f>MAX(G188:G1442)</f>
        <v>0.15644082582145957</v>
      </c>
    </row>
    <row r="236" spans="1:13">
      <c r="A236" s="62">
        <v>208.62</v>
      </c>
      <c r="B236" s="62">
        <v>210.91</v>
      </c>
      <c r="C236" s="62">
        <v>207.54</v>
      </c>
      <c r="D236" s="62">
        <v>209.92500000000001</v>
      </c>
      <c r="E236" s="62">
        <v>38588410</v>
      </c>
      <c r="F236" s="62" t="s">
        <v>283</v>
      </c>
      <c r="G236" s="25">
        <f t="shared" si="0"/>
        <v>-6.2165058949624763E-3</v>
      </c>
      <c r="I236" s="26"/>
      <c r="J236" s="26" t="s">
        <v>27</v>
      </c>
      <c r="K236" s="27">
        <f>AVERAGE(G188:G1442)</f>
        <v>1.0609586741359687E-3</v>
      </c>
    </row>
    <row r="237" spans="1:13">
      <c r="A237" s="62">
        <v>211.16</v>
      </c>
      <c r="B237" s="62">
        <v>212.13</v>
      </c>
      <c r="C237" s="62">
        <v>209.86</v>
      </c>
      <c r="D237" s="62">
        <v>210.565</v>
      </c>
      <c r="E237" s="62">
        <v>39233071</v>
      </c>
      <c r="F237" s="62" t="s">
        <v>284</v>
      </c>
      <c r="G237" s="25">
        <f t="shared" si="0"/>
        <v>2.8257307719705693E-3</v>
      </c>
      <c r="I237" s="26"/>
      <c r="J237" s="26" t="s">
        <v>28</v>
      </c>
      <c r="K237" s="27">
        <f>MEDIAN(G188:G1442)</f>
        <v>8.2042867398213204E-4</v>
      </c>
    </row>
    <row r="238" spans="1:13" ht="15">
      <c r="A238" s="62">
        <v>212.41</v>
      </c>
      <c r="B238" s="62">
        <v>213.48</v>
      </c>
      <c r="C238" s="62">
        <v>210.03</v>
      </c>
      <c r="D238" s="62">
        <v>210.505</v>
      </c>
      <c r="E238" s="62">
        <v>43816056</v>
      </c>
      <c r="F238" s="62" t="s">
        <v>285</v>
      </c>
      <c r="G238" s="25">
        <f t="shared" si="0"/>
        <v>9.0496662787107329E-3</v>
      </c>
      <c r="I238" s="26"/>
      <c r="J238" s="26" t="s">
        <v>29</v>
      </c>
      <c r="K238" s="27">
        <f>_xlfn.STDEV.P(G188:G1442)</f>
        <v>1.5098901940086999E-2</v>
      </c>
      <c r="M238" s="2"/>
    </row>
    <row r="239" spans="1:13" ht="15">
      <c r="A239" s="62">
        <v>211.14</v>
      </c>
      <c r="B239" s="62">
        <v>211.33</v>
      </c>
      <c r="C239" s="62">
        <v>207.22</v>
      </c>
      <c r="D239" s="62">
        <v>209.53</v>
      </c>
      <c r="E239" s="62">
        <v>48557401</v>
      </c>
      <c r="F239" s="62" t="s">
        <v>286</v>
      </c>
      <c r="G239" s="25">
        <f t="shared" si="0"/>
        <v>7.6838638858396369E-3</v>
      </c>
      <c r="I239" s="26"/>
      <c r="J239" s="28" t="s">
        <v>30</v>
      </c>
      <c r="K239" s="27">
        <f>3*K238</f>
        <v>4.5296705820260998E-2</v>
      </c>
      <c r="L239" s="26"/>
      <c r="M239" s="2" t="s">
        <v>155</v>
      </c>
    </row>
    <row r="240" spans="1:13" ht="15">
      <c r="A240" s="62">
        <v>210.01</v>
      </c>
      <c r="B240" s="62">
        <v>211.43</v>
      </c>
      <c r="C240" s="62">
        <v>208.45</v>
      </c>
      <c r="D240" s="62">
        <v>210.1</v>
      </c>
      <c r="E240" s="62">
        <v>42104458</v>
      </c>
      <c r="F240" s="62" t="s">
        <v>287</v>
      </c>
      <c r="G240" s="25">
        <f t="shared" si="0"/>
        <v>-4.2836744407426242E-4</v>
      </c>
      <c r="I240" s="26"/>
      <c r="J240" s="28" t="s">
        <v>31</v>
      </c>
      <c r="K240" s="26">
        <v>1.1100000000000001</v>
      </c>
      <c r="L240" s="26"/>
      <c r="M240" s="2" t="s">
        <v>32</v>
      </c>
    </row>
    <row r="241" spans="1:17">
      <c r="A241" s="62">
        <v>209.95</v>
      </c>
      <c r="B241" s="62">
        <v>216.23</v>
      </c>
      <c r="C241" s="62">
        <v>208.8</v>
      </c>
      <c r="D241" s="62">
        <v>212.68</v>
      </c>
      <c r="E241" s="62">
        <v>49805603</v>
      </c>
      <c r="F241" s="62" t="s">
        <v>288</v>
      </c>
      <c r="G241" s="25">
        <f t="shared" si="0"/>
        <v>-1.2836185819070978E-2</v>
      </c>
    </row>
    <row r="242" spans="1:17">
      <c r="A242" s="62">
        <v>213.55</v>
      </c>
      <c r="B242" s="62">
        <v>214.65</v>
      </c>
      <c r="C242" s="62">
        <v>211.81010000000001</v>
      </c>
      <c r="D242" s="62">
        <v>212.14500000000001</v>
      </c>
      <c r="E242" s="62">
        <v>34927713</v>
      </c>
      <c r="F242" s="62" t="s">
        <v>289</v>
      </c>
      <c r="G242" s="25">
        <f t="shared" si="0"/>
        <v>6.6228287256357987E-3</v>
      </c>
      <c r="I242" s="29" t="s">
        <v>33</v>
      </c>
      <c r="J242" s="30">
        <v>1256</v>
      </c>
    </row>
    <row r="243" spans="1:17" ht="15" thickBot="1">
      <c r="A243" s="62">
        <v>212.44</v>
      </c>
      <c r="B243" s="62">
        <v>213.34</v>
      </c>
      <c r="C243" s="62">
        <v>208.14</v>
      </c>
      <c r="D243" s="62">
        <v>208.91</v>
      </c>
      <c r="E243" s="62">
        <v>67704384</v>
      </c>
      <c r="F243" s="62" t="s">
        <v>290</v>
      </c>
      <c r="G243" s="25">
        <f t="shared" si="0"/>
        <v>1.6897228471590697E-2</v>
      </c>
      <c r="I243" s="1" t="s">
        <v>34</v>
      </c>
      <c r="L243" s="1" t="s">
        <v>35</v>
      </c>
      <c r="P243" s="1" t="s">
        <v>36</v>
      </c>
    </row>
    <row r="244" spans="1:17" ht="15" customHeight="1">
      <c r="A244" s="62">
        <v>207.82</v>
      </c>
      <c r="B244" s="62">
        <v>210.1865</v>
      </c>
      <c r="C244" s="62">
        <v>206.14009999999999</v>
      </c>
      <c r="D244" s="62">
        <v>206.66499999999999</v>
      </c>
      <c r="E244" s="62">
        <v>78091914</v>
      </c>
      <c r="F244" s="62" t="s">
        <v>291</v>
      </c>
      <c r="G244" s="25">
        <f t="shared" si="0"/>
        <v>5.5887547480222288E-3</v>
      </c>
      <c r="I244" s="66" t="s">
        <v>37</v>
      </c>
      <c r="J244" s="66" t="s">
        <v>38</v>
      </c>
      <c r="L244" s="31" t="s">
        <v>39</v>
      </c>
      <c r="M244" s="32" t="s">
        <v>40</v>
      </c>
      <c r="P244" s="31" t="s">
        <v>41</v>
      </c>
      <c r="Q244" s="32" t="s">
        <v>42</v>
      </c>
    </row>
    <row r="245" spans="1:17" ht="15">
      <c r="A245" s="62">
        <v>205.17</v>
      </c>
      <c r="B245" s="62">
        <v>207.39</v>
      </c>
      <c r="C245" s="62">
        <v>199.26070000000001</v>
      </c>
      <c r="D245" s="62">
        <v>202.01</v>
      </c>
      <c r="E245" s="62">
        <v>91075446</v>
      </c>
      <c r="F245" s="62" t="s">
        <v>292</v>
      </c>
      <c r="G245" s="25">
        <f t="shared" si="0"/>
        <v>1.5642789960893078E-2</v>
      </c>
      <c r="I245" s="64">
        <v>-4.6000000000000034E-2</v>
      </c>
      <c r="J245">
        <v>1</v>
      </c>
      <c r="L245" s="64">
        <v>-4.7E-2</v>
      </c>
      <c r="M245" s="1">
        <f t="shared" ref="M245:M276" si="1">_xlfn.NORM.DIST(L245,$K$236,$K$238,FALSE)</f>
        <v>0.16666107638351327</v>
      </c>
      <c r="O245" s="1" t="s">
        <v>146</v>
      </c>
      <c r="P245" s="63">
        <f>K236</f>
        <v>1.0609586741359687E-3</v>
      </c>
      <c r="Q245" s="1">
        <v>0</v>
      </c>
    </row>
    <row r="246" spans="1:17" ht="15">
      <c r="A246" s="62">
        <v>201.08</v>
      </c>
      <c r="B246" s="62">
        <v>203.22</v>
      </c>
      <c r="C246" s="62">
        <v>200</v>
      </c>
      <c r="D246" s="62">
        <v>201.89</v>
      </c>
      <c r="E246" s="62">
        <v>73188571</v>
      </c>
      <c r="F246" s="62" t="s">
        <v>293</v>
      </c>
      <c r="G246" s="25">
        <f t="shared" si="0"/>
        <v>-4.01208578929102E-3</v>
      </c>
      <c r="I246" s="64">
        <v>-4.5000000000000033E-2</v>
      </c>
      <c r="J246">
        <v>2</v>
      </c>
      <c r="L246" s="64">
        <v>-4.6000000000000034E-2</v>
      </c>
      <c r="M246" s="1">
        <f t="shared" si="1"/>
        <v>0.20532296022609262</v>
      </c>
      <c r="P246" s="63">
        <f>K236</f>
        <v>1.0609586741359687E-3</v>
      </c>
      <c r="Q246" s="1">
        <v>26.5</v>
      </c>
    </row>
    <row r="247" spans="1:17" ht="15">
      <c r="A247" s="62">
        <v>201</v>
      </c>
      <c r="B247" s="62">
        <v>202.64</v>
      </c>
      <c r="C247" s="62">
        <v>199.46</v>
      </c>
      <c r="D247" s="62">
        <v>201.43</v>
      </c>
      <c r="E247" s="62">
        <v>50799121</v>
      </c>
      <c r="F247" s="62" t="s">
        <v>294</v>
      </c>
      <c r="G247" s="25">
        <f t="shared" si="0"/>
        <v>-2.1347366330735085E-3</v>
      </c>
      <c r="I247" s="64">
        <v>-4.4000000000000032E-2</v>
      </c>
      <c r="J247">
        <v>0</v>
      </c>
      <c r="L247" s="64">
        <v>-4.5000000000000033E-2</v>
      </c>
      <c r="M247" s="1">
        <f t="shared" si="1"/>
        <v>0.25184646411437622</v>
      </c>
      <c r="O247" s="38" t="s">
        <v>147</v>
      </c>
      <c r="P247" s="63">
        <f>($K$238*-3)+$K$236</f>
        <v>-4.4235747146125028E-2</v>
      </c>
      <c r="Q247" s="1">
        <v>0</v>
      </c>
    </row>
    <row r="248" spans="1:17" ht="15">
      <c r="A248" s="62">
        <v>201.56</v>
      </c>
      <c r="B248" s="62">
        <v>203.67</v>
      </c>
      <c r="C248" s="62">
        <v>200.62010000000001</v>
      </c>
      <c r="D248" s="62">
        <v>201.45</v>
      </c>
      <c r="E248" s="62">
        <v>39525730</v>
      </c>
      <c r="F248" s="62" t="s">
        <v>295</v>
      </c>
      <c r="G248" s="25">
        <f t="shared" si="0"/>
        <v>5.4604120129075895E-4</v>
      </c>
      <c r="I248" s="64">
        <v>-4.3000000000000031E-2</v>
      </c>
      <c r="J248">
        <v>1</v>
      </c>
      <c r="L248" s="64">
        <v>-4.4000000000000032E-2</v>
      </c>
      <c r="M248" s="1">
        <f t="shared" si="1"/>
        <v>0.30755954143791303</v>
      </c>
      <c r="O248" s="39"/>
      <c r="P248" s="63">
        <f>($K$238*-3)+$K$236</f>
        <v>-4.4235747146125028E-2</v>
      </c>
      <c r="Q248" s="1">
        <v>1</v>
      </c>
    </row>
    <row r="249" spans="1:17" ht="15">
      <c r="A249" s="62">
        <v>200.3</v>
      </c>
      <c r="B249" s="62">
        <v>203.44</v>
      </c>
      <c r="C249" s="62">
        <v>200.2</v>
      </c>
      <c r="D249" s="62">
        <v>202.59</v>
      </c>
      <c r="E249" s="62">
        <v>54064033</v>
      </c>
      <c r="F249" s="62" t="s">
        <v>296</v>
      </c>
      <c r="G249" s="25">
        <f t="shared" si="0"/>
        <v>-1.1303618145021899E-2</v>
      </c>
      <c r="I249" s="64">
        <v>-4.200000000000003E-2</v>
      </c>
      <c r="J249">
        <v>1</v>
      </c>
      <c r="L249" s="64">
        <v>-4.3000000000000031E-2</v>
      </c>
      <c r="M249" s="1">
        <f t="shared" si="1"/>
        <v>0.37395346160576565</v>
      </c>
      <c r="O249" s="38" t="s">
        <v>148</v>
      </c>
      <c r="P249" s="63">
        <f>($K$238*-2)+$K$236</f>
        <v>-2.9136845206038028E-2</v>
      </c>
      <c r="Q249" s="1">
        <v>0</v>
      </c>
    </row>
    <row r="250" spans="1:17" ht="15">
      <c r="A250" s="62">
        <v>201.5</v>
      </c>
      <c r="B250" s="62">
        <v>202.3</v>
      </c>
      <c r="C250" s="62">
        <v>198.96</v>
      </c>
      <c r="D250" s="62">
        <v>201.625</v>
      </c>
      <c r="E250" s="62">
        <v>55110137</v>
      </c>
      <c r="F250" s="62" t="s">
        <v>297</v>
      </c>
      <c r="G250" s="25">
        <f t="shared" si="0"/>
        <v>-6.1996280223186595E-4</v>
      </c>
      <c r="I250" s="64">
        <v>-4.1000000000000029E-2</v>
      </c>
      <c r="J250">
        <v>2</v>
      </c>
      <c r="L250" s="64">
        <v>-4.200000000000003E-2</v>
      </c>
      <c r="M250" s="1">
        <f t="shared" si="1"/>
        <v>0.45269001662893366</v>
      </c>
      <c r="O250" s="39"/>
      <c r="P250" s="63">
        <f>($K$238*-2)+$K$236</f>
        <v>-2.9136845206038028E-2</v>
      </c>
      <c r="Q250" s="1">
        <v>4</v>
      </c>
    </row>
    <row r="251" spans="1:17" ht="15">
      <c r="A251" s="62">
        <v>201</v>
      </c>
      <c r="B251" s="62">
        <v>201.7</v>
      </c>
      <c r="C251" s="62">
        <v>196.85499999999999</v>
      </c>
      <c r="D251" s="62">
        <v>198.23500000000001</v>
      </c>
      <c r="E251" s="62">
        <v>95244285</v>
      </c>
      <c r="F251" s="62" t="s">
        <v>298</v>
      </c>
      <c r="G251" s="25">
        <f t="shared" si="0"/>
        <v>1.3948091911115457E-2</v>
      </c>
      <c r="I251" s="64">
        <v>-4.0000000000000029E-2</v>
      </c>
      <c r="J251">
        <v>3</v>
      </c>
      <c r="L251" s="64">
        <v>-4.1000000000000029E-2</v>
      </c>
      <c r="M251" s="1">
        <f t="shared" si="1"/>
        <v>0.54560618169373876</v>
      </c>
      <c r="O251" s="40" t="s">
        <v>149</v>
      </c>
      <c r="P251" s="63">
        <f>($K$238*-1)+$K$236</f>
        <v>-1.4037943265951031E-2</v>
      </c>
      <c r="Q251" s="1">
        <v>0</v>
      </c>
    </row>
    <row r="252" spans="1:17" ht="15">
      <c r="A252" s="62">
        <v>196.58</v>
      </c>
      <c r="B252" s="62">
        <v>197.57</v>
      </c>
      <c r="C252" s="62">
        <v>195.07</v>
      </c>
      <c r="D252" s="62">
        <v>195.94</v>
      </c>
      <c r="E252" s="62">
        <v>45394689</v>
      </c>
      <c r="F252" s="62" t="s">
        <v>299</v>
      </c>
      <c r="G252" s="25">
        <f t="shared" ref="G252:G315" si="2">A252/D252-1</f>
        <v>3.2663060120445842E-3</v>
      </c>
      <c r="I252" s="64">
        <v>-3.9000000000000028E-2</v>
      </c>
      <c r="J252">
        <v>2</v>
      </c>
      <c r="L252" s="64">
        <v>-4.0000000000000029E-2</v>
      </c>
      <c r="M252" s="1">
        <f t="shared" si="1"/>
        <v>0.65471554663852638</v>
      </c>
      <c r="P252" s="63">
        <f>($K$238*-1)+$K$236</f>
        <v>-1.4037943265951031E-2</v>
      </c>
      <c r="Q252" s="1">
        <v>16</v>
      </c>
    </row>
    <row r="253" spans="1:17" ht="15">
      <c r="A253" s="62">
        <v>195.64</v>
      </c>
      <c r="B253" s="62">
        <v>198.39</v>
      </c>
      <c r="C253" s="62">
        <v>195.21</v>
      </c>
      <c r="D253" s="62">
        <v>197.2</v>
      </c>
      <c r="E253" s="62">
        <v>38856152</v>
      </c>
      <c r="F253" s="62" t="s">
        <v>300</v>
      </c>
      <c r="G253" s="25">
        <f t="shared" si="2"/>
        <v>-7.9107505070994399E-3</v>
      </c>
      <c r="I253" s="64">
        <v>-3.8000000000000027E-2</v>
      </c>
      <c r="J253">
        <v>2</v>
      </c>
      <c r="L253" s="64">
        <v>-3.9000000000000028E-2</v>
      </c>
      <c r="M253" s="1">
        <f t="shared" si="1"/>
        <v>0.78220579876809826</v>
      </c>
      <c r="O253" s="1" t="s">
        <v>150</v>
      </c>
      <c r="P253" s="63">
        <f>($K$238*1)+$K$236</f>
        <v>1.6159860614222969E-2</v>
      </c>
      <c r="Q253" s="1">
        <v>0</v>
      </c>
    </row>
    <row r="254" spans="1:17" ht="15">
      <c r="A254" s="62">
        <v>198.42</v>
      </c>
      <c r="B254" s="62">
        <v>198.685</v>
      </c>
      <c r="C254" s="62">
        <v>196.56360000000001</v>
      </c>
      <c r="D254" s="62">
        <v>197.3</v>
      </c>
      <c r="E254" s="62">
        <v>43020691</v>
      </c>
      <c r="F254" s="62" t="s">
        <v>301</v>
      </c>
      <c r="G254" s="25">
        <f t="shared" si="2"/>
        <v>5.6766345666496854E-3</v>
      </c>
      <c r="I254" s="64">
        <v>-3.7000000000000026E-2</v>
      </c>
      <c r="J254">
        <v>2</v>
      </c>
      <c r="L254" s="64">
        <v>-3.8000000000000027E-2</v>
      </c>
      <c r="M254" s="1">
        <f t="shared" si="1"/>
        <v>0.93043152095073123</v>
      </c>
      <c r="P254" s="63">
        <f>($K$238*1)+$K$236</f>
        <v>1.6159860614222969E-2</v>
      </c>
      <c r="Q254" s="1">
        <v>16</v>
      </c>
    </row>
    <row r="255" spans="1:17" ht="15">
      <c r="A255" s="62">
        <v>196.45</v>
      </c>
      <c r="B255" s="62">
        <v>200.37</v>
      </c>
      <c r="C255" s="62">
        <v>195.7</v>
      </c>
      <c r="D255" s="62">
        <v>199.73</v>
      </c>
      <c r="E255" s="62">
        <v>50917807</v>
      </c>
      <c r="F255" s="62" t="s">
        <v>302</v>
      </c>
      <c r="G255" s="25">
        <f t="shared" si="2"/>
        <v>-1.6422169929404706E-2</v>
      </c>
      <c r="I255" s="64">
        <v>-3.6000000000000025E-2</v>
      </c>
      <c r="J255">
        <v>0</v>
      </c>
      <c r="L255" s="64">
        <v>-3.7000000000000026E-2</v>
      </c>
      <c r="M255" s="1">
        <f t="shared" si="1"/>
        <v>1.1019015772933252</v>
      </c>
      <c r="O255" s="41" t="s">
        <v>151</v>
      </c>
      <c r="P255" s="63">
        <f>($K$238*2)+$K$236</f>
        <v>3.1258762554309968E-2</v>
      </c>
      <c r="Q255" s="1">
        <v>0</v>
      </c>
    </row>
    <row r="256" spans="1:17" ht="15">
      <c r="A256" s="62">
        <v>199.2</v>
      </c>
      <c r="B256" s="62">
        <v>199.68</v>
      </c>
      <c r="C256" s="62">
        <v>197.36009999999999</v>
      </c>
      <c r="D256" s="62">
        <v>199.08</v>
      </c>
      <c r="E256" s="62">
        <v>43904635</v>
      </c>
      <c r="F256" s="62" t="s">
        <v>303</v>
      </c>
      <c r="G256" s="25">
        <f t="shared" si="2"/>
        <v>6.027727546713546E-4</v>
      </c>
      <c r="I256" s="64">
        <v>-3.5000000000000024E-2</v>
      </c>
      <c r="J256">
        <v>0</v>
      </c>
      <c r="L256" s="64">
        <v>-3.6000000000000025E-2</v>
      </c>
      <c r="M256" s="1">
        <f t="shared" si="1"/>
        <v>1.2992603965366796</v>
      </c>
      <c r="P256" s="63">
        <f>($K$238*2)+$K$236</f>
        <v>3.1258762554309968E-2</v>
      </c>
      <c r="Q256" s="1">
        <v>4</v>
      </c>
    </row>
    <row r="257" spans="1:17" ht="15">
      <c r="A257" s="62">
        <v>198.78</v>
      </c>
      <c r="B257" s="62">
        <v>204.5</v>
      </c>
      <c r="C257" s="62">
        <v>198.41</v>
      </c>
      <c r="D257" s="62">
        <v>203.5</v>
      </c>
      <c r="E257" s="62">
        <v>60989857</v>
      </c>
      <c r="F257" s="62" t="s">
        <v>304</v>
      </c>
      <c r="G257" s="25">
        <f t="shared" si="2"/>
        <v>-2.3194103194103199E-2</v>
      </c>
      <c r="I257" s="64">
        <v>-3.4000000000000023E-2</v>
      </c>
      <c r="J257">
        <v>2</v>
      </c>
      <c r="L257" s="64">
        <v>-3.5000000000000024E-2</v>
      </c>
      <c r="M257" s="1">
        <f t="shared" si="1"/>
        <v>1.5252625348298334</v>
      </c>
      <c r="O257" s="41" t="s">
        <v>152</v>
      </c>
      <c r="P257" s="63">
        <f>($K$238*3)+$K$236</f>
        <v>4.6357664494396968E-2</v>
      </c>
      <c r="Q257" s="1">
        <v>0</v>
      </c>
    </row>
    <row r="258" spans="1:17" ht="15">
      <c r="A258" s="62">
        <v>202.67</v>
      </c>
      <c r="B258" s="62">
        <v>204.35</v>
      </c>
      <c r="C258" s="62">
        <v>200.57</v>
      </c>
      <c r="D258" s="62">
        <v>200.6</v>
      </c>
      <c r="E258" s="62">
        <v>51998612</v>
      </c>
      <c r="F258" s="62" t="s">
        <v>305</v>
      </c>
      <c r="G258" s="25">
        <f t="shared" si="2"/>
        <v>1.0319042871385742E-2</v>
      </c>
      <c r="I258" s="64">
        <v>-3.3000000000000022E-2</v>
      </c>
      <c r="J258">
        <v>5</v>
      </c>
      <c r="L258" s="64">
        <v>-3.4000000000000023E-2</v>
      </c>
      <c r="M258" s="1">
        <f t="shared" si="1"/>
        <v>1.782740008110836</v>
      </c>
      <c r="O258" s="41"/>
      <c r="P258" s="63">
        <f>($K$238*3)+$K$236</f>
        <v>4.6357664494396968E-2</v>
      </c>
      <c r="Q258" s="1">
        <v>1</v>
      </c>
    </row>
    <row r="259" spans="1:17" ht="15">
      <c r="A259" s="62">
        <v>201.45</v>
      </c>
      <c r="B259" s="62">
        <v>206</v>
      </c>
      <c r="C259" s="62">
        <v>200.02</v>
      </c>
      <c r="D259" s="62">
        <v>204.39</v>
      </c>
      <c r="E259" s="62">
        <v>72436516</v>
      </c>
      <c r="F259" s="62" t="s">
        <v>306</v>
      </c>
      <c r="G259" s="25">
        <f t="shared" si="2"/>
        <v>-1.4384265375018357E-2</v>
      </c>
      <c r="I259" s="64">
        <v>-3.2000000000000021E-2</v>
      </c>
      <c r="J259">
        <v>3</v>
      </c>
      <c r="L259" s="64">
        <v>-3.3000000000000022E-2</v>
      </c>
      <c r="M259" s="1">
        <f t="shared" si="1"/>
        <v>2.0745620321994349</v>
      </c>
    </row>
    <row r="260" spans="1:17" ht="15">
      <c r="A260" s="62">
        <v>203.92</v>
      </c>
      <c r="B260" s="62">
        <v>205.7</v>
      </c>
      <c r="C260" s="62">
        <v>202.05</v>
      </c>
      <c r="D260" s="62">
        <v>203</v>
      </c>
      <c r="E260" s="62">
        <v>46240145</v>
      </c>
      <c r="F260" s="62" t="s">
        <v>307</v>
      </c>
      <c r="G260" s="25">
        <f t="shared" si="2"/>
        <v>4.5320197044333987E-3</v>
      </c>
      <c r="I260" s="64">
        <v>-3.1000000000000021E-2</v>
      </c>
      <c r="J260">
        <v>1</v>
      </c>
      <c r="L260" s="64">
        <v>-3.2000000000000021E-2</v>
      </c>
      <c r="M260" s="1">
        <f t="shared" si="1"/>
        <v>2.4035869967043055</v>
      </c>
    </row>
    <row r="261" spans="1:17" ht="15">
      <c r="A261" s="62">
        <v>200.63</v>
      </c>
      <c r="B261" s="62">
        <v>204.75</v>
      </c>
      <c r="C261" s="62">
        <v>200.15</v>
      </c>
      <c r="D261" s="62">
        <v>203.5</v>
      </c>
      <c r="E261" s="62">
        <v>54834868</v>
      </c>
      <c r="F261" s="62" t="s">
        <v>308</v>
      </c>
      <c r="G261" s="25">
        <f t="shared" si="2"/>
        <v>-1.4103194103194161E-2</v>
      </c>
      <c r="I261" s="64">
        <v>-3.000000000000002E-2</v>
      </c>
      <c r="J261">
        <v>2</v>
      </c>
      <c r="L261" s="64">
        <v>-3.1000000000000021E-2</v>
      </c>
      <c r="M261" s="1">
        <f t="shared" si="1"/>
        <v>2.7726067260190814</v>
      </c>
    </row>
    <row r="262" spans="1:17" ht="15">
      <c r="A262" s="62">
        <v>202.82</v>
      </c>
      <c r="B262" s="62">
        <v>206.24</v>
      </c>
      <c r="C262" s="62">
        <v>202.1</v>
      </c>
      <c r="D262" s="62">
        <v>202.91</v>
      </c>
      <c r="E262" s="62">
        <v>42986354</v>
      </c>
      <c r="F262" s="62" t="s">
        <v>309</v>
      </c>
      <c r="G262" s="25">
        <f t="shared" si="2"/>
        <v>-4.435463998817557E-4</v>
      </c>
      <c r="I262" s="64">
        <v>-2.9000000000000019E-2</v>
      </c>
      <c r="J262">
        <v>4</v>
      </c>
      <c r="L262" s="64">
        <v>-3.000000000000002E-2</v>
      </c>
      <c r="M262" s="1">
        <f t="shared" si="1"/>
        <v>3.184283344070546</v>
      </c>
    </row>
    <row r="263" spans="1:17" ht="15">
      <c r="A263" s="62">
        <v>203.27</v>
      </c>
      <c r="B263" s="62">
        <v>203.77</v>
      </c>
      <c r="C263" s="62">
        <v>200.95500000000001</v>
      </c>
      <c r="D263" s="62">
        <v>201.35</v>
      </c>
      <c r="E263" s="62">
        <v>44040927</v>
      </c>
      <c r="F263" s="62" t="s">
        <v>310</v>
      </c>
      <c r="G263" s="25">
        <f t="shared" si="2"/>
        <v>9.5356344673453997E-3</v>
      </c>
      <c r="I263" s="64">
        <v>-2.8000000000000018E-2</v>
      </c>
      <c r="J263">
        <v>6</v>
      </c>
      <c r="L263" s="64">
        <v>-2.9000000000000019E-2</v>
      </c>
      <c r="M263" s="1">
        <f t="shared" si="1"/>
        <v>3.6410793539290927</v>
      </c>
    </row>
    <row r="264" spans="1:17" ht="15">
      <c r="A264" s="62">
        <v>201.7</v>
      </c>
      <c r="B264" s="62">
        <v>202.13</v>
      </c>
      <c r="C264" s="62">
        <v>200.12</v>
      </c>
      <c r="D264" s="62">
        <v>200.28</v>
      </c>
      <c r="E264" s="62">
        <v>35282236</v>
      </c>
      <c r="F264" s="62" t="s">
        <v>311</v>
      </c>
      <c r="G264" s="25">
        <f t="shared" si="2"/>
        <v>7.0900738965447019E-3</v>
      </c>
      <c r="I264" s="64">
        <v>-2.7000000000000017E-2</v>
      </c>
      <c r="J264">
        <v>1</v>
      </c>
      <c r="L264" s="64">
        <v>-2.8000000000000018E-2</v>
      </c>
      <c r="M264" s="1">
        <f t="shared" si="1"/>
        <v>4.145181861435236</v>
      </c>
    </row>
    <row r="265" spans="1:17" ht="15">
      <c r="A265" s="62">
        <v>200.85</v>
      </c>
      <c r="B265" s="62">
        <v>201.96</v>
      </c>
      <c r="C265" s="62">
        <v>196.78</v>
      </c>
      <c r="D265" s="62">
        <v>199.37</v>
      </c>
      <c r="E265" s="62">
        <v>69916197</v>
      </c>
      <c r="F265" s="62" t="s">
        <v>312</v>
      </c>
      <c r="G265" s="25">
        <f t="shared" si="2"/>
        <v>7.4233836585242408E-3</v>
      </c>
      <c r="I265" s="64">
        <v>-2.6000000000000016E-2</v>
      </c>
      <c r="J265">
        <v>8</v>
      </c>
      <c r="L265" s="64">
        <v>-2.7000000000000017E-2</v>
      </c>
      <c r="M265" s="1">
        <f t="shared" si="1"/>
        <v>4.6984222038911447</v>
      </c>
    </row>
    <row r="266" spans="1:17" ht="15">
      <c r="A266" s="62">
        <v>199.95</v>
      </c>
      <c r="B266" s="62">
        <v>203.81</v>
      </c>
      <c r="C266" s="62">
        <v>198.51</v>
      </c>
      <c r="D266" s="62">
        <v>203.57499999999999</v>
      </c>
      <c r="E266" s="62">
        <v>51477938</v>
      </c>
      <c r="F266" s="62" t="s">
        <v>313</v>
      </c>
      <c r="G266" s="25">
        <f t="shared" si="2"/>
        <v>-1.7806705145523738E-2</v>
      </c>
      <c r="I266" s="64">
        <v>-2.5000000000000015E-2</v>
      </c>
      <c r="J266">
        <v>4</v>
      </c>
      <c r="L266" s="64">
        <v>-2.6000000000000016E-2</v>
      </c>
      <c r="M266" s="1">
        <f t="shared" si="1"/>
        <v>5.302192578728997</v>
      </c>
    </row>
    <row r="267" spans="1:17" ht="15">
      <c r="A267" s="62">
        <v>200.42</v>
      </c>
      <c r="B267" s="62">
        <v>202.73</v>
      </c>
      <c r="C267" s="62">
        <v>199.9</v>
      </c>
      <c r="D267" s="62">
        <v>200.59</v>
      </c>
      <c r="E267" s="62">
        <v>43466770</v>
      </c>
      <c r="F267" s="62" t="s">
        <v>314</v>
      </c>
      <c r="G267" s="25">
        <f t="shared" si="2"/>
        <v>-8.4749987536769655E-4</v>
      </c>
      <c r="I267" s="64">
        <v>-2.4000000000000014E-2</v>
      </c>
      <c r="J267">
        <v>5</v>
      </c>
      <c r="L267" s="64">
        <v>-2.5000000000000015E-2</v>
      </c>
      <c r="M267" s="1">
        <f t="shared" si="1"/>
        <v>5.9573615891651759</v>
      </c>
    </row>
    <row r="268" spans="1:17" ht="15">
      <c r="A268" s="62">
        <v>200.21</v>
      </c>
      <c r="B268" s="62">
        <v>200.74</v>
      </c>
      <c r="C268" s="62">
        <v>197.43</v>
      </c>
      <c r="D268" s="62">
        <v>198.3</v>
      </c>
      <c r="E268" s="62">
        <v>55708721</v>
      </c>
      <c r="F268" s="62" t="s">
        <v>315</v>
      </c>
      <c r="G268" s="25">
        <f t="shared" si="2"/>
        <v>9.6318709026725902E-3</v>
      </c>
      <c r="I268" s="64">
        <v>-2.3000000000000013E-2</v>
      </c>
      <c r="J268">
        <v>7</v>
      </c>
      <c r="L268" s="64">
        <v>-2.4000000000000014E-2</v>
      </c>
      <c r="M268" s="1">
        <f t="shared" si="1"/>
        <v>6.6641909190329862</v>
      </c>
    </row>
    <row r="269" spans="1:17" ht="15">
      <c r="A269" s="62">
        <v>195.27</v>
      </c>
      <c r="B269" s="62">
        <v>197.7</v>
      </c>
      <c r="C269" s="62">
        <v>193.46</v>
      </c>
      <c r="D269" s="62">
        <v>193.66499999999999</v>
      </c>
      <c r="E269" s="62">
        <v>78432918</v>
      </c>
      <c r="F269" s="62" t="s">
        <v>316</v>
      </c>
      <c r="G269" s="25">
        <f t="shared" si="2"/>
        <v>8.2875067771668309E-3</v>
      </c>
      <c r="I269" s="64">
        <v>-2.2000000000000013E-2</v>
      </c>
      <c r="J269">
        <v>8</v>
      </c>
      <c r="L269" s="64">
        <v>-2.3000000000000013E-2</v>
      </c>
      <c r="M269" s="1">
        <f t="shared" si="1"/>
        <v>7.4222556012708036</v>
      </c>
    </row>
    <row r="270" spans="1:17" ht="15">
      <c r="A270" s="62">
        <v>201.36</v>
      </c>
      <c r="B270" s="62">
        <v>202.75</v>
      </c>
      <c r="C270" s="62">
        <v>199.7</v>
      </c>
      <c r="D270" s="62">
        <v>200.71</v>
      </c>
      <c r="E270" s="62">
        <v>46742407</v>
      </c>
      <c r="F270" s="62" t="s">
        <v>317</v>
      </c>
      <c r="G270" s="25">
        <f t="shared" si="2"/>
        <v>3.2385033132380503E-3</v>
      </c>
      <c r="I270" s="64">
        <v>-2.1000000000000012E-2</v>
      </c>
      <c r="J270">
        <v>9</v>
      </c>
      <c r="L270" s="64">
        <v>-2.2000000000000013E-2</v>
      </c>
      <c r="M270" s="1">
        <f t="shared" si="1"/>
        <v>8.2303705378042675</v>
      </c>
    </row>
    <row r="271" spans="1:17" ht="15">
      <c r="A271" s="62">
        <v>202.09</v>
      </c>
      <c r="B271" s="62">
        <v>207.04</v>
      </c>
      <c r="C271" s="62">
        <v>200.71</v>
      </c>
      <c r="D271" s="62">
        <v>205.17</v>
      </c>
      <c r="E271" s="62">
        <v>59211774</v>
      </c>
      <c r="F271" s="62" t="s">
        <v>318</v>
      </c>
      <c r="G271" s="25">
        <f t="shared" si="2"/>
        <v>-1.5011941316956601E-2</v>
      </c>
      <c r="I271" s="64">
        <v>-2.0000000000000011E-2</v>
      </c>
      <c r="J271">
        <v>6</v>
      </c>
      <c r="L271" s="64">
        <v>-2.1000000000000012E-2</v>
      </c>
      <c r="M271" s="1">
        <f t="shared" si="1"/>
        <v>9.0865260473446305</v>
      </c>
    </row>
    <row r="272" spans="1:17" ht="15">
      <c r="A272" s="62">
        <v>206.86</v>
      </c>
      <c r="B272" s="62">
        <v>208.47</v>
      </c>
      <c r="C272" s="62">
        <v>205.03</v>
      </c>
      <c r="D272" s="62">
        <v>207.67</v>
      </c>
      <c r="E272" s="62">
        <v>42496635</v>
      </c>
      <c r="F272" s="62" t="s">
        <v>319</v>
      </c>
      <c r="G272" s="25">
        <f t="shared" si="2"/>
        <v>-3.9004189338853745E-3</v>
      </c>
      <c r="I272" s="64">
        <v>-1.900000000000001E-2</v>
      </c>
      <c r="J272">
        <v>10</v>
      </c>
      <c r="L272" s="64">
        <v>-2.0000000000000011E-2</v>
      </c>
      <c r="M272" s="1">
        <f t="shared" si="1"/>
        <v>9.9878352480095529</v>
      </c>
    </row>
    <row r="273" spans="1:13" ht="15">
      <c r="A273" s="62">
        <v>208.78</v>
      </c>
      <c r="B273" s="62">
        <v>209.48</v>
      </c>
      <c r="C273" s="62">
        <v>204.26</v>
      </c>
      <c r="D273" s="62">
        <v>207.91</v>
      </c>
      <c r="E273" s="62">
        <v>46140527</v>
      </c>
      <c r="F273" s="62" t="s">
        <v>320</v>
      </c>
      <c r="G273" s="25">
        <f t="shared" si="2"/>
        <v>4.1845029099130127E-3</v>
      </c>
      <c r="I273" s="64">
        <v>-1.8000000000000009E-2</v>
      </c>
      <c r="J273">
        <v>9</v>
      </c>
      <c r="L273" s="64">
        <v>-1.900000000000001E-2</v>
      </c>
      <c r="M273" s="1">
        <f t="shared" si="1"/>
        <v>10.930496012162424</v>
      </c>
    </row>
    <row r="274" spans="1:13" ht="15">
      <c r="A274" s="62">
        <v>211.26</v>
      </c>
      <c r="B274" s="62">
        <v>212.57</v>
      </c>
      <c r="C274" s="62">
        <v>209.77</v>
      </c>
      <c r="D274" s="62">
        <v>212.36</v>
      </c>
      <c r="E274" s="62">
        <v>54737850</v>
      </c>
      <c r="F274" s="62" t="s">
        <v>321</v>
      </c>
      <c r="G274" s="25">
        <f t="shared" si="2"/>
        <v>-5.1798832171784381E-3</v>
      </c>
      <c r="I274" s="64">
        <v>-1.7000000000000008E-2</v>
      </c>
      <c r="J274">
        <v>12</v>
      </c>
      <c r="L274" s="64">
        <v>-1.8000000000000009E-2</v>
      </c>
      <c r="M274" s="1">
        <f t="shared" si="1"/>
        <v>11.909770053254604</v>
      </c>
    </row>
    <row r="275" spans="1:13" ht="15">
      <c r="A275" s="62">
        <v>211.45</v>
      </c>
      <c r="B275" s="62">
        <v>212.96</v>
      </c>
      <c r="C275" s="62">
        <v>209.54</v>
      </c>
      <c r="D275" s="62">
        <v>210.95</v>
      </c>
      <c r="E275" s="62">
        <v>45029473</v>
      </c>
      <c r="F275" s="62" t="s">
        <v>322</v>
      </c>
      <c r="G275" s="25">
        <f t="shared" si="2"/>
        <v>2.3702299123014026E-3</v>
      </c>
      <c r="I275" s="64">
        <v>-1.6000000000000007E-2</v>
      </c>
      <c r="J275">
        <v>10</v>
      </c>
      <c r="L275" s="64">
        <v>-1.7000000000000008E-2</v>
      </c>
      <c r="M275" s="1">
        <f t="shared" si="1"/>
        <v>12.919981414600379</v>
      </c>
    </row>
    <row r="276" spans="1:13" ht="15">
      <c r="A276" s="62">
        <v>212.33</v>
      </c>
      <c r="B276" s="62">
        <v>213.94</v>
      </c>
      <c r="C276" s="62">
        <v>210.58009999999999</v>
      </c>
      <c r="D276" s="62">
        <v>212.43</v>
      </c>
      <c r="E276" s="62">
        <v>49325825</v>
      </c>
      <c r="F276" s="62" t="s">
        <v>323</v>
      </c>
      <c r="G276" s="25">
        <f t="shared" si="2"/>
        <v>-4.7074330367646855E-4</v>
      </c>
      <c r="I276" s="64">
        <v>-1.5000000000000006E-2</v>
      </c>
      <c r="J276">
        <v>11</v>
      </c>
      <c r="L276" s="64">
        <v>-1.6000000000000007E-2</v>
      </c>
      <c r="M276" s="1">
        <f t="shared" si="1"/>
        <v>13.954536228481965</v>
      </c>
    </row>
    <row r="277" spans="1:13" ht="15">
      <c r="A277" s="62">
        <v>212.93</v>
      </c>
      <c r="B277" s="62">
        <v>213.4</v>
      </c>
      <c r="C277" s="62">
        <v>209</v>
      </c>
      <c r="D277" s="62">
        <v>210.43</v>
      </c>
      <c r="E277" s="62">
        <v>51909332</v>
      </c>
      <c r="F277" s="62" t="s">
        <v>324</v>
      </c>
      <c r="G277" s="25">
        <f t="shared" si="2"/>
        <v>1.1880435299149283E-2</v>
      </c>
      <c r="I277" s="64">
        <v>-1.4000000000000005E-2</v>
      </c>
      <c r="J277">
        <v>24</v>
      </c>
      <c r="L277" s="64">
        <v>-1.5000000000000006E-2</v>
      </c>
      <c r="M277" s="1">
        <f t="shared" ref="M277:M308" si="3">_xlfn.NORM.DIST(L277,$K$236,$K$238,FALSE)</f>
        <v>15.005965106489322</v>
      </c>
    </row>
    <row r="278" spans="1:13" ht="15">
      <c r="A278" s="62">
        <v>210.79</v>
      </c>
      <c r="B278" s="62">
        <v>211.2679</v>
      </c>
      <c r="C278" s="62">
        <v>206.75</v>
      </c>
      <c r="D278" s="62">
        <v>210.97</v>
      </c>
      <c r="E278" s="62">
        <v>63775814</v>
      </c>
      <c r="F278" s="62" t="s">
        <v>325</v>
      </c>
      <c r="G278" s="25">
        <f t="shared" si="2"/>
        <v>-8.5320187704418515E-4</v>
      </c>
      <c r="I278" s="64">
        <v>-1.3000000000000005E-2</v>
      </c>
      <c r="J278">
        <v>22</v>
      </c>
      <c r="L278" s="64">
        <v>-1.4000000000000005E-2</v>
      </c>
      <c r="M278" s="1">
        <f t="shared" si="3"/>
        <v>16.06598891962917</v>
      </c>
    </row>
    <row r="279" spans="1:13" ht="15">
      <c r="A279" s="62">
        <v>198.27</v>
      </c>
      <c r="B279" s="62">
        <v>200.27726778320658</v>
      </c>
      <c r="C279" s="62">
        <v>197.27630307762053</v>
      </c>
      <c r="D279" s="62">
        <v>198.73938447589785</v>
      </c>
      <c r="E279" s="62">
        <v>36501726.601049073</v>
      </c>
      <c r="F279" s="62" t="s">
        <v>326</v>
      </c>
      <c r="G279" s="25">
        <f t="shared" si="2"/>
        <v>-2.3618090452260931E-3</v>
      </c>
      <c r="I279" s="64">
        <v>-1.2000000000000004E-2</v>
      </c>
      <c r="J279">
        <v>12</v>
      </c>
      <c r="L279" s="64">
        <v>-1.3000000000000005E-2</v>
      </c>
      <c r="M279" s="1">
        <f t="shared" si="3"/>
        <v>17.125608045871026</v>
      </c>
    </row>
    <row r="280" spans="1:13" ht="15">
      <c r="A280" s="62">
        <v>197.23136201077924</v>
      </c>
      <c r="B280" s="62">
        <v>199.78800936886117</v>
      </c>
      <c r="C280" s="62">
        <v>194.42464258298494</v>
      </c>
      <c r="D280" s="62">
        <v>197.46106079685691</v>
      </c>
      <c r="E280" s="62">
        <v>50545067.12140011</v>
      </c>
      <c r="F280" s="62" t="s">
        <v>327</v>
      </c>
      <c r="G280" s="25">
        <f t="shared" si="2"/>
        <v>-1.1632611774226032E-3</v>
      </c>
      <c r="I280" s="64">
        <v>-1.1000000000000003E-2</v>
      </c>
      <c r="J280">
        <v>14</v>
      </c>
      <c r="L280" s="64">
        <v>-1.2000000000000004E-2</v>
      </c>
      <c r="M280" s="1">
        <f t="shared" si="3"/>
        <v>18.175214424762409</v>
      </c>
    </row>
    <row r="281" spans="1:13" ht="15">
      <c r="A281" s="62">
        <v>195.99298594670833</v>
      </c>
      <c r="B281" s="62">
        <v>199.17880824056817</v>
      </c>
      <c r="C281" s="62">
        <v>192.9969148239561</v>
      </c>
      <c r="D281" s="62">
        <v>198.90916183952046</v>
      </c>
      <c r="E281" s="62">
        <v>68706923.355979219</v>
      </c>
      <c r="F281" s="62" t="s">
        <v>328</v>
      </c>
      <c r="G281" s="25">
        <f t="shared" si="2"/>
        <v>-1.4660842496359683E-2</v>
      </c>
      <c r="I281" s="64">
        <v>-1.0000000000000002E-2</v>
      </c>
      <c r="J281">
        <v>17</v>
      </c>
      <c r="L281" s="64">
        <v>-1.1000000000000003E-2</v>
      </c>
      <c r="M281" s="1">
        <f t="shared" si="3"/>
        <v>19.204724989153178</v>
      </c>
    </row>
    <row r="282" spans="1:13" ht="15">
      <c r="A282" s="62">
        <v>198.25002619251498</v>
      </c>
      <c r="B282" s="62">
        <v>200.38722359341159</v>
      </c>
      <c r="C282" s="62">
        <v>196.7619775348814</v>
      </c>
      <c r="D282" s="62">
        <v>197.95041908023978</v>
      </c>
      <c r="E282" s="62">
        <v>51283644.381197356</v>
      </c>
      <c r="F282" s="62" t="s">
        <v>329</v>
      </c>
      <c r="G282" s="25">
        <f t="shared" si="2"/>
        <v>1.513546238837371E-3</v>
      </c>
      <c r="I282" s="64">
        <v>-9.0000000000000011E-3</v>
      </c>
      <c r="J282">
        <v>25</v>
      </c>
      <c r="L282" s="64">
        <v>-1.0000000000000002E-2</v>
      </c>
      <c r="M282" s="1">
        <f t="shared" si="3"/>
        <v>20.203734271882581</v>
      </c>
    </row>
    <row r="283" spans="1:13" ht="15">
      <c r="A283" s="62">
        <v>198.62952853473027</v>
      </c>
      <c r="B283" s="62">
        <v>203.83270538457666</v>
      </c>
      <c r="C283" s="62">
        <v>197.95041908023978</v>
      </c>
      <c r="D283" s="62">
        <v>202.83401501032591</v>
      </c>
      <c r="E283" s="62">
        <v>69108958.872043163</v>
      </c>
      <c r="F283" s="62" t="s">
        <v>330</v>
      </c>
      <c r="G283" s="25">
        <f t="shared" si="2"/>
        <v>-2.0728705071393461E-2</v>
      </c>
      <c r="I283" s="64">
        <v>-8.0000000000000002E-3</v>
      </c>
      <c r="J283">
        <v>25</v>
      </c>
      <c r="L283" s="64">
        <v>-9.0000000000000011E-3</v>
      </c>
      <c r="M283" s="1">
        <f t="shared" si="3"/>
        <v>21.161683241616434</v>
      </c>
    </row>
    <row r="284" spans="1:13" ht="15">
      <c r="A284" s="62">
        <v>205.08106835239008</v>
      </c>
      <c r="B284" s="62">
        <v>206.7189205661613</v>
      </c>
      <c r="C284" s="62">
        <v>201.8952460585302</v>
      </c>
      <c r="D284" s="62">
        <v>205.82009922933563</v>
      </c>
      <c r="E284" s="62">
        <v>101143080.58269027</v>
      </c>
      <c r="F284" s="62" t="s">
        <v>331</v>
      </c>
      <c r="G284" s="25">
        <f t="shared" si="2"/>
        <v>-3.5906642728904536E-3</v>
      </c>
      <c r="I284" s="64">
        <v>-7.0000000000000001E-3</v>
      </c>
      <c r="J284">
        <v>26</v>
      </c>
      <c r="L284" s="64">
        <v>-8.0000000000000002E-3</v>
      </c>
      <c r="M284" s="1">
        <f t="shared" si="3"/>
        <v>22.068040738755904</v>
      </c>
    </row>
    <row r="285" spans="1:13" ht="15">
      <c r="A285" s="62">
        <v>213.0406306351685</v>
      </c>
      <c r="B285" s="62">
        <v>214.27900669923943</v>
      </c>
      <c r="C285" s="62">
        <v>208.62641918098024</v>
      </c>
      <c r="D285" s="62">
        <v>208.80618344834537</v>
      </c>
      <c r="E285" s="62">
        <v>57440901.083118975</v>
      </c>
      <c r="F285" s="62" t="s">
        <v>332</v>
      </c>
      <c r="G285" s="25">
        <f t="shared" si="2"/>
        <v>2.0279318920987111E-2</v>
      </c>
      <c r="I285" s="64">
        <v>-6.0000000000000001E-3</v>
      </c>
      <c r="J285">
        <v>37</v>
      </c>
      <c r="L285" s="64">
        <v>-7.0000000000000001E-3</v>
      </c>
      <c r="M285" s="1">
        <f t="shared" si="3"/>
        <v>22.912493290588852</v>
      </c>
    </row>
    <row r="286" spans="1:13" ht="15">
      <c r="A286" s="62">
        <v>212.22170452828288</v>
      </c>
      <c r="B286" s="62">
        <v>213.30029013247372</v>
      </c>
      <c r="C286" s="62">
        <v>206.39983899158818</v>
      </c>
      <c r="D286" s="62">
        <v>209.02589533068053</v>
      </c>
      <c r="E286" s="62">
        <v>52355019.481615975</v>
      </c>
      <c r="F286" s="62" t="s">
        <v>333</v>
      </c>
      <c r="G286" s="25">
        <f t="shared" si="2"/>
        <v>1.5289058767319563E-2</v>
      </c>
      <c r="I286" s="64">
        <v>-5.0000000000000001E-3</v>
      </c>
      <c r="J286">
        <v>38</v>
      </c>
      <c r="L286" s="64">
        <v>-6.0000000000000001E-3</v>
      </c>
      <c r="M286" s="1">
        <f t="shared" si="3"/>
        <v>23.685138613397637</v>
      </c>
    </row>
    <row r="287" spans="1:13" ht="15">
      <c r="A287" s="62">
        <v>210.93339394549943</v>
      </c>
      <c r="B287" s="62">
        <v>211.96204503097772</v>
      </c>
      <c r="C287" s="62">
        <v>208.09711328262733</v>
      </c>
      <c r="D287" s="62">
        <v>208.41969027351033</v>
      </c>
      <c r="E287" s="62">
        <v>36875926.663085692</v>
      </c>
      <c r="F287" s="62" t="s">
        <v>334</v>
      </c>
      <c r="G287" s="25">
        <f t="shared" si="2"/>
        <v>1.2060778272390493E-2</v>
      </c>
      <c r="I287" s="64">
        <v>-4.0000000000000001E-3</v>
      </c>
      <c r="J287">
        <v>36</v>
      </c>
      <c r="L287" s="64">
        <v>-5.0000000000000001E-3</v>
      </c>
      <c r="M287" s="1">
        <f t="shared" si="3"/>
        <v>24.376677782971225</v>
      </c>
    </row>
    <row r="288" spans="1:13" ht="15">
      <c r="A288" s="62">
        <v>209.86479524505111</v>
      </c>
      <c r="B288" s="62">
        <v>211.22301415403214</v>
      </c>
      <c r="C288" s="62">
        <v>207.18830504205917</v>
      </c>
      <c r="D288" s="62">
        <v>209.72497859265604</v>
      </c>
      <c r="E288" s="62">
        <v>38793879.463458918</v>
      </c>
      <c r="F288" s="62" t="s">
        <v>335</v>
      </c>
      <c r="G288" s="25">
        <f t="shared" si="2"/>
        <v>6.6666666666659324E-4</v>
      </c>
      <c r="I288" s="64">
        <v>-3.0000000000000001E-3</v>
      </c>
      <c r="J288">
        <v>42</v>
      </c>
      <c r="L288" s="64">
        <v>-4.0000000000000001E-3</v>
      </c>
      <c r="M288" s="1">
        <f t="shared" si="3"/>
        <v>24.978600893500314</v>
      </c>
    </row>
    <row r="289" spans="1:13" ht="15">
      <c r="A289" s="62">
        <v>209.0059215231955</v>
      </c>
      <c r="B289" s="62">
        <v>209.47530599909334</v>
      </c>
      <c r="C289" s="62">
        <v>205.92995517050321</v>
      </c>
      <c r="D289" s="62">
        <v>206.09473908225459</v>
      </c>
      <c r="E289" s="62">
        <v>38272380.494981587</v>
      </c>
      <c r="F289" s="62" t="s">
        <v>336</v>
      </c>
      <c r="G289" s="25">
        <f t="shared" si="2"/>
        <v>1.4125457320766532E-2</v>
      </c>
      <c r="I289" s="64">
        <v>-2E-3</v>
      </c>
      <c r="J289">
        <v>39</v>
      </c>
      <c r="L289" s="64">
        <v>-3.0000000000000001E-3</v>
      </c>
      <c r="M289" s="1">
        <f t="shared" si="3"/>
        <v>25.483361041278435</v>
      </c>
    </row>
    <row r="290" spans="1:13" ht="15">
      <c r="A290" s="62">
        <v>208.09711328262733</v>
      </c>
      <c r="B290" s="62">
        <v>208.55641098574526</v>
      </c>
      <c r="C290" s="62">
        <v>202.67422455044579</v>
      </c>
      <c r="D290" s="62">
        <v>204.62167078023472</v>
      </c>
      <c r="E290" s="62">
        <v>47373029.939829521</v>
      </c>
      <c r="F290" s="62" t="s">
        <v>337</v>
      </c>
      <c r="G290" s="25">
        <f t="shared" si="2"/>
        <v>1.6984723510176325E-2</v>
      </c>
      <c r="I290" s="64">
        <v>-1E-3</v>
      </c>
      <c r="J290">
        <v>43</v>
      </c>
      <c r="L290" s="64">
        <v>-2E-3</v>
      </c>
      <c r="M290" s="1">
        <f t="shared" si="3"/>
        <v>25.884531669715987</v>
      </c>
    </row>
    <row r="291" spans="1:13" ht="15">
      <c r="A291" s="62">
        <v>204.33205057170201</v>
      </c>
      <c r="B291" s="62">
        <v>207.72759784415456</v>
      </c>
      <c r="C291" s="62">
        <v>202.53340920767644</v>
      </c>
      <c r="D291" s="62">
        <v>205.73021709565307</v>
      </c>
      <c r="E291" s="62">
        <v>52998573.296262667</v>
      </c>
      <c r="F291" s="62" t="s">
        <v>338</v>
      </c>
      <c r="G291" s="25">
        <f t="shared" si="2"/>
        <v>-6.7961165048544547E-3</v>
      </c>
      <c r="I291" s="64">
        <v>0</v>
      </c>
      <c r="J291">
        <v>46</v>
      </c>
      <c r="L291" s="64">
        <v>-1E-3</v>
      </c>
      <c r="M291" s="1">
        <f t="shared" si="3"/>
        <v>26.176942693688009</v>
      </c>
    </row>
    <row r="292" spans="1:13" ht="15">
      <c r="A292" s="62">
        <v>199.47841535284343</v>
      </c>
      <c r="B292" s="62">
        <v>201.3259925452073</v>
      </c>
      <c r="C292" s="62">
        <v>195.71335264191811</v>
      </c>
      <c r="D292" s="62">
        <v>195.86315619805572</v>
      </c>
      <c r="E292" s="62">
        <v>53045841.199525893</v>
      </c>
      <c r="F292" s="62" t="s">
        <v>339</v>
      </c>
      <c r="G292" s="25">
        <f t="shared" si="2"/>
        <v>1.8458086885580371E-2</v>
      </c>
      <c r="I292" s="64">
        <v>1E-3</v>
      </c>
      <c r="J292">
        <v>52</v>
      </c>
      <c r="L292" s="64">
        <v>0</v>
      </c>
      <c r="M292" s="1">
        <f t="shared" si="3"/>
        <v>26.356791373895639</v>
      </c>
    </row>
    <row r="293" spans="1:13" ht="15">
      <c r="A293" s="62">
        <v>192.90703269027352</v>
      </c>
      <c r="B293" s="62">
        <v>193.54619452979401</v>
      </c>
      <c r="C293" s="62">
        <v>189.56261836498265</v>
      </c>
      <c r="D293" s="62">
        <v>193.01189517956985</v>
      </c>
      <c r="E293" s="62">
        <v>46803832.504211426</v>
      </c>
      <c r="F293" s="62" t="s">
        <v>340</v>
      </c>
      <c r="G293" s="25">
        <f t="shared" si="2"/>
        <v>-5.4329547512477205E-4</v>
      </c>
      <c r="I293" s="64">
        <v>2E-3</v>
      </c>
      <c r="J293">
        <v>43</v>
      </c>
      <c r="L293" s="64">
        <v>1E-3</v>
      </c>
      <c r="M293" s="1">
        <f t="shared" si="3"/>
        <v>26.421724617645573</v>
      </c>
    </row>
    <row r="294" spans="1:13" ht="15">
      <c r="A294" s="62">
        <v>196.72202991991136</v>
      </c>
      <c r="B294" s="62">
        <v>198.57310252858511</v>
      </c>
      <c r="C294" s="62">
        <v>194.16538256182946</v>
      </c>
      <c r="D294" s="62">
        <v>196.94174180224653</v>
      </c>
      <c r="E294" s="62">
        <v>52233080.787562415</v>
      </c>
      <c r="F294" s="62" t="s">
        <v>341</v>
      </c>
      <c r="G294" s="25">
        <f t="shared" si="2"/>
        <v>-1.1156186612576446E-3</v>
      </c>
      <c r="I294" s="64">
        <v>3.0000000000000001E-3</v>
      </c>
      <c r="J294">
        <v>37</v>
      </c>
      <c r="L294" s="64">
        <v>2E-3</v>
      </c>
      <c r="M294" s="1">
        <f t="shared" si="3"/>
        <v>26.370890216068627</v>
      </c>
    </row>
    <row r="295" spans="1:13" ht="15">
      <c r="A295" s="62">
        <v>194.01557900569185</v>
      </c>
      <c r="B295" s="62">
        <v>200.43715811212411</v>
      </c>
      <c r="C295" s="62">
        <v>192.11806729461543</v>
      </c>
      <c r="D295" s="62">
        <v>198.1002226363774</v>
      </c>
      <c r="E295" s="62">
        <v>59810752.701820746</v>
      </c>
      <c r="F295" s="62" t="s">
        <v>342</v>
      </c>
      <c r="G295" s="25">
        <f t="shared" si="2"/>
        <v>-2.0619076426699023E-2</v>
      </c>
      <c r="I295" s="64">
        <v>4.0000000000000001E-3</v>
      </c>
      <c r="J295">
        <v>47</v>
      </c>
      <c r="L295" s="64">
        <v>3.0000000000000001E-3</v>
      </c>
      <c r="M295" s="1">
        <f t="shared" si="3"/>
        <v>26.204955458129451</v>
      </c>
    </row>
    <row r="296" spans="1:13" ht="15">
      <c r="A296" s="62">
        <v>201.87527225104517</v>
      </c>
      <c r="B296" s="62">
        <v>203.24347806376869</v>
      </c>
      <c r="C296" s="62">
        <v>199.53833677529846</v>
      </c>
      <c r="D296" s="62">
        <v>201.59064549438372</v>
      </c>
      <c r="E296" s="62">
        <v>51411201.433197148</v>
      </c>
      <c r="F296" s="62" t="s">
        <v>343</v>
      </c>
      <c r="G296" s="25">
        <f t="shared" si="2"/>
        <v>1.4119045849743106E-3</v>
      </c>
      <c r="I296" s="64">
        <v>5.0000000000000001E-3</v>
      </c>
      <c r="J296">
        <v>30</v>
      </c>
      <c r="L296" s="64">
        <v>4.0000000000000001E-3</v>
      </c>
      <c r="M296" s="1">
        <f t="shared" si="3"/>
        <v>25.926092553060549</v>
      </c>
    </row>
    <row r="297" spans="1:13" ht="15">
      <c r="A297" s="62">
        <v>202.25477459326049</v>
      </c>
      <c r="B297" s="62">
        <v>212.66112829295321</v>
      </c>
      <c r="C297" s="62">
        <v>200.89865293406541</v>
      </c>
      <c r="D297" s="62">
        <v>211.16309273157711</v>
      </c>
      <c r="E297" s="62">
        <v>101485819.44232611</v>
      </c>
      <c r="F297" s="62" t="s">
        <v>344</v>
      </c>
      <c r="G297" s="25">
        <f t="shared" si="2"/>
        <v>-4.218690881573961E-2</v>
      </c>
      <c r="I297" s="64">
        <v>6.0000000000000001E-3</v>
      </c>
      <c r="J297">
        <v>34</v>
      </c>
      <c r="L297" s="64">
        <v>5.0000000000000001E-3</v>
      </c>
      <c r="M297" s="1">
        <f t="shared" si="3"/>
        <v>25.537931306416311</v>
      </c>
    </row>
    <row r="298" spans="1:13" ht="15">
      <c r="A298" s="62">
        <v>197.89049765778475</v>
      </c>
      <c r="B298" s="62">
        <v>199.27867727799327</v>
      </c>
      <c r="C298" s="62">
        <v>185.81633103309326</v>
      </c>
      <c r="D298" s="62">
        <v>185.85627864806327</v>
      </c>
      <c r="E298" s="62">
        <v>87550573.485398695</v>
      </c>
      <c r="F298" s="62" t="s">
        <v>345</v>
      </c>
      <c r="G298" s="25">
        <f t="shared" si="2"/>
        <v>6.4750134336378551E-2</v>
      </c>
      <c r="I298" s="64">
        <v>7.0000000000000001E-3</v>
      </c>
      <c r="J298">
        <v>21</v>
      </c>
      <c r="L298" s="64">
        <v>6.0000000000000001E-3</v>
      </c>
      <c r="M298" s="1">
        <f t="shared" si="3"/>
        <v>25.045480491049148</v>
      </c>
    </row>
    <row r="299" spans="1:13" ht="15">
      <c r="A299" s="62">
        <v>190.17062106482646</v>
      </c>
      <c r="B299" s="62">
        <v>194.52481122752229</v>
      </c>
      <c r="C299" s="62">
        <v>182.76033848788597</v>
      </c>
      <c r="D299" s="62">
        <v>188.81739560771672</v>
      </c>
      <c r="E299" s="62">
        <v>122039807.47430271</v>
      </c>
      <c r="F299" s="62" t="s">
        <v>346</v>
      </c>
      <c r="G299" s="25">
        <f t="shared" si="2"/>
        <v>7.1668473805304167E-3</v>
      </c>
      <c r="I299" s="64">
        <v>8.0000000000000002E-3</v>
      </c>
      <c r="J299">
        <v>43</v>
      </c>
      <c r="L299" s="64">
        <v>7.0000000000000001E-3</v>
      </c>
      <c r="M299" s="1">
        <f t="shared" si="3"/>
        <v>24.455020294061043</v>
      </c>
    </row>
    <row r="300" spans="1:13" ht="15">
      <c r="A300" s="62">
        <v>198.58958091976024</v>
      </c>
      <c r="B300" s="62">
        <v>200.34727597844156</v>
      </c>
      <c r="C300" s="62">
        <v>171.6648884299602</v>
      </c>
      <c r="D300" s="62">
        <v>171.72480985241526</v>
      </c>
      <c r="E300" s="62">
        <v>184637691.27477682</v>
      </c>
      <c r="F300" s="62" t="s">
        <v>347</v>
      </c>
      <c r="G300" s="25">
        <f t="shared" si="2"/>
        <v>0.15644082582145957</v>
      </c>
      <c r="I300" s="64">
        <v>9.0000000000000011E-3</v>
      </c>
      <c r="J300">
        <v>36</v>
      </c>
      <c r="L300" s="64">
        <v>8.0000000000000002E-3</v>
      </c>
      <c r="M300" s="1">
        <f t="shared" si="3"/>
        <v>23.773969067966576</v>
      </c>
    </row>
    <row r="301" spans="1:13" ht="15">
      <c r="A301" s="62">
        <v>172.1941943283131</v>
      </c>
      <c r="B301" s="62">
        <v>190.08573238301517</v>
      </c>
      <c r="C301" s="62">
        <v>168.98849809600566</v>
      </c>
      <c r="D301" s="62">
        <v>186.45549287261372</v>
      </c>
      <c r="E301" s="62">
        <v>121017979.26176426</v>
      </c>
      <c r="F301" s="62" t="s">
        <v>348</v>
      </c>
      <c r="G301" s="25">
        <f t="shared" si="2"/>
        <v>-7.6486341724692042E-2</v>
      </c>
      <c r="I301" s="64">
        <v>1.0000000000000002E-2</v>
      </c>
      <c r="J301">
        <v>28</v>
      </c>
      <c r="L301" s="64">
        <v>9.0000000000000011E-3</v>
      </c>
      <c r="M301" s="1">
        <f t="shared" si="3"/>
        <v>23.010728337099714</v>
      </c>
    </row>
    <row r="302" spans="1:13" ht="15">
      <c r="A302" s="62">
        <v>181.22235531153984</v>
      </c>
      <c r="B302" s="62">
        <v>193.89573616078175</v>
      </c>
      <c r="C302" s="62">
        <v>174.39131315166475</v>
      </c>
      <c r="D302" s="62">
        <v>176.96793431723165</v>
      </c>
      <c r="E302" s="62">
        <v>160676712.35981238</v>
      </c>
      <c r="F302" s="62" t="s">
        <v>349</v>
      </c>
      <c r="G302" s="25">
        <f t="shared" si="2"/>
        <v>2.404063205417617E-2</v>
      </c>
      <c r="I302" s="64">
        <v>1.1000000000000003E-2</v>
      </c>
      <c r="J302">
        <v>26</v>
      </c>
      <c r="L302" s="64">
        <v>1.0000000000000002E-2</v>
      </c>
      <c r="M302" s="1">
        <f t="shared" si="3"/>
        <v>22.174510582735074</v>
      </c>
    </row>
    <row r="303" spans="1:13" ht="15">
      <c r="A303" s="62">
        <v>188.13329270135497</v>
      </c>
      <c r="B303" s="62">
        <v>199.61823200523853</v>
      </c>
      <c r="C303" s="62">
        <v>187.0946547121342</v>
      </c>
      <c r="D303" s="62">
        <v>193.63607666347656</v>
      </c>
      <c r="E303" s="62">
        <v>126076025.40923992</v>
      </c>
      <c r="F303" s="62" t="s">
        <v>350</v>
      </c>
      <c r="G303" s="25">
        <f t="shared" si="2"/>
        <v>-2.8418175254009914E-2</v>
      </c>
      <c r="I303" s="64">
        <v>1.2000000000000004E-2</v>
      </c>
      <c r="J303">
        <v>33</v>
      </c>
      <c r="L303" s="64">
        <v>1.1000000000000003E-2</v>
      </c>
      <c r="M303" s="1">
        <f t="shared" si="3"/>
        <v>21.275154733484552</v>
      </c>
    </row>
    <row r="304" spans="1:13" ht="15">
      <c r="A304" s="62">
        <v>202.92389714400846</v>
      </c>
      <c r="B304" s="62">
        <v>207.21826575328669</v>
      </c>
      <c r="C304" s="62">
        <v>200.98643781796204</v>
      </c>
      <c r="D304" s="62">
        <v>205.27081952349772</v>
      </c>
      <c r="E304" s="62">
        <v>103554623.80178544</v>
      </c>
      <c r="F304" s="62" t="s">
        <v>351</v>
      </c>
      <c r="G304" s="25">
        <f t="shared" si="2"/>
        <v>-1.1433297654957708E-2</v>
      </c>
      <c r="I304" s="64">
        <v>1.3000000000000005E-2</v>
      </c>
      <c r="J304">
        <v>25</v>
      </c>
      <c r="L304" s="64">
        <v>1.2000000000000004E-2</v>
      </c>
      <c r="M304" s="1">
        <f t="shared" si="3"/>
        <v>20.322934510013958</v>
      </c>
    </row>
    <row r="305" spans="1:13" ht="15">
      <c r="A305" s="62">
        <v>223.59678789099885</v>
      </c>
      <c r="B305" s="62">
        <v>224.89508537752482</v>
      </c>
      <c r="C305" s="62">
        <v>220.73054651689924</v>
      </c>
      <c r="D305" s="62">
        <v>221.02516017730318</v>
      </c>
      <c r="E305" s="62">
        <v>35952988.960104905</v>
      </c>
      <c r="F305" s="62" t="s">
        <v>352</v>
      </c>
      <c r="G305" s="25">
        <f t="shared" si="2"/>
        <v>1.1634999887038866E-2</v>
      </c>
      <c r="I305" s="64">
        <v>1.4000000000000005E-2</v>
      </c>
      <c r="J305">
        <v>22</v>
      </c>
      <c r="L305" s="64">
        <v>1.3000000000000005E-2</v>
      </c>
      <c r="M305" s="1">
        <f t="shared" si="3"/>
        <v>19.328364811806303</v>
      </c>
    </row>
    <row r="306" spans="1:13" ht="15">
      <c r="A306" s="62">
        <v>222.89770462902334</v>
      </c>
      <c r="B306" s="62">
        <v>223.38706291240621</v>
      </c>
      <c r="C306" s="62">
        <v>218.61332292348766</v>
      </c>
      <c r="D306" s="62">
        <v>219.51713771218459</v>
      </c>
      <c r="E306" s="62">
        <v>36460489.596005447</v>
      </c>
      <c r="F306" s="62" t="s">
        <v>353</v>
      </c>
      <c r="G306" s="25">
        <f t="shared" si="2"/>
        <v>1.5400013648461108E-2</v>
      </c>
      <c r="I306" s="64">
        <v>1.5000000000000006E-2</v>
      </c>
      <c r="J306">
        <v>20</v>
      </c>
      <c r="L306" s="64">
        <v>1.4000000000000005E-2</v>
      </c>
      <c r="M306" s="1">
        <f t="shared" si="3"/>
        <v>18.30201119335857</v>
      </c>
    </row>
    <row r="307" spans="1:13" ht="15">
      <c r="A307" s="62">
        <v>221.83909283231753</v>
      </c>
      <c r="B307" s="62">
        <v>225.32452223845266</v>
      </c>
      <c r="C307" s="62">
        <v>215.94681962423815</v>
      </c>
      <c r="D307" s="62">
        <v>216.7208046642825</v>
      </c>
      <c r="E307" s="62">
        <v>65384950.815201491</v>
      </c>
      <c r="F307" s="62" t="s">
        <v>354</v>
      </c>
      <c r="G307" s="25">
        <f t="shared" si="2"/>
        <v>2.361696735098251E-2</v>
      </c>
      <c r="I307" s="64">
        <v>1.6000000000000007E-2</v>
      </c>
      <c r="J307">
        <v>18</v>
      </c>
      <c r="L307" s="64">
        <v>1.5000000000000006E-2</v>
      </c>
      <c r="M307" s="1">
        <f t="shared" si="3"/>
        <v>17.254307170094638</v>
      </c>
    </row>
    <row r="308" spans="1:13" ht="15">
      <c r="A308" s="62">
        <v>217.61463254923692</v>
      </c>
      <c r="B308" s="62">
        <v>223.51689266105879</v>
      </c>
      <c r="C308" s="62">
        <v>217.39492066690175</v>
      </c>
      <c r="D308" s="62">
        <v>221.37969526016221</v>
      </c>
      <c r="E308" s="62">
        <v>39870832.869370051</v>
      </c>
      <c r="F308" s="62" t="s">
        <v>355</v>
      </c>
      <c r="G308" s="25">
        <f t="shared" si="2"/>
        <v>-1.7007263048675947E-2</v>
      </c>
      <c r="I308" s="64">
        <v>1.7000000000000008E-2</v>
      </c>
      <c r="J308">
        <v>20</v>
      </c>
      <c r="L308" s="64">
        <v>1.6000000000000007E-2</v>
      </c>
      <c r="M308" s="1">
        <f t="shared" si="3"/>
        <v>16.19538363928184</v>
      </c>
    </row>
    <row r="309" spans="1:13" ht="15">
      <c r="A309" s="62">
        <v>223.55684027602882</v>
      </c>
      <c r="B309" s="62">
        <v>224.69534730267469</v>
      </c>
      <c r="C309" s="62">
        <v>220.27124881378131</v>
      </c>
      <c r="D309" s="62">
        <v>221.10006195537198</v>
      </c>
      <c r="E309" s="62">
        <v>37143417.97659757</v>
      </c>
      <c r="F309" s="62" t="s">
        <v>356</v>
      </c>
      <c r="G309" s="25">
        <f t="shared" si="2"/>
        <v>1.111161299065011E-2</v>
      </c>
      <c r="I309" s="64">
        <v>1.8000000000000009E-2</v>
      </c>
      <c r="J309">
        <v>17</v>
      </c>
      <c r="L309" s="64">
        <v>1.7000000000000008E-2</v>
      </c>
      <c r="M309" s="1">
        <f t="shared" ref="M309:M339" si="4">_xlfn.NORM.DIST(L309,$K$236,$K$238,FALSE)</f>
        <v>15.134914122677323</v>
      </c>
    </row>
    <row r="310" spans="1:13" ht="15">
      <c r="A310" s="62">
        <v>221.23987860776711</v>
      </c>
      <c r="B310" s="62">
        <v>224.72530801390221</v>
      </c>
      <c r="C310" s="62">
        <v>220.18126681106131</v>
      </c>
      <c r="D310" s="62">
        <v>223.21728554878356</v>
      </c>
      <c r="E310" s="62">
        <v>34577940.160790838</v>
      </c>
      <c r="F310" s="62" t="s">
        <v>357</v>
      </c>
      <c r="G310" s="25">
        <f t="shared" si="2"/>
        <v>-8.8586640418772955E-3</v>
      </c>
      <c r="I310" s="64">
        <v>1.900000000000001E-2</v>
      </c>
      <c r="J310">
        <v>13</v>
      </c>
      <c r="L310" s="64">
        <v>1.8000000000000009E-2</v>
      </c>
      <c r="M310" s="1">
        <f t="shared" si="4"/>
        <v>14.081978863887954</v>
      </c>
    </row>
    <row r="311" spans="1:13" ht="15">
      <c r="A311" s="62">
        <v>223.45697123860376</v>
      </c>
      <c r="B311" s="62">
        <v>223.8065128695915</v>
      </c>
      <c r="C311" s="62">
        <v>219.79177756510353</v>
      </c>
      <c r="D311" s="62">
        <v>220.48087392333656</v>
      </c>
      <c r="E311" s="62">
        <v>34538815.92268119</v>
      </c>
      <c r="F311" s="62" t="s">
        <v>358</v>
      </c>
      <c r="G311" s="25">
        <f t="shared" si="2"/>
        <v>1.3498210807627808E-2</v>
      </c>
      <c r="I311" s="64">
        <v>2.0000000000000011E-2</v>
      </c>
      <c r="J311">
        <v>15</v>
      </c>
      <c r="L311" s="64">
        <v>1.900000000000001E-2</v>
      </c>
      <c r="M311" s="1">
        <f t="shared" si="4"/>
        <v>13.044950075419578</v>
      </c>
    </row>
    <row r="312" spans="1:13" ht="15">
      <c r="A312" s="62">
        <v>220.4409263083665</v>
      </c>
      <c r="B312" s="62">
        <v>221.18994408905456</v>
      </c>
      <c r="C312" s="62">
        <v>218.29374200372743</v>
      </c>
      <c r="D312" s="62">
        <v>220.71057270941421</v>
      </c>
      <c r="E312" s="62">
        <v>44357574.822161697</v>
      </c>
      <c r="F312" s="62" t="s">
        <v>359</v>
      </c>
      <c r="G312" s="25">
        <f t="shared" si="2"/>
        <v>-1.2217194570136591E-3</v>
      </c>
      <c r="I312" s="64">
        <v>2.1000000000000012E-2</v>
      </c>
      <c r="J312">
        <v>9</v>
      </c>
      <c r="L312" s="64">
        <v>2.0000000000000011E-2</v>
      </c>
      <c r="M312" s="1">
        <f t="shared" si="4"/>
        <v>12.031399859987447</v>
      </c>
    </row>
    <row r="313" spans="1:13" ht="15">
      <c r="A313" s="62">
        <v>217.98414798770969</v>
      </c>
      <c r="B313" s="62">
        <v>218.5534015010326</v>
      </c>
      <c r="C313" s="62">
        <v>211.00330227169698</v>
      </c>
      <c r="D313" s="62">
        <v>211.2829355764872</v>
      </c>
      <c r="E313" s="62">
        <v>94251201.800776705</v>
      </c>
      <c r="F313" s="62" t="s">
        <v>360</v>
      </c>
      <c r="G313" s="25">
        <f t="shared" si="2"/>
        <v>3.1716770656078586E-2</v>
      </c>
      <c r="I313" s="64">
        <v>2.2000000000000013E-2</v>
      </c>
      <c r="J313">
        <v>10</v>
      </c>
      <c r="L313" s="64">
        <v>2.1000000000000012E-2</v>
      </c>
      <c r="M313" s="1">
        <f t="shared" si="4"/>
        <v>11.048031559145853</v>
      </c>
    </row>
    <row r="314" spans="1:13" ht="15">
      <c r="A314" s="62">
        <v>213.81960912708408</v>
      </c>
      <c r="B314" s="62">
        <v>217.20506962675668</v>
      </c>
      <c r="C314" s="62">
        <v>211.94207122349269</v>
      </c>
      <c r="D314" s="62">
        <v>213.7097531859165</v>
      </c>
      <c r="E314" s="62">
        <v>48927023.089272201</v>
      </c>
      <c r="F314" s="62" t="s">
        <v>361</v>
      </c>
      <c r="G314" s="25">
        <f t="shared" si="2"/>
        <v>5.1404271227628584E-4</v>
      </c>
      <c r="I314" s="64">
        <v>2.3000000000000013E-2</v>
      </c>
      <c r="J314">
        <v>7</v>
      </c>
      <c r="L314" s="64">
        <v>2.2000000000000013E-2</v>
      </c>
      <c r="M314" s="1">
        <f t="shared" si="4"/>
        <v>10.100634538963968</v>
      </c>
    </row>
    <row r="315" spans="1:13" ht="15">
      <c r="A315" s="62">
        <v>214.95811615372995</v>
      </c>
      <c r="B315" s="62">
        <v>218.47350627109253</v>
      </c>
      <c r="C315" s="62">
        <v>213.47006749609633</v>
      </c>
      <c r="D315" s="62">
        <v>213.93945197199417</v>
      </c>
      <c r="E315" s="62">
        <v>54456708.908205979</v>
      </c>
      <c r="F315" s="62" t="s">
        <v>362</v>
      </c>
      <c r="G315" s="25">
        <f t="shared" si="2"/>
        <v>4.7614601811223345E-3</v>
      </c>
      <c r="I315" s="64">
        <v>2.4000000000000014E-2</v>
      </c>
      <c r="J315">
        <v>3</v>
      </c>
      <c r="L315" s="64">
        <v>2.3000000000000013E-2</v>
      </c>
      <c r="M315" s="1">
        <f t="shared" si="4"/>
        <v>9.1940617334039061</v>
      </c>
    </row>
    <row r="316" spans="1:13" ht="15">
      <c r="A316" s="62">
        <v>212.41145569939053</v>
      </c>
      <c r="B316" s="62">
        <v>214.86823402004737</v>
      </c>
      <c r="C316" s="62">
        <v>211.21302725028966</v>
      </c>
      <c r="D316" s="62">
        <v>213.87953054953911</v>
      </c>
      <c r="E316" s="62">
        <v>42488069.469813891</v>
      </c>
      <c r="F316" s="62" t="s">
        <v>363</v>
      </c>
      <c r="G316" s="25">
        <f t="shared" ref="G316:G379" si="5">A316/D316-1</f>
        <v>-6.8640268957788075E-3</v>
      </c>
      <c r="I316" s="64">
        <v>2.5000000000000015E-2</v>
      </c>
      <c r="J316">
        <v>9</v>
      </c>
      <c r="L316" s="64">
        <v>2.4000000000000014E-2</v>
      </c>
      <c r="M316" s="1">
        <f t="shared" si="4"/>
        <v>8.3322286531360543</v>
      </c>
    </row>
    <row r="317" spans="1:13" ht="15">
      <c r="A317" s="62">
        <v>213.71974008965901</v>
      </c>
      <c r="B317" s="62">
        <v>214.93814234624492</v>
      </c>
      <c r="C317" s="62">
        <v>209.69501788142853</v>
      </c>
      <c r="D317" s="62">
        <v>213.03064373142601</v>
      </c>
      <c r="E317" s="62">
        <v>48136466.756342359</v>
      </c>
      <c r="F317" s="62" t="s">
        <v>364</v>
      </c>
      <c r="G317" s="25">
        <f t="shared" si="5"/>
        <v>3.2347287984622053E-3</v>
      </c>
      <c r="I317" s="64">
        <v>2.6000000000000016E-2</v>
      </c>
      <c r="J317">
        <v>2</v>
      </c>
      <c r="L317" s="64">
        <v>2.5000000000000015E-2</v>
      </c>
      <c r="M317" s="1">
        <f t="shared" si="4"/>
        <v>7.5181320477658709</v>
      </c>
    </row>
    <row r="318" spans="1:13" ht="15">
      <c r="A318" s="62">
        <v>213.21040799879114</v>
      </c>
      <c r="B318" s="62">
        <v>213.66980557094647</v>
      </c>
      <c r="C318" s="62">
        <v>209.30552863547075</v>
      </c>
      <c r="D318" s="62">
        <v>210.97334156046946</v>
      </c>
      <c r="E318" s="62">
        <v>60186403.663993537</v>
      </c>
      <c r="F318" s="62" t="s">
        <v>365</v>
      </c>
      <c r="G318" s="25">
        <f t="shared" si="5"/>
        <v>1.0603550295858133E-2</v>
      </c>
      <c r="I318" s="64">
        <v>2.7000000000000017E-2</v>
      </c>
      <c r="J318">
        <v>6</v>
      </c>
      <c r="L318" s="64">
        <v>2.6000000000000016E-2</v>
      </c>
      <c r="M318" s="1">
        <f t="shared" si="4"/>
        <v>6.7538859945831335</v>
      </c>
    </row>
    <row r="319" spans="1:13" ht="15">
      <c r="A319" s="62">
        <v>209.40539767289582</v>
      </c>
      <c r="B319" s="62">
        <v>216.55542153830658</v>
      </c>
      <c r="C319" s="62">
        <v>208.14704780133985</v>
      </c>
      <c r="D319" s="62">
        <v>215.66718631944795</v>
      </c>
      <c r="E319" s="62">
        <v>61448804.937206835</v>
      </c>
      <c r="F319" s="62" t="s">
        <v>366</v>
      </c>
      <c r="G319" s="25">
        <f t="shared" si="5"/>
        <v>-2.9034498726556945E-2</v>
      </c>
      <c r="I319" s="64">
        <v>2.8000000000000018E-2</v>
      </c>
      <c r="J319">
        <v>9</v>
      </c>
      <c r="L319" s="64">
        <v>2.7000000000000017E-2</v>
      </c>
      <c r="M319" s="1">
        <f t="shared" si="4"/>
        <v>6.0407728833443857</v>
      </c>
    </row>
    <row r="320" spans="1:13" ht="15">
      <c r="A320" s="62">
        <v>216.69583740492621</v>
      </c>
      <c r="B320" s="62">
        <v>221.45959049010227</v>
      </c>
      <c r="C320" s="62">
        <v>214.62854833022718</v>
      </c>
      <c r="D320" s="62">
        <v>219.85169898755856</v>
      </c>
      <c r="E320" s="62">
        <v>62629488.190396927</v>
      </c>
      <c r="F320" s="62" t="s">
        <v>367</v>
      </c>
      <c r="G320" s="25">
        <f t="shared" si="5"/>
        <v>-1.4354501680748699E-2</v>
      </c>
      <c r="I320" s="64">
        <v>2.9000000000000019E-2</v>
      </c>
      <c r="J320">
        <v>2</v>
      </c>
      <c r="L320" s="64">
        <v>2.8000000000000018E-2</v>
      </c>
      <c r="M320" s="1">
        <f t="shared" si="4"/>
        <v>5.3793065754362068</v>
      </c>
    </row>
    <row r="321" spans="1:13" ht="15">
      <c r="A321" s="62">
        <v>220.55078224953408</v>
      </c>
      <c r="B321" s="62">
        <v>225.54413425175039</v>
      </c>
      <c r="C321" s="62">
        <v>217.16522188082405</v>
      </c>
      <c r="D321" s="62">
        <v>223.51189920918756</v>
      </c>
      <c r="E321" s="62">
        <v>76237252.26862359</v>
      </c>
      <c r="F321" s="62" t="s">
        <v>368</v>
      </c>
      <c r="G321" s="25">
        <f t="shared" si="5"/>
        <v>-1.3248140121981278E-2</v>
      </c>
      <c r="I321" s="64">
        <v>3.000000000000002E-2</v>
      </c>
      <c r="J321">
        <v>3</v>
      </c>
      <c r="L321" s="64">
        <v>2.9000000000000019E-2</v>
      </c>
      <c r="M321" s="1">
        <f t="shared" si="4"/>
        <v>4.769304933441922</v>
      </c>
    </row>
    <row r="322" spans="1:13" ht="15">
      <c r="A322" s="62">
        <v>227.18208633455902</v>
      </c>
      <c r="B322" s="62">
        <v>235.85071878305547</v>
      </c>
      <c r="C322" s="62">
        <v>223.9263557145016</v>
      </c>
      <c r="D322" s="62">
        <v>235.23153075102002</v>
      </c>
      <c r="E322" s="62">
        <v>72165707.068189844</v>
      </c>
      <c r="F322" s="62" t="s">
        <v>369</v>
      </c>
      <c r="G322" s="25">
        <f t="shared" si="5"/>
        <v>-3.4219240893266556E-2</v>
      </c>
      <c r="I322" s="64">
        <v>3.1000000000000021E-2</v>
      </c>
      <c r="J322">
        <v>4</v>
      </c>
      <c r="L322" s="64">
        <v>3.000000000000002E-2</v>
      </c>
      <c r="M322" s="1">
        <f t="shared" si="4"/>
        <v>4.2099689358971712</v>
      </c>
    </row>
    <row r="323" spans="1:13" ht="15">
      <c r="A323" s="62">
        <v>238.75690777212512</v>
      </c>
      <c r="B323" s="62">
        <v>241.05389563290186</v>
      </c>
      <c r="C323" s="62">
        <v>234.45255225910444</v>
      </c>
      <c r="D323" s="62">
        <v>234.79710043822092</v>
      </c>
      <c r="E323" s="62">
        <v>46334245.521006703</v>
      </c>
      <c r="F323" s="62" t="s">
        <v>370</v>
      </c>
      <c r="G323" s="25">
        <f t="shared" si="5"/>
        <v>1.6864805087088763E-2</v>
      </c>
      <c r="I323" s="64">
        <v>3.2000000000000021E-2</v>
      </c>
      <c r="J323">
        <v>2</v>
      </c>
      <c r="L323" s="64">
        <v>3.1000000000000021E-2</v>
      </c>
      <c r="M323" s="1">
        <f t="shared" si="4"/>
        <v>3.6999657007306848</v>
      </c>
    </row>
    <row r="324" spans="1:13" ht="15">
      <c r="A324" s="62">
        <v>235.02180577242737</v>
      </c>
      <c r="B324" s="62">
        <v>237.54849241928176</v>
      </c>
      <c r="C324" s="62">
        <v>232.85275014859215</v>
      </c>
      <c r="D324" s="62">
        <v>234.12797788747295</v>
      </c>
      <c r="E324" s="62">
        <v>45229652.918091491</v>
      </c>
      <c r="F324" s="62" t="s">
        <v>371</v>
      </c>
      <c r="G324" s="25">
        <f t="shared" si="5"/>
        <v>3.8176893381960397E-3</v>
      </c>
      <c r="I324" s="64">
        <v>3.3000000000000022E-2</v>
      </c>
      <c r="J324">
        <v>3</v>
      </c>
      <c r="L324" s="64">
        <v>3.2000000000000021E-2</v>
      </c>
      <c r="M324" s="1">
        <f t="shared" si="4"/>
        <v>3.2375129258731361</v>
      </c>
    </row>
    <row r="325" spans="1:13" ht="15">
      <c r="A325" s="62">
        <v>235.43126882587018</v>
      </c>
      <c r="B325" s="62">
        <v>236.24020802901327</v>
      </c>
      <c r="C325" s="62">
        <v>228.92979448949782</v>
      </c>
      <c r="D325" s="62">
        <v>235.11168790610992</v>
      </c>
      <c r="E325" s="62">
        <v>47289574.644626014</v>
      </c>
      <c r="F325" s="62" t="s">
        <v>372</v>
      </c>
      <c r="G325" s="25">
        <f t="shared" si="5"/>
        <v>1.3592727890578971E-3</v>
      </c>
      <c r="I325" s="64">
        <v>3.4000000000000023E-2</v>
      </c>
      <c r="J325">
        <v>2</v>
      </c>
      <c r="L325" s="64">
        <v>3.3000000000000022E-2</v>
      </c>
      <c r="M325" s="1">
        <f t="shared" si="4"/>
        <v>2.820462501462798</v>
      </c>
    </row>
    <row r="326" spans="1:13" ht="15">
      <c r="A326" s="62">
        <v>235.62101999697782</v>
      </c>
      <c r="B326" s="62">
        <v>239.75559814637586</v>
      </c>
      <c r="C326" s="62">
        <v>234.37265702916437</v>
      </c>
      <c r="D326" s="62">
        <v>237.39369541127289</v>
      </c>
      <c r="E326" s="62">
        <v>53868609.718363844</v>
      </c>
      <c r="F326" s="62" t="s">
        <v>373</v>
      </c>
      <c r="G326" s="25">
        <f t="shared" si="5"/>
        <v>-7.4672388044003668E-3</v>
      </c>
      <c r="I326" s="64">
        <v>3.5000000000000024E-2</v>
      </c>
      <c r="J326">
        <v>1</v>
      </c>
      <c r="L326" s="64">
        <v>3.4000000000000023E-2</v>
      </c>
      <c r="M326" s="1">
        <f t="shared" si="4"/>
        <v>2.446381338895617</v>
      </c>
    </row>
    <row r="327" spans="1:13" ht="15">
      <c r="A327" s="62">
        <v>237.71826978290437</v>
      </c>
      <c r="B327" s="62">
        <v>243.70761569536091</v>
      </c>
      <c r="C327" s="62">
        <v>235.80278164509144</v>
      </c>
      <c r="D327" s="62">
        <v>241.47334559008715</v>
      </c>
      <c r="E327" s="62">
        <v>47245859.394008167</v>
      </c>
      <c r="F327" s="62" t="s">
        <v>374</v>
      </c>
      <c r="G327" s="25">
        <f t="shared" si="5"/>
        <v>-1.5550684478266241E-2</v>
      </c>
      <c r="I327" s="64">
        <v>3.6000000000000025E-2</v>
      </c>
      <c r="J327">
        <v>1</v>
      </c>
      <c r="L327" s="64">
        <v>3.5000000000000024E-2</v>
      </c>
      <c r="M327" s="1">
        <f t="shared" si="4"/>
        <v>2.1126277816170442</v>
      </c>
    </row>
    <row r="328" spans="1:13" ht="15">
      <c r="A328" s="62">
        <v>241.5232801087997</v>
      </c>
      <c r="B328" s="62">
        <v>241.77295270236237</v>
      </c>
      <c r="C328" s="62">
        <v>229.89852415252102</v>
      </c>
      <c r="D328" s="62">
        <v>236.63968417871354</v>
      </c>
      <c r="E328" s="62">
        <v>56907888.035507135</v>
      </c>
      <c r="F328" s="62" t="s">
        <v>375</v>
      </c>
      <c r="G328" s="25">
        <f t="shared" si="5"/>
        <v>2.0637265245832648E-2</v>
      </c>
      <c r="I328" s="64">
        <v>3.7000000000000026E-2</v>
      </c>
      <c r="J328">
        <v>1</v>
      </c>
      <c r="L328" s="64">
        <v>3.6000000000000025E-2</v>
      </c>
      <c r="M328" s="1">
        <f t="shared" si="4"/>
        <v>1.8164222957492187</v>
      </c>
    </row>
    <row r="329" spans="1:13" ht="15">
      <c r="A329" s="62">
        <v>236.98922580970134</v>
      </c>
      <c r="B329" s="62">
        <v>242.14246814083515</v>
      </c>
      <c r="C329" s="62">
        <v>236.74954011988115</v>
      </c>
      <c r="D329" s="62">
        <v>239.09646249937038</v>
      </c>
      <c r="E329" s="62">
        <v>41207605.541282088</v>
      </c>
      <c r="F329" s="62" t="s">
        <v>376</v>
      </c>
      <c r="G329" s="25">
        <f t="shared" si="5"/>
        <v>-8.8133327764085001E-3</v>
      </c>
      <c r="I329" s="64">
        <v>3.8000000000000027E-2</v>
      </c>
      <c r="J329">
        <v>1</v>
      </c>
      <c r="L329" s="64">
        <v>3.7000000000000026E-2</v>
      </c>
      <c r="M329" s="1">
        <f t="shared" si="4"/>
        <v>1.5549114714587478</v>
      </c>
    </row>
    <row r="330" spans="1:13" ht="15">
      <c r="A330" s="62">
        <v>240.0452183549086</v>
      </c>
      <c r="B330" s="62">
        <v>244.65916788394702</v>
      </c>
      <c r="C330" s="62">
        <v>238.81682919458018</v>
      </c>
      <c r="D330" s="62">
        <v>244.01001914068405</v>
      </c>
      <c r="E330" s="62">
        <v>44491831.648358293</v>
      </c>
      <c r="F330" s="62" t="s">
        <v>377</v>
      </c>
      <c r="G330" s="25">
        <f t="shared" si="5"/>
        <v>-1.6248516350837017E-2</v>
      </c>
      <c r="I330" s="64">
        <v>3.9000000000000028E-2</v>
      </c>
      <c r="J330">
        <v>2</v>
      </c>
      <c r="L330" s="64">
        <v>3.8000000000000027E-2</v>
      </c>
      <c r="M330" s="1">
        <f t="shared" si="4"/>
        <v>1.3252246862690868</v>
      </c>
    </row>
    <row r="331" spans="1:13" ht="15">
      <c r="A331" s="62">
        <v>246.71647005490354</v>
      </c>
      <c r="B331" s="62">
        <v>249.67259356268576</v>
      </c>
      <c r="C331" s="62">
        <v>244.58925955774947</v>
      </c>
      <c r="D331" s="62">
        <v>247.67521281418428</v>
      </c>
      <c r="E331" s="62">
        <v>48076233.873808436</v>
      </c>
      <c r="F331" s="62" t="s">
        <v>378</v>
      </c>
      <c r="G331" s="25">
        <f t="shared" si="5"/>
        <v>-3.870967741935627E-3</v>
      </c>
      <c r="I331" s="64">
        <v>4.0000000000000029E-2</v>
      </c>
      <c r="J331">
        <v>3</v>
      </c>
      <c r="L331" s="64">
        <v>3.9000000000000028E-2</v>
      </c>
      <c r="M331" s="1">
        <f t="shared" si="4"/>
        <v>1.1245230792908296</v>
      </c>
    </row>
    <row r="332" spans="1:13" ht="15">
      <c r="A332" s="62">
        <v>246.7763914773586</v>
      </c>
      <c r="B332" s="62">
        <v>248.53408653603992</v>
      </c>
      <c r="C332" s="62">
        <v>244.0999012743666</v>
      </c>
      <c r="D332" s="62">
        <v>244.60423991336324</v>
      </c>
      <c r="E332" s="62">
        <v>51393702.516164824</v>
      </c>
      <c r="F332" s="62" t="s">
        <v>379</v>
      </c>
      <c r="G332" s="25">
        <f t="shared" si="5"/>
        <v>8.880269470245894E-3</v>
      </c>
      <c r="I332" s="64">
        <v>4.1000000000000029E-2</v>
      </c>
      <c r="J332">
        <v>0</v>
      </c>
      <c r="L332" s="64">
        <v>4.0000000000000029E-2</v>
      </c>
      <c r="M332" s="1">
        <f t="shared" si="4"/>
        <v>0.95004075284056999</v>
      </c>
    </row>
    <row r="333" spans="1:13" ht="15">
      <c r="A333" s="62">
        <v>245.22842139726995</v>
      </c>
      <c r="B333" s="62">
        <v>248.36430917241728</v>
      </c>
      <c r="C333" s="62">
        <v>244.89885357376721</v>
      </c>
      <c r="D333" s="62">
        <v>245.62789754697025</v>
      </c>
      <c r="E333" s="62">
        <v>53267191.085035555</v>
      </c>
      <c r="F333" s="62" t="s">
        <v>380</v>
      </c>
      <c r="G333" s="25">
        <f t="shared" si="5"/>
        <v>-1.626346818458968E-3</v>
      </c>
      <c r="I333" s="64">
        <v>4.200000000000003E-2</v>
      </c>
      <c r="J333">
        <v>0</v>
      </c>
      <c r="L333" s="64">
        <v>4.1000000000000029E-2</v>
      </c>
      <c r="M333" s="1">
        <f t="shared" si="4"/>
        <v>0.79911834970707096</v>
      </c>
    </row>
    <row r="334" spans="1:13" ht="15">
      <c r="A334" s="62">
        <v>245.50805470206018</v>
      </c>
      <c r="B334" s="62">
        <v>246.45681055759837</v>
      </c>
      <c r="C334" s="62">
        <v>243.97007152571402</v>
      </c>
      <c r="D334" s="62">
        <v>244.61922026897699</v>
      </c>
      <c r="E334" s="62">
        <v>32359285.553588539</v>
      </c>
      <c r="F334" s="62" t="s">
        <v>381</v>
      </c>
      <c r="G334" s="25">
        <f t="shared" si="5"/>
        <v>3.633542908467513E-3</v>
      </c>
      <c r="I334" s="64">
        <v>4.3000000000000031E-2</v>
      </c>
      <c r="J334">
        <v>0</v>
      </c>
      <c r="L334" s="64">
        <v>4.200000000000003E-2</v>
      </c>
      <c r="M334" s="1">
        <f t="shared" si="4"/>
        <v>0.6692293471852786</v>
      </c>
    </row>
    <row r="335" spans="1:13" ht="15">
      <c r="A335" s="62">
        <v>244.54931194277944</v>
      </c>
      <c r="B335" s="62">
        <v>245.68781896942528</v>
      </c>
      <c r="C335" s="62">
        <v>242.84195087896038</v>
      </c>
      <c r="D335" s="62">
        <v>244.33958696418679</v>
      </c>
      <c r="E335" s="62">
        <v>32246445.77570989</v>
      </c>
      <c r="F335" s="62" t="s">
        <v>382</v>
      </c>
      <c r="G335" s="25">
        <f t="shared" si="5"/>
        <v>8.5833401455071012E-4</v>
      </c>
      <c r="I335" s="64">
        <v>4.4000000000000032E-2</v>
      </c>
      <c r="J335">
        <v>1</v>
      </c>
      <c r="L335" s="64">
        <v>4.3000000000000031E-2</v>
      </c>
      <c r="M335" s="1">
        <f t="shared" si="4"/>
        <v>0.55799956175713938</v>
      </c>
    </row>
    <row r="336" spans="1:13" ht="15">
      <c r="A336" s="62">
        <v>244.14983579307915</v>
      </c>
      <c r="B336" s="62">
        <v>244.85890595879718</v>
      </c>
      <c r="C336" s="62">
        <v>241.5232801087997</v>
      </c>
      <c r="D336" s="62">
        <v>243.83025487331892</v>
      </c>
      <c r="E336" s="62">
        <v>48886514.037575021</v>
      </c>
      <c r="F336" s="62" t="s">
        <v>383</v>
      </c>
      <c r="G336" s="25">
        <f t="shared" si="5"/>
        <v>1.3106696702847032E-3</v>
      </c>
      <c r="I336" s="64">
        <v>4.5000000000000033E-2</v>
      </c>
      <c r="J336">
        <v>0</v>
      </c>
      <c r="L336" s="64">
        <v>4.4000000000000032E-2</v>
      </c>
      <c r="M336" s="1">
        <f t="shared" si="4"/>
        <v>0.46322047156423074</v>
      </c>
    </row>
    <row r="337" spans="1:13" ht="15">
      <c r="A337" s="62">
        <v>244.27966554173173</v>
      </c>
      <c r="B337" s="62">
        <v>245.22842139726995</v>
      </c>
      <c r="C337" s="62">
        <v>240.67439329068657</v>
      </c>
      <c r="D337" s="62">
        <v>240.93405278799176</v>
      </c>
      <c r="E337" s="62">
        <v>40949855.985827401</v>
      </c>
      <c r="F337" s="62" t="s">
        <v>384</v>
      </c>
      <c r="G337" s="25">
        <f t="shared" si="5"/>
        <v>1.3886010362694323E-2</v>
      </c>
      <c r="I337" s="64">
        <v>4.6000000000000034E-2</v>
      </c>
      <c r="J337">
        <v>0</v>
      </c>
      <c r="L337" s="64">
        <v>4.5000000000000033E-2</v>
      </c>
      <c r="M337" s="1">
        <f t="shared" si="4"/>
        <v>0.38285703968974971</v>
      </c>
    </row>
    <row r="338" spans="1:13" ht="15.75" thickBot="1">
      <c r="A338" s="62">
        <v>241.21368609278196</v>
      </c>
      <c r="B338" s="62">
        <v>242.02252542688765</v>
      </c>
      <c r="C338" s="62">
        <v>235.26149146224753</v>
      </c>
      <c r="D338" s="62">
        <v>236.59973656374353</v>
      </c>
      <c r="E338" s="62">
        <v>53684360.42073939</v>
      </c>
      <c r="F338" s="62" t="s">
        <v>385</v>
      </c>
      <c r="G338" s="25">
        <f t="shared" si="5"/>
        <v>1.9501076358110714E-2</v>
      </c>
      <c r="I338" s="65" t="s">
        <v>1491</v>
      </c>
      <c r="J338" s="65">
        <v>9</v>
      </c>
      <c r="L338" s="64">
        <v>4.6000000000000034E-2</v>
      </c>
      <c r="M338" s="1">
        <f t="shared" si="4"/>
        <v>0.31505076300828044</v>
      </c>
    </row>
    <row r="339" spans="1:13" ht="15">
      <c r="A339" s="62">
        <v>236.5597889487735</v>
      </c>
      <c r="B339" s="62">
        <v>236.64967108245608</v>
      </c>
      <c r="C339" s="62">
        <v>230.3778955321614</v>
      </c>
      <c r="D339" s="62">
        <v>230.89721452677179</v>
      </c>
      <c r="E339" s="62">
        <v>45302621.479598522</v>
      </c>
      <c r="F339" s="62" t="s">
        <v>386</v>
      </c>
      <c r="G339" s="25">
        <f t="shared" si="5"/>
        <v>2.4524221453287254E-2</v>
      </c>
      <c r="L339" s="64">
        <v>4.7E-2</v>
      </c>
      <c r="M339" s="1">
        <f t="shared" si="4"/>
        <v>0.25811868306612812</v>
      </c>
    </row>
    <row r="340" spans="1:13">
      <c r="A340" s="62">
        <v>232.31535485820785</v>
      </c>
      <c r="B340" s="62">
        <v>234.92193673500228</v>
      </c>
      <c r="C340" s="62">
        <v>227.83123507782202</v>
      </c>
      <c r="D340" s="62">
        <v>227.90114340401954</v>
      </c>
      <c r="E340" s="62">
        <v>53788805.204317339</v>
      </c>
      <c r="F340" s="62" t="s">
        <v>387</v>
      </c>
      <c r="G340" s="25">
        <f t="shared" si="5"/>
        <v>1.9368974583698684E-2</v>
      </c>
    </row>
    <row r="341" spans="1:13">
      <c r="A341" s="62">
        <v>227.35186369818166</v>
      </c>
      <c r="B341" s="62">
        <v>230.2830199466076</v>
      </c>
      <c r="C341" s="62">
        <v>226.90245302976879</v>
      </c>
      <c r="D341" s="62">
        <v>229.26934921674308</v>
      </c>
      <c r="E341" s="62">
        <v>33159070.9731679</v>
      </c>
      <c r="F341" s="62" t="s">
        <v>388</v>
      </c>
      <c r="G341" s="25">
        <f t="shared" si="5"/>
        <v>-8.3634621248420693E-3</v>
      </c>
    </row>
    <row r="342" spans="1:13">
      <c r="A342" s="62">
        <v>227.08221729713392</v>
      </c>
      <c r="B342" s="62">
        <v>233.43688814097149</v>
      </c>
      <c r="C342" s="62">
        <v>226.71310768768026</v>
      </c>
      <c r="D342" s="62">
        <v>232.04025718628191</v>
      </c>
      <c r="E342" s="62">
        <v>39803008.384814106</v>
      </c>
      <c r="F342" s="62" t="s">
        <v>389</v>
      </c>
      <c r="G342" s="25">
        <f t="shared" si="5"/>
        <v>-2.1367153912295822E-2</v>
      </c>
    </row>
    <row r="343" spans="1:13">
      <c r="A343" s="62">
        <v>232.65876518050158</v>
      </c>
      <c r="B343" s="62">
        <v>233.2373694331587</v>
      </c>
      <c r="C343" s="62">
        <v>229.87049123881778</v>
      </c>
      <c r="D343" s="62">
        <v>230.72842168241277</v>
      </c>
      <c r="E343" s="62">
        <v>29997536.900728401</v>
      </c>
      <c r="F343" s="62" t="s">
        <v>390</v>
      </c>
      <c r="G343" s="25">
        <f t="shared" si="5"/>
        <v>8.3663013165575784E-3</v>
      </c>
    </row>
    <row r="344" spans="1:13">
      <c r="A344" s="62">
        <v>231.9105700262036</v>
      </c>
      <c r="B344" s="62">
        <v>232.11008873401639</v>
      </c>
      <c r="C344" s="62">
        <v>227.7206771621349</v>
      </c>
      <c r="D344" s="62">
        <v>227.98005148229151</v>
      </c>
      <c r="E344" s="62">
        <v>39760671.502761289</v>
      </c>
      <c r="F344" s="62" t="s">
        <v>391</v>
      </c>
      <c r="G344" s="25">
        <f t="shared" si="5"/>
        <v>1.7240624863256393E-2</v>
      </c>
    </row>
    <row r="345" spans="1:13">
      <c r="A345" s="62">
        <v>232.23977589409472</v>
      </c>
      <c r="B345" s="62">
        <v>232.56898176198584</v>
      </c>
      <c r="C345" s="62">
        <v>226.10457562885125</v>
      </c>
      <c r="D345" s="62">
        <v>226.70313175228964</v>
      </c>
      <c r="E345" s="62">
        <v>45176015.316103213</v>
      </c>
      <c r="F345" s="62" t="s">
        <v>392</v>
      </c>
      <c r="G345" s="25">
        <f t="shared" si="5"/>
        <v>2.4422442244224296E-2</v>
      </c>
    </row>
    <row r="346" spans="1:13">
      <c r="A346" s="62">
        <v>227.46130284197824</v>
      </c>
      <c r="B346" s="62">
        <v>231.27211016120268</v>
      </c>
      <c r="C346" s="62">
        <v>225.15686176674043</v>
      </c>
      <c r="D346" s="62">
        <v>229.43653804932495</v>
      </c>
      <c r="E346" s="62">
        <v>73239549.113914296</v>
      </c>
      <c r="F346" s="62" t="s">
        <v>393</v>
      </c>
      <c r="G346" s="25">
        <f t="shared" si="5"/>
        <v>-8.6090699595635645E-3</v>
      </c>
    </row>
    <row r="347" spans="1:13">
      <c r="A347" s="62">
        <v>235.43207521909946</v>
      </c>
      <c r="B347" s="62">
        <v>246.59514692122539</v>
      </c>
      <c r="C347" s="62">
        <v>232.87823575909567</v>
      </c>
      <c r="D347" s="62">
        <v>246.59514692122539</v>
      </c>
      <c r="E347" s="62">
        <v>101318948.09065874</v>
      </c>
      <c r="F347" s="62" t="s">
        <v>394</v>
      </c>
      <c r="G347" s="25">
        <f t="shared" si="5"/>
        <v>-4.5268821554269922E-2</v>
      </c>
    </row>
    <row r="348" spans="1:13">
      <c r="A348" s="62">
        <v>237.01824894621117</v>
      </c>
      <c r="B348" s="62">
        <v>240.21054827121591</v>
      </c>
      <c r="C348" s="62">
        <v>236.63916340136689</v>
      </c>
      <c r="D348" s="62">
        <v>238.09066200070495</v>
      </c>
      <c r="E348" s="62">
        <v>55792541.571813799</v>
      </c>
      <c r="F348" s="62" t="s">
        <v>395</v>
      </c>
      <c r="G348" s="25">
        <f t="shared" si="5"/>
        <v>-4.5042213981941748E-3</v>
      </c>
    </row>
    <row r="349" spans="1:13">
      <c r="A349" s="62">
        <v>238.78398951035444</v>
      </c>
      <c r="B349" s="62">
        <v>239.27779831219109</v>
      </c>
      <c r="C349" s="62">
        <v>233.44686407636212</v>
      </c>
      <c r="D349" s="62">
        <v>233.55659936565917</v>
      </c>
      <c r="E349" s="62">
        <v>45595824.570674919</v>
      </c>
      <c r="F349" s="62" t="s">
        <v>396</v>
      </c>
      <c r="G349" s="25">
        <f t="shared" si="5"/>
        <v>2.2381684606184837E-2</v>
      </c>
    </row>
    <row r="350" spans="1:13">
      <c r="A350" s="62">
        <v>237.68663661738404</v>
      </c>
      <c r="B350" s="62">
        <v>239.61199214777753</v>
      </c>
      <c r="C350" s="62">
        <v>230.25456475135741</v>
      </c>
      <c r="D350" s="62">
        <v>230.29446849291995</v>
      </c>
      <c r="E350" s="62">
        <v>75890195.791599333</v>
      </c>
      <c r="F350" s="62" t="s">
        <v>397</v>
      </c>
      <c r="G350" s="25">
        <f t="shared" si="5"/>
        <v>3.2098765432098775E-2</v>
      </c>
    </row>
    <row r="351" spans="1:13">
      <c r="A351" s="62">
        <v>229.30685088924662</v>
      </c>
      <c r="B351" s="62">
        <v>231.59134009370314</v>
      </c>
      <c r="C351" s="62">
        <v>223.44100087955039</v>
      </c>
      <c r="D351" s="62">
        <v>223.48090462111298</v>
      </c>
      <c r="E351" s="62">
        <v>95092253.794073462</v>
      </c>
      <c r="F351" s="62" t="s">
        <v>398</v>
      </c>
      <c r="G351" s="25">
        <f t="shared" si="5"/>
        <v>2.6069100973127313E-2</v>
      </c>
    </row>
    <row r="352" spans="1:13">
      <c r="A352" s="62">
        <v>222.24388863267362</v>
      </c>
      <c r="B352" s="62">
        <v>225.08703021900598</v>
      </c>
      <c r="C352" s="62">
        <v>220.87718548415597</v>
      </c>
      <c r="D352" s="62">
        <v>224.23907571080159</v>
      </c>
      <c r="E352" s="62">
        <v>54829852.899129435</v>
      </c>
      <c r="F352" s="62" t="s">
        <v>399</v>
      </c>
      <c r="G352" s="25">
        <f t="shared" si="5"/>
        <v>-8.897588753447816E-3</v>
      </c>
    </row>
    <row r="353" spans="1:7">
      <c r="A353" s="62">
        <v>223.12177094704992</v>
      </c>
      <c r="B353" s="62">
        <v>226.48366117369554</v>
      </c>
      <c r="C353" s="62">
        <v>221.76504373392294</v>
      </c>
      <c r="D353" s="62">
        <v>224.19917196923905</v>
      </c>
      <c r="E353" s="62">
        <v>60380062.26114586</v>
      </c>
      <c r="F353" s="62" t="s">
        <v>400</v>
      </c>
      <c r="G353" s="25">
        <f t="shared" si="5"/>
        <v>-4.8055530835633409E-3</v>
      </c>
    </row>
    <row r="354" spans="1:7">
      <c r="A354" s="62">
        <v>223.29136184869083</v>
      </c>
      <c r="B354" s="62">
        <v>223.58066397501938</v>
      </c>
      <c r="C354" s="62">
        <v>219.26108395087232</v>
      </c>
      <c r="D354" s="62">
        <v>219.26108395087232</v>
      </c>
      <c r="E354" s="62">
        <v>64281190.173072323</v>
      </c>
      <c r="F354" s="62" t="s">
        <v>401</v>
      </c>
      <c r="G354" s="25">
        <f t="shared" si="5"/>
        <v>1.8381182037399357E-2</v>
      </c>
    </row>
    <row r="355" spans="1:7">
      <c r="A355" s="62">
        <v>222.10422553720466</v>
      </c>
      <c r="B355" s="62">
        <v>223.87994203673856</v>
      </c>
      <c r="C355" s="62">
        <v>218.85207059985609</v>
      </c>
      <c r="D355" s="62">
        <v>223.46095275033167</v>
      </c>
      <c r="E355" s="62">
        <v>98307000.957541525</v>
      </c>
      <c r="F355" s="62" t="s">
        <v>402</v>
      </c>
      <c r="G355" s="25">
        <f t="shared" si="5"/>
        <v>-6.0714285714286165E-3</v>
      </c>
    </row>
    <row r="356" spans="1:7">
      <c r="A356" s="62">
        <v>229.42656211393427</v>
      </c>
      <c r="B356" s="62">
        <v>231.73100318917207</v>
      </c>
      <c r="C356" s="62">
        <v>227.93017180533832</v>
      </c>
      <c r="D356" s="62">
        <v>231.55642431983591</v>
      </c>
      <c r="E356" s="62">
        <v>68653512.997148126</v>
      </c>
      <c r="F356" s="62" t="s">
        <v>403</v>
      </c>
      <c r="G356" s="25">
        <f t="shared" si="5"/>
        <v>-9.1980268401441467E-3</v>
      </c>
    </row>
    <row r="357" spans="1:7">
      <c r="A357" s="62">
        <v>227.71070122674425</v>
      </c>
      <c r="B357" s="62">
        <v>237.43723823261806</v>
      </c>
      <c r="C357" s="62">
        <v>227.48125471275952</v>
      </c>
      <c r="D357" s="62">
        <v>236.77882649683582</v>
      </c>
      <c r="E357" s="62">
        <v>71932153.918448478</v>
      </c>
      <c r="F357" s="62" t="s">
        <v>404</v>
      </c>
      <c r="G357" s="25">
        <f t="shared" si="5"/>
        <v>-3.8297872340425476E-2</v>
      </c>
    </row>
    <row r="358" spans="1:7">
      <c r="A358" s="62">
        <v>237.2975751371491</v>
      </c>
      <c r="B358" s="62">
        <v>238.38495209472885</v>
      </c>
      <c r="C358" s="62">
        <v>233.865853362769</v>
      </c>
      <c r="D358" s="62">
        <v>234.0703600382771</v>
      </c>
      <c r="E358" s="62">
        <v>39928054.302931257</v>
      </c>
      <c r="F358" s="62" t="s">
        <v>405</v>
      </c>
      <c r="G358" s="25">
        <f t="shared" si="5"/>
        <v>1.3787371875466192E-2</v>
      </c>
    </row>
    <row r="359" spans="1:7">
      <c r="A359" s="62">
        <v>232.71862079284543</v>
      </c>
      <c r="B359" s="62">
        <v>235.55178644378714</v>
      </c>
      <c r="C359" s="62">
        <v>231.91256521328174</v>
      </c>
      <c r="D359" s="62">
        <v>234.18508329526946</v>
      </c>
      <c r="E359" s="62">
        <v>39530422.417331651</v>
      </c>
      <c r="F359" s="62" t="s">
        <v>406</v>
      </c>
      <c r="G359" s="25">
        <f t="shared" si="5"/>
        <v>-6.2619808306708657E-3</v>
      </c>
    </row>
    <row r="360" spans="1:7">
      <c r="A360" s="62">
        <v>233.83592555659709</v>
      </c>
      <c r="B360" s="62">
        <v>234.10527581214436</v>
      </c>
      <c r="C360" s="62">
        <v>229.16718779377766</v>
      </c>
      <c r="D360" s="62">
        <v>232.96801917761141</v>
      </c>
      <c r="E360" s="62">
        <v>49750447.508478634</v>
      </c>
      <c r="F360" s="62" t="s">
        <v>407</v>
      </c>
      <c r="G360" s="25">
        <f t="shared" si="5"/>
        <v>3.7254314220871443E-3</v>
      </c>
    </row>
    <row r="361" spans="1:7">
      <c r="A361" s="62">
        <v>236.28002972730383</v>
      </c>
      <c r="B361" s="62">
        <v>239.58206434160562</v>
      </c>
      <c r="C361" s="62">
        <v>232.43929460190751</v>
      </c>
      <c r="D361" s="62">
        <v>239.432425310746</v>
      </c>
      <c r="E361" s="62">
        <v>61859718.997280084</v>
      </c>
      <c r="F361" s="62" t="s">
        <v>408</v>
      </c>
      <c r="G361" s="25">
        <f t="shared" si="5"/>
        <v>-1.3166118078413391E-2</v>
      </c>
    </row>
    <row r="362" spans="1:7">
      <c r="A362" s="62">
        <v>242.11595193082812</v>
      </c>
      <c r="B362" s="62">
        <v>243.1258158704226</v>
      </c>
      <c r="C362" s="62">
        <v>239.4723290523086</v>
      </c>
      <c r="D362" s="62">
        <v>241.3378289703582</v>
      </c>
      <c r="E362" s="62">
        <v>37719711.011066064</v>
      </c>
      <c r="F362" s="62" t="s">
        <v>409</v>
      </c>
      <c r="G362" s="25">
        <f t="shared" si="5"/>
        <v>3.2242063492062822E-3</v>
      </c>
    </row>
    <row r="363" spans="1:7">
      <c r="A363" s="62">
        <v>241.62713109668678</v>
      </c>
      <c r="B363" s="62">
        <v>244.95909351716048</v>
      </c>
      <c r="C363" s="62">
        <v>240.76920065309176</v>
      </c>
      <c r="D363" s="62">
        <v>242.39527812176604</v>
      </c>
      <c r="E363" s="62">
        <v>40954515.441563718</v>
      </c>
      <c r="F363" s="62" t="s">
        <v>410</v>
      </c>
      <c r="G363" s="25">
        <f t="shared" si="5"/>
        <v>-3.1689851016544202E-3</v>
      </c>
    </row>
    <row r="364" spans="1:7">
      <c r="A364" s="62">
        <v>244.41041707067529</v>
      </c>
      <c r="B364" s="62">
        <v>246.73481001669438</v>
      </c>
      <c r="C364" s="62">
        <v>242.61474870036011</v>
      </c>
      <c r="D364" s="62">
        <v>243.72207752872114</v>
      </c>
      <c r="E364" s="62">
        <v>45154232.897563905</v>
      </c>
      <c r="F364" s="62" t="s">
        <v>411</v>
      </c>
      <c r="G364" s="25">
        <f t="shared" si="5"/>
        <v>2.8242806270721843E-3</v>
      </c>
    </row>
    <row r="365" spans="1:7">
      <c r="A365" s="62">
        <v>242.77436366661036</v>
      </c>
      <c r="B365" s="62">
        <v>243.59239036864281</v>
      </c>
      <c r="C365" s="62">
        <v>241.30790116418629</v>
      </c>
      <c r="D365" s="62">
        <v>242.77436366661036</v>
      </c>
      <c r="E365" s="62">
        <v>40341193.506285273</v>
      </c>
      <c r="F365" s="62" t="s">
        <v>412</v>
      </c>
      <c r="G365" s="25">
        <f t="shared" si="5"/>
        <v>0</v>
      </c>
    </row>
    <row r="366" spans="1:7">
      <c r="A366" s="62">
        <v>243.26318450075169</v>
      </c>
      <c r="B366" s="62">
        <v>248.5005505808376</v>
      </c>
      <c r="C366" s="62">
        <v>241.23816937580571</v>
      </c>
      <c r="D366" s="62">
        <v>248.33095967919672</v>
      </c>
      <c r="E366" s="62">
        <v>55875192.46796672</v>
      </c>
      <c r="F366" s="62" t="s">
        <v>413</v>
      </c>
      <c r="G366" s="25">
        <f t="shared" si="5"/>
        <v>-2.0407343429879932E-2</v>
      </c>
    </row>
    <row r="367" spans="1:7">
      <c r="A367" s="62">
        <v>249.81737405240204</v>
      </c>
      <c r="B367" s="62">
        <v>252.67049157412504</v>
      </c>
      <c r="C367" s="62">
        <v>248.82975644872872</v>
      </c>
      <c r="D367" s="62">
        <v>251.8325130013113</v>
      </c>
      <c r="E367" s="62">
        <v>39575955.992100604</v>
      </c>
      <c r="F367" s="62" t="s">
        <v>414</v>
      </c>
      <c r="G367" s="25">
        <f t="shared" si="5"/>
        <v>-8.0019014419268064E-3</v>
      </c>
    </row>
    <row r="368" spans="1:7">
      <c r="A368" s="62">
        <v>251.59309055193594</v>
      </c>
      <c r="B368" s="62">
        <v>252.88996215271911</v>
      </c>
      <c r="C368" s="62">
        <v>250.14657992029316</v>
      </c>
      <c r="D368" s="62">
        <v>251.62301835810786</v>
      </c>
      <c r="E368" s="62">
        <v>35643316.248181432</v>
      </c>
      <c r="F368" s="62" t="s">
        <v>415</v>
      </c>
      <c r="G368" s="25">
        <f t="shared" si="5"/>
        <v>-1.1893906355309181E-4</v>
      </c>
    </row>
    <row r="369" spans="1:7">
      <c r="A369" s="62">
        <v>254.97493264936284</v>
      </c>
      <c r="B369" s="62">
        <v>258.07744855585179</v>
      </c>
      <c r="C369" s="62">
        <v>252.45102099553097</v>
      </c>
      <c r="D369" s="62">
        <v>257.20954217686614</v>
      </c>
      <c r="E369" s="62">
        <v>42457493.2990655</v>
      </c>
      <c r="F369" s="62" t="s">
        <v>416</v>
      </c>
      <c r="G369" s="25">
        <f t="shared" si="5"/>
        <v>-8.687895124694478E-3</v>
      </c>
    </row>
    <row r="370" spans="1:7">
      <c r="A370" s="62">
        <v>258.39667848835228</v>
      </c>
      <c r="B370" s="62">
        <v>259.4740795105414</v>
      </c>
      <c r="C370" s="62">
        <v>257.01002346905335</v>
      </c>
      <c r="D370" s="62">
        <v>257.5686758509292</v>
      </c>
      <c r="E370" s="62">
        <v>27328748.56585402</v>
      </c>
      <c r="F370" s="62" t="s">
        <v>417</v>
      </c>
      <c r="G370" s="25">
        <f t="shared" si="5"/>
        <v>3.2146868585150035E-3</v>
      </c>
    </row>
    <row r="371" spans="1:7">
      <c r="A371" s="62">
        <v>257.57865178631982</v>
      </c>
      <c r="B371" s="62">
        <v>257.58862772171045</v>
      </c>
      <c r="C371" s="62">
        <v>254.67565458764363</v>
      </c>
      <c r="D371" s="62">
        <v>254.87517329545645</v>
      </c>
      <c r="E371" s="62">
        <v>23290753.287957933</v>
      </c>
      <c r="F371" s="62" t="s">
        <v>418</v>
      </c>
      <c r="G371" s="25">
        <f t="shared" si="5"/>
        <v>1.0607068769814765E-2</v>
      </c>
    </row>
    <row r="372" spans="1:7">
      <c r="A372" s="62">
        <v>254.65570271686238</v>
      </c>
      <c r="B372" s="62">
        <v>255.03478826170669</v>
      </c>
      <c r="C372" s="62">
        <v>252.84008247576591</v>
      </c>
      <c r="D372" s="62">
        <v>254.15690594733039</v>
      </c>
      <c r="E372" s="62">
        <v>40957336.229680128</v>
      </c>
      <c r="F372" s="62" t="s">
        <v>419</v>
      </c>
      <c r="G372" s="25">
        <f t="shared" si="5"/>
        <v>1.9625544608863343E-3</v>
      </c>
    </row>
    <row r="373" spans="1:7">
      <c r="A373" s="62">
        <v>253.87757975639246</v>
      </c>
      <c r="B373" s="62">
        <v>254.38635246131508</v>
      </c>
      <c r="C373" s="62">
        <v>245.09875661262942</v>
      </c>
      <c r="D373" s="62">
        <v>247.44310142942979</v>
      </c>
      <c r="E373" s="62">
        <v>147851064.81181848</v>
      </c>
      <c r="F373" s="62" t="s">
        <v>420</v>
      </c>
      <c r="G373" s="25">
        <f t="shared" si="5"/>
        <v>2.6003870343493052E-2</v>
      </c>
    </row>
    <row r="374" spans="1:7">
      <c r="A374" s="62">
        <v>249.18889012279175</v>
      </c>
      <c r="B374" s="62">
        <v>251.39357184412316</v>
      </c>
      <c r="C374" s="62">
        <v>246.50027577566041</v>
      </c>
      <c r="D374" s="62">
        <v>246.90440091833523</v>
      </c>
      <c r="E374" s="62">
        <v>61029128.213003904</v>
      </c>
      <c r="F374" s="62" t="s">
        <v>421</v>
      </c>
      <c r="G374" s="25">
        <f t="shared" si="5"/>
        <v>9.2525252525252899E-3</v>
      </c>
    </row>
    <row r="375" spans="1:7">
      <c r="A375" s="62">
        <v>247.45307736482044</v>
      </c>
      <c r="B375" s="62">
        <v>253.66808511318902</v>
      </c>
      <c r="C375" s="62">
        <v>247.14382336771061</v>
      </c>
      <c r="D375" s="62">
        <v>251.55318681037338</v>
      </c>
      <c r="E375" s="62">
        <v>56911055.231241621</v>
      </c>
      <c r="F375" s="62" t="s">
        <v>422</v>
      </c>
      <c r="G375" s="25">
        <f t="shared" si="5"/>
        <v>-1.6299175126903487E-2</v>
      </c>
    </row>
    <row r="376" spans="1:7">
      <c r="A376" s="62">
        <v>252.87001028193782</v>
      </c>
      <c r="B376" s="62">
        <v>253.21916802061025</v>
      </c>
      <c r="C376" s="62">
        <v>249.17891418740112</v>
      </c>
      <c r="D376" s="62">
        <v>249.47819224912033</v>
      </c>
      <c r="E376" s="62">
        <v>51480245.199048206</v>
      </c>
      <c r="F376" s="62" t="s">
        <v>423</v>
      </c>
      <c r="G376" s="25">
        <f t="shared" si="5"/>
        <v>1.3595649392194264E-2</v>
      </c>
    </row>
    <row r="377" spans="1:7">
      <c r="A377" s="62">
        <v>250.43588204662171</v>
      </c>
      <c r="B377" s="62">
        <v>250.77506384990346</v>
      </c>
      <c r="C377" s="62">
        <v>247.05403994919484</v>
      </c>
      <c r="D377" s="62">
        <v>247.39322175247659</v>
      </c>
      <c r="E377" s="62">
        <v>51819454.492963143</v>
      </c>
      <c r="F377" s="62" t="s">
        <v>424</v>
      </c>
      <c r="G377" s="25">
        <f t="shared" si="5"/>
        <v>1.229888301947657E-2</v>
      </c>
    </row>
    <row r="378" spans="1:7">
      <c r="A378" s="62">
        <v>247.53288484794552</v>
      </c>
      <c r="B378" s="62">
        <v>248.69029287196756</v>
      </c>
      <c r="C378" s="62">
        <v>245.64743305911463</v>
      </c>
      <c r="D378" s="62">
        <v>247.21864288314038</v>
      </c>
      <c r="E378" s="62">
        <v>33235269.377454922</v>
      </c>
      <c r="F378" s="62" t="s">
        <v>425</v>
      </c>
      <c r="G378" s="25">
        <f t="shared" si="5"/>
        <v>1.2711094970037085E-3</v>
      </c>
    </row>
    <row r="379" spans="1:7">
      <c r="A379" s="62">
        <v>247.36329394630468</v>
      </c>
      <c r="B379" s="62">
        <v>248.14141690677457</v>
      </c>
      <c r="C379" s="62">
        <v>245.08878067723879</v>
      </c>
      <c r="D379" s="62">
        <v>246.29586885950619</v>
      </c>
      <c r="E379" s="62">
        <v>32856600.124690473</v>
      </c>
      <c r="F379" s="62" t="s">
        <v>426</v>
      </c>
      <c r="G379" s="25">
        <f t="shared" si="5"/>
        <v>4.3339138887765749E-3</v>
      </c>
    </row>
    <row r="380" spans="1:7">
      <c r="A380" s="62">
        <v>245.89683144388061</v>
      </c>
      <c r="B380" s="62">
        <v>250.19645959724639</v>
      </c>
      <c r="C380" s="62">
        <v>245.66748468924979</v>
      </c>
      <c r="D380" s="62">
        <v>247.36329394630468</v>
      </c>
      <c r="E380" s="62">
        <v>45314862.4462981</v>
      </c>
      <c r="F380" s="62" t="s">
        <v>427</v>
      </c>
      <c r="G380" s="25">
        <f t="shared" ref="G380:G443" si="6">A380/D380-1</f>
        <v>-5.9283755444426989E-3</v>
      </c>
    </row>
    <row r="381" spans="1:7">
      <c r="A381" s="62">
        <v>247.17375117388252</v>
      </c>
      <c r="B381" s="62">
        <v>247.61269233107066</v>
      </c>
      <c r="C381" s="62">
        <v>244.74959887395704</v>
      </c>
      <c r="D381" s="62">
        <v>246.29586885950619</v>
      </c>
      <c r="E381" s="62">
        <v>37003854.329927117</v>
      </c>
      <c r="F381" s="62" t="s">
        <v>428</v>
      </c>
      <c r="G381" s="25">
        <f t="shared" si="6"/>
        <v>3.5643403945078145E-3</v>
      </c>
    </row>
    <row r="382" spans="1:7">
      <c r="A382" s="62">
        <v>246.15620576403725</v>
      </c>
      <c r="B382" s="62">
        <v>246.64502659817862</v>
      </c>
      <c r="C382" s="62">
        <v>241.16823806871736</v>
      </c>
      <c r="D382" s="62">
        <v>241.24804555184247</v>
      </c>
      <c r="E382" s="62">
        <v>44756937.822485656</v>
      </c>
      <c r="F382" s="62" t="s">
        <v>429</v>
      </c>
      <c r="G382" s="25">
        <f t="shared" si="6"/>
        <v>2.034487036347854E-2</v>
      </c>
    </row>
    <row r="383" spans="1:7">
      <c r="A383" s="62">
        <v>242.25561502629708</v>
      </c>
      <c r="B383" s="62">
        <v>244.04130746122161</v>
      </c>
      <c r="C383" s="62">
        <v>241.49744393660848</v>
      </c>
      <c r="D383" s="62">
        <v>242.32045860633625</v>
      </c>
      <c r="E383" s="62">
        <v>36959560.739131153</v>
      </c>
      <c r="F383" s="62" t="s">
        <v>430</v>
      </c>
      <c r="G383" s="25">
        <f t="shared" si="6"/>
        <v>-2.6759432700029784E-4</v>
      </c>
    </row>
    <row r="384" spans="1:7">
      <c r="A384" s="62">
        <v>242.45513373410986</v>
      </c>
      <c r="B384" s="62">
        <v>243.95152404270584</v>
      </c>
      <c r="C384" s="62">
        <v>241.54732361356164</v>
      </c>
      <c r="D384" s="62">
        <v>243.40284759622068</v>
      </c>
      <c r="E384" s="62">
        <v>40130450.36113894</v>
      </c>
      <c r="F384" s="62" t="s">
        <v>431</v>
      </c>
      <c r="G384" s="25">
        <f t="shared" si="6"/>
        <v>-3.893602196811452E-3</v>
      </c>
    </row>
    <row r="385" spans="1:7">
      <c r="A385" s="62">
        <v>242.42520592793795</v>
      </c>
      <c r="B385" s="62">
        <v>243.52255882090836</v>
      </c>
      <c r="C385" s="62">
        <v>240.66944129918537</v>
      </c>
      <c r="D385" s="62">
        <v>242.28554283246902</v>
      </c>
      <c r="E385" s="62">
        <v>44491000.855563313</v>
      </c>
      <c r="F385" s="62" t="s">
        <v>432</v>
      </c>
      <c r="G385" s="25">
        <f t="shared" si="6"/>
        <v>5.7644007081969484E-4</v>
      </c>
    </row>
    <row r="386" spans="1:7">
      <c r="A386" s="62">
        <v>242.06607225387492</v>
      </c>
      <c r="B386" s="62">
        <v>242.17580754317194</v>
      </c>
      <c r="C386" s="62">
        <v>238.32509648238499</v>
      </c>
      <c r="D386" s="62">
        <v>239.23290660293321</v>
      </c>
      <c r="E386" s="62">
        <v>38954760.10847304</v>
      </c>
      <c r="F386" s="62" t="s">
        <v>433</v>
      </c>
      <c r="G386" s="25">
        <f t="shared" si="6"/>
        <v>1.1842708811142133E-2</v>
      </c>
    </row>
    <row r="387" spans="1:7">
      <c r="A387" s="62">
        <v>239.01343602433914</v>
      </c>
      <c r="B387" s="62">
        <v>240.21054827121591</v>
      </c>
      <c r="C387" s="62">
        <v>236.58928372441366</v>
      </c>
      <c r="D387" s="62">
        <v>236.69901901371071</v>
      </c>
      <c r="E387" s="62">
        <v>48253222.494971193</v>
      </c>
      <c r="F387" s="62" t="s">
        <v>434</v>
      </c>
      <c r="G387" s="25">
        <f t="shared" si="6"/>
        <v>9.7778901673200025E-3</v>
      </c>
    </row>
    <row r="388" spans="1:7">
      <c r="A388" s="62">
        <v>236.75887462605456</v>
      </c>
      <c r="B388" s="62">
        <v>237.23771952480527</v>
      </c>
      <c r="C388" s="62">
        <v>233.40696033479958</v>
      </c>
      <c r="D388" s="62">
        <v>234.239950939918</v>
      </c>
      <c r="E388" s="62">
        <v>28550081.656225868</v>
      </c>
      <c r="F388" s="62" t="s">
        <v>435</v>
      </c>
      <c r="G388" s="25">
        <f t="shared" si="6"/>
        <v>1.0753604054428267E-2</v>
      </c>
    </row>
    <row r="389" spans="1:7">
      <c r="A389" s="62">
        <v>234.36465013230099</v>
      </c>
      <c r="B389" s="62">
        <v>235.12282122198962</v>
      </c>
      <c r="C389" s="62">
        <v>233.24744512790326</v>
      </c>
      <c r="D389" s="62">
        <v>233.90076913663626</v>
      </c>
      <c r="E389" s="62">
        <v>33579246.144106768</v>
      </c>
      <c r="F389" s="62" t="s">
        <v>436</v>
      </c>
      <c r="G389" s="25">
        <f t="shared" si="6"/>
        <v>1.9832384364404376E-3</v>
      </c>
    </row>
    <row r="390" spans="1:7">
      <c r="A390" s="62">
        <v>234.49433729237933</v>
      </c>
      <c r="B390" s="62">
        <v>235.00310999730195</v>
      </c>
      <c r="C390" s="62">
        <v>232.76850046979862</v>
      </c>
      <c r="D390" s="62">
        <v>232.76850046979862</v>
      </c>
      <c r="E390" s="62">
        <v>46097119.918346494</v>
      </c>
      <c r="F390" s="62" t="s">
        <v>437</v>
      </c>
      <c r="G390" s="25">
        <f t="shared" si="6"/>
        <v>7.4143916341662397E-3</v>
      </c>
    </row>
    <row r="391" spans="1:7">
      <c r="A391" s="62">
        <v>232.3096074418292</v>
      </c>
      <c r="B391" s="62">
        <v>232.6837050189782</v>
      </c>
      <c r="C391" s="62">
        <v>229.18713966455894</v>
      </c>
      <c r="D391" s="62">
        <v>230.90300055174899</v>
      </c>
      <c r="E391" s="62">
        <v>90370304.607814863</v>
      </c>
      <c r="F391" s="62" t="s">
        <v>438</v>
      </c>
      <c r="G391" s="25">
        <f t="shared" si="6"/>
        <v>6.0917653158212293E-3</v>
      </c>
    </row>
    <row r="392" spans="1:7">
      <c r="A392" s="62">
        <v>229.31682682463725</v>
      </c>
      <c r="B392" s="62">
        <v>230.16468157348771</v>
      </c>
      <c r="C392" s="62">
        <v>227.51118251893146</v>
      </c>
      <c r="D392" s="62">
        <v>227.51118251893146</v>
      </c>
      <c r="E392" s="62">
        <v>38260323.97504539</v>
      </c>
      <c r="F392" s="62" t="s">
        <v>439</v>
      </c>
      <c r="G392" s="25">
        <f t="shared" si="6"/>
        <v>7.9365079365079083E-3</v>
      </c>
    </row>
    <row r="393" spans="1:7">
      <c r="A393" s="62">
        <v>227.97007554690089</v>
      </c>
      <c r="B393" s="62">
        <v>229.60114098327048</v>
      </c>
      <c r="C393" s="62">
        <v>225.16713698019279</v>
      </c>
      <c r="D393" s="62">
        <v>228.32920922096392</v>
      </c>
      <c r="E393" s="62">
        <v>42209903.483847022</v>
      </c>
      <c r="F393" s="62" t="s">
        <v>440</v>
      </c>
      <c r="G393" s="25">
        <f t="shared" si="6"/>
        <v>-1.5728766165675756E-3</v>
      </c>
    </row>
    <row r="394" spans="1:7">
      <c r="A394" s="62">
        <v>228.44892044565159</v>
      </c>
      <c r="B394" s="62">
        <v>229.3766824369811</v>
      </c>
      <c r="C394" s="62">
        <v>225.34640453916259</v>
      </c>
      <c r="D394" s="62">
        <v>227.51118251893146</v>
      </c>
      <c r="E394" s="62">
        <v>35254404.346883401</v>
      </c>
      <c r="F394" s="62" t="s">
        <v>441</v>
      </c>
      <c r="G394" s="25">
        <f t="shared" si="6"/>
        <v>4.1217223537663994E-3</v>
      </c>
    </row>
    <row r="395" spans="1:7">
      <c r="A395" s="62">
        <v>227.73065309752553</v>
      </c>
      <c r="B395" s="62">
        <v>229.6061289509658</v>
      </c>
      <c r="C395" s="62">
        <v>226.11455156424188</v>
      </c>
      <c r="D395" s="62">
        <v>226.43378149674234</v>
      </c>
      <c r="E395" s="62">
        <v>36299126.429764852</v>
      </c>
      <c r="F395" s="62" t="s">
        <v>442</v>
      </c>
      <c r="G395" s="25">
        <f t="shared" si="6"/>
        <v>5.7273768613974596E-3</v>
      </c>
    </row>
    <row r="396" spans="1:7">
      <c r="A396" s="62">
        <v>227.47127877736889</v>
      </c>
      <c r="B396" s="62">
        <v>229.18713966455894</v>
      </c>
      <c r="C396" s="62">
        <v>224.62813719103653</v>
      </c>
      <c r="D396" s="62">
        <v>224.70794467416167</v>
      </c>
      <c r="E396" s="62">
        <v>44793814.564925782</v>
      </c>
      <c r="F396" s="62" t="s">
        <v>443</v>
      </c>
      <c r="G396" s="25">
        <f t="shared" si="6"/>
        <v>1.2297447280799068E-2</v>
      </c>
    </row>
    <row r="397" spans="1:7">
      <c r="A397" s="62">
        <v>224.45854628939566</v>
      </c>
      <c r="B397" s="62">
        <v>226.37392588439849</v>
      </c>
      <c r="C397" s="62">
        <v>223.73030300587897</v>
      </c>
      <c r="D397" s="62">
        <v>225.85517724408524</v>
      </c>
      <c r="E397" s="62">
        <v>48039300.700529508</v>
      </c>
      <c r="F397" s="62" t="s">
        <v>444</v>
      </c>
      <c r="G397" s="25">
        <f t="shared" si="6"/>
        <v>-6.1837455830389132E-3</v>
      </c>
    </row>
    <row r="398" spans="1:7">
      <c r="A398" s="62">
        <v>227.67079748518168</v>
      </c>
      <c r="B398" s="62">
        <v>228.31923328557329</v>
      </c>
      <c r="C398" s="62">
        <v>224.45854628939566</v>
      </c>
      <c r="D398" s="62">
        <v>224.47849816017697</v>
      </c>
      <c r="E398" s="62">
        <v>45032309.493655212</v>
      </c>
      <c r="F398" s="62" t="s">
        <v>445</v>
      </c>
      <c r="G398" s="25">
        <f t="shared" si="6"/>
        <v>1.4220958137054263E-2</v>
      </c>
    </row>
    <row r="399" spans="1:7">
      <c r="A399" s="62">
        <v>224.57825751408336</v>
      </c>
      <c r="B399" s="62">
        <v>226.10457562885125</v>
      </c>
      <c r="C399" s="62">
        <v>222.22393676189233</v>
      </c>
      <c r="D399" s="62">
        <v>223.47092868572233</v>
      </c>
      <c r="E399" s="62">
        <v>48683371.632066272</v>
      </c>
      <c r="F399" s="62" t="s">
        <v>446</v>
      </c>
      <c r="G399" s="25">
        <f t="shared" si="6"/>
        <v>4.9551359314317089E-3</v>
      </c>
    </row>
    <row r="400" spans="1:7">
      <c r="A400" s="62">
        <v>223.6903992643164</v>
      </c>
      <c r="B400" s="62">
        <v>225.04712647744341</v>
      </c>
      <c r="C400" s="62">
        <v>222.8175049176354</v>
      </c>
      <c r="D400" s="62">
        <v>224.00962919681689</v>
      </c>
      <c r="E400" s="62">
        <v>40495750.441512287</v>
      </c>
      <c r="F400" s="62" t="s">
        <v>447</v>
      </c>
      <c r="G400" s="25">
        <f t="shared" si="6"/>
        <v>-1.4250723669562149E-3</v>
      </c>
    </row>
    <row r="401" spans="1:7">
      <c r="A401" s="62">
        <v>223.6903992643164</v>
      </c>
      <c r="B401" s="62">
        <v>225.15686176674043</v>
      </c>
      <c r="C401" s="62">
        <v>220.96696890267174</v>
      </c>
      <c r="D401" s="62">
        <v>224.45854628939566</v>
      </c>
      <c r="E401" s="62">
        <v>42106930.683826298</v>
      </c>
      <c r="F401" s="62" t="s">
        <v>448</v>
      </c>
      <c r="G401" s="25">
        <f t="shared" si="6"/>
        <v>-3.4222222222222154E-3</v>
      </c>
    </row>
    <row r="402" spans="1:7">
      <c r="A402" s="62">
        <v>226.41382962596109</v>
      </c>
      <c r="B402" s="62">
        <v>228.10973864236982</v>
      </c>
      <c r="C402" s="62">
        <v>225.86016521178055</v>
      </c>
      <c r="D402" s="62">
        <v>226.6233242691645</v>
      </c>
      <c r="E402" s="62">
        <v>38421283.317415088</v>
      </c>
      <c r="F402" s="62" t="s">
        <v>449</v>
      </c>
      <c r="G402" s="25">
        <f t="shared" si="6"/>
        <v>-9.2441783686214585E-4</v>
      </c>
    </row>
    <row r="403" spans="1:7">
      <c r="A403" s="62">
        <v>226.68317988150829</v>
      </c>
      <c r="B403" s="62">
        <v>227.07679626999607</v>
      </c>
      <c r="C403" s="62">
        <v>223.78337307011745</v>
      </c>
      <c r="D403" s="62">
        <v>223.83818041534994</v>
      </c>
      <c r="E403" s="62">
        <v>42285810.326511733</v>
      </c>
      <c r="F403" s="62" t="s">
        <v>450</v>
      </c>
      <c r="G403" s="25">
        <f t="shared" si="6"/>
        <v>1.2710072342793532E-2</v>
      </c>
    </row>
    <row r="404" spans="1:7">
      <c r="A404" s="62">
        <v>221.93985327593427</v>
      </c>
      <c r="B404" s="62">
        <v>225.27313636325468</v>
      </c>
      <c r="C404" s="62">
        <v>220.41521258128549</v>
      </c>
      <c r="D404" s="62">
        <v>221.83023858546935</v>
      </c>
      <c r="E404" s="62">
        <v>54752910.258131042</v>
      </c>
      <c r="F404" s="62" t="s">
        <v>451</v>
      </c>
      <c r="G404" s="25">
        <f t="shared" si="6"/>
        <v>4.9413772966167002E-4</v>
      </c>
    </row>
    <row r="405" spans="1:7">
      <c r="A405" s="62">
        <v>222.66729622174708</v>
      </c>
      <c r="B405" s="62">
        <v>223.16554481476956</v>
      </c>
      <c r="C405" s="62">
        <v>220.36538772198321</v>
      </c>
      <c r="D405" s="62">
        <v>221.01809337884268</v>
      </c>
      <c r="E405" s="62">
        <v>28210152.917312477</v>
      </c>
      <c r="F405" s="62" t="s">
        <v>452</v>
      </c>
      <c r="G405" s="25">
        <f t="shared" si="6"/>
        <v>7.461845397777056E-3</v>
      </c>
    </row>
    <row r="406" spans="1:7">
      <c r="A406" s="62">
        <v>221.23234027384234</v>
      </c>
      <c r="B406" s="62">
        <v>222.0096080789574</v>
      </c>
      <c r="C406" s="62">
        <v>218.94039674593895</v>
      </c>
      <c r="D406" s="62">
        <v>220.2159131440765</v>
      </c>
      <c r="E406" s="62">
        <v>45102453.503538579</v>
      </c>
      <c r="F406" s="62" t="s">
        <v>453</v>
      </c>
      <c r="G406" s="25">
        <f t="shared" si="6"/>
        <v>4.6155934657676756E-3</v>
      </c>
    </row>
    <row r="407" spans="1:7">
      <c r="A407" s="62">
        <v>222.12918774128281</v>
      </c>
      <c r="B407" s="62">
        <v>224.56064087523251</v>
      </c>
      <c r="C407" s="62">
        <v>219.49843517012411</v>
      </c>
      <c r="D407" s="62">
        <v>220.19100071442537</v>
      </c>
      <c r="E407" s="62">
        <v>65506197.021066763</v>
      </c>
      <c r="F407" s="62" t="s">
        <v>454</v>
      </c>
      <c r="G407" s="25">
        <f t="shared" si="6"/>
        <v>8.8022990066298767E-3</v>
      </c>
    </row>
    <row r="408" spans="1:7">
      <c r="A408" s="62">
        <v>225.11867929941769</v>
      </c>
      <c r="B408" s="62">
        <v>229.02494826871398</v>
      </c>
      <c r="C408" s="62">
        <v>224.58057081895342</v>
      </c>
      <c r="D408" s="62">
        <v>228.53666464755193</v>
      </c>
      <c r="E408" s="62">
        <v>64596355.013786785</v>
      </c>
      <c r="F408" s="62" t="s">
        <v>455</v>
      </c>
      <c r="G408" s="25">
        <f t="shared" si="6"/>
        <v>-1.4955960582541228E-2</v>
      </c>
    </row>
    <row r="409" spans="1:7">
      <c r="A409" s="62">
        <v>229.29400250894611</v>
      </c>
      <c r="B409" s="62">
        <v>232.65219802591764</v>
      </c>
      <c r="C409" s="62">
        <v>228.74592905662138</v>
      </c>
      <c r="D409" s="62">
        <v>231.79521044591897</v>
      </c>
      <c r="E409" s="62">
        <v>47236367.20623523</v>
      </c>
      <c r="F409" s="62" t="s">
        <v>456</v>
      </c>
      <c r="G409" s="25">
        <f t="shared" si="6"/>
        <v>-1.0790593697605488E-2</v>
      </c>
    </row>
    <row r="410" spans="1:7">
      <c r="A410" s="62">
        <v>232.85149746312661</v>
      </c>
      <c r="B410" s="62">
        <v>233.50420311998607</v>
      </c>
      <c r="C410" s="62">
        <v>231.50622626196591</v>
      </c>
      <c r="D410" s="62">
        <v>232.28349406708099</v>
      </c>
      <c r="E410" s="62">
        <v>35541743.113765217</v>
      </c>
      <c r="F410" s="62" t="s">
        <v>457</v>
      </c>
      <c r="G410" s="25">
        <f t="shared" si="6"/>
        <v>2.4453024453023886E-3</v>
      </c>
    </row>
    <row r="411" spans="1:7">
      <c r="A411" s="62">
        <v>232.58244322289448</v>
      </c>
      <c r="B411" s="62">
        <v>233.90778448033427</v>
      </c>
      <c r="C411" s="62">
        <v>231.73542061475626</v>
      </c>
      <c r="D411" s="62">
        <v>232.50272344801087</v>
      </c>
      <c r="E411" s="62">
        <v>36213984.851505332</v>
      </c>
      <c r="F411" s="62" t="s">
        <v>458</v>
      </c>
      <c r="G411" s="25">
        <f t="shared" si="6"/>
        <v>3.428767358135687E-4</v>
      </c>
    </row>
    <row r="412" spans="1:7">
      <c r="A412" s="62">
        <v>230.59941382266501</v>
      </c>
      <c r="B412" s="62">
        <v>232.4030737294064</v>
      </c>
      <c r="C412" s="62">
        <v>228.76585900034226</v>
      </c>
      <c r="D412" s="62">
        <v>228.93526352196992</v>
      </c>
      <c r="E412" s="62">
        <v>38938699.018312313</v>
      </c>
      <c r="F412" s="62" t="s">
        <v>459</v>
      </c>
      <c r="G412" s="25">
        <f t="shared" si="6"/>
        <v>7.2690867937668102E-3</v>
      </c>
    </row>
    <row r="413" spans="1:7">
      <c r="A413" s="62">
        <v>229.76235618638722</v>
      </c>
      <c r="B413" s="62">
        <v>230.01148048289846</v>
      </c>
      <c r="C413" s="62">
        <v>227.6099222645301</v>
      </c>
      <c r="D413" s="62">
        <v>229.1744228466207</v>
      </c>
      <c r="E413" s="62">
        <v>31218856.84742545</v>
      </c>
      <c r="F413" s="62" t="s">
        <v>460</v>
      </c>
      <c r="G413" s="25">
        <f t="shared" si="6"/>
        <v>2.5654404730846014E-3</v>
      </c>
    </row>
    <row r="414" spans="1:7">
      <c r="A414" s="62">
        <v>229.95169065173576</v>
      </c>
      <c r="B414" s="62">
        <v>234.32033431535692</v>
      </c>
      <c r="C414" s="62">
        <v>226.96219909360087</v>
      </c>
      <c r="D414" s="62">
        <v>233.26006130940507</v>
      </c>
      <c r="E414" s="62">
        <v>52470774.360662095</v>
      </c>
      <c r="F414" s="62" t="s">
        <v>461</v>
      </c>
      <c r="G414" s="25">
        <f t="shared" si="6"/>
        <v>-1.4183185235816964E-2</v>
      </c>
    </row>
    <row r="415" spans="1:7">
      <c r="A415" s="62">
        <v>235.0338263005651</v>
      </c>
      <c r="B415" s="62">
        <v>235.39256528754129</v>
      </c>
      <c r="C415" s="62">
        <v>231.78524547405851</v>
      </c>
      <c r="D415" s="62">
        <v>233.0657443581263</v>
      </c>
      <c r="E415" s="62">
        <v>38983128.647035822</v>
      </c>
      <c r="F415" s="62" t="s">
        <v>462</v>
      </c>
      <c r="G415" s="25">
        <f t="shared" si="6"/>
        <v>8.4443209269513542E-3</v>
      </c>
    </row>
    <row r="416" spans="1:7">
      <c r="A416" s="62">
        <v>235.65165455591296</v>
      </c>
      <c r="B416" s="62">
        <v>236.0203585147496</v>
      </c>
      <c r="C416" s="62">
        <v>233.62876526824169</v>
      </c>
      <c r="D416" s="62">
        <v>233.62876526824169</v>
      </c>
      <c r="E416" s="62">
        <v>36381909.058761902</v>
      </c>
      <c r="F416" s="62" t="s">
        <v>463</v>
      </c>
      <c r="G416" s="25">
        <f t="shared" si="6"/>
        <v>8.6585625933033317E-3</v>
      </c>
    </row>
    <row r="417" spans="1:7">
      <c r="A417" s="62">
        <v>234.17683872056642</v>
      </c>
      <c r="B417" s="62">
        <v>235.3527054000995</v>
      </c>
      <c r="C417" s="62">
        <v>233.19030650638192</v>
      </c>
      <c r="D417" s="62">
        <v>235.3527054000995</v>
      </c>
      <c r="E417" s="62">
        <v>46594684.511136129</v>
      </c>
      <c r="F417" s="62" t="s">
        <v>464</v>
      </c>
      <c r="G417" s="25">
        <f t="shared" si="6"/>
        <v>-4.9961893471082153E-3</v>
      </c>
    </row>
    <row r="418" spans="1:7">
      <c r="A418" s="62">
        <v>231.33682174033828</v>
      </c>
      <c r="B418" s="62">
        <v>233.03086695661472</v>
      </c>
      <c r="C418" s="62">
        <v>229.712531327085</v>
      </c>
      <c r="D418" s="62">
        <v>232.61233813847585</v>
      </c>
      <c r="E418" s="62">
        <v>33109787.425442129</v>
      </c>
      <c r="F418" s="62" t="s">
        <v>465</v>
      </c>
      <c r="G418" s="25">
        <f t="shared" si="6"/>
        <v>-5.4834425737909642E-3</v>
      </c>
    </row>
    <row r="419" spans="1:7">
      <c r="A419" s="62">
        <v>230.96811778150163</v>
      </c>
      <c r="B419" s="62">
        <v>231.30692682475694</v>
      </c>
      <c r="C419" s="62">
        <v>229.03491324057441</v>
      </c>
      <c r="D419" s="62">
        <v>230.78874828801355</v>
      </c>
      <c r="E419" s="62">
        <v>34202043.394894399</v>
      </c>
      <c r="F419" s="62" t="s">
        <v>466</v>
      </c>
      <c r="G419" s="25">
        <f t="shared" si="6"/>
        <v>7.7720207253872964E-4</v>
      </c>
    </row>
    <row r="420" spans="1:7">
      <c r="A420" s="62">
        <v>233.03086695661472</v>
      </c>
      <c r="B420" s="62">
        <v>236.6581167138184</v>
      </c>
      <c r="C420" s="62">
        <v>231.55605112126818</v>
      </c>
      <c r="D420" s="62">
        <v>232.79170763196393</v>
      </c>
      <c r="E420" s="62">
        <v>64978976.264844485</v>
      </c>
      <c r="F420" s="62" t="s">
        <v>467</v>
      </c>
      <c r="G420" s="25">
        <f t="shared" si="6"/>
        <v>1.0273532811095887E-3</v>
      </c>
    </row>
    <row r="421" spans="1:7">
      <c r="A421" s="62">
        <v>230.48979913220006</v>
      </c>
      <c r="B421" s="62">
        <v>230.91829292219938</v>
      </c>
      <c r="C421" s="62">
        <v>227.79925672987866</v>
      </c>
      <c r="D421" s="62">
        <v>227.89890644848313</v>
      </c>
      <c r="E421" s="62">
        <v>40022275.585432969</v>
      </c>
      <c r="F421" s="62" t="s">
        <v>468</v>
      </c>
      <c r="G421" s="25">
        <f t="shared" si="6"/>
        <v>1.1368605159597811E-2</v>
      </c>
    </row>
    <row r="422" spans="1:7">
      <c r="A422" s="62">
        <v>226.75293468453145</v>
      </c>
      <c r="B422" s="62">
        <v>228.60641945057509</v>
      </c>
      <c r="C422" s="62">
        <v>226.54367027546201</v>
      </c>
      <c r="D422" s="62">
        <v>228.49680476011014</v>
      </c>
      <c r="E422" s="62">
        <v>31870825.572574146</v>
      </c>
      <c r="F422" s="62" t="s">
        <v>469</v>
      </c>
      <c r="G422" s="25">
        <f t="shared" si="6"/>
        <v>-7.6319232446576679E-3</v>
      </c>
    </row>
    <row r="423" spans="1:7">
      <c r="A423" s="62">
        <v>228.23771549173844</v>
      </c>
      <c r="B423" s="62">
        <v>228.69610419731913</v>
      </c>
      <c r="C423" s="62">
        <v>226.37426575383435</v>
      </c>
      <c r="D423" s="62">
        <v>226.98212903732178</v>
      </c>
      <c r="E423" s="62">
        <v>28282612.73055749</v>
      </c>
      <c r="F423" s="62" t="s">
        <v>470</v>
      </c>
      <c r="G423" s="25">
        <f t="shared" si="6"/>
        <v>5.5316533497233866E-3</v>
      </c>
    </row>
    <row r="424" spans="1:7">
      <c r="A424" s="62">
        <v>228.73596408476092</v>
      </c>
      <c r="B424" s="62">
        <v>228.94522849383037</v>
      </c>
      <c r="C424" s="62">
        <v>224.04246233848914</v>
      </c>
      <c r="D424" s="62">
        <v>224.44106121290713</v>
      </c>
      <c r="E424" s="62">
        <v>33709167.943886511</v>
      </c>
      <c r="F424" s="62" t="s">
        <v>471</v>
      </c>
      <c r="G424" s="25">
        <f t="shared" si="6"/>
        <v>1.9135994316920479E-2</v>
      </c>
    </row>
    <row r="425" spans="1:7">
      <c r="A425" s="62">
        <v>224.97916969337143</v>
      </c>
      <c r="B425" s="62">
        <v>225.18843410244085</v>
      </c>
      <c r="C425" s="62">
        <v>222.46799678453812</v>
      </c>
      <c r="D425" s="62">
        <v>223.51431882988533</v>
      </c>
      <c r="E425" s="62">
        <v>31967669.799885035</v>
      </c>
      <c r="F425" s="62" t="s">
        <v>472</v>
      </c>
      <c r="G425" s="25">
        <f t="shared" si="6"/>
        <v>6.5537226928220615E-3</v>
      </c>
    </row>
    <row r="426" spans="1:7">
      <c r="A426" s="62">
        <v>220.91346117430797</v>
      </c>
      <c r="B426" s="62">
        <v>224.89944991848782</v>
      </c>
      <c r="C426" s="62">
        <v>220.55472218733178</v>
      </c>
      <c r="D426" s="62">
        <v>223.71361826709432</v>
      </c>
      <c r="E426" s="62">
        <v>39644220.328202166</v>
      </c>
      <c r="F426" s="62" t="s">
        <v>473</v>
      </c>
      <c r="G426" s="25">
        <f t="shared" si="6"/>
        <v>-1.2516703786191519E-2</v>
      </c>
    </row>
    <row r="427" spans="1:7">
      <c r="A427" s="62">
        <v>226.00556179499773</v>
      </c>
      <c r="B427" s="62">
        <v>227.20135841825169</v>
      </c>
      <c r="C427" s="62">
        <v>223.34491430825767</v>
      </c>
      <c r="D427" s="62">
        <v>227.10170869964719</v>
      </c>
      <c r="E427" s="62">
        <v>37476370.754462853</v>
      </c>
      <c r="F427" s="62" t="s">
        <v>474</v>
      </c>
      <c r="G427" s="25">
        <f t="shared" si="6"/>
        <v>-4.8266783677051173E-3</v>
      </c>
    </row>
    <row r="428" spans="1:7">
      <c r="A428" s="62">
        <v>224.87951997476691</v>
      </c>
      <c r="B428" s="62">
        <v>226.01054428092795</v>
      </c>
      <c r="C428" s="62">
        <v>222.53775158756125</v>
      </c>
      <c r="D428" s="62">
        <v>224.35137646616306</v>
      </c>
      <c r="E428" s="62">
        <v>34163827.531835973</v>
      </c>
      <c r="F428" s="62" t="s">
        <v>475</v>
      </c>
      <c r="G428" s="25">
        <f t="shared" si="6"/>
        <v>2.3540907879542328E-3</v>
      </c>
    </row>
    <row r="429" spans="1:7">
      <c r="A429" s="62">
        <v>225.98563185127682</v>
      </c>
      <c r="B429" s="62">
        <v>226.57356519104337</v>
      </c>
      <c r="C429" s="62">
        <v>222.23880243174779</v>
      </c>
      <c r="D429" s="62">
        <v>225.09874935569678</v>
      </c>
      <c r="E429" s="62">
        <v>32996184.495513845</v>
      </c>
      <c r="F429" s="62" t="s">
        <v>476</v>
      </c>
      <c r="G429" s="25">
        <f t="shared" si="6"/>
        <v>3.9399707822391772E-3</v>
      </c>
    </row>
    <row r="430" spans="1:7">
      <c r="A430" s="62">
        <v>225.41762845523121</v>
      </c>
      <c r="B430" s="62">
        <v>228.84557877522587</v>
      </c>
      <c r="C430" s="62">
        <v>222.95628040570014</v>
      </c>
      <c r="D430" s="62">
        <v>228.71603414104004</v>
      </c>
      <c r="E430" s="62">
        <v>63507502.967644587</v>
      </c>
      <c r="F430" s="62" t="s">
        <v>477</v>
      </c>
      <c r="G430" s="25">
        <f t="shared" si="6"/>
        <v>-1.442140118508195E-2</v>
      </c>
    </row>
    <row r="431" spans="1:7">
      <c r="A431" s="62">
        <v>232.1838443484765</v>
      </c>
      <c r="B431" s="62">
        <v>232.1838443484765</v>
      </c>
      <c r="C431" s="62">
        <v>228.84557877522587</v>
      </c>
      <c r="D431" s="62">
        <v>229.2342126777834</v>
      </c>
      <c r="E431" s="62">
        <v>54985996.716630608</v>
      </c>
      <c r="F431" s="62" t="s">
        <v>478</v>
      </c>
      <c r="G431" s="25">
        <f t="shared" si="6"/>
        <v>1.286732742131802E-2</v>
      </c>
    </row>
    <row r="432" spans="1:7">
      <c r="A432" s="62">
        <v>226.99209400918224</v>
      </c>
      <c r="B432" s="62">
        <v>228.71603414104004</v>
      </c>
      <c r="C432" s="62">
        <v>226.50381038802021</v>
      </c>
      <c r="D432" s="62">
        <v>227.65974712383237</v>
      </c>
      <c r="E432" s="62">
        <v>34145572.588164531</v>
      </c>
      <c r="F432" s="62" t="s">
        <v>479</v>
      </c>
      <c r="G432" s="25">
        <f t="shared" si="6"/>
        <v>-2.9326796813446965E-3</v>
      </c>
    </row>
    <row r="433" spans="1:7">
      <c r="A433" s="62">
        <v>226.72303976895012</v>
      </c>
      <c r="B433" s="62">
        <v>227.69960701127417</v>
      </c>
      <c r="C433" s="62">
        <v>224.62043070639521</v>
      </c>
      <c r="D433" s="62">
        <v>226.50381038802021</v>
      </c>
      <c r="E433" s="62">
        <v>36765489.670280807</v>
      </c>
      <c r="F433" s="62" t="s">
        <v>480</v>
      </c>
      <c r="G433" s="25">
        <f t="shared" si="6"/>
        <v>9.6788385393753451E-4</v>
      </c>
    </row>
    <row r="434" spans="1:7">
      <c r="A434" s="62">
        <v>225.57706800499838</v>
      </c>
      <c r="B434" s="62">
        <v>226.49384541615976</v>
      </c>
      <c r="C434" s="62">
        <v>223.23529961779275</v>
      </c>
      <c r="D434" s="62">
        <v>224.14211205709364</v>
      </c>
      <c r="E434" s="62">
        <v>42457435.497555897</v>
      </c>
      <c r="F434" s="62" t="s">
        <v>481</v>
      </c>
      <c r="G434" s="25">
        <f t="shared" si="6"/>
        <v>6.4019917307607255E-3</v>
      </c>
    </row>
    <row r="435" spans="1:7">
      <c r="A435" s="62">
        <v>226.57356519104337</v>
      </c>
      <c r="B435" s="62">
        <v>228.54662961941239</v>
      </c>
      <c r="C435" s="62">
        <v>224.93930980592961</v>
      </c>
      <c r="D435" s="62">
        <v>227.8440991032507</v>
      </c>
      <c r="E435" s="62">
        <v>43709173.101503052</v>
      </c>
      <c r="F435" s="62" t="s">
        <v>482</v>
      </c>
      <c r="G435" s="25">
        <f t="shared" si="6"/>
        <v>-5.5763301187430336E-3</v>
      </c>
    </row>
    <row r="436" spans="1:7">
      <c r="A436" s="62">
        <v>225.67671772360288</v>
      </c>
      <c r="B436" s="62">
        <v>228.64627933801685</v>
      </c>
      <c r="C436" s="62">
        <v>225.01902958081322</v>
      </c>
      <c r="D436" s="62">
        <v>226.54367027546201</v>
      </c>
      <c r="E436" s="62">
        <v>54336353.136030681</v>
      </c>
      <c r="F436" s="62" t="s">
        <v>483</v>
      </c>
      <c r="G436" s="25">
        <f t="shared" si="6"/>
        <v>-3.8268672472948628E-3</v>
      </c>
    </row>
    <row r="437" spans="1:7">
      <c r="A437" s="62">
        <v>227.40065785546065</v>
      </c>
      <c r="B437" s="62">
        <v>232.27352909522054</v>
      </c>
      <c r="C437" s="62">
        <v>226.82268948755461</v>
      </c>
      <c r="D437" s="62">
        <v>229.16445787476025</v>
      </c>
      <c r="E437" s="62">
        <v>319800088.21181023</v>
      </c>
      <c r="F437" s="62" t="s">
        <v>484</v>
      </c>
      <c r="G437" s="25">
        <f t="shared" si="6"/>
        <v>-7.6966560855764588E-3</v>
      </c>
    </row>
    <row r="438" spans="1:7">
      <c r="A438" s="62">
        <v>228.06831097011082</v>
      </c>
      <c r="B438" s="62">
        <v>229.0149832968535</v>
      </c>
      <c r="C438" s="62">
        <v>223.84316290128015</v>
      </c>
      <c r="D438" s="62">
        <v>224.20190188825634</v>
      </c>
      <c r="E438" s="62">
        <v>67016059.789442018</v>
      </c>
      <c r="F438" s="62" t="s">
        <v>485</v>
      </c>
      <c r="G438" s="25">
        <f t="shared" si="6"/>
        <v>1.7245210898262142E-2</v>
      </c>
    </row>
    <row r="439" spans="1:7">
      <c r="A439" s="62">
        <v>219.91696398826301</v>
      </c>
      <c r="B439" s="62">
        <v>221.92988830407384</v>
      </c>
      <c r="C439" s="62">
        <v>216.77799785222135</v>
      </c>
      <c r="D439" s="62">
        <v>216.78796282408183</v>
      </c>
      <c r="E439" s="62">
        <v>60105466.26601056</v>
      </c>
      <c r="F439" s="62" t="s">
        <v>486</v>
      </c>
      <c r="G439" s="25">
        <f t="shared" si="6"/>
        <v>1.4433463571592586E-2</v>
      </c>
    </row>
    <row r="440" spans="1:7">
      <c r="A440" s="62">
        <v>216.03062496268763</v>
      </c>
      <c r="B440" s="62">
        <v>216.14023965315261</v>
      </c>
      <c r="C440" s="62">
        <v>213.74864640664467</v>
      </c>
      <c r="D440" s="62">
        <v>214.99426788920087</v>
      </c>
      <c r="E440" s="62">
        <v>45679345.247991592</v>
      </c>
      <c r="F440" s="62" t="s">
        <v>487</v>
      </c>
      <c r="G440" s="25">
        <f t="shared" si="6"/>
        <v>4.8203939745075086E-3</v>
      </c>
    </row>
    <row r="441" spans="1:7">
      <c r="A441" s="62">
        <v>215.56227128524651</v>
      </c>
      <c r="B441" s="62">
        <v>216.45911875268698</v>
      </c>
      <c r="C441" s="62">
        <v>213.17067803873857</v>
      </c>
      <c r="D441" s="62">
        <v>215.78150066617638</v>
      </c>
      <c r="E441" s="62">
        <v>59566075.88184569</v>
      </c>
      <c r="F441" s="62" t="s">
        <v>488</v>
      </c>
      <c r="G441" s="25">
        <f t="shared" si="6"/>
        <v>-1.0159785720882386E-3</v>
      </c>
    </row>
    <row r="442" spans="1:7">
      <c r="A442" s="62">
        <v>221.72062389500439</v>
      </c>
      <c r="B442" s="62">
        <v>223.25522956151363</v>
      </c>
      <c r="C442" s="62">
        <v>221.13269055523784</v>
      </c>
      <c r="D442" s="62">
        <v>222.79684085593294</v>
      </c>
      <c r="E442" s="62">
        <v>36895858.327432379</v>
      </c>
      <c r="F442" s="62" t="s">
        <v>489</v>
      </c>
      <c r="G442" s="25">
        <f t="shared" si="6"/>
        <v>-4.8304857321763706E-3</v>
      </c>
    </row>
    <row r="443" spans="1:7">
      <c r="A443" s="62">
        <v>221.98967813523655</v>
      </c>
      <c r="B443" s="62">
        <v>222.7669459403516</v>
      </c>
      <c r="C443" s="62">
        <v>219.05001143640388</v>
      </c>
      <c r="D443" s="62">
        <v>221.72062389500439</v>
      </c>
      <c r="E443" s="62">
        <v>37630036.015282862</v>
      </c>
      <c r="F443" s="62" t="s">
        <v>490</v>
      </c>
      <c r="G443" s="25">
        <f t="shared" si="6"/>
        <v>1.2134831460675066E-3</v>
      </c>
    </row>
    <row r="444" spans="1:7">
      <c r="A444" s="62">
        <v>221.88006344477157</v>
      </c>
      <c r="B444" s="62">
        <v>222.30855723477092</v>
      </c>
      <c r="C444" s="62">
        <v>217.12677186733708</v>
      </c>
      <c r="D444" s="62">
        <v>220.6792843355874</v>
      </c>
      <c r="E444" s="62">
        <v>44743801.211284265</v>
      </c>
      <c r="F444" s="62" t="s">
        <v>491</v>
      </c>
      <c r="G444" s="25">
        <f t="shared" ref="G444:G507" si="7">A444/D444-1</f>
        <v>5.4412860400532281E-3</v>
      </c>
    </row>
    <row r="445" spans="1:7">
      <c r="A445" s="62">
        <v>219.33899562035694</v>
      </c>
      <c r="B445" s="62">
        <v>220.70419676523852</v>
      </c>
      <c r="C445" s="62">
        <v>215.97083513152492</v>
      </c>
      <c r="D445" s="62">
        <v>218.15316396896341</v>
      </c>
      <c r="E445" s="62">
        <v>51772382.022232957</v>
      </c>
      <c r="F445" s="62" t="s">
        <v>492</v>
      </c>
      <c r="G445" s="25">
        <f t="shared" si="7"/>
        <v>5.4357756257994438E-3</v>
      </c>
    </row>
    <row r="446" spans="1:7">
      <c r="A446" s="62">
        <v>220.13619336919288</v>
      </c>
      <c r="B446" s="62">
        <v>220.49493235616907</v>
      </c>
      <c r="C446" s="62">
        <v>215.95090518780404</v>
      </c>
      <c r="D446" s="62">
        <v>220.04650862244884</v>
      </c>
      <c r="E446" s="62">
        <v>67416111.094736934</v>
      </c>
      <c r="F446" s="62" t="s">
        <v>493</v>
      </c>
      <c r="G446" s="25">
        <f t="shared" si="7"/>
        <v>4.0757177791861388E-4</v>
      </c>
    </row>
    <row r="447" spans="1:7">
      <c r="A447" s="62">
        <v>220.04650862244884</v>
      </c>
      <c r="B447" s="62">
        <v>224.45102618476758</v>
      </c>
      <c r="C447" s="62">
        <v>219.00018657710163</v>
      </c>
      <c r="D447" s="62">
        <v>223.16554481476956</v>
      </c>
      <c r="E447" s="62">
        <v>48593224.023228779</v>
      </c>
      <c r="F447" s="62" t="s">
        <v>494</v>
      </c>
      <c r="G447" s="25">
        <f t="shared" si="7"/>
        <v>-1.397633400312559E-2</v>
      </c>
    </row>
    <row r="448" spans="1:7">
      <c r="A448" s="62">
        <v>221.60104423267899</v>
      </c>
      <c r="B448" s="62">
        <v>224.69018550941837</v>
      </c>
      <c r="C448" s="62">
        <v>220.74405665268031</v>
      </c>
      <c r="D448" s="62">
        <v>220.84868885721505</v>
      </c>
      <c r="E448" s="62">
        <v>36744105.766444035</v>
      </c>
      <c r="F448" s="62" t="s">
        <v>495</v>
      </c>
      <c r="G448" s="25">
        <f t="shared" si="7"/>
        <v>3.4066553863507654E-3</v>
      </c>
    </row>
    <row r="449" spans="1:7">
      <c r="A449" s="62">
        <v>220.07640353803018</v>
      </c>
      <c r="B449" s="62">
        <v>221.00314592105201</v>
      </c>
      <c r="C449" s="62">
        <v>216.71820802105864</v>
      </c>
      <c r="D449" s="62">
        <v>220.8835662587266</v>
      </c>
      <c r="E449" s="62">
        <v>43994299.847447701</v>
      </c>
      <c r="F449" s="62" t="s">
        <v>496</v>
      </c>
      <c r="G449" s="25">
        <f t="shared" si="7"/>
        <v>-3.6542452404584314E-3</v>
      </c>
    </row>
    <row r="450" spans="1:7">
      <c r="A450" s="62">
        <v>221.98967813523655</v>
      </c>
      <c r="B450" s="62">
        <v>228.19785560429665</v>
      </c>
      <c r="C450" s="62">
        <v>220.39528263756458</v>
      </c>
      <c r="D450" s="62">
        <v>227.74943187057642</v>
      </c>
      <c r="E450" s="62">
        <v>50367000.231283464</v>
      </c>
      <c r="F450" s="62" t="s">
        <v>497</v>
      </c>
      <c r="G450" s="25">
        <f t="shared" si="7"/>
        <v>-2.5289870925399138E-2</v>
      </c>
    </row>
    <row r="451" spans="1:7">
      <c r="A451" s="62">
        <v>228.19785560429665</v>
      </c>
      <c r="B451" s="62">
        <v>229.5929516647596</v>
      </c>
      <c r="C451" s="62">
        <v>226.68317988150829</v>
      </c>
      <c r="D451" s="62">
        <v>229.38368725569015</v>
      </c>
      <c r="E451" s="62">
        <v>53177039.27526091</v>
      </c>
      <c r="F451" s="62" t="s">
        <v>498</v>
      </c>
      <c r="G451" s="25">
        <f t="shared" si="7"/>
        <v>-5.1696424692644349E-3</v>
      </c>
    </row>
    <row r="452" spans="1:7">
      <c r="A452" s="62">
        <v>228.98508838127216</v>
      </c>
      <c r="B452" s="62">
        <v>232.10412457359288</v>
      </c>
      <c r="C452" s="62">
        <v>228.07827594197124</v>
      </c>
      <c r="D452" s="62">
        <v>229.29400250894611</v>
      </c>
      <c r="E452" s="62">
        <v>52088754.215165347</v>
      </c>
      <c r="F452" s="62" t="s">
        <v>499</v>
      </c>
      <c r="G452" s="25">
        <f t="shared" si="7"/>
        <v>-1.3472403302912106E-3</v>
      </c>
    </row>
    <row r="453" spans="1:7">
      <c r="A453" s="62">
        <v>225.69664766732379</v>
      </c>
      <c r="B453" s="62">
        <v>229.05484318429532</v>
      </c>
      <c r="C453" s="62">
        <v>224.88948494662736</v>
      </c>
      <c r="D453" s="62">
        <v>227.12163864336807</v>
      </c>
      <c r="E453" s="62">
        <v>38185925.191647284</v>
      </c>
      <c r="F453" s="62" t="s">
        <v>500</v>
      </c>
      <c r="G453" s="25">
        <f t="shared" si="7"/>
        <v>-6.2741312741312338E-3</v>
      </c>
    </row>
    <row r="454" spans="1:7">
      <c r="A454" s="62">
        <v>227.23125333383302</v>
      </c>
      <c r="B454" s="62">
        <v>228.0483810263899</v>
      </c>
      <c r="C454" s="62">
        <v>224.10225216965182</v>
      </c>
      <c r="D454" s="62">
        <v>225.20338156023152</v>
      </c>
      <c r="E454" s="62">
        <v>36060873.531035319</v>
      </c>
      <c r="F454" s="62" t="s">
        <v>501</v>
      </c>
      <c r="G454" s="25">
        <f t="shared" si="7"/>
        <v>9.0046239961061314E-3</v>
      </c>
    </row>
    <row r="455" spans="1:7">
      <c r="A455" s="62">
        <v>226.38423072569481</v>
      </c>
      <c r="B455" s="62">
        <v>226.4838804442993</v>
      </c>
      <c r="C455" s="62">
        <v>223.10625323219992</v>
      </c>
      <c r="D455" s="62">
        <v>225.96570190755591</v>
      </c>
      <c r="E455" s="62">
        <v>30709778.641180407</v>
      </c>
      <c r="F455" s="62" t="s">
        <v>502</v>
      </c>
      <c r="G455" s="25">
        <f t="shared" si="7"/>
        <v>1.8521785147291858E-3</v>
      </c>
    </row>
    <row r="456" spans="1:7">
      <c r="A456" s="62">
        <v>226.04542168243952</v>
      </c>
      <c r="B456" s="62">
        <v>227.42058779918156</v>
      </c>
      <c r="C456" s="62">
        <v>223.54421374546666</v>
      </c>
      <c r="D456" s="62">
        <v>224.86845885600181</v>
      </c>
      <c r="E456" s="62">
        <v>38813205.437646687</v>
      </c>
      <c r="F456" s="62" t="s">
        <v>503</v>
      </c>
      <c r="G456" s="25">
        <f t="shared" si="7"/>
        <v>5.2340058380149213E-3</v>
      </c>
    </row>
    <row r="457" spans="1:7">
      <c r="A457" s="62">
        <v>223.74351318267566</v>
      </c>
      <c r="B457" s="62">
        <v>227.54016746150697</v>
      </c>
      <c r="C457" s="62">
        <v>223.11571995546734</v>
      </c>
      <c r="D457" s="62">
        <v>226.99209400918224</v>
      </c>
      <c r="E457" s="62">
        <v>43848915.593453966</v>
      </c>
      <c r="F457" s="62" t="s">
        <v>504</v>
      </c>
      <c r="G457" s="25">
        <f t="shared" si="7"/>
        <v>-1.4311427191711634E-2</v>
      </c>
    </row>
    <row r="458" spans="1:7">
      <c r="A458" s="62">
        <v>225.60696292057975</v>
      </c>
      <c r="B458" s="62">
        <v>227.18142847453078</v>
      </c>
      <c r="C458" s="62">
        <v>224.26169171941905</v>
      </c>
      <c r="D458" s="62">
        <v>225.72654258290515</v>
      </c>
      <c r="E458" s="62">
        <v>34887685.07012254</v>
      </c>
      <c r="F458" s="62" t="s">
        <v>505</v>
      </c>
      <c r="G458" s="25">
        <f t="shared" si="7"/>
        <v>-5.2975454705994629E-4</v>
      </c>
    </row>
    <row r="459" spans="1:7">
      <c r="A459" s="62">
        <v>225.71657761104467</v>
      </c>
      <c r="B459" s="62">
        <v>226.37426575383435</v>
      </c>
      <c r="C459" s="62">
        <v>224.660290593837</v>
      </c>
      <c r="D459" s="62">
        <v>224.97916969337143</v>
      </c>
      <c r="E459" s="62">
        <v>30405537.942615785</v>
      </c>
      <c r="F459" s="62" t="s">
        <v>506</v>
      </c>
      <c r="G459" s="25">
        <f t="shared" si="7"/>
        <v>3.2776719670459808E-3</v>
      </c>
    </row>
    <row r="460" spans="1:7">
      <c r="A460" s="62">
        <v>225.09874935569678</v>
      </c>
      <c r="B460" s="62">
        <v>225.19839907430131</v>
      </c>
      <c r="C460" s="62">
        <v>222.25873237546867</v>
      </c>
      <c r="D460" s="62">
        <v>224.92934483406916</v>
      </c>
      <c r="E460" s="62">
        <v>40830835.821511395</v>
      </c>
      <c r="F460" s="62" t="s">
        <v>507</v>
      </c>
      <c r="G460" s="25">
        <f t="shared" si="7"/>
        <v>7.5314548998761666E-4</v>
      </c>
    </row>
    <row r="461" spans="1:7">
      <c r="A461" s="62">
        <v>225.25818890546401</v>
      </c>
      <c r="B461" s="62">
        <v>226.03256686873954</v>
      </c>
      <c r="C461" s="62">
        <v>222.86669530867471</v>
      </c>
      <c r="D461" s="62">
        <v>223.13564989918822</v>
      </c>
      <c r="E461" s="62">
        <v>44496101.565508381</v>
      </c>
      <c r="F461" s="62" t="s">
        <v>508</v>
      </c>
      <c r="G461" s="25">
        <f t="shared" si="7"/>
        <v>9.5123258306539782E-3</v>
      </c>
    </row>
    <row r="462" spans="1:7">
      <c r="A462" s="62">
        <v>223.93284764802419</v>
      </c>
      <c r="B462" s="62">
        <v>224.56064087523251</v>
      </c>
      <c r="C462" s="62">
        <v>221.97971316337606</v>
      </c>
      <c r="D462" s="62">
        <v>223.81326798569879</v>
      </c>
      <c r="E462" s="62">
        <v>46577164.1405375</v>
      </c>
      <c r="F462" s="62" t="s">
        <v>509</v>
      </c>
      <c r="G462" s="25">
        <f t="shared" si="7"/>
        <v>5.3428317008008541E-4</v>
      </c>
    </row>
    <row r="463" spans="1:7">
      <c r="A463" s="62">
        <v>220.94335608988931</v>
      </c>
      <c r="B463" s="62">
        <v>222.24876740360821</v>
      </c>
      <c r="C463" s="62">
        <v>218.93043177407847</v>
      </c>
      <c r="D463" s="62">
        <v>219.7973843259376</v>
      </c>
      <c r="E463" s="62">
        <v>42108070.737800032</v>
      </c>
      <c r="F463" s="62" t="s">
        <v>510</v>
      </c>
      <c r="G463" s="25">
        <f t="shared" si="7"/>
        <v>5.2137643378520337E-3</v>
      </c>
    </row>
    <row r="464" spans="1:7">
      <c r="A464" s="62">
        <v>220.49493235616907</v>
      </c>
      <c r="B464" s="62">
        <v>221.11276061151693</v>
      </c>
      <c r="C464" s="62">
        <v>218.24284871570745</v>
      </c>
      <c r="D464" s="62">
        <v>218.24284871570745</v>
      </c>
      <c r="E464" s="62">
        <v>44310542.586928733</v>
      </c>
      <c r="F464" s="62" t="s">
        <v>511</v>
      </c>
      <c r="G464" s="25">
        <f t="shared" si="7"/>
        <v>1.0319163508515583E-2</v>
      </c>
    </row>
    <row r="465" spans="1:7">
      <c r="A465" s="62">
        <v>216.76803288036092</v>
      </c>
      <c r="B465" s="62">
        <v>218.74099765901133</v>
      </c>
      <c r="C465" s="62">
        <v>214.84479331129413</v>
      </c>
      <c r="D465" s="62">
        <v>215.31314698873527</v>
      </c>
      <c r="E465" s="62">
        <v>38161765.564969808</v>
      </c>
      <c r="F465" s="62" t="s">
        <v>512</v>
      </c>
      <c r="G465" s="25">
        <f t="shared" si="7"/>
        <v>6.7570694682279608E-3</v>
      </c>
    </row>
    <row r="466" spans="1:7">
      <c r="A466" s="62">
        <v>215.23342721385168</v>
      </c>
      <c r="B466" s="62">
        <v>215.77091357481856</v>
      </c>
      <c r="C466" s="62">
        <v>210.98330358176165</v>
      </c>
      <c r="D466" s="62">
        <v>211.11269844643886</v>
      </c>
      <c r="E466" s="62">
        <v>42399008.598106377</v>
      </c>
      <c r="F466" s="62" t="s">
        <v>513</v>
      </c>
      <c r="G466" s="25">
        <f t="shared" si="7"/>
        <v>1.9519094766619505E-2</v>
      </c>
    </row>
    <row r="467" spans="1:7">
      <c r="A467" s="62">
        <v>212.31706603304985</v>
      </c>
      <c r="B467" s="62">
        <v>213.20292318353231</v>
      </c>
      <c r="C467" s="62">
        <v>207.85791992725049</v>
      </c>
      <c r="D467" s="62">
        <v>212.11799701046954</v>
      </c>
      <c r="E467" s="62">
        <v>47381705.489581518</v>
      </c>
      <c r="F467" s="62" t="s">
        <v>514</v>
      </c>
      <c r="G467" s="25">
        <f t="shared" si="7"/>
        <v>9.3848247383965244E-4</v>
      </c>
    </row>
    <row r="468" spans="1:7">
      <c r="A468" s="62">
        <v>208.8433115890231</v>
      </c>
      <c r="B468" s="62">
        <v>212.64552992030738</v>
      </c>
      <c r="C468" s="62">
        <v>205.42927785177048</v>
      </c>
      <c r="D468" s="62">
        <v>205.93690385935034</v>
      </c>
      <c r="E468" s="62">
        <v>63813461.458444297</v>
      </c>
      <c r="F468" s="62" t="s">
        <v>515</v>
      </c>
      <c r="G468" s="25">
        <f t="shared" si="7"/>
        <v>1.4113098115031253E-2</v>
      </c>
    </row>
    <row r="469" spans="1:7">
      <c r="A469" s="62">
        <v>206.26536774660786</v>
      </c>
      <c r="B469" s="62">
        <v>209.0125202582164</v>
      </c>
      <c r="C469" s="62">
        <v>200.13404185113373</v>
      </c>
      <c r="D469" s="62">
        <v>204.34435167870771</v>
      </c>
      <c r="E469" s="62">
        <v>69986266.167444885</v>
      </c>
      <c r="F469" s="62" t="s">
        <v>516</v>
      </c>
      <c r="G469" s="25">
        <f t="shared" si="7"/>
        <v>9.4008767657085546E-3</v>
      </c>
    </row>
    <row r="470" spans="1:7">
      <c r="A470" s="62">
        <v>208.29587177692721</v>
      </c>
      <c r="B470" s="62">
        <v>212.50618160450117</v>
      </c>
      <c r="C470" s="62">
        <v>195.08764212872239</v>
      </c>
      <c r="D470" s="62">
        <v>198.16325852758848</v>
      </c>
      <c r="E470" s="62">
        <v>120107676.67456585</v>
      </c>
      <c r="F470" s="62" t="s">
        <v>517</v>
      </c>
      <c r="G470" s="25">
        <f t="shared" si="7"/>
        <v>5.1132653573760622E-2</v>
      </c>
    </row>
    <row r="471" spans="1:7">
      <c r="A471" s="62">
        <v>218.83657652255565</v>
      </c>
      <c r="B471" s="62">
        <v>224.54985747061107</v>
      </c>
      <c r="C471" s="62">
        <v>216.6965845298171</v>
      </c>
      <c r="D471" s="62">
        <v>218.12988149239547</v>
      </c>
      <c r="E471" s="62">
        <v>106062267.88238801</v>
      </c>
      <c r="F471" s="62" t="s">
        <v>518</v>
      </c>
      <c r="G471" s="25">
        <f t="shared" si="7"/>
        <v>3.2397900981062655E-3</v>
      </c>
    </row>
    <row r="472" spans="1:7">
      <c r="A472" s="62">
        <v>217.34355885320318</v>
      </c>
      <c r="B472" s="62">
        <v>223.43507094416123</v>
      </c>
      <c r="C472" s="62">
        <v>216.00979640191497</v>
      </c>
      <c r="D472" s="62">
        <v>223.32558298174206</v>
      </c>
      <c r="E472" s="62">
        <v>62793291.683319941</v>
      </c>
      <c r="F472" s="62" t="s">
        <v>519</v>
      </c>
      <c r="G472" s="25">
        <f t="shared" si="7"/>
        <v>-2.6786112225342107E-2</v>
      </c>
    </row>
    <row r="473" spans="1:7">
      <c r="A473" s="62">
        <v>221.0462426731973</v>
      </c>
      <c r="B473" s="62">
        <v>222.77814316964614</v>
      </c>
      <c r="C473" s="62">
        <v>219.60299225948989</v>
      </c>
      <c r="D473" s="62">
        <v>220.40922180094023</v>
      </c>
      <c r="E473" s="62">
        <v>50270264.405210719</v>
      </c>
      <c r="F473" s="62" t="s">
        <v>520</v>
      </c>
      <c r="G473" s="25">
        <f t="shared" si="7"/>
        <v>2.8901734104047616E-3</v>
      </c>
    </row>
    <row r="474" spans="1:7">
      <c r="A474" s="62">
        <v>217.7815107028799</v>
      </c>
      <c r="B474" s="62">
        <v>219.2994120000549</v>
      </c>
      <c r="C474" s="62">
        <v>215.11398580030348</v>
      </c>
      <c r="D474" s="62">
        <v>218.16969529691153</v>
      </c>
      <c r="E474" s="62">
        <v>41838593.931103215</v>
      </c>
      <c r="F474" s="62" t="s">
        <v>521</v>
      </c>
      <c r="G474" s="25">
        <f t="shared" si="7"/>
        <v>-1.7792782517449535E-3</v>
      </c>
    </row>
    <row r="475" spans="1:7">
      <c r="A475" s="62">
        <v>217.22411743965498</v>
      </c>
      <c r="B475" s="62">
        <v>218.27918325933072</v>
      </c>
      <c r="C475" s="62">
        <v>214.74570810852987</v>
      </c>
      <c r="D475" s="62">
        <v>215.95007569514087</v>
      </c>
      <c r="E475" s="62">
        <v>36481595.709194139</v>
      </c>
      <c r="F475" s="62" t="s">
        <v>522</v>
      </c>
      <c r="G475" s="25">
        <f t="shared" si="7"/>
        <v>5.8997050147493457E-3</v>
      </c>
    </row>
    <row r="476" spans="1:7">
      <c r="A476" s="62">
        <v>216.94542080804251</v>
      </c>
      <c r="B476" s="62">
        <v>218.46829883078203</v>
      </c>
      <c r="C476" s="62">
        <v>215.00449783788429</v>
      </c>
      <c r="D476" s="62">
        <v>217.68197619158971</v>
      </c>
      <c r="E476" s="62">
        <v>41795900.196589246</v>
      </c>
      <c r="F476" s="62" t="s">
        <v>523</v>
      </c>
      <c r="G476" s="25">
        <f t="shared" si="7"/>
        <v>-3.383630544124272E-3</v>
      </c>
    </row>
    <row r="477" spans="1:7">
      <c r="A477" s="62">
        <v>216.47760860497874</v>
      </c>
      <c r="B477" s="62">
        <v>219.82196818432826</v>
      </c>
      <c r="C477" s="62">
        <v>213.62096813095101</v>
      </c>
      <c r="D477" s="62">
        <v>217.91090556755711</v>
      </c>
      <c r="E477" s="62">
        <v>51631537.980011389</v>
      </c>
      <c r="F477" s="62" t="s">
        <v>524</v>
      </c>
      <c r="G477" s="25">
        <f t="shared" si="7"/>
        <v>-6.5774448453843615E-3</v>
      </c>
    </row>
    <row r="478" spans="1:7">
      <c r="A478" s="62">
        <v>217.52272097352545</v>
      </c>
      <c r="B478" s="62">
        <v>223.75358138028977</v>
      </c>
      <c r="C478" s="62">
        <v>216.11928436433413</v>
      </c>
      <c r="D478" s="62">
        <v>222.95730528996845</v>
      </c>
      <c r="E478" s="62">
        <v>62066488.496542767</v>
      </c>
      <c r="F478" s="62" t="s">
        <v>525</v>
      </c>
      <c r="G478" s="25">
        <f t="shared" si="7"/>
        <v>-2.4375000000000036E-2</v>
      </c>
    </row>
    <row r="479" spans="1:7">
      <c r="A479" s="62">
        <v>223.9626038539991</v>
      </c>
      <c r="B479" s="62">
        <v>225.88361992189928</v>
      </c>
      <c r="C479" s="62">
        <v>221.64344974093828</v>
      </c>
      <c r="D479" s="62">
        <v>223.32060625617754</v>
      </c>
      <c r="E479" s="62">
        <v>40147140.405911326</v>
      </c>
      <c r="F479" s="62" t="s">
        <v>526</v>
      </c>
      <c r="G479" s="25">
        <f t="shared" si="7"/>
        <v>2.8747799344817082E-3</v>
      </c>
    </row>
    <row r="480" spans="1:7">
      <c r="A480" s="62">
        <v>222.91749148545239</v>
      </c>
      <c r="B480" s="62">
        <v>226.71970981673667</v>
      </c>
      <c r="C480" s="62">
        <v>222.05154123722795</v>
      </c>
      <c r="D480" s="62">
        <v>225.95329407980239</v>
      </c>
      <c r="E480" s="62">
        <v>48427258.420429967</v>
      </c>
      <c r="F480" s="62" t="s">
        <v>527</v>
      </c>
      <c r="G480" s="25">
        <f t="shared" si="7"/>
        <v>-1.3435531474384366E-2</v>
      </c>
    </row>
    <row r="481" spans="1:7">
      <c r="A481" s="62">
        <v>223.26586227496796</v>
      </c>
      <c r="B481" s="62">
        <v>225.74427160609306</v>
      </c>
      <c r="C481" s="62">
        <v>222.23568008311477</v>
      </c>
      <c r="D481" s="62">
        <v>223.77348828254779</v>
      </c>
      <c r="E481" s="62">
        <v>49381317.457532853</v>
      </c>
      <c r="F481" s="62" t="s">
        <v>528</v>
      </c>
      <c r="G481" s="25">
        <f t="shared" si="7"/>
        <v>-2.2684814518281193E-3</v>
      </c>
    </row>
    <row r="482" spans="1:7">
      <c r="A482" s="62">
        <v>223.13646741029075</v>
      </c>
      <c r="B482" s="62">
        <v>229.36732781705504</v>
      </c>
      <c r="C482" s="62">
        <v>221.23535824464861</v>
      </c>
      <c r="D482" s="62">
        <v>229.20807259899078</v>
      </c>
      <c r="E482" s="62">
        <v>66343406.064952686</v>
      </c>
      <c r="F482" s="62" t="s">
        <v>529</v>
      </c>
      <c r="G482" s="25">
        <f t="shared" si="7"/>
        <v>-2.6489491054368597E-2</v>
      </c>
    </row>
    <row r="483" spans="1:7">
      <c r="A483" s="62">
        <v>227.81458944092847</v>
      </c>
      <c r="B483" s="62">
        <v>230.38248029770344</v>
      </c>
      <c r="C483" s="62">
        <v>225.58501638802878</v>
      </c>
      <c r="D483" s="62">
        <v>228.3819361552824</v>
      </c>
      <c r="E483" s="62">
        <v>57614070.995761886</v>
      </c>
      <c r="F483" s="62" t="s">
        <v>530</v>
      </c>
      <c r="G483" s="25">
        <f t="shared" si="7"/>
        <v>-2.4842013510568695E-3</v>
      </c>
    </row>
    <row r="484" spans="1:7">
      <c r="A484" s="62">
        <v>233.72693941156425</v>
      </c>
      <c r="B484" s="62">
        <v>235.17018982527165</v>
      </c>
      <c r="C484" s="62">
        <v>231.24853008043917</v>
      </c>
      <c r="D484" s="62">
        <v>233.90610153188655</v>
      </c>
      <c r="E484" s="62">
        <v>43436469.863164134</v>
      </c>
      <c r="F484" s="62" t="s">
        <v>531</v>
      </c>
      <c r="G484" s="25">
        <f t="shared" si="7"/>
        <v>-7.6595744680851841E-4</v>
      </c>
    </row>
    <row r="485" spans="1:7">
      <c r="A485" s="62">
        <v>233.30889446414557</v>
      </c>
      <c r="B485" s="62">
        <v>236.12572113365721</v>
      </c>
      <c r="C485" s="62">
        <v>232.00499236624441</v>
      </c>
      <c r="D485" s="62">
        <v>235.37921229898097</v>
      </c>
      <c r="E485" s="62">
        <v>62924156.845876746</v>
      </c>
      <c r="F485" s="62" t="s">
        <v>532</v>
      </c>
      <c r="G485" s="25">
        <f t="shared" si="7"/>
        <v>-8.7956698240865272E-3</v>
      </c>
    </row>
    <row r="486" spans="1:7">
      <c r="A486" s="62">
        <v>229.4668623283452</v>
      </c>
      <c r="B486" s="62">
        <v>231.55708706543865</v>
      </c>
      <c r="C486" s="62">
        <v>227.61552041834815</v>
      </c>
      <c r="D486" s="62">
        <v>227.85440324544453</v>
      </c>
      <c r="E486" s="62">
        <v>53294607.38030649</v>
      </c>
      <c r="F486" s="62" t="s">
        <v>533</v>
      </c>
      <c r="G486" s="25">
        <f t="shared" si="7"/>
        <v>7.0767080202691623E-3</v>
      </c>
    </row>
    <row r="487" spans="1:7">
      <c r="A487" s="62">
        <v>226.51068734302731</v>
      </c>
      <c r="B487" s="62">
        <v>231.30825078721324</v>
      </c>
      <c r="C487" s="62">
        <v>224.71906613980437</v>
      </c>
      <c r="D487" s="62">
        <v>230.31290567431159</v>
      </c>
      <c r="E487" s="62">
        <v>65013246.321524248</v>
      </c>
      <c r="F487" s="62" t="s">
        <v>534</v>
      </c>
      <c r="G487" s="25">
        <f t="shared" si="7"/>
        <v>-1.6508924326893992E-2</v>
      </c>
    </row>
    <row r="488" spans="1:7">
      <c r="A488" s="62">
        <v>231.89550440382521</v>
      </c>
      <c r="B488" s="62">
        <v>231.9950389151154</v>
      </c>
      <c r="C488" s="62">
        <v>228.18286713270209</v>
      </c>
      <c r="D488" s="62">
        <v>228.23263438834718</v>
      </c>
      <c r="E488" s="62">
        <v>62920575.173596658</v>
      </c>
      <c r="F488" s="62" t="s">
        <v>535</v>
      </c>
      <c r="G488" s="25">
        <f t="shared" si="7"/>
        <v>1.6048844308765631E-2</v>
      </c>
    </row>
    <row r="489" spans="1:7">
      <c r="A489" s="62">
        <v>227.61552041834815</v>
      </c>
      <c r="B489" s="62">
        <v>228.33216889963734</v>
      </c>
      <c r="C489" s="62">
        <v>225.31836343228244</v>
      </c>
      <c r="D489" s="62">
        <v>226.86901158367192</v>
      </c>
      <c r="E489" s="62">
        <v>48395095.706628449</v>
      </c>
      <c r="F489" s="62" t="s">
        <v>536</v>
      </c>
      <c r="G489" s="25">
        <f t="shared" si="7"/>
        <v>3.2904839205019076E-3</v>
      </c>
    </row>
    <row r="490" spans="1:7">
      <c r="A490" s="62">
        <v>226.75952362125273</v>
      </c>
      <c r="B490" s="62">
        <v>226.78938397463978</v>
      </c>
      <c r="C490" s="62">
        <v>222.21079645529221</v>
      </c>
      <c r="D490" s="62">
        <v>226.03292168883453</v>
      </c>
      <c r="E490" s="62">
        <v>59362185.270345099</v>
      </c>
      <c r="F490" s="62" t="s">
        <v>537</v>
      </c>
      <c r="G490" s="25">
        <f t="shared" si="7"/>
        <v>3.2145845259587968E-3</v>
      </c>
    </row>
    <row r="491" spans="1:7">
      <c r="A491" s="62">
        <v>225.2864128541583</v>
      </c>
      <c r="B491" s="62">
        <v>225.39590081657747</v>
      </c>
      <c r="C491" s="62">
        <v>220.61824427464958</v>
      </c>
      <c r="D491" s="62">
        <v>220.61824427464958</v>
      </c>
      <c r="E491" s="62">
        <v>60694936.074870408</v>
      </c>
      <c r="F491" s="62" t="s">
        <v>538</v>
      </c>
      <c r="G491" s="25">
        <f t="shared" si="7"/>
        <v>2.1159485675614764E-2</v>
      </c>
    </row>
    <row r="492" spans="1:7">
      <c r="A492" s="62">
        <v>220.51870976335942</v>
      </c>
      <c r="B492" s="62">
        <v>220.51870976335942</v>
      </c>
      <c r="C492" s="62">
        <v>218.01044007884727</v>
      </c>
      <c r="D492" s="62">
        <v>218.97592483836186</v>
      </c>
      <c r="E492" s="62">
        <v>37544566.719234698</v>
      </c>
      <c r="F492" s="62" t="s">
        <v>539</v>
      </c>
      <c r="G492" s="25">
        <f t="shared" si="7"/>
        <v>7.0454545454545769E-3</v>
      </c>
    </row>
    <row r="493" spans="1:7">
      <c r="A493" s="62">
        <v>219.24466801884532</v>
      </c>
      <c r="B493" s="62">
        <v>219.35415598126448</v>
      </c>
      <c r="C493" s="62">
        <v>214.09873378514379</v>
      </c>
      <c r="D493" s="62">
        <v>215.14384615369053</v>
      </c>
      <c r="E493" s="62">
        <v>58317640.030183017</v>
      </c>
      <c r="F493" s="62" t="s">
        <v>540</v>
      </c>
      <c r="G493" s="25">
        <f t="shared" si="7"/>
        <v>1.9060837381448037E-2</v>
      </c>
    </row>
    <row r="494" spans="1:7">
      <c r="A494" s="62">
        <v>215.74105322143151</v>
      </c>
      <c r="B494" s="62">
        <v>216.49751550723676</v>
      </c>
      <c r="C494" s="62">
        <v>210.93353632611655</v>
      </c>
      <c r="D494" s="62">
        <v>211.10274499530985</v>
      </c>
      <c r="E494" s="62">
        <v>60685412.744844332</v>
      </c>
      <c r="F494" s="62" t="s">
        <v>541</v>
      </c>
      <c r="G494" s="25">
        <f t="shared" si="7"/>
        <v>2.1971804422650676E-2</v>
      </c>
    </row>
    <row r="495" spans="1:7">
      <c r="A495" s="62">
        <v>209.63958767934443</v>
      </c>
      <c r="B495" s="62">
        <v>215.06421854465839</v>
      </c>
      <c r="C495" s="62">
        <v>209.32107724321591</v>
      </c>
      <c r="D495" s="62">
        <v>214.76561501078791</v>
      </c>
      <c r="E495" s="62">
        <v>82928741.930896953</v>
      </c>
      <c r="F495" s="62" t="s">
        <v>542</v>
      </c>
      <c r="G495" s="25">
        <f t="shared" si="7"/>
        <v>-2.386800760068597E-2</v>
      </c>
    </row>
    <row r="496" spans="1:7">
      <c r="A496" s="62">
        <v>213.10338867224215</v>
      </c>
      <c r="B496" s="62">
        <v>214.7352569848444</v>
      </c>
      <c r="C496" s="62">
        <v>211.36153472466427</v>
      </c>
      <c r="D496" s="62">
        <v>213.69064228885412</v>
      </c>
      <c r="E496" s="62">
        <v>50005476.849031657</v>
      </c>
      <c r="F496" s="62" t="s">
        <v>543</v>
      </c>
      <c r="G496" s="25">
        <f t="shared" si="7"/>
        <v>-2.7481484931761724E-3</v>
      </c>
    </row>
    <row r="497" spans="1:7">
      <c r="A497" s="62">
        <v>212.25734532627575</v>
      </c>
      <c r="B497" s="62">
        <v>213.85985095804742</v>
      </c>
      <c r="C497" s="62">
        <v>209.65949458160244</v>
      </c>
      <c r="D497" s="62">
        <v>210.51549137869787</v>
      </c>
      <c r="E497" s="62">
        <v>66522842.320463441</v>
      </c>
      <c r="F497" s="62" t="s">
        <v>544</v>
      </c>
      <c r="G497" s="25">
        <f t="shared" si="7"/>
        <v>8.2742316784869541E-3</v>
      </c>
    </row>
    <row r="498" spans="1:7">
      <c r="A498" s="62">
        <v>208.09680275434687</v>
      </c>
      <c r="B498" s="62">
        <v>210.39604996514967</v>
      </c>
      <c r="C498" s="62">
        <v>207.63894400241213</v>
      </c>
      <c r="D498" s="62">
        <v>208.17643036337901</v>
      </c>
      <c r="E498" s="62">
        <v>56979099.274086848</v>
      </c>
      <c r="F498" s="62" t="s">
        <v>545</v>
      </c>
      <c r="G498" s="25">
        <f t="shared" si="7"/>
        <v>-3.8250059765720934E-4</v>
      </c>
    </row>
    <row r="499" spans="1:7">
      <c r="A499" s="62">
        <v>207.17113179934833</v>
      </c>
      <c r="B499" s="62">
        <v>211.70990551417984</v>
      </c>
      <c r="C499" s="62">
        <v>205.62834687435083</v>
      </c>
      <c r="D499" s="62">
        <v>206.75308685192968</v>
      </c>
      <c r="E499" s="62">
        <v>81104538.469740853</v>
      </c>
      <c r="F499" s="62" t="s">
        <v>546</v>
      </c>
      <c r="G499" s="25">
        <f t="shared" si="7"/>
        <v>2.021952628538326E-3</v>
      </c>
    </row>
    <row r="500" spans="1:7">
      <c r="A500" s="62">
        <v>206.52415747596231</v>
      </c>
      <c r="B500" s="62">
        <v>210.9036759727295</v>
      </c>
      <c r="C500" s="62">
        <v>206.14592633305969</v>
      </c>
      <c r="D500" s="62">
        <v>209.41065830337703</v>
      </c>
      <c r="E500" s="62">
        <v>247573780.99906355</v>
      </c>
      <c r="F500" s="62" t="s">
        <v>547</v>
      </c>
      <c r="G500" s="25">
        <f t="shared" si="7"/>
        <v>-1.3783925091496507E-2</v>
      </c>
    </row>
    <row r="501" spans="1:7">
      <c r="A501" s="62">
        <v>208.70396327321689</v>
      </c>
      <c r="B501" s="62">
        <v>213.24273698804839</v>
      </c>
      <c r="C501" s="62">
        <v>207.87782682950851</v>
      </c>
      <c r="D501" s="62">
        <v>212.93418000304888</v>
      </c>
      <c r="E501" s="62">
        <v>86575449.944983199</v>
      </c>
      <c r="F501" s="62" t="s">
        <v>548</v>
      </c>
      <c r="G501" s="25">
        <f t="shared" si="7"/>
        <v>-1.9866311410274395E-2</v>
      </c>
    </row>
    <row r="502" spans="1:7">
      <c r="A502" s="62">
        <v>213.29250424369346</v>
      </c>
      <c r="B502" s="62">
        <v>217.6123020336866</v>
      </c>
      <c r="C502" s="62">
        <v>212.00850904805034</v>
      </c>
      <c r="D502" s="62">
        <v>216.5771431162689</v>
      </c>
      <c r="E502" s="62">
        <v>80317121.130929396</v>
      </c>
      <c r="F502" s="62" t="s">
        <v>549</v>
      </c>
      <c r="G502" s="25">
        <f t="shared" si="7"/>
        <v>-1.5166138149731223E-2</v>
      </c>
    </row>
    <row r="503" spans="1:7">
      <c r="A503" s="62">
        <v>215.66142561239937</v>
      </c>
      <c r="B503" s="62">
        <v>217.93081246981512</v>
      </c>
      <c r="C503" s="62">
        <v>211.72981241643788</v>
      </c>
      <c r="D503" s="62">
        <v>212.37678673982396</v>
      </c>
      <c r="E503" s="62">
        <v>94166635.054611221</v>
      </c>
      <c r="F503" s="62" t="s">
        <v>550</v>
      </c>
      <c r="G503" s="25">
        <f t="shared" si="7"/>
        <v>1.5466091765477641E-2</v>
      </c>
    </row>
    <row r="504" spans="1:7">
      <c r="A504" s="62">
        <v>211.50088304047051</v>
      </c>
      <c r="B504" s="62">
        <v>214.1684079430469</v>
      </c>
      <c r="C504" s="62">
        <v>210.31642235611756</v>
      </c>
      <c r="D504" s="62">
        <v>212.85455239401674</v>
      </c>
      <c r="E504" s="62">
        <v>70450687.998635083</v>
      </c>
      <c r="F504" s="62" t="s">
        <v>551</v>
      </c>
      <c r="G504" s="25">
        <f t="shared" si="7"/>
        <v>-6.3595978489594529E-3</v>
      </c>
    </row>
    <row r="505" spans="1:7">
      <c r="A505" s="62">
        <v>213.24273698804839</v>
      </c>
      <c r="B505" s="62">
        <v>215.74105322143151</v>
      </c>
      <c r="C505" s="62">
        <v>210.61502588998803</v>
      </c>
      <c r="D505" s="62">
        <v>213.74040954449922</v>
      </c>
      <c r="E505" s="62">
        <v>98320399.358478904</v>
      </c>
      <c r="F505" s="62" t="s">
        <v>552</v>
      </c>
      <c r="G505" s="25">
        <f t="shared" si="7"/>
        <v>-2.32839713141475E-3</v>
      </c>
    </row>
    <row r="506" spans="1:7">
      <c r="A506" s="62">
        <v>212.07818320595345</v>
      </c>
      <c r="B506" s="62">
        <v>219.17499386094218</v>
      </c>
      <c r="C506" s="62">
        <v>205.93690385935034</v>
      </c>
      <c r="D506" s="62">
        <v>206.40471606241411</v>
      </c>
      <c r="E506" s="62">
        <v>199060899.01059139</v>
      </c>
      <c r="F506" s="62" t="s">
        <v>553</v>
      </c>
      <c r="G506" s="25">
        <f t="shared" si="7"/>
        <v>2.7487100352027616E-2</v>
      </c>
    </row>
    <row r="507" spans="1:7">
      <c r="A507" s="62">
        <v>206.18574013757575</v>
      </c>
      <c r="B507" s="62">
        <v>206.19569358870476</v>
      </c>
      <c r="C507" s="62">
        <v>192.72867421114549</v>
      </c>
      <c r="D507" s="62">
        <v>192.74858111340353</v>
      </c>
      <c r="E507" s="62">
        <v>173179426.67894837</v>
      </c>
      <c r="F507" s="62" t="s">
        <v>554</v>
      </c>
      <c r="G507" s="25">
        <f t="shared" si="7"/>
        <v>6.9713400464756159E-2</v>
      </c>
    </row>
    <row r="508" spans="1:7">
      <c r="A508" s="62">
        <v>192.22104820356566</v>
      </c>
      <c r="B508" s="62">
        <v>196.38159077549454</v>
      </c>
      <c r="C508" s="62">
        <v>191.25556344405106</v>
      </c>
      <c r="D508" s="62">
        <v>195.98345273033388</v>
      </c>
      <c r="E508" s="62">
        <v>97716938.315455377</v>
      </c>
      <c r="F508" s="62" t="s">
        <v>555</v>
      </c>
      <c r="G508" s="25">
        <f t="shared" ref="G508:G571" si="8">A508/D508-1</f>
        <v>-1.9197562214322006E-2</v>
      </c>
    </row>
    <row r="509" spans="1:7">
      <c r="A509" s="62">
        <v>195.97349927920484</v>
      </c>
      <c r="B509" s="62">
        <v>196.02326653484994</v>
      </c>
      <c r="C509" s="62">
        <v>193.23630021872532</v>
      </c>
      <c r="D509" s="62">
        <v>193.74392622630518</v>
      </c>
      <c r="E509" s="62">
        <v>53352260.750234343</v>
      </c>
      <c r="F509" s="62" t="s">
        <v>556</v>
      </c>
      <c r="G509" s="25">
        <f t="shared" si="8"/>
        <v>1.1507834574877807E-2</v>
      </c>
    </row>
    <row r="510" spans="1:7">
      <c r="A510" s="62">
        <v>193.57471755711188</v>
      </c>
      <c r="B510" s="62">
        <v>195.58531468517322</v>
      </c>
      <c r="C510" s="62">
        <v>193.26616057211237</v>
      </c>
      <c r="D510" s="62">
        <v>194.77410841815836</v>
      </c>
      <c r="E510" s="62">
        <v>41374345.908974566</v>
      </c>
      <c r="F510" s="62" t="s">
        <v>557</v>
      </c>
      <c r="G510" s="25">
        <f t="shared" si="8"/>
        <v>-6.1578557375373544E-3</v>
      </c>
    </row>
    <row r="511" spans="1:7">
      <c r="A511" s="62">
        <v>194.95824726404518</v>
      </c>
      <c r="B511" s="62">
        <v>195.98345273033388</v>
      </c>
      <c r="C511" s="62">
        <v>193.96290215114354</v>
      </c>
      <c r="D511" s="62">
        <v>194.49043506098141</v>
      </c>
      <c r="E511" s="62">
        <v>54410057.675494418</v>
      </c>
      <c r="F511" s="62" t="s">
        <v>558</v>
      </c>
      <c r="G511" s="25">
        <f t="shared" si="8"/>
        <v>2.4053224155577979E-3</v>
      </c>
    </row>
    <row r="512" spans="1:7">
      <c r="A512" s="62">
        <v>193.44532269243467</v>
      </c>
      <c r="B512" s="62">
        <v>194.41080745194927</v>
      </c>
      <c r="C512" s="62">
        <v>192.13564759287868</v>
      </c>
      <c r="D512" s="62">
        <v>193.72899604961162</v>
      </c>
      <c r="E512" s="62">
        <v>47693452.637357652</v>
      </c>
      <c r="F512" s="62" t="s">
        <v>559</v>
      </c>
      <c r="G512" s="25">
        <f t="shared" si="8"/>
        <v>-1.4642792920079861E-3</v>
      </c>
    </row>
    <row r="513" spans="1:7">
      <c r="A513" s="62">
        <v>193.12681225630615</v>
      </c>
      <c r="B513" s="62">
        <v>194.08234356469174</v>
      </c>
      <c r="C513" s="62">
        <v>191.62384113582468</v>
      </c>
      <c r="D513" s="62">
        <v>192.0020722787273</v>
      </c>
      <c r="E513" s="62">
        <v>50314748.473526403</v>
      </c>
      <c r="F513" s="62" t="s">
        <v>560</v>
      </c>
      <c r="G513" s="25">
        <f t="shared" si="8"/>
        <v>5.8579574909278787E-3</v>
      </c>
    </row>
    <row r="514" spans="1:7">
      <c r="A514" s="62">
        <v>191.35509795534122</v>
      </c>
      <c r="B514" s="62">
        <v>191.67360839146974</v>
      </c>
      <c r="C514" s="62">
        <v>189.02599039115137</v>
      </c>
      <c r="D514" s="62">
        <v>190.54886841389089</v>
      </c>
      <c r="E514" s="62">
        <v>75509766.437590152</v>
      </c>
      <c r="F514" s="62" t="s">
        <v>561</v>
      </c>
      <c r="G514" s="25">
        <f t="shared" si="8"/>
        <v>4.2310906811533489E-3</v>
      </c>
    </row>
    <row r="515" spans="1:7">
      <c r="A515" s="62">
        <v>190.39956664695563</v>
      </c>
      <c r="B515" s="62">
        <v>191.28542379743811</v>
      </c>
      <c r="C515" s="62">
        <v>189.74263887244055</v>
      </c>
      <c r="D515" s="62">
        <v>189.87203373711776</v>
      </c>
      <c r="E515" s="62">
        <v>50181530.358240291</v>
      </c>
      <c r="F515" s="62" t="s">
        <v>562</v>
      </c>
      <c r="G515" s="25">
        <f t="shared" si="8"/>
        <v>2.778360243237632E-3</v>
      </c>
    </row>
    <row r="516" spans="1:7">
      <c r="A516" s="62">
        <v>189.40422153405399</v>
      </c>
      <c r="B516" s="62">
        <v>191.35211192000253</v>
      </c>
      <c r="C516" s="62">
        <v>188.6278523459907</v>
      </c>
      <c r="D516" s="62">
        <v>188.72738685728089</v>
      </c>
      <c r="E516" s="62">
        <v>53316196.876975998</v>
      </c>
      <c r="F516" s="62" t="s">
        <v>563</v>
      </c>
      <c r="G516" s="25">
        <f t="shared" si="8"/>
        <v>3.5863087389904624E-3</v>
      </c>
    </row>
    <row r="517" spans="1:7">
      <c r="A517" s="62">
        <v>189.10561800018351</v>
      </c>
      <c r="B517" s="62">
        <v>192.10160679001746</v>
      </c>
      <c r="C517" s="62">
        <v>188.21976084970103</v>
      </c>
      <c r="D517" s="62">
        <v>190.61854257179399</v>
      </c>
      <c r="E517" s="62">
        <v>52524546.835411109</v>
      </c>
      <c r="F517" s="62" t="s">
        <v>564</v>
      </c>
      <c r="G517" s="25">
        <f t="shared" si="8"/>
        <v>-7.9369223539239586E-3</v>
      </c>
    </row>
    <row r="518" spans="1:7">
      <c r="A518" s="62">
        <v>189.09566454905448</v>
      </c>
      <c r="B518" s="62">
        <v>189.69287161679549</v>
      </c>
      <c r="C518" s="62">
        <v>187.16509316807046</v>
      </c>
      <c r="D518" s="62">
        <v>187.94106421808857</v>
      </c>
      <c r="E518" s="62">
        <v>36496863.780341536</v>
      </c>
      <c r="F518" s="62" t="s">
        <v>565</v>
      </c>
      <c r="G518" s="25">
        <f t="shared" si="8"/>
        <v>6.143417010909813E-3</v>
      </c>
    </row>
    <row r="519" spans="1:7">
      <c r="A519" s="62">
        <v>186.01009469905938</v>
      </c>
      <c r="B519" s="62">
        <v>190.11091656421416</v>
      </c>
      <c r="C519" s="62">
        <v>185.75628169526948</v>
      </c>
      <c r="D519" s="62">
        <v>190.09100966195612</v>
      </c>
      <c r="E519" s="62">
        <v>51244461.181214601</v>
      </c>
      <c r="F519" s="62" t="s">
        <v>566</v>
      </c>
      <c r="G519" s="25">
        <f t="shared" si="8"/>
        <v>-2.1468216567179788E-2</v>
      </c>
    </row>
    <row r="520" spans="1:7">
      <c r="A520" s="62">
        <v>190.01138205292401</v>
      </c>
      <c r="B520" s="62">
        <v>191.92553023954517</v>
      </c>
      <c r="C520" s="62">
        <v>189.38431463179597</v>
      </c>
      <c r="D520" s="62">
        <v>191.37002813203472</v>
      </c>
      <c r="E520" s="62">
        <v>34810586.349283457</v>
      </c>
      <c r="F520" s="62" t="s">
        <v>567</v>
      </c>
      <c r="G520" s="25">
        <f t="shared" si="8"/>
        <v>-7.0995761058952889E-3</v>
      </c>
    </row>
    <row r="521" spans="1:7">
      <c r="A521" s="62">
        <v>191.45463246663138</v>
      </c>
      <c r="B521" s="62">
        <v>191.832863609534</v>
      </c>
      <c r="C521" s="62">
        <v>190.03138848969331</v>
      </c>
      <c r="D521" s="62">
        <v>190.20049762437532</v>
      </c>
      <c r="E521" s="62">
        <v>42507267.531217396</v>
      </c>
      <c r="F521" s="62" t="s">
        <v>568</v>
      </c>
      <c r="G521" s="25">
        <f t="shared" si="8"/>
        <v>6.5937516353549164E-3</v>
      </c>
    </row>
    <row r="522" spans="1:7">
      <c r="A522" s="62">
        <v>190.15073036873022</v>
      </c>
      <c r="B522" s="62">
        <v>191.0265345335724</v>
      </c>
      <c r="C522" s="62">
        <v>188.13017978953988</v>
      </c>
      <c r="D522" s="62">
        <v>188.44371350010391</v>
      </c>
      <c r="E522" s="62">
        <v>44568737.440903641</v>
      </c>
      <c r="F522" s="62" t="s">
        <v>569</v>
      </c>
      <c r="G522" s="25">
        <f t="shared" si="8"/>
        <v>9.0584972930145558E-3</v>
      </c>
    </row>
    <row r="523" spans="1:7">
      <c r="A523" s="62">
        <v>188.98617658663531</v>
      </c>
      <c r="B523" s="62">
        <v>189.92180099276285</v>
      </c>
      <c r="C523" s="62">
        <v>188.29938845873318</v>
      </c>
      <c r="D523" s="62">
        <v>188.6278523459907</v>
      </c>
      <c r="E523" s="62">
        <v>41475991.05565647</v>
      </c>
      <c r="F523" s="62" t="s">
        <v>570</v>
      </c>
      <c r="G523" s="25">
        <f t="shared" si="8"/>
        <v>1.8996359031187016E-3</v>
      </c>
    </row>
    <row r="524" spans="1:7">
      <c r="A524" s="62">
        <v>188.95631623324826</v>
      </c>
      <c r="B524" s="62">
        <v>190.20547434993983</v>
      </c>
      <c r="C524" s="62">
        <v>188.77725364743725</v>
      </c>
      <c r="D524" s="62">
        <v>189.58338365437629</v>
      </c>
      <c r="E524" s="62">
        <v>53092368.983401947</v>
      </c>
      <c r="F524" s="62" t="s">
        <v>571</v>
      </c>
      <c r="G524" s="25">
        <f t="shared" si="8"/>
        <v>-3.3076074972436809E-3</v>
      </c>
    </row>
    <row r="525" spans="1:7">
      <c r="A525" s="62">
        <v>188.83687481970006</v>
      </c>
      <c r="B525" s="62">
        <v>189.76254577469859</v>
      </c>
      <c r="C525" s="62">
        <v>186.4978138043812</v>
      </c>
      <c r="D525" s="62">
        <v>187.03530016534808</v>
      </c>
      <c r="E525" s="62">
        <v>70729224.554857075</v>
      </c>
      <c r="F525" s="62" t="s">
        <v>572</v>
      </c>
      <c r="G525" s="25">
        <f t="shared" si="8"/>
        <v>9.6322707679208364E-3</v>
      </c>
    </row>
    <row r="526" spans="1:7">
      <c r="A526" s="62">
        <v>186.5575345111553</v>
      </c>
      <c r="B526" s="62">
        <v>187.42348475937973</v>
      </c>
      <c r="C526" s="62">
        <v>185.42284108244741</v>
      </c>
      <c r="D526" s="62">
        <v>186.63716212018741</v>
      </c>
      <c r="E526" s="62">
        <v>52638645.953925811</v>
      </c>
      <c r="F526" s="62" t="s">
        <v>573</v>
      </c>
      <c r="G526" s="25">
        <f t="shared" si="8"/>
        <v>-4.2664391232460908E-4</v>
      </c>
    </row>
    <row r="527" spans="1:7">
      <c r="A527" s="62">
        <v>185.4128876313184</v>
      </c>
      <c r="B527" s="62">
        <v>186.22907062389774</v>
      </c>
      <c r="C527" s="62">
        <v>183.76061474390167</v>
      </c>
      <c r="D527" s="62">
        <v>184.57182101091652</v>
      </c>
      <c r="E527" s="62">
        <v>72381737.817523316</v>
      </c>
      <c r="F527" s="62" t="s">
        <v>574</v>
      </c>
      <c r="G527" s="25">
        <f t="shared" si="8"/>
        <v>4.5568528055652813E-3</v>
      </c>
    </row>
    <row r="528" spans="1:7">
      <c r="A528" s="62">
        <v>182.19792291664609</v>
      </c>
      <c r="B528" s="62">
        <v>184.22842694696544</v>
      </c>
      <c r="C528" s="62">
        <v>181.28220541277656</v>
      </c>
      <c r="D528" s="62">
        <v>184.03931137551413</v>
      </c>
      <c r="E528" s="62">
        <v>50996880.722129799</v>
      </c>
      <c r="F528" s="62" t="s">
        <v>575</v>
      </c>
      <c r="G528" s="25">
        <f t="shared" si="8"/>
        <v>-1.0005408328826348E-2</v>
      </c>
    </row>
    <row r="529" spans="1:7">
      <c r="A529" s="62">
        <v>183.46201121003119</v>
      </c>
      <c r="B529" s="62">
        <v>183.55147093267792</v>
      </c>
      <c r="C529" s="62">
        <v>181.01677879102121</v>
      </c>
      <c r="D529" s="62">
        <v>181.46407740425474</v>
      </c>
      <c r="E529" s="62">
        <v>49278796.642482653</v>
      </c>
      <c r="F529" s="62" t="s">
        <v>576</v>
      </c>
      <c r="G529" s="25">
        <f t="shared" si="8"/>
        <v>1.1010078878177065E-2</v>
      </c>
    </row>
    <row r="530" spans="1:7">
      <c r="A530" s="62">
        <v>181.64299684954815</v>
      </c>
      <c r="B530" s="62">
        <v>181.97101583258606</v>
      </c>
      <c r="C530" s="62">
        <v>180.36074082494534</v>
      </c>
      <c r="D530" s="62">
        <v>181.75233651056078</v>
      </c>
      <c r="E530" s="62">
        <v>45329201.902564198</v>
      </c>
      <c r="F530" s="62" t="s">
        <v>577</v>
      </c>
      <c r="G530" s="25">
        <f t="shared" si="8"/>
        <v>-6.0158599945303592E-4</v>
      </c>
    </row>
    <row r="531" spans="1:7">
      <c r="A531" s="62">
        <v>181.30503789732725</v>
      </c>
      <c r="B531" s="62">
        <v>183.79003019306913</v>
      </c>
      <c r="C531" s="62">
        <v>180.23152122556675</v>
      </c>
      <c r="D531" s="62">
        <v>182.34873466153883</v>
      </c>
      <c r="E531" s="62">
        <v>77772646.55152677</v>
      </c>
      <c r="F531" s="62" t="s">
        <v>578</v>
      </c>
      <c r="G531" s="25">
        <f t="shared" si="8"/>
        <v>-5.7236304170072971E-3</v>
      </c>
    </row>
    <row r="532" spans="1:7">
      <c r="A532" s="62">
        <v>180.61918002370251</v>
      </c>
      <c r="B532" s="62">
        <v>183.09423235026139</v>
      </c>
      <c r="C532" s="62">
        <v>179.33692399909967</v>
      </c>
      <c r="D532" s="62">
        <v>181.25931403908561</v>
      </c>
      <c r="E532" s="62">
        <v>79044175.644560322</v>
      </c>
      <c r="F532" s="62" t="s">
        <v>579</v>
      </c>
      <c r="G532" s="25">
        <f t="shared" si="8"/>
        <v>-3.531592397205352E-3</v>
      </c>
    </row>
    <row r="533" spans="1:7">
      <c r="A533" s="62">
        <v>182.27915487725807</v>
      </c>
      <c r="B533" s="62">
        <v>185.87742372149231</v>
      </c>
      <c r="C533" s="62">
        <v>181.5634770960844</v>
      </c>
      <c r="D533" s="62">
        <v>185.52455481549697</v>
      </c>
      <c r="E533" s="62">
        <v>164209874.29185435</v>
      </c>
      <c r="F533" s="62" t="s">
        <v>580</v>
      </c>
      <c r="G533" s="25">
        <f t="shared" si="8"/>
        <v>-1.7493101877896655E-2</v>
      </c>
    </row>
    <row r="534" spans="1:7">
      <c r="A534" s="62">
        <v>171.9912867728867</v>
      </c>
      <c r="B534" s="62">
        <v>172.37397558643096</v>
      </c>
      <c r="C534" s="62">
        <v>169.86413336773165</v>
      </c>
      <c r="D534" s="62">
        <v>171.47440837537238</v>
      </c>
      <c r="E534" s="62">
        <v>94783910.559240639</v>
      </c>
      <c r="F534" s="62" t="s">
        <v>581</v>
      </c>
      <c r="G534" s="25">
        <f t="shared" si="8"/>
        <v>3.0143180105501877E-3</v>
      </c>
    </row>
    <row r="535" spans="1:7">
      <c r="A535" s="62">
        <v>168.28367826763983</v>
      </c>
      <c r="B535" s="62">
        <v>171.66823777444029</v>
      </c>
      <c r="C535" s="62">
        <v>168.09481885316345</v>
      </c>
      <c r="D535" s="62">
        <v>168.56199740476293</v>
      </c>
      <c r="E535" s="62">
        <v>50687427.770232275</v>
      </c>
      <c r="F535" s="62" t="s">
        <v>582</v>
      </c>
      <c r="G535" s="25">
        <f t="shared" si="8"/>
        <v>-1.6511381059087782E-3</v>
      </c>
    </row>
    <row r="536" spans="1:7">
      <c r="A536" s="62">
        <v>169.3074950934855</v>
      </c>
      <c r="B536" s="62">
        <v>173.93952073274835</v>
      </c>
      <c r="C536" s="62">
        <v>168.97947611044756</v>
      </c>
      <c r="D536" s="62">
        <v>172.28948584837573</v>
      </c>
      <c r="E536" s="62">
        <v>66332978.288284458</v>
      </c>
      <c r="F536" s="62" t="s">
        <v>583</v>
      </c>
      <c r="G536" s="25">
        <f t="shared" si="8"/>
        <v>-1.7308025154329831E-2</v>
      </c>
    </row>
    <row r="537" spans="1:7">
      <c r="A537" s="62">
        <v>172.45846532448618</v>
      </c>
      <c r="B537" s="62">
        <v>174.97327752777696</v>
      </c>
      <c r="C537" s="62">
        <v>172.06086655716746</v>
      </c>
      <c r="D537" s="62">
        <v>172.3292457251076</v>
      </c>
      <c r="E537" s="62">
        <v>68581117.04894495</v>
      </c>
      <c r="F537" s="62" t="s">
        <v>584</v>
      </c>
      <c r="G537" s="25">
        <f t="shared" si="8"/>
        <v>7.4984137970823816E-4</v>
      </c>
    </row>
    <row r="538" spans="1:7">
      <c r="A538" s="62">
        <v>168.28367826763983</v>
      </c>
      <c r="B538" s="62">
        <v>170.31143198096521</v>
      </c>
      <c r="C538" s="62">
        <v>168.16439863744424</v>
      </c>
      <c r="D538" s="62">
        <v>168.86019648025194</v>
      </c>
      <c r="E538" s="62">
        <v>45109147.900410138</v>
      </c>
      <c r="F538" s="62" t="s">
        <v>585</v>
      </c>
      <c r="G538" s="25">
        <f t="shared" si="8"/>
        <v>-3.4141747115611354E-3</v>
      </c>
    </row>
    <row r="539" spans="1:7">
      <c r="A539" s="62">
        <v>168.87013644943488</v>
      </c>
      <c r="B539" s="62">
        <v>169.58581423060858</v>
      </c>
      <c r="C539" s="62">
        <v>167.14167520820871</v>
      </c>
      <c r="D539" s="62">
        <v>168.50732757425661</v>
      </c>
      <c r="E539" s="62">
        <v>50863667.753249705</v>
      </c>
      <c r="F539" s="62" t="s">
        <v>586</v>
      </c>
      <c r="G539" s="25">
        <f t="shared" si="8"/>
        <v>2.1530747677331874E-3</v>
      </c>
    </row>
    <row r="540" spans="1:7">
      <c r="A540" s="62">
        <v>168.00535913051675</v>
      </c>
      <c r="B540" s="62">
        <v>168.28367826763983</v>
      </c>
      <c r="C540" s="62">
        <v>165.21222779010287</v>
      </c>
      <c r="D540" s="62">
        <v>165.54024677314078</v>
      </c>
      <c r="E540" s="62">
        <v>48543244.060234375</v>
      </c>
      <c r="F540" s="62" t="s">
        <v>587</v>
      </c>
      <c r="G540" s="25">
        <f t="shared" si="8"/>
        <v>1.4891317401225068E-2</v>
      </c>
    </row>
    <row r="541" spans="1:7">
      <c r="A541" s="62">
        <v>165.89808566372764</v>
      </c>
      <c r="B541" s="62">
        <v>166.04718520147216</v>
      </c>
      <c r="C541" s="62">
        <v>163.92997176550006</v>
      </c>
      <c r="D541" s="62">
        <v>164.35739044036765</v>
      </c>
      <c r="E541" s="62">
        <v>49836936.199847326</v>
      </c>
      <c r="F541" s="62" t="s">
        <v>588</v>
      </c>
      <c r="G541" s="25">
        <f t="shared" si="8"/>
        <v>9.3740550347749529E-3</v>
      </c>
    </row>
    <row r="542" spans="1:7">
      <c r="A542" s="62">
        <v>164.84444893033307</v>
      </c>
      <c r="B542" s="62">
        <v>166.25592455431445</v>
      </c>
      <c r="C542" s="62">
        <v>163.78087222775557</v>
      </c>
      <c r="D542" s="62">
        <v>164.52139993188661</v>
      </c>
      <c r="E542" s="62">
        <v>48407034.382409625</v>
      </c>
      <c r="F542" s="62" t="s">
        <v>589</v>
      </c>
      <c r="G542" s="25">
        <f t="shared" si="8"/>
        <v>1.9635682566536694E-3</v>
      </c>
    </row>
    <row r="543" spans="1:7">
      <c r="A543" s="62">
        <v>164.00949151896381</v>
      </c>
      <c r="B543" s="62">
        <v>165.40108720457926</v>
      </c>
      <c r="C543" s="62">
        <v>163.0900443695393</v>
      </c>
      <c r="D543" s="62">
        <v>165.21222779010287</v>
      </c>
      <c r="E543" s="62">
        <v>68560954.008566171</v>
      </c>
      <c r="F543" s="62" t="s">
        <v>590</v>
      </c>
      <c r="G543" s="25">
        <f t="shared" si="8"/>
        <v>-7.2799470549305134E-3</v>
      </c>
    </row>
    <row r="544" spans="1:7">
      <c r="A544" s="62">
        <v>166.03724523228917</v>
      </c>
      <c r="B544" s="62">
        <v>167.62764030156396</v>
      </c>
      <c r="C544" s="62">
        <v>165.55018674232377</v>
      </c>
      <c r="D544" s="62">
        <v>167.02130218140294</v>
      </c>
      <c r="E544" s="62">
        <v>43383336.71485889</v>
      </c>
      <c r="F544" s="62" t="s">
        <v>591</v>
      </c>
      <c r="G544" s="25">
        <f t="shared" si="8"/>
        <v>-5.891805034815234E-3</v>
      </c>
    </row>
    <row r="545" spans="1:7">
      <c r="A545" s="62">
        <v>166.99148227385405</v>
      </c>
      <c r="B545" s="62">
        <v>169.62557410734044</v>
      </c>
      <c r="C545" s="62">
        <v>166.99148227385405</v>
      </c>
      <c r="D545" s="62">
        <v>168.59181731231183</v>
      </c>
      <c r="E545" s="62">
        <v>51208619.526930794</v>
      </c>
      <c r="F545" s="62" t="s">
        <v>592</v>
      </c>
      <c r="G545" s="25">
        <f t="shared" si="8"/>
        <v>-9.492364836979017E-3</v>
      </c>
    </row>
    <row r="546" spans="1:7">
      <c r="A546" s="62">
        <v>168.36319802110356</v>
      </c>
      <c r="B546" s="62">
        <v>172.71690452324333</v>
      </c>
      <c r="C546" s="62">
        <v>167.25986144179419</v>
      </c>
      <c r="D546" s="62">
        <v>170.71897071746687</v>
      </c>
      <c r="E546" s="62">
        <v>74156401.939662814</v>
      </c>
      <c r="F546" s="62" t="s">
        <v>593</v>
      </c>
      <c r="G546" s="25">
        <f t="shared" si="8"/>
        <v>-1.3799126637554671E-2</v>
      </c>
    </row>
    <row r="547" spans="1:7">
      <c r="A547" s="62">
        <v>171.65332782066579</v>
      </c>
      <c r="B547" s="62">
        <v>175.569675678755</v>
      </c>
      <c r="C547" s="62">
        <v>171.46446840618944</v>
      </c>
      <c r="D547" s="62">
        <v>174.30729959251815</v>
      </c>
      <c r="E547" s="62">
        <v>73975856.108285889</v>
      </c>
      <c r="F547" s="62" t="s">
        <v>594</v>
      </c>
      <c r="G547" s="25">
        <f t="shared" si="8"/>
        <v>-1.5225821167883402E-2</v>
      </c>
    </row>
    <row r="548" spans="1:7">
      <c r="A548" s="62">
        <v>175.49015592529128</v>
      </c>
      <c r="B548" s="62">
        <v>177.28929034740841</v>
      </c>
      <c r="C548" s="62">
        <v>173.16420313647689</v>
      </c>
      <c r="D548" s="62">
        <v>173.21390298239169</v>
      </c>
      <c r="E548" s="62">
        <v>102284910.6757964</v>
      </c>
      <c r="F548" s="62" t="s">
        <v>595</v>
      </c>
      <c r="G548" s="25">
        <f t="shared" si="8"/>
        <v>1.3141283140135629E-2</v>
      </c>
    </row>
    <row r="549" spans="1:7">
      <c r="A549" s="62">
        <v>173.98922057866315</v>
      </c>
      <c r="B549" s="62">
        <v>174.40669928434781</v>
      </c>
      <c r="C549" s="62">
        <v>167.15052178078153</v>
      </c>
      <c r="D549" s="62">
        <v>167.32944122607495</v>
      </c>
      <c r="E549" s="62">
        <v>91620279.020635411</v>
      </c>
      <c r="F549" s="62" t="s">
        <v>596</v>
      </c>
      <c r="G549" s="25">
        <f t="shared" si="8"/>
        <v>3.9800403944397988E-2</v>
      </c>
    </row>
    <row r="550" spans="1:7">
      <c r="A550" s="62">
        <v>166.77280295182877</v>
      </c>
      <c r="B550" s="62">
        <v>168.07493891479751</v>
      </c>
      <c r="C550" s="62">
        <v>166.10682501656996</v>
      </c>
      <c r="D550" s="62">
        <v>167.78667980849147</v>
      </c>
      <c r="E550" s="62">
        <v>50009547.398978606</v>
      </c>
      <c r="F550" s="62" t="s">
        <v>597</v>
      </c>
      <c r="G550" s="25">
        <f t="shared" si="8"/>
        <v>-6.0426540284361785E-3</v>
      </c>
    </row>
    <row r="551" spans="1:7">
      <c r="A551" s="62">
        <v>168.6514571274096</v>
      </c>
      <c r="B551" s="62">
        <v>169.05899586391129</v>
      </c>
      <c r="C551" s="62">
        <v>167.33938119525791</v>
      </c>
      <c r="D551" s="62">
        <v>167.68728011666175</v>
      </c>
      <c r="E551" s="62">
        <v>42707586.12888024</v>
      </c>
      <c r="F551" s="62" t="s">
        <v>598</v>
      </c>
      <c r="G551" s="25">
        <f t="shared" si="8"/>
        <v>5.7498518079430738E-3</v>
      </c>
    </row>
    <row r="552" spans="1:7">
      <c r="A552" s="62">
        <v>167.43878088708757</v>
      </c>
      <c r="B552" s="62">
        <v>168.18427857581014</v>
      </c>
      <c r="C552" s="62">
        <v>167.23004153424529</v>
      </c>
      <c r="D552" s="62">
        <v>168.01529909969972</v>
      </c>
      <c r="E552" s="62">
        <v>37651538.260430396</v>
      </c>
      <c r="F552" s="62" t="s">
        <v>599</v>
      </c>
      <c r="G552" s="25">
        <f t="shared" si="8"/>
        <v>-3.4313435484827348E-3</v>
      </c>
    </row>
    <row r="553" spans="1:7">
      <c r="A553" s="62">
        <v>168.56199740476293</v>
      </c>
      <c r="B553" s="62">
        <v>169.36713490858327</v>
      </c>
      <c r="C553" s="62">
        <v>167.93577934623596</v>
      </c>
      <c r="D553" s="62">
        <v>168.5719373739459</v>
      </c>
      <c r="E553" s="62">
        <v>42359111.205443315</v>
      </c>
      <c r="F553" s="62" t="s">
        <v>600</v>
      </c>
      <c r="G553" s="25">
        <f t="shared" si="8"/>
        <v>-5.896574090447082E-5</v>
      </c>
    </row>
    <row r="554" spans="1:7">
      <c r="A554" s="62">
        <v>167.80655974685737</v>
      </c>
      <c r="B554" s="62">
        <v>170.8879501935773</v>
      </c>
      <c r="C554" s="62">
        <v>167.80655974685737</v>
      </c>
      <c r="D554" s="62">
        <v>169.26773521675361</v>
      </c>
      <c r="E554" s="62">
        <v>54028724.849594511</v>
      </c>
      <c r="F554" s="62" t="s">
        <v>601</v>
      </c>
      <c r="G554" s="25">
        <f t="shared" si="8"/>
        <v>-8.6323330788655728E-3</v>
      </c>
    </row>
    <row r="555" spans="1:7">
      <c r="A555" s="62">
        <v>168.6315771890437</v>
      </c>
      <c r="B555" s="62">
        <v>169.65539401488934</v>
      </c>
      <c r="C555" s="62">
        <v>167.56800048646619</v>
      </c>
      <c r="D555" s="62">
        <v>167.77673983930848</v>
      </c>
      <c r="E555" s="62">
        <v>47979741.307167709</v>
      </c>
      <c r="F555" s="62" t="s">
        <v>602</v>
      </c>
      <c r="G555" s="25">
        <f t="shared" si="8"/>
        <v>5.0950885715979055E-3</v>
      </c>
    </row>
    <row r="556" spans="1:7">
      <c r="A556" s="62">
        <v>167.82643968522333</v>
      </c>
      <c r="B556" s="62">
        <v>168.32343814437169</v>
      </c>
      <c r="C556" s="62">
        <v>167.22030036444596</v>
      </c>
      <c r="D556" s="62">
        <v>168.06499894561455</v>
      </c>
      <c r="E556" s="62">
        <v>49627398.326875955</v>
      </c>
      <c r="F556" s="62" t="s">
        <v>603</v>
      </c>
      <c r="G556" s="25">
        <f t="shared" si="8"/>
        <v>-1.4194464158977516E-3</v>
      </c>
    </row>
    <row r="557" spans="1:7">
      <c r="A557" s="62">
        <v>169.00929601799646</v>
      </c>
      <c r="B557" s="62">
        <v>170.22197225831849</v>
      </c>
      <c r="C557" s="62">
        <v>168.45762772834175</v>
      </c>
      <c r="D557" s="62">
        <v>170.16233244322069</v>
      </c>
      <c r="E557" s="62">
        <v>46519761.931691669</v>
      </c>
      <c r="F557" s="62" t="s">
        <v>604</v>
      </c>
      <c r="G557" s="25">
        <f t="shared" si="8"/>
        <v>-6.7760967346223167E-3</v>
      </c>
    </row>
    <row r="558" spans="1:7">
      <c r="A558" s="62">
        <v>170.45059154952673</v>
      </c>
      <c r="B558" s="62">
        <v>171.1960892382493</v>
      </c>
      <c r="C558" s="62">
        <v>169.48641453877889</v>
      </c>
      <c r="D558" s="62">
        <v>170.71897071746687</v>
      </c>
      <c r="E558" s="62">
        <v>66069309.462782368</v>
      </c>
      <c r="F558" s="62" t="s">
        <v>605</v>
      </c>
      <c r="G558" s="25">
        <f t="shared" si="8"/>
        <v>-1.5720524017468485E-3</v>
      </c>
    </row>
    <row r="559" spans="1:7">
      <c r="A559" s="62">
        <v>172.2696059100098</v>
      </c>
      <c r="B559" s="62">
        <v>172.55786501631584</v>
      </c>
      <c r="C559" s="62">
        <v>169.08881577146022</v>
      </c>
      <c r="D559" s="62">
        <v>169.38701484694923</v>
      </c>
      <c r="E559" s="62">
        <v>60637275.519204244</v>
      </c>
      <c r="F559" s="62" t="s">
        <v>606</v>
      </c>
      <c r="G559" s="25">
        <f t="shared" si="8"/>
        <v>1.7017780646675584E-2</v>
      </c>
    </row>
    <row r="560" spans="1:7">
      <c r="A560" s="62">
        <v>168.69121700414149</v>
      </c>
      <c r="B560" s="62">
        <v>170.39095173442891</v>
      </c>
      <c r="C560" s="62">
        <v>168.56199740476293</v>
      </c>
      <c r="D560" s="62">
        <v>168.97947611044756</v>
      </c>
      <c r="E560" s="62">
        <v>57735037.145122327</v>
      </c>
      <c r="F560" s="62" t="s">
        <v>607</v>
      </c>
      <c r="G560" s="25">
        <f t="shared" si="8"/>
        <v>-1.7058823529412237E-3</v>
      </c>
    </row>
    <row r="561" spans="1:7">
      <c r="A561" s="62">
        <v>169.82437349099979</v>
      </c>
      <c r="B561" s="62">
        <v>170.90783013194326</v>
      </c>
      <c r="C561" s="62">
        <v>168.43277780538432</v>
      </c>
      <c r="D561" s="62">
        <v>169.54108436928522</v>
      </c>
      <c r="E561" s="62">
        <v>54616193.471731298</v>
      </c>
      <c r="F561" s="62" t="s">
        <v>608</v>
      </c>
      <c r="G561" s="25">
        <f t="shared" si="8"/>
        <v>1.6709172456248478E-3</v>
      </c>
    </row>
    <row r="562" spans="1:7">
      <c r="A562" s="62">
        <v>171.24578908416413</v>
      </c>
      <c r="B562" s="62">
        <v>172.01116671125266</v>
      </c>
      <c r="C562" s="62">
        <v>169.03911592554536</v>
      </c>
      <c r="D562" s="62">
        <v>170.72891068664981</v>
      </c>
      <c r="E562" s="62">
        <v>71589898.006862506</v>
      </c>
      <c r="F562" s="62" t="s">
        <v>609</v>
      </c>
      <c r="G562" s="25">
        <f t="shared" si="8"/>
        <v>3.0274802049372607E-3</v>
      </c>
    </row>
    <row r="563" spans="1:7">
      <c r="A563" s="62">
        <v>170.34125188851411</v>
      </c>
      <c r="B563" s="62">
        <v>176.42451302849022</v>
      </c>
      <c r="C563" s="62">
        <v>169.81443352181682</v>
      </c>
      <c r="D563" s="62">
        <v>175.98715438443966</v>
      </c>
      <c r="E563" s="62">
        <v>106822534.40176198</v>
      </c>
      <c r="F563" s="62" t="s">
        <v>610</v>
      </c>
      <c r="G563" s="25">
        <f t="shared" si="8"/>
        <v>-3.2081332956791941E-2</v>
      </c>
    </row>
    <row r="564" spans="1:7">
      <c r="A564" s="62">
        <v>177.59742939208036</v>
      </c>
      <c r="B564" s="62">
        <v>177.59742939208036</v>
      </c>
      <c r="C564" s="62">
        <v>174.03892042457801</v>
      </c>
      <c r="D564" s="62">
        <v>174.66513848310495</v>
      </c>
      <c r="E564" s="62">
        <v>53745742.080913506</v>
      </c>
      <c r="F564" s="62" t="s">
        <v>611</v>
      </c>
      <c r="G564" s="25">
        <f t="shared" si="8"/>
        <v>1.6788071932620108E-2</v>
      </c>
    </row>
    <row r="565" spans="1:7">
      <c r="A565" s="62">
        <v>175.02297737369182</v>
      </c>
      <c r="B565" s="62">
        <v>175.54482575579758</v>
      </c>
      <c r="C565" s="62">
        <v>171.9912867728867</v>
      </c>
      <c r="D565" s="62">
        <v>173.29342273585544</v>
      </c>
      <c r="E565" s="62">
        <v>55548707.429207444</v>
      </c>
      <c r="F565" s="62" t="s">
        <v>612</v>
      </c>
      <c r="G565" s="25">
        <f t="shared" si="8"/>
        <v>9.9804978777102704E-3</v>
      </c>
    </row>
    <row r="566" spans="1:7">
      <c r="A566" s="62">
        <v>172.67714464651146</v>
      </c>
      <c r="B566" s="62">
        <v>176.64319235051551</v>
      </c>
      <c r="C566" s="62">
        <v>172.47834526285212</v>
      </c>
      <c r="D566" s="62">
        <v>174.51603894536044</v>
      </c>
      <c r="E566" s="62">
        <v>76060783.09533444</v>
      </c>
      <c r="F566" s="62" t="s">
        <v>613</v>
      </c>
      <c r="G566" s="25">
        <f t="shared" si="8"/>
        <v>-1.0537107706327875E-2</v>
      </c>
    </row>
    <row r="567" spans="1:7">
      <c r="A567" s="62">
        <v>171.58374803638503</v>
      </c>
      <c r="B567" s="62">
        <v>171.58374803638503</v>
      </c>
      <c r="C567" s="62">
        <v>169.26276523216211</v>
      </c>
      <c r="D567" s="62">
        <v>170.14245250485473</v>
      </c>
      <c r="E567" s="62">
        <v>122488004.49867356</v>
      </c>
      <c r="F567" s="62" t="s">
        <v>614</v>
      </c>
      <c r="G567" s="25">
        <f t="shared" si="8"/>
        <v>8.4711105918093832E-3</v>
      </c>
    </row>
    <row r="568" spans="1:7">
      <c r="A568" s="62">
        <v>171.9614668653378</v>
      </c>
      <c r="B568" s="62">
        <v>173.26141603508628</v>
      </c>
      <c r="C568" s="62">
        <v>171.01716979295591</v>
      </c>
      <c r="D568" s="62">
        <v>171.8720071426911</v>
      </c>
      <c r="E568" s="62">
        <v>73353856.191968814</v>
      </c>
      <c r="F568" s="62" t="s">
        <v>615</v>
      </c>
      <c r="G568" s="25">
        <f t="shared" si="8"/>
        <v>5.2050199525766061E-4</v>
      </c>
    </row>
    <row r="569" spans="1:7">
      <c r="A569" s="62">
        <v>170.10269262812287</v>
      </c>
      <c r="B569" s="62">
        <v>172.14535629522271</v>
      </c>
      <c r="C569" s="62">
        <v>169.73491376835307</v>
      </c>
      <c r="D569" s="62">
        <v>171.73284757412955</v>
      </c>
      <c r="E569" s="62">
        <v>52805688.864650883</v>
      </c>
      <c r="F569" s="62" t="s">
        <v>616</v>
      </c>
      <c r="G569" s="25">
        <f t="shared" si="8"/>
        <v>-9.4923887248944405E-3</v>
      </c>
    </row>
    <row r="570" spans="1:7">
      <c r="A570" s="62">
        <v>172.19008615654604</v>
      </c>
      <c r="B570" s="62">
        <v>172.98528369118347</v>
      </c>
      <c r="C570" s="62">
        <v>169.98341299792725</v>
      </c>
      <c r="D570" s="62">
        <v>172.11056640308232</v>
      </c>
      <c r="E570" s="62">
        <v>60186677.542736188</v>
      </c>
      <c r="F570" s="62" t="s">
        <v>617</v>
      </c>
      <c r="G570" s="25">
        <f t="shared" si="8"/>
        <v>4.6202714409471213E-4</v>
      </c>
    </row>
    <row r="571" spans="1:7">
      <c r="A571" s="62">
        <v>171.71296763576362</v>
      </c>
      <c r="B571" s="62">
        <v>173.33318261258731</v>
      </c>
      <c r="C571" s="62">
        <v>171.01716979295591</v>
      </c>
      <c r="D571" s="62">
        <v>171.90182705024</v>
      </c>
      <c r="E571" s="62">
        <v>60502675.504317626</v>
      </c>
      <c r="F571" s="62" t="s">
        <v>618</v>
      </c>
      <c r="G571" s="25">
        <f t="shared" si="8"/>
        <v>-1.0986469295709567E-3</v>
      </c>
    </row>
    <row r="572" spans="1:7">
      <c r="A572" s="62">
        <v>169.70509386080417</v>
      </c>
      <c r="B572" s="62">
        <v>172.6572647081455</v>
      </c>
      <c r="C572" s="62">
        <v>167.92583937705299</v>
      </c>
      <c r="D572" s="62">
        <v>167.98547919215079</v>
      </c>
      <c r="E572" s="62">
        <v>76727643.31169793</v>
      </c>
      <c r="F572" s="62" t="s">
        <v>619</v>
      </c>
      <c r="G572" s="25">
        <f t="shared" ref="G572:G635" si="9">A572/D572-1</f>
        <v>1.0236686390532546E-2</v>
      </c>
    </row>
    <row r="573" spans="1:7">
      <c r="A573" s="62">
        <v>167.98547919215079</v>
      </c>
      <c r="B573" s="62">
        <v>169.70509386080417</v>
      </c>
      <c r="C573" s="62">
        <v>167.47854076381947</v>
      </c>
      <c r="D573" s="62">
        <v>168.13457872989531</v>
      </c>
      <c r="E573" s="62">
        <v>72198474.34031488</v>
      </c>
      <c r="F573" s="62" t="s">
        <v>620</v>
      </c>
      <c r="G573" s="25">
        <f t="shared" si="9"/>
        <v>-8.8678687555432401E-4</v>
      </c>
    </row>
    <row r="574" spans="1:7">
      <c r="A574" s="62">
        <v>168.10475882234641</v>
      </c>
      <c r="B574" s="62">
        <v>170.21203228913552</v>
      </c>
      <c r="C574" s="62">
        <v>167.66740017829585</v>
      </c>
      <c r="D574" s="62">
        <v>170.0331128438421</v>
      </c>
      <c r="E574" s="62">
        <v>69001931.230860874</v>
      </c>
      <c r="F574" s="62" t="s">
        <v>621</v>
      </c>
      <c r="G574" s="25">
        <f t="shared" si="9"/>
        <v>-1.134104992400331E-2</v>
      </c>
    </row>
    <row r="575" spans="1:7">
      <c r="A575" s="62">
        <v>169.09875574064316</v>
      </c>
      <c r="B575" s="62">
        <v>171.00722982377292</v>
      </c>
      <c r="C575" s="62">
        <v>168.6017572814948</v>
      </c>
      <c r="D575" s="62">
        <v>169.73491376835307</v>
      </c>
      <c r="E575" s="62">
        <v>95706891.2879657</v>
      </c>
      <c r="F575" s="62" t="s">
        <v>622</v>
      </c>
      <c r="G575" s="25">
        <f t="shared" si="9"/>
        <v>-3.7479503396579128E-3</v>
      </c>
    </row>
    <row r="576" spans="1:7">
      <c r="A576" s="62">
        <v>174.04886039376098</v>
      </c>
      <c r="B576" s="62">
        <v>175.83805484669514</v>
      </c>
      <c r="C576" s="62">
        <v>172.74672443079223</v>
      </c>
      <c r="D576" s="62">
        <v>175.09255715797258</v>
      </c>
      <c r="E576" s="62">
        <v>82002367.914450392</v>
      </c>
      <c r="F576" s="62" t="s">
        <v>623</v>
      </c>
      <c r="G576" s="25">
        <f t="shared" si="9"/>
        <v>-5.9608288390576858E-3</v>
      </c>
    </row>
    <row r="577" spans="1:7">
      <c r="A577" s="62">
        <v>178.58148634119416</v>
      </c>
      <c r="B577" s="62">
        <v>179.44626366011232</v>
      </c>
      <c r="C577" s="62">
        <v>176.31517336747757</v>
      </c>
      <c r="D577" s="62">
        <v>178.47214668018154</v>
      </c>
      <c r="E577" s="62">
        <v>74007354.193867117</v>
      </c>
      <c r="F577" s="62" t="s">
        <v>624</v>
      </c>
      <c r="G577" s="25">
        <f t="shared" si="9"/>
        <v>6.1264271790584246E-4</v>
      </c>
    </row>
    <row r="578" spans="1:7">
      <c r="A578" s="62">
        <v>179.6649429821376</v>
      </c>
      <c r="B578" s="62">
        <v>181.4740173734377</v>
      </c>
      <c r="C578" s="62">
        <v>178.45226674181558</v>
      </c>
      <c r="D578" s="62">
        <v>180.18182137965195</v>
      </c>
      <c r="E578" s="62">
        <v>137508069.1741083</v>
      </c>
      <c r="F578" s="62" t="s">
        <v>625</v>
      </c>
      <c r="G578" s="25">
        <f t="shared" si="9"/>
        <v>-2.8686489766648338E-3</v>
      </c>
    </row>
    <row r="579" spans="1:7">
      <c r="A579" s="62">
        <v>180.33092091739644</v>
      </c>
      <c r="B579" s="62">
        <v>182.02071567850092</v>
      </c>
      <c r="C579" s="62">
        <v>179.04866489279362</v>
      </c>
      <c r="D579" s="62">
        <v>181.41437755833988</v>
      </c>
      <c r="E579" s="62">
        <v>49249588.302430905</v>
      </c>
      <c r="F579" s="62" t="s">
        <v>626</v>
      </c>
      <c r="G579" s="25">
        <f t="shared" si="9"/>
        <v>-5.9722754917537202E-3</v>
      </c>
    </row>
    <row r="580" spans="1:7">
      <c r="A580" s="62">
        <v>181.5336571885355</v>
      </c>
      <c r="B580" s="62">
        <v>182.81839820543408</v>
      </c>
      <c r="C580" s="62">
        <v>178.48208664936448</v>
      </c>
      <c r="D580" s="62">
        <v>180.01284190354147</v>
      </c>
      <c r="E580" s="62">
        <v>54646900.810394175</v>
      </c>
      <c r="F580" s="62" t="s">
        <v>627</v>
      </c>
      <c r="G580" s="25">
        <f t="shared" si="9"/>
        <v>8.4483710657095035E-3</v>
      </c>
    </row>
    <row r="581" spans="1:7">
      <c r="A581" s="62">
        <v>180.07248171863927</v>
      </c>
      <c r="B581" s="62">
        <v>181.66287678791409</v>
      </c>
      <c r="C581" s="62">
        <v>179.56554329030794</v>
      </c>
      <c r="D581" s="62">
        <v>181.1459983903998</v>
      </c>
      <c r="E581" s="62">
        <v>41114233.100468569</v>
      </c>
      <c r="F581" s="62" t="s">
        <v>628</v>
      </c>
      <c r="G581" s="25">
        <f t="shared" si="9"/>
        <v>-5.9262510974541494E-3</v>
      </c>
    </row>
    <row r="582" spans="1:7">
      <c r="A582" s="62">
        <v>181.42431752752287</v>
      </c>
      <c r="B582" s="62">
        <v>183.92918976163068</v>
      </c>
      <c r="C582" s="62">
        <v>181.1360584212168</v>
      </c>
      <c r="D582" s="62">
        <v>183.89936985408175</v>
      </c>
      <c r="E582" s="62">
        <v>45392169.904625259</v>
      </c>
      <c r="F582" s="62" t="s">
        <v>629</v>
      </c>
      <c r="G582" s="25">
        <f t="shared" si="9"/>
        <v>-1.3458731960434456E-2</v>
      </c>
    </row>
    <row r="583" spans="1:7">
      <c r="A583" s="62">
        <v>183.26321182637184</v>
      </c>
      <c r="B583" s="62">
        <v>183.84470002357546</v>
      </c>
      <c r="C583" s="62">
        <v>181.36467771242508</v>
      </c>
      <c r="D583" s="62">
        <v>182.37855456908773</v>
      </c>
      <c r="E583" s="62">
        <v>52608018.231690891</v>
      </c>
      <c r="F583" s="62" t="s">
        <v>630</v>
      </c>
      <c r="G583" s="25">
        <f t="shared" si="9"/>
        <v>4.8506649226074394E-3</v>
      </c>
    </row>
    <row r="584" spans="1:7">
      <c r="A584" s="62">
        <v>181.2255181438635</v>
      </c>
      <c r="B584" s="62">
        <v>181.79090359099072</v>
      </c>
      <c r="C584" s="62">
        <v>179.57548325949091</v>
      </c>
      <c r="D584" s="62">
        <v>180.84779931491076</v>
      </c>
      <c r="E584" s="62">
        <v>41780485.669072896</v>
      </c>
      <c r="F584" s="62" t="s">
        <v>631</v>
      </c>
      <c r="G584" s="25">
        <f t="shared" si="9"/>
        <v>2.0886006375726573E-3</v>
      </c>
    </row>
    <row r="585" spans="1:7">
      <c r="A585" s="62">
        <v>180.47008048595799</v>
      </c>
      <c r="B585" s="62">
        <v>181.33485780487615</v>
      </c>
      <c r="C585" s="62">
        <v>178.91944529341507</v>
      </c>
      <c r="D585" s="62">
        <v>180.69869977716624</v>
      </c>
      <c r="E585" s="62">
        <v>53989657.324046709</v>
      </c>
      <c r="F585" s="62" t="s">
        <v>632</v>
      </c>
      <c r="G585" s="25">
        <f t="shared" si="9"/>
        <v>-1.2651961053963268E-3</v>
      </c>
    </row>
    <row r="586" spans="1:7">
      <c r="A586" s="62">
        <v>181.21557817468056</v>
      </c>
      <c r="B586" s="62">
        <v>183.7403303471543</v>
      </c>
      <c r="C586" s="62">
        <v>180.57445016237912</v>
      </c>
      <c r="D586" s="62">
        <v>182.31891475398993</v>
      </c>
      <c r="E586" s="62">
        <v>50052936.8695153</v>
      </c>
      <c r="F586" s="62" t="s">
        <v>633</v>
      </c>
      <c r="G586" s="25">
        <f t="shared" si="9"/>
        <v>-6.0516846581615269E-3</v>
      </c>
    </row>
    <row r="587" spans="1:7">
      <c r="A587" s="62">
        <v>182.75627339804052</v>
      </c>
      <c r="B587" s="62">
        <v>183.38249145656746</v>
      </c>
      <c r="C587" s="62">
        <v>180.26134113311565</v>
      </c>
      <c r="D587" s="62">
        <v>182.44813435336852</v>
      </c>
      <c r="E587" s="62">
        <v>65829676.929103941</v>
      </c>
      <c r="F587" s="62" t="s">
        <v>634</v>
      </c>
      <c r="G587" s="25">
        <f t="shared" si="9"/>
        <v>1.6889131026969206E-3</v>
      </c>
    </row>
    <row r="588" spans="1:7">
      <c r="A588" s="62">
        <v>183.04453250434656</v>
      </c>
      <c r="B588" s="62">
        <v>184.41624825159607</v>
      </c>
      <c r="C588" s="62">
        <v>181.34479777405912</v>
      </c>
      <c r="D588" s="62">
        <v>184.20750889875376</v>
      </c>
      <c r="E588" s="62">
        <v>54960449.066191643</v>
      </c>
      <c r="F588" s="62" t="s">
        <v>635</v>
      </c>
      <c r="G588" s="25">
        <f t="shared" si="9"/>
        <v>-6.3134038420029626E-3</v>
      </c>
    </row>
    <row r="589" spans="1:7">
      <c r="A589" s="62">
        <v>183.92918976163068</v>
      </c>
      <c r="B589" s="62">
        <v>185.09216615603788</v>
      </c>
      <c r="C589" s="62">
        <v>182.41115766800789</v>
      </c>
      <c r="D589" s="62">
        <v>184.65480751198731</v>
      </c>
      <c r="E589" s="62">
        <v>56870929.838359453</v>
      </c>
      <c r="F589" s="62" t="s">
        <v>636</v>
      </c>
      <c r="G589" s="25">
        <f t="shared" si="9"/>
        <v>-3.9295903536631371E-3</v>
      </c>
    </row>
    <row r="590" spans="1:7">
      <c r="A590" s="62">
        <v>186.02652325923682</v>
      </c>
      <c r="B590" s="62">
        <v>187.53739857504786</v>
      </c>
      <c r="C590" s="62">
        <v>185.66868436864999</v>
      </c>
      <c r="D590" s="62">
        <v>187.28392936088221</v>
      </c>
      <c r="E590" s="62">
        <v>42034269.15205618</v>
      </c>
      <c r="F590" s="62" t="s">
        <v>637</v>
      </c>
      <c r="G590" s="25">
        <f t="shared" si="9"/>
        <v>-6.7139028209006746E-3</v>
      </c>
    </row>
    <row r="591" spans="1:7">
      <c r="A591" s="62">
        <v>187.71631802034128</v>
      </c>
      <c r="B591" s="62">
        <v>188.8494745071996</v>
      </c>
      <c r="C591" s="62">
        <v>186.87142063978905</v>
      </c>
      <c r="D591" s="62">
        <v>187.51751863668196</v>
      </c>
      <c r="E591" s="62">
        <v>45427923.536599182</v>
      </c>
      <c r="F591" s="62" t="s">
        <v>638</v>
      </c>
      <c r="G591" s="25">
        <f t="shared" si="9"/>
        <v>1.0601643254701809E-3</v>
      </c>
    </row>
    <row r="592" spans="1:7">
      <c r="A592" s="62">
        <v>186.95094039325286</v>
      </c>
      <c r="B592" s="62">
        <v>188.15710751611715</v>
      </c>
      <c r="C592" s="62">
        <v>185.98799215524599</v>
      </c>
      <c r="D592" s="62">
        <v>188.00819799477586</v>
      </c>
      <c r="E592" s="62">
        <v>41262014.978333861</v>
      </c>
      <c r="F592" s="62" t="s">
        <v>639</v>
      </c>
      <c r="G592" s="25">
        <f t="shared" si="9"/>
        <v>-5.6234654275680862E-3</v>
      </c>
    </row>
    <row r="593" spans="1:7">
      <c r="A593" s="62">
        <v>188.03301624833276</v>
      </c>
      <c r="B593" s="62">
        <v>189.66109368166397</v>
      </c>
      <c r="C593" s="62">
        <v>187.23883213451265</v>
      </c>
      <c r="D593" s="62">
        <v>189.25407432333114</v>
      </c>
      <c r="E593" s="62">
        <v>53830293.575582363</v>
      </c>
      <c r="F593" s="62" t="s">
        <v>640</v>
      </c>
      <c r="G593" s="25">
        <f t="shared" si="9"/>
        <v>-6.4519513218630475E-3</v>
      </c>
    </row>
    <row r="594" spans="1:7">
      <c r="A594" s="62">
        <v>187.92381593268249</v>
      </c>
      <c r="B594" s="62">
        <v>187.93374323410524</v>
      </c>
      <c r="C594" s="62">
        <v>185.41171230765525</v>
      </c>
      <c r="D594" s="62">
        <v>185.50155438553119</v>
      </c>
      <c r="E594" s="62">
        <v>43809245.985347219</v>
      </c>
      <c r="F594" s="62" t="s">
        <v>641</v>
      </c>
      <c r="G594" s="25">
        <f t="shared" si="9"/>
        <v>1.3057904313389601E-2</v>
      </c>
    </row>
    <row r="595" spans="1:7">
      <c r="A595" s="62">
        <v>186.31559310219677</v>
      </c>
      <c r="B595" s="62">
        <v>187.87417942556874</v>
      </c>
      <c r="C595" s="62">
        <v>184.48896964041055</v>
      </c>
      <c r="D595" s="62">
        <v>186.7821762690661</v>
      </c>
      <c r="E595" s="62">
        <v>70179011.428356037</v>
      </c>
      <c r="F595" s="62" t="s">
        <v>642</v>
      </c>
      <c r="G595" s="25">
        <f t="shared" si="9"/>
        <v>-2.4980069093808455E-3</v>
      </c>
    </row>
    <row r="596" spans="1:7">
      <c r="A596" s="62">
        <v>184.49889694183327</v>
      </c>
      <c r="B596" s="62">
        <v>185.96813755240049</v>
      </c>
      <c r="C596" s="62">
        <v>177.94687800281741</v>
      </c>
      <c r="D596" s="62">
        <v>178.55244338960526</v>
      </c>
      <c r="E596" s="62">
        <v>103302675.75533949</v>
      </c>
      <c r="F596" s="62" t="s">
        <v>643</v>
      </c>
      <c r="G596" s="25">
        <f t="shared" si="9"/>
        <v>3.3303680640498046E-2</v>
      </c>
    </row>
    <row r="597" spans="1:7">
      <c r="A597" s="62">
        <v>185.50155438553119</v>
      </c>
      <c r="B597" s="62">
        <v>185.59090009833591</v>
      </c>
      <c r="C597" s="62">
        <v>182.48365475301475</v>
      </c>
      <c r="D597" s="62">
        <v>182.64745522649017</v>
      </c>
      <c r="E597" s="62">
        <v>65360570.045043737</v>
      </c>
      <c r="F597" s="62" t="s">
        <v>644</v>
      </c>
      <c r="G597" s="25">
        <f t="shared" si="9"/>
        <v>1.5626273881023112E-2</v>
      </c>
    </row>
    <row r="598" spans="1:7">
      <c r="A598" s="62">
        <v>183.05943823553434</v>
      </c>
      <c r="B598" s="62">
        <v>185.73484596896583</v>
      </c>
      <c r="C598" s="62">
        <v>183.00980172842057</v>
      </c>
      <c r="D598" s="62">
        <v>185.68024581114068</v>
      </c>
      <c r="E598" s="62">
        <v>55873999.023419671</v>
      </c>
      <c r="F598" s="62" t="s">
        <v>645</v>
      </c>
      <c r="G598" s="25">
        <f t="shared" si="9"/>
        <v>-1.4114627887082953E-2</v>
      </c>
    </row>
    <row r="599" spans="1:7">
      <c r="A599" s="62">
        <v>186.67297595341583</v>
      </c>
      <c r="B599" s="62">
        <v>190.40564128837033</v>
      </c>
      <c r="C599" s="62">
        <v>186.10711977231901</v>
      </c>
      <c r="D599" s="62">
        <v>189.5518933660137</v>
      </c>
      <c r="E599" s="62">
        <v>56268433.505989738</v>
      </c>
      <c r="F599" s="62" t="s">
        <v>646</v>
      </c>
      <c r="G599" s="25">
        <f t="shared" si="9"/>
        <v>-1.5188017178171087E-2</v>
      </c>
    </row>
    <row r="600" spans="1:7">
      <c r="A600" s="62">
        <v>190.33615017841106</v>
      </c>
      <c r="B600" s="62">
        <v>190.80273334528036</v>
      </c>
      <c r="C600" s="62">
        <v>188.20178037251955</v>
      </c>
      <c r="D600" s="62">
        <v>190.6141146182481</v>
      </c>
      <c r="E600" s="62">
        <v>47490873.89645689</v>
      </c>
      <c r="F600" s="62" t="s">
        <v>647</v>
      </c>
      <c r="G600" s="25">
        <f t="shared" si="9"/>
        <v>-1.4582573824279965E-3</v>
      </c>
    </row>
    <row r="601" spans="1:7">
      <c r="A601" s="62">
        <v>191.0211339765809</v>
      </c>
      <c r="B601" s="62">
        <v>193.3441225095047</v>
      </c>
      <c r="C601" s="62">
        <v>190.54462350828882</v>
      </c>
      <c r="D601" s="62">
        <v>192.8576847397899</v>
      </c>
      <c r="E601" s="62">
        <v>44920577.205200754</v>
      </c>
      <c r="F601" s="62" t="s">
        <v>648</v>
      </c>
      <c r="G601" s="25">
        <f t="shared" si="9"/>
        <v>-9.5228290523499126E-3</v>
      </c>
    </row>
    <row r="602" spans="1:7">
      <c r="A602" s="62">
        <v>192.75841172556238</v>
      </c>
      <c r="B602" s="62">
        <v>194.84066319898449</v>
      </c>
      <c r="C602" s="62">
        <v>191.70859960010645</v>
      </c>
      <c r="D602" s="62">
        <v>193.80077837495128</v>
      </c>
      <c r="E602" s="62">
        <v>55223593.669029765</v>
      </c>
      <c r="F602" s="62" t="s">
        <v>649</v>
      </c>
      <c r="G602" s="25">
        <f t="shared" si="9"/>
        <v>-5.3785472799918743E-3</v>
      </c>
    </row>
    <row r="603" spans="1:7">
      <c r="A603" s="62">
        <v>193.08601267251316</v>
      </c>
      <c r="B603" s="62">
        <v>194.95234533999042</v>
      </c>
      <c r="C603" s="62">
        <v>192.92717584974915</v>
      </c>
      <c r="D603" s="62">
        <v>193.99932440340629</v>
      </c>
      <c r="E603" s="62">
        <v>54024063.25357274</v>
      </c>
      <c r="F603" s="62" t="s">
        <v>650</v>
      </c>
      <c r="G603" s="25">
        <f t="shared" si="9"/>
        <v>-4.707808822024373E-3</v>
      </c>
    </row>
    <row r="604" spans="1:7">
      <c r="A604" s="62">
        <v>193.76106916926028</v>
      </c>
      <c r="B604" s="62">
        <v>194.3269253503571</v>
      </c>
      <c r="C604" s="62">
        <v>192.42078420417462</v>
      </c>
      <c r="D604" s="62">
        <v>193.60223234649627</v>
      </c>
      <c r="E604" s="62">
        <v>42665764.034251802</v>
      </c>
      <c r="F604" s="62" t="s">
        <v>651</v>
      </c>
      <c r="G604" s="25">
        <f t="shared" si="9"/>
        <v>8.2042867398213204E-4</v>
      </c>
    </row>
    <row r="605" spans="1:7">
      <c r="A605" s="62">
        <v>192.48044728572532</v>
      </c>
      <c r="B605" s="62">
        <v>193.90997869060155</v>
      </c>
      <c r="C605" s="62">
        <v>190.86229715381688</v>
      </c>
      <c r="D605" s="62">
        <v>190.90200635950791</v>
      </c>
      <c r="E605" s="62">
        <v>60574217.94626449</v>
      </c>
      <c r="F605" s="62" t="s">
        <v>652</v>
      </c>
      <c r="G605" s="25">
        <f t="shared" si="9"/>
        <v>8.2683307332289679E-3</v>
      </c>
    </row>
    <row r="606" spans="1:7">
      <c r="A606" s="62">
        <v>190.16738605422429</v>
      </c>
      <c r="B606" s="62">
        <v>190.55455080971157</v>
      </c>
      <c r="C606" s="62">
        <v>187.44730546439041</v>
      </c>
      <c r="D606" s="62">
        <v>187.95359783695076</v>
      </c>
      <c r="E606" s="62">
        <v>69407568.145446479</v>
      </c>
      <c r="F606" s="62" t="s">
        <v>653</v>
      </c>
      <c r="G606" s="25">
        <f t="shared" si="9"/>
        <v>1.1778376379865785E-2</v>
      </c>
    </row>
    <row r="607" spans="1:7">
      <c r="A607" s="62">
        <v>187.25868673735815</v>
      </c>
      <c r="B607" s="62">
        <v>187.76497910991844</v>
      </c>
      <c r="C607" s="62">
        <v>184.4790423389878</v>
      </c>
      <c r="D607" s="62">
        <v>184.73715217597933</v>
      </c>
      <c r="E607" s="62">
        <v>78576997.59294802</v>
      </c>
      <c r="F607" s="62" t="s">
        <v>654</v>
      </c>
      <c r="G607" s="25">
        <f t="shared" si="9"/>
        <v>1.3649309473910298E-2</v>
      </c>
    </row>
    <row r="608" spans="1:7">
      <c r="A608" s="62">
        <v>181.35194239082114</v>
      </c>
      <c r="B608" s="62">
        <v>181.6001249263899</v>
      </c>
      <c r="C608" s="62">
        <v>178.98924465220631</v>
      </c>
      <c r="D608" s="62">
        <v>179.95219289021318</v>
      </c>
      <c r="E608" s="62">
        <v>47663943.084832944</v>
      </c>
      <c r="F608" s="62" t="s">
        <v>655</v>
      </c>
      <c r="G608" s="25">
        <f t="shared" si="9"/>
        <v>7.7784520328791906E-3</v>
      </c>
    </row>
    <row r="609" spans="1:7">
      <c r="A609" s="62">
        <v>182.29503602598248</v>
      </c>
      <c r="B609" s="62">
        <v>182.92045601561583</v>
      </c>
      <c r="C609" s="62">
        <v>179.61863556240874</v>
      </c>
      <c r="D609" s="62">
        <v>180.83572271683803</v>
      </c>
      <c r="E609" s="62">
        <v>66083458.340099767</v>
      </c>
      <c r="F609" s="62" t="s">
        <v>656</v>
      </c>
      <c r="G609" s="25">
        <f t="shared" si="9"/>
        <v>8.069828722002681E-3</v>
      </c>
    </row>
    <row r="610" spans="1:7">
      <c r="A610" s="62">
        <v>184.56838805179254</v>
      </c>
      <c r="B610" s="62">
        <v>185.38242676845817</v>
      </c>
      <c r="C610" s="62">
        <v>183.8436950479317</v>
      </c>
      <c r="D610" s="62">
        <v>184.70737027171106</v>
      </c>
      <c r="E610" s="62">
        <v>40774204.666772082</v>
      </c>
      <c r="F610" s="62" t="s">
        <v>657</v>
      </c>
      <c r="G610" s="25">
        <f t="shared" si="9"/>
        <v>-7.5244544770503019E-4</v>
      </c>
    </row>
    <row r="611" spans="1:7">
      <c r="A611" s="62">
        <v>184.24078710484176</v>
      </c>
      <c r="B611" s="62">
        <v>185.69017311256346</v>
      </c>
      <c r="C611" s="62">
        <v>182.28510872455973</v>
      </c>
      <c r="D611" s="62">
        <v>185.1838807400031</v>
      </c>
      <c r="E611" s="62">
        <v>49488180.027865231</v>
      </c>
      <c r="F611" s="62" t="s">
        <v>658</v>
      </c>
      <c r="G611" s="25">
        <f t="shared" si="9"/>
        <v>-5.0927415031627454E-3</v>
      </c>
    </row>
    <row r="612" spans="1:7">
      <c r="A612" s="62">
        <v>184.83642519020682</v>
      </c>
      <c r="B612" s="62">
        <v>185.04489852008462</v>
      </c>
      <c r="C612" s="62">
        <v>182.58292776724227</v>
      </c>
      <c r="D612" s="62">
        <v>183.00980172842057</v>
      </c>
      <c r="E612" s="62">
        <v>47135576.938119702</v>
      </c>
      <c r="F612" s="62" t="s">
        <v>659</v>
      </c>
      <c r="G612" s="25">
        <f t="shared" si="9"/>
        <v>9.9810143748304547E-3</v>
      </c>
    </row>
    <row r="613" spans="1:7">
      <c r="A613" s="62">
        <v>183.79405854081793</v>
      </c>
      <c r="B613" s="62">
        <v>183.80398584224071</v>
      </c>
      <c r="C613" s="62">
        <v>181.40157889793485</v>
      </c>
      <c r="D613" s="62">
        <v>182.58292776724227</v>
      </c>
      <c r="E613" s="62">
        <v>43155543.662465453</v>
      </c>
      <c r="F613" s="62" t="s">
        <v>660</v>
      </c>
      <c r="G613" s="25">
        <f t="shared" si="9"/>
        <v>6.6333188342757587E-3</v>
      </c>
    </row>
    <row r="614" spans="1:7">
      <c r="A614" s="62">
        <v>184.21100520057351</v>
      </c>
      <c r="B614" s="62">
        <v>184.25071440626451</v>
      </c>
      <c r="C614" s="62">
        <v>180.18052082293647</v>
      </c>
      <c r="D614" s="62">
        <v>180.76126795616742</v>
      </c>
      <c r="E614" s="62">
        <v>59577590.607305542</v>
      </c>
      <c r="F614" s="62" t="s">
        <v>661</v>
      </c>
      <c r="G614" s="25">
        <f t="shared" si="9"/>
        <v>1.9084493505780342E-2</v>
      </c>
    </row>
    <row r="615" spans="1:7">
      <c r="A615" s="62">
        <v>179.86284717740841</v>
      </c>
      <c r="B615" s="62">
        <v>181.43136080220313</v>
      </c>
      <c r="C615" s="62">
        <v>178.86018973371051</v>
      </c>
      <c r="D615" s="62">
        <v>180.66695859265127</v>
      </c>
      <c r="E615" s="62">
        <v>62836473.220243648</v>
      </c>
      <c r="F615" s="62" t="s">
        <v>662</v>
      </c>
      <c r="G615" s="25">
        <f t="shared" si="9"/>
        <v>-4.4507939996702994E-3</v>
      </c>
    </row>
    <row r="616" spans="1:7">
      <c r="A616" s="62">
        <v>180.58754018126925</v>
      </c>
      <c r="B616" s="62">
        <v>181.75618210475554</v>
      </c>
      <c r="C616" s="62">
        <v>179.56502813472588</v>
      </c>
      <c r="D616" s="62">
        <v>180.82579541541531</v>
      </c>
      <c r="E616" s="62">
        <v>72510712.56386812</v>
      </c>
      <c r="F616" s="62" t="s">
        <v>663</v>
      </c>
      <c r="G616" s="25">
        <f t="shared" si="9"/>
        <v>-1.3175953884163594E-3</v>
      </c>
    </row>
    <row r="617" spans="1:7">
      <c r="A617" s="62">
        <v>182.91052871419308</v>
      </c>
      <c r="B617" s="62">
        <v>184.52867884610154</v>
      </c>
      <c r="C617" s="62">
        <v>182.09648999752747</v>
      </c>
      <c r="D617" s="62">
        <v>182.88074680992483</v>
      </c>
      <c r="E617" s="62">
        <v>58842234.674295418</v>
      </c>
      <c r="F617" s="62" t="s">
        <v>664</v>
      </c>
      <c r="G617" s="25">
        <f t="shared" si="9"/>
        <v>1.6284876777761248E-4</v>
      </c>
    </row>
    <row r="618" spans="1:7">
      <c r="A618" s="62">
        <v>184.2904236119555</v>
      </c>
      <c r="B618" s="62">
        <v>187.07006801032588</v>
      </c>
      <c r="C618" s="62">
        <v>182.54818221226265</v>
      </c>
      <c r="D618" s="62">
        <v>185.78944612679095</v>
      </c>
      <c r="E618" s="62">
        <v>83092746.444620922</v>
      </c>
      <c r="F618" s="62" t="s">
        <v>665</v>
      </c>
      <c r="G618" s="25">
        <f t="shared" si="9"/>
        <v>-8.0683943360940757E-3</v>
      </c>
    </row>
    <row r="619" spans="1:7">
      <c r="A619" s="62">
        <v>191.13033429223117</v>
      </c>
      <c r="B619" s="62">
        <v>192.98673965828567</v>
      </c>
      <c r="C619" s="62">
        <v>190.33118652769969</v>
      </c>
      <c r="D619" s="62">
        <v>192.4903745871481</v>
      </c>
      <c r="E619" s="62">
        <v>42984640.218744911</v>
      </c>
      <c r="F619" s="62" t="s">
        <v>666</v>
      </c>
      <c r="G619" s="25">
        <f t="shared" si="9"/>
        <v>-7.0654976792160484E-3</v>
      </c>
    </row>
    <row r="620" spans="1:7">
      <c r="A620" s="62">
        <v>192.17270094162006</v>
      </c>
      <c r="B620" s="62">
        <v>193.24484949527718</v>
      </c>
      <c r="C620" s="62">
        <v>191.76568158328723</v>
      </c>
      <c r="D620" s="62">
        <v>192.72862982129411</v>
      </c>
      <c r="E620" s="62">
        <v>34299248.657812163</v>
      </c>
      <c r="F620" s="62" t="s">
        <v>667</v>
      </c>
      <c r="G620" s="25">
        <f t="shared" si="9"/>
        <v>-2.8845163284225706E-3</v>
      </c>
    </row>
    <row r="621" spans="1:7">
      <c r="A621" s="62">
        <v>191.74582698044176</v>
      </c>
      <c r="B621" s="62">
        <v>192.09328253023804</v>
      </c>
      <c r="C621" s="62">
        <v>189.70080288735497</v>
      </c>
      <c r="D621" s="62">
        <v>191.09062508654017</v>
      </c>
      <c r="E621" s="62">
        <v>48439831.684563331</v>
      </c>
      <c r="F621" s="62" t="s">
        <v>668</v>
      </c>
      <c r="G621" s="25">
        <f t="shared" si="9"/>
        <v>3.4287495454310424E-3</v>
      </c>
    </row>
    <row r="622" spans="1:7">
      <c r="A622" s="62">
        <v>191.64655396621424</v>
      </c>
      <c r="B622" s="62">
        <v>192.48044728572532</v>
      </c>
      <c r="C622" s="62">
        <v>191.42815333491373</v>
      </c>
      <c r="D622" s="62">
        <v>192.20248284588831</v>
      </c>
      <c r="E622" s="62">
        <v>29131088.871466044</v>
      </c>
      <c r="F622" s="62" t="s">
        <v>669</v>
      </c>
      <c r="G622" s="25">
        <f t="shared" si="9"/>
        <v>-2.8924125819946855E-3</v>
      </c>
    </row>
    <row r="623" spans="1:7">
      <c r="A623" s="62">
        <v>192.19255554446556</v>
      </c>
      <c r="B623" s="62">
        <v>193.98939710198354</v>
      </c>
      <c r="C623" s="62">
        <v>191.56713555483222</v>
      </c>
      <c r="D623" s="62">
        <v>193.76106916926028</v>
      </c>
      <c r="E623" s="62">
        <v>37421619.852159292</v>
      </c>
      <c r="F623" s="62" t="s">
        <v>670</v>
      </c>
      <c r="G623" s="25">
        <f t="shared" si="9"/>
        <v>-8.0950917102162734E-3</v>
      </c>
    </row>
    <row r="624" spans="1:7">
      <c r="A624" s="62">
        <v>193.26470409812271</v>
      </c>
      <c r="B624" s="62">
        <v>195.64725643958303</v>
      </c>
      <c r="C624" s="62">
        <v>192.09328253023804</v>
      </c>
      <c r="D624" s="62">
        <v>194.67438090015338</v>
      </c>
      <c r="E624" s="62">
        <v>46822945.149496138</v>
      </c>
      <c r="F624" s="62" t="s">
        <v>671</v>
      </c>
      <c r="G624" s="25">
        <f t="shared" si="9"/>
        <v>-7.2412034676184733E-3</v>
      </c>
    </row>
    <row r="625" spans="1:7">
      <c r="A625" s="62">
        <v>193.41361361946397</v>
      </c>
      <c r="B625" s="62">
        <v>196.2428945249481</v>
      </c>
      <c r="C625" s="62">
        <v>193.41361361946397</v>
      </c>
      <c r="D625" s="62">
        <v>195.46856501397349</v>
      </c>
      <c r="E625" s="62">
        <v>52625394.128025852</v>
      </c>
      <c r="F625" s="62" t="s">
        <v>672</v>
      </c>
      <c r="G625" s="25">
        <f t="shared" si="9"/>
        <v>-1.0512950736414339E-2</v>
      </c>
    </row>
    <row r="626" spans="1:7">
      <c r="A626" s="62">
        <v>195.50827421966449</v>
      </c>
      <c r="B626" s="62">
        <v>195.51820152108724</v>
      </c>
      <c r="C626" s="62">
        <v>194.46590757027559</v>
      </c>
      <c r="D626" s="62">
        <v>194.7339447086899</v>
      </c>
      <c r="E626" s="62">
        <v>41012203.887243539</v>
      </c>
      <c r="F626" s="62" t="s">
        <v>673</v>
      </c>
      <c r="G626" s="25">
        <f t="shared" si="9"/>
        <v>3.9763458401302909E-3</v>
      </c>
    </row>
    <row r="627" spans="1:7">
      <c r="A627" s="62">
        <v>194.46590757027559</v>
      </c>
      <c r="B627" s="62">
        <v>195.2005278755592</v>
      </c>
      <c r="C627" s="62">
        <v>192.97681235686289</v>
      </c>
      <c r="D627" s="62">
        <v>194.66445359873063</v>
      </c>
      <c r="E627" s="62">
        <v>56160137.207306184</v>
      </c>
      <c r="F627" s="62" t="s">
        <v>674</v>
      </c>
      <c r="G627" s="25">
        <f t="shared" si="9"/>
        <v>-1.0199398235505308E-3</v>
      </c>
    </row>
    <row r="628" spans="1:7">
      <c r="A628" s="62">
        <v>196.13369420929783</v>
      </c>
      <c r="B628" s="62">
        <v>196.95756095437196</v>
      </c>
      <c r="C628" s="62">
        <v>195.56783802820101</v>
      </c>
      <c r="D628" s="62">
        <v>196.09398500360683</v>
      </c>
      <c r="E628" s="62">
        <v>129479699.99723852</v>
      </c>
      <c r="F628" s="62" t="s">
        <v>675</v>
      </c>
      <c r="G628" s="25">
        <f t="shared" si="9"/>
        <v>2.0250088594142568E-4</v>
      </c>
    </row>
    <row r="629" spans="1:7">
      <c r="A629" s="62">
        <v>196.66976848612643</v>
      </c>
      <c r="B629" s="62">
        <v>198.16879100096185</v>
      </c>
      <c r="C629" s="62">
        <v>194.7339447086899</v>
      </c>
      <c r="D629" s="62">
        <v>196.58042277332166</v>
      </c>
      <c r="E629" s="62">
        <v>67320985.990045458</v>
      </c>
      <c r="F629" s="62" t="s">
        <v>676</v>
      </c>
      <c r="G629" s="25">
        <f t="shared" si="9"/>
        <v>4.5449954550047522E-4</v>
      </c>
    </row>
    <row r="630" spans="1:7">
      <c r="A630" s="62">
        <v>196.52085896478513</v>
      </c>
      <c r="B630" s="62">
        <v>196.56056817047613</v>
      </c>
      <c r="C630" s="62">
        <v>193.43346822230947</v>
      </c>
      <c r="D630" s="62">
        <v>193.67172345645551</v>
      </c>
      <c r="E630" s="62">
        <v>70919759.561896831</v>
      </c>
      <c r="F630" s="62" t="s">
        <v>677</v>
      </c>
      <c r="G630" s="25">
        <f t="shared" si="9"/>
        <v>1.4711158952278369E-2</v>
      </c>
    </row>
    <row r="631" spans="1:7">
      <c r="A631" s="62">
        <v>193.29448600239095</v>
      </c>
      <c r="B631" s="62">
        <v>193.3044133038137</v>
      </c>
      <c r="C631" s="62">
        <v>190.3272156071306</v>
      </c>
      <c r="D631" s="62">
        <v>191.67633587048249</v>
      </c>
      <c r="E631" s="62">
        <v>53082804.435885884</v>
      </c>
      <c r="F631" s="62" t="s">
        <v>678</v>
      </c>
      <c r="G631" s="25">
        <f t="shared" si="9"/>
        <v>8.4420965402942638E-3</v>
      </c>
    </row>
    <row r="632" spans="1:7">
      <c r="A632" s="62">
        <v>191.77560888471001</v>
      </c>
      <c r="B632" s="62">
        <v>192.08335522881529</v>
      </c>
      <c r="C632" s="62">
        <v>190.02840383430575</v>
      </c>
      <c r="D632" s="62">
        <v>191.70611777475077</v>
      </c>
      <c r="E632" s="62">
        <v>61389995.53325706</v>
      </c>
      <c r="F632" s="62" t="s">
        <v>679</v>
      </c>
      <c r="G632" s="25">
        <f t="shared" si="9"/>
        <v>3.6248770130997698E-4</v>
      </c>
    </row>
    <row r="633" spans="1:7">
      <c r="A633" s="62">
        <v>194.2872161446661</v>
      </c>
      <c r="B633" s="62">
        <v>194.56518058450314</v>
      </c>
      <c r="C633" s="62">
        <v>192.26204665442481</v>
      </c>
      <c r="D633" s="62">
        <v>192.78819362983063</v>
      </c>
      <c r="E633" s="62">
        <v>53797457.864635482</v>
      </c>
      <c r="F633" s="62" t="s">
        <v>680</v>
      </c>
      <c r="G633" s="25">
        <f t="shared" si="9"/>
        <v>7.775489186405915E-3</v>
      </c>
    </row>
    <row r="634" spans="1:7">
      <c r="A634" s="62">
        <v>192.8576847397899</v>
      </c>
      <c r="B634" s="62">
        <v>193.58237774365074</v>
      </c>
      <c r="C634" s="62">
        <v>192.18262824304281</v>
      </c>
      <c r="D634" s="62">
        <v>192.22233744873381</v>
      </c>
      <c r="E634" s="62">
        <v>47825338.405854225</v>
      </c>
      <c r="F634" s="62" t="s">
        <v>681</v>
      </c>
      <c r="G634" s="25">
        <f t="shared" si="9"/>
        <v>3.3052729432423433E-3</v>
      </c>
    </row>
    <row r="635" spans="1:7">
      <c r="A635" s="62">
        <v>190.92186096235338</v>
      </c>
      <c r="B635" s="62">
        <v>193.3441225095047</v>
      </c>
      <c r="C635" s="62">
        <v>190.71338763247562</v>
      </c>
      <c r="D635" s="62">
        <v>193.03637616539942</v>
      </c>
      <c r="E635" s="62">
        <v>41390641.071732573</v>
      </c>
      <c r="F635" s="62" t="s">
        <v>682</v>
      </c>
      <c r="G635" s="25">
        <f t="shared" si="9"/>
        <v>-1.0953972743635965E-2</v>
      </c>
    </row>
    <row r="636" spans="1:7">
      <c r="A636" s="62">
        <v>192.01386411885602</v>
      </c>
      <c r="B636" s="62">
        <v>192.98673965828567</v>
      </c>
      <c r="C636" s="62">
        <v>188.79741845788462</v>
      </c>
      <c r="D636" s="62">
        <v>188.82720036215287</v>
      </c>
      <c r="E636" s="62">
        <v>67116324.127422482</v>
      </c>
      <c r="F636" s="62" t="s">
        <v>683</v>
      </c>
      <c r="G636" s="25">
        <f t="shared" ref="G636:G699" si="10">A636/D636-1</f>
        <v>1.6876084327848151E-2</v>
      </c>
    </row>
    <row r="637" spans="1:7">
      <c r="A637" s="62">
        <v>188.05287085117826</v>
      </c>
      <c r="B637" s="62">
        <v>188.66836353938885</v>
      </c>
      <c r="C637" s="62">
        <v>186.08835717263</v>
      </c>
      <c r="D637" s="62">
        <v>188.59887242942958</v>
      </c>
      <c r="E637" s="62">
        <v>43707264.595149897</v>
      </c>
      <c r="F637" s="62" t="s">
        <v>684</v>
      </c>
      <c r="G637" s="25">
        <f t="shared" si="10"/>
        <v>-2.8950415833245424E-3</v>
      </c>
    </row>
    <row r="638" spans="1:7">
      <c r="A638" s="62">
        <v>189.84971240869626</v>
      </c>
      <c r="B638" s="62">
        <v>190.16738605422429</v>
      </c>
      <c r="C638" s="62">
        <v>187.85432482272321</v>
      </c>
      <c r="D638" s="62">
        <v>188.94632797922588</v>
      </c>
      <c r="E638" s="62">
        <v>46039523.787656941</v>
      </c>
      <c r="F638" s="62" t="s">
        <v>685</v>
      </c>
      <c r="G638" s="25">
        <f t="shared" si="10"/>
        <v>4.7811695476278615E-3</v>
      </c>
    </row>
    <row r="639" spans="1:7">
      <c r="A639" s="62">
        <v>188.5690905251613</v>
      </c>
      <c r="B639" s="62">
        <v>188.93640067780311</v>
      </c>
      <c r="C639" s="62">
        <v>186.8218854747571</v>
      </c>
      <c r="D639" s="62">
        <v>188.45989020951106</v>
      </c>
      <c r="E639" s="62">
        <v>49151691.806368858</v>
      </c>
      <c r="F639" s="62" t="s">
        <v>686</v>
      </c>
      <c r="G639" s="25">
        <f t="shared" si="10"/>
        <v>5.7943531394855086E-4</v>
      </c>
    </row>
    <row r="640" spans="1:7">
      <c r="A640" s="62">
        <v>187.99330704264176</v>
      </c>
      <c r="B640" s="62">
        <v>190.69353302963012</v>
      </c>
      <c r="C640" s="62">
        <v>187.59621498573171</v>
      </c>
      <c r="D640" s="62">
        <v>189.5121841603227</v>
      </c>
      <c r="E640" s="62">
        <v>43329221.273991242</v>
      </c>
      <c r="F640" s="62" t="s">
        <v>687</v>
      </c>
      <c r="G640" s="25">
        <f t="shared" si="10"/>
        <v>-8.0146673651125822E-3</v>
      </c>
    </row>
    <row r="641" spans="1:7">
      <c r="A641" s="62">
        <v>189.01581908918513</v>
      </c>
      <c r="B641" s="62">
        <v>189.69087558593225</v>
      </c>
      <c r="C641" s="62">
        <v>188.02308894691001</v>
      </c>
      <c r="D641" s="62">
        <v>188.40032640097456</v>
      </c>
      <c r="E641" s="62">
        <v>38696738.785386138</v>
      </c>
      <c r="F641" s="62" t="s">
        <v>688</v>
      </c>
      <c r="G641" s="25">
        <f t="shared" si="10"/>
        <v>3.2669406681420377E-3</v>
      </c>
    </row>
    <row r="642" spans="1:7">
      <c r="A642" s="62">
        <v>188.41025370239728</v>
      </c>
      <c r="B642" s="62">
        <v>189.28385622759941</v>
      </c>
      <c r="C642" s="62">
        <v>187.52672387577243</v>
      </c>
      <c r="D642" s="62">
        <v>188.53930862089305</v>
      </c>
      <c r="E642" s="62">
        <v>40849579.632045634</v>
      </c>
      <c r="F642" s="62" t="s">
        <v>689</v>
      </c>
      <c r="G642" s="25">
        <f t="shared" si="10"/>
        <v>-6.8449873631004632E-4</v>
      </c>
    </row>
    <row r="643" spans="1:7">
      <c r="A643" s="62">
        <v>188.58894512800683</v>
      </c>
      <c r="B643" s="62">
        <v>189.5121841603227</v>
      </c>
      <c r="C643" s="62">
        <v>187.87417942556874</v>
      </c>
      <c r="D643" s="62">
        <v>189.48240225605446</v>
      </c>
      <c r="E643" s="62">
        <v>24224452.321842644</v>
      </c>
      <c r="F643" s="62" t="s">
        <v>690</v>
      </c>
      <c r="G643" s="25">
        <f t="shared" si="10"/>
        <v>-4.7152512181065642E-3</v>
      </c>
    </row>
    <row r="644" spans="1:7">
      <c r="A644" s="62">
        <v>189.91920351865551</v>
      </c>
      <c r="B644" s="62">
        <v>191.52742634914122</v>
      </c>
      <c r="C644" s="62">
        <v>189.43772939965206</v>
      </c>
      <c r="D644" s="62">
        <v>190.09789494426505</v>
      </c>
      <c r="E644" s="62">
        <v>39920225.358702436</v>
      </c>
      <c r="F644" s="62" t="s">
        <v>691</v>
      </c>
      <c r="G644" s="25">
        <f t="shared" si="10"/>
        <v>-9.3999686667722848E-4</v>
      </c>
    </row>
    <row r="645" spans="1:7">
      <c r="A645" s="62">
        <v>189.25407432333114</v>
      </c>
      <c r="B645" s="62">
        <v>190.1276768485333</v>
      </c>
      <c r="C645" s="62">
        <v>188.36061719528357</v>
      </c>
      <c r="D645" s="62">
        <v>190.01847653288303</v>
      </c>
      <c r="E645" s="62">
        <v>38413747.478850245</v>
      </c>
      <c r="F645" s="62" t="s">
        <v>692</v>
      </c>
      <c r="G645" s="25">
        <f t="shared" si="10"/>
        <v>-4.022778329241139E-3</v>
      </c>
    </row>
    <row r="646" spans="1:7">
      <c r="A646" s="62">
        <v>190.05818573857402</v>
      </c>
      <c r="B646" s="62">
        <v>190.5098779533092</v>
      </c>
      <c r="C646" s="62">
        <v>188.49959941520206</v>
      </c>
      <c r="D646" s="62">
        <v>188.5095267166248</v>
      </c>
      <c r="E646" s="62">
        <v>46879420.71885027</v>
      </c>
      <c r="F646" s="62" t="s">
        <v>693</v>
      </c>
      <c r="G646" s="25">
        <f t="shared" si="10"/>
        <v>8.2152825319923295E-3</v>
      </c>
    </row>
    <row r="647" spans="1:7">
      <c r="A647" s="62">
        <v>188.31098068816979</v>
      </c>
      <c r="B647" s="62">
        <v>188.99596448633963</v>
      </c>
      <c r="C647" s="62">
        <v>187.19912292882162</v>
      </c>
      <c r="D647" s="62">
        <v>188.86690956784386</v>
      </c>
      <c r="E647" s="62">
        <v>51314452.770873711</v>
      </c>
      <c r="F647" s="62" t="s">
        <v>694</v>
      </c>
      <c r="G647" s="25">
        <f t="shared" si="10"/>
        <v>-2.9434954007884206E-3</v>
      </c>
    </row>
    <row r="648" spans="1:7">
      <c r="A648" s="62">
        <v>188.33083529101529</v>
      </c>
      <c r="B648" s="62">
        <v>189.57174796885923</v>
      </c>
      <c r="C648" s="62">
        <v>187.27854134020365</v>
      </c>
      <c r="D648" s="62">
        <v>188.19185307109677</v>
      </c>
      <c r="E648" s="62">
        <v>54811385.977761149</v>
      </c>
      <c r="F648" s="62" t="s">
        <v>695</v>
      </c>
      <c r="G648" s="25">
        <f t="shared" si="10"/>
        <v>7.3851347787101673E-4</v>
      </c>
    </row>
    <row r="649" spans="1:7">
      <c r="A649" s="62">
        <v>186.64319404914755</v>
      </c>
      <c r="B649" s="62">
        <v>188.12236196113753</v>
      </c>
      <c r="C649" s="62">
        <v>186.41486611642429</v>
      </c>
      <c r="D649" s="62">
        <v>186.47939357567216</v>
      </c>
      <c r="E649" s="62">
        <v>54184411.965897709</v>
      </c>
      <c r="F649" s="62" t="s">
        <v>696</v>
      </c>
      <c r="G649" s="25">
        <f t="shared" si="10"/>
        <v>8.7838377385596189E-4</v>
      </c>
    </row>
    <row r="650" spans="1:7">
      <c r="A650" s="62">
        <v>186.07733786805073</v>
      </c>
      <c r="B650" s="62">
        <v>186.7424670633751</v>
      </c>
      <c r="C650" s="62">
        <v>184.94562550585709</v>
      </c>
      <c r="D650" s="62">
        <v>186.33544770504227</v>
      </c>
      <c r="E650" s="62">
        <v>60548557.397727482</v>
      </c>
      <c r="F650" s="62" t="s">
        <v>697</v>
      </c>
      <c r="G650" s="25">
        <f t="shared" si="10"/>
        <v>-1.3851891315930231E-3</v>
      </c>
    </row>
    <row r="651" spans="1:7">
      <c r="A651" s="62">
        <v>183.4565302924444</v>
      </c>
      <c r="B651" s="62">
        <v>184.67758836744281</v>
      </c>
      <c r="C651" s="62">
        <v>182.87081950850208</v>
      </c>
      <c r="D651" s="62">
        <v>184.46911503756502</v>
      </c>
      <c r="E651" s="62">
        <v>43947007.491899818</v>
      </c>
      <c r="F651" s="62" t="s">
        <v>698</v>
      </c>
      <c r="G651" s="25">
        <f t="shared" si="10"/>
        <v>-5.4891830804003616E-3</v>
      </c>
    </row>
    <row r="652" spans="1:7">
      <c r="A652" s="62">
        <v>185.04489852008462</v>
      </c>
      <c r="B652" s="62">
        <v>185.20869899356001</v>
      </c>
      <c r="C652" s="62">
        <v>182.19576301175499</v>
      </c>
      <c r="D652" s="62">
        <v>182.63256427435604</v>
      </c>
      <c r="E652" s="62">
        <v>66662549.24861443</v>
      </c>
      <c r="F652" s="62" t="s">
        <v>699</v>
      </c>
      <c r="G652" s="25">
        <f t="shared" si="10"/>
        <v>1.3208675327499142E-2</v>
      </c>
    </row>
    <row r="653" spans="1:7">
      <c r="A653" s="62">
        <v>180.84565001826084</v>
      </c>
      <c r="B653" s="62">
        <v>182.54098504118298</v>
      </c>
      <c r="C653" s="62">
        <v>180.25079562425307</v>
      </c>
      <c r="D653" s="62">
        <v>181.39093321276795</v>
      </c>
      <c r="E653" s="62">
        <v>54228605.058566466</v>
      </c>
      <c r="F653" s="62" t="s">
        <v>700</v>
      </c>
      <c r="G653" s="25">
        <f t="shared" si="10"/>
        <v>-3.006121556624386E-3</v>
      </c>
    </row>
    <row r="654" spans="1:7">
      <c r="A654" s="62">
        <v>181.32153353346703</v>
      </c>
      <c r="B654" s="62">
        <v>181.87673096787429</v>
      </c>
      <c r="C654" s="62">
        <v>180.03268234645023</v>
      </c>
      <c r="D654" s="62">
        <v>180.78616457886005</v>
      </c>
      <c r="E654" s="62">
        <v>49767085.018142328</v>
      </c>
      <c r="F654" s="62" t="s">
        <v>701</v>
      </c>
      <c r="G654" s="25">
        <f t="shared" si="10"/>
        <v>2.9613380860982197E-3</v>
      </c>
    </row>
    <row r="655" spans="1:7">
      <c r="A655" s="62">
        <v>180.2607098641532</v>
      </c>
      <c r="B655" s="62">
        <v>180.87539273796122</v>
      </c>
      <c r="C655" s="62">
        <v>177.43515149261631</v>
      </c>
      <c r="D655" s="62">
        <v>177.64335053051903</v>
      </c>
      <c r="E655" s="62">
        <v>71140063.898473218</v>
      </c>
      <c r="F655" s="62" t="s">
        <v>702</v>
      </c>
      <c r="G655" s="25">
        <f t="shared" si="10"/>
        <v>1.4733787253041752E-2</v>
      </c>
    </row>
    <row r="656" spans="1:7">
      <c r="A656" s="62">
        <v>177.69292173001966</v>
      </c>
      <c r="B656" s="62">
        <v>177.89120652802228</v>
      </c>
      <c r="C656" s="62">
        <v>174.6988212801806</v>
      </c>
      <c r="D656" s="62">
        <v>174.86736335848278</v>
      </c>
      <c r="E656" s="62">
        <v>64393549.725548387</v>
      </c>
      <c r="F656" s="62" t="s">
        <v>703</v>
      </c>
      <c r="G656" s="25">
        <f t="shared" si="10"/>
        <v>1.6158294591223532E-2</v>
      </c>
    </row>
    <row r="657" spans="1:7">
      <c r="A657" s="62">
        <v>175.13504783578628</v>
      </c>
      <c r="B657" s="62">
        <v>175.30358991408849</v>
      </c>
      <c r="C657" s="62">
        <v>171.86334866874358</v>
      </c>
      <c r="D657" s="62">
        <v>172.74571601985511</v>
      </c>
      <c r="E657" s="62">
        <v>80519784.475820363</v>
      </c>
      <c r="F657" s="62" t="s">
        <v>704</v>
      </c>
      <c r="G657" s="25">
        <f t="shared" si="10"/>
        <v>1.383149678604223E-2</v>
      </c>
    </row>
    <row r="658" spans="1:7">
      <c r="A658" s="62">
        <v>176.04715790659819</v>
      </c>
      <c r="B658" s="62">
        <v>176.2553569445009</v>
      </c>
      <c r="C658" s="62">
        <v>173.9552532876709</v>
      </c>
      <c r="D658" s="62">
        <v>174.01473872707166</v>
      </c>
      <c r="E658" s="62">
        <v>78003712.61844334</v>
      </c>
      <c r="F658" s="62" t="s">
        <v>705</v>
      </c>
      <c r="G658" s="25">
        <f t="shared" si="10"/>
        <v>1.167958067456687E-2</v>
      </c>
    </row>
    <row r="659" spans="1:7">
      <c r="A659" s="62">
        <v>172.47803154255161</v>
      </c>
      <c r="B659" s="62">
        <v>172.73580177995495</v>
      </c>
      <c r="C659" s="62">
        <v>168.66104918100177</v>
      </c>
      <c r="D659" s="62">
        <v>169.53350229221317</v>
      </c>
      <c r="E659" s="62">
        <v>57427403.990150318</v>
      </c>
      <c r="F659" s="62" t="s">
        <v>706</v>
      </c>
      <c r="G659" s="25">
        <f t="shared" si="10"/>
        <v>1.7368421052631478E-2</v>
      </c>
    </row>
    <row r="660" spans="1:7">
      <c r="A660" s="62">
        <v>169.3054747745102</v>
      </c>
      <c r="B660" s="62">
        <v>169.43435989321188</v>
      </c>
      <c r="C660" s="62">
        <v>166.46008792317303</v>
      </c>
      <c r="D660" s="62">
        <v>167.89765270869179</v>
      </c>
      <c r="E660" s="62">
        <v>45233943.753383011</v>
      </c>
      <c r="F660" s="62" t="s">
        <v>707</v>
      </c>
      <c r="G660" s="25">
        <f t="shared" si="10"/>
        <v>8.3850014762327785E-3</v>
      </c>
    </row>
    <row r="661" spans="1:7">
      <c r="A661" s="62">
        <v>168.82959125930395</v>
      </c>
      <c r="B661" s="62">
        <v>169.70204437051535</v>
      </c>
      <c r="C661" s="62">
        <v>167.4217691934856</v>
      </c>
      <c r="D661" s="62">
        <v>167.57048279198756</v>
      </c>
      <c r="E661" s="62">
        <v>51573247.687230684</v>
      </c>
      <c r="F661" s="62" t="s">
        <v>708</v>
      </c>
      <c r="G661" s="25">
        <f t="shared" si="10"/>
        <v>7.5139036800375703E-3</v>
      </c>
    </row>
    <row r="662" spans="1:7">
      <c r="A662" s="62">
        <v>166.77734359997717</v>
      </c>
      <c r="B662" s="62">
        <v>167.51099735258677</v>
      </c>
      <c r="C662" s="62">
        <v>165.3992642538592</v>
      </c>
      <c r="D662" s="62">
        <v>165.47857817306021</v>
      </c>
      <c r="E662" s="62">
        <v>59005157.822776034</v>
      </c>
      <c r="F662" s="62" t="s">
        <v>709</v>
      </c>
      <c r="G662" s="25">
        <f t="shared" si="10"/>
        <v>7.8485411299502594E-3</v>
      </c>
    </row>
    <row r="663" spans="1:7">
      <c r="A663" s="62">
        <v>165.45874969325996</v>
      </c>
      <c r="B663" s="62">
        <v>169.90776484844304</v>
      </c>
      <c r="C663" s="62">
        <v>164.24921242544417</v>
      </c>
      <c r="D663" s="62">
        <v>168.90890517850502</v>
      </c>
      <c r="E663" s="62">
        <v>71236180.192773059</v>
      </c>
      <c r="F663" s="62" t="s">
        <v>710</v>
      </c>
      <c r="G663" s="25">
        <f t="shared" si="10"/>
        <v>-2.0426131361155231E-2</v>
      </c>
    </row>
    <row r="664" spans="1:7">
      <c r="A664" s="62">
        <v>169.63264469121444</v>
      </c>
      <c r="B664" s="62">
        <v>171.57583571163983</v>
      </c>
      <c r="C664" s="62">
        <v>169.18650389570863</v>
      </c>
      <c r="D664" s="62">
        <v>170.40595540342454</v>
      </c>
      <c r="E664" s="62">
        <v>57651380.817659907</v>
      </c>
      <c r="F664" s="62" t="s">
        <v>711</v>
      </c>
      <c r="G664" s="25">
        <f t="shared" si="10"/>
        <v>-4.5380498021876381E-3</v>
      </c>
    </row>
    <row r="665" spans="1:7">
      <c r="A665" s="62">
        <v>171.95257682784475</v>
      </c>
      <c r="B665" s="62">
        <v>172.18060434554769</v>
      </c>
      <c r="C665" s="62">
        <v>169.97964308771898</v>
      </c>
      <c r="D665" s="62">
        <v>171.5659214717397</v>
      </c>
      <c r="E665" s="62">
        <v>44195666.477092206</v>
      </c>
      <c r="F665" s="62" t="s">
        <v>712</v>
      </c>
      <c r="G665" s="25">
        <f t="shared" si="10"/>
        <v>2.253683906385362E-3</v>
      </c>
    </row>
    <row r="666" spans="1:7">
      <c r="A666" s="62">
        <v>171.51635027223904</v>
      </c>
      <c r="B666" s="62">
        <v>172.51768850215211</v>
      </c>
      <c r="C666" s="62">
        <v>168.47267862289931</v>
      </c>
      <c r="D666" s="62">
        <v>169.444274133112</v>
      </c>
      <c r="E666" s="62">
        <v>56464347.810737573</v>
      </c>
      <c r="F666" s="62" t="s">
        <v>713</v>
      </c>
      <c r="G666" s="25">
        <f t="shared" si="10"/>
        <v>1.2228658358200084E-2</v>
      </c>
    </row>
    <row r="667" spans="1:7">
      <c r="A667" s="62">
        <v>171.39737939343749</v>
      </c>
      <c r="B667" s="62">
        <v>173.91559632807036</v>
      </c>
      <c r="C667" s="62">
        <v>171.15943763583437</v>
      </c>
      <c r="D667" s="62">
        <v>173.80653968916894</v>
      </c>
      <c r="E667" s="62">
        <v>64799751.314431407</v>
      </c>
      <c r="F667" s="62" t="s">
        <v>714</v>
      </c>
      <c r="G667" s="25">
        <f t="shared" si="10"/>
        <v>-1.3861160230448921E-2</v>
      </c>
    </row>
    <row r="668" spans="1:7">
      <c r="A668" s="62">
        <v>173.9552532876709</v>
      </c>
      <c r="B668" s="62">
        <v>176.31484238390169</v>
      </c>
      <c r="C668" s="62">
        <v>173.6875688103674</v>
      </c>
      <c r="D668" s="62">
        <v>174.53027920187839</v>
      </c>
      <c r="E668" s="62">
        <v>59815844.277911648</v>
      </c>
      <c r="F668" s="62" t="s">
        <v>715</v>
      </c>
      <c r="G668" s="25">
        <f t="shared" si="10"/>
        <v>-3.2947057486933939E-3</v>
      </c>
    </row>
    <row r="669" spans="1:7">
      <c r="A669" s="62">
        <v>174.3319944038758</v>
      </c>
      <c r="B669" s="62">
        <v>176.05211502654825</v>
      </c>
      <c r="C669" s="62">
        <v>173.60825489116635</v>
      </c>
      <c r="D669" s="62">
        <v>174.07422416647245</v>
      </c>
      <c r="E669" s="62">
        <v>55238097.475616947</v>
      </c>
      <c r="F669" s="62" t="s">
        <v>716</v>
      </c>
      <c r="G669" s="25">
        <f t="shared" si="10"/>
        <v>1.4808064699851631E-3</v>
      </c>
    </row>
    <row r="670" spans="1:7">
      <c r="A670" s="62">
        <v>175.63075983079275</v>
      </c>
      <c r="B670" s="62">
        <v>176.88986829810918</v>
      </c>
      <c r="C670" s="62">
        <v>173.30091345426234</v>
      </c>
      <c r="D670" s="62">
        <v>175.13009071583622</v>
      </c>
      <c r="E670" s="62">
        <v>58047163.050037481</v>
      </c>
      <c r="F670" s="62" t="s">
        <v>717</v>
      </c>
      <c r="G670" s="25">
        <f t="shared" si="10"/>
        <v>2.8588411786352186E-3</v>
      </c>
    </row>
    <row r="671" spans="1:7">
      <c r="A671" s="62">
        <v>177.18729549511306</v>
      </c>
      <c r="B671" s="62">
        <v>177.53925101156767</v>
      </c>
      <c r="C671" s="62">
        <v>174.99624847718445</v>
      </c>
      <c r="D671" s="62">
        <v>175.23419023478758</v>
      </c>
      <c r="E671" s="62">
        <v>52971266.107162103</v>
      </c>
      <c r="F671" s="62" t="s">
        <v>718</v>
      </c>
      <c r="G671" s="25">
        <f t="shared" si="10"/>
        <v>1.1145685997171029E-2</v>
      </c>
    </row>
    <row r="672" spans="1:7">
      <c r="A672" s="62">
        <v>177.31618061381477</v>
      </c>
      <c r="B672" s="62">
        <v>180.36976650305462</v>
      </c>
      <c r="C672" s="62">
        <v>176.61226958090555</v>
      </c>
      <c r="D672" s="62">
        <v>179.86414026814802</v>
      </c>
      <c r="E672" s="62">
        <v>51901187.098900311</v>
      </c>
      <c r="F672" s="62" t="s">
        <v>719</v>
      </c>
      <c r="G672" s="25">
        <f t="shared" si="10"/>
        <v>-1.4166023591665744E-2</v>
      </c>
    </row>
    <row r="673" spans="1:7">
      <c r="A673" s="62">
        <v>179.16022923523883</v>
      </c>
      <c r="B673" s="62">
        <v>180.77625033895993</v>
      </c>
      <c r="C673" s="62">
        <v>177.5045511719172</v>
      </c>
      <c r="D673" s="62">
        <v>178.52571788163056</v>
      </c>
      <c r="E673" s="62">
        <v>57233957.995367102</v>
      </c>
      <c r="F673" s="62" t="s">
        <v>720</v>
      </c>
      <c r="G673" s="25">
        <f t="shared" si="10"/>
        <v>3.5541733770199091E-3</v>
      </c>
    </row>
    <row r="674" spans="1:7">
      <c r="A674" s="62">
        <v>178.25803340432705</v>
      </c>
      <c r="B674" s="62">
        <v>178.30760460382768</v>
      </c>
      <c r="C674" s="62">
        <v>176.07690062629857</v>
      </c>
      <c r="D674" s="62">
        <v>176.67175502030634</v>
      </c>
      <c r="E674" s="62">
        <v>47962424.229193047</v>
      </c>
      <c r="F674" s="62" t="s">
        <v>721</v>
      </c>
      <c r="G674" s="25">
        <f t="shared" si="10"/>
        <v>8.9786756453422711E-3</v>
      </c>
    </row>
    <row r="675" spans="1:7">
      <c r="A675" s="62">
        <v>176.8601255784088</v>
      </c>
      <c r="B675" s="62">
        <v>178.17871948512601</v>
      </c>
      <c r="C675" s="62">
        <v>176.42389902280311</v>
      </c>
      <c r="D675" s="62">
        <v>176.57261262130504</v>
      </c>
      <c r="E675" s="62">
        <v>44076015.347812541</v>
      </c>
      <c r="F675" s="62" t="s">
        <v>722</v>
      </c>
      <c r="G675" s="25">
        <f t="shared" si="10"/>
        <v>1.6282987085907141E-3</v>
      </c>
    </row>
    <row r="676" spans="1:7">
      <c r="A676" s="62">
        <v>177.45497997241657</v>
      </c>
      <c r="B676" s="62">
        <v>177.51446541181735</v>
      </c>
      <c r="C676" s="62">
        <v>174.29233744427529</v>
      </c>
      <c r="D676" s="62">
        <v>175.29367567418836</v>
      </c>
      <c r="E676" s="62">
        <v>42757460.407475732</v>
      </c>
      <c r="F676" s="62" t="s">
        <v>723</v>
      </c>
      <c r="G676" s="25">
        <f t="shared" si="10"/>
        <v>1.2329619365420541E-2</v>
      </c>
    </row>
    <row r="677" spans="1:7">
      <c r="A677" s="62">
        <v>175.96784398739717</v>
      </c>
      <c r="B677" s="62">
        <v>176.46355598240365</v>
      </c>
      <c r="C677" s="62">
        <v>171.69480659044137</v>
      </c>
      <c r="D677" s="62">
        <v>172.30948946424942</v>
      </c>
      <c r="E677" s="62">
        <v>57762042.856409416</v>
      </c>
      <c r="F677" s="62" t="s">
        <v>724</v>
      </c>
      <c r="G677" s="25">
        <f t="shared" si="10"/>
        <v>2.1231300345224247E-2</v>
      </c>
    </row>
    <row r="678" spans="1:7">
      <c r="A678" s="62">
        <v>173.40997009316376</v>
      </c>
      <c r="B678" s="62">
        <v>173.94533904777074</v>
      </c>
      <c r="C678" s="62">
        <v>171.1990945954349</v>
      </c>
      <c r="D678" s="62">
        <v>172.29957522434927</v>
      </c>
      <c r="E678" s="62">
        <v>48947693.911831304</v>
      </c>
      <c r="F678" s="62" t="s">
        <v>725</v>
      </c>
      <c r="G678" s="25">
        <f t="shared" si="10"/>
        <v>6.444559525864646E-3</v>
      </c>
    </row>
    <row r="679" spans="1:7">
      <c r="A679" s="62">
        <v>172.17069010564759</v>
      </c>
      <c r="B679" s="62">
        <v>172.7159733001547</v>
      </c>
      <c r="C679" s="62">
        <v>169.50375957251276</v>
      </c>
      <c r="D679" s="62">
        <v>169.62273045131434</v>
      </c>
      <c r="E679" s="62">
        <v>53478921.767172337</v>
      </c>
      <c r="F679" s="62" t="s">
        <v>726</v>
      </c>
      <c r="G679" s="25">
        <f t="shared" si="10"/>
        <v>1.502133380092352E-2</v>
      </c>
    </row>
    <row r="680" spans="1:7">
      <c r="A680" s="62">
        <v>170.9214958782313</v>
      </c>
      <c r="B680" s="62">
        <v>172.14094738594719</v>
      </c>
      <c r="C680" s="62">
        <v>169.35504597401084</v>
      </c>
      <c r="D680" s="62">
        <v>170.7777393996794</v>
      </c>
      <c r="E680" s="62">
        <v>50023616.030667737</v>
      </c>
      <c r="F680" s="62" t="s">
        <v>727</v>
      </c>
      <c r="G680" s="25">
        <f t="shared" si="10"/>
        <v>8.4177527502848903E-4</v>
      </c>
    </row>
    <row r="681" spans="1:7">
      <c r="A681" s="62">
        <v>172.25991826474876</v>
      </c>
      <c r="B681" s="62">
        <v>172.80520145925587</v>
      </c>
      <c r="C681" s="62">
        <v>169.46410261291226</v>
      </c>
      <c r="D681" s="62">
        <v>169.75161557001601</v>
      </c>
      <c r="E681" s="62">
        <v>52615768.354888231</v>
      </c>
      <c r="F681" s="62" t="s">
        <v>728</v>
      </c>
      <c r="G681" s="25">
        <f t="shared" si="10"/>
        <v>1.4776311178600565E-2</v>
      </c>
    </row>
    <row r="682" spans="1:7">
      <c r="A682" s="62">
        <v>169.74170133011589</v>
      </c>
      <c r="B682" s="62">
        <v>171.58574995153995</v>
      </c>
      <c r="C682" s="62">
        <v>168.88015388279464</v>
      </c>
      <c r="D682" s="62">
        <v>170.54475476202637</v>
      </c>
      <c r="E682" s="62">
        <v>52309691.436176546</v>
      </c>
      <c r="F682" s="62" t="s">
        <v>729</v>
      </c>
      <c r="G682" s="25">
        <f t="shared" si="10"/>
        <v>-4.7087547959540066E-3</v>
      </c>
    </row>
    <row r="683" spans="1:7">
      <c r="A683" s="62">
        <v>169.22616085530913</v>
      </c>
      <c r="B683" s="62">
        <v>170.5546690019265</v>
      </c>
      <c r="C683" s="62">
        <v>166.18248920596943</v>
      </c>
      <c r="D683" s="62">
        <v>167.88773846879167</v>
      </c>
      <c r="E683" s="62">
        <v>56781376.653257206</v>
      </c>
      <c r="F683" s="62" t="s">
        <v>730</v>
      </c>
      <c r="G683" s="25">
        <f t="shared" si="10"/>
        <v>7.9721270816108802E-3</v>
      </c>
    </row>
    <row r="684" spans="1:7">
      <c r="A684" s="62">
        <v>168.96839061790578</v>
      </c>
      <c r="B684" s="62">
        <v>171.55600723183954</v>
      </c>
      <c r="C684" s="62">
        <v>167.60022551168794</v>
      </c>
      <c r="D684" s="62">
        <v>171.13960915603414</v>
      </c>
      <c r="E684" s="62">
        <v>67500694.63129127</v>
      </c>
      <c r="F684" s="62" t="s">
        <v>731</v>
      </c>
      <c r="G684" s="25">
        <f t="shared" si="10"/>
        <v>-1.2686826555439734E-2</v>
      </c>
    </row>
    <row r="685" spans="1:7">
      <c r="A685" s="62">
        <v>170.48526932262558</v>
      </c>
      <c r="B685" s="62">
        <v>173.69748305026749</v>
      </c>
      <c r="C685" s="62">
        <v>170.1878421256217</v>
      </c>
      <c r="D685" s="62">
        <v>173.3207419340626</v>
      </c>
      <c r="E685" s="62">
        <v>65147651.913443036</v>
      </c>
      <c r="F685" s="62" t="s">
        <v>732</v>
      </c>
      <c r="G685" s="25">
        <f t="shared" si="10"/>
        <v>-1.6359684246653683E-2</v>
      </c>
    </row>
    <row r="686" spans="1:7">
      <c r="A686" s="62">
        <v>174.56993616147892</v>
      </c>
      <c r="B686" s="62">
        <v>175.45230351259042</v>
      </c>
      <c r="C686" s="62">
        <v>172.65648786075394</v>
      </c>
      <c r="D686" s="62">
        <v>172.70605906025457</v>
      </c>
      <c r="E686" s="62">
        <v>46572143.164900862</v>
      </c>
      <c r="F686" s="62" t="s">
        <v>733</v>
      </c>
      <c r="G686" s="25">
        <f t="shared" si="10"/>
        <v>1.0792192881745155E-2</v>
      </c>
    </row>
    <row r="687" spans="1:7">
      <c r="A687" s="62">
        <v>173.29099921436222</v>
      </c>
      <c r="B687" s="62">
        <v>175.56036872750184</v>
      </c>
      <c r="C687" s="62">
        <v>172.55734546175265</v>
      </c>
      <c r="D687" s="62">
        <v>173.17202833556064</v>
      </c>
      <c r="E687" s="62">
        <v>57216070.59282425</v>
      </c>
      <c r="F687" s="62" t="s">
        <v>734</v>
      </c>
      <c r="G687" s="25">
        <f t="shared" si="10"/>
        <v>6.8700978988966988E-4</v>
      </c>
    </row>
    <row r="688" spans="1:7">
      <c r="A688" s="62">
        <v>172.4383745829511</v>
      </c>
      <c r="B688" s="62">
        <v>174.78804943928176</v>
      </c>
      <c r="C688" s="62">
        <v>172.36897490365018</v>
      </c>
      <c r="D688" s="62">
        <v>173.05305745675912</v>
      </c>
      <c r="E688" s="62">
        <v>63695368.113066971</v>
      </c>
      <c r="F688" s="62" t="s">
        <v>735</v>
      </c>
      <c r="G688" s="25">
        <f t="shared" si="10"/>
        <v>-3.5519908335720496E-3</v>
      </c>
    </row>
    <row r="689" spans="1:7">
      <c r="A689" s="62">
        <v>173.98499600737128</v>
      </c>
      <c r="B689" s="62">
        <v>178.15393388537569</v>
      </c>
      <c r="C689" s="62">
        <v>173.89576784827011</v>
      </c>
      <c r="D689" s="62">
        <v>177.72266444972004</v>
      </c>
      <c r="E689" s="62">
        <v>58941665.31035541</v>
      </c>
      <c r="F689" s="62" t="s">
        <v>736</v>
      </c>
      <c r="G689" s="25">
        <f t="shared" si="10"/>
        <v>-2.1030904830971586E-2</v>
      </c>
    </row>
    <row r="690" spans="1:7">
      <c r="A690" s="62">
        <v>177.53429389161761</v>
      </c>
      <c r="B690" s="62">
        <v>178.08949132602484</v>
      </c>
      <c r="C690" s="62">
        <v>175.6109313509925</v>
      </c>
      <c r="D690" s="62">
        <v>175.99758670709755</v>
      </c>
      <c r="E690" s="62">
        <v>52275254.101248279</v>
      </c>
      <c r="F690" s="62" t="s">
        <v>737</v>
      </c>
      <c r="G690" s="25">
        <f t="shared" si="10"/>
        <v>8.7314105452906965E-3</v>
      </c>
    </row>
    <row r="691" spans="1:7">
      <c r="A691" s="62">
        <v>176.44372750260337</v>
      </c>
      <c r="B691" s="62">
        <v>177.84163532852162</v>
      </c>
      <c r="C691" s="62">
        <v>174.65916432058006</v>
      </c>
      <c r="D691" s="62">
        <v>174.96650575748407</v>
      </c>
      <c r="E691" s="62">
        <v>67839364.063726142</v>
      </c>
      <c r="F691" s="62" t="s">
        <v>738</v>
      </c>
      <c r="G691" s="25">
        <f t="shared" si="10"/>
        <v>8.4428830462375259E-3</v>
      </c>
    </row>
    <row r="692" spans="1:7">
      <c r="A692" s="62">
        <v>173.50911249216506</v>
      </c>
      <c r="B692" s="62">
        <v>174.98137711733429</v>
      </c>
      <c r="C692" s="62">
        <v>172.32931794404965</v>
      </c>
      <c r="D692" s="62">
        <v>174.96650575748407</v>
      </c>
      <c r="E692" s="62">
        <v>110204576.54910457</v>
      </c>
      <c r="F692" s="62" t="s">
        <v>739</v>
      </c>
      <c r="G692" s="25">
        <f t="shared" si="10"/>
        <v>-8.329555757026208E-3</v>
      </c>
    </row>
    <row r="693" spans="1:7">
      <c r="A693" s="62">
        <v>174.23285200487453</v>
      </c>
      <c r="B693" s="62">
        <v>174.58976464127917</v>
      </c>
      <c r="C693" s="62">
        <v>172.09137618644655</v>
      </c>
      <c r="D693" s="62">
        <v>172.50777426225198</v>
      </c>
      <c r="E693" s="62">
        <v>61422517.120253503</v>
      </c>
      <c r="F693" s="62" t="s">
        <v>740</v>
      </c>
      <c r="G693" s="25">
        <f t="shared" si="10"/>
        <v>1.0000000000000231E-2</v>
      </c>
    </row>
    <row r="694" spans="1:7">
      <c r="A694" s="62">
        <v>172.7159733001547</v>
      </c>
      <c r="B694" s="62">
        <v>175.77947342929471</v>
      </c>
      <c r="C694" s="62">
        <v>172.48794578245173</v>
      </c>
      <c r="D694" s="62">
        <v>174.99624847718445</v>
      </c>
      <c r="E694" s="62">
        <v>84996861.93683888</v>
      </c>
      <c r="F694" s="62" t="s">
        <v>741</v>
      </c>
      <c r="G694" s="25">
        <f t="shared" si="10"/>
        <v>-1.3030423205483976E-2</v>
      </c>
    </row>
    <row r="695" spans="1:7">
      <c r="A695" s="62">
        <v>174.78804943928176</v>
      </c>
      <c r="B695" s="62">
        <v>178.58520332103132</v>
      </c>
      <c r="C695" s="62">
        <v>173.3207419340626</v>
      </c>
      <c r="D695" s="62">
        <v>177.95069196742304</v>
      </c>
      <c r="E695" s="62">
        <v>91151911.705122516</v>
      </c>
      <c r="F695" s="62" t="s">
        <v>742</v>
      </c>
      <c r="G695" s="25">
        <f t="shared" si="10"/>
        <v>-1.7772577859490712E-2</v>
      </c>
    </row>
    <row r="696" spans="1:7">
      <c r="A696" s="62">
        <v>177.82180684872137</v>
      </c>
      <c r="B696" s="62">
        <v>178.75374539933352</v>
      </c>
      <c r="C696" s="62">
        <v>175.81913038889522</v>
      </c>
      <c r="D696" s="62">
        <v>178.52571788163056</v>
      </c>
      <c r="E696" s="62">
        <v>59463007.344849907</v>
      </c>
      <c r="F696" s="62" t="s">
        <v>743</v>
      </c>
      <c r="G696" s="25">
        <f t="shared" si="10"/>
        <v>-3.9429110901316733E-3</v>
      </c>
    </row>
    <row r="697" spans="1:7">
      <c r="A697" s="62">
        <v>176.65192654050608</v>
      </c>
      <c r="B697" s="62">
        <v>178.69326853594274</v>
      </c>
      <c r="C697" s="62">
        <v>176.26527118440103</v>
      </c>
      <c r="D697" s="62">
        <v>176.82046861880829</v>
      </c>
      <c r="E697" s="62">
        <v>66169536.606778704</v>
      </c>
      <c r="F697" s="62" t="s">
        <v>744</v>
      </c>
      <c r="G697" s="25">
        <f t="shared" si="10"/>
        <v>-9.5318194561255787E-4</v>
      </c>
    </row>
    <row r="698" spans="1:7">
      <c r="A698" s="62">
        <v>176.03724366669806</v>
      </c>
      <c r="B698" s="62">
        <v>176.68166926020649</v>
      </c>
      <c r="C698" s="62">
        <v>172.05171922684602</v>
      </c>
      <c r="D698" s="62">
        <v>173.67765457046727</v>
      </c>
      <c r="E698" s="62">
        <v>113461852.98434378</v>
      </c>
      <c r="F698" s="62" t="s">
        <v>745</v>
      </c>
      <c r="G698" s="25">
        <f t="shared" si="10"/>
        <v>1.3586025802032164E-2</v>
      </c>
    </row>
    <row r="699" spans="1:7">
      <c r="A699" s="62">
        <v>181.34136201326731</v>
      </c>
      <c r="B699" s="62">
        <v>187.23042051394418</v>
      </c>
      <c r="C699" s="62">
        <v>179.91371146764865</v>
      </c>
      <c r="D699" s="62">
        <v>186.78427971843837</v>
      </c>
      <c r="E699" s="62">
        <v>82463019.680341527</v>
      </c>
      <c r="F699" s="62" t="s">
        <v>746</v>
      </c>
      <c r="G699" s="25">
        <f t="shared" si="10"/>
        <v>-2.9140127388534998E-2</v>
      </c>
    </row>
    <row r="700" spans="1:7">
      <c r="A700" s="62">
        <v>188.07313090545517</v>
      </c>
      <c r="B700" s="62">
        <v>188.3507296226588</v>
      </c>
      <c r="C700" s="62">
        <v>186.00105476632814</v>
      </c>
      <c r="D700" s="62">
        <v>186.66530883963679</v>
      </c>
      <c r="E700" s="62">
        <v>45671708.024141006</v>
      </c>
      <c r="F700" s="62" t="s">
        <v>747</v>
      </c>
      <c r="G700" s="25">
        <f t="shared" ref="G700:G763" si="11">A700/D700-1</f>
        <v>7.5419587847886937E-3</v>
      </c>
    </row>
    <row r="701" spans="1:7">
      <c r="A701" s="62">
        <v>187.83518914785208</v>
      </c>
      <c r="B701" s="62">
        <v>188.29124418325802</v>
      </c>
      <c r="C701" s="62">
        <v>186.66530883963679</v>
      </c>
      <c r="D701" s="62">
        <v>187.85997474760242</v>
      </c>
      <c r="E701" s="62">
        <v>46162392.135984674</v>
      </c>
      <c r="F701" s="62" t="s">
        <v>748</v>
      </c>
      <c r="G701" s="25">
        <f t="shared" si="11"/>
        <v>-1.3193656489973726E-4</v>
      </c>
    </row>
    <row r="702" spans="1:7">
      <c r="A702" s="62">
        <v>186.25882500373152</v>
      </c>
      <c r="B702" s="62">
        <v>187.49810499124769</v>
      </c>
      <c r="C702" s="62">
        <v>185.87216964762644</v>
      </c>
      <c r="D702" s="62">
        <v>186.22908228403111</v>
      </c>
      <c r="E702" s="62">
        <v>61320350.94208923</v>
      </c>
      <c r="F702" s="62" t="s">
        <v>749</v>
      </c>
      <c r="G702" s="25">
        <f t="shared" si="11"/>
        <v>1.5971039182294255E-4</v>
      </c>
    </row>
    <row r="703" spans="1:7">
      <c r="A703" s="62">
        <v>186.04071172592865</v>
      </c>
      <c r="B703" s="62">
        <v>186.23899652393123</v>
      </c>
      <c r="C703" s="62">
        <v>183.155667914991</v>
      </c>
      <c r="D703" s="62">
        <v>183.35395271299359</v>
      </c>
      <c r="E703" s="62">
        <v>61339939.937509589</v>
      </c>
      <c r="F703" s="62" t="s">
        <v>750</v>
      </c>
      <c r="G703" s="25">
        <f t="shared" si="11"/>
        <v>1.4653401103060348E-2</v>
      </c>
    </row>
    <row r="704" spans="1:7">
      <c r="A704" s="62">
        <v>182.54098504118298</v>
      </c>
      <c r="B704" s="62">
        <v>183.31429575339305</v>
      </c>
      <c r="C704" s="62">
        <v>177.96060620732317</v>
      </c>
      <c r="D704" s="62">
        <v>178.15393388537569</v>
      </c>
      <c r="E704" s="62">
        <v>53462442.440300509</v>
      </c>
      <c r="F704" s="62" t="s">
        <v>751</v>
      </c>
      <c r="G704" s="25">
        <f t="shared" si="11"/>
        <v>2.4625059127966864E-2</v>
      </c>
    </row>
    <row r="705" spans="1:7">
      <c r="A705" s="62">
        <v>178.6446887604321</v>
      </c>
      <c r="B705" s="62">
        <v>179.04125835643728</v>
      </c>
      <c r="C705" s="62">
        <v>177.01379629686079</v>
      </c>
      <c r="D705" s="62">
        <v>178.54554636143081</v>
      </c>
      <c r="E705" s="62">
        <v>44199754.536329053</v>
      </c>
      <c r="F705" s="62" t="s">
        <v>752</v>
      </c>
      <c r="G705" s="25">
        <f t="shared" si="11"/>
        <v>5.552779165971522E-4</v>
      </c>
    </row>
    <row r="706" spans="1:7">
      <c r="A706" s="62">
        <v>177.07823885621167</v>
      </c>
      <c r="B706" s="62">
        <v>177.61360781081865</v>
      </c>
      <c r="C706" s="62">
        <v>174.31216592407554</v>
      </c>
      <c r="D706" s="62">
        <v>175.85878734849572</v>
      </c>
      <c r="E706" s="62">
        <v>51894642.976440743</v>
      </c>
      <c r="F706" s="62" t="s">
        <v>753</v>
      </c>
      <c r="G706" s="25">
        <f t="shared" si="11"/>
        <v>6.9342654188748742E-3</v>
      </c>
    </row>
    <row r="707" spans="1:7">
      <c r="A707" s="62">
        <v>174.86736335848278</v>
      </c>
      <c r="B707" s="62">
        <v>179.55085028730394</v>
      </c>
      <c r="C707" s="62">
        <v>174.50053648217801</v>
      </c>
      <c r="D707" s="62">
        <v>179.12453797159839</v>
      </c>
      <c r="E707" s="62">
        <v>55421089.819788113</v>
      </c>
      <c r="F707" s="62" t="s">
        <v>754</v>
      </c>
      <c r="G707" s="25">
        <f t="shared" si="11"/>
        <v>-2.3766562980838568E-2</v>
      </c>
    </row>
    <row r="708" spans="1:7">
      <c r="A708" s="62">
        <v>179.56671307114414</v>
      </c>
      <c r="B708" s="62">
        <v>179.99302538684972</v>
      </c>
      <c r="C708" s="62">
        <v>176.79568301905795</v>
      </c>
      <c r="D708" s="62">
        <v>176.9890106971105</v>
      </c>
      <c r="E708" s="62">
        <v>53178814.040309571</v>
      </c>
      <c r="F708" s="62" t="s">
        <v>755</v>
      </c>
      <c r="G708" s="25">
        <f t="shared" si="11"/>
        <v>1.4564194488012383E-2</v>
      </c>
    </row>
    <row r="709" spans="1:7">
      <c r="A709" s="62">
        <v>175.71007374999377</v>
      </c>
      <c r="B709" s="62">
        <v>176.15621454549961</v>
      </c>
      <c r="C709" s="62">
        <v>174.7384782397811</v>
      </c>
      <c r="D709" s="62">
        <v>175.54153167169159</v>
      </c>
      <c r="E709" s="62">
        <v>42448281.889417075</v>
      </c>
      <c r="F709" s="62" t="s">
        <v>756</v>
      </c>
      <c r="G709" s="25">
        <f t="shared" si="11"/>
        <v>9.6012651078725142E-4</v>
      </c>
    </row>
    <row r="710" spans="1:7">
      <c r="A710" s="62">
        <v>174.3319944038758</v>
      </c>
      <c r="B710" s="62">
        <v>174.61950736097955</v>
      </c>
      <c r="C710" s="62">
        <v>172.24504690489857</v>
      </c>
      <c r="D710" s="62">
        <v>173.56859793156582</v>
      </c>
      <c r="E710" s="62">
        <v>46712485.744263083</v>
      </c>
      <c r="F710" s="62" t="s">
        <v>757</v>
      </c>
      <c r="G710" s="25">
        <f t="shared" si="11"/>
        <v>4.3982407037186366E-3</v>
      </c>
    </row>
    <row r="711" spans="1:7">
      <c r="A711" s="62">
        <v>172.99357201735833</v>
      </c>
      <c r="B711" s="62">
        <v>173.59834065126623</v>
      </c>
      <c r="C711" s="62">
        <v>170.48526932262558</v>
      </c>
      <c r="D711" s="62">
        <v>170.82235347923</v>
      </c>
      <c r="E711" s="62">
        <v>61701300.973361999</v>
      </c>
      <c r="F711" s="62" t="s">
        <v>758</v>
      </c>
      <c r="G711" s="25">
        <f t="shared" si="11"/>
        <v>1.2710388856645327E-2</v>
      </c>
    </row>
    <row r="712" spans="1:7">
      <c r="A712" s="62">
        <v>172.50777426225198</v>
      </c>
      <c r="B712" s="62">
        <v>175.98311191684337</v>
      </c>
      <c r="C712" s="62">
        <v>171.99223378744526</v>
      </c>
      <c r="D712" s="62">
        <v>175.6208455908926</v>
      </c>
      <c r="E712" s="62">
        <v>66634338.754640773</v>
      </c>
      <c r="F712" s="62" t="s">
        <v>759</v>
      </c>
      <c r="G712" s="25">
        <f t="shared" si="11"/>
        <v>-1.772609235632816E-2</v>
      </c>
    </row>
    <row r="713" spans="1:7">
      <c r="A713" s="62">
        <v>175.05573391658524</v>
      </c>
      <c r="B713" s="62">
        <v>177.00883917691073</v>
      </c>
      <c r="C713" s="62">
        <v>174.98633423728435</v>
      </c>
      <c r="D713" s="62">
        <v>175.6109313509925</v>
      </c>
      <c r="E713" s="62">
        <v>47371112.130731173</v>
      </c>
      <c r="F713" s="62" t="s">
        <v>760</v>
      </c>
      <c r="G713" s="25">
        <f t="shared" si="11"/>
        <v>-3.1615197877266077E-3</v>
      </c>
    </row>
    <row r="714" spans="1:7">
      <c r="A714" s="62">
        <v>175.92818702779664</v>
      </c>
      <c r="B714" s="62">
        <v>177.94077772752291</v>
      </c>
      <c r="C714" s="62">
        <v>175.53161743179146</v>
      </c>
      <c r="D714" s="62">
        <v>177.34592333351515</v>
      </c>
      <c r="E714" s="62">
        <v>43999936.89826946</v>
      </c>
      <c r="F714" s="62" t="s">
        <v>761</v>
      </c>
      <c r="G714" s="25">
        <f t="shared" si="11"/>
        <v>-7.9941860465115866E-3</v>
      </c>
    </row>
    <row r="715" spans="1:7">
      <c r="A715" s="62">
        <v>177.92094924772266</v>
      </c>
      <c r="B715" s="62">
        <v>178.14897676542563</v>
      </c>
      <c r="C715" s="62">
        <v>175.78443054924477</v>
      </c>
      <c r="D715" s="62">
        <v>176.44372750260337</v>
      </c>
      <c r="E715" s="62">
        <v>44053429.652665399</v>
      </c>
      <c r="F715" s="62" t="s">
        <v>762</v>
      </c>
      <c r="G715" s="25">
        <f t="shared" si="11"/>
        <v>8.3721975613868516E-3</v>
      </c>
    </row>
    <row r="716" spans="1:7">
      <c r="A716" s="62">
        <v>176.26527118440103</v>
      </c>
      <c r="B716" s="62">
        <v>177.0881530961118</v>
      </c>
      <c r="C716" s="62">
        <v>175.03590543678501</v>
      </c>
      <c r="D716" s="62">
        <v>175.79930190909494</v>
      </c>
      <c r="E716" s="62">
        <v>52486799.315115109</v>
      </c>
      <c r="F716" s="62" t="s">
        <v>763</v>
      </c>
      <c r="G716" s="25">
        <f t="shared" si="11"/>
        <v>2.6505752312204756E-3</v>
      </c>
    </row>
    <row r="717" spans="1:7">
      <c r="A717" s="62">
        <v>176.20578574500033</v>
      </c>
      <c r="B717" s="62">
        <v>178.95822764178689</v>
      </c>
      <c r="C717" s="62">
        <v>175.83945355010428</v>
      </c>
      <c r="D717" s="62">
        <v>177.70081713498152</v>
      </c>
      <c r="E717" s="62">
        <v>55234388.764933921</v>
      </c>
      <c r="F717" s="62" t="s">
        <v>764</v>
      </c>
      <c r="G717" s="25">
        <f t="shared" si="11"/>
        <v>-8.4131936706040023E-3</v>
      </c>
    </row>
    <row r="718" spans="1:7">
      <c r="A718" s="62">
        <v>176.42360488791149</v>
      </c>
      <c r="B718" s="62">
        <v>179.13644330416875</v>
      </c>
      <c r="C718" s="62">
        <v>175.25530221229707</v>
      </c>
      <c r="D718" s="62">
        <v>179.07703808337479</v>
      </c>
      <c r="E718" s="62">
        <v>60983015.828950405</v>
      </c>
      <c r="F718" s="62" t="s">
        <v>765</v>
      </c>
      <c r="G718" s="25">
        <f t="shared" si="11"/>
        <v>-1.4817272073865295E-2</v>
      </c>
    </row>
    <row r="719" spans="1:7">
      <c r="A719" s="62">
        <v>178.01764497921596</v>
      </c>
      <c r="B719" s="62">
        <v>178.48298587543525</v>
      </c>
      <c r="C719" s="62">
        <v>175.81965180983966</v>
      </c>
      <c r="D719" s="62">
        <v>177.90873540776036</v>
      </c>
      <c r="E719" s="62">
        <v>68502063.044501856</v>
      </c>
      <c r="F719" s="62" t="s">
        <v>766</v>
      </c>
      <c r="G719" s="25">
        <f t="shared" si="11"/>
        <v>6.1216539595987385E-4</v>
      </c>
    </row>
    <row r="720" spans="1:7">
      <c r="A720" s="62">
        <v>177.077062316645</v>
      </c>
      <c r="B720" s="62">
        <v>181.3146347332804</v>
      </c>
      <c r="C720" s="62">
        <v>175.59193179679613</v>
      </c>
      <c r="D720" s="62">
        <v>180.32454772004783</v>
      </c>
      <c r="E720" s="62">
        <v>98553023.821028143</v>
      </c>
      <c r="F720" s="62" t="s">
        <v>767</v>
      </c>
      <c r="G720" s="25">
        <f t="shared" si="11"/>
        <v>-1.8009114368857437E-2</v>
      </c>
    </row>
    <row r="721" spans="1:7">
      <c r="A721" s="62">
        <v>180.18593553819528</v>
      </c>
      <c r="B721" s="62">
        <v>185.52250453951882</v>
      </c>
      <c r="C721" s="62">
        <v>180.11662944726896</v>
      </c>
      <c r="D721" s="62">
        <v>183.68094269490624</v>
      </c>
      <c r="E721" s="62">
        <v>117117828.48399204</v>
      </c>
      <c r="F721" s="62" t="s">
        <v>768</v>
      </c>
      <c r="G721" s="25">
        <f t="shared" si="11"/>
        <v>-1.9027598102630328E-2</v>
      </c>
    </row>
    <row r="722" spans="1:7">
      <c r="A722" s="62">
        <v>189.27493431967025</v>
      </c>
      <c r="B722" s="62">
        <v>190.46303873554933</v>
      </c>
      <c r="C722" s="62">
        <v>188.79969255331861</v>
      </c>
      <c r="D722" s="62">
        <v>189.67096912496328</v>
      </c>
      <c r="E722" s="62">
        <v>62866476.550156705</v>
      </c>
      <c r="F722" s="62" t="s">
        <v>769</v>
      </c>
      <c r="G722" s="25">
        <f t="shared" si="11"/>
        <v>-2.088009604844232E-3</v>
      </c>
    </row>
    <row r="723" spans="1:7">
      <c r="A723" s="62">
        <v>190.6709570083282</v>
      </c>
      <c r="B723" s="62">
        <v>193.24518324273285</v>
      </c>
      <c r="C723" s="62">
        <v>189.94888654957765</v>
      </c>
      <c r="D723" s="62">
        <v>193.1065710608803</v>
      </c>
      <c r="E723" s="62">
        <v>50893836.932051204</v>
      </c>
      <c r="F723" s="62" t="s">
        <v>770</v>
      </c>
      <c r="G723" s="25">
        <f t="shared" si="11"/>
        <v>-1.2612797374897289E-2</v>
      </c>
    </row>
    <row r="724" spans="1:7">
      <c r="A724" s="62">
        <v>193.66597022335668</v>
      </c>
      <c r="B724" s="62">
        <v>194.77981811324332</v>
      </c>
      <c r="C724" s="62">
        <v>193.34419194405612</v>
      </c>
      <c r="D724" s="62">
        <v>194.28972504169323</v>
      </c>
      <c r="E724" s="62">
        <v>35634672.032318108</v>
      </c>
      <c r="F724" s="62" t="s">
        <v>771</v>
      </c>
      <c r="G724" s="25">
        <f t="shared" si="11"/>
        <v>-3.2104364664816698E-3</v>
      </c>
    </row>
    <row r="725" spans="1:7">
      <c r="A725" s="62">
        <v>194.50259374953822</v>
      </c>
      <c r="B725" s="62">
        <v>194.54219723006753</v>
      </c>
      <c r="C725" s="62">
        <v>193.32439020379147</v>
      </c>
      <c r="D725" s="62">
        <v>194.11645981437752</v>
      </c>
      <c r="E725" s="62">
        <v>39212829.257543549</v>
      </c>
      <c r="F725" s="62" t="s">
        <v>772</v>
      </c>
      <c r="G725" s="25">
        <f t="shared" si="11"/>
        <v>1.9891869835764187E-3</v>
      </c>
    </row>
    <row r="726" spans="1:7">
      <c r="A726" s="62">
        <v>193.88873980133403</v>
      </c>
      <c r="B726" s="62">
        <v>194.67684906386717</v>
      </c>
      <c r="C726" s="62">
        <v>192.21549274897097</v>
      </c>
      <c r="D726" s="62">
        <v>192.74023886598422</v>
      </c>
      <c r="E726" s="62">
        <v>48774948.418252252</v>
      </c>
      <c r="F726" s="62" t="s">
        <v>773</v>
      </c>
      <c r="G726" s="25">
        <f t="shared" si="11"/>
        <v>5.9588020753069681E-3</v>
      </c>
    </row>
    <row r="727" spans="1:7">
      <c r="A727" s="62">
        <v>191.30461269679702</v>
      </c>
      <c r="B727" s="62">
        <v>195.24515900946264</v>
      </c>
      <c r="C727" s="62">
        <v>190.64125439793122</v>
      </c>
      <c r="D727" s="62">
        <v>194.07685633384821</v>
      </c>
      <c r="E727" s="62">
        <v>47935362.615297444</v>
      </c>
      <c r="F727" s="62" t="s">
        <v>774</v>
      </c>
      <c r="G727" s="25">
        <f t="shared" si="11"/>
        <v>-1.4284256708499088E-2</v>
      </c>
    </row>
    <row r="728" spans="1:7">
      <c r="A728" s="62">
        <v>192.57192407373472</v>
      </c>
      <c r="B728" s="62">
        <v>193.70062326881981</v>
      </c>
      <c r="C728" s="62">
        <v>191.40362139812026</v>
      </c>
      <c r="D728" s="62">
        <v>191.75015185275166</v>
      </c>
      <c r="E728" s="62">
        <v>47947167.638334595</v>
      </c>
      <c r="F728" s="62" t="s">
        <v>775</v>
      </c>
      <c r="G728" s="25">
        <f t="shared" si="11"/>
        <v>4.2856405225384364E-3</v>
      </c>
    </row>
    <row r="729" spans="1:7">
      <c r="A729" s="62">
        <v>191.70064750209005</v>
      </c>
      <c r="B729" s="62">
        <v>192.51251885294076</v>
      </c>
      <c r="C729" s="62">
        <v>191.00263615776109</v>
      </c>
      <c r="D729" s="62">
        <v>191.41352226825262</v>
      </c>
      <c r="E729" s="62">
        <v>37656489.279939942</v>
      </c>
      <c r="F729" s="62" t="s">
        <v>776</v>
      </c>
      <c r="G729" s="25">
        <f t="shared" si="11"/>
        <v>1.5000258625148533E-3</v>
      </c>
    </row>
    <row r="730" spans="1:7">
      <c r="A730" s="62">
        <v>190.83927180057771</v>
      </c>
      <c r="B730" s="62">
        <v>192.97785974916005</v>
      </c>
      <c r="C730" s="62">
        <v>190.34422829396144</v>
      </c>
      <c r="D730" s="62">
        <v>191.49272922931121</v>
      </c>
      <c r="E730" s="62">
        <v>45960704.859089948</v>
      </c>
      <c r="F730" s="62" t="s">
        <v>777</v>
      </c>
      <c r="G730" s="25">
        <f t="shared" si="11"/>
        <v>-3.4124398945246659E-3</v>
      </c>
    </row>
    <row r="731" spans="1:7">
      <c r="A731" s="62">
        <v>190.03730131985932</v>
      </c>
      <c r="B731" s="62">
        <v>193.03726496995401</v>
      </c>
      <c r="C731" s="62">
        <v>189.33433954046419</v>
      </c>
      <c r="D731" s="62">
        <v>192.17588926844167</v>
      </c>
      <c r="E731" s="62">
        <v>72672080.37108019</v>
      </c>
      <c r="F731" s="62" t="s">
        <v>778</v>
      </c>
      <c r="G731" s="25">
        <f t="shared" si="11"/>
        <v>-1.1128284389489873E-2</v>
      </c>
    </row>
    <row r="732" spans="1:7">
      <c r="A732" s="62">
        <v>191.21550486560608</v>
      </c>
      <c r="B732" s="62">
        <v>194.52239548980288</v>
      </c>
      <c r="C732" s="62">
        <v>190.58679961220341</v>
      </c>
      <c r="D732" s="62">
        <v>193.15607541154193</v>
      </c>
      <c r="E732" s="62">
        <v>60177737.111682035</v>
      </c>
      <c r="F732" s="62" t="s">
        <v>779</v>
      </c>
      <c r="G732" s="25">
        <f t="shared" si="11"/>
        <v>-1.0046645138141463E-2</v>
      </c>
    </row>
    <row r="733" spans="1:7">
      <c r="A733" s="62">
        <v>193.16597628167423</v>
      </c>
      <c r="B733" s="62">
        <v>196.26494863309219</v>
      </c>
      <c r="C733" s="62">
        <v>190.74026309925446</v>
      </c>
      <c r="D733" s="62">
        <v>191.1858022552091</v>
      </c>
      <c r="E733" s="62">
        <v>81313381.474572495</v>
      </c>
      <c r="F733" s="62" t="s">
        <v>780</v>
      </c>
      <c r="G733" s="25">
        <f t="shared" si="11"/>
        <v>1.035732780942511E-2</v>
      </c>
    </row>
    <row r="734" spans="1:7">
      <c r="A734" s="62">
        <v>191.80955707354562</v>
      </c>
      <c r="B734" s="62">
        <v>192.40360928148519</v>
      </c>
      <c r="C734" s="62">
        <v>190.50759265114479</v>
      </c>
      <c r="D734" s="62">
        <v>191.43332400851725</v>
      </c>
      <c r="E734" s="62">
        <v>48837903.491055898</v>
      </c>
      <c r="F734" s="62" t="s">
        <v>781</v>
      </c>
      <c r="G734" s="25">
        <f t="shared" si="11"/>
        <v>1.9653478148435877E-3</v>
      </c>
    </row>
    <row r="735" spans="1:7">
      <c r="A735" s="62">
        <v>192.0669796969861</v>
      </c>
      <c r="B735" s="62">
        <v>192.39370841135283</v>
      </c>
      <c r="C735" s="62">
        <v>189.9085900081391</v>
      </c>
      <c r="D735" s="62">
        <v>189.99769783933004</v>
      </c>
      <c r="E735" s="62">
        <v>51025978.853166647</v>
      </c>
      <c r="F735" s="62" t="s">
        <v>782</v>
      </c>
      <c r="G735" s="25">
        <f t="shared" si="11"/>
        <v>1.0891089108910901E-2</v>
      </c>
    </row>
    <row r="736" spans="1:7">
      <c r="A736" s="62">
        <v>188.79969255331861</v>
      </c>
      <c r="B736" s="62">
        <v>189.28473618110127</v>
      </c>
      <c r="C736" s="62">
        <v>187.75020031929211</v>
      </c>
      <c r="D736" s="62">
        <v>188.34425252723162</v>
      </c>
      <c r="E736" s="62">
        <v>42032913.717477918</v>
      </c>
      <c r="F736" s="62" t="s">
        <v>783</v>
      </c>
      <c r="G736" s="25">
        <f t="shared" si="11"/>
        <v>2.4181254271145036E-3</v>
      </c>
    </row>
    <row r="737" spans="1:7">
      <c r="A737" s="62">
        <v>188.65117950133373</v>
      </c>
      <c r="B737" s="62">
        <v>189.29473605993491</v>
      </c>
      <c r="C737" s="62">
        <v>187.89871337127698</v>
      </c>
      <c r="D737" s="62">
        <v>188.61157602080442</v>
      </c>
      <c r="E737" s="62">
        <v>41756267.325454533</v>
      </c>
      <c r="F737" s="62" t="s">
        <v>784</v>
      </c>
      <c r="G737" s="25">
        <f t="shared" si="11"/>
        <v>2.0997375328080103E-4</v>
      </c>
    </row>
    <row r="738" spans="1:7">
      <c r="A738" s="62">
        <v>187.88881250114466</v>
      </c>
      <c r="B738" s="62">
        <v>189.7996804366835</v>
      </c>
      <c r="C738" s="62">
        <v>186.6016993839423</v>
      </c>
      <c r="D738" s="62">
        <v>187.79970466995374</v>
      </c>
      <c r="E738" s="62">
        <v>61358493.938481651</v>
      </c>
      <c r="F738" s="62" t="s">
        <v>785</v>
      </c>
      <c r="G738" s="25">
        <f t="shared" si="11"/>
        <v>4.7448334036270801E-4</v>
      </c>
    </row>
    <row r="739" spans="1:7">
      <c r="A739" s="62">
        <v>186.21556544878163</v>
      </c>
      <c r="B739" s="62">
        <v>187.42347160492537</v>
      </c>
      <c r="C739" s="62">
        <v>184.75023666919742</v>
      </c>
      <c r="D739" s="62">
        <v>187.28485942307279</v>
      </c>
      <c r="E739" s="62">
        <v>47105070.944956243</v>
      </c>
      <c r="F739" s="62" t="s">
        <v>786</v>
      </c>
      <c r="G739" s="25">
        <f t="shared" si="11"/>
        <v>-5.7094523155000187E-3</v>
      </c>
    </row>
    <row r="740" spans="1:7">
      <c r="A740" s="62">
        <v>186.74031156579488</v>
      </c>
      <c r="B740" s="62">
        <v>188.10663164405582</v>
      </c>
      <c r="C740" s="62">
        <v>185.18092451995358</v>
      </c>
      <c r="D740" s="62">
        <v>187.38386812439603</v>
      </c>
      <c r="E740" s="62">
        <v>60522117.954419039</v>
      </c>
      <c r="F740" s="62" t="s">
        <v>787</v>
      </c>
      <c r="G740" s="25">
        <f t="shared" si="11"/>
        <v>-3.4344288280671043E-3</v>
      </c>
    </row>
    <row r="741" spans="1:7">
      <c r="A741" s="62">
        <v>188.78979168318631</v>
      </c>
      <c r="B741" s="62">
        <v>190.76006483951909</v>
      </c>
      <c r="C741" s="62">
        <v>188.35415339736397</v>
      </c>
      <c r="D741" s="62">
        <v>189.51255520284607</v>
      </c>
      <c r="E741" s="62">
        <v>47283720.899592549</v>
      </c>
      <c r="F741" s="62" t="s">
        <v>788</v>
      </c>
      <c r="G741" s="25">
        <f t="shared" si="11"/>
        <v>-3.8138028316179184E-3</v>
      </c>
    </row>
    <row r="742" spans="1:7">
      <c r="A742" s="62">
        <v>189.9085900081391</v>
      </c>
      <c r="B742" s="62">
        <v>190.11650828091794</v>
      </c>
      <c r="C742" s="62">
        <v>187.32446290360207</v>
      </c>
      <c r="D742" s="62">
        <v>187.95811859207095</v>
      </c>
      <c r="E742" s="62">
        <v>45608121.706968553</v>
      </c>
      <c r="F742" s="62" t="s">
        <v>789</v>
      </c>
      <c r="G742" s="25">
        <f t="shared" si="11"/>
        <v>1.0377159713442774E-2</v>
      </c>
    </row>
    <row r="743" spans="1:7">
      <c r="A743" s="62">
        <v>189.43334824178748</v>
      </c>
      <c r="B743" s="62">
        <v>191.0669918136212</v>
      </c>
      <c r="C743" s="62">
        <v>188.73038646239235</v>
      </c>
      <c r="D743" s="62">
        <v>189.66601868989713</v>
      </c>
      <c r="E743" s="62">
        <v>47390037.817795858</v>
      </c>
      <c r="F743" s="62" t="s">
        <v>790</v>
      </c>
      <c r="G743" s="25">
        <f t="shared" si="11"/>
        <v>-1.2267376608461333E-3</v>
      </c>
    </row>
    <row r="744" spans="1:7">
      <c r="A744" s="62">
        <v>190.55214656674028</v>
      </c>
      <c r="B744" s="62">
        <v>191.95807012553053</v>
      </c>
      <c r="C744" s="62">
        <v>189.85908565747746</v>
      </c>
      <c r="D744" s="62">
        <v>191.85906142420725</v>
      </c>
      <c r="E744" s="62">
        <v>31773164.963846002</v>
      </c>
      <c r="F744" s="62" t="s">
        <v>791</v>
      </c>
      <c r="G744" s="25">
        <f t="shared" si="11"/>
        <v>-6.8118484879760022E-3</v>
      </c>
    </row>
    <row r="745" spans="1:7">
      <c r="A745" s="62">
        <v>192.04717795672144</v>
      </c>
      <c r="B745" s="62">
        <v>192.55212233347004</v>
      </c>
      <c r="C745" s="62">
        <v>189.36404215086117</v>
      </c>
      <c r="D745" s="62">
        <v>189.73037434575724</v>
      </c>
      <c r="E745" s="62">
        <v>86066390.995054498</v>
      </c>
      <c r="F745" s="62" t="s">
        <v>792</v>
      </c>
      <c r="G745" s="25">
        <f t="shared" si="11"/>
        <v>1.2211031675624762E-2</v>
      </c>
    </row>
    <row r="746" spans="1:7">
      <c r="A746" s="62">
        <v>187.7105968387628</v>
      </c>
      <c r="B746" s="62">
        <v>188.18583860511441</v>
      </c>
      <c r="C746" s="62">
        <v>187.06704028016162</v>
      </c>
      <c r="D746" s="62">
        <v>187.2056524620142</v>
      </c>
      <c r="E746" s="62">
        <v>46811348.276025839</v>
      </c>
      <c r="F746" s="62" t="s">
        <v>793</v>
      </c>
      <c r="G746" s="25">
        <f t="shared" si="11"/>
        <v>2.6972709964034891E-3</v>
      </c>
    </row>
    <row r="747" spans="1:7">
      <c r="A747" s="62">
        <v>187.37396725426373</v>
      </c>
      <c r="B747" s="62">
        <v>188.01752381286491</v>
      </c>
      <c r="C747" s="62">
        <v>185.74032368242999</v>
      </c>
      <c r="D747" s="62">
        <v>186.06705239679673</v>
      </c>
      <c r="E747" s="62">
        <v>51729595.798636429</v>
      </c>
      <c r="F747" s="62" t="s">
        <v>794</v>
      </c>
      <c r="G747" s="25">
        <f t="shared" si="11"/>
        <v>7.0238918746341472E-3</v>
      </c>
    </row>
    <row r="748" spans="1:7">
      <c r="A748" s="62">
        <v>186.19576370851698</v>
      </c>
      <c r="B748" s="62">
        <v>186.52249242288369</v>
      </c>
      <c r="C748" s="62">
        <v>183.82945574689111</v>
      </c>
      <c r="D748" s="62">
        <v>184.04727488980228</v>
      </c>
      <c r="E748" s="62">
        <v>51238775.301543564</v>
      </c>
      <c r="F748" s="62" t="s">
        <v>795</v>
      </c>
      <c r="G748" s="25">
        <f t="shared" si="11"/>
        <v>1.1673570391091515E-2</v>
      </c>
    </row>
    <row r="749" spans="1:7">
      <c r="A749" s="62">
        <v>183.43342094159811</v>
      </c>
      <c r="B749" s="62">
        <v>186.18586283838465</v>
      </c>
      <c r="C749" s="62">
        <v>183.39381746106878</v>
      </c>
      <c r="D749" s="62">
        <v>184.97795668224092</v>
      </c>
      <c r="E749" s="62">
        <v>48570136.116616331</v>
      </c>
      <c r="F749" s="62" t="s">
        <v>796</v>
      </c>
      <c r="G749" s="25">
        <f t="shared" si="11"/>
        <v>-8.3498367499865722E-3</v>
      </c>
    </row>
    <row r="750" spans="1:7">
      <c r="A750" s="62">
        <v>184.82944363025604</v>
      </c>
      <c r="B750" s="62">
        <v>185.70072020190068</v>
      </c>
      <c r="C750" s="62">
        <v>183.17599831815761</v>
      </c>
      <c r="D750" s="62">
        <v>183.71064530530322</v>
      </c>
      <c r="E750" s="62">
        <v>53648816.003127329</v>
      </c>
      <c r="F750" s="62" t="s">
        <v>797</v>
      </c>
      <c r="G750" s="25">
        <f t="shared" si="11"/>
        <v>6.0900026946915098E-3</v>
      </c>
    </row>
    <row r="751" spans="1:7">
      <c r="A751" s="62">
        <v>185.14627147449045</v>
      </c>
      <c r="B751" s="62">
        <v>185.19082539008591</v>
      </c>
      <c r="C751" s="62">
        <v>181.84928172042598</v>
      </c>
      <c r="D751" s="62">
        <v>181.91858781135227</v>
      </c>
      <c r="E751" s="62">
        <v>51758407.407736182</v>
      </c>
      <c r="F751" s="62" t="s">
        <v>798</v>
      </c>
      <c r="G751" s="25">
        <f t="shared" si="11"/>
        <v>1.7742462174812346E-2</v>
      </c>
    </row>
    <row r="752" spans="1:7">
      <c r="A752" s="62">
        <v>182.13640695426344</v>
      </c>
      <c r="B752" s="62">
        <v>183.57203312345067</v>
      </c>
      <c r="C752" s="62">
        <v>180.78008675483613</v>
      </c>
      <c r="D752" s="62">
        <v>183.06708874670204</v>
      </c>
      <c r="E752" s="62">
        <v>50011459.940611176</v>
      </c>
      <c r="F752" s="62" t="s">
        <v>799</v>
      </c>
      <c r="G752" s="25">
        <f t="shared" si="11"/>
        <v>-5.0838290968090449E-3</v>
      </c>
    </row>
    <row r="753" spans="1:7">
      <c r="A753" s="62">
        <v>183.17599831815761</v>
      </c>
      <c r="B753" s="62">
        <v>184.25519316258112</v>
      </c>
      <c r="C753" s="62">
        <v>182.58194611021807</v>
      </c>
      <c r="D753" s="62">
        <v>182.58194611021807</v>
      </c>
      <c r="E753" s="62">
        <v>50297692.358784944</v>
      </c>
      <c r="F753" s="62" t="s">
        <v>800</v>
      </c>
      <c r="G753" s="25">
        <f t="shared" si="11"/>
        <v>3.2536196518626603E-3</v>
      </c>
    </row>
    <row r="754" spans="1:7">
      <c r="A754" s="62">
        <v>183.08689048696669</v>
      </c>
      <c r="B754" s="62">
        <v>185.13637060435812</v>
      </c>
      <c r="C754" s="62">
        <v>182.44333392836555</v>
      </c>
      <c r="D754" s="62">
        <v>184.87894798091764</v>
      </c>
      <c r="E754" s="62">
        <v>102270026.4185923</v>
      </c>
      <c r="F754" s="62" t="s">
        <v>801</v>
      </c>
      <c r="G754" s="25">
        <f t="shared" si="11"/>
        <v>-9.6931398275584835E-3</v>
      </c>
    </row>
    <row r="755" spans="1:7">
      <c r="A755" s="62">
        <v>184.16608533139018</v>
      </c>
      <c r="B755" s="62">
        <v>184.6710297081388</v>
      </c>
      <c r="C755" s="62">
        <v>181.95819129188158</v>
      </c>
      <c r="D755" s="62">
        <v>182.13640695426344</v>
      </c>
      <c r="E755" s="62">
        <v>66088298.427796766</v>
      </c>
      <c r="F755" s="62" t="s">
        <v>802</v>
      </c>
      <c r="G755" s="25">
        <f t="shared" si="11"/>
        <v>1.1143726897151485E-2</v>
      </c>
    </row>
    <row r="756" spans="1:7">
      <c r="A756" s="62">
        <v>182.12650608413108</v>
      </c>
      <c r="B756" s="62">
        <v>182.56214436995342</v>
      </c>
      <c r="C756" s="62">
        <v>180.21563814859226</v>
      </c>
      <c r="D756" s="62">
        <v>181.55225561645622</v>
      </c>
      <c r="E756" s="62">
        <v>58038214.04786177</v>
      </c>
      <c r="F756" s="62" t="s">
        <v>803</v>
      </c>
      <c r="G756" s="25">
        <f t="shared" si="11"/>
        <v>3.1630037628835872E-3</v>
      </c>
    </row>
    <row r="757" spans="1:7">
      <c r="A757" s="62">
        <v>181.49285039566226</v>
      </c>
      <c r="B757" s="62">
        <v>182.32452348677762</v>
      </c>
      <c r="C757" s="62">
        <v>180.63147469414992</v>
      </c>
      <c r="D757" s="62">
        <v>180.98790601891366</v>
      </c>
      <c r="E757" s="62">
        <v>55479092.509919904</v>
      </c>
      <c r="F757" s="62" t="s">
        <v>804</v>
      </c>
      <c r="G757" s="25">
        <f t="shared" si="11"/>
        <v>2.7899343544857125E-3</v>
      </c>
    </row>
    <row r="758" spans="1:7">
      <c r="A758" s="62">
        <v>181.96809216201387</v>
      </c>
      <c r="B758" s="62">
        <v>182.06710086333715</v>
      </c>
      <c r="C758" s="62">
        <v>179.17604678469806</v>
      </c>
      <c r="D758" s="62">
        <v>179.47307288866784</v>
      </c>
      <c r="E758" s="62">
        <v>55303215.038876764</v>
      </c>
      <c r="F758" s="62" t="s">
        <v>805</v>
      </c>
      <c r="G758" s="25">
        <f t="shared" si="11"/>
        <v>1.3901914271528426E-2</v>
      </c>
    </row>
    <row r="759" spans="1:7">
      <c r="A759" s="62">
        <v>179.16614591456573</v>
      </c>
      <c r="B759" s="62">
        <v>180.42355642137107</v>
      </c>
      <c r="C759" s="62">
        <v>178.83941720019897</v>
      </c>
      <c r="D759" s="62">
        <v>179.70079290171131</v>
      </c>
      <c r="E759" s="62">
        <v>49389571.165411808</v>
      </c>
      <c r="F759" s="62" t="s">
        <v>806</v>
      </c>
      <c r="G759" s="25">
        <f t="shared" si="11"/>
        <v>-2.9752066115702469E-3</v>
      </c>
    </row>
    <row r="760" spans="1:7">
      <c r="A760" s="62">
        <v>178.780011979405</v>
      </c>
      <c r="B760" s="62">
        <v>179.04733547297781</v>
      </c>
      <c r="C760" s="62">
        <v>175.70084136825173</v>
      </c>
      <c r="D760" s="62">
        <v>176.13152921900792</v>
      </c>
      <c r="E760" s="62">
        <v>50717644.337189823</v>
      </c>
      <c r="F760" s="62" t="s">
        <v>807</v>
      </c>
      <c r="G760" s="25">
        <f t="shared" si="11"/>
        <v>1.5036960004496835E-2</v>
      </c>
    </row>
    <row r="761" spans="1:7">
      <c r="A761" s="62">
        <v>176.05727269301545</v>
      </c>
      <c r="B761" s="62">
        <v>179.41366766787388</v>
      </c>
      <c r="C761" s="62">
        <v>175.56222918639915</v>
      </c>
      <c r="D761" s="62">
        <v>176.67112664121964</v>
      </c>
      <c r="E761" s="62">
        <v>62564819.225084968</v>
      </c>
      <c r="F761" s="62" t="s">
        <v>808</v>
      </c>
      <c r="G761" s="25">
        <f t="shared" si="11"/>
        <v>-3.4745572741538E-3</v>
      </c>
    </row>
    <row r="762" spans="1:7">
      <c r="A762" s="62">
        <v>177.43349364140875</v>
      </c>
      <c r="B762" s="62">
        <v>178.33447282345037</v>
      </c>
      <c r="C762" s="62">
        <v>175.67113875785475</v>
      </c>
      <c r="D762" s="62">
        <v>178.18100933639931</v>
      </c>
      <c r="E762" s="62">
        <v>65497651.351141661</v>
      </c>
      <c r="F762" s="62" t="s">
        <v>809</v>
      </c>
      <c r="G762" s="25">
        <f t="shared" si="11"/>
        <v>-4.1952601894811314E-3</v>
      </c>
    </row>
    <row r="763" spans="1:7">
      <c r="A763" s="62">
        <v>177.79982583630479</v>
      </c>
      <c r="B763" s="62">
        <v>183.11758318437691</v>
      </c>
      <c r="C763" s="62">
        <v>176.27014140086047</v>
      </c>
      <c r="D763" s="62">
        <v>180.8195912266641</v>
      </c>
      <c r="E763" s="62">
        <v>123167454.34510112</v>
      </c>
      <c r="F763" s="62" t="s">
        <v>810</v>
      </c>
      <c r="G763" s="25">
        <f t="shared" si="11"/>
        <v>-1.6700432568581114E-2</v>
      </c>
    </row>
    <row r="764" spans="1:7">
      <c r="A764" s="62">
        <v>179.15624504443338</v>
      </c>
      <c r="B764" s="62">
        <v>179.97801726541644</v>
      </c>
      <c r="C764" s="62">
        <v>177.48299799207035</v>
      </c>
      <c r="D764" s="62">
        <v>179.23545200549199</v>
      </c>
      <c r="E764" s="62">
        <v>62617640.845105261</v>
      </c>
      <c r="F764" s="62" t="s">
        <v>811</v>
      </c>
      <c r="G764" s="25">
        <f t="shared" ref="G764:G827" si="12">A764/D764-1</f>
        <v>-4.4191570457940976E-4</v>
      </c>
    </row>
    <row r="765" spans="1:7">
      <c r="A765" s="62">
        <v>178.30477021305339</v>
      </c>
      <c r="B765" s="62">
        <v>178.33447282345037</v>
      </c>
      <c r="C765" s="62">
        <v>175.17668930344641</v>
      </c>
      <c r="D765" s="62">
        <v>175.93846225142752</v>
      </c>
      <c r="E765" s="62">
        <v>69591670.306875467</v>
      </c>
      <c r="F765" s="62" t="s">
        <v>812</v>
      </c>
      <c r="G765" s="25">
        <f t="shared" si="12"/>
        <v>1.3449634214969253E-2</v>
      </c>
    </row>
    <row r="766" spans="1:7">
      <c r="A766" s="62">
        <v>175.49292309547289</v>
      </c>
      <c r="B766" s="62">
        <v>177.57210582326127</v>
      </c>
      <c r="C766" s="62">
        <v>175.00778045898892</v>
      </c>
      <c r="D766" s="62">
        <v>175.56717962146533</v>
      </c>
      <c r="E766" s="62">
        <v>100622760.08926727</v>
      </c>
      <c r="F766" s="62" t="s">
        <v>813</v>
      </c>
      <c r="G766" s="25">
        <f t="shared" si="12"/>
        <v>-4.2295220640065079E-4</v>
      </c>
    </row>
    <row r="767" spans="1:7">
      <c r="A767" s="62">
        <v>175.54242744613452</v>
      </c>
      <c r="B767" s="62">
        <v>177.21567449849758</v>
      </c>
      <c r="C767" s="62">
        <v>174.81966392647473</v>
      </c>
      <c r="D767" s="62">
        <v>175.20579786163546</v>
      </c>
      <c r="E767" s="62">
        <v>56524729.899526604</v>
      </c>
      <c r="F767" s="62" t="s">
        <v>814</v>
      </c>
      <c r="G767" s="25">
        <f t="shared" si="12"/>
        <v>1.9213381555154285E-3</v>
      </c>
    </row>
    <row r="768" spans="1:7">
      <c r="A768" s="62">
        <v>173.69096473138961</v>
      </c>
      <c r="B768" s="62">
        <v>174.02759431588871</v>
      </c>
      <c r="C768" s="62">
        <v>171.39396286069007</v>
      </c>
      <c r="D768" s="62">
        <v>171.60188113346888</v>
      </c>
      <c r="E768" s="62">
        <v>55383995.817667983</v>
      </c>
      <c r="F768" s="62" t="s">
        <v>815</v>
      </c>
      <c r="G768" s="25">
        <f t="shared" si="12"/>
        <v>1.2174013385645166E-2</v>
      </c>
    </row>
    <row r="769" spans="1:7">
      <c r="A769" s="62">
        <v>171.27515241910214</v>
      </c>
      <c r="B769" s="62">
        <v>172.17118116607764</v>
      </c>
      <c r="C769" s="62">
        <v>169.98803930189982</v>
      </c>
      <c r="D769" s="62">
        <v>170.70090195142726</v>
      </c>
      <c r="E769" s="62">
        <v>56619526.618143857</v>
      </c>
      <c r="F769" s="62" t="s">
        <v>816</v>
      </c>
      <c r="G769" s="25">
        <f t="shared" si="12"/>
        <v>3.3640740096281263E-3</v>
      </c>
    </row>
    <row r="770" spans="1:7">
      <c r="A770" s="62">
        <v>170.1365523538847</v>
      </c>
      <c r="B770" s="62">
        <v>170.70911967363708</v>
      </c>
      <c r="C770" s="62">
        <v>168.82963749641772</v>
      </c>
      <c r="D770" s="62">
        <v>169.39398709396028</v>
      </c>
      <c r="E770" s="62">
        <v>45595475.343737185</v>
      </c>
      <c r="F770" s="62" t="s">
        <v>817</v>
      </c>
      <c r="G770" s="25">
        <f t="shared" si="12"/>
        <v>4.3836577240048413E-3</v>
      </c>
    </row>
    <row r="771" spans="1:7">
      <c r="A771" s="62">
        <v>169.85932799017957</v>
      </c>
      <c r="B771" s="62">
        <v>171.66069230205491</v>
      </c>
      <c r="C771" s="62">
        <v>169.57715319140829</v>
      </c>
      <c r="D771" s="62">
        <v>171.41376460095469</v>
      </c>
      <c r="E771" s="62">
        <v>51255356.672453985</v>
      </c>
      <c r="F771" s="62" t="s">
        <v>818</v>
      </c>
      <c r="G771" s="25">
        <f t="shared" si="12"/>
        <v>-9.0683301565297469E-3</v>
      </c>
    </row>
    <row r="772" spans="1:7">
      <c r="A772" s="62">
        <v>172.47315770511355</v>
      </c>
      <c r="B772" s="62">
        <v>172.97810208186218</v>
      </c>
      <c r="C772" s="62">
        <v>171.7305924451891</v>
      </c>
      <c r="D772" s="62">
        <v>172.25533856220238</v>
      </c>
      <c r="E772" s="62">
        <v>44007174.538875893</v>
      </c>
      <c r="F772" s="62" t="s">
        <v>819</v>
      </c>
      <c r="G772" s="25">
        <f t="shared" si="12"/>
        <v>1.264513162432479E-3</v>
      </c>
    </row>
    <row r="773" spans="1:7">
      <c r="A773" s="62">
        <v>173.42364123781681</v>
      </c>
      <c r="B773" s="62">
        <v>174.64144826409287</v>
      </c>
      <c r="C773" s="62">
        <v>173.20582209490564</v>
      </c>
      <c r="D773" s="62">
        <v>174.64144826409287</v>
      </c>
      <c r="E773" s="62">
        <v>56368252.743550003</v>
      </c>
      <c r="F773" s="62" t="s">
        <v>820</v>
      </c>
      <c r="G773" s="25">
        <f t="shared" si="12"/>
        <v>-6.9731844208855698E-3</v>
      </c>
    </row>
    <row r="774" spans="1:7">
      <c r="A774" s="62">
        <v>173.31473166636124</v>
      </c>
      <c r="B774" s="62">
        <v>173.50284819887543</v>
      </c>
      <c r="C774" s="62">
        <v>170.86921674367682</v>
      </c>
      <c r="D774" s="62">
        <v>171.28505328923447</v>
      </c>
      <c r="E774" s="62">
        <v>66152425.114796437</v>
      </c>
      <c r="F774" s="62" t="s">
        <v>821</v>
      </c>
      <c r="G774" s="25">
        <f t="shared" si="12"/>
        <v>1.1849710982658967E-2</v>
      </c>
    </row>
    <row r="775" spans="1:7">
      <c r="A775" s="62">
        <v>170.97812631513239</v>
      </c>
      <c r="B775" s="62">
        <v>171.21079676324203</v>
      </c>
      <c r="C775" s="62">
        <v>168.73072780379576</v>
      </c>
      <c r="D775" s="62">
        <v>170.00784104216447</v>
      </c>
      <c r="E775" s="62">
        <v>58531829.248817042</v>
      </c>
      <c r="F775" s="62" t="s">
        <v>822</v>
      </c>
      <c r="G775" s="25">
        <f t="shared" si="12"/>
        <v>5.7072971871177103E-3</v>
      </c>
    </row>
    <row r="776" spans="1:7">
      <c r="A776" s="62">
        <v>170.36427236692816</v>
      </c>
      <c r="B776" s="62">
        <v>171.42198232316451</v>
      </c>
      <c r="C776" s="62">
        <v>170.09605779504349</v>
      </c>
      <c r="D776" s="62">
        <v>170.28506540586957</v>
      </c>
      <c r="E776" s="62">
        <v>42531911.273649223</v>
      </c>
      <c r="F776" s="62" t="s">
        <v>823</v>
      </c>
      <c r="G776" s="25">
        <f t="shared" si="12"/>
        <v>4.6514332228597688E-4</v>
      </c>
    </row>
    <row r="777" spans="1:7">
      <c r="A777" s="62">
        <v>170.36427236692816</v>
      </c>
      <c r="B777" s="62">
        <v>171.49297156201331</v>
      </c>
      <c r="C777" s="62">
        <v>169.77022015898865</v>
      </c>
      <c r="D777" s="62">
        <v>171.44346721135167</v>
      </c>
      <c r="E777" s="62">
        <v>37639781.657499783</v>
      </c>
      <c r="F777" s="62" t="s">
        <v>824</v>
      </c>
      <c r="G777" s="25">
        <f t="shared" si="12"/>
        <v>-6.2947562947563984E-3</v>
      </c>
    </row>
    <row r="778" spans="1:7">
      <c r="A778" s="62">
        <v>170.85931587354446</v>
      </c>
      <c r="B778" s="62">
        <v>172.334545523261</v>
      </c>
      <c r="C778" s="62">
        <v>169.30487926276933</v>
      </c>
      <c r="D778" s="62">
        <v>171.89890723743866</v>
      </c>
      <c r="E778" s="62">
        <v>45989026.612254299</v>
      </c>
      <c r="F778" s="62" t="s">
        <v>825</v>
      </c>
      <c r="G778" s="25">
        <f t="shared" si="12"/>
        <v>-6.0476903582536989E-3</v>
      </c>
    </row>
    <row r="779" spans="1:7">
      <c r="A779" s="62">
        <v>171.78999766598307</v>
      </c>
      <c r="B779" s="62">
        <v>172.62052197124595</v>
      </c>
      <c r="C779" s="62">
        <v>170.22782099656001</v>
      </c>
      <c r="D779" s="62">
        <v>171.88886960708578</v>
      </c>
      <c r="E779" s="62">
        <v>50079603.422123775</v>
      </c>
      <c r="F779" s="62" t="s">
        <v>826</v>
      </c>
      <c r="G779" s="25">
        <f t="shared" si="12"/>
        <v>-5.7520851308590082E-4</v>
      </c>
    </row>
    <row r="780" spans="1:7">
      <c r="A780" s="62">
        <v>171.59719738083274</v>
      </c>
      <c r="B780" s="62">
        <v>172.06683910107068</v>
      </c>
      <c r="C780" s="62">
        <v>169.96086675558266</v>
      </c>
      <c r="D780" s="62">
        <v>171.06823249593319</v>
      </c>
      <c r="E780" s="62">
        <v>54337459.546973348</v>
      </c>
      <c r="F780" s="62" t="s">
        <v>827</v>
      </c>
      <c r="G780" s="25">
        <f t="shared" si="12"/>
        <v>3.0921280776787796E-3</v>
      </c>
    </row>
    <row r="781" spans="1:7">
      <c r="A781" s="62">
        <v>169.83233323214913</v>
      </c>
      <c r="B781" s="62">
        <v>171.58236658966732</v>
      </c>
      <c r="C781" s="62">
        <v>169.66425093227448</v>
      </c>
      <c r="D781" s="62">
        <v>171.09789407826401</v>
      </c>
      <c r="E781" s="62">
        <v>45844021.564123191</v>
      </c>
      <c r="F781" s="62" t="s">
        <v>828</v>
      </c>
      <c r="G781" s="25">
        <f t="shared" si="12"/>
        <v>-7.3967061542907775E-3</v>
      </c>
    </row>
    <row r="782" spans="1:7">
      <c r="A782" s="62">
        <v>171.54281781322624</v>
      </c>
      <c r="B782" s="62">
        <v>171.88886960708578</v>
      </c>
      <c r="C782" s="62">
        <v>170.16849783189838</v>
      </c>
      <c r="D782" s="62">
        <v>170.53432401397845</v>
      </c>
      <c r="E782" s="62">
        <v>56601288.875128746</v>
      </c>
      <c r="F782" s="62" t="s">
        <v>829</v>
      </c>
      <c r="G782" s="25">
        <f t="shared" si="12"/>
        <v>5.9137291280149107E-3</v>
      </c>
    </row>
    <row r="783" spans="1:7">
      <c r="A783" s="62">
        <v>171.61202817199813</v>
      </c>
      <c r="B783" s="62">
        <v>172.33379334204804</v>
      </c>
      <c r="C783" s="62">
        <v>168.8337266270116</v>
      </c>
      <c r="D783" s="62">
        <v>169.04630130038245</v>
      </c>
      <c r="E783" s="62">
        <v>114747591.41435952</v>
      </c>
      <c r="F783" s="62" t="s">
        <v>830</v>
      </c>
      <c r="G783" s="25">
        <f t="shared" si="12"/>
        <v>1.5177657552273738E-2</v>
      </c>
    </row>
    <row r="784" spans="1:7">
      <c r="A784" s="62">
        <v>163.91979115420622</v>
      </c>
      <c r="B784" s="62">
        <v>165.15569041799026</v>
      </c>
      <c r="C784" s="62">
        <v>162.45648642588591</v>
      </c>
      <c r="D784" s="62">
        <v>163.02994368428168</v>
      </c>
      <c r="E784" s="62">
        <v>82162265.748984933</v>
      </c>
      <c r="F784" s="62" t="s">
        <v>831</v>
      </c>
      <c r="G784" s="25">
        <f t="shared" si="12"/>
        <v>5.4581842440417638E-3</v>
      </c>
    </row>
    <row r="785" spans="1:7">
      <c r="A785" s="62">
        <v>165.56106537651144</v>
      </c>
      <c r="B785" s="62">
        <v>168.99192173277595</v>
      </c>
      <c r="C785" s="62">
        <v>165.27433674731353</v>
      </c>
      <c r="D785" s="62">
        <v>167.58794016911727</v>
      </c>
      <c r="E785" s="62">
        <v>65879173.882432669</v>
      </c>
      <c r="F785" s="62" t="s">
        <v>832</v>
      </c>
      <c r="G785" s="25">
        <f t="shared" si="12"/>
        <v>-1.2094395280235926E-2</v>
      </c>
    </row>
    <row r="786" spans="1:7">
      <c r="A786" s="62">
        <v>166.63876953453112</v>
      </c>
      <c r="B786" s="62">
        <v>168.42835166849042</v>
      </c>
      <c r="C786" s="62">
        <v>165.65005012350389</v>
      </c>
      <c r="D786" s="62">
        <v>168.17128462162336</v>
      </c>
      <c r="E786" s="62">
        <v>48978198.93076399</v>
      </c>
      <c r="F786" s="62" t="s">
        <v>833</v>
      </c>
      <c r="G786" s="25">
        <f t="shared" si="12"/>
        <v>-9.1128226233171405E-3</v>
      </c>
    </row>
    <row r="787" spans="1:7">
      <c r="A787" s="62">
        <v>167.67692491610973</v>
      </c>
      <c r="B787" s="62">
        <v>168.52722360959314</v>
      </c>
      <c r="C787" s="62">
        <v>166.73764147563384</v>
      </c>
      <c r="D787" s="62">
        <v>167.37042189869129</v>
      </c>
      <c r="E787" s="62">
        <v>53071615.075790495</v>
      </c>
      <c r="F787" s="62" t="s">
        <v>834</v>
      </c>
      <c r="G787" s="25">
        <f t="shared" si="12"/>
        <v>1.8312854442343873E-3</v>
      </c>
    </row>
    <row r="788" spans="1:7">
      <c r="A788" s="62">
        <v>167.76590966310218</v>
      </c>
      <c r="B788" s="62">
        <v>167.93399196297682</v>
      </c>
      <c r="C788" s="62">
        <v>165.98631359519425</v>
      </c>
      <c r="D788" s="62">
        <v>166.58933356397978</v>
      </c>
      <c r="E788" s="62">
        <v>55906509.352911927</v>
      </c>
      <c r="F788" s="62" t="s">
        <v>835</v>
      </c>
      <c r="G788" s="25">
        <f t="shared" si="12"/>
        <v>7.0627336933941631E-3</v>
      </c>
    </row>
    <row r="789" spans="1:7">
      <c r="A789" s="62">
        <v>166.51023601109759</v>
      </c>
      <c r="B789" s="62">
        <v>166.65854392275168</v>
      </c>
      <c r="C789" s="62">
        <v>163.32655950758988</v>
      </c>
      <c r="D789" s="62">
        <v>163.32655950758988</v>
      </c>
      <c r="E789" s="62">
        <v>65642818.656274818</v>
      </c>
      <c r="F789" s="62" t="s">
        <v>836</v>
      </c>
      <c r="G789" s="25">
        <f t="shared" si="12"/>
        <v>1.949270536957437E-2</v>
      </c>
    </row>
    <row r="790" spans="1:7">
      <c r="A790" s="62">
        <v>161.91269074982091</v>
      </c>
      <c r="B790" s="62">
        <v>163.41554425458233</v>
      </c>
      <c r="C790" s="62">
        <v>160.96352011523479</v>
      </c>
      <c r="D790" s="62">
        <v>161.21564356504672</v>
      </c>
      <c r="E790" s="62">
        <v>46017905.072510451</v>
      </c>
      <c r="F790" s="62" t="s">
        <v>837</v>
      </c>
      <c r="G790" s="25">
        <f t="shared" si="12"/>
        <v>4.3236944589248871E-3</v>
      </c>
    </row>
    <row r="791" spans="1:7">
      <c r="A791" s="62">
        <v>161.9225779439312</v>
      </c>
      <c r="B791" s="62">
        <v>164.42898165088525</v>
      </c>
      <c r="C791" s="62">
        <v>161.88302916749009</v>
      </c>
      <c r="D791" s="62">
        <v>163.32655950758988</v>
      </c>
      <c r="E791" s="62">
        <v>49269855.99421782</v>
      </c>
      <c r="F791" s="62" t="s">
        <v>838</v>
      </c>
      <c r="G791" s="25">
        <f t="shared" si="12"/>
        <v>-8.5961619952781287E-3</v>
      </c>
    </row>
    <row r="792" spans="1:7">
      <c r="A792" s="62">
        <v>163.4649802251337</v>
      </c>
      <c r="B792" s="62">
        <v>163.73193446611103</v>
      </c>
      <c r="C792" s="62">
        <v>162.04122427325444</v>
      </c>
      <c r="D792" s="62">
        <v>163.13870281949471</v>
      </c>
      <c r="E792" s="62">
        <v>42428196.040387265</v>
      </c>
      <c r="F792" s="62" t="s">
        <v>839</v>
      </c>
      <c r="G792" s="25">
        <f t="shared" si="12"/>
        <v>2.0000000000000018E-3</v>
      </c>
    </row>
    <row r="793" spans="1:7">
      <c r="A793" s="62">
        <v>163.15847720771526</v>
      </c>
      <c r="B793" s="62">
        <v>164.57442227624736</v>
      </c>
      <c r="C793" s="62">
        <v>162.63445591987082</v>
      </c>
      <c r="D793" s="62">
        <v>163.18813879004608</v>
      </c>
      <c r="E793" s="62">
        <v>59002928.787844673</v>
      </c>
      <c r="F793" s="62" t="s">
        <v>840</v>
      </c>
      <c r="G793" s="25">
        <f t="shared" si="12"/>
        <v>-1.8176310209028212E-4</v>
      </c>
    </row>
    <row r="794" spans="1:7">
      <c r="A794" s="62">
        <v>164.77008984768966</v>
      </c>
      <c r="B794" s="62">
        <v>165.97632752914288</v>
      </c>
      <c r="C794" s="62">
        <v>163.69238568966995</v>
      </c>
      <c r="D794" s="62">
        <v>164.2164069775144</v>
      </c>
      <c r="E794" s="62">
        <v>53054867.149315789</v>
      </c>
      <c r="F794" s="62" t="s">
        <v>841</v>
      </c>
      <c r="G794" s="25">
        <f t="shared" si="12"/>
        <v>3.3716659642362146E-3</v>
      </c>
    </row>
    <row r="795" spans="1:7">
      <c r="A795" s="62">
        <v>165.73903487049634</v>
      </c>
      <c r="B795" s="62">
        <v>166.26305615834079</v>
      </c>
      <c r="C795" s="62">
        <v>163.67261130144939</v>
      </c>
      <c r="D795" s="62">
        <v>163.92967834831651</v>
      </c>
      <c r="E795" s="62">
        <v>48264619.332617961</v>
      </c>
      <c r="F795" s="62" t="s">
        <v>842</v>
      </c>
      <c r="G795" s="25">
        <f t="shared" si="12"/>
        <v>1.103739445114571E-2</v>
      </c>
    </row>
    <row r="796" spans="1:7">
      <c r="A796" s="62">
        <v>164.59212035370473</v>
      </c>
      <c r="B796" s="62">
        <v>165.52151660007036</v>
      </c>
      <c r="C796" s="62">
        <v>163.7813704366624</v>
      </c>
      <c r="D796" s="62">
        <v>164.22629417162466</v>
      </c>
      <c r="E796" s="62">
        <v>50492594.201353811</v>
      </c>
      <c r="F796" s="62" t="s">
        <v>843</v>
      </c>
      <c r="G796" s="25">
        <f t="shared" si="12"/>
        <v>2.2275737507524429E-3</v>
      </c>
    </row>
    <row r="797" spans="1:7">
      <c r="A797" s="62">
        <v>163.36610828403096</v>
      </c>
      <c r="B797" s="62">
        <v>163.52430338979531</v>
      </c>
      <c r="C797" s="62">
        <v>162.17964499079827</v>
      </c>
      <c r="D797" s="62">
        <v>163.22768756648716</v>
      </c>
      <c r="E797" s="62">
        <v>41989887.663747072</v>
      </c>
      <c r="F797" s="62" t="s">
        <v>844</v>
      </c>
      <c r="G797" s="25">
        <f t="shared" si="12"/>
        <v>8.480222908715529E-4</v>
      </c>
    </row>
    <row r="798" spans="1:7">
      <c r="A798" s="62">
        <v>163.34633389581043</v>
      </c>
      <c r="B798" s="62">
        <v>164.44381244205064</v>
      </c>
      <c r="C798" s="62">
        <v>161.97201391448255</v>
      </c>
      <c r="D798" s="62">
        <v>162.73332786097353</v>
      </c>
      <c r="E798" s="62">
        <v>49949944.796460897</v>
      </c>
      <c r="F798" s="62" t="s">
        <v>845</v>
      </c>
      <c r="G798" s="25">
        <f t="shared" si="12"/>
        <v>3.7669360228447246E-3</v>
      </c>
    </row>
    <row r="799" spans="1:7">
      <c r="A799" s="62">
        <v>163.69238568966995</v>
      </c>
      <c r="B799" s="62">
        <v>163.92967834831651</v>
      </c>
      <c r="C799" s="62">
        <v>159.59908732801716</v>
      </c>
      <c r="D799" s="62">
        <v>159.80671840433288</v>
      </c>
      <c r="E799" s="62">
        <v>69226565.430618644</v>
      </c>
      <c r="F799" s="62" t="s">
        <v>846</v>
      </c>
      <c r="G799" s="25">
        <f t="shared" si="12"/>
        <v>2.4314793045845606E-2</v>
      </c>
    </row>
    <row r="800" spans="1:7">
      <c r="A800" s="62">
        <v>158.2939777054612</v>
      </c>
      <c r="B800" s="62">
        <v>160.23186775107462</v>
      </c>
      <c r="C800" s="62">
        <v>157.9775874939325</v>
      </c>
      <c r="D800" s="62">
        <v>159.40134344581173</v>
      </c>
      <c r="E800" s="62">
        <v>50705044.768883139</v>
      </c>
      <c r="F800" s="62" t="s">
        <v>847</v>
      </c>
      <c r="G800" s="25">
        <f t="shared" si="12"/>
        <v>-6.9470289046025258E-3</v>
      </c>
    </row>
    <row r="801" spans="1:7">
      <c r="A801" s="62">
        <v>158.98608129318029</v>
      </c>
      <c r="B801" s="62">
        <v>160.52848357438279</v>
      </c>
      <c r="C801" s="62">
        <v>158.69935266398238</v>
      </c>
      <c r="D801" s="62">
        <v>160.5185963802725</v>
      </c>
      <c r="E801" s="62">
        <v>48187803.808260962</v>
      </c>
      <c r="F801" s="62" t="s">
        <v>848</v>
      </c>
      <c r="G801" s="25">
        <f t="shared" si="12"/>
        <v>-9.5472744071449789E-3</v>
      </c>
    </row>
    <row r="802" spans="1:7">
      <c r="A802" s="62">
        <v>160.2022061687438</v>
      </c>
      <c r="B802" s="62">
        <v>160.2022061687438</v>
      </c>
      <c r="C802" s="62">
        <v>158.27420331724068</v>
      </c>
      <c r="D802" s="62">
        <v>159.59908732801716</v>
      </c>
      <c r="E802" s="62">
        <v>48261297.86450135</v>
      </c>
      <c r="F802" s="62" t="s">
        <v>849</v>
      </c>
      <c r="G802" s="25">
        <f t="shared" si="12"/>
        <v>3.7789617147814258E-3</v>
      </c>
    </row>
    <row r="803" spans="1:7">
      <c r="A803" s="62">
        <v>162.80253821974543</v>
      </c>
      <c r="B803" s="62">
        <v>163.09757209199597</v>
      </c>
      <c r="C803" s="62">
        <v>160.17254458641298</v>
      </c>
      <c r="D803" s="62">
        <v>160.59769393315469</v>
      </c>
      <c r="E803" s="62">
        <v>45907992.190465286</v>
      </c>
      <c r="F803" s="62" t="s">
        <v>850</v>
      </c>
      <c r="G803" s="25">
        <f t="shared" si="12"/>
        <v>1.3728990949947617E-2</v>
      </c>
    </row>
    <row r="804" spans="1:7">
      <c r="A804" s="62">
        <v>161.91269074982091</v>
      </c>
      <c r="B804" s="62">
        <v>163.18813879004608</v>
      </c>
      <c r="C804" s="62">
        <v>159.97480070420755</v>
      </c>
      <c r="D804" s="62">
        <v>162.88163577262762</v>
      </c>
      <c r="E804" s="62">
        <v>52099456.555102244</v>
      </c>
      <c r="F804" s="62" t="s">
        <v>851</v>
      </c>
      <c r="G804" s="25">
        <f t="shared" si="12"/>
        <v>-5.9487677552507723E-3</v>
      </c>
    </row>
    <row r="805" spans="1:7">
      <c r="A805" s="62">
        <v>163.76159604844185</v>
      </c>
      <c r="B805" s="62">
        <v>164.95794653578483</v>
      </c>
      <c r="C805" s="62">
        <v>163.24746195470772</v>
      </c>
      <c r="D805" s="62">
        <v>164.71571028008316</v>
      </c>
      <c r="E805" s="62">
        <v>46806297.60461431</v>
      </c>
      <c r="F805" s="62" t="s">
        <v>852</v>
      </c>
      <c r="G805" s="25">
        <f t="shared" si="12"/>
        <v>-5.7924907710317219E-3</v>
      </c>
    </row>
    <row r="806" spans="1:7">
      <c r="A806" s="62">
        <v>164.29550453039656</v>
      </c>
      <c r="B806" s="62">
        <v>164.41415085971983</v>
      </c>
      <c r="C806" s="62">
        <v>162.36750167889346</v>
      </c>
      <c r="D806" s="62">
        <v>162.41693764944483</v>
      </c>
      <c r="E806" s="62">
        <v>57626244.983704709</v>
      </c>
      <c r="F806" s="62" t="s">
        <v>853</v>
      </c>
      <c r="G806" s="25">
        <f t="shared" si="12"/>
        <v>1.1566323735313633E-2</v>
      </c>
    </row>
    <row r="807" spans="1:7">
      <c r="A807" s="62">
        <v>163.03983087839197</v>
      </c>
      <c r="B807" s="62">
        <v>163.13870281949471</v>
      </c>
      <c r="C807" s="62">
        <v>160.08355983942053</v>
      </c>
      <c r="D807" s="62">
        <v>160.60758112726495</v>
      </c>
      <c r="E807" s="62">
        <v>69534178.487071142</v>
      </c>
      <c r="F807" s="62" t="s">
        <v>854</v>
      </c>
      <c r="G807" s="25">
        <f t="shared" si="12"/>
        <v>1.5144053188869799E-2</v>
      </c>
    </row>
    <row r="808" spans="1:7">
      <c r="A808" s="62">
        <v>160.52848357438279</v>
      </c>
      <c r="B808" s="62">
        <v>160.63724270959577</v>
      </c>
      <c r="C808" s="62">
        <v>159.4517681357741</v>
      </c>
      <c r="D808" s="62">
        <v>159.70784646323017</v>
      </c>
      <c r="E808" s="62">
        <v>50066468.249641918</v>
      </c>
      <c r="F808" s="62" t="s">
        <v>855</v>
      </c>
      <c r="G808" s="25">
        <f t="shared" si="12"/>
        <v>5.1383643905158483E-3</v>
      </c>
    </row>
    <row r="809" spans="1:7">
      <c r="A809" s="62">
        <v>158.95641971084947</v>
      </c>
      <c r="B809" s="62">
        <v>159.23326114593712</v>
      </c>
      <c r="C809" s="62">
        <v>157.55243814719077</v>
      </c>
      <c r="D809" s="62">
        <v>157.57221253541132</v>
      </c>
      <c r="E809" s="62">
        <v>51891052.63615226</v>
      </c>
      <c r="F809" s="62" t="s">
        <v>856</v>
      </c>
      <c r="G809" s="25">
        <f t="shared" si="12"/>
        <v>8.7845893204494541E-3</v>
      </c>
    </row>
    <row r="810" spans="1:7">
      <c r="A810" s="62">
        <v>155.87161514844448</v>
      </c>
      <c r="B810" s="62">
        <v>156.70213945370736</v>
      </c>
      <c r="C810" s="62">
        <v>154.22045373202897</v>
      </c>
      <c r="D810" s="62">
        <v>156.1880053599732</v>
      </c>
      <c r="E810" s="62">
        <v>46516889.915427029</v>
      </c>
      <c r="F810" s="62" t="s">
        <v>857</v>
      </c>
      <c r="G810" s="25">
        <f t="shared" si="12"/>
        <v>-2.0257010824841215E-3</v>
      </c>
    </row>
    <row r="811" spans="1:7">
      <c r="A811" s="62">
        <v>156.49450837739164</v>
      </c>
      <c r="B811" s="62">
        <v>158.95641971084947</v>
      </c>
      <c r="C811" s="62">
        <v>156.08913341887049</v>
      </c>
      <c r="D811" s="62">
        <v>158.13578259969685</v>
      </c>
      <c r="E811" s="62">
        <v>52988001.869578525</v>
      </c>
      <c r="F811" s="62" t="s">
        <v>858</v>
      </c>
      <c r="G811" s="25">
        <f t="shared" si="12"/>
        <v>-1.0378892084531688E-2</v>
      </c>
    </row>
    <row r="812" spans="1:7">
      <c r="A812" s="62">
        <v>158.44228561711532</v>
      </c>
      <c r="B812" s="62">
        <v>158.53127036410777</v>
      </c>
      <c r="C812" s="62">
        <v>156.06935903064993</v>
      </c>
      <c r="D812" s="62">
        <v>157.06796563578746</v>
      </c>
      <c r="E812" s="62">
        <v>59932415.950481832</v>
      </c>
      <c r="F812" s="62" t="s">
        <v>859</v>
      </c>
      <c r="G812" s="25">
        <f t="shared" si="12"/>
        <v>8.7498426287295761E-3</v>
      </c>
    </row>
    <row r="813" spans="1:7">
      <c r="A813" s="62">
        <v>157.13717599455936</v>
      </c>
      <c r="B813" s="62">
        <v>159.7277197233918</v>
      </c>
      <c r="C813" s="62">
        <v>155.90127673077529</v>
      </c>
      <c r="D813" s="62">
        <v>157.03830405345664</v>
      </c>
      <c r="E813" s="62">
        <v>68393579.86280793</v>
      </c>
      <c r="F813" s="62" t="s">
        <v>860</v>
      </c>
      <c r="G813" s="25">
        <f t="shared" si="12"/>
        <v>6.2960397909717081E-4</v>
      </c>
    </row>
    <row r="814" spans="1:7">
      <c r="A814" s="62">
        <v>156.04958464242941</v>
      </c>
      <c r="B814" s="62">
        <v>160.31096530395678</v>
      </c>
      <c r="C814" s="62">
        <v>156.02981025420883</v>
      </c>
      <c r="D814" s="62">
        <v>157.50300217663943</v>
      </c>
      <c r="E814" s="62">
        <v>76565515.105391517</v>
      </c>
      <c r="F814" s="62" t="s">
        <v>861</v>
      </c>
      <c r="G814" s="25">
        <f t="shared" si="12"/>
        <v>-9.2278719397361764E-3</v>
      </c>
    </row>
    <row r="815" spans="1:7">
      <c r="A815" s="62">
        <v>157.48322778841887</v>
      </c>
      <c r="B815" s="62">
        <v>157.60187411774214</v>
      </c>
      <c r="C815" s="62">
        <v>154.77413660220424</v>
      </c>
      <c r="D815" s="62">
        <v>155.54533774280549</v>
      </c>
      <c r="E815" s="62">
        <v>74781868.521404907</v>
      </c>
      <c r="F815" s="62" t="s">
        <v>862</v>
      </c>
      <c r="G815" s="25">
        <f t="shared" si="12"/>
        <v>1.2458682939232135E-2</v>
      </c>
    </row>
    <row r="816" spans="1:7">
      <c r="A816" s="62">
        <v>155.62443529568768</v>
      </c>
      <c r="B816" s="62">
        <v>156.03969744831912</v>
      </c>
      <c r="C816" s="62">
        <v>152.41109720984915</v>
      </c>
      <c r="D816" s="62">
        <v>153.32071906799419</v>
      </c>
      <c r="E816" s="62">
        <v>74481611.444736853</v>
      </c>
      <c r="F816" s="62" t="s">
        <v>863</v>
      </c>
      <c r="G816" s="25">
        <f t="shared" si="12"/>
        <v>1.5025472367317994E-2</v>
      </c>
    </row>
    <row r="817" spans="1:7">
      <c r="A817" s="62">
        <v>153.25150870922229</v>
      </c>
      <c r="B817" s="62">
        <v>154.9718804844097</v>
      </c>
      <c r="C817" s="62">
        <v>152.53963073328268</v>
      </c>
      <c r="D817" s="62">
        <v>154.31932567313171</v>
      </c>
      <c r="E817" s="62">
        <v>100073521.26039521</v>
      </c>
      <c r="F817" s="62" t="s">
        <v>864</v>
      </c>
      <c r="G817" s="25">
        <f t="shared" si="12"/>
        <v>-6.9195284469503182E-3</v>
      </c>
    </row>
    <row r="818" spans="1:7">
      <c r="A818" s="62">
        <v>154.09192020859544</v>
      </c>
      <c r="B818" s="62">
        <v>154.69503904932208</v>
      </c>
      <c r="C818" s="62">
        <v>149.92941148817076</v>
      </c>
      <c r="D818" s="62">
        <v>150.44354558190491</v>
      </c>
      <c r="E818" s="62">
        <v>77124427.97170803</v>
      </c>
      <c r="F818" s="62" t="s">
        <v>865</v>
      </c>
      <c r="G818" s="25">
        <f t="shared" si="12"/>
        <v>2.425078864353325E-2</v>
      </c>
    </row>
    <row r="819" spans="1:7">
      <c r="A819" s="62">
        <v>151.26418269305753</v>
      </c>
      <c r="B819" s="62">
        <v>151.5163061428695</v>
      </c>
      <c r="C819" s="62">
        <v>148.22881410120391</v>
      </c>
      <c r="D819" s="62">
        <v>149.4844877532085</v>
      </c>
      <c r="E819" s="62">
        <v>78048296.755725294</v>
      </c>
      <c r="F819" s="62" t="s">
        <v>866</v>
      </c>
      <c r="G819" s="25">
        <f t="shared" si="12"/>
        <v>1.190554930881671E-2</v>
      </c>
    </row>
    <row r="820" spans="1:7">
      <c r="A820" s="62">
        <v>150.86869492864665</v>
      </c>
      <c r="B820" s="62">
        <v>151.66955765157871</v>
      </c>
      <c r="C820" s="62">
        <v>148.40678359518881</v>
      </c>
      <c r="D820" s="62">
        <v>149.57347250020095</v>
      </c>
      <c r="E820" s="62">
        <v>74536711.000174329</v>
      </c>
      <c r="F820" s="62" t="s">
        <v>867</v>
      </c>
      <c r="G820" s="25">
        <f t="shared" si="12"/>
        <v>8.6594394500265626E-3</v>
      </c>
    </row>
    <row r="821" spans="1:7">
      <c r="A821" s="62">
        <v>148.77260977726888</v>
      </c>
      <c r="B821" s="62">
        <v>151.41249060471162</v>
      </c>
      <c r="C821" s="62">
        <v>146.03385700872343</v>
      </c>
      <c r="D821" s="62">
        <v>146.1376725468813</v>
      </c>
      <c r="E821" s="62">
        <v>85420718.009624556</v>
      </c>
      <c r="F821" s="62" t="s">
        <v>868</v>
      </c>
      <c r="G821" s="25">
        <f t="shared" si="12"/>
        <v>1.8030513176144014E-2</v>
      </c>
    </row>
    <row r="822" spans="1:7">
      <c r="A822" s="62">
        <v>146.82483253754523</v>
      </c>
      <c r="B822" s="62">
        <v>149.2373079004517</v>
      </c>
      <c r="C822" s="62">
        <v>145.94447677396658</v>
      </c>
      <c r="D822" s="62">
        <v>148.51554273040182</v>
      </c>
      <c r="E822" s="62">
        <v>69354762.569853842</v>
      </c>
      <c r="F822" s="62" t="s">
        <v>869</v>
      </c>
      <c r="G822" s="25">
        <f t="shared" si="12"/>
        <v>-1.1384062312762122E-2</v>
      </c>
    </row>
    <row r="823" spans="1:7">
      <c r="A823" s="62">
        <v>148.89125610659215</v>
      </c>
      <c r="B823" s="62">
        <v>152.79175418309461</v>
      </c>
      <c r="C823" s="62">
        <v>148.53037352156721</v>
      </c>
      <c r="D823" s="62">
        <v>151.82676403793204</v>
      </c>
      <c r="E823" s="62">
        <v>54447785.084009856</v>
      </c>
      <c r="F823" s="62" t="s">
        <v>870</v>
      </c>
      <c r="G823" s="25">
        <f t="shared" si="12"/>
        <v>-1.933458800851795E-2</v>
      </c>
    </row>
    <row r="824" spans="1:7">
      <c r="A824" s="62">
        <v>151.14553636373427</v>
      </c>
      <c r="B824" s="62">
        <v>151.73876801035061</v>
      </c>
      <c r="C824" s="62">
        <v>150.11726817626595</v>
      </c>
      <c r="D824" s="62">
        <v>151.08621319907263</v>
      </c>
      <c r="E824" s="62">
        <v>47743364.268489562</v>
      </c>
      <c r="F824" s="62" t="s">
        <v>871</v>
      </c>
      <c r="G824" s="25">
        <f t="shared" si="12"/>
        <v>3.9264446044096069E-4</v>
      </c>
    </row>
    <row r="825" spans="1:7">
      <c r="A825" s="62">
        <v>149.88986271172968</v>
      </c>
      <c r="B825" s="62">
        <v>152.29235200858477</v>
      </c>
      <c r="C825" s="62">
        <v>149.42516458854686</v>
      </c>
      <c r="D825" s="62">
        <v>151.96617347488686</v>
      </c>
      <c r="E825" s="62">
        <v>56823025.191372626</v>
      </c>
      <c r="F825" s="62" t="s">
        <v>872</v>
      </c>
      <c r="G825" s="25">
        <f t="shared" si="12"/>
        <v>-1.3662979830839195E-2</v>
      </c>
    </row>
    <row r="826" spans="1:7">
      <c r="A826" s="62">
        <v>152.09470699832042</v>
      </c>
      <c r="B826" s="62">
        <v>154.53684394355773</v>
      </c>
      <c r="C826" s="62">
        <v>151.72888081624035</v>
      </c>
      <c r="D826" s="62">
        <v>152.05021462482418</v>
      </c>
      <c r="E826" s="62">
        <v>88557003.15323095</v>
      </c>
      <c r="F826" s="62" t="s">
        <v>873</v>
      </c>
      <c r="G826" s="25">
        <f t="shared" si="12"/>
        <v>2.9261631498522789E-4</v>
      </c>
    </row>
    <row r="827" spans="1:7">
      <c r="A827" s="62">
        <v>149.32629264744415</v>
      </c>
      <c r="B827" s="62">
        <v>149.40539020032634</v>
      </c>
      <c r="C827" s="62">
        <v>145.66803082664336</v>
      </c>
      <c r="D827" s="62">
        <v>146.37496520552781</v>
      </c>
      <c r="E827" s="62">
        <v>71539302.466522753</v>
      </c>
      <c r="F827" s="62" t="s">
        <v>874</v>
      </c>
      <c r="G827" s="25">
        <f t="shared" si="12"/>
        <v>2.0162788341382853E-2</v>
      </c>
    </row>
    <row r="828" spans="1:7">
      <c r="A828" s="62">
        <v>144.26404926298468</v>
      </c>
      <c r="B828" s="62">
        <v>145.05502479180649</v>
      </c>
      <c r="C828" s="62">
        <v>142.27672324681993</v>
      </c>
      <c r="D828" s="62">
        <v>142.751308564113</v>
      </c>
      <c r="E828" s="62">
        <v>52876236.085709475</v>
      </c>
      <c r="F828" s="62" t="s">
        <v>875</v>
      </c>
      <c r="G828" s="25">
        <f t="shared" ref="G828:G891" si="13">A828/D828-1</f>
        <v>1.0597035600498739E-2</v>
      </c>
    </row>
    <row r="829" spans="1:7">
      <c r="A829" s="62">
        <v>143.67081761636834</v>
      </c>
      <c r="B829" s="62">
        <v>145.56767580642409</v>
      </c>
      <c r="C829" s="62">
        <v>143.37420179306014</v>
      </c>
      <c r="D829" s="62">
        <v>145.17367112112976</v>
      </c>
      <c r="E829" s="62">
        <v>56111967.036592826</v>
      </c>
      <c r="F829" s="62" t="s">
        <v>876</v>
      </c>
      <c r="G829" s="25">
        <f t="shared" si="13"/>
        <v>-1.0352107879861183E-2</v>
      </c>
    </row>
    <row r="830" spans="1:7">
      <c r="A830" s="62">
        <v>145.74712837952552</v>
      </c>
      <c r="B830" s="62">
        <v>147.39828979594105</v>
      </c>
      <c r="C830" s="62">
        <v>145.17367112112976</v>
      </c>
      <c r="D830" s="62">
        <v>145.39118939155574</v>
      </c>
      <c r="E830" s="62">
        <v>51123703.485788405</v>
      </c>
      <c r="F830" s="62" t="s">
        <v>877</v>
      </c>
      <c r="G830" s="25">
        <f t="shared" si="13"/>
        <v>2.4481468888131186E-3</v>
      </c>
    </row>
    <row r="831" spans="1:7">
      <c r="A831" s="62">
        <v>146.25137527914941</v>
      </c>
      <c r="B831" s="62">
        <v>147.48727454293348</v>
      </c>
      <c r="C831" s="62">
        <v>145.7866771559666</v>
      </c>
      <c r="D831" s="62">
        <v>146.04374420283372</v>
      </c>
      <c r="E831" s="62">
        <v>45511870.706825063</v>
      </c>
      <c r="F831" s="62" t="s">
        <v>878</v>
      </c>
      <c r="G831" s="25">
        <f t="shared" si="13"/>
        <v>1.4217046916253917E-3</v>
      </c>
    </row>
    <row r="832" spans="1:7">
      <c r="A832" s="62">
        <v>145.05502479180649</v>
      </c>
      <c r="B832" s="62">
        <v>145.52961010909954</v>
      </c>
      <c r="C832" s="62">
        <v>144.0763903187717</v>
      </c>
      <c r="D832" s="62">
        <v>145.45051255621738</v>
      </c>
      <c r="E832" s="62">
        <v>56102474.960382603</v>
      </c>
      <c r="F832" s="62" t="s">
        <v>879</v>
      </c>
      <c r="G832" s="25">
        <f t="shared" si="13"/>
        <v>-2.719053769288271E-3</v>
      </c>
    </row>
    <row r="833" spans="1:7">
      <c r="A833" s="62">
        <v>147.71468000746975</v>
      </c>
      <c r="B833" s="62">
        <v>148.64407625383535</v>
      </c>
      <c r="C833" s="62">
        <v>145.57904607965091</v>
      </c>
      <c r="D833" s="62">
        <v>148.39689640107855</v>
      </c>
      <c r="E833" s="62">
        <v>48946393.142742366</v>
      </c>
      <c r="F833" s="62" t="s">
        <v>880</v>
      </c>
      <c r="G833" s="25">
        <f t="shared" si="13"/>
        <v>-4.5972416550069672E-3</v>
      </c>
    </row>
    <row r="834" spans="1:7">
      <c r="A834" s="62">
        <v>147.23020749606638</v>
      </c>
      <c r="B834" s="62">
        <v>148.25847568353473</v>
      </c>
      <c r="C834" s="62">
        <v>145.49994852676872</v>
      </c>
      <c r="D834" s="62">
        <v>147.1906587196253</v>
      </c>
      <c r="E834" s="62">
        <v>51593307.900166802</v>
      </c>
      <c r="F834" s="62" t="s">
        <v>881</v>
      </c>
      <c r="G834" s="25">
        <f t="shared" si="13"/>
        <v>2.6869080405722556E-4</v>
      </c>
    </row>
    <row r="835" spans="1:7">
      <c r="A835" s="62">
        <v>146.80505814932468</v>
      </c>
      <c r="B835" s="62">
        <v>149.5932468884215</v>
      </c>
      <c r="C835" s="62">
        <v>146.73090419349765</v>
      </c>
      <c r="D835" s="62">
        <v>148.50565553629153</v>
      </c>
      <c r="E835" s="62">
        <v>59538863.446444593</v>
      </c>
      <c r="F835" s="62" t="s">
        <v>882</v>
      </c>
      <c r="G835" s="25">
        <f t="shared" si="13"/>
        <v>-1.1451398135818858E-2</v>
      </c>
    </row>
    <row r="836" spans="1:7">
      <c r="A836" s="62">
        <v>150.82914615220557</v>
      </c>
      <c r="B836" s="62">
        <v>151.2740698871678</v>
      </c>
      <c r="C836" s="62">
        <v>149.14832315345924</v>
      </c>
      <c r="D836" s="62">
        <v>150.63140227000011</v>
      </c>
      <c r="E836" s="62">
        <v>59818910.542629667</v>
      </c>
      <c r="F836" s="62" t="s">
        <v>883</v>
      </c>
      <c r="G836" s="25">
        <f t="shared" si="13"/>
        <v>1.3127666557271045E-3</v>
      </c>
    </row>
    <row r="837" spans="1:7">
      <c r="A837" s="62">
        <v>151.97606066899715</v>
      </c>
      <c r="B837" s="62">
        <v>154.56650552588854</v>
      </c>
      <c r="C837" s="62">
        <v>151.61764988249976</v>
      </c>
      <c r="D837" s="62">
        <v>151.77831678679169</v>
      </c>
      <c r="E837" s="62">
        <v>68945689.990223005</v>
      </c>
      <c r="F837" s="62" t="s">
        <v>884</v>
      </c>
      <c r="G837" s="25">
        <f t="shared" si="13"/>
        <v>1.302846720083517E-3</v>
      </c>
    </row>
    <row r="838" spans="1:7">
      <c r="A838" s="62">
        <v>153.57778611486128</v>
      </c>
      <c r="B838" s="62">
        <v>153.74586841473592</v>
      </c>
      <c r="C838" s="62">
        <v>151.15542355784453</v>
      </c>
      <c r="D838" s="62">
        <v>151.38282902238083</v>
      </c>
      <c r="E838" s="62">
        <v>66418491.705116041</v>
      </c>
      <c r="F838" s="62" t="s">
        <v>885</v>
      </c>
      <c r="G838" s="25">
        <f t="shared" si="13"/>
        <v>1.4499379531055956E-2</v>
      </c>
    </row>
    <row r="839" spans="1:7">
      <c r="A839" s="62">
        <v>151.47181376937326</v>
      </c>
      <c r="B839" s="62">
        <v>152.03538383365878</v>
      </c>
      <c r="C839" s="62">
        <v>149.15821034756954</v>
      </c>
      <c r="D839" s="62">
        <v>150.40399680546383</v>
      </c>
      <c r="E839" s="62">
        <v>62411612.75056617</v>
      </c>
      <c r="F839" s="62" t="s">
        <v>886</v>
      </c>
      <c r="G839" s="25">
        <f t="shared" si="13"/>
        <v>7.0996581646070034E-3</v>
      </c>
    </row>
    <row r="840" spans="1:7">
      <c r="A840" s="62">
        <v>152.11448138654097</v>
      </c>
      <c r="B840" s="62">
        <v>152.51985634506212</v>
      </c>
      <c r="C840" s="62">
        <v>149.21753351223114</v>
      </c>
      <c r="D840" s="62">
        <v>149.24917253338401</v>
      </c>
      <c r="E840" s="62">
        <v>62908659.733278289</v>
      </c>
      <c r="F840" s="62" t="s">
        <v>887</v>
      </c>
      <c r="G840" s="25">
        <f t="shared" si="13"/>
        <v>1.9198155705124842E-2</v>
      </c>
    </row>
    <row r="841" spans="1:7">
      <c r="A841" s="62">
        <v>149.30651825922359</v>
      </c>
      <c r="B841" s="62">
        <v>149.63289453680369</v>
      </c>
      <c r="C841" s="62">
        <v>147.53671051348485</v>
      </c>
      <c r="D841" s="62">
        <v>147.77400317213139</v>
      </c>
      <c r="E841" s="62">
        <v>58106179.932596825</v>
      </c>
      <c r="F841" s="62" t="s">
        <v>888</v>
      </c>
      <c r="G841" s="25">
        <f t="shared" si="13"/>
        <v>1.0370667737187089E-2</v>
      </c>
    </row>
    <row r="842" spans="1:7">
      <c r="A842" s="62">
        <v>148.9406920771435</v>
      </c>
      <c r="B842" s="62">
        <v>152.3564460016276</v>
      </c>
      <c r="C842" s="62">
        <v>148.49644662453716</v>
      </c>
      <c r="D842" s="62">
        <v>151.80854327674646</v>
      </c>
      <c r="E842" s="62">
        <v>56732633.282202333</v>
      </c>
      <c r="F842" s="62" t="s">
        <v>889</v>
      </c>
      <c r="G842" s="25">
        <f t="shared" si="13"/>
        <v>-1.8891237197203647E-2</v>
      </c>
    </row>
    <row r="843" spans="1:7">
      <c r="A843" s="62">
        <v>149.97726479989154</v>
      </c>
      <c r="B843" s="62">
        <v>152.60324903085333</v>
      </c>
      <c r="C843" s="62">
        <v>149.23488128798056</v>
      </c>
      <c r="D843" s="62">
        <v>151.91220054902126</v>
      </c>
      <c r="E843" s="62">
        <v>64950660.452950493</v>
      </c>
      <c r="F843" s="62" t="s">
        <v>890</v>
      </c>
      <c r="G843" s="25">
        <f t="shared" si="13"/>
        <v>-1.2737197816480417E-2</v>
      </c>
    </row>
    <row r="844" spans="1:7">
      <c r="A844" s="62">
        <v>152.67235387903654</v>
      </c>
      <c r="B844" s="62">
        <v>153.24493690684019</v>
      </c>
      <c r="C844" s="62">
        <v>148.71363329025581</v>
      </c>
      <c r="D844" s="62">
        <v>148.71363329025581</v>
      </c>
      <c r="E844" s="62">
        <v>84401872.275838122</v>
      </c>
      <c r="F844" s="62" t="s">
        <v>891</v>
      </c>
      <c r="G844" s="25">
        <f t="shared" si="13"/>
        <v>2.6619755708975124E-2</v>
      </c>
    </row>
    <row r="845" spans="1:7">
      <c r="A845" s="62">
        <v>149.78969449767999</v>
      </c>
      <c r="B845" s="62">
        <v>151.142175097837</v>
      </c>
      <c r="C845" s="62">
        <v>148.85184298662222</v>
      </c>
      <c r="D845" s="62">
        <v>150.62388873646296</v>
      </c>
      <c r="E845" s="62">
        <v>70763217.75624004</v>
      </c>
      <c r="F845" s="62" t="s">
        <v>892</v>
      </c>
      <c r="G845" s="25">
        <f t="shared" si="13"/>
        <v>-5.538259872194029E-3</v>
      </c>
    </row>
    <row r="846" spans="1:7">
      <c r="A846" s="62">
        <v>152.52427206150108</v>
      </c>
      <c r="B846" s="62">
        <v>155.3674429581815</v>
      </c>
      <c r="C846" s="62">
        <v>145.93956724175862</v>
      </c>
      <c r="D846" s="62">
        <v>146.1370096651392</v>
      </c>
      <c r="E846" s="62">
        <v>156356809.60263088</v>
      </c>
      <c r="F846" s="62" t="s">
        <v>893</v>
      </c>
      <c r="G846" s="25">
        <f t="shared" si="13"/>
        <v>4.3707356616901949E-2</v>
      </c>
    </row>
    <row r="847" spans="1:7">
      <c r="A847" s="62">
        <v>148.89133147129834</v>
      </c>
      <c r="B847" s="62">
        <v>149.2467278333834</v>
      </c>
      <c r="C847" s="62">
        <v>146.27521936150561</v>
      </c>
      <c r="D847" s="62">
        <v>146.99588420684475</v>
      </c>
      <c r="E847" s="62">
        <v>119871887.68635951</v>
      </c>
      <c r="F847" s="62" t="s">
        <v>894</v>
      </c>
      <c r="G847" s="25">
        <f t="shared" si="13"/>
        <v>1.28945601074546E-2</v>
      </c>
    </row>
    <row r="848" spans="1:7">
      <c r="A848" s="62">
        <v>143.57025816119162</v>
      </c>
      <c r="B848" s="62">
        <v>144.73516845913707</v>
      </c>
      <c r="C848" s="62">
        <v>139.51281636072059</v>
      </c>
      <c r="D848" s="62">
        <v>142.12892847051333</v>
      </c>
      <c r="E848" s="62">
        <v>78669651.304165751</v>
      </c>
      <c r="F848" s="62" t="s">
        <v>895</v>
      </c>
      <c r="G848" s="25">
        <f t="shared" si="13"/>
        <v>1.0141001597555155E-2</v>
      </c>
    </row>
    <row r="849" spans="1:7">
      <c r="A849" s="62">
        <v>142.44483634792226</v>
      </c>
      <c r="B849" s="62">
        <v>142.49419695376741</v>
      </c>
      <c r="C849" s="62">
        <v>140.46053999294742</v>
      </c>
      <c r="D849" s="62">
        <v>140.87516908204663</v>
      </c>
      <c r="E849" s="62">
        <v>66727765.869265512</v>
      </c>
      <c r="F849" s="62" t="s">
        <v>896</v>
      </c>
      <c r="G849" s="25">
        <f t="shared" si="13"/>
        <v>1.1142256482130408E-2</v>
      </c>
    </row>
    <row r="850" spans="1:7">
      <c r="A850" s="62">
        <v>141.17133271711751</v>
      </c>
      <c r="B850" s="62">
        <v>143.68872361521997</v>
      </c>
      <c r="C850" s="62">
        <v>141.02325089958208</v>
      </c>
      <c r="D850" s="62">
        <v>143.10133240566273</v>
      </c>
      <c r="E850" s="62">
        <v>64844497.858098239</v>
      </c>
      <c r="F850" s="62" t="s">
        <v>897</v>
      </c>
      <c r="G850" s="25">
        <f t="shared" si="13"/>
        <v>-1.3486944224069597E-2</v>
      </c>
    </row>
    <row r="851" spans="1:7">
      <c r="A851" s="62">
        <v>144.06386421964308</v>
      </c>
      <c r="B851" s="62">
        <v>145.34723997161686</v>
      </c>
      <c r="C851" s="62">
        <v>141.25030968646976</v>
      </c>
      <c r="D851" s="62">
        <v>141.32435059523746</v>
      </c>
      <c r="E851" s="62">
        <v>71469790.323631436</v>
      </c>
      <c r="F851" s="62" t="s">
        <v>898</v>
      </c>
      <c r="G851" s="25">
        <f t="shared" si="13"/>
        <v>1.9384583144144596E-2</v>
      </c>
    </row>
    <row r="852" spans="1:7">
      <c r="A852" s="62">
        <v>142.11905634934433</v>
      </c>
      <c r="B852" s="62">
        <v>142.40534786324616</v>
      </c>
      <c r="C852" s="62">
        <v>140.08539938852431</v>
      </c>
      <c r="D852" s="62">
        <v>141.33915877699098</v>
      </c>
      <c r="E852" s="62">
        <v>54805919.694075815</v>
      </c>
      <c r="F852" s="62" t="s">
        <v>899</v>
      </c>
      <c r="G852" s="25">
        <f t="shared" si="13"/>
        <v>5.5179157644760224E-3</v>
      </c>
    </row>
    <row r="853" spans="1:7">
      <c r="A853" s="62">
        <v>140.04591090384821</v>
      </c>
      <c r="B853" s="62">
        <v>140.60862181048284</v>
      </c>
      <c r="C853" s="62">
        <v>137.03491394729429</v>
      </c>
      <c r="D853" s="62">
        <v>139.08831515045233</v>
      </c>
      <c r="E853" s="62">
        <v>66651682.929526448</v>
      </c>
      <c r="F853" s="62" t="s">
        <v>900</v>
      </c>
      <c r="G853" s="25">
        <f t="shared" si="13"/>
        <v>6.8848037476048063E-3</v>
      </c>
    </row>
    <row r="854" spans="1:7">
      <c r="A854" s="62">
        <v>140.70734302217315</v>
      </c>
      <c r="B854" s="62">
        <v>141.32928665582199</v>
      </c>
      <c r="C854" s="62">
        <v>138.50586000147965</v>
      </c>
      <c r="D854" s="62">
        <v>138.51079606206414</v>
      </c>
      <c r="E854" s="62">
        <v>67295711.694078699</v>
      </c>
      <c r="F854" s="62" t="s">
        <v>901</v>
      </c>
      <c r="G854" s="25">
        <f t="shared" si="13"/>
        <v>1.5858308684651323E-2</v>
      </c>
    </row>
    <row r="855" spans="1:7">
      <c r="A855" s="62">
        <v>139.30550181617102</v>
      </c>
      <c r="B855" s="62">
        <v>141.48230453394194</v>
      </c>
      <c r="C855" s="62">
        <v>136.13655092091264</v>
      </c>
      <c r="D855" s="62">
        <v>136.35373758663127</v>
      </c>
      <c r="E855" s="62">
        <v>82819397.776942134</v>
      </c>
      <c r="F855" s="62" t="s">
        <v>902</v>
      </c>
      <c r="G855" s="25">
        <f t="shared" si="13"/>
        <v>2.1647842455835731E-2</v>
      </c>
    </row>
    <row r="856" spans="1:7">
      <c r="A856" s="62">
        <v>136.10693455740554</v>
      </c>
      <c r="B856" s="62">
        <v>136.25501637494099</v>
      </c>
      <c r="C856" s="62">
        <v>132.50361033070988</v>
      </c>
      <c r="D856" s="62">
        <v>133.55005517462698</v>
      </c>
      <c r="E856" s="62">
        <v>81262805.253725454</v>
      </c>
      <c r="F856" s="62" t="s">
        <v>903</v>
      </c>
      <c r="G856" s="25">
        <f t="shared" si="13"/>
        <v>1.9145476049674759E-2</v>
      </c>
    </row>
    <row r="857" spans="1:7">
      <c r="A857" s="62">
        <v>133.54018305345795</v>
      </c>
      <c r="B857" s="62">
        <v>134.5076509280228</v>
      </c>
      <c r="C857" s="62">
        <v>132.05936487810357</v>
      </c>
      <c r="D857" s="62">
        <v>132.36540063434347</v>
      </c>
      <c r="E857" s="62">
        <v>59035350.156395182</v>
      </c>
      <c r="F857" s="62" t="s">
        <v>904</v>
      </c>
      <c r="G857" s="25">
        <f t="shared" si="13"/>
        <v>8.8752983293556298E-3</v>
      </c>
    </row>
    <row r="858" spans="1:7">
      <c r="A858" s="62">
        <v>133.48095032644378</v>
      </c>
      <c r="B858" s="62">
        <v>136.83747152391371</v>
      </c>
      <c r="C858" s="62">
        <v>133.30325214540125</v>
      </c>
      <c r="D858" s="62">
        <v>135.06542577407296</v>
      </c>
      <c r="E858" s="62">
        <v>70575308.798454985</v>
      </c>
      <c r="F858" s="62" t="s">
        <v>905</v>
      </c>
      <c r="G858" s="25">
        <f t="shared" si="13"/>
        <v>-1.1731169827869814E-2</v>
      </c>
    </row>
    <row r="859" spans="1:7">
      <c r="A859" s="62">
        <v>134.20161517178289</v>
      </c>
      <c r="B859" s="62">
        <v>135.53435152960182</v>
      </c>
      <c r="C859" s="62">
        <v>132.4147612401886</v>
      </c>
      <c r="D859" s="62">
        <v>133.10580972202067</v>
      </c>
      <c r="E859" s="62">
        <v>64471075.57762976</v>
      </c>
      <c r="F859" s="62" t="s">
        <v>906</v>
      </c>
      <c r="G859" s="25">
        <f t="shared" si="13"/>
        <v>8.2325891863828105E-3</v>
      </c>
    </row>
    <row r="860" spans="1:7">
      <c r="A860" s="62">
        <v>133.03670487383744</v>
      </c>
      <c r="B860" s="62">
        <v>133.19465881254192</v>
      </c>
      <c r="C860" s="62">
        <v>129.97634731143839</v>
      </c>
      <c r="D860" s="62">
        <v>130.34161579469247</v>
      </c>
      <c r="E860" s="62">
        <v>58558559.006913893</v>
      </c>
      <c r="F860" s="62" t="s">
        <v>907</v>
      </c>
      <c r="G860" s="25">
        <f t="shared" si="13"/>
        <v>2.0677118836627928E-2</v>
      </c>
    </row>
    <row r="861" spans="1:7">
      <c r="A861" s="62">
        <v>131.70396851601851</v>
      </c>
      <c r="B861" s="62">
        <v>132.54309881538597</v>
      </c>
      <c r="C861" s="62">
        <v>129.75916064571976</v>
      </c>
      <c r="D861" s="62">
        <v>132.16795821096287</v>
      </c>
      <c r="E861" s="62">
        <v>72304266.507518291</v>
      </c>
      <c r="F861" s="62" t="s">
        <v>908</v>
      </c>
      <c r="G861" s="25">
        <f t="shared" si="13"/>
        <v>-3.5106065132953779E-3</v>
      </c>
    </row>
    <row r="862" spans="1:7">
      <c r="A862" s="62">
        <v>131.78294548537076</v>
      </c>
      <c r="B862" s="62">
        <v>131.80268972770878</v>
      </c>
      <c r="C862" s="62">
        <v>128.79169277115491</v>
      </c>
      <c r="D862" s="62">
        <v>129.57159034350821</v>
      </c>
      <c r="E862" s="62">
        <v>70358687.672824055</v>
      </c>
      <c r="F862" s="62" t="s">
        <v>909</v>
      </c>
      <c r="G862" s="25">
        <f t="shared" si="13"/>
        <v>1.7066666666666785E-2</v>
      </c>
    </row>
    <row r="863" spans="1:7">
      <c r="A863" s="62">
        <v>129.05824004271867</v>
      </c>
      <c r="B863" s="62">
        <v>129.58501642829808</v>
      </c>
      <c r="C863" s="62">
        <v>126.48161641760207</v>
      </c>
      <c r="D863" s="62">
        <v>128.59425034777431</v>
      </c>
      <c r="E863" s="62">
        <v>64723835.846398361</v>
      </c>
      <c r="F863" s="62" t="s">
        <v>910</v>
      </c>
      <c r="G863" s="25">
        <f t="shared" si="13"/>
        <v>3.6081682788269287E-3</v>
      </c>
    </row>
    <row r="864" spans="1:7">
      <c r="A864" s="62">
        <v>128.48565701491501</v>
      </c>
      <c r="B864" s="62">
        <v>131.70396851601851</v>
      </c>
      <c r="C864" s="62">
        <v>128.22898186452022</v>
      </c>
      <c r="D864" s="62">
        <v>128.79662883173941</v>
      </c>
      <c r="E864" s="62">
        <v>71707804.014890775</v>
      </c>
      <c r="F864" s="62" t="s">
        <v>911</v>
      </c>
      <c r="G864" s="25">
        <f t="shared" si="13"/>
        <v>-2.4144406545816288E-3</v>
      </c>
    </row>
    <row r="865" spans="1:7">
      <c r="A865" s="62">
        <v>127.96243459295646</v>
      </c>
      <c r="B865" s="62">
        <v>128.62386671128138</v>
      </c>
      <c r="C865" s="62">
        <v>123.29292128000564</v>
      </c>
      <c r="D865" s="62">
        <v>124.39859885093691</v>
      </c>
      <c r="E865" s="62">
        <v>88891448.451123103</v>
      </c>
      <c r="F865" s="62" t="s">
        <v>912</v>
      </c>
      <c r="G865" s="25">
        <f t="shared" si="13"/>
        <v>2.8648519958733409E-2</v>
      </c>
    </row>
    <row r="866" spans="1:7">
      <c r="A866" s="62">
        <v>123.42125885520301</v>
      </c>
      <c r="B866" s="62">
        <v>126.13609217668603</v>
      </c>
      <c r="C866" s="62">
        <v>123.16458370480827</v>
      </c>
      <c r="D866" s="62">
        <v>125.50427642186817</v>
      </c>
      <c r="E866" s="62">
        <v>82011460.975576445</v>
      </c>
      <c r="F866" s="62" t="s">
        <v>913</v>
      </c>
      <c r="G866" s="25">
        <f t="shared" si="13"/>
        <v>-1.6597183984897401E-2</v>
      </c>
    </row>
    <row r="867" spans="1:7">
      <c r="A867" s="62">
        <v>124.74412309185293</v>
      </c>
      <c r="B867" s="62">
        <v>127.01046594862696</v>
      </c>
      <c r="C867" s="62">
        <v>123.48049158221718</v>
      </c>
      <c r="D867" s="62">
        <v>125.26734551381148</v>
      </c>
      <c r="E867" s="62">
        <v>90267969.238026723</v>
      </c>
      <c r="F867" s="62" t="s">
        <v>914</v>
      </c>
      <c r="G867" s="25">
        <f t="shared" si="13"/>
        <v>-4.1768460871621782E-3</v>
      </c>
    </row>
    <row r="868" spans="1:7">
      <c r="A868" s="62">
        <v>123.47061946104816</v>
      </c>
      <c r="B868" s="62">
        <v>129.2260661025922</v>
      </c>
      <c r="C868" s="62">
        <v>122.58212855583554</v>
      </c>
      <c r="D868" s="62">
        <v>128.61399459011238</v>
      </c>
      <c r="E868" s="62">
        <v>113569788.17453614</v>
      </c>
      <c r="F868" s="62" t="s">
        <v>915</v>
      </c>
      <c r="G868" s="25">
        <f t="shared" si="13"/>
        <v>-3.9990789069696109E-2</v>
      </c>
    </row>
    <row r="869" spans="1:7">
      <c r="A869" s="62">
        <v>128.26847034919635</v>
      </c>
      <c r="B869" s="62">
        <v>128.2882145915344</v>
      </c>
      <c r="C869" s="62">
        <v>125.80044005693905</v>
      </c>
      <c r="D869" s="62">
        <v>126.76790793150391</v>
      </c>
      <c r="E869" s="62">
        <v>78032074.040654615</v>
      </c>
      <c r="F869" s="62" t="s">
        <v>916</v>
      </c>
      <c r="G869" s="25">
        <f t="shared" si="13"/>
        <v>1.1837084339225923E-2</v>
      </c>
    </row>
    <row r="870" spans="1:7">
      <c r="A870" s="62">
        <v>127.95256247178743</v>
      </c>
      <c r="B870" s="62">
        <v>128.81281911045662</v>
      </c>
      <c r="C870" s="62">
        <v>126.09660369200994</v>
      </c>
      <c r="D870" s="62">
        <v>126.35327884240468</v>
      </c>
      <c r="E870" s="62">
        <v>76684340.380158186</v>
      </c>
      <c r="F870" s="62" t="s">
        <v>917</v>
      </c>
      <c r="G870" s="25">
        <f t="shared" si="13"/>
        <v>1.2657238846785157E-2</v>
      </c>
    </row>
    <row r="871" spans="1:7">
      <c r="A871" s="62">
        <v>124.42821521444399</v>
      </c>
      <c r="B871" s="62">
        <v>129.3519356474973</v>
      </c>
      <c r="C871" s="62">
        <v>124.2603891545705</v>
      </c>
      <c r="D871" s="62">
        <v>128.01179519880159</v>
      </c>
      <c r="E871" s="62">
        <v>86545119.875591874</v>
      </c>
      <c r="F871" s="62" t="s">
        <v>918</v>
      </c>
      <c r="G871" s="25">
        <f t="shared" si="13"/>
        <v>-2.7994138968149951E-2</v>
      </c>
    </row>
    <row r="872" spans="1:7">
      <c r="A872" s="62">
        <v>128.36719156088665</v>
      </c>
      <c r="B872" s="62">
        <v>129.72954428221266</v>
      </c>
      <c r="C872" s="62">
        <v>127.07394368774382</v>
      </c>
      <c r="D872" s="62">
        <v>129.69992791870558</v>
      </c>
      <c r="E872" s="62">
        <v>69901725.088718787</v>
      </c>
      <c r="F872" s="62" t="s">
        <v>919</v>
      </c>
      <c r="G872" s="25">
        <f t="shared" si="13"/>
        <v>-1.0275536611356273E-2</v>
      </c>
    </row>
    <row r="873" spans="1:7">
      <c r="A873" s="62">
        <v>130.173789734819</v>
      </c>
      <c r="B873" s="62">
        <v>130.72169245970011</v>
      </c>
      <c r="C873" s="62">
        <v>127.98217883529449</v>
      </c>
      <c r="D873" s="62">
        <v>129.24581034493022</v>
      </c>
      <c r="E873" s="62">
        <v>64641521.21653448</v>
      </c>
      <c r="F873" s="62" t="s">
        <v>920</v>
      </c>
      <c r="G873" s="25">
        <f t="shared" si="13"/>
        <v>7.1799572257869038E-3</v>
      </c>
    </row>
    <row r="874" spans="1:7">
      <c r="A874" s="62">
        <v>130.53905821807305</v>
      </c>
      <c r="B874" s="62">
        <v>132.83926245045686</v>
      </c>
      <c r="C874" s="62">
        <v>128.63373883245043</v>
      </c>
      <c r="D874" s="62">
        <v>132.63392233014108</v>
      </c>
      <c r="E874" s="62">
        <v>78860567.720985353</v>
      </c>
      <c r="F874" s="62" t="s">
        <v>921</v>
      </c>
      <c r="G874" s="25">
        <f t="shared" si="13"/>
        <v>-1.5794331308800924E-2</v>
      </c>
    </row>
    <row r="875" spans="1:7">
      <c r="A875" s="62">
        <v>133.71788123450045</v>
      </c>
      <c r="B875" s="62">
        <v>135.06048971348844</v>
      </c>
      <c r="C875" s="62">
        <v>131.05240851886259</v>
      </c>
      <c r="D875" s="62">
        <v>131.27946730575025</v>
      </c>
      <c r="E875" s="62">
        <v>87041063.950443774</v>
      </c>
      <c r="F875" s="62" t="s">
        <v>922</v>
      </c>
      <c r="G875" s="25">
        <f t="shared" si="13"/>
        <v>1.8574221687471804E-2</v>
      </c>
    </row>
    <row r="876" spans="1:7">
      <c r="A876" s="62">
        <v>130.60816306625628</v>
      </c>
      <c r="B876" s="62">
        <v>131.54601457731405</v>
      </c>
      <c r="C876" s="62">
        <v>128.22898186452022</v>
      </c>
      <c r="D876" s="62">
        <v>129.70980003987461</v>
      </c>
      <c r="E876" s="62">
        <v>78435847.447782665</v>
      </c>
      <c r="F876" s="62" t="s">
        <v>923</v>
      </c>
      <c r="G876" s="25">
        <f t="shared" si="13"/>
        <v>6.9259456579648937E-3</v>
      </c>
    </row>
    <row r="877" spans="1:7">
      <c r="A877" s="62">
        <v>130.67726791443948</v>
      </c>
      <c r="B877" s="62">
        <v>133.47107820527472</v>
      </c>
      <c r="C877" s="62">
        <v>129.64069519169141</v>
      </c>
      <c r="D877" s="62">
        <v>133.3822291147535</v>
      </c>
      <c r="E877" s="62">
        <v>80623619.420006543</v>
      </c>
      <c r="F877" s="62" t="s">
        <v>924</v>
      </c>
      <c r="G877" s="25">
        <f t="shared" si="13"/>
        <v>-2.027977203759912E-2</v>
      </c>
    </row>
    <row r="878" spans="1:7">
      <c r="A878" s="62">
        <v>132.78990184461171</v>
      </c>
      <c r="B878" s="62">
        <v>135.88974789168691</v>
      </c>
      <c r="C878" s="62">
        <v>132.01987639342744</v>
      </c>
      <c r="D878" s="62">
        <v>134.93708819887559</v>
      </c>
      <c r="E878" s="62">
        <v>162231497.42371881</v>
      </c>
      <c r="F878" s="62" t="s">
        <v>925</v>
      </c>
      <c r="G878" s="25">
        <f t="shared" si="13"/>
        <v>-1.591249954274454E-2</v>
      </c>
    </row>
    <row r="879" spans="1:7">
      <c r="A879" s="62">
        <v>134.75445395724853</v>
      </c>
      <c r="B879" s="62">
        <v>139.986678176834</v>
      </c>
      <c r="C879" s="62">
        <v>134.28552820171964</v>
      </c>
      <c r="D879" s="62">
        <v>139.30550181617102</v>
      </c>
      <c r="E879" s="62">
        <v>100213424.55800585</v>
      </c>
      <c r="F879" s="62" t="s">
        <v>926</v>
      </c>
      <c r="G879" s="25">
        <f t="shared" si="13"/>
        <v>-3.2669548579122853E-2</v>
      </c>
    </row>
    <row r="880" spans="1:7">
      <c r="A880" s="62">
        <v>141.37864726166714</v>
      </c>
      <c r="B880" s="62">
        <v>144.7795930043977</v>
      </c>
      <c r="C880" s="62">
        <v>139.35486242201614</v>
      </c>
      <c r="D880" s="62">
        <v>143.49128119183936</v>
      </c>
      <c r="E880" s="62">
        <v>83357143.405171901</v>
      </c>
      <c r="F880" s="62" t="s">
        <v>927</v>
      </c>
      <c r="G880" s="25">
        <f t="shared" si="13"/>
        <v>-1.4723082215342131E-2</v>
      </c>
    </row>
    <row r="881" spans="1:7">
      <c r="A881" s="62">
        <v>143.60974664586772</v>
      </c>
      <c r="B881" s="62">
        <v>148.05141140223733</v>
      </c>
      <c r="C881" s="62">
        <v>142.39547574207714</v>
      </c>
      <c r="D881" s="62">
        <v>147.58821147698649</v>
      </c>
      <c r="E881" s="62">
        <v>95102318.329053253</v>
      </c>
      <c r="F881" s="62" t="s">
        <v>928</v>
      </c>
      <c r="G881" s="25">
        <f t="shared" si="13"/>
        <v>-2.6956521739130435E-2</v>
      </c>
    </row>
    <row r="882" spans="1:7">
      <c r="A882" s="62">
        <v>142.64227877130287</v>
      </c>
      <c r="B882" s="62">
        <v>142.65215089247189</v>
      </c>
      <c r="C882" s="62">
        <v>139.25614121032584</v>
      </c>
      <c r="D882" s="62">
        <v>140.87516908204663</v>
      </c>
      <c r="E882" s="62">
        <v>71375394.196999252</v>
      </c>
      <c r="F882" s="62" t="s">
        <v>929</v>
      </c>
      <c r="G882" s="25">
        <f t="shared" si="13"/>
        <v>1.2543798177995891E-2</v>
      </c>
    </row>
    <row r="883" spans="1:7">
      <c r="A883" s="62">
        <v>140.34207453891906</v>
      </c>
      <c r="B883" s="62">
        <v>143.70846785755802</v>
      </c>
      <c r="C883" s="62">
        <v>139.09818727162138</v>
      </c>
      <c r="D883" s="62">
        <v>140.51977271996159</v>
      </c>
      <c r="E883" s="62">
        <v>77082736.016988352</v>
      </c>
      <c r="F883" s="62" t="s">
        <v>930</v>
      </c>
      <c r="G883" s="25">
        <f t="shared" si="13"/>
        <v>-1.2645777715329931E-3</v>
      </c>
    </row>
    <row r="884" spans="1:7">
      <c r="A884" s="62">
        <v>140.8258084762015</v>
      </c>
      <c r="B884" s="62">
        <v>141.68468301790705</v>
      </c>
      <c r="C884" s="62">
        <v>139.29562969500196</v>
      </c>
      <c r="D884" s="62">
        <v>140.53951696229964</v>
      </c>
      <c r="E884" s="62">
        <v>62933119.373482697</v>
      </c>
      <c r="F884" s="62" t="s">
        <v>931</v>
      </c>
      <c r="G884" s="25">
        <f t="shared" si="13"/>
        <v>2.0370890699634714E-3</v>
      </c>
    </row>
    <row r="885" spans="1:7">
      <c r="A885" s="62">
        <v>139.13767575629748</v>
      </c>
      <c r="B885" s="62">
        <v>141.53660120037159</v>
      </c>
      <c r="C885" s="62">
        <v>138.20969636640876</v>
      </c>
      <c r="D885" s="62">
        <v>140.37169090242614</v>
      </c>
      <c r="E885" s="62">
        <v>70624228.376297593</v>
      </c>
      <c r="F885" s="62" t="s">
        <v>932</v>
      </c>
      <c r="G885" s="25">
        <f t="shared" si="13"/>
        <v>-8.7910542232224609E-3</v>
      </c>
    </row>
    <row r="886" spans="1:7">
      <c r="A886" s="62">
        <v>141.08248362659626</v>
      </c>
      <c r="B886" s="62">
        <v>145.41634481980009</v>
      </c>
      <c r="C886" s="62">
        <v>140.10514363086236</v>
      </c>
      <c r="D886" s="62">
        <v>145.1942220934969</v>
      </c>
      <c r="E886" s="62">
        <v>65565631.632502675</v>
      </c>
      <c r="F886" s="62" t="s">
        <v>933</v>
      </c>
      <c r="G886" s="25">
        <f t="shared" si="13"/>
        <v>-2.8318884922658438E-2</v>
      </c>
    </row>
    <row r="887" spans="1:7">
      <c r="A887" s="62">
        <v>144.75491270147509</v>
      </c>
      <c r="B887" s="62">
        <v>148.98995396177696</v>
      </c>
      <c r="C887" s="62">
        <v>143.9059102809386</v>
      </c>
      <c r="D887" s="62">
        <v>145.88033451474445</v>
      </c>
      <c r="E887" s="62">
        <v>69717987.473575801</v>
      </c>
      <c r="F887" s="62" t="s">
        <v>934</v>
      </c>
      <c r="G887" s="25">
        <f t="shared" si="13"/>
        <v>-7.7146917506938362E-3</v>
      </c>
    </row>
    <row r="888" spans="1:7">
      <c r="A888" s="62">
        <v>145.91982299942055</v>
      </c>
      <c r="B888" s="62">
        <v>146.1073933016321</v>
      </c>
      <c r="C888" s="62">
        <v>143.78744482691025</v>
      </c>
      <c r="D888" s="62">
        <v>144.09348058315015</v>
      </c>
      <c r="E888" s="62">
        <v>66295221.542986758</v>
      </c>
      <c r="F888" s="62" t="s">
        <v>935</v>
      </c>
      <c r="G888" s="25">
        <f t="shared" si="13"/>
        <v>1.2674705398739272E-2</v>
      </c>
    </row>
    <row r="889" spans="1:7">
      <c r="A889" s="62">
        <v>146.41342905787201</v>
      </c>
      <c r="B889" s="62">
        <v>147.2229429937324</v>
      </c>
      <c r="C889" s="62">
        <v>144.73516845913707</v>
      </c>
      <c r="D889" s="62">
        <v>146.31470784618173</v>
      </c>
      <c r="E889" s="62">
        <v>72173360.496755958</v>
      </c>
      <c r="F889" s="62" t="s">
        <v>936</v>
      </c>
      <c r="G889" s="25">
        <f t="shared" si="13"/>
        <v>6.7471830510745789E-4</v>
      </c>
    </row>
    <row r="890" spans="1:7">
      <c r="A890" s="62">
        <v>146.1370096651392</v>
      </c>
      <c r="B890" s="62">
        <v>146.81818602580222</v>
      </c>
      <c r="C890" s="62">
        <v>138.75266303070538</v>
      </c>
      <c r="D890" s="62">
        <v>139.58685726948835</v>
      </c>
      <c r="E890" s="62">
        <v>112823655.71993172</v>
      </c>
      <c r="F890" s="62" t="s">
        <v>937</v>
      </c>
      <c r="G890" s="25">
        <f t="shared" si="13"/>
        <v>4.6925280243290013E-2</v>
      </c>
    </row>
    <row r="891" spans="1:7">
      <c r="A891" s="62">
        <v>139.36473454318516</v>
      </c>
      <c r="B891" s="62">
        <v>142.9581866487118</v>
      </c>
      <c r="C891" s="62">
        <v>138.56015666790927</v>
      </c>
      <c r="D891" s="62">
        <v>142.44483634792226</v>
      </c>
      <c r="E891" s="62">
        <v>84848840.047449648</v>
      </c>
      <c r="F891" s="62" t="s">
        <v>938</v>
      </c>
      <c r="G891" s="25">
        <f t="shared" si="13"/>
        <v>-2.1623120105343285E-2</v>
      </c>
    </row>
    <row r="892" spans="1:7">
      <c r="A892" s="62">
        <v>142.37573149973906</v>
      </c>
      <c r="B892" s="62">
        <v>144.76478482264412</v>
      </c>
      <c r="C892" s="62">
        <v>141.54647332154062</v>
      </c>
      <c r="D892" s="62">
        <v>143.28396664728976</v>
      </c>
      <c r="E892" s="62">
        <v>70244804.346155927</v>
      </c>
      <c r="F892" s="62" t="s">
        <v>939</v>
      </c>
      <c r="G892" s="25">
        <f t="shared" ref="G892:G955" si="14">A892/D892-1</f>
        <v>-6.3387074548711952E-3</v>
      </c>
    </row>
    <row r="893" spans="1:7">
      <c r="A893" s="62">
        <v>146.21598663449146</v>
      </c>
      <c r="B893" s="62">
        <v>146.97613996450667</v>
      </c>
      <c r="C893" s="62">
        <v>145.23864663875756</v>
      </c>
      <c r="D893" s="62">
        <v>146.40849299728751</v>
      </c>
      <c r="E893" s="62">
        <v>35651770.675603539</v>
      </c>
      <c r="F893" s="62" t="s">
        <v>940</v>
      </c>
      <c r="G893" s="25">
        <f t="shared" si="14"/>
        <v>-1.3148578942043798E-3</v>
      </c>
    </row>
    <row r="894" spans="1:7">
      <c r="A894" s="62">
        <v>149.13813450052407</v>
      </c>
      <c r="B894" s="62">
        <v>149.88841570937029</v>
      </c>
      <c r="C894" s="62">
        <v>147.43025753828204</v>
      </c>
      <c r="D894" s="62">
        <v>147.53885087114134</v>
      </c>
      <c r="E894" s="62">
        <v>59056603.947389796</v>
      </c>
      <c r="F894" s="62" t="s">
        <v>941</v>
      </c>
      <c r="G894" s="25">
        <f t="shared" si="14"/>
        <v>1.0839745734359418E-2</v>
      </c>
    </row>
    <row r="895" spans="1:7">
      <c r="A895" s="62">
        <v>148.25951571648048</v>
      </c>
      <c r="B895" s="62">
        <v>148.49644662453716</v>
      </c>
      <c r="C895" s="62">
        <v>145.04614027596148</v>
      </c>
      <c r="D895" s="62">
        <v>146.23573087682948</v>
      </c>
      <c r="E895" s="62">
        <v>52475178.447484866</v>
      </c>
      <c r="F895" s="62" t="s">
        <v>942</v>
      </c>
      <c r="G895" s="25">
        <f t="shared" si="14"/>
        <v>1.3839195301424523E-2</v>
      </c>
    </row>
    <row r="896" spans="1:7">
      <c r="A896" s="62">
        <v>146.11726542280113</v>
      </c>
      <c r="B896" s="62">
        <v>148.44708601869203</v>
      </c>
      <c r="C896" s="62">
        <v>145.82603784831477</v>
      </c>
      <c r="D896" s="62">
        <v>148.2397714741424</v>
      </c>
      <c r="E896" s="62">
        <v>59484754.081249595</v>
      </c>
      <c r="F896" s="62" t="s">
        <v>943</v>
      </c>
      <c r="G896" s="25">
        <f t="shared" si="14"/>
        <v>-1.4318060735215798E-2</v>
      </c>
    </row>
    <row r="897" spans="1:7">
      <c r="A897" s="62">
        <v>149.3553211662427</v>
      </c>
      <c r="B897" s="62">
        <v>150.74729025107581</v>
      </c>
      <c r="C897" s="62">
        <v>148.05220117193085</v>
      </c>
      <c r="D897" s="62">
        <v>150.35734146489918</v>
      </c>
      <c r="E897" s="62">
        <v>75798880.219131857</v>
      </c>
      <c r="F897" s="62" t="s">
        <v>944</v>
      </c>
      <c r="G897" s="25">
        <f t="shared" si="14"/>
        <v>-6.6642592167034387E-3</v>
      </c>
    </row>
    <row r="898" spans="1:7">
      <c r="A898" s="62">
        <v>148.79261025960804</v>
      </c>
      <c r="B898" s="62">
        <v>149.54289146845426</v>
      </c>
      <c r="C898" s="62">
        <v>144.28105088536171</v>
      </c>
      <c r="D898" s="62">
        <v>144.55747027809454</v>
      </c>
      <c r="E898" s="62">
        <v>81430726.612430066</v>
      </c>
      <c r="F898" s="62" t="s">
        <v>945</v>
      </c>
      <c r="G898" s="25">
        <f t="shared" si="14"/>
        <v>2.9297275148534974E-2</v>
      </c>
    </row>
    <row r="899" spans="1:7">
      <c r="A899" s="62">
        <v>146.88729087398542</v>
      </c>
      <c r="B899" s="62">
        <v>147.95347996024057</v>
      </c>
      <c r="C899" s="62">
        <v>145.40647269863103</v>
      </c>
      <c r="D899" s="62">
        <v>147.2229429937324</v>
      </c>
      <c r="E899" s="62">
        <v>65050119.321332328</v>
      </c>
      <c r="F899" s="62" t="s">
        <v>946</v>
      </c>
      <c r="G899" s="25">
        <f t="shared" si="14"/>
        <v>-2.2798900288337753E-3</v>
      </c>
    </row>
    <row r="900" spans="1:7">
      <c r="A900" s="62">
        <v>148.12130602011405</v>
      </c>
      <c r="B900" s="62">
        <v>151.62590903511943</v>
      </c>
      <c r="C900" s="62">
        <v>146.66151546284971</v>
      </c>
      <c r="D900" s="62">
        <v>150.26849237437793</v>
      </c>
      <c r="E900" s="62">
        <v>91032444.255176678</v>
      </c>
      <c r="F900" s="62" t="s">
        <v>947</v>
      </c>
      <c r="G900" s="25">
        <f t="shared" si="14"/>
        <v>-1.4288999113096779E-2</v>
      </c>
    </row>
    <row r="901" spans="1:7">
      <c r="A901" s="62">
        <v>146.38381269436493</v>
      </c>
      <c r="B901" s="62">
        <v>148.35823692817075</v>
      </c>
      <c r="C901" s="62">
        <v>145.54468239499747</v>
      </c>
      <c r="D901" s="62">
        <v>147.06498905502795</v>
      </c>
      <c r="E901" s="62">
        <v>74324567.885358989</v>
      </c>
      <c r="F901" s="62" t="s">
        <v>948</v>
      </c>
      <c r="G901" s="25">
        <f t="shared" si="14"/>
        <v>-4.6318050614218009E-3</v>
      </c>
    </row>
    <row r="902" spans="1:7">
      <c r="A902" s="62">
        <v>147.78565390036707</v>
      </c>
      <c r="B902" s="62">
        <v>148.09168965660697</v>
      </c>
      <c r="C902" s="62">
        <v>142.52381331727452</v>
      </c>
      <c r="D902" s="62">
        <v>143.95527088678375</v>
      </c>
      <c r="E902" s="62">
        <v>95197033.536047816</v>
      </c>
      <c r="F902" s="62" t="s">
        <v>949</v>
      </c>
      <c r="G902" s="25">
        <f t="shared" si="14"/>
        <v>2.6608147030585672E-2</v>
      </c>
    </row>
    <row r="903" spans="1:7">
      <c r="A903" s="62">
        <v>144.99184360953183</v>
      </c>
      <c r="B903" s="62">
        <v>144.99184360953183</v>
      </c>
      <c r="C903" s="62">
        <v>137.7160903079573</v>
      </c>
      <c r="D903" s="62">
        <v>139.43383939136839</v>
      </c>
      <c r="E903" s="62">
        <v>120393607.37676993</v>
      </c>
      <c r="F903" s="62" t="s">
        <v>950</v>
      </c>
      <c r="G903" s="25">
        <f t="shared" si="14"/>
        <v>3.9861229113565599E-2</v>
      </c>
    </row>
    <row r="904" spans="1:7">
      <c r="A904" s="62">
        <v>133.14529820669676</v>
      </c>
      <c r="B904" s="62">
        <v>136.77823879689953</v>
      </c>
      <c r="C904" s="62">
        <v>132.87213661394975</v>
      </c>
      <c r="D904" s="62">
        <v>136.72887819105438</v>
      </c>
      <c r="E904" s="62">
        <v>75888243.992620334</v>
      </c>
      <c r="F904" s="62" t="s">
        <v>951</v>
      </c>
      <c r="G904" s="25">
        <f t="shared" si="14"/>
        <v>-2.6209386281588531E-2</v>
      </c>
    </row>
    <row r="905" spans="1:7">
      <c r="A905" s="62">
        <v>137.7160903079573</v>
      </c>
      <c r="B905" s="62">
        <v>139.62140969357992</v>
      </c>
      <c r="C905" s="62">
        <v>135.73179395298243</v>
      </c>
      <c r="D905" s="62">
        <v>138.61445333433895</v>
      </c>
      <c r="E905" s="62">
        <v>91073109.274692386</v>
      </c>
      <c r="F905" s="62" t="s">
        <v>952</v>
      </c>
      <c r="G905" s="25">
        <f t="shared" si="14"/>
        <v>-6.481019870379523E-3</v>
      </c>
    </row>
    <row r="906" spans="1:7">
      <c r="A906" s="62">
        <v>137.14350728015359</v>
      </c>
      <c r="B906" s="62">
        <v>137.36563000645677</v>
      </c>
      <c r="C906" s="62">
        <v>133.93605511233599</v>
      </c>
      <c r="D906" s="62">
        <v>135.35665334855932</v>
      </c>
      <c r="E906" s="62">
        <v>84454623.856889799</v>
      </c>
      <c r="F906" s="62" t="s">
        <v>953</v>
      </c>
      <c r="G906" s="25">
        <f t="shared" si="14"/>
        <v>1.3201079425278817E-2</v>
      </c>
    </row>
    <row r="907" spans="1:7">
      <c r="A907" s="62">
        <v>136.61041273702602</v>
      </c>
      <c r="B907" s="62">
        <v>140.84555271853952</v>
      </c>
      <c r="C907" s="62">
        <v>132.66156426941433</v>
      </c>
      <c r="D907" s="62">
        <v>140.27296969073586</v>
      </c>
      <c r="E907" s="62">
        <v>142638844.8733429</v>
      </c>
      <c r="F907" s="62" t="s">
        <v>954</v>
      </c>
      <c r="G907" s="25">
        <f t="shared" si="14"/>
        <v>-2.6110211837567787E-2</v>
      </c>
    </row>
    <row r="908" spans="1:7">
      <c r="A908" s="62">
        <v>137.10401879547749</v>
      </c>
      <c r="B908" s="62">
        <v>140.97389029373693</v>
      </c>
      <c r="C908" s="62">
        <v>136.97568122028011</v>
      </c>
      <c r="D908" s="62">
        <v>140.24335332722876</v>
      </c>
      <c r="E908" s="62">
        <v>99186906.56592609</v>
      </c>
      <c r="F908" s="62" t="s">
        <v>955</v>
      </c>
      <c r="G908" s="25">
        <f t="shared" si="14"/>
        <v>-2.2384907785442665E-2</v>
      </c>
    </row>
    <row r="909" spans="1:7">
      <c r="A909" s="62">
        <v>143.17537331443043</v>
      </c>
      <c r="B909" s="62">
        <v>150.22406782911727</v>
      </c>
      <c r="C909" s="62">
        <v>143.14575695092336</v>
      </c>
      <c r="D909" s="62">
        <v>147.04030875210537</v>
      </c>
      <c r="E909" s="62">
        <v>94817133.41774641</v>
      </c>
      <c r="F909" s="62" t="s">
        <v>956</v>
      </c>
      <c r="G909" s="25">
        <f t="shared" si="14"/>
        <v>-2.628487025412074E-2</v>
      </c>
    </row>
    <row r="910" spans="1:7">
      <c r="A910" s="62">
        <v>148.72350541142484</v>
      </c>
      <c r="B910" s="62">
        <v>153.46212357255885</v>
      </c>
      <c r="C910" s="62">
        <v>147.2229429937324</v>
      </c>
      <c r="D910" s="62">
        <v>153.0968550893048</v>
      </c>
      <c r="E910" s="62">
        <v>81420541.364672422</v>
      </c>
      <c r="F910" s="62" t="s">
        <v>957</v>
      </c>
      <c r="G910" s="25">
        <f t="shared" si="14"/>
        <v>-2.8565901470209099E-2</v>
      </c>
    </row>
    <row r="911" spans="1:7">
      <c r="A911" s="62">
        <v>151.3791060058937</v>
      </c>
      <c r="B911" s="62">
        <v>152.26759691110632</v>
      </c>
      <c r="C911" s="62">
        <v>149.97726479989154</v>
      </c>
      <c r="D911" s="62">
        <v>151.19647176426665</v>
      </c>
      <c r="E911" s="62">
        <v>99211880.935241327</v>
      </c>
      <c r="F911" s="62" t="s">
        <v>958</v>
      </c>
      <c r="G911" s="25">
        <f t="shared" si="14"/>
        <v>1.2079266102968944E-3</v>
      </c>
    </row>
    <row r="912" spans="1:7">
      <c r="A912" s="62">
        <v>153.74841508646071</v>
      </c>
      <c r="B912" s="62">
        <v>155.48590841220985</v>
      </c>
      <c r="C912" s="62">
        <v>145.92969512058957</v>
      </c>
      <c r="D912" s="62">
        <v>146.30483572501268</v>
      </c>
      <c r="E912" s="62">
        <v>166896625.53666002</v>
      </c>
      <c r="F912" s="62" t="s">
        <v>959</v>
      </c>
      <c r="G912" s="25">
        <f t="shared" si="14"/>
        <v>5.0877192982456299E-2</v>
      </c>
    </row>
    <row r="913" spans="1:7">
      <c r="A913" s="62">
        <v>142.94831452754278</v>
      </c>
      <c r="B913" s="62">
        <v>147.14001717591256</v>
      </c>
      <c r="C913" s="62">
        <v>142.28688240921781</v>
      </c>
      <c r="D913" s="62">
        <v>146.1764981498153</v>
      </c>
      <c r="E913" s="62">
        <v>110594418.49490239</v>
      </c>
      <c r="F913" s="62" t="s">
        <v>960</v>
      </c>
      <c r="G913" s="25">
        <f t="shared" si="14"/>
        <v>-2.2084149388802432E-2</v>
      </c>
    </row>
    <row r="914" spans="1:7">
      <c r="A914" s="62">
        <v>147.44012965945103</v>
      </c>
      <c r="B914" s="62">
        <v>150.04636964807477</v>
      </c>
      <c r="C914" s="62">
        <v>146.14688178630823</v>
      </c>
      <c r="D914" s="62">
        <v>149.02954116766475</v>
      </c>
      <c r="E914" s="62">
        <v>89581732.725730538</v>
      </c>
      <c r="F914" s="62" t="s">
        <v>961</v>
      </c>
      <c r="G914" s="25">
        <f t="shared" si="14"/>
        <v>-1.0665076841547494E-2</v>
      </c>
    </row>
    <row r="915" spans="1:7">
      <c r="A915" s="62">
        <v>150.39189388899078</v>
      </c>
      <c r="B915" s="62">
        <v>150.53997570652623</v>
      </c>
      <c r="C915" s="62">
        <v>147.45000178062008</v>
      </c>
      <c r="D915" s="62">
        <v>148.17066662595923</v>
      </c>
      <c r="E915" s="62">
        <v>75700337.060742348</v>
      </c>
      <c r="F915" s="62" t="s">
        <v>962</v>
      </c>
      <c r="G915" s="25">
        <f t="shared" si="14"/>
        <v>1.4991005396761903E-2</v>
      </c>
    </row>
    <row r="916" spans="1:7">
      <c r="A916" s="62">
        <v>147.53885087114134</v>
      </c>
      <c r="B916" s="62">
        <v>148.3088763223256</v>
      </c>
      <c r="C916" s="62">
        <v>144.13296906782628</v>
      </c>
      <c r="D916" s="62">
        <v>145.30281542635623</v>
      </c>
      <c r="E916" s="62">
        <v>76966152.156205654</v>
      </c>
      <c r="F916" s="62" t="s">
        <v>963</v>
      </c>
      <c r="G916" s="25">
        <f t="shared" si="14"/>
        <v>1.5388796412677763E-2</v>
      </c>
    </row>
    <row r="917" spans="1:7">
      <c r="A917" s="62">
        <v>145.38672845629299</v>
      </c>
      <c r="B917" s="62">
        <v>145.95723833865119</v>
      </c>
      <c r="C917" s="62">
        <v>140.82482126408459</v>
      </c>
      <c r="D917" s="62">
        <v>141.04299514192013</v>
      </c>
      <c r="E917" s="62">
        <v>87669719.119250849</v>
      </c>
      <c r="F917" s="62" t="s">
        <v>964</v>
      </c>
      <c r="G917" s="25">
        <f t="shared" si="14"/>
        <v>3.079722824945752E-2</v>
      </c>
    </row>
    <row r="918" spans="1:7">
      <c r="A918" s="62">
        <v>141.55634544270964</v>
      </c>
      <c r="B918" s="62">
        <v>144.02437573496692</v>
      </c>
      <c r="C918" s="62">
        <v>140.8258084762015</v>
      </c>
      <c r="D918" s="62">
        <v>141.19107695945559</v>
      </c>
      <c r="E918" s="62">
        <v>65357776.606731981</v>
      </c>
      <c r="F918" s="62" t="s">
        <v>965</v>
      </c>
      <c r="G918" s="25">
        <f t="shared" si="14"/>
        <v>2.5870507621310601E-3</v>
      </c>
    </row>
    <row r="919" spans="1:7">
      <c r="A919" s="62">
        <v>142.02033513765403</v>
      </c>
      <c r="B919" s="62">
        <v>143.09560657538466</v>
      </c>
      <c r="C919" s="62">
        <v>139.69051454176312</v>
      </c>
      <c r="D919" s="62">
        <v>139.87808484397468</v>
      </c>
      <c r="E919" s="62">
        <v>62558328.592793383</v>
      </c>
      <c r="F919" s="62" t="s">
        <v>966</v>
      </c>
      <c r="G919" s="25">
        <f t="shared" si="14"/>
        <v>1.531512456771833E-2</v>
      </c>
    </row>
    <row r="920" spans="1:7">
      <c r="A920" s="62">
        <v>141.9117418047947</v>
      </c>
      <c r="B920" s="62">
        <v>144.82401754965829</v>
      </c>
      <c r="C920" s="62">
        <v>138.81189575771955</v>
      </c>
      <c r="D920" s="62">
        <v>143.62949088820579</v>
      </c>
      <c r="E920" s="62">
        <v>100420779.18473208</v>
      </c>
      <c r="F920" s="62" t="s">
        <v>967</v>
      </c>
      <c r="G920" s="25">
        <f t="shared" si="14"/>
        <v>-1.1959584851192639E-2</v>
      </c>
    </row>
    <row r="921" spans="1:7">
      <c r="A921" s="62">
        <v>140.5888775681448</v>
      </c>
      <c r="B921" s="62">
        <v>141.07261150542723</v>
      </c>
      <c r="C921" s="62">
        <v>138.47624363797254</v>
      </c>
      <c r="D921" s="62">
        <v>139.26107727091036</v>
      </c>
      <c r="E921" s="62">
        <v>86355239.710234836</v>
      </c>
      <c r="F921" s="62" t="s">
        <v>968</v>
      </c>
      <c r="G921" s="25">
        <f t="shared" si="14"/>
        <v>9.5346117038244138E-3</v>
      </c>
    </row>
    <row r="922" spans="1:7">
      <c r="A922" s="62">
        <v>136.61041273702602</v>
      </c>
      <c r="B922" s="62">
        <v>142.67189513480997</v>
      </c>
      <c r="C922" s="62">
        <v>136.42284243481447</v>
      </c>
      <c r="D922" s="62">
        <v>142.46458059026034</v>
      </c>
      <c r="E922" s="62">
        <v>89745625.568241015</v>
      </c>
      <c r="F922" s="62" t="s">
        <v>969</v>
      </c>
      <c r="G922" s="25">
        <f t="shared" si="14"/>
        <v>-4.109209341002007E-2</v>
      </c>
    </row>
    <row r="923" spans="1:7">
      <c r="A923" s="62">
        <v>141.16146059594848</v>
      </c>
      <c r="B923" s="62">
        <v>141.75378786609025</v>
      </c>
      <c r="C923" s="62">
        <v>132.65169214824533</v>
      </c>
      <c r="D923" s="62">
        <v>133.26376366072515</v>
      </c>
      <c r="E923" s="62">
        <v>114690625.30877972</v>
      </c>
      <c r="F923" s="62" t="s">
        <v>970</v>
      </c>
      <c r="G923" s="25">
        <f t="shared" si="14"/>
        <v>5.9263649159196907E-2</v>
      </c>
    </row>
    <row r="924" spans="1:7">
      <c r="A924" s="62">
        <v>136.5709242523499</v>
      </c>
      <c r="B924" s="62">
        <v>138.56509272849382</v>
      </c>
      <c r="C924" s="62">
        <v>136.39322607130737</v>
      </c>
      <c r="D924" s="62">
        <v>137.35082182470322</v>
      </c>
      <c r="E924" s="62">
        <v>71346109.710408166</v>
      </c>
      <c r="F924" s="62" t="s">
        <v>971</v>
      </c>
      <c r="G924" s="25">
        <f t="shared" si="14"/>
        <v>-5.6781427441962018E-3</v>
      </c>
    </row>
    <row r="925" spans="1:7">
      <c r="A925" s="62">
        <v>137.20274000716776</v>
      </c>
      <c r="B925" s="62">
        <v>139.54243272422769</v>
      </c>
      <c r="C925" s="62">
        <v>136.45245879832154</v>
      </c>
      <c r="D925" s="62">
        <v>138.11097515471846</v>
      </c>
      <c r="E925" s="62">
        <v>78031530.084608272</v>
      </c>
      <c r="F925" s="62" t="s">
        <v>972</v>
      </c>
      <c r="G925" s="25">
        <f t="shared" si="14"/>
        <v>-6.5761258041459048E-3</v>
      </c>
    </row>
    <row r="926" spans="1:7">
      <c r="A926" s="62">
        <v>138.62432545550797</v>
      </c>
      <c r="B926" s="62">
        <v>140.07552726735526</v>
      </c>
      <c r="C926" s="62">
        <v>136.8008459543766</v>
      </c>
      <c r="D926" s="62">
        <v>138.62432545550797</v>
      </c>
      <c r="E926" s="62">
        <v>75869208.569859371</v>
      </c>
      <c r="F926" s="62" t="s">
        <v>973</v>
      </c>
      <c r="G926" s="25">
        <f t="shared" si="14"/>
        <v>0</v>
      </c>
    </row>
    <row r="927" spans="1:7">
      <c r="A927" s="62">
        <v>138.29854545693001</v>
      </c>
      <c r="B927" s="62">
        <v>141.27005392880778</v>
      </c>
      <c r="C927" s="62">
        <v>137.66179364152762</v>
      </c>
      <c r="D927" s="62">
        <v>140.71721514334217</v>
      </c>
      <c r="E927" s="62">
        <v>87038598.421548486</v>
      </c>
      <c r="F927" s="62" t="s">
        <v>974</v>
      </c>
      <c r="G927" s="25">
        <f t="shared" si="14"/>
        <v>-1.7188157710116503E-2</v>
      </c>
    </row>
    <row r="928" spans="1:7">
      <c r="A928" s="62">
        <v>143.57025816119162</v>
      </c>
      <c r="B928" s="62">
        <v>145.65327572785677</v>
      </c>
      <c r="C928" s="62">
        <v>143.36294361664199</v>
      </c>
      <c r="D928" s="62">
        <v>143.94539876561473</v>
      </c>
      <c r="E928" s="62">
        <v>69288218.63997291</v>
      </c>
      <c r="F928" s="62" t="s">
        <v>975</v>
      </c>
      <c r="G928" s="25">
        <f t="shared" si="14"/>
        <v>-2.6061312667169378E-3</v>
      </c>
    </row>
    <row r="929" spans="1:7">
      <c r="A929" s="62">
        <v>144.52785391458744</v>
      </c>
      <c r="B929" s="62">
        <v>145.49532178915229</v>
      </c>
      <c r="C929" s="62">
        <v>141.18120483828653</v>
      </c>
      <c r="D929" s="62">
        <v>142.23258574278813</v>
      </c>
      <c r="E929" s="62">
        <v>80500397.674732968</v>
      </c>
      <c r="F929" s="62" t="s">
        <v>976</v>
      </c>
      <c r="G929" s="25">
        <f t="shared" si="14"/>
        <v>1.613742842269672E-2</v>
      </c>
    </row>
    <row r="930" spans="1:7">
      <c r="A930" s="62">
        <v>144.23169027951656</v>
      </c>
      <c r="B930" s="62">
        <v>144.35015573354491</v>
      </c>
      <c r="C930" s="62">
        <v>142.41521998441519</v>
      </c>
      <c r="D930" s="62">
        <v>143.17537331443043</v>
      </c>
      <c r="E930" s="62">
        <v>88967773.486756161</v>
      </c>
      <c r="F930" s="62" t="s">
        <v>977</v>
      </c>
      <c r="G930" s="25">
        <f t="shared" si="14"/>
        <v>7.3777839067779016E-3</v>
      </c>
    </row>
    <row r="931" spans="1:7">
      <c r="A931" s="62">
        <v>140.62836605282089</v>
      </c>
      <c r="B931" s="62">
        <v>141.24043756530071</v>
      </c>
      <c r="C931" s="62">
        <v>135.92430031577848</v>
      </c>
      <c r="D931" s="62">
        <v>136.44258667715255</v>
      </c>
      <c r="E931" s="62">
        <v>115792402.70937757</v>
      </c>
      <c r="F931" s="62" t="s">
        <v>978</v>
      </c>
      <c r="G931" s="25">
        <f t="shared" si="14"/>
        <v>3.0677953838361693E-2</v>
      </c>
    </row>
    <row r="932" spans="1:7">
      <c r="A932" s="62">
        <v>136.43271455598349</v>
      </c>
      <c r="B932" s="62">
        <v>141.27005392880778</v>
      </c>
      <c r="C932" s="62">
        <v>136.23527213260292</v>
      </c>
      <c r="D932" s="62">
        <v>139.47332787604449</v>
      </c>
      <c r="E932" s="62">
        <v>126543497.45211332</v>
      </c>
      <c r="F932" s="62" t="s">
        <v>979</v>
      </c>
      <c r="G932" s="25">
        <f t="shared" si="14"/>
        <v>-2.1800679501698839E-2</v>
      </c>
    </row>
    <row r="933" spans="1:7">
      <c r="A933" s="62">
        <v>140.657982416328</v>
      </c>
      <c r="B933" s="62">
        <v>144.84376179199637</v>
      </c>
      <c r="C933" s="62">
        <v>138.88100060590276</v>
      </c>
      <c r="D933" s="62">
        <v>144.23169027951656</v>
      </c>
      <c r="E933" s="62">
        <v>129798079.66903311</v>
      </c>
      <c r="F933" s="62" t="s">
        <v>980</v>
      </c>
      <c r="G933" s="25">
        <f t="shared" si="14"/>
        <v>-2.4777549623545503E-2</v>
      </c>
    </row>
    <row r="934" spans="1:7">
      <c r="A934" s="62">
        <v>147.9238635967335</v>
      </c>
      <c r="B934" s="62">
        <v>148.71501538721949</v>
      </c>
      <c r="C934" s="62">
        <v>142.98780301221888</v>
      </c>
      <c r="D934" s="62">
        <v>145.75199693954704</v>
      </c>
      <c r="E934" s="62">
        <v>148591558.47904298</v>
      </c>
      <c r="F934" s="62" t="s">
        <v>981</v>
      </c>
      <c r="G934" s="25">
        <f t="shared" si="14"/>
        <v>1.4901110810078722E-2</v>
      </c>
    </row>
    <row r="935" spans="1:7">
      <c r="A935" s="62">
        <v>149.81931086118709</v>
      </c>
      <c r="B935" s="62">
        <v>152.74145872721974</v>
      </c>
      <c r="C935" s="62">
        <v>148.02752086900827</v>
      </c>
      <c r="D935" s="62">
        <v>150.78677873575197</v>
      </c>
      <c r="E935" s="62">
        <v>85536572.692111641</v>
      </c>
      <c r="F935" s="62" t="s">
        <v>982</v>
      </c>
      <c r="G935" s="25">
        <f t="shared" si="14"/>
        <v>-6.4161319890010393E-3</v>
      </c>
    </row>
    <row r="936" spans="1:7">
      <c r="A936" s="62">
        <v>148.84197086545322</v>
      </c>
      <c r="B936" s="62">
        <v>151.80370593737365</v>
      </c>
      <c r="C936" s="62">
        <v>147.72642117335289</v>
      </c>
      <c r="D936" s="62">
        <v>147.74616541569094</v>
      </c>
      <c r="E936" s="62">
        <v>94548483.959885195</v>
      </c>
      <c r="F936" s="62" t="s">
        <v>983</v>
      </c>
      <c r="G936" s="25">
        <f t="shared" si="14"/>
        <v>7.4168114392625384E-3</v>
      </c>
    </row>
    <row r="937" spans="1:7">
      <c r="A937" s="62">
        <v>148.50631874570621</v>
      </c>
      <c r="B937" s="62">
        <v>149.53301934728523</v>
      </c>
      <c r="C937" s="62">
        <v>146.66023208709774</v>
      </c>
      <c r="D937" s="62">
        <v>149.25659995455243</v>
      </c>
      <c r="E937" s="62">
        <v>97273835.435959682</v>
      </c>
      <c r="F937" s="62" t="s">
        <v>984</v>
      </c>
      <c r="G937" s="25">
        <f t="shared" si="14"/>
        <v>-5.0267874859448725E-3</v>
      </c>
    </row>
    <row r="938" spans="1:7">
      <c r="A938" s="62">
        <v>150.78677873575197</v>
      </c>
      <c r="B938" s="62">
        <v>152.49465569799401</v>
      </c>
      <c r="C938" s="62">
        <v>148.98018056181959</v>
      </c>
      <c r="D938" s="62">
        <v>150.43138237366691</v>
      </c>
      <c r="E938" s="62">
        <v>87774998.418623775</v>
      </c>
      <c r="F938" s="62" t="s">
        <v>985</v>
      </c>
      <c r="G938" s="25">
        <f t="shared" si="14"/>
        <v>2.3625147657173606E-3</v>
      </c>
    </row>
    <row r="939" spans="1:7">
      <c r="A939" s="62">
        <v>151.75424661031681</v>
      </c>
      <c r="B939" s="62">
        <v>156.71005143716948</v>
      </c>
      <c r="C939" s="62">
        <v>151.63578115628846</v>
      </c>
      <c r="D939" s="62">
        <v>155.32795447350537</v>
      </c>
      <c r="E939" s="62">
        <v>103014122.55660214</v>
      </c>
      <c r="F939" s="62" t="s">
        <v>986</v>
      </c>
      <c r="G939" s="25">
        <f t="shared" si="14"/>
        <v>-2.3007499682216825E-2</v>
      </c>
    </row>
    <row r="940" spans="1:7">
      <c r="A940" s="62">
        <v>154.89358114206809</v>
      </c>
      <c r="B940" s="62">
        <v>156.05849144001354</v>
      </c>
      <c r="C940" s="62">
        <v>151.12243085549895</v>
      </c>
      <c r="D940" s="62">
        <v>151.43833873290788</v>
      </c>
      <c r="E940" s="62">
        <v>109084759.14765336</v>
      </c>
      <c r="F940" s="62" t="s">
        <v>987</v>
      </c>
      <c r="G940" s="25">
        <f t="shared" si="14"/>
        <v>2.2816166883963485E-2</v>
      </c>
    </row>
    <row r="941" spans="1:7">
      <c r="A941" s="62">
        <v>152.50452781916303</v>
      </c>
      <c r="B941" s="62">
        <v>152.58350478851526</v>
      </c>
      <c r="C941" s="62">
        <v>147.19332663022533</v>
      </c>
      <c r="D941" s="62">
        <v>147.40064117477493</v>
      </c>
      <c r="E941" s="62">
        <v>82529625.199091837</v>
      </c>
      <c r="F941" s="62" t="s">
        <v>988</v>
      </c>
      <c r="G941" s="25">
        <f t="shared" si="14"/>
        <v>3.4625946018351117E-2</v>
      </c>
    </row>
    <row r="942" spans="1:7">
      <c r="A942" s="62">
        <v>148.77286601726999</v>
      </c>
      <c r="B942" s="62">
        <v>149.41455389325688</v>
      </c>
      <c r="C942" s="62">
        <v>146.47266178488618</v>
      </c>
      <c r="D942" s="62">
        <v>149.27634419689048</v>
      </c>
      <c r="E942" s="62">
        <v>164380925.05296728</v>
      </c>
      <c r="F942" s="62" t="s">
        <v>989</v>
      </c>
      <c r="G942" s="25">
        <f t="shared" si="14"/>
        <v>-3.3727928047087019E-3</v>
      </c>
    </row>
    <row r="943" spans="1:7">
      <c r="A943" s="62">
        <v>150.42151025249788</v>
      </c>
      <c r="B943" s="62">
        <v>153.25480902800925</v>
      </c>
      <c r="C943" s="62">
        <v>149.44417025676398</v>
      </c>
      <c r="D943" s="62">
        <v>152.67235387903654</v>
      </c>
      <c r="E943" s="62">
        <v>91653159.894205108</v>
      </c>
      <c r="F943" s="62" t="s">
        <v>990</v>
      </c>
      <c r="G943" s="25">
        <f t="shared" si="14"/>
        <v>-1.4742967992240508E-2</v>
      </c>
    </row>
    <row r="944" spans="1:7">
      <c r="A944" s="62">
        <v>153.32391387619245</v>
      </c>
      <c r="B944" s="62">
        <v>155.09102356544867</v>
      </c>
      <c r="C944" s="62">
        <v>151.64624560472762</v>
      </c>
      <c r="D944" s="62">
        <v>152.80562751481841</v>
      </c>
      <c r="E944" s="62">
        <v>89104871.682455584</v>
      </c>
      <c r="F944" s="62" t="s">
        <v>991</v>
      </c>
      <c r="G944" s="25">
        <f t="shared" si="14"/>
        <v>3.3918015311562577E-3</v>
      </c>
    </row>
    <row r="945" spans="1:7">
      <c r="A945" s="62">
        <v>151.87271206434517</v>
      </c>
      <c r="B945" s="62">
        <v>158.48703324759472</v>
      </c>
      <c r="C945" s="62">
        <v>151.40872236940081</v>
      </c>
      <c r="D945" s="62">
        <v>157.85521749277686</v>
      </c>
      <c r="E945" s="62">
        <v>124245450.29369994</v>
      </c>
      <c r="F945" s="62" t="s">
        <v>992</v>
      </c>
      <c r="G945" s="25">
        <f t="shared" si="14"/>
        <v>-3.7898686679174509E-2</v>
      </c>
    </row>
    <row r="946" spans="1:7">
      <c r="A946" s="62">
        <v>161.34007626544417</v>
      </c>
      <c r="B946" s="62">
        <v>162.15946232247359</v>
      </c>
      <c r="C946" s="62">
        <v>157.26289022263512</v>
      </c>
      <c r="D946" s="62">
        <v>157.54918173653695</v>
      </c>
      <c r="E946" s="62">
        <v>106315512.34325171</v>
      </c>
      <c r="F946" s="62" t="s">
        <v>993</v>
      </c>
      <c r="G946" s="25">
        <f t="shared" si="14"/>
        <v>2.4061657998621477E-2</v>
      </c>
    </row>
    <row r="947" spans="1:7">
      <c r="A947" s="62">
        <v>155.35757083701247</v>
      </c>
      <c r="B947" s="62">
        <v>155.80181628961878</v>
      </c>
      <c r="C947" s="62">
        <v>152.77107509072681</v>
      </c>
      <c r="D947" s="62">
        <v>153.48186781489693</v>
      </c>
      <c r="E947" s="62">
        <v>68962895.444986671</v>
      </c>
      <c r="F947" s="62" t="s">
        <v>994</v>
      </c>
      <c r="G947" s="25">
        <f t="shared" si="14"/>
        <v>1.2221007268283346E-2</v>
      </c>
    </row>
    <row r="948" spans="1:7">
      <c r="A948" s="62">
        <v>152.48478357682498</v>
      </c>
      <c r="B948" s="62">
        <v>154.36048659894053</v>
      </c>
      <c r="C948" s="62">
        <v>150.72754600873779</v>
      </c>
      <c r="D948" s="62">
        <v>152.66248175786748</v>
      </c>
      <c r="E948" s="62">
        <v>86023910.713761255</v>
      </c>
      <c r="F948" s="62" t="s">
        <v>995</v>
      </c>
      <c r="G948" s="25">
        <f t="shared" si="14"/>
        <v>-1.1639937920329135E-3</v>
      </c>
    </row>
    <row r="949" spans="1:7">
      <c r="A949" s="62">
        <v>153.96560175217937</v>
      </c>
      <c r="B949" s="62">
        <v>154.6665223551804</v>
      </c>
      <c r="C949" s="62">
        <v>151.64565327745751</v>
      </c>
      <c r="D949" s="62">
        <v>152.84511599949454</v>
      </c>
      <c r="E949" s="62">
        <v>88582354.797616005</v>
      </c>
      <c r="F949" s="62" t="s">
        <v>996</v>
      </c>
      <c r="G949" s="25">
        <f t="shared" si="14"/>
        <v>7.3308574196675469E-3</v>
      </c>
    </row>
    <row r="950" spans="1:7">
      <c r="A950" s="62">
        <v>152.55388842500818</v>
      </c>
      <c r="B950" s="62">
        <v>155.08115144427964</v>
      </c>
      <c r="C950" s="62">
        <v>151.72463024680971</v>
      </c>
      <c r="D950" s="62">
        <v>154.46907993179983</v>
      </c>
      <c r="E950" s="62">
        <v>74669710.529139459</v>
      </c>
      <c r="F950" s="62" t="s">
        <v>997</v>
      </c>
      <c r="G950" s="25">
        <f t="shared" si="14"/>
        <v>-1.2398542851664751E-2</v>
      </c>
    </row>
    <row r="951" spans="1:7">
      <c r="A951" s="62">
        <v>153.81751993464391</v>
      </c>
      <c r="B951" s="62">
        <v>158.31130949078599</v>
      </c>
      <c r="C951" s="62">
        <v>152.98332569586094</v>
      </c>
      <c r="D951" s="62">
        <v>157.7071356752414</v>
      </c>
      <c r="E951" s="62">
        <v>77954642.859765321</v>
      </c>
      <c r="F951" s="62" t="s">
        <v>998</v>
      </c>
      <c r="G951" s="25">
        <f t="shared" si="14"/>
        <v>-2.4663536776212802E-2</v>
      </c>
    </row>
    <row r="952" spans="1:7">
      <c r="A952" s="62">
        <v>155.94002598598519</v>
      </c>
      <c r="B952" s="62">
        <v>156.39414355976052</v>
      </c>
      <c r="C952" s="62">
        <v>152.69209812137458</v>
      </c>
      <c r="D952" s="62">
        <v>154.63690599167333</v>
      </c>
      <c r="E952" s="62">
        <v>75191435.284317538</v>
      </c>
      <c r="F952" s="62" t="s">
        <v>999</v>
      </c>
      <c r="G952" s="25">
        <f t="shared" si="14"/>
        <v>8.4269662921347965E-3</v>
      </c>
    </row>
    <row r="953" spans="1:7">
      <c r="A953" s="62">
        <v>155.20948901947702</v>
      </c>
      <c r="B953" s="62">
        <v>158.52652173227085</v>
      </c>
      <c r="C953" s="62">
        <v>155.13051205012479</v>
      </c>
      <c r="D953" s="62">
        <v>158.25503840012254</v>
      </c>
      <c r="E953" s="62">
        <v>89130886.355047494</v>
      </c>
      <c r="F953" s="62" t="s">
        <v>1000</v>
      </c>
      <c r="G953" s="25">
        <f t="shared" si="14"/>
        <v>-1.9244565047877638E-2</v>
      </c>
    </row>
    <row r="954" spans="1:7">
      <c r="A954" s="62">
        <v>156.87787749704296</v>
      </c>
      <c r="B954" s="62">
        <v>160.48120172373862</v>
      </c>
      <c r="C954" s="62">
        <v>155.70309507792848</v>
      </c>
      <c r="D954" s="62">
        <v>160.05670051347036</v>
      </c>
      <c r="E954" s="62">
        <v>78915357.364542082</v>
      </c>
      <c r="F954" s="62" t="s">
        <v>1001</v>
      </c>
      <c r="G954" s="25">
        <f t="shared" si="14"/>
        <v>-1.9860605686794597E-2</v>
      </c>
    </row>
    <row r="955" spans="1:7">
      <c r="A955" s="62">
        <v>159.31629142579317</v>
      </c>
      <c r="B955" s="62">
        <v>160.81685384348563</v>
      </c>
      <c r="C955" s="62">
        <v>157.7762405234246</v>
      </c>
      <c r="D955" s="62">
        <v>159.08429657832099</v>
      </c>
      <c r="E955" s="62">
        <v>74263627.587959945</v>
      </c>
      <c r="F955" s="62" t="s">
        <v>1002</v>
      </c>
      <c r="G955" s="25">
        <f t="shared" si="14"/>
        <v>1.4583139408606005E-3</v>
      </c>
    </row>
    <row r="956" spans="1:7">
      <c r="A956" s="62">
        <v>161.52764656765572</v>
      </c>
      <c r="B956" s="62">
        <v>168.86263259624442</v>
      </c>
      <c r="C956" s="62">
        <v>161.46841384064155</v>
      </c>
      <c r="D956" s="62">
        <v>168.38877078013101</v>
      </c>
      <c r="E956" s="62">
        <v>79983803.529191136</v>
      </c>
      <c r="F956" s="62" t="s">
        <v>1003</v>
      </c>
      <c r="G956" s="25">
        <f t="shared" ref="G956:G1019" si="15">A956/D956-1</f>
        <v>-4.0745734888901874E-2</v>
      </c>
    </row>
    <row r="957" spans="1:7">
      <c r="A957" s="62">
        <v>167.85567623700342</v>
      </c>
      <c r="B957" s="62">
        <v>167.96426956986275</v>
      </c>
      <c r="C957" s="62">
        <v>166.19715988060651</v>
      </c>
      <c r="D957" s="62">
        <v>166.62166109087477</v>
      </c>
      <c r="E957" s="62">
        <v>51881665.675540619</v>
      </c>
      <c r="F957" s="62" t="s">
        <v>1004</v>
      </c>
      <c r="G957" s="25">
        <f t="shared" si="15"/>
        <v>7.4060907690485234E-3</v>
      </c>
    </row>
    <row r="958" spans="1:7">
      <c r="A958" s="62">
        <v>165.38764594474614</v>
      </c>
      <c r="B958" s="62">
        <v>165.96022897254983</v>
      </c>
      <c r="C958" s="62">
        <v>164.11907837452588</v>
      </c>
      <c r="D958" s="62">
        <v>165.18033140019651</v>
      </c>
      <c r="E958" s="62">
        <v>54538961.868611932</v>
      </c>
      <c r="F958" s="62" t="s">
        <v>1005</v>
      </c>
      <c r="G958" s="25">
        <f t="shared" si="15"/>
        <v>1.2550800860626765E-3</v>
      </c>
    </row>
    <row r="959" spans="1:7">
      <c r="A959" s="62">
        <v>165.09148230967526</v>
      </c>
      <c r="B959" s="62">
        <v>166.55255624269159</v>
      </c>
      <c r="C959" s="62">
        <v>164.51889928187157</v>
      </c>
      <c r="D959" s="62">
        <v>164.94340049213983</v>
      </c>
      <c r="E959" s="62">
        <v>54848474.884881005</v>
      </c>
      <c r="F959" s="62" t="s">
        <v>1006</v>
      </c>
      <c r="G959" s="25">
        <f t="shared" si="15"/>
        <v>8.9777352166620084E-4</v>
      </c>
    </row>
    <row r="960" spans="1:7">
      <c r="A960" s="62">
        <v>165.42713442942224</v>
      </c>
      <c r="B960" s="62">
        <v>167.68785017712995</v>
      </c>
      <c r="C960" s="62">
        <v>164.99769715856948</v>
      </c>
      <c r="D960" s="62">
        <v>167.52002411725644</v>
      </c>
      <c r="E960" s="62">
        <v>69920949.933790118</v>
      </c>
      <c r="F960" s="62" t="s">
        <v>1007</v>
      </c>
      <c r="G960" s="25">
        <f t="shared" si="15"/>
        <v>-1.2493370263421566E-2</v>
      </c>
    </row>
    <row r="961" spans="1:7">
      <c r="A961" s="62">
        <v>169.32662229118878</v>
      </c>
      <c r="B961" s="62">
        <v>171.51823319071326</v>
      </c>
      <c r="C961" s="62">
        <v>169.11940646785087</v>
      </c>
      <c r="D961" s="62">
        <v>170.81731258771219</v>
      </c>
      <c r="E961" s="62">
        <v>71257527.937045872</v>
      </c>
      <c r="F961" s="62" t="s">
        <v>1008</v>
      </c>
      <c r="G961" s="25">
        <f t="shared" si="15"/>
        <v>-8.7268103797029095E-3</v>
      </c>
    </row>
    <row r="962" spans="1:7">
      <c r="A962" s="62">
        <v>171.92299015864347</v>
      </c>
      <c r="B962" s="62">
        <v>172.66339924632067</v>
      </c>
      <c r="C962" s="62">
        <v>170.90616167823345</v>
      </c>
      <c r="D962" s="62">
        <v>171.52810531188229</v>
      </c>
      <c r="E962" s="62">
        <v>63096951.438781291</v>
      </c>
      <c r="F962" s="62" t="s">
        <v>1009</v>
      </c>
      <c r="G962" s="25">
        <f t="shared" si="15"/>
        <v>2.3021582733813162E-3</v>
      </c>
    </row>
    <row r="963" spans="1:7">
      <c r="A963" s="62">
        <v>172.31787500540463</v>
      </c>
      <c r="B963" s="62">
        <v>173.89741439244929</v>
      </c>
      <c r="C963" s="62">
        <v>170.36319501393683</v>
      </c>
      <c r="D963" s="62">
        <v>170.56063743731744</v>
      </c>
      <c r="E963" s="62">
        <v>80572387.269251883</v>
      </c>
      <c r="F963" s="62" t="s">
        <v>1010</v>
      </c>
      <c r="G963" s="25">
        <f t="shared" si="15"/>
        <v>1.0302714591653661E-2</v>
      </c>
    </row>
    <row r="964" spans="1:7">
      <c r="A964" s="62">
        <v>170.81731258771219</v>
      </c>
      <c r="B964" s="62">
        <v>171.48861682720619</v>
      </c>
      <c r="C964" s="62">
        <v>169.46660896936561</v>
      </c>
      <c r="D964" s="62">
        <v>170.57050955848646</v>
      </c>
      <c r="E964" s="62">
        <v>57107331.8841203</v>
      </c>
      <c r="F964" s="62" t="s">
        <v>1011</v>
      </c>
      <c r="G964" s="25">
        <f t="shared" si="15"/>
        <v>1.4469267276304709E-3</v>
      </c>
    </row>
    <row r="965" spans="1:7">
      <c r="A965" s="62">
        <v>170.97526652641665</v>
      </c>
      <c r="B965" s="62">
        <v>171.17270894979723</v>
      </c>
      <c r="C965" s="62">
        <v>169.15386017073078</v>
      </c>
      <c r="D965" s="62">
        <v>169.32662229118878</v>
      </c>
      <c r="E965" s="62">
        <v>54792372.453547649</v>
      </c>
      <c r="F965" s="62" t="s">
        <v>1012</v>
      </c>
      <c r="G965" s="25">
        <f t="shared" si="15"/>
        <v>9.736473880596952E-3</v>
      </c>
    </row>
    <row r="966" spans="1:7">
      <c r="A966" s="62">
        <v>169.89920531899247</v>
      </c>
      <c r="B966" s="62">
        <v>169.96831016717567</v>
      </c>
      <c r="C966" s="62">
        <v>167.23373260335458</v>
      </c>
      <c r="D966" s="62">
        <v>167.64836169245382</v>
      </c>
      <c r="E966" s="62">
        <v>68920732.267198101</v>
      </c>
      <c r="F966" s="62" t="s">
        <v>1013</v>
      </c>
      <c r="G966" s="25">
        <f t="shared" si="15"/>
        <v>1.3425980449888186E-2</v>
      </c>
    </row>
    <row r="967" spans="1:7">
      <c r="A967" s="62">
        <v>166.33536957697294</v>
      </c>
      <c r="B967" s="62">
        <v>168.80339986923025</v>
      </c>
      <c r="C967" s="62">
        <v>166.03920594190205</v>
      </c>
      <c r="D967" s="62">
        <v>167.88529260051052</v>
      </c>
      <c r="E967" s="62">
        <v>57889442.422250912</v>
      </c>
      <c r="F967" s="62" t="s">
        <v>1014</v>
      </c>
      <c r="G967" s="25">
        <f t="shared" si="15"/>
        <v>-9.2320357520875307E-3</v>
      </c>
    </row>
    <row r="968" spans="1:7">
      <c r="A968" s="62">
        <v>167.07577866465013</v>
      </c>
      <c r="B968" s="62">
        <v>167.17449987634041</v>
      </c>
      <c r="C968" s="62">
        <v>164.7657023110973</v>
      </c>
      <c r="D968" s="62">
        <v>165.53572776228157</v>
      </c>
      <c r="E968" s="62">
        <v>71079496.289144948</v>
      </c>
      <c r="F968" s="62" t="s">
        <v>1015</v>
      </c>
      <c r="G968" s="25">
        <f t="shared" si="15"/>
        <v>9.3034351145038219E-3</v>
      </c>
    </row>
    <row r="969" spans="1:7">
      <c r="A969" s="62">
        <v>162.8110223196295</v>
      </c>
      <c r="B969" s="62">
        <v>163.69951322484212</v>
      </c>
      <c r="C969" s="62">
        <v>161.16237808440164</v>
      </c>
      <c r="D969" s="62">
        <v>161.92253141441688</v>
      </c>
      <c r="E969" s="62">
        <v>63953330.716876335</v>
      </c>
      <c r="F969" s="62" t="s">
        <v>1016</v>
      </c>
      <c r="G969" s="25">
        <f t="shared" si="15"/>
        <v>5.487135715156688E-3</v>
      </c>
    </row>
    <row r="970" spans="1:7">
      <c r="A970" s="62">
        <v>162.76166171378438</v>
      </c>
      <c r="B970" s="62">
        <v>165.66406533747895</v>
      </c>
      <c r="C970" s="62">
        <v>162.10022959545941</v>
      </c>
      <c r="D970" s="62">
        <v>164.24247988913874</v>
      </c>
      <c r="E970" s="62">
        <v>61144243.437133484</v>
      </c>
      <c r="F970" s="62" t="s">
        <v>1017</v>
      </c>
      <c r="G970" s="25">
        <f t="shared" si="15"/>
        <v>-9.0160485664481094E-3</v>
      </c>
    </row>
    <row r="971" spans="1:7">
      <c r="A971" s="62">
        <v>163.23552352989776</v>
      </c>
      <c r="B971" s="62">
        <v>163.72912958834922</v>
      </c>
      <c r="C971" s="62">
        <v>160.91557505517591</v>
      </c>
      <c r="D971" s="62">
        <v>161.12288959972551</v>
      </c>
      <c r="E971" s="62">
        <v>57431411.172170065</v>
      </c>
      <c r="F971" s="62" t="s">
        <v>1018</v>
      </c>
      <c r="G971" s="25">
        <f t="shared" si="15"/>
        <v>1.3111941670240768E-2</v>
      </c>
    </row>
    <row r="972" spans="1:7">
      <c r="A972" s="62">
        <v>163.46258231678542</v>
      </c>
      <c r="B972" s="62">
        <v>164.82304527798897</v>
      </c>
      <c r="C972" s="62">
        <v>162.10211935558183</v>
      </c>
      <c r="D972" s="62">
        <v>163.65482164825983</v>
      </c>
      <c r="E972" s="62">
        <v>56270784.948290102</v>
      </c>
      <c r="F972" s="62" t="s">
        <v>1019</v>
      </c>
      <c r="G972" s="25">
        <f t="shared" si="15"/>
        <v>-1.174663413752608E-3</v>
      </c>
    </row>
    <row r="973" spans="1:7">
      <c r="A973" s="62">
        <v>163.77805198894856</v>
      </c>
      <c r="B973" s="62">
        <v>164.23153964268309</v>
      </c>
      <c r="C973" s="62">
        <v>158.47421812570565</v>
      </c>
      <c r="D973" s="62">
        <v>158.56294397100154</v>
      </c>
      <c r="E973" s="62">
        <v>83692343.479362682</v>
      </c>
      <c r="F973" s="62" t="s">
        <v>1020</v>
      </c>
      <c r="G973" s="25">
        <f t="shared" si="15"/>
        <v>3.2889828400895382E-2</v>
      </c>
    </row>
    <row r="974" spans="1:7">
      <c r="A974" s="62">
        <v>157.74469450882836</v>
      </c>
      <c r="B974" s="62">
        <v>160.11071705005196</v>
      </c>
      <c r="C974" s="62">
        <v>157.37007427313463</v>
      </c>
      <c r="D974" s="62">
        <v>157.83342035412426</v>
      </c>
      <c r="E974" s="62">
        <v>60767324.695750847</v>
      </c>
      <c r="F974" s="62" t="s">
        <v>1021</v>
      </c>
      <c r="G974" s="25">
        <f t="shared" si="15"/>
        <v>-5.6214865708936745E-4</v>
      </c>
    </row>
    <row r="975" spans="1:7">
      <c r="A975" s="62">
        <v>159.22345859709313</v>
      </c>
      <c r="B975" s="62">
        <v>161.27401146615358</v>
      </c>
      <c r="C975" s="62">
        <v>158.61223610727703</v>
      </c>
      <c r="D975" s="62">
        <v>158.73053723433819</v>
      </c>
      <c r="E975" s="62">
        <v>68803448.303502709</v>
      </c>
      <c r="F975" s="62" t="s">
        <v>1022</v>
      </c>
      <c r="G975" s="25">
        <f t="shared" si="15"/>
        <v>3.1053971802994518E-3</v>
      </c>
    </row>
    <row r="976" spans="1:7">
      <c r="A976" s="62">
        <v>160.20930132260295</v>
      </c>
      <c r="B976" s="62">
        <v>161.31344517517397</v>
      </c>
      <c r="C976" s="62">
        <v>157.24191471881835</v>
      </c>
      <c r="D976" s="62">
        <v>158.95728106120549</v>
      </c>
      <c r="E976" s="62">
        <v>103248578.4660636</v>
      </c>
      <c r="F976" s="62" t="s">
        <v>1023</v>
      </c>
      <c r="G976" s="25">
        <f t="shared" si="15"/>
        <v>7.8764574547256494E-3</v>
      </c>
    </row>
    <row r="977" spans="1:7">
      <c r="A977" s="62">
        <v>155.12235285897222</v>
      </c>
      <c r="B977" s="62">
        <v>155.40824724937005</v>
      </c>
      <c r="C977" s="62">
        <v>152.22397524597332</v>
      </c>
      <c r="D977" s="62">
        <v>154.75759105053356</v>
      </c>
      <c r="E977" s="62">
        <v>82547376.872831941</v>
      </c>
      <c r="F977" s="62" t="s">
        <v>1024</v>
      </c>
      <c r="G977" s="25">
        <f t="shared" si="15"/>
        <v>2.3569881513569868E-3</v>
      </c>
    </row>
    <row r="978" spans="1:7">
      <c r="A978" s="62">
        <v>154.5702809326867</v>
      </c>
      <c r="B978" s="62">
        <v>155.10263600446203</v>
      </c>
      <c r="C978" s="62">
        <v>150.0058291135762</v>
      </c>
      <c r="D978" s="62">
        <v>150.41988305829034</v>
      </c>
      <c r="E978" s="62">
        <v>79749726.772433162</v>
      </c>
      <c r="F978" s="62" t="s">
        <v>1025</v>
      </c>
      <c r="G978" s="25">
        <f t="shared" si="15"/>
        <v>2.7592082841787713E-2</v>
      </c>
    </row>
    <row r="979" spans="1:7">
      <c r="A979" s="62">
        <v>149.45375718729068</v>
      </c>
      <c r="B979" s="62">
        <v>150.9177336346728</v>
      </c>
      <c r="C979" s="62">
        <v>148.66508300688284</v>
      </c>
      <c r="D979" s="62">
        <v>150.10934259975471</v>
      </c>
      <c r="E979" s="62">
        <v>55930514.648251608</v>
      </c>
      <c r="F979" s="62" t="s">
        <v>1026</v>
      </c>
      <c r="G979" s="25">
        <f t="shared" si="15"/>
        <v>-4.3673858076379579E-3</v>
      </c>
    </row>
    <row r="980" spans="1:7">
      <c r="A980" s="62">
        <v>150.78464486672894</v>
      </c>
      <c r="B980" s="62">
        <v>152.84505616304449</v>
      </c>
      <c r="C980" s="62">
        <v>150.12413024063736</v>
      </c>
      <c r="D980" s="62">
        <v>151.82963815576937</v>
      </c>
      <c r="E980" s="62">
        <v>54394016.015351877</v>
      </c>
      <c r="F980" s="62" t="s">
        <v>1027</v>
      </c>
      <c r="G980" s="25">
        <f t="shared" si="15"/>
        <v>-6.8826699564964455E-3</v>
      </c>
    </row>
    <row r="981" spans="1:7">
      <c r="A981" s="62">
        <v>151.90850557381017</v>
      </c>
      <c r="B981" s="62">
        <v>154.06750114267669</v>
      </c>
      <c r="C981" s="62">
        <v>151.23813252046347</v>
      </c>
      <c r="D981" s="62">
        <v>153.19010111697293</v>
      </c>
      <c r="E981" s="62">
        <v>67632905.609278113</v>
      </c>
      <c r="F981" s="62" t="s">
        <v>1028</v>
      </c>
      <c r="G981" s="25">
        <f t="shared" si="15"/>
        <v>-8.366046721153042E-3</v>
      </c>
    </row>
    <row r="982" spans="1:7">
      <c r="A982" s="62">
        <v>153.15066740795254</v>
      </c>
      <c r="B982" s="62">
        <v>153.36755280756472</v>
      </c>
      <c r="C982" s="62">
        <v>149.78894371396402</v>
      </c>
      <c r="D982" s="62">
        <v>152.31270109126919</v>
      </c>
      <c r="E982" s="62">
        <v>66021317.919995964</v>
      </c>
      <c r="F982" s="62" t="s">
        <v>1029</v>
      </c>
      <c r="G982" s="25">
        <f t="shared" si="15"/>
        <v>5.5016181229772254E-3</v>
      </c>
    </row>
    <row r="983" spans="1:7">
      <c r="A983" s="62">
        <v>150.87337071202484</v>
      </c>
      <c r="B983" s="62">
        <v>151.54374376537152</v>
      </c>
      <c r="C983" s="62">
        <v>148.2411706349136</v>
      </c>
      <c r="D983" s="62">
        <v>148.98055267904596</v>
      </c>
      <c r="E983" s="62">
        <v>65754314.884736083</v>
      </c>
      <c r="F983" s="62" t="s">
        <v>1030</v>
      </c>
      <c r="G983" s="25">
        <f t="shared" si="15"/>
        <v>1.2705134992059275E-2</v>
      </c>
    </row>
    <row r="984" spans="1:7">
      <c r="A984" s="62">
        <v>148.86225155198477</v>
      </c>
      <c r="B984" s="62">
        <v>149.08899537885202</v>
      </c>
      <c r="C984" s="62">
        <v>144.83015480464957</v>
      </c>
      <c r="D984" s="62">
        <v>145.82585595741449</v>
      </c>
      <c r="E984" s="62">
        <v>84174042.017792746</v>
      </c>
      <c r="F984" s="62" t="s">
        <v>1031</v>
      </c>
      <c r="G984" s="25">
        <f t="shared" si="15"/>
        <v>2.0822065981611626E-2</v>
      </c>
    </row>
    <row r="985" spans="1:7">
      <c r="A985" s="62">
        <v>144.98788964073114</v>
      </c>
      <c r="B985" s="62">
        <v>149.42418190552539</v>
      </c>
      <c r="C985" s="62">
        <v>144.62312783229248</v>
      </c>
      <c r="D985" s="62">
        <v>148.60593244335223</v>
      </c>
      <c r="E985" s="62">
        <v>82590118.98464112</v>
      </c>
      <c r="F985" s="62" t="s">
        <v>1032</v>
      </c>
      <c r="G985" s="25">
        <f t="shared" si="15"/>
        <v>-2.4346556985538004E-2</v>
      </c>
    </row>
    <row r="986" spans="1:7">
      <c r="A986" s="62">
        <v>148.04400208981161</v>
      </c>
      <c r="B986" s="62">
        <v>148.72423357041342</v>
      </c>
      <c r="C986" s="62">
        <v>146.10189192055725</v>
      </c>
      <c r="D986" s="62">
        <v>147.65952342686279</v>
      </c>
      <c r="E986" s="62">
        <v>77355067.929888949</v>
      </c>
      <c r="F986" s="62" t="s">
        <v>1033</v>
      </c>
      <c r="G986" s="25">
        <f t="shared" si="15"/>
        <v>2.6038189344370632E-3</v>
      </c>
    </row>
    <row r="987" spans="1:7">
      <c r="A987" s="62">
        <v>146.36806945644491</v>
      </c>
      <c r="B987" s="62">
        <v>146.84127396468961</v>
      </c>
      <c r="C987" s="62">
        <v>141.22197042928357</v>
      </c>
      <c r="D987" s="62">
        <v>142.04021989145676</v>
      </c>
      <c r="E987" s="62">
        <v>79262890.497659415</v>
      </c>
      <c r="F987" s="62" t="s">
        <v>1034</v>
      </c>
      <c r="G987" s="25">
        <f t="shared" si="15"/>
        <v>3.0469183786784981E-2</v>
      </c>
    </row>
    <row r="988" spans="1:7">
      <c r="A988" s="62">
        <v>143.4302581344256</v>
      </c>
      <c r="B988" s="62">
        <v>144.37666715091504</v>
      </c>
      <c r="C988" s="62">
        <v>140.10806673373003</v>
      </c>
      <c r="D988" s="62">
        <v>140.96565132065103</v>
      </c>
      <c r="E988" s="62">
        <v>72207826.013207197</v>
      </c>
      <c r="F988" s="62" t="s">
        <v>1035</v>
      </c>
      <c r="G988" s="25">
        <f t="shared" si="15"/>
        <v>1.7483740121686742E-2</v>
      </c>
    </row>
    <row r="989" spans="1:7">
      <c r="A989" s="62">
        <v>143.79501994286426</v>
      </c>
      <c r="B989" s="62">
        <v>146.34835260193469</v>
      </c>
      <c r="C989" s="62">
        <v>142.99648733520129</v>
      </c>
      <c r="D989" s="62">
        <v>143.69643567031324</v>
      </c>
      <c r="E989" s="62">
        <v>78702978.672256902</v>
      </c>
      <c r="F989" s="62" t="s">
        <v>1036</v>
      </c>
      <c r="G989" s="25">
        <f t="shared" si="15"/>
        <v>6.8605927552156665E-4</v>
      </c>
    </row>
    <row r="990" spans="1:7">
      <c r="A990" s="62">
        <v>142.8190356446095</v>
      </c>
      <c r="B990" s="62">
        <v>144.5639772687619</v>
      </c>
      <c r="C990" s="62">
        <v>141.74446707380378</v>
      </c>
      <c r="D990" s="62">
        <v>143.60770982501737</v>
      </c>
      <c r="E990" s="62">
        <v>64214211.214330845</v>
      </c>
      <c r="F990" s="62" t="s">
        <v>1037</v>
      </c>
      <c r="G990" s="25">
        <f t="shared" si="15"/>
        <v>-5.4918651747100089E-3</v>
      </c>
    </row>
    <row r="991" spans="1:7">
      <c r="A991" s="62">
        <v>144.95831435896582</v>
      </c>
      <c r="B991" s="62">
        <v>145.46109414897586</v>
      </c>
      <c r="C991" s="62">
        <v>142.94719519892578</v>
      </c>
      <c r="D991" s="62">
        <v>143.20844352118587</v>
      </c>
      <c r="E991" s="62">
        <v>65474741.893154219</v>
      </c>
      <c r="F991" s="62" t="s">
        <v>1038</v>
      </c>
      <c r="G991" s="25">
        <f t="shared" si="15"/>
        <v>1.2219047946855799E-2</v>
      </c>
    </row>
    <row r="992" spans="1:7">
      <c r="A992" s="62">
        <v>144.27808287836405</v>
      </c>
      <c r="B992" s="62">
        <v>144.47525142346603</v>
      </c>
      <c r="C992" s="62">
        <v>141.25154571104886</v>
      </c>
      <c r="D992" s="62">
        <v>141.26140413830396</v>
      </c>
      <c r="E992" s="62">
        <v>67205150.766555175</v>
      </c>
      <c r="F992" s="62" t="s">
        <v>1039</v>
      </c>
      <c r="G992" s="25">
        <f t="shared" si="15"/>
        <v>2.1355293460813662E-2</v>
      </c>
    </row>
    <row r="993" spans="1:7">
      <c r="A993" s="62">
        <v>140.89664232986533</v>
      </c>
      <c r="B993" s="62">
        <v>142.07965360047714</v>
      </c>
      <c r="C993" s="62">
        <v>139.08269171492725</v>
      </c>
      <c r="D993" s="62">
        <v>139.35379846444243</v>
      </c>
      <c r="E993" s="62">
        <v>75127859.732085899</v>
      </c>
      <c r="F993" s="62" t="s">
        <v>1040</v>
      </c>
      <c r="G993" s="25">
        <f t="shared" si="15"/>
        <v>1.1071415938594287E-2</v>
      </c>
    </row>
    <row r="994" spans="1:7">
      <c r="A994" s="62">
        <v>139.55589622317197</v>
      </c>
      <c r="B994" s="62">
        <v>139.60518835944745</v>
      </c>
      <c r="C994" s="62">
        <v>134.99144440406144</v>
      </c>
      <c r="D994" s="62">
        <v>135.81955229348969</v>
      </c>
      <c r="E994" s="62">
        <v>74484133.320581675</v>
      </c>
      <c r="F994" s="62" t="s">
        <v>1041</v>
      </c>
      <c r="G994" s="25">
        <f t="shared" si="15"/>
        <v>2.750961747840619E-2</v>
      </c>
    </row>
    <row r="995" spans="1:7">
      <c r="A995" s="62">
        <v>136.96312985508109</v>
      </c>
      <c r="B995" s="62">
        <v>137.07157255488718</v>
      </c>
      <c r="C995" s="62">
        <v>133.73942414266395</v>
      </c>
      <c r="D995" s="62">
        <v>134.11404437835768</v>
      </c>
      <c r="E995" s="62">
        <v>72071893.580444455</v>
      </c>
      <c r="F995" s="62" t="s">
        <v>1042</v>
      </c>
      <c r="G995" s="25">
        <f t="shared" si="15"/>
        <v>2.1243751837694891E-2</v>
      </c>
    </row>
    <row r="996" spans="1:7">
      <c r="A996" s="62">
        <v>134.78441743170436</v>
      </c>
      <c r="B996" s="62">
        <v>136.4110579287956</v>
      </c>
      <c r="C996" s="62">
        <v>131.87982900953475</v>
      </c>
      <c r="D996" s="62">
        <v>135.30691407622459</v>
      </c>
      <c r="E996" s="62">
        <v>100385654.26226591</v>
      </c>
      <c r="F996" s="62" t="s">
        <v>1043</v>
      </c>
      <c r="G996" s="25">
        <f t="shared" si="15"/>
        <v>-3.8615664845174091E-3</v>
      </c>
    </row>
    <row r="997" spans="1:7">
      <c r="A997" s="62">
        <v>137.25888267273405</v>
      </c>
      <c r="B997" s="62">
        <v>138.67849619746821</v>
      </c>
      <c r="C997" s="62">
        <v>134.73512529542887</v>
      </c>
      <c r="D997" s="62">
        <v>135.51394104858164</v>
      </c>
      <c r="E997" s="62">
        <v>67193690.520709008</v>
      </c>
      <c r="F997" s="62" t="s">
        <v>1044</v>
      </c>
      <c r="G997" s="25">
        <f t="shared" si="15"/>
        <v>1.2876473155827073E-2</v>
      </c>
    </row>
    <row r="998" spans="1:7">
      <c r="A998" s="62">
        <v>135.49422419407145</v>
      </c>
      <c r="B998" s="62">
        <v>141.39153537807127</v>
      </c>
      <c r="C998" s="62">
        <v>135.38085228063781</v>
      </c>
      <c r="D998" s="62">
        <v>140.11782657671256</v>
      </c>
      <c r="E998" s="62">
        <v>68282015.232386664</v>
      </c>
      <c r="F998" s="62" t="s">
        <v>1045</v>
      </c>
      <c r="G998" s="25">
        <f t="shared" si="15"/>
        <v>-3.2997959614437411E-2</v>
      </c>
    </row>
    <row r="999" spans="1:7">
      <c r="A999" s="62">
        <v>139.65448049572294</v>
      </c>
      <c r="B999" s="62">
        <v>141.45857268340595</v>
      </c>
      <c r="C999" s="62">
        <v>138.96931980149361</v>
      </c>
      <c r="D999" s="62">
        <v>140.6748277166256</v>
      </c>
      <c r="E999" s="62">
        <v>71216134.362295628</v>
      </c>
      <c r="F999" s="62" t="s">
        <v>1046</v>
      </c>
      <c r="G999" s="25">
        <f t="shared" si="15"/>
        <v>-7.2532324187952746E-3</v>
      </c>
    </row>
    <row r="1000" spans="1:7">
      <c r="A1000" s="62">
        <v>139.65448049572294</v>
      </c>
      <c r="B1000" s="62">
        <v>139.90094117710041</v>
      </c>
      <c r="C1000" s="62">
        <v>137.79123774450937</v>
      </c>
      <c r="D1000" s="62">
        <v>137.91939729882563</v>
      </c>
      <c r="E1000" s="62">
        <v>90396606.57222259</v>
      </c>
      <c r="F1000" s="62" t="s">
        <v>1047</v>
      </c>
      <c r="G1000" s="25">
        <f t="shared" si="15"/>
        <v>1.2580414581844224E-2</v>
      </c>
    </row>
    <row r="1001" spans="1:7">
      <c r="A1001" s="62">
        <v>136.31247365624461</v>
      </c>
      <c r="B1001" s="62">
        <v>136.62794332840775</v>
      </c>
      <c r="C1001" s="62">
        <v>133.70984886089863</v>
      </c>
      <c r="D1001" s="62">
        <v>134.88300170425535</v>
      </c>
      <c r="E1001" s="62">
        <v>73473959.005520433</v>
      </c>
      <c r="F1001" s="62" t="s">
        <v>1048</v>
      </c>
      <c r="G1001" s="25">
        <f t="shared" si="15"/>
        <v>1.0597865809092166E-2</v>
      </c>
    </row>
    <row r="1002" spans="1:7">
      <c r="A1002" s="62">
        <v>133.4338128977559</v>
      </c>
      <c r="B1002" s="62">
        <v>135.8096938662346</v>
      </c>
      <c r="C1002" s="62">
        <v>132.01419937302174</v>
      </c>
      <c r="D1002" s="62">
        <v>132.88174097147038</v>
      </c>
      <c r="E1002" s="62">
        <v>74463433.264201537</v>
      </c>
      <c r="F1002" s="62" t="s">
        <v>1049</v>
      </c>
      <c r="G1002" s="25">
        <f t="shared" si="15"/>
        <v>4.1546108761778555E-3</v>
      </c>
    </row>
    <row r="1003" spans="1:7">
      <c r="A1003" s="62">
        <v>133.94645111502101</v>
      </c>
      <c r="B1003" s="62">
        <v>135.11960395837772</v>
      </c>
      <c r="C1003" s="62">
        <v>131.43255216497093</v>
      </c>
      <c r="D1003" s="62">
        <v>131.53113643752189</v>
      </c>
      <c r="E1003" s="62">
        <v>82163702.083524764</v>
      </c>
      <c r="F1003" s="62" t="s">
        <v>1050</v>
      </c>
      <c r="G1003" s="25">
        <f t="shared" si="15"/>
        <v>1.8363064008394714E-2</v>
      </c>
    </row>
    <row r="1004" spans="1:7">
      <c r="A1004" s="62">
        <v>129.69746896807362</v>
      </c>
      <c r="B1004" s="62">
        <v>131.19496406812308</v>
      </c>
      <c r="C1004" s="62">
        <v>127.97224419843143</v>
      </c>
      <c r="D1004" s="62">
        <v>128.22363409343643</v>
      </c>
      <c r="E1004" s="62">
        <v>136452079.54487085</v>
      </c>
      <c r="F1004" s="62" t="s">
        <v>1051</v>
      </c>
      <c r="G1004" s="25">
        <f t="shared" si="15"/>
        <v>1.1494252873563093E-2</v>
      </c>
    </row>
    <row r="1005" spans="1:7">
      <c r="A1005" s="62">
        <v>128.21870487980888</v>
      </c>
      <c r="B1005" s="62">
        <v>130.51571843024678</v>
      </c>
      <c r="C1005" s="62">
        <v>127.21314529978883</v>
      </c>
      <c r="D1005" s="62">
        <v>130.21010718533876</v>
      </c>
      <c r="E1005" s="62">
        <v>109511897.99992409</v>
      </c>
      <c r="F1005" s="62" t="s">
        <v>1052</v>
      </c>
      <c r="G1005" s="25">
        <f t="shared" si="15"/>
        <v>-1.5293761356753532E-2</v>
      </c>
    </row>
    <row r="1006" spans="1:7">
      <c r="A1006" s="62">
        <v>133.5126803157967</v>
      </c>
      <c r="B1006" s="62">
        <v>135.39563992152046</v>
      </c>
      <c r="C1006" s="62">
        <v>130.28897460337953</v>
      </c>
      <c r="D1006" s="62">
        <v>132.38881960871547</v>
      </c>
      <c r="E1006" s="62">
        <v>92847438.675031364</v>
      </c>
      <c r="F1006" s="62" t="s">
        <v>1053</v>
      </c>
      <c r="G1006" s="25">
        <f t="shared" si="15"/>
        <v>8.4890907736989707E-3</v>
      </c>
    </row>
    <row r="1007" spans="1:7">
      <c r="A1007" s="62">
        <v>130.88048023868541</v>
      </c>
      <c r="B1007" s="62">
        <v>131.99448251851152</v>
      </c>
      <c r="C1007" s="62">
        <v>129.61860155003282</v>
      </c>
      <c r="D1007" s="62">
        <v>131.24524204712407</v>
      </c>
      <c r="E1007" s="62">
        <v>86001878.196294859</v>
      </c>
      <c r="F1007" s="62" t="s">
        <v>1054</v>
      </c>
      <c r="G1007" s="25">
        <f t="shared" si="15"/>
        <v>-2.7792383384662722E-3</v>
      </c>
    </row>
    <row r="1008" spans="1:7">
      <c r="A1008" s="62">
        <v>130.01293864023677</v>
      </c>
      <c r="B1008" s="62">
        <v>133.28593648892939</v>
      </c>
      <c r="C1008" s="62">
        <v>129.57916784101243</v>
      </c>
      <c r="D1008" s="62">
        <v>130.98892293849153</v>
      </c>
      <c r="E1008" s="62">
        <v>123962063.96593337</v>
      </c>
      <c r="F1008" s="62" t="s">
        <v>1055</v>
      </c>
      <c r="G1008" s="25">
        <f t="shared" si="15"/>
        <v>-7.4508918491760223E-3</v>
      </c>
    </row>
    <row r="1009" spans="1:7">
      <c r="A1009" s="62">
        <v>135.1886129491634</v>
      </c>
      <c r="B1009" s="62">
        <v>138.76722204276408</v>
      </c>
      <c r="C1009" s="62">
        <v>135.11960395837772</v>
      </c>
      <c r="D1009" s="62">
        <v>138.29401753451938</v>
      </c>
      <c r="E1009" s="62">
        <v>92881587.123996779</v>
      </c>
      <c r="F1009" s="62" t="s">
        <v>1056</v>
      </c>
      <c r="G1009" s="25">
        <f t="shared" si="15"/>
        <v>-2.2455089820359375E-2</v>
      </c>
    </row>
    <row r="1010" spans="1:7">
      <c r="A1010" s="62">
        <v>140.62060636672257</v>
      </c>
      <c r="B1010" s="62">
        <v>145.85543123917978</v>
      </c>
      <c r="C1010" s="62">
        <v>140.51216366691651</v>
      </c>
      <c r="D1010" s="62">
        <v>144.99774806798624</v>
      </c>
      <c r="E1010" s="62">
        <v>70470648.311648026</v>
      </c>
      <c r="F1010" s="62" t="s">
        <v>1057</v>
      </c>
      <c r="G1010" s="25">
        <f t="shared" si="15"/>
        <v>-3.0187652977971213E-2</v>
      </c>
    </row>
    <row r="1011" spans="1:7">
      <c r="A1011" s="62">
        <v>145.8652896664349</v>
      </c>
      <c r="B1011" s="62">
        <v>147.74795351934102</v>
      </c>
      <c r="C1011" s="62">
        <v>145.37236830367999</v>
      </c>
      <c r="D1011" s="62">
        <v>146.476512156251</v>
      </c>
      <c r="E1011" s="62">
        <v>54724957.241125263</v>
      </c>
      <c r="F1011" s="62" t="s">
        <v>1058</v>
      </c>
      <c r="G1011" s="25">
        <f t="shared" si="15"/>
        <v>-4.1728361825279503E-3</v>
      </c>
    </row>
    <row r="1012" spans="1:7">
      <c r="A1012" s="62">
        <v>146.60467171056726</v>
      </c>
      <c r="B1012" s="62">
        <v>146.89056610096512</v>
      </c>
      <c r="C1012" s="62">
        <v>142.05993674596692</v>
      </c>
      <c r="D1012" s="62">
        <v>142.30146821371684</v>
      </c>
      <c r="E1012" s="62">
        <v>68781914.442724839</v>
      </c>
      <c r="F1012" s="62" t="s">
        <v>1059</v>
      </c>
      <c r="G1012" s="25">
        <f t="shared" si="15"/>
        <v>3.0240049880494668E-2</v>
      </c>
    </row>
    <row r="1013" spans="1:7">
      <c r="A1013" s="62">
        <v>144.07105590600699</v>
      </c>
      <c r="B1013" s="62">
        <v>146.46556930199785</v>
      </c>
      <c r="C1013" s="62">
        <v>142.84861092637482</v>
      </c>
      <c r="D1013" s="62">
        <v>144.94845593171075</v>
      </c>
      <c r="E1013" s="62">
        <v>72626574.348329827</v>
      </c>
      <c r="F1013" s="62" t="s">
        <v>1060</v>
      </c>
      <c r="G1013" s="25">
        <f t="shared" si="15"/>
        <v>-6.0531864245393363E-3</v>
      </c>
    </row>
    <row r="1014" spans="1:7">
      <c r="A1014" s="62">
        <v>143.32181543461951</v>
      </c>
      <c r="B1014" s="62">
        <v>145.87514809368997</v>
      </c>
      <c r="C1014" s="62">
        <v>142.41484012715048</v>
      </c>
      <c r="D1014" s="62">
        <v>144.82029637739447</v>
      </c>
      <c r="E1014" s="62">
        <v>89842209.825299948</v>
      </c>
      <c r="F1014" s="62" t="s">
        <v>1061</v>
      </c>
      <c r="G1014" s="25">
        <f t="shared" si="15"/>
        <v>-1.0347174948944993E-2</v>
      </c>
    </row>
    <row r="1015" spans="1:7">
      <c r="A1015" s="62">
        <v>149.06927852434185</v>
      </c>
      <c r="B1015" s="62">
        <v>149.12842908787243</v>
      </c>
      <c r="C1015" s="62">
        <v>144.78086266837408</v>
      </c>
      <c r="D1015" s="62">
        <v>145.73713011211862</v>
      </c>
      <c r="E1015" s="62">
        <v>73387015.117025763</v>
      </c>
      <c r="F1015" s="62" t="s">
        <v>1062</v>
      </c>
      <c r="G1015" s="25">
        <f t="shared" si="15"/>
        <v>2.2864100656159181E-2</v>
      </c>
    </row>
    <row r="1016" spans="1:7">
      <c r="A1016" s="62">
        <v>146.60467171056726</v>
      </c>
      <c r="B1016" s="62">
        <v>149.59177516886206</v>
      </c>
      <c r="C1016" s="62">
        <v>145.58925370329214</v>
      </c>
      <c r="D1016" s="62">
        <v>147.77782455392398</v>
      </c>
      <c r="E1016" s="62">
        <v>75353434.252489239</v>
      </c>
      <c r="F1016" s="62" t="s">
        <v>1063</v>
      </c>
      <c r="G1016" s="25">
        <f t="shared" si="15"/>
        <v>-7.9386257505004165E-3</v>
      </c>
    </row>
    <row r="1017" spans="1:7">
      <c r="A1017" s="62">
        <v>146.73283126488354</v>
      </c>
      <c r="B1017" s="62">
        <v>148.52706502531143</v>
      </c>
      <c r="C1017" s="62">
        <v>144.76114581386389</v>
      </c>
      <c r="D1017" s="62">
        <v>146.95957509175079</v>
      </c>
      <c r="E1017" s="62">
        <v>105207872.73280488</v>
      </c>
      <c r="F1017" s="62" t="s">
        <v>1064</v>
      </c>
      <c r="G1017" s="25">
        <f t="shared" si="15"/>
        <v>-1.5428993090493837E-3</v>
      </c>
    </row>
    <row r="1018" spans="1:7">
      <c r="A1018" s="62">
        <v>147.52150544529138</v>
      </c>
      <c r="B1018" s="62">
        <v>147.5609391543118</v>
      </c>
      <c r="C1018" s="62">
        <v>143.20351430755832</v>
      </c>
      <c r="D1018" s="62">
        <v>143.33167386187461</v>
      </c>
      <c r="E1018" s="62">
        <v>92285007.177945197</v>
      </c>
      <c r="F1018" s="62" t="s">
        <v>1065</v>
      </c>
      <c r="G1018" s="25">
        <f t="shared" si="15"/>
        <v>2.9231721576449488E-2</v>
      </c>
    </row>
    <row r="1019" spans="1:7">
      <c r="A1019" s="62">
        <v>141.74446707380378</v>
      </c>
      <c r="B1019" s="62">
        <v>142.2965390000893</v>
      </c>
      <c r="C1019" s="62">
        <v>135.1984713764185</v>
      </c>
      <c r="D1019" s="62">
        <v>135.44493205779594</v>
      </c>
      <c r="E1019" s="62">
        <v>91902638.885066584</v>
      </c>
      <c r="F1019" s="62" t="s">
        <v>1066</v>
      </c>
      <c r="G1019" s="25">
        <f t="shared" si="15"/>
        <v>4.6509935220903964E-2</v>
      </c>
    </row>
    <row r="1020" spans="1:7">
      <c r="A1020" s="62">
        <v>138.53061978864173</v>
      </c>
      <c r="B1020" s="62">
        <v>139.77771083641167</v>
      </c>
      <c r="C1020" s="62">
        <v>136.38148264703031</v>
      </c>
      <c r="D1020" s="62">
        <v>136.47020849232618</v>
      </c>
      <c r="E1020" s="62">
        <v>93810801.263631746</v>
      </c>
      <c r="F1020" s="62" t="s">
        <v>1067</v>
      </c>
      <c r="G1020" s="25">
        <f t="shared" ref="G1020:G1083" si="16">A1020/D1020-1</f>
        <v>1.5097883406776091E-2</v>
      </c>
    </row>
    <row r="1021" spans="1:7">
      <c r="A1021" s="62">
        <v>138.37288495256018</v>
      </c>
      <c r="B1021" s="62">
        <v>139.96009174063099</v>
      </c>
      <c r="C1021" s="62">
        <v>135.38578149426539</v>
      </c>
      <c r="D1021" s="62">
        <v>138.81158496541204</v>
      </c>
      <c r="E1021" s="62">
        <v>105628152.75240509</v>
      </c>
      <c r="F1021" s="62" t="s">
        <v>1068</v>
      </c>
      <c r="G1021" s="25">
        <f t="shared" si="16"/>
        <v>-3.160399133553371E-3</v>
      </c>
    </row>
    <row r="1022" spans="1:7">
      <c r="A1022" s="62">
        <v>141.08395244771222</v>
      </c>
      <c r="B1022" s="62">
        <v>141.23182885653867</v>
      </c>
      <c r="C1022" s="62">
        <v>135.70125116642851</v>
      </c>
      <c r="D1022" s="62">
        <v>135.83926914799989</v>
      </c>
      <c r="E1022" s="62">
        <v>119416882.58552329</v>
      </c>
      <c r="F1022" s="62" t="s">
        <v>1069</v>
      </c>
      <c r="G1022" s="25">
        <f t="shared" si="16"/>
        <v>3.8609478191450997E-2</v>
      </c>
    </row>
    <row r="1023" spans="1:7">
      <c r="A1023" s="62">
        <v>135.64210060289793</v>
      </c>
      <c r="B1023" s="62">
        <v>138.7080714792335</v>
      </c>
      <c r="C1023" s="62">
        <v>130.73260382985896</v>
      </c>
      <c r="D1023" s="62">
        <v>137.12086469116267</v>
      </c>
      <c r="E1023" s="62">
        <v>139399644.02428335</v>
      </c>
      <c r="F1023" s="62" t="s">
        <v>1070</v>
      </c>
      <c r="G1023" s="25">
        <f t="shared" si="16"/>
        <v>-1.0784384211661391E-2</v>
      </c>
    </row>
    <row r="1024" spans="1:7">
      <c r="A1024" s="62">
        <v>135.40549834877555</v>
      </c>
      <c r="B1024" s="62">
        <v>139.65448049572294</v>
      </c>
      <c r="C1024" s="62">
        <v>134.66611630464317</v>
      </c>
      <c r="D1024" s="62">
        <v>137.89968044431544</v>
      </c>
      <c r="E1024" s="62">
        <v>138050052.48643237</v>
      </c>
      <c r="F1024" s="62" t="s">
        <v>1071</v>
      </c>
      <c r="G1024" s="25">
        <f t="shared" si="16"/>
        <v>-1.8086931655704963E-2</v>
      </c>
    </row>
    <row r="1025" spans="1:7">
      <c r="A1025" s="62">
        <v>138.82637260629468</v>
      </c>
      <c r="B1025" s="62">
        <v>145.27388261540153</v>
      </c>
      <c r="C1025" s="62">
        <v>137.91939729882563</v>
      </c>
      <c r="D1025" s="62">
        <v>144.77100424111896</v>
      </c>
      <c r="E1025" s="62">
        <v>111318861.68074727</v>
      </c>
      <c r="F1025" s="62" t="s">
        <v>1072</v>
      </c>
      <c r="G1025" s="25">
        <f t="shared" si="16"/>
        <v>-4.1062308478038712E-2</v>
      </c>
    </row>
    <row r="1026" spans="1:7">
      <c r="A1026" s="62">
        <v>147.12716835508749</v>
      </c>
      <c r="B1026" s="62">
        <v>147.64966499960769</v>
      </c>
      <c r="C1026" s="62">
        <v>144.60341097778232</v>
      </c>
      <c r="D1026" s="62">
        <v>146.75254811939377</v>
      </c>
      <c r="E1026" s="62">
        <v>79461208.134885877</v>
      </c>
      <c r="F1026" s="62" t="s">
        <v>1073</v>
      </c>
      <c r="G1026" s="25">
        <f t="shared" si="16"/>
        <v>2.5527341125888281E-3</v>
      </c>
    </row>
    <row r="1027" spans="1:7">
      <c r="A1027" s="62">
        <v>143.47955027070108</v>
      </c>
      <c r="B1027" s="62">
        <v>145.43142028293801</v>
      </c>
      <c r="C1027" s="62">
        <v>142.13880416400772</v>
      </c>
      <c r="D1027" s="62">
        <v>143.48940869795621</v>
      </c>
      <c r="E1027" s="62">
        <v>87888036.050772473</v>
      </c>
      <c r="F1027" s="62" t="s">
        <v>1074</v>
      </c>
      <c r="G1027" s="25">
        <f t="shared" si="16"/>
        <v>-6.8704912401407192E-5</v>
      </c>
    </row>
    <row r="1028" spans="1:7">
      <c r="A1028" s="62">
        <v>145.02732334975155</v>
      </c>
      <c r="B1028" s="62">
        <v>146.0082368616338</v>
      </c>
      <c r="C1028" s="62">
        <v>141.08395244771222</v>
      </c>
      <c r="D1028" s="62">
        <v>142.54299968146677</v>
      </c>
      <c r="E1028" s="62">
        <v>115627826.88389684</v>
      </c>
      <c r="F1028" s="62" t="s">
        <v>1075</v>
      </c>
      <c r="G1028" s="25">
        <f t="shared" si="16"/>
        <v>1.7428591188878961E-2</v>
      </c>
    </row>
    <row r="1029" spans="1:7">
      <c r="A1029" s="62">
        <v>140.5417389486818</v>
      </c>
      <c r="B1029" s="62">
        <v>144.13020646953757</v>
      </c>
      <c r="C1029" s="62">
        <v>136.83497030076484</v>
      </c>
      <c r="D1029" s="62">
        <v>140.74876592103885</v>
      </c>
      <c r="E1029" s="62">
        <v>185224312.43337169</v>
      </c>
      <c r="F1029" s="62" t="s">
        <v>1076</v>
      </c>
      <c r="G1029" s="25">
        <f t="shared" si="16"/>
        <v>-1.470897247320857E-3</v>
      </c>
    </row>
    <row r="1030" spans="1:7">
      <c r="A1030" s="62">
        <v>144.42595928719052</v>
      </c>
      <c r="B1030" s="62">
        <v>153.24925168050353</v>
      </c>
      <c r="C1030" s="62">
        <v>143.74572780658875</v>
      </c>
      <c r="D1030" s="62">
        <v>151.32685836575936</v>
      </c>
      <c r="E1030" s="62">
        <v>144738933.81543928</v>
      </c>
      <c r="F1030" s="62" t="s">
        <v>1077</v>
      </c>
      <c r="G1030" s="25">
        <f t="shared" si="16"/>
        <v>-4.5602605863192203E-2</v>
      </c>
    </row>
    <row r="1031" spans="1:7">
      <c r="A1031" s="62">
        <v>152.32255951852429</v>
      </c>
      <c r="B1031" s="62">
        <v>154.52098879641122</v>
      </c>
      <c r="C1031" s="62">
        <v>150.76492801221877</v>
      </c>
      <c r="D1031" s="62">
        <v>153.31826067128924</v>
      </c>
      <c r="E1031" s="62">
        <v>117023469.37777278</v>
      </c>
      <c r="F1031" s="62" t="s">
        <v>1078</v>
      </c>
      <c r="G1031" s="25">
        <f t="shared" si="16"/>
        <v>-6.4943415637861435E-3</v>
      </c>
    </row>
    <row r="1032" spans="1:7">
      <c r="A1032" s="62">
        <v>149.9072448410252</v>
      </c>
      <c r="B1032" s="62">
        <v>153.62387191619729</v>
      </c>
      <c r="C1032" s="62">
        <v>149.34531448748461</v>
      </c>
      <c r="D1032" s="62">
        <v>152.73168424961088</v>
      </c>
      <c r="E1032" s="62">
        <v>133467456.41598551</v>
      </c>
      <c r="F1032" s="62" t="s">
        <v>1079</v>
      </c>
      <c r="G1032" s="25">
        <f t="shared" si="16"/>
        <v>-1.8492819106019076E-2</v>
      </c>
    </row>
    <row r="1033" spans="1:7">
      <c r="A1033" s="62">
        <v>155.05334386818654</v>
      </c>
      <c r="B1033" s="62">
        <v>157.18276415528777</v>
      </c>
      <c r="C1033" s="62">
        <v>151.99723141910604</v>
      </c>
      <c r="D1033" s="62">
        <v>153.80132360678903</v>
      </c>
      <c r="E1033" s="62">
        <v>117792264.42021532</v>
      </c>
      <c r="F1033" s="62" t="s">
        <v>1080</v>
      </c>
      <c r="G1033" s="25">
        <f t="shared" si="16"/>
        <v>8.1405038138582242E-3</v>
      </c>
    </row>
    <row r="1034" spans="1:7">
      <c r="A1034" s="62">
        <v>154.32382025130934</v>
      </c>
      <c r="B1034" s="62">
        <v>161.51975777785825</v>
      </c>
      <c r="C1034" s="62">
        <v>152.53221884251053</v>
      </c>
      <c r="D1034" s="62">
        <v>161.29334661081222</v>
      </c>
      <c r="E1034" s="62">
        <v>132594225.10684244</v>
      </c>
      <c r="F1034" s="62" t="s">
        <v>1081</v>
      </c>
      <c r="G1034" s="25">
        <f t="shared" si="16"/>
        <v>-4.3210253280439259E-2</v>
      </c>
    </row>
    <row r="1035" spans="1:7">
      <c r="A1035" s="62">
        <v>163.42948675207231</v>
      </c>
      <c r="B1035" s="62">
        <v>163.88230908616427</v>
      </c>
      <c r="C1035" s="62">
        <v>156.77496723367685</v>
      </c>
      <c r="D1035" s="62">
        <v>157.1785697488458</v>
      </c>
      <c r="E1035" s="62">
        <v>109972471.83016136</v>
      </c>
      <c r="F1035" s="62" t="s">
        <v>1082</v>
      </c>
      <c r="G1035" s="25">
        <f t="shared" si="16"/>
        <v>3.9769524644579723E-2</v>
      </c>
    </row>
    <row r="1036" spans="1:7">
      <c r="A1036" s="62">
        <v>156.99153443693825</v>
      </c>
      <c r="B1036" s="62">
        <v>158.20234198244512</v>
      </c>
      <c r="C1036" s="62">
        <v>153.88084188100194</v>
      </c>
      <c r="D1036" s="62">
        <v>155.68228725358532</v>
      </c>
      <c r="E1036" s="62">
        <v>90376730.295475349</v>
      </c>
      <c r="F1036" s="62" t="s">
        <v>1083</v>
      </c>
      <c r="G1036" s="25">
        <f t="shared" si="16"/>
        <v>8.4097375908946947E-3</v>
      </c>
    </row>
    <row r="1037" spans="1:7">
      <c r="A1037" s="62">
        <v>155.49525194167776</v>
      </c>
      <c r="B1037" s="62">
        <v>155.76103896386218</v>
      </c>
      <c r="C1037" s="62">
        <v>150.87843292669632</v>
      </c>
      <c r="D1037" s="62">
        <v>154.26475646860169</v>
      </c>
      <c r="E1037" s="62">
        <v>125005808.32327035</v>
      </c>
      <c r="F1037" s="62" t="s">
        <v>1084</v>
      </c>
      <c r="G1037" s="25">
        <f t="shared" si="16"/>
        <v>7.976517133558847E-3</v>
      </c>
    </row>
    <row r="1038" spans="1:7">
      <c r="A1038" s="62">
        <v>155.19008906435488</v>
      </c>
      <c r="B1038" s="62">
        <v>163.60667810019524</v>
      </c>
      <c r="C1038" s="62">
        <v>154.79633051297054</v>
      </c>
      <c r="D1038" s="62">
        <v>159.31470989010589</v>
      </c>
      <c r="E1038" s="62">
        <v>133835895.66429727</v>
      </c>
      <c r="F1038" s="62" t="s">
        <v>1085</v>
      </c>
      <c r="G1038" s="25">
        <f t="shared" si="16"/>
        <v>-2.5889767671774533E-2</v>
      </c>
    </row>
    <row r="1039" spans="1:7">
      <c r="A1039" s="62">
        <v>161.08662337133543</v>
      </c>
      <c r="B1039" s="62">
        <v>161.94797020248868</v>
      </c>
      <c r="C1039" s="62">
        <v>156.45011642878478</v>
      </c>
      <c r="D1039" s="62">
        <v>156.76512326989226</v>
      </c>
      <c r="E1039" s="62">
        <v>132280852.35705407</v>
      </c>
      <c r="F1039" s="62" t="s">
        <v>1086</v>
      </c>
      <c r="G1039" s="25">
        <f t="shared" si="16"/>
        <v>2.7566718995290396E-2</v>
      </c>
    </row>
    <row r="1040" spans="1:7">
      <c r="A1040" s="62">
        <v>154.12694097561715</v>
      </c>
      <c r="B1040" s="62">
        <v>157.29669731426111</v>
      </c>
      <c r="C1040" s="62">
        <v>152.95550928524872</v>
      </c>
      <c r="D1040" s="62">
        <v>153.47723936583299</v>
      </c>
      <c r="E1040" s="62">
        <v>89459076.574103072</v>
      </c>
      <c r="F1040" s="62" t="s">
        <v>1087</v>
      </c>
      <c r="G1040" s="25">
        <f t="shared" si="16"/>
        <v>4.2332114681546962E-3</v>
      </c>
    </row>
    <row r="1041" spans="1:7">
      <c r="A1041" s="62">
        <v>154.35335214266317</v>
      </c>
      <c r="B1041" s="62">
        <v>159.80690807933632</v>
      </c>
      <c r="C1041" s="62">
        <v>154.27460043238628</v>
      </c>
      <c r="D1041" s="62">
        <v>159.71831240527484</v>
      </c>
      <c r="E1041" s="62">
        <v>97138959.561706513</v>
      </c>
      <c r="F1041" s="62" t="s">
        <v>1088</v>
      </c>
      <c r="G1041" s="25">
        <f t="shared" si="16"/>
        <v>-3.3590138674884251E-2</v>
      </c>
    </row>
    <row r="1042" spans="1:7">
      <c r="A1042" s="62">
        <v>160.33848212370518</v>
      </c>
      <c r="B1042" s="62">
        <v>160.62395707345883</v>
      </c>
      <c r="C1042" s="62">
        <v>155.9874501309082</v>
      </c>
      <c r="D1042" s="62">
        <v>158.60594449761408</v>
      </c>
      <c r="E1042" s="62">
        <v>97568802.670903623</v>
      </c>
      <c r="F1042" s="62" t="s">
        <v>1089</v>
      </c>
      <c r="G1042" s="25">
        <f t="shared" si="16"/>
        <v>1.0923535253227312E-2</v>
      </c>
    </row>
    <row r="1043" spans="1:7">
      <c r="A1043" s="62">
        <v>159.26549007118285</v>
      </c>
      <c r="B1043" s="62">
        <v>165.25052161258705</v>
      </c>
      <c r="C1043" s="62">
        <v>158.9800151214292</v>
      </c>
      <c r="D1043" s="62">
        <v>163.86262115859509</v>
      </c>
      <c r="E1043" s="62">
        <v>86227891.383262336</v>
      </c>
      <c r="F1043" s="62" t="s">
        <v>1090</v>
      </c>
      <c r="G1043" s="25">
        <f t="shared" si="16"/>
        <v>-2.8054787937041969E-2</v>
      </c>
    </row>
    <row r="1044" spans="1:7">
      <c r="A1044" s="62">
        <v>163.82324530345662</v>
      </c>
      <c r="B1044" s="62">
        <v>168.85351079739164</v>
      </c>
      <c r="C1044" s="62">
        <v>163.32120315044159</v>
      </c>
      <c r="D1044" s="62">
        <v>166.27439228582418</v>
      </c>
      <c r="E1044" s="62">
        <v>88610411.322706878</v>
      </c>
      <c r="F1044" s="62" t="s">
        <v>1091</v>
      </c>
      <c r="G1044" s="25">
        <f t="shared" si="16"/>
        <v>-1.4741578355337293E-2</v>
      </c>
    </row>
    <row r="1045" spans="1:7">
      <c r="A1045" s="62">
        <v>164.62060637000994</v>
      </c>
      <c r="B1045" s="62">
        <v>166.24486039447035</v>
      </c>
      <c r="C1045" s="62">
        <v>163.50823846234917</v>
      </c>
      <c r="D1045" s="62">
        <v>166.12673282905504</v>
      </c>
      <c r="E1045" s="62">
        <v>69006566.344962209</v>
      </c>
      <c r="F1045" s="62" t="s">
        <v>1092</v>
      </c>
      <c r="G1045" s="25">
        <f t="shared" si="16"/>
        <v>-9.0661294145530924E-3</v>
      </c>
    </row>
    <row r="1046" spans="1:7">
      <c r="A1046" s="62">
        <v>164.78795375434828</v>
      </c>
      <c r="B1046" s="62">
        <v>165.20140023330185</v>
      </c>
      <c r="C1046" s="62">
        <v>161.35241039351988</v>
      </c>
      <c r="D1046" s="62">
        <v>162.44509037361144</v>
      </c>
      <c r="E1046" s="62">
        <v>68797320.349642664</v>
      </c>
      <c r="F1046" s="62" t="s">
        <v>1093</v>
      </c>
      <c r="G1046" s="25">
        <f t="shared" si="16"/>
        <v>1.4422494243121919E-2</v>
      </c>
    </row>
    <row r="1047" spans="1:7">
      <c r="A1047" s="62">
        <v>162.49431019253447</v>
      </c>
      <c r="B1047" s="62">
        <v>163.99886161737405</v>
      </c>
      <c r="C1047" s="62">
        <v>161.01771562484319</v>
      </c>
      <c r="D1047" s="62">
        <v>161.36225435730447</v>
      </c>
      <c r="E1047" s="62">
        <v>70118036.301516414</v>
      </c>
      <c r="F1047" s="62" t="s">
        <v>1094</v>
      </c>
      <c r="G1047" s="25">
        <f t="shared" si="16"/>
        <v>7.0156173743289862E-3</v>
      </c>
    </row>
    <row r="1048" spans="1:7">
      <c r="A1048" s="62">
        <v>162.71087739579585</v>
      </c>
      <c r="B1048" s="62">
        <v>168.59756773899184</v>
      </c>
      <c r="C1048" s="62">
        <v>162.46477830118064</v>
      </c>
      <c r="D1048" s="62">
        <v>167.95771009299227</v>
      </c>
      <c r="E1048" s="62">
        <v>76523418.460539341</v>
      </c>
      <c r="F1048" s="62" t="s">
        <v>1095</v>
      </c>
      <c r="G1048" s="25">
        <f t="shared" si="16"/>
        <v>-3.1239010666979428E-2</v>
      </c>
    </row>
    <row r="1049" spans="1:7">
      <c r="A1049" s="62">
        <v>167.74114288973087</v>
      </c>
      <c r="B1049" s="62">
        <v>168.37115657194582</v>
      </c>
      <c r="C1049" s="62">
        <v>164.16778403591795</v>
      </c>
      <c r="D1049" s="62">
        <v>164.77810979056366</v>
      </c>
      <c r="E1049" s="62">
        <v>71738302.319249853</v>
      </c>
      <c r="F1049" s="62" t="s">
        <v>1096</v>
      </c>
      <c r="G1049" s="25">
        <f t="shared" si="16"/>
        <v>1.7981958300973933E-2</v>
      </c>
    </row>
    <row r="1050" spans="1:7">
      <c r="A1050" s="62">
        <v>165.0438968127481</v>
      </c>
      <c r="B1050" s="62">
        <v>167.21941280914663</v>
      </c>
      <c r="C1050" s="62">
        <v>164.03981250671802</v>
      </c>
      <c r="D1050" s="62">
        <v>165.39827950899402</v>
      </c>
      <c r="E1050" s="62">
        <v>80521609.723853186</v>
      </c>
      <c r="F1050" s="62" t="s">
        <v>1097</v>
      </c>
      <c r="G1050" s="25">
        <f t="shared" si="16"/>
        <v>-2.1426020711821092E-3</v>
      </c>
    </row>
    <row r="1051" spans="1:7">
      <c r="A1051" s="62">
        <v>163.16369972988787</v>
      </c>
      <c r="B1051" s="62">
        <v>166.39251985123948</v>
      </c>
      <c r="C1051" s="62">
        <v>162.91760063527263</v>
      </c>
      <c r="D1051" s="62">
        <v>166.07751301013201</v>
      </c>
      <c r="E1051" s="62">
        <v>73391885.20071584</v>
      </c>
      <c r="F1051" s="62" t="s">
        <v>1098</v>
      </c>
      <c r="G1051" s="25">
        <f t="shared" si="16"/>
        <v>-1.7544899531740765E-2</v>
      </c>
    </row>
    <row r="1052" spans="1:7">
      <c r="A1052" s="62">
        <v>167.43598001240801</v>
      </c>
      <c r="B1052" s="62">
        <v>169.09960989200687</v>
      </c>
      <c r="C1052" s="62">
        <v>166.55986723557783</v>
      </c>
      <c r="D1052" s="62">
        <v>169.09960989200687</v>
      </c>
      <c r="E1052" s="62">
        <v>77789302.8413295</v>
      </c>
      <c r="F1052" s="62" t="s">
        <v>1099</v>
      </c>
      <c r="G1052" s="25">
        <f t="shared" si="16"/>
        <v>-9.8381650948887733E-3</v>
      </c>
    </row>
    <row r="1053" spans="1:7">
      <c r="A1053" s="62">
        <v>169.45399258825276</v>
      </c>
      <c r="B1053" s="62">
        <v>170.65495616997504</v>
      </c>
      <c r="C1053" s="62">
        <v>167.1997248815774</v>
      </c>
      <c r="D1053" s="62">
        <v>168.48928413736112</v>
      </c>
      <c r="E1053" s="62">
        <v>78824599.214111239</v>
      </c>
      <c r="F1053" s="62" t="s">
        <v>1100</v>
      </c>
      <c r="G1053" s="25">
        <f t="shared" si="16"/>
        <v>5.725636831035219E-3</v>
      </c>
    </row>
    <row r="1054" spans="1:7">
      <c r="A1054" s="62">
        <v>169.1488297109299</v>
      </c>
      <c r="B1054" s="62">
        <v>170.92074319215945</v>
      </c>
      <c r="C1054" s="62">
        <v>167.47535586754643</v>
      </c>
      <c r="D1054" s="62">
        <v>169.67055979151417</v>
      </c>
      <c r="E1054" s="62">
        <v>90470448.641071305</v>
      </c>
      <c r="F1054" s="62" t="s">
        <v>1101</v>
      </c>
      <c r="G1054" s="25">
        <f t="shared" si="16"/>
        <v>-3.0749593873289349E-3</v>
      </c>
    </row>
    <row r="1055" spans="1:7">
      <c r="A1055" s="62">
        <v>172.32843001335848</v>
      </c>
      <c r="B1055" s="62">
        <v>175.51787427957169</v>
      </c>
      <c r="C1055" s="62">
        <v>171.69349434925121</v>
      </c>
      <c r="D1055" s="62">
        <v>174.73035717680298</v>
      </c>
      <c r="E1055" s="62">
        <v>74565274.320458442</v>
      </c>
      <c r="F1055" s="62" t="s">
        <v>1102</v>
      </c>
      <c r="G1055" s="25">
        <f t="shared" si="16"/>
        <v>-1.3746478873239432E-2</v>
      </c>
    </row>
    <row r="1056" spans="1:7">
      <c r="A1056" s="62">
        <v>175.6556897725562</v>
      </c>
      <c r="B1056" s="62">
        <v>175.70490959147926</v>
      </c>
      <c r="C1056" s="62">
        <v>171.71810425871274</v>
      </c>
      <c r="D1056" s="62">
        <v>171.84607578791267</v>
      </c>
      <c r="E1056" s="62">
        <v>77759309.841917858</v>
      </c>
      <c r="F1056" s="62" t="s">
        <v>1103</v>
      </c>
      <c r="G1056" s="25">
        <f t="shared" si="16"/>
        <v>2.2168757518473914E-2</v>
      </c>
    </row>
    <row r="1057" spans="1:7">
      <c r="A1057" s="62">
        <v>171.59013272951285</v>
      </c>
      <c r="B1057" s="62">
        <v>172.15123866523552</v>
      </c>
      <c r="C1057" s="62">
        <v>169.25711331256059</v>
      </c>
      <c r="D1057" s="62">
        <v>171.31450174354381</v>
      </c>
      <c r="E1057" s="62">
        <v>79999611.66367805</v>
      </c>
      <c r="F1057" s="62" t="s">
        <v>1104</v>
      </c>
      <c r="G1057" s="25">
        <f t="shared" si="16"/>
        <v>1.6089180026430672E-3</v>
      </c>
    </row>
    <row r="1058" spans="1:7">
      <c r="A1058" s="62">
        <v>171.88545164305111</v>
      </c>
      <c r="B1058" s="62">
        <v>175.25208725738725</v>
      </c>
      <c r="C1058" s="62">
        <v>171.67872840357433</v>
      </c>
      <c r="D1058" s="62">
        <v>175.06505194547969</v>
      </c>
      <c r="E1058" s="62">
        <v>104682714.45809375</v>
      </c>
      <c r="F1058" s="62" t="s">
        <v>1105</v>
      </c>
      <c r="G1058" s="25">
        <f t="shared" si="16"/>
        <v>-1.8162393162393098E-2</v>
      </c>
    </row>
    <row r="1059" spans="1:7">
      <c r="A1059" s="62">
        <v>174.99614419898742</v>
      </c>
      <c r="B1059" s="62">
        <v>176.80743353535541</v>
      </c>
      <c r="C1059" s="62">
        <v>173.94284007403428</v>
      </c>
      <c r="D1059" s="62">
        <v>175.76397337418692</v>
      </c>
      <c r="E1059" s="62">
        <v>94101477.8465918</v>
      </c>
      <c r="F1059" s="62" t="s">
        <v>1106</v>
      </c>
      <c r="G1059" s="25">
        <f t="shared" si="16"/>
        <v>-4.3685242229068999E-3</v>
      </c>
    </row>
    <row r="1060" spans="1:7">
      <c r="A1060" s="62">
        <v>176.16757588935585</v>
      </c>
      <c r="B1060" s="62">
        <v>176.21679570827888</v>
      </c>
      <c r="C1060" s="62">
        <v>173.58845737778839</v>
      </c>
      <c r="D1060" s="62">
        <v>173.93299611024969</v>
      </c>
      <c r="E1060" s="62">
        <v>102183878.56858546</v>
      </c>
      <c r="F1060" s="62" t="s">
        <v>1107</v>
      </c>
      <c r="G1060" s="25">
        <f t="shared" si="16"/>
        <v>1.2847359782670154E-2</v>
      </c>
    </row>
    <row r="1061" spans="1:7">
      <c r="A1061" s="62">
        <v>172.86000405772734</v>
      </c>
      <c r="B1061" s="62">
        <v>172.98797558692726</v>
      </c>
      <c r="C1061" s="62">
        <v>169.31617709526824</v>
      </c>
      <c r="D1061" s="62">
        <v>169.48352447960659</v>
      </c>
      <c r="E1061" s="62">
        <v>91804397.067469552</v>
      </c>
      <c r="F1061" s="62" t="s">
        <v>1108</v>
      </c>
      <c r="G1061" s="25">
        <f t="shared" si="16"/>
        <v>1.9922169948306978E-2</v>
      </c>
    </row>
    <row r="1062" spans="1:7">
      <c r="A1062" s="62">
        <v>171.9937352446818</v>
      </c>
      <c r="B1062" s="62">
        <v>172.54499721661989</v>
      </c>
      <c r="C1062" s="62">
        <v>170.05447437911388</v>
      </c>
      <c r="D1062" s="62">
        <v>171.16684228677465</v>
      </c>
      <c r="E1062" s="62">
        <v>81822889.399427414</v>
      </c>
      <c r="F1062" s="62" t="s">
        <v>1109</v>
      </c>
      <c r="G1062" s="25">
        <f t="shared" si="16"/>
        <v>4.8309178743963788E-3</v>
      </c>
    </row>
    <row r="1063" spans="1:7">
      <c r="A1063" s="62">
        <v>171.35387759868223</v>
      </c>
      <c r="B1063" s="62">
        <v>171.42278534517447</v>
      </c>
      <c r="C1063" s="62">
        <v>167.55410757782332</v>
      </c>
      <c r="D1063" s="62">
        <v>168.39084449951505</v>
      </c>
      <c r="E1063" s="62">
        <v>91560086.944776878</v>
      </c>
      <c r="F1063" s="62" t="s">
        <v>1110</v>
      </c>
      <c r="G1063" s="25">
        <f t="shared" si="16"/>
        <v>1.7596165088272997E-2</v>
      </c>
    </row>
    <row r="1064" spans="1:7">
      <c r="A1064" s="62">
        <v>167.55410757782332</v>
      </c>
      <c r="B1064" s="62">
        <v>169.9461907774832</v>
      </c>
      <c r="C1064" s="62">
        <v>165.03405284896351</v>
      </c>
      <c r="D1064" s="62">
        <v>165.3687476176402</v>
      </c>
      <c r="E1064" s="62">
        <v>99617060.917396322</v>
      </c>
      <c r="F1064" s="62" t="s">
        <v>1111</v>
      </c>
      <c r="G1064" s="25">
        <f t="shared" si="16"/>
        <v>1.3215072325733823E-2</v>
      </c>
    </row>
    <row r="1065" spans="1:7">
      <c r="A1065" s="62">
        <v>166.1857966117627</v>
      </c>
      <c r="B1065" s="62">
        <v>166.7764344388392</v>
      </c>
      <c r="C1065" s="62">
        <v>162.33680677198075</v>
      </c>
      <c r="D1065" s="62">
        <v>162.92744459905725</v>
      </c>
      <c r="E1065" s="62">
        <v>82824367.078105405</v>
      </c>
      <c r="F1065" s="62" t="s">
        <v>1112</v>
      </c>
      <c r="G1065" s="25">
        <f t="shared" si="16"/>
        <v>1.9998791613799805E-2</v>
      </c>
    </row>
    <row r="1066" spans="1:7">
      <c r="A1066" s="62">
        <v>162.79947306985733</v>
      </c>
      <c r="B1066" s="62">
        <v>163.75433755696437</v>
      </c>
      <c r="C1066" s="62">
        <v>160.4713756347974</v>
      </c>
      <c r="D1066" s="62">
        <v>160.95865184213551</v>
      </c>
      <c r="E1066" s="62">
        <v>97330053.316332176</v>
      </c>
      <c r="F1066" s="62" t="s">
        <v>1113</v>
      </c>
      <c r="G1066" s="25">
        <f t="shared" si="16"/>
        <v>1.1436609381689333E-2</v>
      </c>
    </row>
    <row r="1067" spans="1:7">
      <c r="A1067" s="62">
        <v>161.42131814001212</v>
      </c>
      <c r="B1067" s="62">
        <v>161.91351632924255</v>
      </c>
      <c r="C1067" s="62">
        <v>157.26716542290728</v>
      </c>
      <c r="D1067" s="62">
        <v>158.00546270675295</v>
      </c>
      <c r="E1067" s="62">
        <v>125469470.12657121</v>
      </c>
      <c r="F1067" s="62" t="s">
        <v>1114</v>
      </c>
      <c r="G1067" s="25">
        <f t="shared" si="16"/>
        <v>2.1618590742009669E-2</v>
      </c>
    </row>
    <row r="1068" spans="1:7">
      <c r="A1068" s="62">
        <v>158.11374630838364</v>
      </c>
      <c r="B1068" s="62">
        <v>158.48781693219877</v>
      </c>
      <c r="C1068" s="62">
        <v>155.17040113678567</v>
      </c>
      <c r="D1068" s="62">
        <v>156.13510958767733</v>
      </c>
      <c r="E1068" s="62">
        <v>76813951.833332911</v>
      </c>
      <c r="F1068" s="62" t="s">
        <v>1115</v>
      </c>
      <c r="G1068" s="25">
        <f t="shared" si="16"/>
        <v>1.267259315301672E-2</v>
      </c>
    </row>
    <row r="1069" spans="1:7">
      <c r="A1069" s="62">
        <v>157.09981803856897</v>
      </c>
      <c r="B1069" s="62">
        <v>157.5034205537379</v>
      </c>
      <c r="C1069" s="62">
        <v>152.04986461706474</v>
      </c>
      <c r="D1069" s="62">
        <v>154.59945123727837</v>
      </c>
      <c r="E1069" s="62">
        <v>103921712.06475776</v>
      </c>
      <c r="F1069" s="62" t="s">
        <v>1116</v>
      </c>
      <c r="G1069" s="25">
        <f t="shared" si="16"/>
        <v>1.6173193250557105E-2</v>
      </c>
    </row>
    <row r="1070" spans="1:7">
      <c r="A1070" s="62">
        <v>152.67003433549507</v>
      </c>
      <c r="B1070" s="62">
        <v>153.14254459715627</v>
      </c>
      <c r="C1070" s="62">
        <v>148.03352739294442</v>
      </c>
      <c r="D1070" s="62">
        <v>148.54541350974407</v>
      </c>
      <c r="E1070" s="62">
        <v>94437874.858248591</v>
      </c>
      <c r="F1070" s="62" t="s">
        <v>1117</v>
      </c>
      <c r="G1070" s="25">
        <f t="shared" si="16"/>
        <v>2.7766732935718963E-2</v>
      </c>
    </row>
    <row r="1071" spans="1:7">
      <c r="A1071" s="62">
        <v>148.26978252377504</v>
      </c>
      <c r="B1071" s="62">
        <v>151.71516984838803</v>
      </c>
      <c r="C1071" s="62">
        <v>147.75789640697536</v>
      </c>
      <c r="D1071" s="62">
        <v>149.08683151789754</v>
      </c>
      <c r="E1071" s="62">
        <v>110455618.67060751</v>
      </c>
      <c r="F1071" s="62" t="s">
        <v>1118</v>
      </c>
      <c r="G1071" s="25">
        <f t="shared" si="16"/>
        <v>-5.4803565533178E-3</v>
      </c>
    </row>
    <row r="1072" spans="1:7">
      <c r="A1072" s="62">
        <v>152.31565163924915</v>
      </c>
      <c r="B1072" s="62">
        <v>156.79465516124608</v>
      </c>
      <c r="C1072" s="62">
        <v>152.08924047220316</v>
      </c>
      <c r="D1072" s="62">
        <v>156.45011642878478</v>
      </c>
      <c r="E1072" s="62">
        <v>98507170.609075323</v>
      </c>
      <c r="F1072" s="62" t="s">
        <v>1119</v>
      </c>
      <c r="G1072" s="25">
        <f t="shared" si="16"/>
        <v>-2.6426728748505712E-2</v>
      </c>
    </row>
    <row r="1073" spans="1:7">
      <c r="A1073" s="62">
        <v>156.04651391361585</v>
      </c>
      <c r="B1073" s="62">
        <v>157.88733514133764</v>
      </c>
      <c r="C1073" s="62">
        <v>153.54614711232523</v>
      </c>
      <c r="D1073" s="62">
        <v>157.70029982943007</v>
      </c>
      <c r="E1073" s="62">
        <v>107011804.70077099</v>
      </c>
      <c r="F1073" s="62" t="s">
        <v>1120</v>
      </c>
      <c r="G1073" s="25">
        <f t="shared" si="16"/>
        <v>-1.0486891385767527E-2</v>
      </c>
    </row>
    <row r="1074" spans="1:7">
      <c r="A1074" s="62">
        <v>160.40738987019745</v>
      </c>
      <c r="B1074" s="62">
        <v>160.86021220428944</v>
      </c>
      <c r="C1074" s="62">
        <v>156.92262669044601</v>
      </c>
      <c r="D1074" s="62">
        <v>158.95540521196767</v>
      </c>
      <c r="E1074" s="62">
        <v>92904552.476100057</v>
      </c>
      <c r="F1074" s="62" t="s">
        <v>1121</v>
      </c>
      <c r="G1074" s="25">
        <f t="shared" si="16"/>
        <v>9.1345409506116138E-3</v>
      </c>
    </row>
    <row r="1075" spans="1:7">
      <c r="A1075" s="62">
        <v>154.98336582487809</v>
      </c>
      <c r="B1075" s="62">
        <v>160.33848212370518</v>
      </c>
      <c r="C1075" s="62">
        <v>153.3689557642023</v>
      </c>
      <c r="D1075" s="62">
        <v>156.34183282715409</v>
      </c>
      <c r="E1075" s="62">
        <v>133227105.33032934</v>
      </c>
      <c r="F1075" s="62" t="s">
        <v>1122</v>
      </c>
      <c r="G1075" s="25">
        <f t="shared" si="16"/>
        <v>-8.689081979599611E-3</v>
      </c>
    </row>
    <row r="1076" spans="1:7">
      <c r="A1076" s="62">
        <v>156.81434308881532</v>
      </c>
      <c r="B1076" s="62">
        <v>162.44509037361144</v>
      </c>
      <c r="C1076" s="62">
        <v>156.55840003041547</v>
      </c>
      <c r="D1076" s="62">
        <v>160.8109923853664</v>
      </c>
      <c r="E1076" s="62">
        <v>97947175.659823358</v>
      </c>
      <c r="F1076" s="62" t="s">
        <v>1123</v>
      </c>
      <c r="G1076" s="25">
        <f t="shared" si="16"/>
        <v>-2.4853085210577719E-2</v>
      </c>
    </row>
    <row r="1077" spans="1:7">
      <c r="A1077" s="62">
        <v>160.62395707345883</v>
      </c>
      <c r="B1077" s="62">
        <v>162.9668204541957</v>
      </c>
      <c r="C1077" s="62">
        <v>159.57065294850571</v>
      </c>
      <c r="D1077" s="62">
        <v>161.92336029302717</v>
      </c>
      <c r="E1077" s="62">
        <v>85148212.482308045</v>
      </c>
      <c r="F1077" s="62" t="s">
        <v>1124</v>
      </c>
      <c r="G1077" s="25">
        <f t="shared" si="16"/>
        <v>-8.0248039394492654E-3</v>
      </c>
    </row>
    <row r="1078" spans="1:7">
      <c r="A1078" s="62">
        <v>163.63620999154907</v>
      </c>
      <c r="B1078" s="62">
        <v>166.27439228582418</v>
      </c>
      <c r="C1078" s="62">
        <v>162.9668204541957</v>
      </c>
      <c r="D1078" s="62">
        <v>165.84125787930139</v>
      </c>
      <c r="E1078" s="62">
        <v>77893867.427559435</v>
      </c>
      <c r="F1078" s="62" t="s">
        <v>1125</v>
      </c>
      <c r="G1078" s="25">
        <f t="shared" si="16"/>
        <v>-1.3296135810530019E-2</v>
      </c>
    </row>
    <row r="1079" spans="1:7">
      <c r="A1079" s="62">
        <v>163.96106079644116</v>
      </c>
      <c r="B1079" s="62">
        <v>164.74857789920986</v>
      </c>
      <c r="C1079" s="62">
        <v>160.40738987019745</v>
      </c>
      <c r="D1079" s="62">
        <v>161.82492065518107</v>
      </c>
      <c r="E1079" s="62">
        <v>80988463.330850959</v>
      </c>
      <c r="F1079" s="62" t="s">
        <v>1126</v>
      </c>
      <c r="G1079" s="25">
        <f t="shared" si="16"/>
        <v>1.3200316320944205E-2</v>
      </c>
    </row>
    <row r="1080" spans="1:7">
      <c r="A1080" s="62">
        <v>160.65348896481265</v>
      </c>
      <c r="B1080" s="62">
        <v>164.00043665157958</v>
      </c>
      <c r="C1080" s="62">
        <v>159.44268141930581</v>
      </c>
      <c r="D1080" s="62">
        <v>162.12516155061164</v>
      </c>
      <c r="E1080" s="62">
        <v>84797574.256129608</v>
      </c>
      <c r="F1080" s="62" t="s">
        <v>1127</v>
      </c>
      <c r="G1080" s="25">
        <f t="shared" si="16"/>
        <v>-9.0773854701113876E-3</v>
      </c>
    </row>
    <row r="1081" spans="1:7">
      <c r="A1081" s="62">
        <v>162.54353001145753</v>
      </c>
      <c r="B1081" s="62">
        <v>162.83884892499577</v>
      </c>
      <c r="C1081" s="62">
        <v>159.8955037533978</v>
      </c>
      <c r="D1081" s="62">
        <v>160.51567347182814</v>
      </c>
      <c r="E1081" s="62">
        <v>96563367.236909539</v>
      </c>
      <c r="F1081" s="62" t="s">
        <v>1128</v>
      </c>
      <c r="G1081" s="25">
        <f t="shared" si="16"/>
        <v>1.2633386483503095E-2</v>
      </c>
    </row>
    <row r="1082" spans="1:7">
      <c r="A1082" s="62">
        <v>162.27774298927309</v>
      </c>
      <c r="B1082" s="62">
        <v>162.54353001145753</v>
      </c>
      <c r="C1082" s="62">
        <v>158.36358610923699</v>
      </c>
      <c r="D1082" s="62">
        <v>161.28350264702763</v>
      </c>
      <c r="E1082" s="62">
        <v>93432101.145886883</v>
      </c>
      <c r="F1082" s="62" t="s">
        <v>1129</v>
      </c>
      <c r="G1082" s="25">
        <f t="shared" si="16"/>
        <v>6.16455078125E-3</v>
      </c>
    </row>
    <row r="1083" spans="1:7">
      <c r="A1083" s="62">
        <v>160.20066663072069</v>
      </c>
      <c r="B1083" s="62">
        <v>160.30895023235135</v>
      </c>
      <c r="C1083" s="62">
        <v>149.62824952605101</v>
      </c>
      <c r="D1083" s="62">
        <v>150.19919942555833</v>
      </c>
      <c r="E1083" s="62">
        <v>143384863.13885987</v>
      </c>
      <c r="F1083" s="62" t="s">
        <v>1130</v>
      </c>
      <c r="G1083" s="25">
        <f t="shared" si="16"/>
        <v>6.6588019399659082E-2</v>
      </c>
    </row>
    <row r="1084" spans="1:7">
      <c r="A1084" s="62">
        <v>157.57232830023017</v>
      </c>
      <c r="B1084" s="62">
        <v>163.5574582812722</v>
      </c>
      <c r="C1084" s="62">
        <v>157.25732145912269</v>
      </c>
      <c r="D1084" s="62">
        <v>162.95697649041108</v>
      </c>
      <c r="E1084" s="62">
        <v>91435979.417897284</v>
      </c>
      <c r="F1084" s="62" t="s">
        <v>1131</v>
      </c>
      <c r="G1084" s="25">
        <f t="shared" ref="G1084:G1147" si="17">A1084/D1084-1</f>
        <v>-3.3043373202851223E-2</v>
      </c>
    </row>
    <row r="1085" spans="1:7">
      <c r="A1085" s="62">
        <v>161.75601290868883</v>
      </c>
      <c r="B1085" s="62">
        <v>164.08903232564109</v>
      </c>
      <c r="C1085" s="62">
        <v>159.61987276742877</v>
      </c>
      <c r="D1085" s="62">
        <v>162.40571451847299</v>
      </c>
      <c r="E1085" s="62">
        <v>92607774.667493343</v>
      </c>
      <c r="F1085" s="62" t="s">
        <v>1132</v>
      </c>
      <c r="G1085" s="25">
        <f t="shared" si="17"/>
        <v>-4.000484907261459E-3</v>
      </c>
    </row>
    <row r="1086" spans="1:7">
      <c r="A1086" s="62">
        <v>164.68951411650221</v>
      </c>
      <c r="B1086" s="62">
        <v>167.8802380980074</v>
      </c>
      <c r="C1086" s="62">
        <v>163.59683413641065</v>
      </c>
      <c r="D1086" s="62">
        <v>167.17019299022357</v>
      </c>
      <c r="E1086" s="62">
        <v>84084699.833432913</v>
      </c>
      <c r="F1086" s="62" t="s">
        <v>1133</v>
      </c>
      <c r="G1086" s="25">
        <f t="shared" si="17"/>
        <v>-1.4839241549876259E-2</v>
      </c>
    </row>
    <row r="1087" spans="1:7">
      <c r="A1087" s="62">
        <v>166.24486039447035</v>
      </c>
      <c r="B1087" s="62">
        <v>169.22758142120676</v>
      </c>
      <c r="C1087" s="62">
        <v>165.84125787930139</v>
      </c>
      <c r="D1087" s="62">
        <v>168.36131260816123</v>
      </c>
      <c r="E1087" s="62">
        <v>70692401.47836116</v>
      </c>
      <c r="F1087" s="62" t="s">
        <v>1134</v>
      </c>
      <c r="G1087" s="25">
        <f t="shared" si="17"/>
        <v>-1.2570893995205612E-2</v>
      </c>
    </row>
    <row r="1088" spans="1:7">
      <c r="A1088" s="62">
        <v>169.85759510342174</v>
      </c>
      <c r="B1088" s="62">
        <v>170.6352682424058</v>
      </c>
      <c r="C1088" s="62">
        <v>167.39660415726959</v>
      </c>
      <c r="D1088" s="62">
        <v>169.16851763849911</v>
      </c>
      <c r="E1088" s="62">
        <v>62147118.110748231</v>
      </c>
      <c r="F1088" s="62" t="s">
        <v>1135</v>
      </c>
      <c r="G1088" s="25">
        <f t="shared" si="17"/>
        <v>4.0733197556008793E-3</v>
      </c>
    </row>
    <row r="1089" spans="1:7">
      <c r="A1089" s="62">
        <v>170.09385023425233</v>
      </c>
      <c r="B1089" s="62">
        <v>170.25135365480605</v>
      </c>
      <c r="C1089" s="62">
        <v>167.59348343296173</v>
      </c>
      <c r="D1089" s="62">
        <v>168.30224882545357</v>
      </c>
      <c r="E1089" s="62">
        <v>65305319.489811517</v>
      </c>
      <c r="F1089" s="62" t="s">
        <v>1136</v>
      </c>
      <c r="G1089" s="25">
        <f t="shared" si="17"/>
        <v>1.0645142422647247E-2</v>
      </c>
    </row>
    <row r="1090" spans="1:7">
      <c r="A1090" s="62">
        <v>166.24486039447035</v>
      </c>
      <c r="B1090" s="62">
        <v>166.93393785939298</v>
      </c>
      <c r="C1090" s="62">
        <v>163.96106079644116</v>
      </c>
      <c r="D1090" s="62">
        <v>164.75842186299445</v>
      </c>
      <c r="E1090" s="62">
        <v>87551652.85629563</v>
      </c>
      <c r="F1090" s="62" t="s">
        <v>1137</v>
      </c>
      <c r="G1090" s="25">
        <f t="shared" si="17"/>
        <v>9.0219274660929827E-3</v>
      </c>
    </row>
    <row r="1091" spans="1:7">
      <c r="A1091" s="62">
        <v>166.00860526363974</v>
      </c>
      <c r="B1091" s="62">
        <v>170.37932518400601</v>
      </c>
      <c r="C1091" s="62">
        <v>165.41796743656323</v>
      </c>
      <c r="D1091" s="62">
        <v>169.64102790016034</v>
      </c>
      <c r="E1091" s="62">
        <v>100234711.50338349</v>
      </c>
      <c r="F1091" s="62" t="s">
        <v>1138</v>
      </c>
      <c r="G1091" s="25">
        <f t="shared" si="17"/>
        <v>-2.1412406429524911E-2</v>
      </c>
    </row>
    <row r="1092" spans="1:7">
      <c r="A1092" s="62">
        <v>169.43430466068355</v>
      </c>
      <c r="B1092" s="62">
        <v>172.74187649231203</v>
      </c>
      <c r="C1092" s="62">
        <v>168.87319872496087</v>
      </c>
      <c r="D1092" s="62">
        <v>171.42278534517447</v>
      </c>
      <c r="E1092" s="62">
        <v>92306210.16919221</v>
      </c>
      <c r="F1092" s="62" t="s">
        <v>1139</v>
      </c>
      <c r="G1092" s="25">
        <f t="shared" si="17"/>
        <v>-1.1599862179855203E-2</v>
      </c>
    </row>
    <row r="1093" spans="1:7">
      <c r="A1093" s="62">
        <v>173.52939359508073</v>
      </c>
      <c r="B1093" s="62">
        <v>173.89362025511127</v>
      </c>
      <c r="C1093" s="62">
        <v>172.17092659280476</v>
      </c>
      <c r="D1093" s="62">
        <v>173.30298242803474</v>
      </c>
      <c r="E1093" s="62">
        <v>72414973.845654175</v>
      </c>
      <c r="F1093" s="62" t="s">
        <v>1140</v>
      </c>
      <c r="G1093" s="25">
        <f t="shared" si="17"/>
        <v>1.3064470320931498E-3</v>
      </c>
    </row>
    <row r="1094" spans="1:7">
      <c r="A1094" s="62">
        <v>172.10201884631249</v>
      </c>
      <c r="B1094" s="62">
        <v>172.61390496311213</v>
      </c>
      <c r="C1094" s="62">
        <v>168.75507115954557</v>
      </c>
      <c r="D1094" s="62">
        <v>169.0503900730838</v>
      </c>
      <c r="E1094" s="62">
        <v>76015331.463325873</v>
      </c>
      <c r="F1094" s="62" t="s">
        <v>1141</v>
      </c>
      <c r="G1094" s="25">
        <f t="shared" si="17"/>
        <v>1.8051592616316503E-2</v>
      </c>
    </row>
    <row r="1095" spans="1:7">
      <c r="A1095" s="62">
        <v>168.98148232659156</v>
      </c>
      <c r="B1095" s="62">
        <v>171.23161556847739</v>
      </c>
      <c r="C1095" s="62">
        <v>168.28256089788434</v>
      </c>
      <c r="D1095" s="62">
        <v>170.1627579807446</v>
      </c>
      <c r="E1095" s="62">
        <v>78475709.267424315</v>
      </c>
      <c r="F1095" s="62" t="s">
        <v>1142</v>
      </c>
      <c r="G1095" s="25">
        <f t="shared" si="17"/>
        <v>-6.9420340159667138E-3</v>
      </c>
    </row>
    <row r="1096" spans="1:7">
      <c r="A1096" s="62">
        <v>169.70009168286796</v>
      </c>
      <c r="B1096" s="62">
        <v>171.38340949003606</v>
      </c>
      <c r="C1096" s="62">
        <v>168.01677387569993</v>
      </c>
      <c r="D1096" s="62">
        <v>169.00117025416077</v>
      </c>
      <c r="E1096" s="62">
        <v>83772555.247447714</v>
      </c>
      <c r="F1096" s="62" t="s">
        <v>1143</v>
      </c>
      <c r="G1096" s="25">
        <f t="shared" si="17"/>
        <v>4.1356011183595331E-3</v>
      </c>
    </row>
    <row r="1097" spans="1:7">
      <c r="A1097" s="62">
        <v>169.98556663262158</v>
      </c>
      <c r="B1097" s="62">
        <v>173.26916868002638</v>
      </c>
      <c r="C1097" s="62">
        <v>169.21871445232404</v>
      </c>
      <c r="D1097" s="62">
        <v>171.53893386963452</v>
      </c>
      <c r="E1097" s="62">
        <v>90951163.095002621</v>
      </c>
      <c r="F1097" s="62" t="s">
        <v>1144</v>
      </c>
      <c r="G1097" s="25">
        <f t="shared" si="17"/>
        <v>-9.0554791380098587E-3</v>
      </c>
    </row>
    <row r="1098" spans="1:7">
      <c r="A1098" s="62">
        <v>172.87600946605076</v>
      </c>
      <c r="B1098" s="62">
        <v>172.91533521888653</v>
      </c>
      <c r="C1098" s="62">
        <v>170.40831847560611</v>
      </c>
      <c r="D1098" s="62">
        <v>171.79946698217151</v>
      </c>
      <c r="E1098" s="62">
        <v>86370126.318609878</v>
      </c>
      <c r="F1098" s="62" t="s">
        <v>1145</v>
      </c>
      <c r="G1098" s="25">
        <f t="shared" si="17"/>
        <v>6.2662737131249369E-3</v>
      </c>
    </row>
    <row r="1099" spans="1:7">
      <c r="A1099" s="62">
        <v>171.66674256635079</v>
      </c>
      <c r="B1099" s="62">
        <v>171.89286564515649</v>
      </c>
      <c r="C1099" s="62">
        <v>169.40551177829394</v>
      </c>
      <c r="D1099" s="62">
        <v>171.0768562738142</v>
      </c>
      <c r="E1099" s="62">
        <v>87692064.139281735</v>
      </c>
      <c r="F1099" s="62" t="s">
        <v>1146</v>
      </c>
      <c r="G1099" s="25">
        <f t="shared" si="17"/>
        <v>3.4480776966843152E-3</v>
      </c>
    </row>
    <row r="1100" spans="1:7">
      <c r="A1100" s="62">
        <v>171.83387701590283</v>
      </c>
      <c r="B1100" s="62">
        <v>172.05016865649955</v>
      </c>
      <c r="C1100" s="62">
        <v>166.65270907978993</v>
      </c>
      <c r="D1100" s="62">
        <v>167.29175256337123</v>
      </c>
      <c r="E1100" s="62">
        <v>117522571.51441133</v>
      </c>
      <c r="F1100" s="62" t="s">
        <v>1147</v>
      </c>
      <c r="G1100" s="25">
        <f t="shared" si="17"/>
        <v>2.7150916784203227E-2</v>
      </c>
    </row>
    <row r="1101" spans="1:7">
      <c r="A1101" s="62">
        <v>167.45888701292327</v>
      </c>
      <c r="B1101" s="62">
        <v>167.47854988934114</v>
      </c>
      <c r="C1101" s="62">
        <v>160.05581404158931</v>
      </c>
      <c r="D1101" s="62">
        <v>162.91676256039167</v>
      </c>
      <c r="E1101" s="62">
        <v>183020689.5226455</v>
      </c>
      <c r="F1101" s="62" t="s">
        <v>1148</v>
      </c>
      <c r="G1101" s="25">
        <f t="shared" si="17"/>
        <v>2.7880031380121961E-2</v>
      </c>
    </row>
    <row r="1102" spans="1:7">
      <c r="A1102" s="62">
        <v>156.53615916278778</v>
      </c>
      <c r="B1102" s="62">
        <v>161.07828361531935</v>
      </c>
      <c r="C1102" s="62">
        <v>155.61200397114715</v>
      </c>
      <c r="D1102" s="62">
        <v>159.71171370427629</v>
      </c>
      <c r="E1102" s="62">
        <v>124045572.38539945</v>
      </c>
      <c r="F1102" s="62" t="s">
        <v>1149</v>
      </c>
      <c r="G1102" s="25">
        <f t="shared" si="17"/>
        <v>-1.9883040935672391E-2</v>
      </c>
    </row>
    <row r="1103" spans="1:7">
      <c r="A1103" s="62">
        <v>156.99823675860807</v>
      </c>
      <c r="B1103" s="62">
        <v>161.61842283051868</v>
      </c>
      <c r="C1103" s="62">
        <v>155.15975781353578</v>
      </c>
      <c r="D1103" s="62">
        <v>160.7440147162153</v>
      </c>
      <c r="E1103" s="62">
        <v>110131707.79175632</v>
      </c>
      <c r="F1103" s="62" t="s">
        <v>1150</v>
      </c>
      <c r="G1103" s="25">
        <f t="shared" si="17"/>
        <v>-2.3302752293578033E-2</v>
      </c>
    </row>
    <row r="1104" spans="1:7">
      <c r="A1104" s="62">
        <v>157.08671970248858</v>
      </c>
      <c r="B1104" s="62">
        <v>160.01648828875352</v>
      </c>
      <c r="C1104" s="62">
        <v>154.37324275682036</v>
      </c>
      <c r="D1104" s="62">
        <v>156.30020464577314</v>
      </c>
      <c r="E1104" s="62">
        <v>117783751.00264372</v>
      </c>
      <c r="F1104" s="62" t="s">
        <v>1151</v>
      </c>
      <c r="G1104" s="25">
        <f t="shared" si="17"/>
        <v>5.0320795068563573E-3</v>
      </c>
    </row>
    <row r="1105" spans="1:7">
      <c r="A1105" s="62">
        <v>158.89570433293406</v>
      </c>
      <c r="B1105" s="62">
        <v>159.56424213114218</v>
      </c>
      <c r="C1105" s="62">
        <v>152.09234909234561</v>
      </c>
      <c r="D1105" s="62">
        <v>157.3226742195032</v>
      </c>
      <c r="E1105" s="62">
        <v>165496321.63888231</v>
      </c>
      <c r="F1105" s="62" t="s">
        <v>1152</v>
      </c>
      <c r="G1105" s="25">
        <f t="shared" si="17"/>
        <v>9.9987501562304182E-3</v>
      </c>
    </row>
    <row r="1106" spans="1:7">
      <c r="A1106" s="62">
        <v>159.67238795144053</v>
      </c>
      <c r="B1106" s="62">
        <v>163.52631172934613</v>
      </c>
      <c r="C1106" s="62">
        <v>159.56424213114218</v>
      </c>
      <c r="D1106" s="62">
        <v>161.64359131233357</v>
      </c>
      <c r="E1106" s="62">
        <v>124955123.9494693</v>
      </c>
      <c r="F1106" s="62" t="s">
        <v>1153</v>
      </c>
      <c r="G1106" s="25">
        <f t="shared" si="17"/>
        <v>-1.2194751087187927E-2</v>
      </c>
    </row>
    <row r="1107" spans="1:7">
      <c r="A1107" s="62">
        <v>161.73698997531852</v>
      </c>
      <c r="B1107" s="62">
        <v>166.81984352934199</v>
      </c>
      <c r="C1107" s="62">
        <v>161.41255251442342</v>
      </c>
      <c r="D1107" s="62">
        <v>164.16535521292741</v>
      </c>
      <c r="E1107" s="62">
        <v>92987936.309097126</v>
      </c>
      <c r="F1107" s="62" t="s">
        <v>1154</v>
      </c>
      <c r="G1107" s="25">
        <f t="shared" si="17"/>
        <v>-1.4792190681518824E-2</v>
      </c>
    </row>
    <row r="1108" spans="1:7">
      <c r="A1108" s="62">
        <v>163.42799734725668</v>
      </c>
      <c r="B1108" s="62">
        <v>168.19624487859397</v>
      </c>
      <c r="C1108" s="62">
        <v>163.14288563919735</v>
      </c>
      <c r="D1108" s="62">
        <v>167.13444955202814</v>
      </c>
      <c r="E1108" s="62">
        <v>96440610.198571742</v>
      </c>
      <c r="F1108" s="62" t="s">
        <v>1155</v>
      </c>
      <c r="G1108" s="25">
        <f t="shared" si="17"/>
        <v>-2.2176470588235353E-2</v>
      </c>
    </row>
    <row r="1109" spans="1:7">
      <c r="A1109" s="62">
        <v>166.93782078784929</v>
      </c>
      <c r="B1109" s="62">
        <v>169.63163485709961</v>
      </c>
      <c r="C1109" s="62">
        <v>166.54947897859606</v>
      </c>
      <c r="D1109" s="62">
        <v>168.6189967215785</v>
      </c>
      <c r="E1109" s="62">
        <v>92731833.392464876</v>
      </c>
      <c r="F1109" s="62" t="s">
        <v>1156</v>
      </c>
      <c r="G1109" s="25">
        <f t="shared" si="17"/>
        <v>-9.9702641245407175E-3</v>
      </c>
    </row>
    <row r="1110" spans="1:7">
      <c r="A1110" s="62">
        <v>170.15270108217359</v>
      </c>
      <c r="B1110" s="62">
        <v>170.85073319500853</v>
      </c>
      <c r="C1110" s="62">
        <v>168.20607631680292</v>
      </c>
      <c r="D1110" s="62">
        <v>168.45186227202649</v>
      </c>
      <c r="E1110" s="62">
        <v>81819951.761309743</v>
      </c>
      <c r="F1110" s="62" t="s">
        <v>1157</v>
      </c>
      <c r="G1110" s="25">
        <f t="shared" si="17"/>
        <v>1.0096883389751232E-2</v>
      </c>
    </row>
    <row r="1111" spans="1:7">
      <c r="A1111" s="62">
        <v>169.28753451978662</v>
      </c>
      <c r="B1111" s="62">
        <v>173.64286164634831</v>
      </c>
      <c r="C1111" s="62">
        <v>168.89427699142891</v>
      </c>
      <c r="D1111" s="62">
        <v>172.8170208367971</v>
      </c>
      <c r="E1111" s="62">
        <v>85954626.580607727</v>
      </c>
      <c r="F1111" s="62" t="s">
        <v>1158</v>
      </c>
      <c r="G1111" s="25">
        <f t="shared" si="17"/>
        <v>-2.0423256343156226E-2</v>
      </c>
    </row>
    <row r="1112" spans="1:7">
      <c r="A1112" s="62">
        <v>172.57123488157353</v>
      </c>
      <c r="B1112" s="62">
        <v>174.1934221860491</v>
      </c>
      <c r="C1112" s="62">
        <v>171.87320276873859</v>
      </c>
      <c r="D1112" s="62">
        <v>173.15128973590117</v>
      </c>
      <c r="E1112" s="62">
        <v>76087721.257258207</v>
      </c>
      <c r="F1112" s="62" t="s">
        <v>1159</v>
      </c>
      <c r="G1112" s="25">
        <f t="shared" si="17"/>
        <v>-3.3499886441064053E-3</v>
      </c>
    </row>
    <row r="1113" spans="1:7">
      <c r="A1113" s="62">
        <v>172.12882016217111</v>
      </c>
      <c r="B1113" s="62">
        <v>172.22713454426054</v>
      </c>
      <c r="C1113" s="62">
        <v>167.94062748516146</v>
      </c>
      <c r="D1113" s="62">
        <v>169.41534321650286</v>
      </c>
      <c r="E1113" s="62">
        <v>77443717.167182505</v>
      </c>
      <c r="F1113" s="62" t="s">
        <v>1160</v>
      </c>
      <c r="G1113" s="25">
        <f t="shared" si="17"/>
        <v>1.6016713091922208E-2</v>
      </c>
    </row>
    <row r="1114" spans="1:7">
      <c r="A1114" s="62">
        <v>169.28753451978662</v>
      </c>
      <c r="B1114" s="62">
        <v>169.59230910426385</v>
      </c>
      <c r="C1114" s="62">
        <v>165.33529635979158</v>
      </c>
      <c r="D1114" s="62">
        <v>166.2299572368054</v>
      </c>
      <c r="E1114" s="62">
        <v>108596066.75133692</v>
      </c>
      <c r="F1114" s="62" t="s">
        <v>1161</v>
      </c>
      <c r="G1114" s="25">
        <f t="shared" si="17"/>
        <v>1.8393659806009044E-2</v>
      </c>
    </row>
    <row r="1115" spans="1:7">
      <c r="A1115" s="62">
        <v>169.26787164336872</v>
      </c>
      <c r="B1115" s="62">
        <v>171.20466497053047</v>
      </c>
      <c r="C1115" s="62">
        <v>168.14708768754926</v>
      </c>
      <c r="D1115" s="62">
        <v>169.97573519441261</v>
      </c>
      <c r="E1115" s="62">
        <v>88195791.050314471</v>
      </c>
      <c r="F1115" s="62" t="s">
        <v>1162</v>
      </c>
      <c r="G1115" s="25">
        <f t="shared" si="17"/>
        <v>-4.1644976574700676E-3</v>
      </c>
    </row>
    <row r="1116" spans="1:7">
      <c r="A1116" s="62">
        <v>169.10073719381671</v>
      </c>
      <c r="B1116" s="62">
        <v>172.34511180276786</v>
      </c>
      <c r="C1116" s="62">
        <v>168.74680541829477</v>
      </c>
      <c r="D1116" s="62">
        <v>169.7889378684427</v>
      </c>
      <c r="E1116" s="62">
        <v>98565390.882337674</v>
      </c>
      <c r="F1116" s="62" t="s">
        <v>1163</v>
      </c>
      <c r="G1116" s="25">
        <f t="shared" si="17"/>
        <v>-4.0532715691951049E-3</v>
      </c>
    </row>
    <row r="1117" spans="1:7">
      <c r="A1117" s="62">
        <v>171.97151715082799</v>
      </c>
      <c r="B1117" s="62">
        <v>177.133022210523</v>
      </c>
      <c r="C1117" s="62">
        <v>171.69623688097761</v>
      </c>
      <c r="D1117" s="62">
        <v>176.58246167082223</v>
      </c>
      <c r="E1117" s="62">
        <v>96158466.331006482</v>
      </c>
      <c r="F1117" s="62" t="s">
        <v>1164</v>
      </c>
      <c r="G1117" s="25">
        <f t="shared" si="17"/>
        <v>-2.611213184121175E-2</v>
      </c>
    </row>
    <row r="1118" spans="1:7">
      <c r="A1118" s="62">
        <v>176.67094461470268</v>
      </c>
      <c r="B1118" s="62">
        <v>179.85633059440016</v>
      </c>
      <c r="C1118" s="62">
        <v>176.10072119858401</v>
      </c>
      <c r="D1118" s="62">
        <v>179.55155600992293</v>
      </c>
      <c r="E1118" s="62">
        <v>101013133.46979657</v>
      </c>
      <c r="F1118" s="62" t="s">
        <v>1165</v>
      </c>
      <c r="G1118" s="25">
        <f t="shared" si="17"/>
        <v>-1.6043366369161705E-2</v>
      </c>
    </row>
    <row r="1119" spans="1:7">
      <c r="A1119" s="62">
        <v>178.94200684096847</v>
      </c>
      <c r="B1119" s="62">
        <v>179.7973419651465</v>
      </c>
      <c r="C1119" s="62">
        <v>174.71448841112309</v>
      </c>
      <c r="D1119" s="62">
        <v>174.83246566963038</v>
      </c>
      <c r="E1119" s="62">
        <v>106496341.40482326</v>
      </c>
      <c r="F1119" s="62" t="s">
        <v>1166</v>
      </c>
      <c r="G1119" s="25">
        <f t="shared" si="17"/>
        <v>2.3505595231400722E-2</v>
      </c>
    </row>
    <row r="1120" spans="1:7">
      <c r="A1120" s="62">
        <v>174.57684827619786</v>
      </c>
      <c r="B1120" s="62">
        <v>176.20886701888236</v>
      </c>
      <c r="C1120" s="62">
        <v>174.27207369172064</v>
      </c>
      <c r="D1120" s="62">
        <v>175.08316734395842</v>
      </c>
      <c r="E1120" s="62">
        <v>65160620.082754478</v>
      </c>
      <c r="F1120" s="62" t="s">
        <v>1167</v>
      </c>
      <c r="G1120" s="25">
        <f t="shared" si="17"/>
        <v>-2.8918774742398012E-3</v>
      </c>
    </row>
    <row r="1121" spans="1:7">
      <c r="A1121" s="62">
        <v>175.19622888336124</v>
      </c>
      <c r="B1121" s="62">
        <v>177.5262797388807</v>
      </c>
      <c r="C1121" s="62">
        <v>175.0880830630629</v>
      </c>
      <c r="D1121" s="62">
        <v>176.44482153589701</v>
      </c>
      <c r="E1121" s="62">
        <v>60797833.165069908</v>
      </c>
      <c r="F1121" s="62" t="s">
        <v>1168</v>
      </c>
      <c r="G1121" s="25">
        <f t="shared" si="17"/>
        <v>-7.0763915974816349E-3</v>
      </c>
    </row>
    <row r="1122" spans="1:7">
      <c r="A1122" s="62">
        <v>176.35633859201653</v>
      </c>
      <c r="B1122" s="62">
        <v>177.58526836813436</v>
      </c>
      <c r="C1122" s="62">
        <v>175.13724025410761</v>
      </c>
      <c r="D1122" s="62">
        <v>176.30718140097181</v>
      </c>
      <c r="E1122" s="62">
        <v>63417914.729186237</v>
      </c>
      <c r="F1122" s="62" t="s">
        <v>1169</v>
      </c>
      <c r="G1122" s="25">
        <f t="shared" si="17"/>
        <v>2.7881559136777589E-4</v>
      </c>
    </row>
    <row r="1123" spans="1:7">
      <c r="A1123" s="62">
        <v>176.26785564813602</v>
      </c>
      <c r="B1123" s="62">
        <v>178.27346904276038</v>
      </c>
      <c r="C1123" s="62">
        <v>175.52066634425637</v>
      </c>
      <c r="D1123" s="62">
        <v>177.12319077231405</v>
      </c>
      <c r="E1123" s="62">
        <v>80501283.045250744</v>
      </c>
      <c r="F1123" s="62" t="s">
        <v>1170</v>
      </c>
      <c r="G1123" s="25">
        <f t="shared" si="17"/>
        <v>-4.8290408525755169E-3</v>
      </c>
    </row>
    <row r="1124" spans="1:7">
      <c r="A1124" s="62">
        <v>177.29032522186611</v>
      </c>
      <c r="B1124" s="62">
        <v>177.37880816574656</v>
      </c>
      <c r="C1124" s="62">
        <v>174.08527636575073</v>
      </c>
      <c r="D1124" s="62">
        <v>174.10002352306415</v>
      </c>
      <c r="E1124" s="62">
        <v>76204091.820311666</v>
      </c>
      <c r="F1124" s="62" t="s">
        <v>1171</v>
      </c>
      <c r="G1124" s="25">
        <f t="shared" si="17"/>
        <v>1.8324533416156141E-2</v>
      </c>
    </row>
    <row r="1125" spans="1:7">
      <c r="A1125" s="62">
        <v>173.30859274724423</v>
      </c>
      <c r="B1125" s="62">
        <v>173.86888641077189</v>
      </c>
      <c r="C1125" s="62">
        <v>172.31561748814102</v>
      </c>
      <c r="D1125" s="62">
        <v>172.88584090425971</v>
      </c>
      <c r="E1125" s="62">
        <v>69528552.737911507</v>
      </c>
      <c r="F1125" s="62" t="s">
        <v>1172</v>
      </c>
      <c r="G1125" s="25">
        <f t="shared" si="17"/>
        <v>2.4452658515778936E-3</v>
      </c>
    </row>
    <row r="1126" spans="1:7">
      <c r="A1126" s="62">
        <v>172.67938070187188</v>
      </c>
      <c r="B1126" s="62">
        <v>172.89567234246866</v>
      </c>
      <c r="C1126" s="62">
        <v>169.24820876695085</v>
      </c>
      <c r="D1126" s="62">
        <v>170.12320676754675</v>
      </c>
      <c r="E1126" s="62">
        <v>93714979.478986368</v>
      </c>
      <c r="F1126" s="62" t="s">
        <v>1173</v>
      </c>
      <c r="G1126" s="25">
        <f t="shared" si="17"/>
        <v>1.5025427646786937E-2</v>
      </c>
    </row>
    <row r="1127" spans="1:7">
      <c r="A1127" s="62">
        <v>170.07404957650206</v>
      </c>
      <c r="B1127" s="62">
        <v>170.28050977888984</v>
      </c>
      <c r="C1127" s="62">
        <v>166.26928298964117</v>
      </c>
      <c r="D1127" s="62">
        <v>168.66323819351877</v>
      </c>
      <c r="E1127" s="62">
        <v>92749303.878099799</v>
      </c>
      <c r="F1127" s="62" t="s">
        <v>1174</v>
      </c>
      <c r="G1127" s="25">
        <f t="shared" si="17"/>
        <v>8.3646643933432685E-3</v>
      </c>
    </row>
    <row r="1128" spans="1:7">
      <c r="A1128" s="62">
        <v>166.88866359680458</v>
      </c>
      <c r="B1128" s="62">
        <v>167.70467296814684</v>
      </c>
      <c r="C1128" s="62">
        <v>164.63726424695668</v>
      </c>
      <c r="D1128" s="62">
        <v>165.44344218008999</v>
      </c>
      <c r="E1128" s="62">
        <v>109342205.80486088</v>
      </c>
      <c r="F1128" s="62" t="s">
        <v>1175</v>
      </c>
      <c r="G1128" s="25">
        <f t="shared" si="17"/>
        <v>8.7354409317803583E-3</v>
      </c>
    </row>
    <row r="1129" spans="1:7">
      <c r="A1129" s="62">
        <v>168.25523350784761</v>
      </c>
      <c r="B1129" s="62">
        <v>170.5459586105313</v>
      </c>
      <c r="C1129" s="62">
        <v>166.82967496755091</v>
      </c>
      <c r="D1129" s="62">
        <v>167.06562948456556</v>
      </c>
      <c r="E1129" s="62">
        <v>199282583.92732909</v>
      </c>
      <c r="F1129" s="62" t="s">
        <v>1176</v>
      </c>
      <c r="G1129" s="25">
        <f t="shared" si="17"/>
        <v>7.1205790619663922E-3</v>
      </c>
    </row>
    <row r="1130" spans="1:7">
      <c r="A1130" s="62">
        <v>169.35635458724923</v>
      </c>
      <c r="B1130" s="62">
        <v>178.08667171679045</v>
      </c>
      <c r="C1130" s="62">
        <v>167.87180741769885</v>
      </c>
      <c r="D1130" s="62">
        <v>176.2580242099271</v>
      </c>
      <c r="E1130" s="62">
        <v>152760806.51494974</v>
      </c>
      <c r="F1130" s="62" t="s">
        <v>1177</v>
      </c>
      <c r="G1130" s="25">
        <f t="shared" si="17"/>
        <v>-3.9156626506024139E-2</v>
      </c>
    </row>
    <row r="1131" spans="1:7">
      <c r="A1131" s="62">
        <v>176.277687086345</v>
      </c>
      <c r="B1131" s="62">
        <v>176.47431585052382</v>
      </c>
      <c r="C1131" s="62">
        <v>169.40629829335066</v>
      </c>
      <c r="D1131" s="62">
        <v>172.15831447679795</v>
      </c>
      <c r="E1131" s="62">
        <v>133310360.31003356</v>
      </c>
      <c r="F1131" s="62" t="s">
        <v>1178</v>
      </c>
      <c r="G1131" s="25">
        <f t="shared" si="17"/>
        <v>2.3927816800868085E-2</v>
      </c>
    </row>
    <row r="1132" spans="1:7">
      <c r="A1132" s="62">
        <v>171.39146229650041</v>
      </c>
      <c r="B1132" s="62">
        <v>174.7439827257499</v>
      </c>
      <c r="C1132" s="62">
        <v>169.30719739620451</v>
      </c>
      <c r="D1132" s="62">
        <v>172.29595461172312</v>
      </c>
      <c r="E1132" s="62">
        <v>141770083.92649755</v>
      </c>
      <c r="F1132" s="62" t="s">
        <v>1179</v>
      </c>
      <c r="G1132" s="25">
        <f t="shared" si="17"/>
        <v>-5.2496433666189279E-3</v>
      </c>
    </row>
    <row r="1133" spans="1:7">
      <c r="A1133" s="62">
        <v>172.77769508396133</v>
      </c>
      <c r="B1133" s="62">
        <v>179.0599840994758</v>
      </c>
      <c r="C1133" s="62">
        <v>172.57123488157353</v>
      </c>
      <c r="D1133" s="62">
        <v>178.06209312126811</v>
      </c>
      <c r="E1133" s="62">
        <v>155864295.48081091</v>
      </c>
      <c r="F1133" s="62" t="s">
        <v>1180</v>
      </c>
      <c r="G1133" s="25">
        <f t="shared" si="17"/>
        <v>-2.9677276868288138E-2</v>
      </c>
    </row>
    <row r="1134" spans="1:7">
      <c r="A1134" s="62">
        <v>176.42515865947911</v>
      </c>
      <c r="B1134" s="62">
        <v>176.60212454724009</v>
      </c>
      <c r="C1134" s="62">
        <v>171.74539407202232</v>
      </c>
      <c r="D1134" s="62">
        <v>172.25171313978291</v>
      </c>
      <c r="E1134" s="62">
        <v>117381331.75167377</v>
      </c>
      <c r="F1134" s="62" t="s">
        <v>1181</v>
      </c>
      <c r="G1134" s="25">
        <f t="shared" si="17"/>
        <v>2.422876059473178E-2</v>
      </c>
    </row>
    <row r="1135" spans="1:7">
      <c r="A1135" s="62">
        <v>171.61758537530608</v>
      </c>
      <c r="B1135" s="62">
        <v>173.77067034306455</v>
      </c>
      <c r="C1135" s="62">
        <v>170.98837332993372</v>
      </c>
      <c r="D1135" s="62">
        <v>171.96168571261907</v>
      </c>
      <c r="E1135" s="62">
        <v>110791256.25884648</v>
      </c>
      <c r="F1135" s="62" t="s">
        <v>1182</v>
      </c>
      <c r="G1135" s="25">
        <f t="shared" si="17"/>
        <v>-2.0010291006803405E-3</v>
      </c>
    </row>
    <row r="1136" spans="1:7">
      <c r="A1136" s="62">
        <v>172.12882016217111</v>
      </c>
      <c r="B1136" s="62">
        <v>172.99398672455808</v>
      </c>
      <c r="C1136" s="62">
        <v>167.82265022665413</v>
      </c>
      <c r="D1136" s="62">
        <v>169.22363017142851</v>
      </c>
      <c r="E1136" s="62">
        <v>119004868.37579465</v>
      </c>
      <c r="F1136" s="62" t="s">
        <v>1183</v>
      </c>
      <c r="G1136" s="25">
        <f t="shared" si="17"/>
        <v>1.7167755991285283E-2</v>
      </c>
    </row>
    <row r="1137" spans="1:7">
      <c r="A1137" s="62">
        <v>168.2945592606834</v>
      </c>
      <c r="B1137" s="62">
        <v>168.68781678904114</v>
      </c>
      <c r="C1137" s="62">
        <v>165.50243080934365</v>
      </c>
      <c r="D1137" s="62">
        <v>166.2299572368054</v>
      </c>
      <c r="E1137" s="62">
        <v>122469723.59596115</v>
      </c>
      <c r="F1137" s="62" t="s">
        <v>1184</v>
      </c>
      <c r="G1137" s="25">
        <f t="shared" si="17"/>
        <v>1.2420156139105742E-2</v>
      </c>
    </row>
    <row r="1138" spans="1:7">
      <c r="A1138" s="62">
        <v>162.53333647024289</v>
      </c>
      <c r="B1138" s="62">
        <v>165.05008633735017</v>
      </c>
      <c r="C1138" s="62">
        <v>161.51086689651285</v>
      </c>
      <c r="D1138" s="62">
        <v>161.52069833472177</v>
      </c>
      <c r="E1138" s="62">
        <v>109340037.25133424</v>
      </c>
      <c r="F1138" s="62" t="s">
        <v>1185</v>
      </c>
      <c r="G1138" s="25">
        <f t="shared" si="17"/>
        <v>6.2694016677826703E-3</v>
      </c>
    </row>
    <row r="1139" spans="1:7">
      <c r="A1139" s="62">
        <v>159.11199597353081</v>
      </c>
      <c r="B1139" s="62">
        <v>162.17940469472097</v>
      </c>
      <c r="C1139" s="62">
        <v>157.02773107323492</v>
      </c>
      <c r="D1139" s="62">
        <v>161.25524950308034</v>
      </c>
      <c r="E1139" s="62">
        <v>120046643.72771452</v>
      </c>
      <c r="F1139" s="62" t="s">
        <v>1186</v>
      </c>
      <c r="G1139" s="25">
        <f t="shared" si="17"/>
        <v>-1.3291062065601711E-2</v>
      </c>
    </row>
    <row r="1140" spans="1:7">
      <c r="A1140" s="62">
        <v>160.99963210964782</v>
      </c>
      <c r="B1140" s="62">
        <v>161.43221539084129</v>
      </c>
      <c r="C1140" s="62">
        <v>155.14009493711791</v>
      </c>
      <c r="D1140" s="62">
        <v>156.05933440965407</v>
      </c>
      <c r="E1140" s="62">
        <v>139083591.93634546</v>
      </c>
      <c r="F1140" s="62" t="s">
        <v>1187</v>
      </c>
      <c r="G1140" s="25">
        <f t="shared" si="17"/>
        <v>3.1656534475698273E-2</v>
      </c>
    </row>
    <row r="1141" spans="1:7">
      <c r="A1141" s="62">
        <v>161.99260736875107</v>
      </c>
      <c r="B1141" s="62">
        <v>167.42939269829645</v>
      </c>
      <c r="C1141" s="62">
        <v>161.75665285173642</v>
      </c>
      <c r="D1141" s="62">
        <v>164.65692712337454</v>
      </c>
      <c r="E1141" s="62">
        <v>155036323.02886635</v>
      </c>
      <c r="F1141" s="62" t="s">
        <v>1188</v>
      </c>
      <c r="G1141" s="25">
        <f t="shared" si="17"/>
        <v>-1.6181036541676463E-2</v>
      </c>
    </row>
    <row r="1142" spans="1:7">
      <c r="A1142" s="62">
        <v>162.51367359382502</v>
      </c>
      <c r="B1142" s="62">
        <v>162.72996523442177</v>
      </c>
      <c r="C1142" s="62">
        <v>157.22435983741377</v>
      </c>
      <c r="D1142" s="62">
        <v>157.28826418577191</v>
      </c>
      <c r="E1142" s="62">
        <v>177032141.48432845</v>
      </c>
      <c r="F1142" s="62" t="s">
        <v>1189</v>
      </c>
      <c r="G1142" s="25">
        <f t="shared" si="17"/>
        <v>3.3221864549801472E-2</v>
      </c>
    </row>
    <row r="1143" spans="1:7">
      <c r="A1143" s="62">
        <v>157.53896586009995</v>
      </c>
      <c r="B1143" s="62">
        <v>158.47295248994951</v>
      </c>
      <c r="C1143" s="62">
        <v>156.11350563418532</v>
      </c>
      <c r="D1143" s="62">
        <v>156.68363073592192</v>
      </c>
      <c r="E1143" s="62">
        <v>90269821.275256768</v>
      </c>
      <c r="F1143" s="62" t="s">
        <v>1190</v>
      </c>
      <c r="G1143" s="25">
        <f t="shared" si="17"/>
        <v>5.4589947919934101E-3</v>
      </c>
    </row>
    <row r="1144" spans="1:7">
      <c r="A1144" s="62">
        <v>154.16678255443256</v>
      </c>
      <c r="B1144" s="62">
        <v>157.74542606248772</v>
      </c>
      <c r="C1144" s="62">
        <v>153.72436783503014</v>
      </c>
      <c r="D1144" s="62">
        <v>156.8753437809963</v>
      </c>
      <c r="E1144" s="62">
        <v>78279240.90495345</v>
      </c>
      <c r="F1144" s="62" t="s">
        <v>1191</v>
      </c>
      <c r="G1144" s="25">
        <f t="shared" si="17"/>
        <v>-1.7265691097671731E-2</v>
      </c>
    </row>
    <row r="1145" spans="1:7">
      <c r="A1145" s="62">
        <v>159.21031035562021</v>
      </c>
      <c r="B1145" s="62">
        <v>159.40693911979906</v>
      </c>
      <c r="C1145" s="62">
        <v>156.94907956756336</v>
      </c>
      <c r="D1145" s="62">
        <v>158.04036920875603</v>
      </c>
      <c r="E1145" s="62">
        <v>70654589.413799897</v>
      </c>
      <c r="F1145" s="62" t="s">
        <v>1192</v>
      </c>
      <c r="G1145" s="25">
        <f t="shared" si="17"/>
        <v>7.4027993779159917E-3</v>
      </c>
    </row>
    <row r="1146" spans="1:7">
      <c r="A1146" s="62">
        <v>158.68924413054626</v>
      </c>
      <c r="B1146" s="62">
        <v>159.07267022069504</v>
      </c>
      <c r="C1146" s="62">
        <v>156.37895446582678</v>
      </c>
      <c r="D1146" s="62">
        <v>158.40413242248692</v>
      </c>
      <c r="E1146" s="62">
        <v>97688554.775880873</v>
      </c>
      <c r="F1146" s="62" t="s">
        <v>1193</v>
      </c>
      <c r="G1146" s="25">
        <f t="shared" si="17"/>
        <v>1.7999006951339158E-3</v>
      </c>
    </row>
    <row r="1147" spans="1:7">
      <c r="A1147" s="62">
        <v>158.3058180403975</v>
      </c>
      <c r="B1147" s="62">
        <v>162.90693112218273</v>
      </c>
      <c r="C1147" s="62">
        <v>158.2861551639796</v>
      </c>
      <c r="D1147" s="62">
        <v>158.95469296218772</v>
      </c>
      <c r="E1147" s="62">
        <v>119481897.26010722</v>
      </c>
      <c r="F1147" s="62" t="s">
        <v>1194</v>
      </c>
      <c r="G1147" s="25">
        <f t="shared" si="17"/>
        <v>-4.0821375556654438E-3</v>
      </c>
    </row>
    <row r="1148" spans="1:7">
      <c r="A1148" s="62">
        <v>157.84374044457718</v>
      </c>
      <c r="B1148" s="62">
        <v>158.3058180403975</v>
      </c>
      <c r="C1148" s="62">
        <v>153.89425508728067</v>
      </c>
      <c r="D1148" s="62">
        <v>154.99262336398374</v>
      </c>
      <c r="E1148" s="62">
        <v>119316822.73433501</v>
      </c>
      <c r="F1148" s="62" t="s">
        <v>1195</v>
      </c>
      <c r="G1148" s="25">
        <f t="shared" ref="G1148:G1211" si="18">A1148/D1148-1</f>
        <v>1.8395179194418132E-2</v>
      </c>
    </row>
    <row r="1149" spans="1:7">
      <c r="A1149" s="62">
        <v>155.20891500458049</v>
      </c>
      <c r="B1149" s="62">
        <v>155.99543006129591</v>
      </c>
      <c r="C1149" s="62">
        <v>150.47016178787007</v>
      </c>
      <c r="D1149" s="62">
        <v>151.11903670966029</v>
      </c>
      <c r="E1149" s="62">
        <v>140190753.44910347</v>
      </c>
      <c r="F1149" s="62" t="s">
        <v>1196</v>
      </c>
      <c r="G1149" s="25">
        <f t="shared" si="18"/>
        <v>2.7063951597163349E-2</v>
      </c>
    </row>
    <row r="1150" spans="1:7">
      <c r="A1150" s="62">
        <v>150.90274506906354</v>
      </c>
      <c r="B1150" s="62">
        <v>152.3872922386139</v>
      </c>
      <c r="C1150" s="62">
        <v>148.44488551682784</v>
      </c>
      <c r="D1150" s="62">
        <v>148.44980123593228</v>
      </c>
      <c r="E1150" s="62">
        <v>90329612.12045227</v>
      </c>
      <c r="F1150" s="62" t="s">
        <v>1197</v>
      </c>
      <c r="G1150" s="25">
        <f t="shared" si="18"/>
        <v>1.652372595119056E-2</v>
      </c>
    </row>
    <row r="1151" spans="1:7">
      <c r="A1151" s="62">
        <v>148.45471695503676</v>
      </c>
      <c r="B1151" s="62">
        <v>148.93449113963317</v>
      </c>
      <c r="C1151" s="62">
        <v>146.82269821235226</v>
      </c>
      <c r="D1151" s="62">
        <v>147.41258450488883</v>
      </c>
      <c r="E1151" s="62">
        <v>60272168.466765739</v>
      </c>
      <c r="F1151" s="62" t="s">
        <v>1198</v>
      </c>
      <c r="G1151" s="25">
        <f t="shared" si="18"/>
        <v>7.069494464452486E-3</v>
      </c>
    </row>
    <row r="1152" spans="1:7">
      <c r="A1152" s="62">
        <v>147.47157313414249</v>
      </c>
      <c r="B1152" s="62">
        <v>149.31988351742373</v>
      </c>
      <c r="C1152" s="62">
        <v>146.91118115623274</v>
      </c>
      <c r="D1152" s="62">
        <v>147.83533634787338</v>
      </c>
      <c r="E1152" s="62">
        <v>60238188.697692268</v>
      </c>
      <c r="F1152" s="62" t="s">
        <v>1199</v>
      </c>
      <c r="G1152" s="25">
        <f t="shared" si="18"/>
        <v>-2.4605971935891535E-3</v>
      </c>
    </row>
    <row r="1153" spans="1:7">
      <c r="A1153" s="62">
        <v>147.46174169593354</v>
      </c>
      <c r="B1153" s="62">
        <v>147.8648306625002</v>
      </c>
      <c r="C1153" s="62">
        <v>144.99405070548889</v>
      </c>
      <c r="D1153" s="62">
        <v>145.92803733533847</v>
      </c>
      <c r="E1153" s="62">
        <v>64897939.288234413</v>
      </c>
      <c r="F1153" s="62" t="s">
        <v>1200</v>
      </c>
      <c r="G1153" s="25">
        <f t="shared" si="18"/>
        <v>1.0510004716027588E-2</v>
      </c>
    </row>
    <row r="1154" spans="1:7">
      <c r="A1154" s="62">
        <v>145.37747679563765</v>
      </c>
      <c r="B1154" s="62">
        <v>146.91118115623274</v>
      </c>
      <c r="C1154" s="62">
        <v>145.19166261348866</v>
      </c>
      <c r="D1154" s="62">
        <v>146.44910356041242</v>
      </c>
      <c r="E1154" s="62">
        <v>41702901.578230739</v>
      </c>
      <c r="F1154" s="62" t="s">
        <v>1201</v>
      </c>
      <c r="G1154" s="25">
        <f t="shared" si="18"/>
        <v>-7.317400644468397E-3</v>
      </c>
    </row>
    <row r="1155" spans="1:7">
      <c r="A1155" s="62">
        <v>145.42663398668236</v>
      </c>
      <c r="B1155" s="62">
        <v>147.59938183085873</v>
      </c>
      <c r="C1155" s="62">
        <v>145.35781391921978</v>
      </c>
      <c r="D1155" s="62">
        <v>147.49123601056039</v>
      </c>
      <c r="E1155" s="62">
        <v>66304736.514241412</v>
      </c>
      <c r="F1155" s="62" t="s">
        <v>1202</v>
      </c>
      <c r="G1155" s="25">
        <f t="shared" si="18"/>
        <v>-1.3998133582189265E-2</v>
      </c>
    </row>
    <row r="1156" spans="1:7">
      <c r="A1156" s="62">
        <v>148.26791962906685</v>
      </c>
      <c r="B1156" s="62">
        <v>148.8755025103795</v>
      </c>
      <c r="C1156" s="62">
        <v>147.53066007777824</v>
      </c>
      <c r="D1156" s="62">
        <v>147.66820189832131</v>
      </c>
      <c r="E1156" s="62">
        <v>57761569.358534746</v>
      </c>
      <c r="F1156" s="62" t="s">
        <v>1203</v>
      </c>
      <c r="G1156" s="25">
        <f t="shared" si="18"/>
        <v>4.061251664447596E-3</v>
      </c>
    </row>
    <row r="1157" spans="1:7">
      <c r="A1157" s="62">
        <v>147.90415641533596</v>
      </c>
      <c r="B1157" s="62">
        <v>149.0151089329465</v>
      </c>
      <c r="C1157" s="62">
        <v>147.62887614548555</v>
      </c>
      <c r="D1157" s="62">
        <v>148.85780592160341</v>
      </c>
      <c r="E1157" s="62">
        <v>55964210.760082029</v>
      </c>
      <c r="F1157" s="62" t="s">
        <v>1204</v>
      </c>
      <c r="G1157" s="25">
        <f t="shared" si="18"/>
        <v>-6.4064460735751005E-3</v>
      </c>
    </row>
    <row r="1158" spans="1:7">
      <c r="A1158" s="62">
        <v>148.72999722488717</v>
      </c>
      <c r="B1158" s="62">
        <v>149.63448954010988</v>
      </c>
      <c r="C1158" s="62">
        <v>147.53056176339615</v>
      </c>
      <c r="D1158" s="62">
        <v>149.32971495563265</v>
      </c>
      <c r="E1158" s="62">
        <v>66586273.146133408</v>
      </c>
      <c r="F1158" s="62" t="s">
        <v>1205</v>
      </c>
      <c r="G1158" s="25">
        <f t="shared" si="18"/>
        <v>-4.0160642570279403E-3</v>
      </c>
    </row>
    <row r="1159" spans="1:7">
      <c r="A1159" s="62">
        <v>148.19909956160424</v>
      </c>
      <c r="B1159" s="62">
        <v>149.6422147997836</v>
      </c>
      <c r="C1159" s="62">
        <v>147.88495202676245</v>
      </c>
      <c r="D1159" s="62">
        <v>148.80776041036017</v>
      </c>
      <c r="E1159" s="62">
        <v>61519747.814460389</v>
      </c>
      <c r="F1159" s="62" t="s">
        <v>1206</v>
      </c>
      <c r="G1159" s="25">
        <f t="shared" si="18"/>
        <v>-4.0902493732682954E-3</v>
      </c>
    </row>
    <row r="1160" spans="1:7">
      <c r="A1160" s="62">
        <v>148.71940641618593</v>
      </c>
      <c r="B1160" s="62">
        <v>149.19062771844855</v>
      </c>
      <c r="C1160" s="62">
        <v>147.07994896873043</v>
      </c>
      <c r="D1160" s="62">
        <v>147.63952426516732</v>
      </c>
      <c r="E1160" s="62">
        <v>55527065.93348293</v>
      </c>
      <c r="F1160" s="62" t="s">
        <v>1207</v>
      </c>
      <c r="G1160" s="25">
        <f t="shared" si="18"/>
        <v>7.3143161114437305E-3</v>
      </c>
    </row>
    <row r="1161" spans="1:7">
      <c r="A1161" s="62">
        <v>147.27629117800655</v>
      </c>
      <c r="B1161" s="62">
        <v>148.79794329989636</v>
      </c>
      <c r="C1161" s="62">
        <v>145.93134704446521</v>
      </c>
      <c r="D1161" s="62">
        <v>145.94116415492903</v>
      </c>
      <c r="E1161" s="62">
        <v>70409706.863181472</v>
      </c>
      <c r="F1161" s="62" t="s">
        <v>1208</v>
      </c>
      <c r="G1161" s="25">
        <f t="shared" si="18"/>
        <v>9.1483923045876381E-3</v>
      </c>
    </row>
    <row r="1162" spans="1:7">
      <c r="A1162" s="62">
        <v>146.23567746884319</v>
      </c>
      <c r="B1162" s="62">
        <v>146.96214364316475</v>
      </c>
      <c r="C1162" s="62">
        <v>145.09689265504178</v>
      </c>
      <c r="D1162" s="62">
        <v>146.2602202450027</v>
      </c>
      <c r="E1162" s="62">
        <v>75977812.692441121</v>
      </c>
      <c r="F1162" s="62" t="s">
        <v>1209</v>
      </c>
      <c r="G1162" s="25">
        <f t="shared" si="18"/>
        <v>-1.6780212773093162E-4</v>
      </c>
    </row>
    <row r="1163" spans="1:7">
      <c r="A1163" s="62">
        <v>147.06031474780283</v>
      </c>
      <c r="B1163" s="62">
        <v>147.19775429429609</v>
      </c>
      <c r="C1163" s="62">
        <v>143.73506309150272</v>
      </c>
      <c r="D1163" s="62">
        <v>144.52259169290917</v>
      </c>
      <c r="E1163" s="62">
        <v>127281004.3858529</v>
      </c>
      <c r="F1163" s="62" t="s">
        <v>1210</v>
      </c>
      <c r="G1163" s="25">
        <f t="shared" si="18"/>
        <v>1.7559351968209791E-2</v>
      </c>
    </row>
    <row r="1164" spans="1:7">
      <c r="A1164" s="62">
        <v>149.77965434627689</v>
      </c>
      <c r="B1164" s="62">
        <v>150.36377241887328</v>
      </c>
      <c r="C1164" s="62">
        <v>146.98177786409238</v>
      </c>
      <c r="D1164" s="62">
        <v>147.07994896873043</v>
      </c>
      <c r="E1164" s="62">
        <v>101942306.10827647</v>
      </c>
      <c r="F1164" s="62" t="s">
        <v>1211</v>
      </c>
      <c r="G1164" s="25">
        <f t="shared" si="18"/>
        <v>1.8355359765051427E-2</v>
      </c>
    </row>
    <row r="1165" spans="1:7">
      <c r="A1165" s="62">
        <v>146.12768925374132</v>
      </c>
      <c r="B1165" s="62">
        <v>146.99159497455616</v>
      </c>
      <c r="C1165" s="62">
        <v>145.77427327704436</v>
      </c>
      <c r="D1165" s="62">
        <v>146.62836188739541</v>
      </c>
      <c r="E1165" s="62">
        <v>57139959.061086848</v>
      </c>
      <c r="F1165" s="62" t="s">
        <v>1212</v>
      </c>
      <c r="G1165" s="25">
        <f t="shared" si="18"/>
        <v>-3.4145688269953123E-3</v>
      </c>
    </row>
    <row r="1166" spans="1:7">
      <c r="A1166" s="62">
        <v>146.58909344554016</v>
      </c>
      <c r="B1166" s="62">
        <v>148.08129423603859</v>
      </c>
      <c r="C1166" s="62">
        <v>146.28486119226685</v>
      </c>
      <c r="D1166" s="62">
        <v>146.598910556004</v>
      </c>
      <c r="E1166" s="62">
        <v>62027818.903034724</v>
      </c>
      <c r="F1166" s="62" t="s">
        <v>1213</v>
      </c>
      <c r="G1166" s="25">
        <f t="shared" si="18"/>
        <v>-6.696578048637214E-5</v>
      </c>
    </row>
    <row r="1167" spans="1:7">
      <c r="A1167" s="62">
        <v>145.9215299340014</v>
      </c>
      <c r="B1167" s="62">
        <v>146.6381789978592</v>
      </c>
      <c r="C1167" s="62">
        <v>144.92126454884431</v>
      </c>
      <c r="D1167" s="62">
        <v>145.96079837585665</v>
      </c>
      <c r="E1167" s="62">
        <v>51665463.261314817</v>
      </c>
      <c r="F1167" s="62" t="s">
        <v>1214</v>
      </c>
      <c r="G1167" s="25">
        <f t="shared" si="18"/>
        <v>-2.6903416733947694E-4</v>
      </c>
    </row>
    <row r="1168" spans="1:7">
      <c r="A1168" s="62">
        <v>145.97061548632044</v>
      </c>
      <c r="B1168" s="62">
        <v>147.43336494542743</v>
      </c>
      <c r="C1168" s="62">
        <v>145.9215299340014</v>
      </c>
      <c r="D1168" s="62">
        <v>146.95232653270097</v>
      </c>
      <c r="E1168" s="62">
        <v>59980422.158941336</v>
      </c>
      <c r="F1168" s="62" t="s">
        <v>1215</v>
      </c>
      <c r="G1168" s="25">
        <f t="shared" si="18"/>
        <v>-6.6804729774867511E-3</v>
      </c>
    </row>
    <row r="1169" spans="1:7">
      <c r="A1169" s="62">
        <v>146.74616721296104</v>
      </c>
      <c r="B1169" s="62">
        <v>146.90324098038192</v>
      </c>
      <c r="C1169" s="62">
        <v>145.16561242828843</v>
      </c>
      <c r="D1169" s="62">
        <v>146.0884208118861</v>
      </c>
      <c r="E1169" s="62">
        <v>62565242.824202962</v>
      </c>
      <c r="F1169" s="62" t="s">
        <v>1216</v>
      </c>
      <c r="G1169" s="25">
        <f t="shared" si="18"/>
        <v>4.5023855923660427E-3</v>
      </c>
    </row>
    <row r="1170" spans="1:7">
      <c r="A1170" s="62">
        <v>146.53019078275733</v>
      </c>
      <c r="B1170" s="62">
        <v>147.01505786856467</v>
      </c>
      <c r="C1170" s="62">
        <v>145.41104018988355</v>
      </c>
      <c r="D1170" s="62">
        <v>145.98043259678423</v>
      </c>
      <c r="E1170" s="62">
        <v>59507110.789253548</v>
      </c>
      <c r="F1170" s="62" t="s">
        <v>1217</v>
      </c>
      <c r="G1170" s="25">
        <f t="shared" si="18"/>
        <v>3.7659717552118721E-3</v>
      </c>
    </row>
    <row r="1171" spans="1:7">
      <c r="A1171" s="62">
        <v>146.03933525956708</v>
      </c>
      <c r="B1171" s="62">
        <v>146.44183678858309</v>
      </c>
      <c r="C1171" s="62">
        <v>143.86975384706614</v>
      </c>
      <c r="D1171" s="62">
        <v>144.32134092840116</v>
      </c>
      <c r="E1171" s="62">
        <v>77801807.651652291</v>
      </c>
      <c r="F1171" s="62" t="s">
        <v>1218</v>
      </c>
      <c r="G1171" s="25">
        <f t="shared" si="18"/>
        <v>1.1903952112101157E-2</v>
      </c>
    </row>
    <row r="1172" spans="1:7">
      <c r="A1172" s="62">
        <v>143.86975384706614</v>
      </c>
      <c r="B1172" s="62">
        <v>144.15445005051646</v>
      </c>
      <c r="C1172" s="62">
        <v>140.54175339983613</v>
      </c>
      <c r="D1172" s="62">
        <v>140.82154104805457</v>
      </c>
      <c r="E1172" s="62">
        <v>87183673.15470171</v>
      </c>
      <c r="F1172" s="62" t="s">
        <v>1219</v>
      </c>
      <c r="G1172" s="25">
        <f t="shared" si="18"/>
        <v>2.1645927010352617E-2</v>
      </c>
    </row>
    <row r="1173" spans="1:7">
      <c r="A1173" s="62">
        <v>142.19102795775541</v>
      </c>
      <c r="B1173" s="62">
        <v>142.24502206530636</v>
      </c>
      <c r="C1173" s="62">
        <v>140.8853522660693</v>
      </c>
      <c r="D1173" s="62">
        <v>141.14059713812827</v>
      </c>
      <c r="E1173" s="62">
        <v>69206040.056786001</v>
      </c>
      <c r="F1173" s="62" t="s">
        <v>1220</v>
      </c>
      <c r="G1173" s="25">
        <f t="shared" si="18"/>
        <v>7.44244279056816E-3</v>
      </c>
    </row>
    <row r="1174" spans="1:7">
      <c r="A1174" s="62">
        <v>141.13078002766443</v>
      </c>
      <c r="B1174" s="62">
        <v>141.24858535323011</v>
      </c>
      <c r="C1174" s="62">
        <v>138.92193017330825</v>
      </c>
      <c r="D1174" s="62">
        <v>139.51095680113659</v>
      </c>
      <c r="E1174" s="62">
        <v>71209446.259916022</v>
      </c>
      <c r="F1174" s="62" t="s">
        <v>1221</v>
      </c>
      <c r="G1174" s="25">
        <f t="shared" si="18"/>
        <v>1.1610724086974722E-2</v>
      </c>
    </row>
    <row r="1175" spans="1:7">
      <c r="A1175" s="62">
        <v>138.33290354547995</v>
      </c>
      <c r="B1175" s="62">
        <v>138.81394195820641</v>
      </c>
      <c r="C1175" s="62">
        <v>136.65417765616922</v>
      </c>
      <c r="D1175" s="62">
        <v>138.65195963555362</v>
      </c>
      <c r="E1175" s="62">
        <v>80230044.563917816</v>
      </c>
      <c r="F1175" s="62" t="s">
        <v>1222</v>
      </c>
      <c r="G1175" s="25">
        <f t="shared" si="18"/>
        <v>-2.301129323468043E-3</v>
      </c>
    </row>
    <row r="1176" spans="1:7">
      <c r="A1176" s="62">
        <v>138.92193017330825</v>
      </c>
      <c r="B1176" s="62">
        <v>140.63010739401037</v>
      </c>
      <c r="C1176" s="62">
        <v>138.46062415261406</v>
      </c>
      <c r="D1176" s="62">
        <v>140.61047317308277</v>
      </c>
      <c r="E1176" s="62">
        <v>74396493.010113478</v>
      </c>
      <c r="F1176" s="62" t="s">
        <v>1223</v>
      </c>
      <c r="G1176" s="25">
        <f t="shared" si="18"/>
        <v>-1.2008657404175116E-2</v>
      </c>
    </row>
    <row r="1177" spans="1:7">
      <c r="A1177" s="62">
        <v>140.19815453360295</v>
      </c>
      <c r="B1177" s="62">
        <v>142.161576626364</v>
      </c>
      <c r="C1177" s="62">
        <v>139.21644348722242</v>
      </c>
      <c r="D1177" s="62">
        <v>139.66803056855747</v>
      </c>
      <c r="E1177" s="62">
        <v>65652942.622606829</v>
      </c>
      <c r="F1177" s="62" t="s">
        <v>1224</v>
      </c>
      <c r="G1177" s="25">
        <f t="shared" si="18"/>
        <v>3.7955999156533693E-3</v>
      </c>
    </row>
    <row r="1178" spans="1:7">
      <c r="A1178" s="62">
        <v>140.28650852777719</v>
      </c>
      <c r="B1178" s="62">
        <v>141.54123341615613</v>
      </c>
      <c r="C1178" s="62">
        <v>139.95272677200782</v>
      </c>
      <c r="D1178" s="62">
        <v>141.39584201018718</v>
      </c>
      <c r="E1178" s="62">
        <v>59868079.52980762</v>
      </c>
      <c r="F1178" s="62" t="s">
        <v>1225</v>
      </c>
      <c r="G1178" s="25">
        <f t="shared" si="18"/>
        <v>-7.8455877247795014E-3</v>
      </c>
    </row>
    <row r="1179" spans="1:7">
      <c r="A1179" s="62">
        <v>140.66937583586559</v>
      </c>
      <c r="B1179" s="62">
        <v>141.5774585537676</v>
      </c>
      <c r="C1179" s="62">
        <v>140.1098005394287</v>
      </c>
      <c r="D1179" s="62">
        <v>140.44358229519807</v>
      </c>
      <c r="E1179" s="62">
        <v>62882715.059184</v>
      </c>
      <c r="F1179" s="62" t="s">
        <v>1226</v>
      </c>
      <c r="G1179" s="25">
        <f t="shared" si="18"/>
        <v>1.607717041800738E-3</v>
      </c>
    </row>
    <row r="1180" spans="1:7">
      <c r="A1180" s="62">
        <v>139.40296858603472</v>
      </c>
      <c r="B1180" s="62">
        <v>139.55022524299181</v>
      </c>
      <c r="C1180" s="62">
        <v>135.83935748767342</v>
      </c>
      <c r="D1180" s="62">
        <v>136.91923963869198</v>
      </c>
      <c r="E1180" s="62">
        <v>84771501.050974444</v>
      </c>
      <c r="F1180" s="62" t="s">
        <v>1227</v>
      </c>
      <c r="G1180" s="25">
        <f t="shared" si="18"/>
        <v>1.8140101814010157E-2</v>
      </c>
    </row>
    <row r="1181" spans="1:7">
      <c r="A1181" s="62">
        <v>138.52924575475606</v>
      </c>
      <c r="B1181" s="62">
        <v>139.63857923716606</v>
      </c>
      <c r="C1181" s="62">
        <v>136.81125142359014</v>
      </c>
      <c r="D1181" s="62">
        <v>136.9388738596196</v>
      </c>
      <c r="E1181" s="62">
        <v>82367476.965983957</v>
      </c>
      <c r="F1181" s="62" t="s">
        <v>1228</v>
      </c>
      <c r="G1181" s="25">
        <f t="shared" si="18"/>
        <v>1.1613735751666798E-2</v>
      </c>
    </row>
    <row r="1182" spans="1:7">
      <c r="A1182" s="62">
        <v>136.5952749933864</v>
      </c>
      <c r="B1182" s="62">
        <v>139.60912790577464</v>
      </c>
      <c r="C1182" s="62">
        <v>135.74118638303537</v>
      </c>
      <c r="D1182" s="62">
        <v>139.16735793490338</v>
      </c>
      <c r="E1182" s="62">
        <v>100153714.64190379</v>
      </c>
      <c r="F1182" s="62" t="s">
        <v>1229</v>
      </c>
      <c r="G1182" s="25">
        <f t="shared" si="18"/>
        <v>-1.8481941309255068E-2</v>
      </c>
    </row>
    <row r="1183" spans="1:7">
      <c r="A1183" s="62">
        <v>140.04108076618206</v>
      </c>
      <c r="B1183" s="62">
        <v>140.30614274870479</v>
      </c>
      <c r="C1183" s="62">
        <v>136.56592183309962</v>
      </c>
      <c r="D1183" s="62">
        <v>139.30479748139666</v>
      </c>
      <c r="E1183" s="62">
        <v>96402685.239131197</v>
      </c>
      <c r="F1183" s="62" t="s">
        <v>1230</v>
      </c>
      <c r="G1183" s="25">
        <f t="shared" si="18"/>
        <v>5.285412262156397E-3</v>
      </c>
    </row>
    <row r="1184" spans="1:7">
      <c r="A1184" s="62">
        <v>138.91211306284447</v>
      </c>
      <c r="B1184" s="62">
        <v>141.7374774543276</v>
      </c>
      <c r="C1184" s="62">
        <v>138.69613663264073</v>
      </c>
      <c r="D1184" s="62">
        <v>141.0326089230264</v>
      </c>
      <c r="E1184" s="62">
        <v>90715760.33329086</v>
      </c>
      <c r="F1184" s="62" t="s">
        <v>1231</v>
      </c>
      <c r="G1184" s="25">
        <f t="shared" si="18"/>
        <v>-1.5035500487261544E-2</v>
      </c>
    </row>
    <row r="1185" spans="1:7">
      <c r="A1185" s="62">
        <v>140.21778875453057</v>
      </c>
      <c r="B1185" s="62">
        <v>141.808160649667</v>
      </c>
      <c r="C1185" s="62">
        <v>139.43241991742613</v>
      </c>
      <c r="D1185" s="62">
        <v>139.86437277783358</v>
      </c>
      <c r="E1185" s="62">
        <v>75991855.521082833</v>
      </c>
      <c r="F1185" s="62" t="s">
        <v>1232</v>
      </c>
      <c r="G1185" s="25">
        <f t="shared" si="18"/>
        <v>2.5268477574227344E-3</v>
      </c>
    </row>
    <row r="1186" spans="1:7">
      <c r="A1186" s="62">
        <v>139.31461459186048</v>
      </c>
      <c r="B1186" s="62">
        <v>142.10267396358117</v>
      </c>
      <c r="C1186" s="62">
        <v>139.09863816165677</v>
      </c>
      <c r="D1186" s="62">
        <v>140.63010739401037</v>
      </c>
      <c r="E1186" s="62">
        <v>111002458.82102528</v>
      </c>
      <c r="F1186" s="62" t="s">
        <v>1233</v>
      </c>
      <c r="G1186" s="25">
        <f t="shared" si="18"/>
        <v>-9.3542757417102163E-3</v>
      </c>
    </row>
    <row r="1187" spans="1:7">
      <c r="A1187" s="62">
        <v>142.7113348123371</v>
      </c>
      <c r="B1187" s="62">
        <v>143.29054432970162</v>
      </c>
      <c r="C1187" s="62">
        <v>141.18968269044728</v>
      </c>
      <c r="D1187" s="62">
        <v>142.80950591697516</v>
      </c>
      <c r="E1187" s="62">
        <v>75532132.671203583</v>
      </c>
      <c r="F1187" s="62" t="s">
        <v>1234</v>
      </c>
      <c r="G1187" s="25">
        <f t="shared" si="18"/>
        <v>-6.8742696088541777E-4</v>
      </c>
    </row>
    <row r="1188" spans="1:7">
      <c r="A1188" s="62">
        <v>144.23298693422689</v>
      </c>
      <c r="B1188" s="62">
        <v>144.77302618084084</v>
      </c>
      <c r="C1188" s="62">
        <v>142.8978599111494</v>
      </c>
      <c r="D1188" s="62">
        <v>142.99603101578745</v>
      </c>
      <c r="E1188" s="62">
        <v>54474144.094810523</v>
      </c>
      <c r="F1188" s="62" t="s">
        <v>1235</v>
      </c>
      <c r="G1188" s="25">
        <f t="shared" si="18"/>
        <v>8.6502814774129799E-3</v>
      </c>
    </row>
    <row r="1189" spans="1:7">
      <c r="A1189" s="62">
        <v>144.14463294005267</v>
      </c>
      <c r="B1189" s="62">
        <v>144.3900607016478</v>
      </c>
      <c r="C1189" s="62">
        <v>142.97639679485982</v>
      </c>
      <c r="D1189" s="62">
        <v>143.96792495170416</v>
      </c>
      <c r="E1189" s="62">
        <v>66046083.7626836</v>
      </c>
      <c r="F1189" s="62" t="s">
        <v>1236</v>
      </c>
      <c r="G1189" s="25">
        <f t="shared" si="18"/>
        <v>1.2274122059325876E-3</v>
      </c>
    </row>
    <row r="1190" spans="1:7">
      <c r="A1190" s="62">
        <v>143.18255611459975</v>
      </c>
      <c r="B1190" s="62">
        <v>143.75194852150045</v>
      </c>
      <c r="C1190" s="62">
        <v>141.07197553598624</v>
      </c>
      <c r="D1190" s="62">
        <v>141.808160649667</v>
      </c>
      <c r="E1190" s="62">
        <v>77827728.720885262</v>
      </c>
      <c r="F1190" s="62" t="s">
        <v>1237</v>
      </c>
      <c r="G1190" s="25">
        <f t="shared" si="18"/>
        <v>9.6919349255799592E-3</v>
      </c>
    </row>
    <row r="1191" spans="1:7">
      <c r="A1191" s="62">
        <v>140.80681538235888</v>
      </c>
      <c r="B1191" s="62">
        <v>141.95541730662407</v>
      </c>
      <c r="C1191" s="62">
        <v>140.16870320221153</v>
      </c>
      <c r="D1191" s="62">
        <v>141.29767090554915</v>
      </c>
      <c r="E1191" s="62">
        <v>77246723.747881308</v>
      </c>
      <c r="F1191" s="62" t="s">
        <v>1238</v>
      </c>
      <c r="G1191" s="25">
        <f t="shared" si="18"/>
        <v>-3.4739109289239067E-3</v>
      </c>
    </row>
    <row r="1192" spans="1:7">
      <c r="A1192" s="62">
        <v>140.32577696963241</v>
      </c>
      <c r="B1192" s="62">
        <v>142.19102795775541</v>
      </c>
      <c r="C1192" s="62">
        <v>138.68631952217694</v>
      </c>
      <c r="D1192" s="62">
        <v>141.17004846951968</v>
      </c>
      <c r="E1192" s="62">
        <v>125779233.56903708</v>
      </c>
      <c r="F1192" s="62" t="s">
        <v>1239</v>
      </c>
      <c r="G1192" s="25">
        <f t="shared" si="18"/>
        <v>-5.9805285118220697E-3</v>
      </c>
    </row>
    <row r="1193" spans="1:7">
      <c r="A1193" s="62">
        <v>143.38871543433964</v>
      </c>
      <c r="B1193" s="62">
        <v>146.09823792234991</v>
      </c>
      <c r="C1193" s="62">
        <v>143.09420212042548</v>
      </c>
      <c r="D1193" s="62">
        <v>146.09823792234991</v>
      </c>
      <c r="E1193" s="62">
        <v>132288237.43892239</v>
      </c>
      <c r="F1193" s="62" t="s">
        <v>1240</v>
      </c>
      <c r="G1193" s="25">
        <f t="shared" si="18"/>
        <v>-1.8545894369036531E-2</v>
      </c>
    </row>
    <row r="1194" spans="1:7">
      <c r="A1194" s="62">
        <v>146.0687865909585</v>
      </c>
      <c r="B1194" s="62">
        <v>146.24549457930698</v>
      </c>
      <c r="C1194" s="62">
        <v>144.52848195918745</v>
      </c>
      <c r="D1194" s="62">
        <v>145.72518772472532</v>
      </c>
      <c r="E1194" s="62">
        <v>69301602.799352556</v>
      </c>
      <c r="F1194" s="62" t="s">
        <v>1241</v>
      </c>
      <c r="G1194" s="25">
        <f t="shared" si="18"/>
        <v>2.3578550255995978E-3</v>
      </c>
    </row>
    <row r="1195" spans="1:7">
      <c r="A1195" s="62">
        <v>146.30439724208983</v>
      </c>
      <c r="B1195" s="62">
        <v>146.70689877110584</v>
      </c>
      <c r="C1195" s="62">
        <v>143.69304585871762</v>
      </c>
      <c r="D1195" s="62">
        <v>145.84299305029097</v>
      </c>
      <c r="E1195" s="62">
        <v>84832818.48263821</v>
      </c>
      <c r="F1195" s="62" t="s">
        <v>1242</v>
      </c>
      <c r="G1195" s="25">
        <f t="shared" si="18"/>
        <v>3.1637049003769846E-3</v>
      </c>
    </row>
    <row r="1196" spans="1:7">
      <c r="A1196" s="62">
        <v>145.41104018988355</v>
      </c>
      <c r="B1196" s="62">
        <v>148.30708777670608</v>
      </c>
      <c r="C1196" s="62">
        <v>144.2231698237631</v>
      </c>
      <c r="D1196" s="62">
        <v>147.6002558233121</v>
      </c>
      <c r="E1196" s="62">
        <v>111332448.99603084</v>
      </c>
      <c r="F1196" s="62" t="s">
        <v>1243</v>
      </c>
      <c r="G1196" s="25">
        <f t="shared" si="18"/>
        <v>-1.4832058530096282E-2</v>
      </c>
    </row>
    <row r="1197" spans="1:7">
      <c r="A1197" s="62">
        <v>146.81488698620771</v>
      </c>
      <c r="B1197" s="62">
        <v>148.65068664293926</v>
      </c>
      <c r="C1197" s="62">
        <v>146.02951814910327</v>
      </c>
      <c r="D1197" s="62">
        <v>147.87513491629866</v>
      </c>
      <c r="E1197" s="62">
        <v>104312087.93825318</v>
      </c>
      <c r="F1197" s="62" t="s">
        <v>1244</v>
      </c>
      <c r="G1197" s="25">
        <f t="shared" si="18"/>
        <v>-7.1698864767973935E-3</v>
      </c>
    </row>
    <row r="1198" spans="1:7">
      <c r="A1198" s="62">
        <v>146.24549457930698</v>
      </c>
      <c r="B1198" s="62">
        <v>152.63643349124419</v>
      </c>
      <c r="C1198" s="62">
        <v>145.98043259678423</v>
      </c>
      <c r="D1198" s="62">
        <v>152.16521218898157</v>
      </c>
      <c r="E1198" s="62">
        <v>143518029.58666885</v>
      </c>
      <c r="F1198" s="62" t="s">
        <v>1245</v>
      </c>
      <c r="G1198" s="25">
        <f t="shared" si="18"/>
        <v>-3.890322580645178E-2</v>
      </c>
    </row>
    <row r="1199" spans="1:7">
      <c r="A1199" s="62">
        <v>151.25222091584766</v>
      </c>
      <c r="B1199" s="62">
        <v>153.25491145046396</v>
      </c>
      <c r="C1199" s="62">
        <v>151.134415590282</v>
      </c>
      <c r="D1199" s="62">
        <v>152.64625060170803</v>
      </c>
      <c r="E1199" s="62">
        <v>58373316.885126933</v>
      </c>
      <c r="F1199" s="62" t="s">
        <v>1246</v>
      </c>
      <c r="G1199" s="25">
        <f t="shared" si="18"/>
        <v>-9.1324200913244225E-3</v>
      </c>
    </row>
    <row r="1200" spans="1:7">
      <c r="A1200" s="62">
        <v>152.27320040408344</v>
      </c>
      <c r="B1200" s="62">
        <v>154.16790272359782</v>
      </c>
      <c r="C1200" s="62">
        <v>151.15895836644151</v>
      </c>
      <c r="D1200" s="62">
        <v>154.10900006081499</v>
      </c>
      <c r="E1200" s="62">
        <v>75806630.957632706</v>
      </c>
      <c r="F1200" s="62" t="s">
        <v>1247</v>
      </c>
      <c r="G1200" s="25">
        <f t="shared" si="18"/>
        <v>-1.1912345521722267E-2</v>
      </c>
    </row>
    <row r="1201" spans="1:7">
      <c r="A1201" s="62">
        <v>153.82430385736464</v>
      </c>
      <c r="B1201" s="62">
        <v>154.38387915380153</v>
      </c>
      <c r="C1201" s="62">
        <v>151.56636845068942</v>
      </c>
      <c r="D1201" s="62">
        <v>152.13576085759016</v>
      </c>
      <c r="E1201" s="62">
        <v>83811077.916818798</v>
      </c>
      <c r="F1201" s="62" t="s">
        <v>1248</v>
      </c>
      <c r="G1201" s="25">
        <f t="shared" si="18"/>
        <v>1.1098922372071884E-2</v>
      </c>
    </row>
    <row r="1202" spans="1:7">
      <c r="A1202" s="62">
        <v>151.47801445651521</v>
      </c>
      <c r="B1202" s="62">
        <v>151.80197910182076</v>
      </c>
      <c r="C1202" s="62">
        <v>150.29014409039476</v>
      </c>
      <c r="D1202" s="62">
        <v>150.94789049146971</v>
      </c>
      <c r="E1202" s="62">
        <v>58944091.760346994</v>
      </c>
      <c r="F1202" s="62" t="s">
        <v>1249</v>
      </c>
      <c r="G1202" s="25">
        <f t="shared" si="18"/>
        <v>3.5119667013527867E-3</v>
      </c>
    </row>
    <row r="1203" spans="1:7">
      <c r="A1203" s="62">
        <v>150.83990227636787</v>
      </c>
      <c r="B1203" s="62">
        <v>151.890333095995</v>
      </c>
      <c r="C1203" s="62">
        <v>149.61276346839219</v>
      </c>
      <c r="D1203" s="62">
        <v>151.05587870657158</v>
      </c>
      <c r="E1203" s="62">
        <v>72497215.206451803</v>
      </c>
      <c r="F1203" s="62" t="s">
        <v>1250</v>
      </c>
      <c r="G1203" s="25">
        <f t="shared" si="18"/>
        <v>-1.429778384350433E-3</v>
      </c>
    </row>
    <row r="1204" spans="1:7">
      <c r="A1204" s="62">
        <v>149.72075168349403</v>
      </c>
      <c r="B1204" s="62">
        <v>152.14557796805394</v>
      </c>
      <c r="C1204" s="62">
        <v>149.55386080560936</v>
      </c>
      <c r="D1204" s="62">
        <v>150.03489921833582</v>
      </c>
      <c r="E1204" s="62">
        <v>81809928.997039303</v>
      </c>
      <c r="F1204" s="62" t="s">
        <v>1251</v>
      </c>
      <c r="G1204" s="25">
        <f t="shared" si="18"/>
        <v>-2.0938297454690113E-3</v>
      </c>
    </row>
    <row r="1205" spans="1:7">
      <c r="A1205" s="62">
        <v>149.0531881719553</v>
      </c>
      <c r="B1205" s="62">
        <v>150.00544788694441</v>
      </c>
      <c r="C1205" s="62">
        <v>148.52306420690979</v>
      </c>
      <c r="D1205" s="62">
        <v>149.86800834045113</v>
      </c>
      <c r="E1205" s="62">
        <v>88063710.109756112</v>
      </c>
      <c r="F1205" s="62" t="s">
        <v>1252</v>
      </c>
      <c r="G1205" s="25">
        <f t="shared" si="18"/>
        <v>-5.4369186427354332E-3</v>
      </c>
    </row>
    <row r="1206" spans="1:7">
      <c r="A1206" s="62">
        <v>150.31959542178618</v>
      </c>
      <c r="B1206" s="62">
        <v>150.68282850894698</v>
      </c>
      <c r="C1206" s="62">
        <v>145.89207860261001</v>
      </c>
      <c r="D1206" s="62">
        <v>146.27494591069839</v>
      </c>
      <c r="E1206" s="62">
        <v>92651216.806970492</v>
      </c>
      <c r="F1206" s="62" t="s">
        <v>1253</v>
      </c>
      <c r="G1206" s="25">
        <f t="shared" si="18"/>
        <v>2.765100671140952E-2</v>
      </c>
    </row>
    <row r="1207" spans="1:7">
      <c r="A1207" s="62">
        <v>145.8822614921462</v>
      </c>
      <c r="B1207" s="62">
        <v>146.02951814910327</v>
      </c>
      <c r="C1207" s="62">
        <v>144.14463294005267</v>
      </c>
      <c r="D1207" s="62">
        <v>144.78274512019999</v>
      </c>
      <c r="E1207" s="62">
        <v>56841968.118559949</v>
      </c>
      <c r="F1207" s="62" t="s">
        <v>1254</v>
      </c>
      <c r="G1207" s="25">
        <f t="shared" si="18"/>
        <v>7.5942500678058966E-3</v>
      </c>
    </row>
    <row r="1208" spans="1:7">
      <c r="A1208" s="62">
        <v>144.84164778298282</v>
      </c>
      <c r="B1208" s="62">
        <v>146.39275123626408</v>
      </c>
      <c r="C1208" s="62">
        <v>144.8121964515914</v>
      </c>
      <c r="D1208" s="62">
        <v>145.63683373055105</v>
      </c>
      <c r="E1208" s="62">
        <v>49502544.744885132</v>
      </c>
      <c r="F1208" s="62" t="s">
        <v>1255</v>
      </c>
      <c r="G1208" s="25">
        <f t="shared" si="18"/>
        <v>-5.460060667340727E-3</v>
      </c>
    </row>
    <row r="1209" spans="1:7">
      <c r="A1209" s="62">
        <v>145.64665084101489</v>
      </c>
      <c r="B1209" s="62">
        <v>147.57080449192068</v>
      </c>
      <c r="C1209" s="62">
        <v>145.09689265504178</v>
      </c>
      <c r="D1209" s="62">
        <v>147.07013185826662</v>
      </c>
      <c r="E1209" s="62">
        <v>60090285.443456315</v>
      </c>
      <c r="F1209" s="62" t="s">
        <v>1256</v>
      </c>
      <c r="G1209" s="25">
        <f t="shared" si="18"/>
        <v>-9.6789266404109231E-3</v>
      </c>
    </row>
    <row r="1210" spans="1:7">
      <c r="A1210" s="62">
        <v>146.88360675945432</v>
      </c>
      <c r="B1210" s="62">
        <v>148.10092845696619</v>
      </c>
      <c r="C1210" s="62">
        <v>146.42220256765549</v>
      </c>
      <c r="D1210" s="62">
        <v>146.71671588156963</v>
      </c>
      <c r="E1210" s="62">
        <v>49511949.752635673</v>
      </c>
      <c r="F1210" s="62" t="s">
        <v>1257</v>
      </c>
      <c r="G1210" s="25">
        <f t="shared" si="18"/>
        <v>1.1375041820007592E-3</v>
      </c>
    </row>
    <row r="1211" spans="1:7">
      <c r="A1211" s="62">
        <v>146.97196075362859</v>
      </c>
      <c r="B1211" s="62">
        <v>147.44318205589121</v>
      </c>
      <c r="C1211" s="62">
        <v>145.185246649216</v>
      </c>
      <c r="D1211" s="62">
        <v>145.59756528869585</v>
      </c>
      <c r="E1211" s="62">
        <v>61252045.825194873</v>
      </c>
      <c r="F1211" s="62" t="s">
        <v>1258</v>
      </c>
      <c r="G1211" s="25">
        <f t="shared" si="18"/>
        <v>9.4396871417976591E-3</v>
      </c>
    </row>
    <row r="1212" spans="1:7">
      <c r="A1212" s="62">
        <v>145.47975996313016</v>
      </c>
      <c r="B1212" s="62">
        <v>145.78409038750814</v>
      </c>
      <c r="C1212" s="62">
        <v>144.09554738773363</v>
      </c>
      <c r="D1212" s="62">
        <v>144.74347667834479</v>
      </c>
      <c r="E1212" s="62">
        <v>61677649.674250521</v>
      </c>
      <c r="F1212" s="62" t="s">
        <v>1259</v>
      </c>
      <c r="G1212" s="25">
        <f t="shared" ref="G1212:G1275" si="19">A1212/D1212-1</f>
        <v>5.0868149755831649E-3</v>
      </c>
    </row>
    <row r="1213" spans="1:7">
      <c r="A1213" s="62">
        <v>144.01701050402318</v>
      </c>
      <c r="B1213" s="62">
        <v>145.29323486431787</v>
      </c>
      <c r="C1213" s="62">
        <v>141.85724620198604</v>
      </c>
      <c r="D1213" s="62">
        <v>142.37755305656771</v>
      </c>
      <c r="E1213" s="62">
        <v>88580351.948380604</v>
      </c>
      <c r="F1213" s="62" t="s">
        <v>1260</v>
      </c>
      <c r="G1213" s="25">
        <f t="shared" si="19"/>
        <v>1.1514858994690735E-2</v>
      </c>
    </row>
    <row r="1214" spans="1:7">
      <c r="A1214" s="62">
        <v>143.68322874825384</v>
      </c>
      <c r="B1214" s="62">
        <v>147.9634889104729</v>
      </c>
      <c r="C1214" s="62">
        <v>143.47706942851391</v>
      </c>
      <c r="D1214" s="62">
        <v>147.06031474780283</v>
      </c>
      <c r="E1214" s="62">
        <v>87934214.775595725</v>
      </c>
      <c r="F1214" s="62" t="s">
        <v>1261</v>
      </c>
      <c r="G1214" s="25">
        <f t="shared" si="19"/>
        <v>-2.2963951935914495E-2</v>
      </c>
    </row>
    <row r="1215" spans="1:7">
      <c r="A1215" s="62">
        <v>147.44318205589121</v>
      </c>
      <c r="B1215" s="62">
        <v>148.90593151499823</v>
      </c>
      <c r="C1215" s="62">
        <v>146.36329990487266</v>
      </c>
      <c r="D1215" s="62">
        <v>147.48245049774644</v>
      </c>
      <c r="E1215" s="62">
        <v>93947944.601461008</v>
      </c>
      <c r="F1215" s="62" t="s">
        <v>1262</v>
      </c>
      <c r="G1215" s="25">
        <f t="shared" si="19"/>
        <v>-2.6625840378091681E-4</v>
      </c>
    </row>
    <row r="1216" spans="1:7">
      <c r="A1216" s="62">
        <v>148.35617332902513</v>
      </c>
      <c r="B1216" s="62">
        <v>148.42489310227177</v>
      </c>
      <c r="C1216" s="62">
        <v>143.79121696335568</v>
      </c>
      <c r="D1216" s="62">
        <v>145.81845027413146</v>
      </c>
      <c r="E1216" s="62">
        <v>105488048.01760276</v>
      </c>
      <c r="F1216" s="62" t="s">
        <v>1263</v>
      </c>
      <c r="G1216" s="25">
        <f t="shared" si="19"/>
        <v>1.7403305618204357E-2</v>
      </c>
    </row>
    <row r="1217" spans="1:7">
      <c r="A1217" s="62">
        <v>146.37311701533645</v>
      </c>
      <c r="B1217" s="62">
        <v>146.71121829970991</v>
      </c>
      <c r="C1217" s="62">
        <v>145.55829684684062</v>
      </c>
      <c r="D1217" s="62">
        <v>146.24549457930698</v>
      </c>
      <c r="E1217" s="62">
        <v>60481145.871700153</v>
      </c>
      <c r="F1217" s="62" t="s">
        <v>1264</v>
      </c>
      <c r="G1217" s="25">
        <f t="shared" si="19"/>
        <v>8.7265892461574346E-4</v>
      </c>
    </row>
    <row r="1218" spans="1:7">
      <c r="A1218" s="62">
        <v>146.16695769559652</v>
      </c>
      <c r="B1218" s="62">
        <v>146.32403146301743</v>
      </c>
      <c r="C1218" s="62">
        <v>143.17273900413593</v>
      </c>
      <c r="D1218" s="62">
        <v>143.51633787036911</v>
      </c>
      <c r="E1218" s="62">
        <v>75153593.587457806</v>
      </c>
      <c r="F1218" s="62" t="s">
        <v>1265</v>
      </c>
      <c r="G1218" s="25">
        <f t="shared" si="19"/>
        <v>1.8469115534578195E-2</v>
      </c>
    </row>
    <row r="1219" spans="1:7">
      <c r="A1219" s="62">
        <v>143.19237322506356</v>
      </c>
      <c r="B1219" s="62">
        <v>144.0366447249508</v>
      </c>
      <c r="C1219" s="62">
        <v>142.86840857975798</v>
      </c>
      <c r="D1219" s="62">
        <v>143.37889832387586</v>
      </c>
      <c r="E1219" s="62">
        <v>49396880.25187321</v>
      </c>
      <c r="F1219" s="62" t="s">
        <v>1266</v>
      </c>
      <c r="G1219" s="25">
        <f t="shared" si="19"/>
        <v>-1.3009243409790594E-3</v>
      </c>
    </row>
    <row r="1220" spans="1:7">
      <c r="A1220" s="62">
        <v>142.9371283530046</v>
      </c>
      <c r="B1220" s="62">
        <v>145.00853866086754</v>
      </c>
      <c r="C1220" s="62">
        <v>142.64261503909046</v>
      </c>
      <c r="D1220" s="62">
        <v>143.76176563196427</v>
      </c>
      <c r="E1220" s="62">
        <v>70308958.27696085</v>
      </c>
      <c r="F1220" s="62" t="s">
        <v>1267</v>
      </c>
      <c r="G1220" s="25">
        <f t="shared" si="19"/>
        <v>-5.7361376673041864E-3</v>
      </c>
    </row>
    <row r="1221" spans="1:7">
      <c r="A1221" s="62">
        <v>143.41816676573109</v>
      </c>
      <c r="B1221" s="62">
        <v>144.01701050402318</v>
      </c>
      <c r="C1221" s="62">
        <v>142.85859146929417</v>
      </c>
      <c r="D1221" s="62">
        <v>143.52615498083293</v>
      </c>
      <c r="E1221" s="62">
        <v>49819841.775562793</v>
      </c>
      <c r="F1221" s="62" t="s">
        <v>1268</v>
      </c>
      <c r="G1221" s="25">
        <f t="shared" si="19"/>
        <v>-7.5239398084803177E-4</v>
      </c>
    </row>
    <row r="1222" spans="1:7">
      <c r="A1222" s="62">
        <v>143.46725231805007</v>
      </c>
      <c r="B1222" s="62">
        <v>144.41951203303921</v>
      </c>
      <c r="C1222" s="62">
        <v>142.96657968439604</v>
      </c>
      <c r="D1222" s="62">
        <v>143.67341163779</v>
      </c>
      <c r="E1222" s="62">
        <v>55135177.707901254</v>
      </c>
      <c r="F1222" s="62" t="s">
        <v>1269</v>
      </c>
      <c r="G1222" s="25">
        <f t="shared" si="19"/>
        <v>-1.43491629654946E-3</v>
      </c>
    </row>
    <row r="1223" spans="1:7">
      <c r="A1223" s="62">
        <v>144.1544500505164</v>
      </c>
      <c r="B1223" s="62">
        <v>144.91903913687167</v>
      </c>
      <c r="C1223" s="62">
        <v>143.28203429813669</v>
      </c>
      <c r="D1223" s="62">
        <v>144.07603065704407</v>
      </c>
      <c r="E1223" s="62">
        <v>47332856.779994749</v>
      </c>
      <c r="F1223" s="62" t="s">
        <v>1270</v>
      </c>
      <c r="G1223" s="25">
        <f t="shared" si="19"/>
        <v>5.4429174037284866E-4</v>
      </c>
    </row>
    <row r="1224" spans="1:7">
      <c r="A1224" s="62">
        <v>144.04662338449194</v>
      </c>
      <c r="B1224" s="62">
        <v>144.87002701595145</v>
      </c>
      <c r="C1224" s="62">
        <v>143.38986096416116</v>
      </c>
      <c r="D1224" s="62">
        <v>144.36030095838129</v>
      </c>
      <c r="E1224" s="62">
        <v>57504419.255562924</v>
      </c>
      <c r="F1224" s="62" t="s">
        <v>1271</v>
      </c>
      <c r="G1224" s="25">
        <f t="shared" si="19"/>
        <v>-2.1728797446867176E-3</v>
      </c>
    </row>
    <row r="1225" spans="1:7">
      <c r="A1225" s="62">
        <v>144.44852277603766</v>
      </c>
      <c r="B1225" s="62">
        <v>145.11998883264451</v>
      </c>
      <c r="C1225" s="62">
        <v>142.31159430391659</v>
      </c>
      <c r="D1225" s="62">
        <v>142.92914702751122</v>
      </c>
      <c r="E1225" s="62">
        <v>66092444.872435413</v>
      </c>
      <c r="F1225" s="62" t="s">
        <v>1272</v>
      </c>
      <c r="G1225" s="25">
        <f t="shared" si="19"/>
        <v>1.0630272272134977E-2</v>
      </c>
    </row>
    <row r="1226" spans="1:7">
      <c r="A1226" s="62">
        <v>142.644876726174</v>
      </c>
      <c r="B1226" s="62">
        <v>144.04662338449194</v>
      </c>
      <c r="C1226" s="62">
        <v>142.38021127320488</v>
      </c>
      <c r="D1226" s="62">
        <v>143.46828035763352</v>
      </c>
      <c r="E1226" s="62">
        <v>64147357.652986124</v>
      </c>
      <c r="F1226" s="62" t="s">
        <v>1273</v>
      </c>
      <c r="G1226" s="25">
        <f t="shared" si="19"/>
        <v>-5.73927302541688E-3</v>
      </c>
    </row>
    <row r="1227" spans="1:7">
      <c r="A1227" s="62">
        <v>142.97815914843142</v>
      </c>
      <c r="B1227" s="62">
        <v>143.43887308508138</v>
      </c>
      <c r="C1227" s="62">
        <v>141.26273491622413</v>
      </c>
      <c r="D1227" s="62">
        <v>141.52740036919326</v>
      </c>
      <c r="E1227" s="62">
        <v>71860413.99297677</v>
      </c>
      <c r="F1227" s="62" t="s">
        <v>1274</v>
      </c>
      <c r="G1227" s="25">
        <f t="shared" si="19"/>
        <v>1.0250727247541169E-2</v>
      </c>
    </row>
    <row r="1228" spans="1:7">
      <c r="A1228" s="62">
        <v>142.76250581638249</v>
      </c>
      <c r="B1228" s="62">
        <v>143.65452641713031</v>
      </c>
      <c r="C1228" s="62">
        <v>141.7234488528741</v>
      </c>
      <c r="D1228" s="62">
        <v>141.82637430680651</v>
      </c>
      <c r="E1228" s="62">
        <v>57842298.941017881</v>
      </c>
      <c r="F1228" s="62" t="s">
        <v>1275</v>
      </c>
      <c r="G1228" s="25">
        <f t="shared" si="19"/>
        <v>6.6005460137539274E-3</v>
      </c>
    </row>
    <row r="1229" spans="1:7">
      <c r="A1229" s="62">
        <v>142.11554582023575</v>
      </c>
      <c r="B1229" s="62">
        <v>144.06622823286003</v>
      </c>
      <c r="C1229" s="62">
        <v>139.72375431932957</v>
      </c>
      <c r="D1229" s="62">
        <v>141.94890460910705</v>
      </c>
      <c r="E1229" s="62">
        <v>121328345.68985507</v>
      </c>
      <c r="F1229" s="62" t="s">
        <v>1276</v>
      </c>
      <c r="G1229" s="25">
        <f t="shared" si="19"/>
        <v>1.1739520751328225E-3</v>
      </c>
    </row>
    <row r="1230" spans="1:7">
      <c r="A1230" s="62">
        <v>143.87017974917921</v>
      </c>
      <c r="B1230" s="62">
        <v>146.26197125008537</v>
      </c>
      <c r="C1230" s="62">
        <v>142.67428399872614</v>
      </c>
      <c r="D1230" s="62">
        <v>146.17374943242899</v>
      </c>
      <c r="E1230" s="62">
        <v>106931281.51977421</v>
      </c>
      <c r="F1230" s="62" t="s">
        <v>1277</v>
      </c>
      <c r="G1230" s="25">
        <f t="shared" si="19"/>
        <v>-1.5759120171673802E-2</v>
      </c>
    </row>
    <row r="1231" spans="1:7">
      <c r="A1231" s="62">
        <v>146.04631791803646</v>
      </c>
      <c r="B1231" s="62">
        <v>146.86972154949595</v>
      </c>
      <c r="C1231" s="62">
        <v>144.78180519829507</v>
      </c>
      <c r="D1231" s="62">
        <v>145.34054337678546</v>
      </c>
      <c r="E1231" s="62">
        <v>73894056.857815608</v>
      </c>
      <c r="F1231" s="62" t="s">
        <v>1278</v>
      </c>
      <c r="G1231" s="25">
        <f t="shared" si="19"/>
        <v>4.8560059351183682E-3</v>
      </c>
    </row>
    <row r="1232" spans="1:7">
      <c r="A1232" s="62">
        <v>145.62481367812265</v>
      </c>
      <c r="B1232" s="62">
        <v>145.779397907505</v>
      </c>
      <c r="C1232" s="62">
        <v>144.01721611193983</v>
      </c>
      <c r="D1232" s="62">
        <v>144.63476883553446</v>
      </c>
      <c r="E1232" s="62">
        <v>72887496.66262807</v>
      </c>
      <c r="F1232" s="62" t="s">
        <v>1279</v>
      </c>
      <c r="G1232" s="25">
        <f t="shared" si="19"/>
        <v>6.845137241612953E-3</v>
      </c>
    </row>
    <row r="1233" spans="1:7">
      <c r="A1233" s="62">
        <v>143.89958702173135</v>
      </c>
      <c r="B1233" s="62">
        <v>145.26702519540513</v>
      </c>
      <c r="C1233" s="62">
        <v>142.92914702751122</v>
      </c>
      <c r="D1233" s="62">
        <v>143.05167732981172</v>
      </c>
      <c r="E1233" s="62">
        <v>78896969.308782414</v>
      </c>
      <c r="F1233" s="62" t="s">
        <v>1280</v>
      </c>
      <c r="G1233" s="25">
        <f t="shared" si="19"/>
        <v>5.9272963990819605E-3</v>
      </c>
    </row>
    <row r="1234" spans="1:7">
      <c r="A1234" s="62">
        <v>142.52724763596549</v>
      </c>
      <c r="B1234" s="62">
        <v>143.24282460140054</v>
      </c>
      <c r="C1234" s="62">
        <v>141.7724609737943</v>
      </c>
      <c r="D1234" s="62">
        <v>142.65467915035805</v>
      </c>
      <c r="E1234" s="62">
        <v>76505014.057736278</v>
      </c>
      <c r="F1234" s="62" t="s">
        <v>1281</v>
      </c>
      <c r="G1234" s="25">
        <f t="shared" si="19"/>
        <v>-8.9328660757237444E-4</v>
      </c>
    </row>
    <row r="1235" spans="1:7">
      <c r="A1235" s="62">
        <v>143.26242944976863</v>
      </c>
      <c r="B1235" s="62">
        <v>144.19336567452706</v>
      </c>
      <c r="C1235" s="62">
        <v>140.13545613505934</v>
      </c>
      <c r="D1235" s="62">
        <v>140.62557734426142</v>
      </c>
      <c r="E1235" s="62">
        <v>98292049.181933954</v>
      </c>
      <c r="F1235" s="62" t="s">
        <v>1282</v>
      </c>
      <c r="G1235" s="25">
        <f t="shared" si="19"/>
        <v>1.8750871323016893E-2</v>
      </c>
    </row>
    <row r="1236" spans="1:7">
      <c r="A1236" s="62">
        <v>139.6355325016732</v>
      </c>
      <c r="B1236" s="62">
        <v>141.22352521948795</v>
      </c>
      <c r="C1236" s="62">
        <v>138.87094341531795</v>
      </c>
      <c r="D1236" s="62">
        <v>140.90984764559863</v>
      </c>
      <c r="E1236" s="62">
        <v>123882183.34572341</v>
      </c>
      <c r="F1236" s="62" t="s">
        <v>1283</v>
      </c>
      <c r="G1236" s="25">
        <f t="shared" si="19"/>
        <v>-9.0434782608697084E-3</v>
      </c>
    </row>
    <row r="1237" spans="1:7">
      <c r="A1237" s="62">
        <v>143.4976876301856</v>
      </c>
      <c r="B1237" s="62">
        <v>146.80110458020764</v>
      </c>
      <c r="C1237" s="62">
        <v>142.99776399679951</v>
      </c>
      <c r="D1237" s="62">
        <v>145.52678943628226</v>
      </c>
      <c r="E1237" s="62">
        <v>95130984.182273418</v>
      </c>
      <c r="F1237" s="62" t="s">
        <v>1284</v>
      </c>
      <c r="G1237" s="25">
        <f t="shared" si="19"/>
        <v>-1.3943149669945032E-2</v>
      </c>
    </row>
    <row r="1238" spans="1:7">
      <c r="A1238" s="62">
        <v>145.54639428465032</v>
      </c>
      <c r="B1238" s="62">
        <v>147.03636276062466</v>
      </c>
      <c r="C1238" s="62">
        <v>144.18385732306854</v>
      </c>
      <c r="D1238" s="62">
        <v>146.2913785226375</v>
      </c>
      <c r="E1238" s="62">
        <v>108973346.79099436</v>
      </c>
      <c r="F1238" s="62" t="s">
        <v>1285</v>
      </c>
      <c r="G1238" s="25">
        <f t="shared" si="19"/>
        <v>-5.0924685071027653E-3</v>
      </c>
    </row>
    <row r="1239" spans="1:7">
      <c r="A1239" s="62">
        <v>146.20315670498113</v>
      </c>
      <c r="B1239" s="62">
        <v>146.61485852071087</v>
      </c>
      <c r="C1239" s="62">
        <v>144.76220034992701</v>
      </c>
      <c r="D1239" s="62">
        <v>145.17390216565673</v>
      </c>
      <c r="E1239" s="62">
        <v>129611596.69751775</v>
      </c>
      <c r="F1239" s="62" t="s">
        <v>1286</v>
      </c>
      <c r="G1239" s="25">
        <f t="shared" si="19"/>
        <v>7.0898041863607375E-3</v>
      </c>
    </row>
    <row r="1240" spans="1:7">
      <c r="A1240" s="62">
        <v>142.76250581638249</v>
      </c>
      <c r="B1240" s="62">
        <v>144.54654701787808</v>
      </c>
      <c r="C1240" s="62">
        <v>140.79221855539012</v>
      </c>
      <c r="D1240" s="62">
        <v>141.1843155227518</v>
      </c>
      <c r="E1240" s="62">
        <v>102859351.0206859</v>
      </c>
      <c r="F1240" s="62" t="s">
        <v>1287</v>
      </c>
      <c r="G1240" s="25">
        <f t="shared" si="19"/>
        <v>1.1178226758314036E-2</v>
      </c>
    </row>
    <row r="1241" spans="1:7">
      <c r="A1241" s="62">
        <v>141.64502945940174</v>
      </c>
      <c r="B1241" s="62">
        <v>143.42907066089734</v>
      </c>
      <c r="C1241" s="62">
        <v>141.15490825019967</v>
      </c>
      <c r="D1241" s="62">
        <v>143.32124399487287</v>
      </c>
      <c r="E1241" s="62">
        <v>77837601.768158555</v>
      </c>
      <c r="F1241" s="62" t="s">
        <v>1288</v>
      </c>
      <c r="G1241" s="25">
        <f t="shared" si="19"/>
        <v>-1.1695506463306304E-2</v>
      </c>
    </row>
    <row r="1242" spans="1:7">
      <c r="A1242" s="62">
        <v>142.24297733462831</v>
      </c>
      <c r="B1242" s="62">
        <v>142.77230824056656</v>
      </c>
      <c r="C1242" s="62">
        <v>139.83373751867452</v>
      </c>
      <c r="D1242" s="62">
        <v>139.92960522719446</v>
      </c>
      <c r="E1242" s="62">
        <v>101904180.15435643</v>
      </c>
      <c r="F1242" s="62" t="s">
        <v>1289</v>
      </c>
      <c r="G1242" s="25">
        <f t="shared" si="19"/>
        <v>1.6532399299474809E-2</v>
      </c>
    </row>
    <row r="1243" spans="1:7">
      <c r="A1243" s="62">
        <v>140.40992401221251</v>
      </c>
      <c r="B1243" s="62">
        <v>141.21372279530391</v>
      </c>
      <c r="C1243" s="62">
        <v>137.88579978482178</v>
      </c>
      <c r="D1243" s="62">
        <v>138.78272159766161</v>
      </c>
      <c r="E1243" s="62">
        <v>107703417.05052608</v>
      </c>
      <c r="F1243" s="62" t="s">
        <v>1290</v>
      </c>
      <c r="G1243" s="25">
        <f t="shared" si="19"/>
        <v>1.1724819889814997E-2</v>
      </c>
    </row>
    <row r="1244" spans="1:7">
      <c r="A1244" s="62">
        <v>141.71364642869003</v>
      </c>
      <c r="B1244" s="62">
        <v>142.02732400257935</v>
      </c>
      <c r="C1244" s="62">
        <v>139.84138340953808</v>
      </c>
      <c r="D1244" s="62">
        <v>140.69909552564172</v>
      </c>
      <c r="E1244" s="62">
        <v>107026167.2319753</v>
      </c>
      <c r="F1244" s="62" t="s">
        <v>1291</v>
      </c>
      <c r="G1244" s="25">
        <f t="shared" si="19"/>
        <v>7.2107848260005714E-3</v>
      </c>
    </row>
    <row r="1245" spans="1:7">
      <c r="A1245" s="62">
        <v>139.21402826175944</v>
      </c>
      <c r="B1245" s="62">
        <v>140.32170219455614</v>
      </c>
      <c r="C1245" s="62">
        <v>137.30255554587129</v>
      </c>
      <c r="D1245" s="62">
        <v>137.30255554587129</v>
      </c>
      <c r="E1245" s="62">
        <v>110362284.84798695</v>
      </c>
      <c r="F1245" s="62" t="s">
        <v>1292</v>
      </c>
      <c r="G1245" s="25">
        <f t="shared" si="19"/>
        <v>1.3921610623260028E-2</v>
      </c>
    </row>
    <row r="1246" spans="1:7">
      <c r="A1246" s="62">
        <v>137.19472887984685</v>
      </c>
      <c r="B1246" s="62">
        <v>137.233938576583</v>
      </c>
      <c r="C1246" s="62">
        <v>135.02349192308162</v>
      </c>
      <c r="D1246" s="62">
        <v>135.17542949793426</v>
      </c>
      <c r="E1246" s="62">
        <v>80536784.082985789</v>
      </c>
      <c r="F1246" s="62" t="s">
        <v>1293</v>
      </c>
      <c r="G1246" s="25">
        <f t="shared" si="19"/>
        <v>1.4938361131254574E-2</v>
      </c>
    </row>
    <row r="1247" spans="1:7">
      <c r="A1247" s="62">
        <v>134.55787677433966</v>
      </c>
      <c r="B1247" s="62">
        <v>134.6166913194439</v>
      </c>
      <c r="C1247" s="62">
        <v>133.07771072254934</v>
      </c>
      <c r="D1247" s="62">
        <v>133.90111435400885</v>
      </c>
      <c r="E1247" s="62">
        <v>53543674.518234894</v>
      </c>
      <c r="F1247" s="62" t="s">
        <v>1294</v>
      </c>
      <c r="G1247" s="25">
        <f t="shared" si="19"/>
        <v>4.9048316251831814E-3</v>
      </c>
    </row>
    <row r="1248" spans="1:7">
      <c r="A1248" s="62">
        <v>134.25400162463436</v>
      </c>
      <c r="B1248" s="62">
        <v>134.69511071291623</v>
      </c>
      <c r="C1248" s="62">
        <v>133.18553738857381</v>
      </c>
      <c r="D1248" s="62">
        <v>133.47961011409504</v>
      </c>
      <c r="E1248" s="62">
        <v>64536477.724550635</v>
      </c>
      <c r="F1248" s="62" t="s">
        <v>1295</v>
      </c>
      <c r="G1248" s="25">
        <f t="shared" si="19"/>
        <v>5.8015715649557542E-3</v>
      </c>
    </row>
    <row r="1249" spans="1:7">
      <c r="A1249" s="62">
        <v>133.63644890103973</v>
      </c>
      <c r="B1249" s="62">
        <v>133.79328768798442</v>
      </c>
      <c r="C1249" s="62">
        <v>131.69556891259947</v>
      </c>
      <c r="D1249" s="62">
        <v>132.13667800088137</v>
      </c>
      <c r="E1249" s="62">
        <v>65857261.212075852</v>
      </c>
      <c r="F1249" s="62" t="s">
        <v>1296</v>
      </c>
      <c r="G1249" s="25">
        <f t="shared" si="19"/>
        <v>1.135014836795234E-2</v>
      </c>
    </row>
    <row r="1250" spans="1:7">
      <c r="A1250" s="62">
        <v>132.11707315251329</v>
      </c>
      <c r="B1250" s="62">
        <v>132.5728858770712</v>
      </c>
      <c r="C1250" s="62">
        <v>130.71532649419532</v>
      </c>
      <c r="D1250" s="62">
        <v>130.77414103929956</v>
      </c>
      <c r="E1250" s="62">
        <v>63363206.727084167</v>
      </c>
      <c r="F1250" s="62" t="s">
        <v>1297</v>
      </c>
      <c r="G1250" s="25">
        <f t="shared" si="19"/>
        <v>1.0269095270219797E-2</v>
      </c>
    </row>
    <row r="1251" spans="1:7">
      <c r="A1251" s="62">
        <v>130.48006831377833</v>
      </c>
      <c r="B1251" s="62">
        <v>131.24465740013355</v>
      </c>
      <c r="C1251" s="62">
        <v>130.18599558825707</v>
      </c>
      <c r="D1251" s="62">
        <v>130.82315316021979</v>
      </c>
      <c r="E1251" s="62">
        <v>72210449.855083808</v>
      </c>
      <c r="F1251" s="62" t="s">
        <v>1298</v>
      </c>
      <c r="G1251" s="25">
        <f t="shared" si="19"/>
        <v>-2.6225086168140122E-3</v>
      </c>
    </row>
    <row r="1252" spans="1:7">
      <c r="A1252" s="62">
        <v>130.77414103929956</v>
      </c>
      <c r="B1252" s="62">
        <v>131.97983921393669</v>
      </c>
      <c r="C1252" s="62">
        <v>130.30362467846558</v>
      </c>
      <c r="D1252" s="62">
        <v>131.79359315443989</v>
      </c>
      <c r="E1252" s="62">
        <v>70095923.936715141</v>
      </c>
      <c r="F1252" s="62" t="s">
        <v>1299</v>
      </c>
      <c r="G1252" s="25">
        <f t="shared" si="19"/>
        <v>-7.7352175529936673E-3</v>
      </c>
    </row>
    <row r="1253" spans="1:7">
      <c r="A1253" s="62">
        <v>131.05841134063675</v>
      </c>
      <c r="B1253" s="62">
        <v>131.66616164004736</v>
      </c>
      <c r="C1253" s="62">
        <v>130.59769740398681</v>
      </c>
      <c r="D1253" s="62">
        <v>131.12702830992507</v>
      </c>
      <c r="E1253" s="62">
        <v>61427866.076259762</v>
      </c>
      <c r="F1253" s="62" t="s">
        <v>1300</v>
      </c>
      <c r="G1253" s="25">
        <f t="shared" si="19"/>
        <v>-5.2328623757214032E-4</v>
      </c>
    </row>
    <row r="1254" spans="1:7">
      <c r="A1254" s="62">
        <v>131.33287921778992</v>
      </c>
      <c r="B1254" s="62">
        <v>131.43090345963037</v>
      </c>
      <c r="C1254" s="62">
        <v>129.01950711035613</v>
      </c>
      <c r="D1254" s="62">
        <v>129.51943074374225</v>
      </c>
      <c r="E1254" s="62">
        <v>76290942.521899641</v>
      </c>
      <c r="F1254" s="62" t="s">
        <v>1301</v>
      </c>
      <c r="G1254" s="25">
        <f t="shared" si="19"/>
        <v>1.4001362294709496E-2</v>
      </c>
    </row>
    <row r="1255" spans="1:7">
      <c r="A1255" s="62">
        <v>129.68607195487095</v>
      </c>
      <c r="B1255" s="62">
        <v>129.79389862089539</v>
      </c>
      <c r="C1255" s="62">
        <v>126.65712288200208</v>
      </c>
      <c r="D1255" s="62">
        <v>127.72558711806263</v>
      </c>
      <c r="E1255" s="62">
        <v>81268994.795891359</v>
      </c>
      <c r="F1255" s="62" t="s">
        <v>1302</v>
      </c>
      <c r="G1255" s="25">
        <f t="shared" si="19"/>
        <v>1.5349194167306068E-2</v>
      </c>
    </row>
    <row r="1256" spans="1:7">
      <c r="A1256" s="62">
        <v>127.8824259050073</v>
      </c>
      <c r="B1256" s="62">
        <v>128.91168044433164</v>
      </c>
      <c r="C1256" s="62">
        <v>127.66677257295838</v>
      </c>
      <c r="D1256" s="62">
        <v>128.12748650960833</v>
      </c>
      <c r="E1256" s="62">
        <v>111149351.37919873</v>
      </c>
      <c r="F1256" s="62" t="s">
        <v>1303</v>
      </c>
      <c r="G1256" s="25">
        <f t="shared" si="19"/>
        <v>-1.9126310152245418E-3</v>
      </c>
    </row>
    <row r="1257" spans="1:7">
      <c r="A1257" s="62">
        <v>129.18614832148481</v>
      </c>
      <c r="B1257" s="62">
        <v>129.93113255947199</v>
      </c>
      <c r="C1257" s="62">
        <v>127.08842954609992</v>
      </c>
      <c r="D1257" s="62">
        <v>127.23546590886055</v>
      </c>
      <c r="E1257" s="62">
        <v>98671172.746699706</v>
      </c>
      <c r="F1257" s="62" t="s">
        <v>1304</v>
      </c>
      <c r="G1257" s="25">
        <f t="shared" si="19"/>
        <v>1.5331278890600819E-2</v>
      </c>
    </row>
    <row r="1258" spans="1:7">
      <c r="A1258" s="62">
        <v>127.578550755302</v>
      </c>
      <c r="B1258" s="62">
        <v>128.30393014492105</v>
      </c>
      <c r="C1258" s="62">
        <v>125.92292131061737</v>
      </c>
      <c r="D1258" s="62">
        <v>127.79420408735092</v>
      </c>
      <c r="E1258" s="62">
        <v>93665632.374362007</v>
      </c>
      <c r="F1258" s="62" t="s">
        <v>1305</v>
      </c>
      <c r="G1258" s="25">
        <f t="shared" si="19"/>
        <v>-1.6875047940476673E-3</v>
      </c>
    </row>
    <row r="1259" spans="1:7">
      <c r="A1259" s="62">
        <v>127.07862712191586</v>
      </c>
      <c r="B1259" s="62">
        <v>128.01965984358387</v>
      </c>
      <c r="C1259" s="62">
        <v>126.83356651731482</v>
      </c>
      <c r="D1259" s="62">
        <v>127.37269984743712</v>
      </c>
      <c r="E1259" s="62">
        <v>64011035.252025813</v>
      </c>
      <c r="F1259" s="62" t="s">
        <v>1306</v>
      </c>
      <c r="G1259" s="25">
        <f t="shared" si="19"/>
        <v>-2.308757888256241E-3</v>
      </c>
    </row>
    <row r="1260" spans="1:7">
      <c r="A1260" s="62">
        <v>127.90203075337536</v>
      </c>
      <c r="B1260" s="62">
        <v>127.96084529847961</v>
      </c>
      <c r="C1260" s="62">
        <v>124.55940410661717</v>
      </c>
      <c r="D1260" s="62">
        <v>125.29458592042029</v>
      </c>
      <c r="E1260" s="62">
        <v>98859718.963972062</v>
      </c>
      <c r="F1260" s="62" t="s">
        <v>1307</v>
      </c>
      <c r="G1260" s="25">
        <f t="shared" si="19"/>
        <v>2.0810514786418377E-2</v>
      </c>
    </row>
    <row r="1261" spans="1:7">
      <c r="A1261" s="62">
        <v>124.83387198377032</v>
      </c>
      <c r="B1261" s="62">
        <v>124.92209380142671</v>
      </c>
      <c r="C1261" s="62">
        <v>123.60856896076513</v>
      </c>
      <c r="D1261" s="62">
        <v>124.03007320067891</v>
      </c>
      <c r="E1261" s="62">
        <v>54601159.871386178</v>
      </c>
      <c r="F1261" s="62" t="s">
        <v>1308</v>
      </c>
      <c r="G1261" s="25">
        <f t="shared" si="19"/>
        <v>6.4806765194025395E-3</v>
      </c>
    </row>
    <row r="1262" spans="1:7">
      <c r="A1262" s="62">
        <v>123.61837138494917</v>
      </c>
      <c r="B1262" s="62">
        <v>125.65727561522984</v>
      </c>
      <c r="C1262" s="62">
        <v>123.45173017382047</v>
      </c>
      <c r="D1262" s="62">
        <v>124.51039198569696</v>
      </c>
      <c r="E1262" s="62">
        <v>72621241.096556053</v>
      </c>
      <c r="F1262" s="62" t="s">
        <v>1309</v>
      </c>
      <c r="G1262" s="25">
        <f t="shared" si="19"/>
        <v>-7.1642261061249934E-3</v>
      </c>
    </row>
    <row r="1263" spans="1:7">
      <c r="A1263" s="62">
        <v>124.61821865172141</v>
      </c>
      <c r="B1263" s="62">
        <v>125.225968951132</v>
      </c>
      <c r="C1263" s="62">
        <v>124.02027077649487</v>
      </c>
      <c r="D1263" s="62">
        <v>124.69663804519374</v>
      </c>
      <c r="E1263" s="62">
        <v>58024357.987483688</v>
      </c>
      <c r="F1263" s="62" t="s">
        <v>1310</v>
      </c>
      <c r="G1263" s="25">
        <f t="shared" si="19"/>
        <v>-6.2888137725014559E-4</v>
      </c>
    </row>
    <row r="1264" spans="1:7">
      <c r="A1264" s="62">
        <v>124.23592410854378</v>
      </c>
      <c r="B1264" s="62">
        <v>125.92194106819896</v>
      </c>
      <c r="C1264" s="62">
        <v>123.71649365103143</v>
      </c>
      <c r="D1264" s="62">
        <v>124.0986901699672</v>
      </c>
      <c r="E1264" s="62">
        <v>75903442.457764089</v>
      </c>
      <c r="F1264" s="62" t="s">
        <v>1311</v>
      </c>
      <c r="G1264" s="25">
        <f t="shared" si="19"/>
        <v>1.1058451816745585E-3</v>
      </c>
    </row>
    <row r="1265" spans="1:7">
      <c r="A1265" s="62">
        <v>123.4125204770843</v>
      </c>
      <c r="B1265" s="62">
        <v>123.82422229281404</v>
      </c>
      <c r="C1265" s="62">
        <v>122.36571959847049</v>
      </c>
      <c r="D1265" s="62">
        <v>123.67718593005343</v>
      </c>
      <c r="E1265" s="62">
        <v>72489772.596947759</v>
      </c>
      <c r="F1265" s="62" t="s">
        <v>1312</v>
      </c>
      <c r="G1265" s="25">
        <f t="shared" si="19"/>
        <v>-2.1399698819053459E-3</v>
      </c>
    </row>
    <row r="1266" spans="1:7">
      <c r="A1266" s="62">
        <v>123.40271805290025</v>
      </c>
      <c r="B1266" s="62">
        <v>123.66738350586937</v>
      </c>
      <c r="C1266" s="62">
        <v>121.40302351935576</v>
      </c>
      <c r="D1266" s="62">
        <v>121.61867685140467</v>
      </c>
      <c r="E1266" s="62">
        <v>76684442.122363731</v>
      </c>
      <c r="F1266" s="62" t="s">
        <v>1313</v>
      </c>
      <c r="G1266" s="25">
        <f t="shared" si="19"/>
        <v>1.4669138389618697E-2</v>
      </c>
    </row>
    <row r="1267" spans="1:7">
      <c r="A1267" s="62">
        <v>121.09914836965048</v>
      </c>
      <c r="B1267" s="62">
        <v>122.38326593775992</v>
      </c>
      <c r="C1267" s="62">
        <v>120.69724897810475</v>
      </c>
      <c r="D1267" s="62">
        <v>122.21662472663122</v>
      </c>
      <c r="E1267" s="62">
        <v>77765630.795799643</v>
      </c>
      <c r="F1267" s="62" t="s">
        <v>1314</v>
      </c>
      <c r="G1267" s="25">
        <f t="shared" si="19"/>
        <v>-9.1434071222329383E-3</v>
      </c>
    </row>
    <row r="1268" spans="1:7">
      <c r="A1268" s="62">
        <v>122.5891168456248</v>
      </c>
      <c r="B1268" s="62">
        <v>122.76556048093754</v>
      </c>
      <c r="C1268" s="62">
        <v>121.59907200303658</v>
      </c>
      <c r="D1268" s="62">
        <v>121.82452775926954</v>
      </c>
      <c r="E1268" s="62">
        <v>60473675.579665333</v>
      </c>
      <c r="F1268" s="62" t="s">
        <v>1315</v>
      </c>
      <c r="G1268" s="25">
        <f t="shared" si="19"/>
        <v>6.2761506276152179E-3</v>
      </c>
    </row>
    <row r="1269" spans="1:7">
      <c r="A1269" s="62">
        <v>121.82452775926954</v>
      </c>
      <c r="B1269" s="62">
        <v>122.873387146962</v>
      </c>
      <c r="C1269" s="62">
        <v>121.49124533701213</v>
      </c>
      <c r="D1269" s="62">
        <v>122.60872169399288</v>
      </c>
      <c r="E1269" s="62">
        <v>69000399.013657555</v>
      </c>
      <c r="F1269" s="62" t="s">
        <v>1316</v>
      </c>
      <c r="G1269" s="25">
        <f t="shared" si="19"/>
        <v>-6.395906619763414E-3</v>
      </c>
    </row>
    <row r="1270" spans="1:7">
      <c r="A1270" s="62">
        <v>122.14800775734292</v>
      </c>
      <c r="B1270" s="62">
        <v>123.31449623524388</v>
      </c>
      <c r="C1270" s="62">
        <v>122.08919321223867</v>
      </c>
      <c r="D1270" s="62">
        <v>123.08904047901092</v>
      </c>
      <c r="E1270" s="62">
        <v>72748442.284404054</v>
      </c>
      <c r="F1270" s="62" t="s">
        <v>1317</v>
      </c>
      <c r="G1270" s="25">
        <f t="shared" si="19"/>
        <v>-7.6451381699450538E-3</v>
      </c>
    </row>
    <row r="1271" spans="1:7">
      <c r="A1271" s="62">
        <v>122.80477017767372</v>
      </c>
      <c r="B1271" s="62">
        <v>125.11814228510754</v>
      </c>
      <c r="C1271" s="62">
        <v>122.60872169399288</v>
      </c>
      <c r="D1271" s="62">
        <v>123.94185138302254</v>
      </c>
      <c r="E1271" s="62">
        <v>96532856.794802427</v>
      </c>
      <c r="F1271" s="62" t="s">
        <v>1318</v>
      </c>
      <c r="G1271" s="25">
        <f t="shared" si="19"/>
        <v>-9.1743119266054496E-3</v>
      </c>
    </row>
    <row r="1272" spans="1:7">
      <c r="A1272" s="62">
        <v>124.34375077456825</v>
      </c>
      <c r="B1272" s="62">
        <v>124.8730816805065</v>
      </c>
      <c r="C1272" s="62">
        <v>123.92224653465446</v>
      </c>
      <c r="D1272" s="62">
        <v>124.44667622850069</v>
      </c>
      <c r="E1272" s="62">
        <v>57716253.589704528</v>
      </c>
      <c r="F1272" s="62" t="s">
        <v>1319</v>
      </c>
      <c r="G1272" s="25">
        <f t="shared" si="19"/>
        <v>-8.2706470796745091E-4</v>
      </c>
    </row>
    <row r="1273" spans="1:7">
      <c r="A1273" s="62">
        <v>124.39276289548846</v>
      </c>
      <c r="B1273" s="62">
        <v>125.78470712962236</v>
      </c>
      <c r="C1273" s="62">
        <v>123.82422229281404</v>
      </c>
      <c r="D1273" s="62">
        <v>125.29458592042029</v>
      </c>
      <c r="E1273" s="62">
        <v>73460891.559081391</v>
      </c>
      <c r="F1273" s="62" t="s">
        <v>1320</v>
      </c>
      <c r="G1273" s="25">
        <f t="shared" si="19"/>
        <v>-7.1976216554530126E-3</v>
      </c>
    </row>
    <row r="1274" spans="1:7">
      <c r="A1274" s="62">
        <v>124.58881137916929</v>
      </c>
      <c r="B1274" s="62">
        <v>125.41221501062878</v>
      </c>
      <c r="C1274" s="62">
        <v>123.45173017382047</v>
      </c>
      <c r="D1274" s="62">
        <v>123.52034714310875</v>
      </c>
      <c r="E1274" s="62">
        <v>64364634.518383093</v>
      </c>
      <c r="F1274" s="62" t="s">
        <v>1321</v>
      </c>
      <c r="G1274" s="25">
        <f t="shared" si="19"/>
        <v>8.6501071343543234E-3</v>
      </c>
    </row>
    <row r="1275" spans="1:7">
      <c r="A1275" s="62">
        <v>122.95180654043435</v>
      </c>
      <c r="B1275" s="62">
        <v>125.47102955573304</v>
      </c>
      <c r="C1275" s="62">
        <v>122.73615320838542</v>
      </c>
      <c r="D1275" s="62">
        <v>125.29458592042029</v>
      </c>
      <c r="E1275" s="62">
        <v>80893699.875886872</v>
      </c>
      <c r="F1275" s="62" t="s">
        <v>1322</v>
      </c>
      <c r="G1275" s="25">
        <f t="shared" si="19"/>
        <v>-1.8698169300578882E-2</v>
      </c>
    </row>
    <row r="1276" spans="1:7">
      <c r="A1276" s="62">
        <v>124.79466228703417</v>
      </c>
      <c r="B1276" s="62">
        <v>125.19656167857987</v>
      </c>
      <c r="C1276" s="62">
        <v>122.62832654236095</v>
      </c>
      <c r="D1276" s="62">
        <v>122.75575805675351</v>
      </c>
      <c r="E1276" s="62">
        <v>78406240.698217764</v>
      </c>
      <c r="F1276" s="62" t="s">
        <v>1323</v>
      </c>
      <c r="G1276" s="25">
        <f t="shared" ref="G1276:G1339" si="20">A1276/D1276-1</f>
        <v>1.6609438632915419E-2</v>
      </c>
    </row>
    <row r="1277" spans="1:7">
      <c r="A1277" s="62">
        <v>122.22642715081525</v>
      </c>
      <c r="B1277" s="62">
        <v>122.44698169495619</v>
      </c>
      <c r="C1277" s="62">
        <v>120.43258352513564</v>
      </c>
      <c r="D1277" s="62">
        <v>120.72665625065689</v>
      </c>
      <c r="E1277" s="62">
        <v>94478658.810513839</v>
      </c>
      <c r="F1277" s="62" t="s">
        <v>1324</v>
      </c>
      <c r="G1277" s="25">
        <f t="shared" si="20"/>
        <v>1.2422864566417724E-2</v>
      </c>
    </row>
    <row r="1278" spans="1:7">
      <c r="A1278" s="62">
        <v>122.38326593775992</v>
      </c>
      <c r="B1278" s="62">
        <v>124.48098471314484</v>
      </c>
      <c r="C1278" s="62">
        <v>122.31464896847163</v>
      </c>
      <c r="D1278" s="62">
        <v>124.05948047323105</v>
      </c>
      <c r="E1278" s="62">
        <v>64619657.148812585</v>
      </c>
      <c r="F1278" s="62" t="s">
        <v>1325</v>
      </c>
      <c r="G1278" s="25">
        <f t="shared" si="20"/>
        <v>-1.3511378002528551E-2</v>
      </c>
    </row>
    <row r="1279" spans="1:7">
      <c r="A1279" s="62">
        <v>123.77521017189383</v>
      </c>
      <c r="B1279" s="62">
        <v>124.42217016804059</v>
      </c>
      <c r="C1279" s="62">
        <v>122.69694351164925</v>
      </c>
      <c r="D1279" s="62">
        <v>124.31434350201611</v>
      </c>
      <c r="E1279" s="62">
        <v>75741084.660333633</v>
      </c>
      <c r="F1279" s="62" t="s">
        <v>1326</v>
      </c>
      <c r="G1279" s="25">
        <f t="shared" si="20"/>
        <v>-4.3368553855858138E-3</v>
      </c>
    </row>
    <row r="1280" spans="1:7">
      <c r="A1280" s="62">
        <v>124.93189622561076</v>
      </c>
      <c r="B1280" s="62">
        <v>125.36320288970859</v>
      </c>
      <c r="C1280" s="62">
        <v>123.36350835616408</v>
      </c>
      <c r="D1280" s="62">
        <v>123.75560532352576</v>
      </c>
      <c r="E1280" s="62">
        <v>83569073.794380888</v>
      </c>
      <c r="F1280" s="62" t="s">
        <v>1327</v>
      </c>
      <c r="G1280" s="25">
        <f t="shared" si="20"/>
        <v>9.5049504950495134E-3</v>
      </c>
    </row>
    <row r="1281" spans="1:7">
      <c r="A1281" s="62">
        <v>122.50089502796843</v>
      </c>
      <c r="B1281" s="62">
        <v>123.65758108168534</v>
      </c>
      <c r="C1281" s="62">
        <v>121.80492291090147</v>
      </c>
      <c r="D1281" s="62">
        <v>122.11860048479079</v>
      </c>
      <c r="E1281" s="62">
        <v>107995060.21412781</v>
      </c>
      <c r="F1281" s="62" t="s">
        <v>1328</v>
      </c>
      <c r="G1281" s="25">
        <f t="shared" si="20"/>
        <v>3.1305185423022852E-3</v>
      </c>
    </row>
    <row r="1282" spans="1:7">
      <c r="A1282" s="62">
        <v>120.34436170747925</v>
      </c>
      <c r="B1282" s="62">
        <v>122.17741502989504</v>
      </c>
      <c r="C1282" s="62">
        <v>119.83463564990909</v>
      </c>
      <c r="D1282" s="62">
        <v>120.96191443107389</v>
      </c>
      <c r="E1282" s="62">
        <v>114433205.3928217</v>
      </c>
      <c r="F1282" s="62" t="s">
        <v>1329</v>
      </c>
      <c r="G1282" s="25">
        <f t="shared" si="20"/>
        <v>-5.1053484602918697E-3</v>
      </c>
    </row>
    <row r="1283" spans="1:7">
      <c r="A1283" s="62">
        <v>123.42232290126833</v>
      </c>
      <c r="B1283" s="62">
        <v>123.77521017189383</v>
      </c>
      <c r="C1283" s="62">
        <v>120.34436170747925</v>
      </c>
      <c r="D1283" s="62">
        <v>121.0599386729143</v>
      </c>
      <c r="E1283" s="62">
        <v>128685337.04689157</v>
      </c>
      <c r="F1283" s="62" t="s">
        <v>1330</v>
      </c>
      <c r="G1283" s="25">
        <f t="shared" si="20"/>
        <v>1.9514170040485723E-2</v>
      </c>
    </row>
    <row r="1284" spans="1:7">
      <c r="A1284" s="62">
        <v>124.34375077456825</v>
      </c>
      <c r="B1284" s="62">
        <v>126.98060288007545</v>
      </c>
      <c r="C1284" s="62">
        <v>124.30454107783208</v>
      </c>
      <c r="D1284" s="62">
        <v>126.85317136568291</v>
      </c>
      <c r="E1284" s="62">
        <v>89846376.10702467</v>
      </c>
      <c r="F1284" s="62" t="s">
        <v>1331</v>
      </c>
      <c r="G1284" s="25">
        <f t="shared" si="20"/>
        <v>-1.9782087937562753E-2</v>
      </c>
    </row>
    <row r="1285" spans="1:7">
      <c r="A1285" s="62">
        <v>127.63736530040624</v>
      </c>
      <c r="B1285" s="62">
        <v>128.66485540337749</v>
      </c>
      <c r="C1285" s="62">
        <v>126.91688712287917</v>
      </c>
      <c r="D1285" s="62">
        <v>128.2647204481849</v>
      </c>
      <c r="E1285" s="62">
        <v>80565043.419125408</v>
      </c>
      <c r="F1285" s="62" t="s">
        <v>1332</v>
      </c>
      <c r="G1285" s="25">
        <f t="shared" si="20"/>
        <v>-4.8910966755826291E-3</v>
      </c>
    </row>
    <row r="1286" spans="1:7">
      <c r="A1286" s="62">
        <v>126.96099803170736</v>
      </c>
      <c r="B1286" s="62">
        <v>126.97078383392962</v>
      </c>
      <c r="C1286" s="62">
        <v>124.40690365169534</v>
      </c>
      <c r="D1286" s="62">
        <v>125.15062462058773</v>
      </c>
      <c r="E1286" s="62">
        <v>79838455.984951645</v>
      </c>
      <c r="F1286" s="62" t="s">
        <v>1333</v>
      </c>
      <c r="G1286" s="25">
        <f t="shared" si="20"/>
        <v>1.4465556337477592E-2</v>
      </c>
    </row>
    <row r="1287" spans="1:7">
      <c r="A1287" s="62">
        <v>125.35612646725536</v>
      </c>
      <c r="B1287" s="62">
        <v>127.65578998948838</v>
      </c>
      <c r="C1287" s="62">
        <v>125.22891103836588</v>
      </c>
      <c r="D1287" s="62">
        <v>126.43256471170486</v>
      </c>
      <c r="E1287" s="62">
        <v>85839564.393454552</v>
      </c>
      <c r="F1287" s="62" t="s">
        <v>1334</v>
      </c>
      <c r="G1287" s="25">
        <f t="shared" si="20"/>
        <v>-8.5139318885448789E-3</v>
      </c>
    </row>
    <row r="1288" spans="1:7">
      <c r="A1288" s="62">
        <v>125.11148141169866</v>
      </c>
      <c r="B1288" s="62">
        <v>128.67341556258205</v>
      </c>
      <c r="C1288" s="62">
        <v>123.98611415613783</v>
      </c>
      <c r="D1288" s="62">
        <v>128.37993935393624</v>
      </c>
      <c r="E1288" s="62">
        <v>140575820.84273404</v>
      </c>
      <c r="F1288" s="62" t="s">
        <v>1335</v>
      </c>
      <c r="G1288" s="25">
        <f t="shared" si="20"/>
        <v>-2.5459257565363269E-2</v>
      </c>
    </row>
    <row r="1289" spans="1:7">
      <c r="A1289" s="62">
        <v>129.70102265394243</v>
      </c>
      <c r="B1289" s="62">
        <v>131.19825039394945</v>
      </c>
      <c r="C1289" s="62">
        <v>129.0062306961614</v>
      </c>
      <c r="D1289" s="62">
        <v>129.21173254282903</v>
      </c>
      <c r="E1289" s="62">
        <v>76779704.201486498</v>
      </c>
      <c r="F1289" s="62" t="s">
        <v>1336</v>
      </c>
      <c r="G1289" s="25">
        <f t="shared" si="20"/>
        <v>3.7867312935473407E-3</v>
      </c>
    </row>
    <row r="1290" spans="1:7">
      <c r="A1290" s="62">
        <v>128.64415601393748</v>
      </c>
      <c r="B1290" s="62">
        <v>130.69917448061381</v>
      </c>
      <c r="C1290" s="62">
        <v>128.25761682615789</v>
      </c>
      <c r="D1290" s="62">
        <v>128.95730168505006</v>
      </c>
      <c r="E1290" s="62">
        <v>112243701.13474573</v>
      </c>
      <c r="F1290" s="62" t="s">
        <v>1337</v>
      </c>
      <c r="G1290" s="25">
        <f t="shared" si="20"/>
        <v>-2.4282895735315835E-3</v>
      </c>
    </row>
    <row r="1291" spans="1:7">
      <c r="A1291" s="62">
        <v>130.62088806283563</v>
      </c>
      <c r="B1291" s="62">
        <v>134.13399106062991</v>
      </c>
      <c r="C1291" s="62">
        <v>129.61295043394202</v>
      </c>
      <c r="D1291" s="62">
        <v>133.54684292729382</v>
      </c>
      <c r="E1291" s="62">
        <v>154408345.44577321</v>
      </c>
      <c r="F1291" s="62" t="s">
        <v>1338</v>
      </c>
      <c r="G1291" s="25">
        <f t="shared" si="20"/>
        <v>-2.1909577196453478E-2</v>
      </c>
    </row>
    <row r="1292" spans="1:7">
      <c r="A1292" s="62">
        <v>130.71874608505834</v>
      </c>
      <c r="B1292" s="62">
        <v>132.12790160506495</v>
      </c>
      <c r="C1292" s="62">
        <v>130.22945597394494</v>
      </c>
      <c r="D1292" s="62">
        <v>131.43310964728391</v>
      </c>
      <c r="E1292" s="62">
        <v>110118817.60167342</v>
      </c>
      <c r="F1292" s="62" t="s">
        <v>1339</v>
      </c>
      <c r="G1292" s="25">
        <f t="shared" si="20"/>
        <v>-5.4351872533690004E-3</v>
      </c>
    </row>
    <row r="1293" spans="1:7">
      <c r="A1293" s="62">
        <v>131.51139606506203</v>
      </c>
      <c r="B1293" s="62">
        <v>132.5095478917334</v>
      </c>
      <c r="C1293" s="62">
        <v>131.23739360283855</v>
      </c>
      <c r="D1293" s="62">
        <v>132.11811580284268</v>
      </c>
      <c r="E1293" s="62">
        <v>67460799.33005093</v>
      </c>
      <c r="F1293" s="62" t="s">
        <v>1340</v>
      </c>
      <c r="G1293" s="25">
        <f t="shared" si="20"/>
        <v>-4.592252425746457E-3</v>
      </c>
    </row>
    <row r="1294" spans="1:7">
      <c r="A1294" s="62">
        <v>131.83432753839691</v>
      </c>
      <c r="B1294" s="62">
        <v>132.16704481395402</v>
      </c>
      <c r="C1294" s="62">
        <v>130.69917448061381</v>
      </c>
      <c r="D1294" s="62">
        <v>131.94197136284185</v>
      </c>
      <c r="E1294" s="62">
        <v>68369529.120212048</v>
      </c>
      <c r="F1294" s="62" t="s">
        <v>1341</v>
      </c>
      <c r="G1294" s="25">
        <f t="shared" si="20"/>
        <v>-8.1584217162355976E-4</v>
      </c>
    </row>
    <row r="1295" spans="1:7">
      <c r="A1295" s="62">
        <v>131.44289544950615</v>
      </c>
      <c r="B1295" s="62">
        <v>132.22575962728763</v>
      </c>
      <c r="C1295" s="62">
        <v>129.32916216949624</v>
      </c>
      <c r="D1295" s="62">
        <v>129.32916216949624</v>
      </c>
      <c r="E1295" s="62">
        <v>80480656.78333886</v>
      </c>
      <c r="F1295" s="62" t="s">
        <v>1342</v>
      </c>
      <c r="G1295" s="25">
        <f t="shared" si="20"/>
        <v>1.6343825665859457E-2</v>
      </c>
    </row>
    <row r="1296" spans="1:7">
      <c r="A1296" s="62">
        <v>129.11387452060634</v>
      </c>
      <c r="B1296" s="62">
        <v>131.27653681172762</v>
      </c>
      <c r="C1296" s="62">
        <v>128.59522700282614</v>
      </c>
      <c r="D1296" s="62">
        <v>130.19031276505584</v>
      </c>
      <c r="E1296" s="62">
        <v>86417499.637959138</v>
      </c>
      <c r="F1296" s="62" t="s">
        <v>1343</v>
      </c>
      <c r="G1296" s="25">
        <f t="shared" si="20"/>
        <v>-8.2681900180395784E-3</v>
      </c>
    </row>
    <row r="1297" spans="1:7">
      <c r="A1297" s="62">
        <v>130.64045966728017</v>
      </c>
      <c r="B1297" s="62">
        <v>130.8851047228369</v>
      </c>
      <c r="C1297" s="62">
        <v>128.48768103640339</v>
      </c>
      <c r="D1297" s="62">
        <v>129.52487821394163</v>
      </c>
      <c r="E1297" s="62">
        <v>70354105.300978005</v>
      </c>
      <c r="F1297" s="62" t="s">
        <v>1344</v>
      </c>
      <c r="G1297" s="25">
        <f t="shared" si="20"/>
        <v>8.6128739800541698E-3</v>
      </c>
    </row>
    <row r="1298" spans="1:7">
      <c r="A1298" s="62">
        <v>130.25881338061174</v>
      </c>
      <c r="B1298" s="62">
        <v>132.62697751840062</v>
      </c>
      <c r="C1298" s="62">
        <v>128.98665909171686</v>
      </c>
      <c r="D1298" s="62">
        <v>132.12790160506495</v>
      </c>
      <c r="E1298" s="62">
        <v>96887661.17125158</v>
      </c>
      <c r="F1298" s="62" t="s">
        <v>1345</v>
      </c>
      <c r="G1298" s="25">
        <f t="shared" si="20"/>
        <v>-1.4146052436675993E-2</v>
      </c>
    </row>
    <row r="1299" spans="1:7">
      <c r="A1299" s="62">
        <v>131.95175716506412</v>
      </c>
      <c r="B1299" s="62">
        <v>132.56826270506701</v>
      </c>
      <c r="C1299" s="62">
        <v>130.48388683172391</v>
      </c>
      <c r="D1299" s="62">
        <v>130.65024546950244</v>
      </c>
      <c r="E1299" s="62">
        <v>96327529.270411924</v>
      </c>
      <c r="F1299" s="62" t="s">
        <v>1346</v>
      </c>
      <c r="G1299" s="25">
        <f t="shared" si="20"/>
        <v>9.9618006141863891E-3</v>
      </c>
    </row>
    <row r="1300" spans="1:7">
      <c r="A1300" s="62">
        <v>131.28632261394989</v>
      </c>
      <c r="B1300" s="62">
        <v>131.78539852728554</v>
      </c>
      <c r="C1300" s="62">
        <v>130.42517201839027</v>
      </c>
      <c r="D1300" s="62">
        <v>131.42332384506165</v>
      </c>
      <c r="E1300" s="62">
        <v>86781220.457076102</v>
      </c>
      <c r="F1300" s="62" t="s">
        <v>1347</v>
      </c>
      <c r="G1300" s="25">
        <f t="shared" si="20"/>
        <v>-1.0424422933730249E-3</v>
      </c>
    </row>
    <row r="1301" spans="1:7">
      <c r="A1301" s="62">
        <v>131.61903988950701</v>
      </c>
      <c r="B1301" s="62">
        <v>132.10833000062041</v>
      </c>
      <c r="C1301" s="62">
        <v>130.77746089839192</v>
      </c>
      <c r="D1301" s="62">
        <v>130.95360533839275</v>
      </c>
      <c r="E1301" s="62">
        <v>91302787.41653426</v>
      </c>
      <c r="F1301" s="62" t="s">
        <v>1348</v>
      </c>
      <c r="G1301" s="25">
        <f t="shared" si="20"/>
        <v>5.0814526976536989E-3</v>
      </c>
    </row>
    <row r="1302" spans="1:7">
      <c r="A1302" s="62">
        <v>129.20194674060676</v>
      </c>
      <c r="B1302" s="62">
        <v>132.10833000062041</v>
      </c>
      <c r="C1302" s="62">
        <v>128.8349791572717</v>
      </c>
      <c r="D1302" s="62">
        <v>132.0496151872868</v>
      </c>
      <c r="E1302" s="62">
        <v>89131968.967775926</v>
      </c>
      <c r="F1302" s="62" t="s">
        <v>1349</v>
      </c>
      <c r="G1302" s="25">
        <f t="shared" si="20"/>
        <v>-2.1565140062249966E-2</v>
      </c>
    </row>
    <row r="1303" spans="1:7">
      <c r="A1303" s="62">
        <v>131.55053927395113</v>
      </c>
      <c r="B1303" s="62">
        <v>131.7756127250633</v>
      </c>
      <c r="C1303" s="62">
        <v>129.10408871838408</v>
      </c>
      <c r="D1303" s="62">
        <v>129.60316463171975</v>
      </c>
      <c r="E1303" s="62">
        <v>93264244.38899605</v>
      </c>
      <c r="F1303" s="62" t="s">
        <v>1350</v>
      </c>
      <c r="G1303" s="25">
        <f t="shared" si="20"/>
        <v>1.5025672002416224E-2</v>
      </c>
    </row>
    <row r="1304" spans="1:7">
      <c r="A1304" s="62">
        <v>128.42886836504758</v>
      </c>
      <c r="B1304" s="62">
        <v>130.00438252283274</v>
      </c>
      <c r="C1304" s="62">
        <v>127.83193442948921</v>
      </c>
      <c r="D1304" s="62">
        <v>129.68145104949792</v>
      </c>
      <c r="E1304" s="62">
        <v>93421040.936192602</v>
      </c>
      <c r="F1304" s="62" t="s">
        <v>1351</v>
      </c>
      <c r="G1304" s="25">
        <f t="shared" si="20"/>
        <v>-9.6589194083913643E-3</v>
      </c>
    </row>
    <row r="1305" spans="1:7">
      <c r="A1305" s="62">
        <v>130.14627665505563</v>
      </c>
      <c r="B1305" s="62">
        <v>130.19031276505584</v>
      </c>
      <c r="C1305" s="62">
        <v>126.69678137170611</v>
      </c>
      <c r="D1305" s="62">
        <v>127.01971284504097</v>
      </c>
      <c r="E1305" s="62">
        <v>109021928.4804551</v>
      </c>
      <c r="F1305" s="62" t="s">
        <v>1352</v>
      </c>
      <c r="G1305" s="25">
        <f t="shared" si="20"/>
        <v>2.4614791987673135E-2</v>
      </c>
    </row>
    <row r="1306" spans="1:7">
      <c r="A1306" s="62">
        <v>127.56771776948798</v>
      </c>
      <c r="B1306" s="62">
        <v>127.59707517615476</v>
      </c>
      <c r="C1306" s="62">
        <v>125.76713016059064</v>
      </c>
      <c r="D1306" s="62">
        <v>126.18791965614815</v>
      </c>
      <c r="E1306" s="62">
        <v>90789277.140538171</v>
      </c>
      <c r="F1306" s="62" t="s">
        <v>1353</v>
      </c>
      <c r="G1306" s="25">
        <f t="shared" si="20"/>
        <v>1.0934470725087353E-2</v>
      </c>
    </row>
    <row r="1307" spans="1:7">
      <c r="A1307" s="62">
        <v>125.16041042281</v>
      </c>
      <c r="B1307" s="62">
        <v>125.17998202725454</v>
      </c>
      <c r="C1307" s="62">
        <v>122.45952900946399</v>
      </c>
      <c r="D1307" s="62">
        <v>123.13474936280049</v>
      </c>
      <c r="E1307" s="62">
        <v>85293687.838965818</v>
      </c>
      <c r="F1307" s="62" t="s">
        <v>1354</v>
      </c>
      <c r="G1307" s="25">
        <f t="shared" si="20"/>
        <v>1.6450766907732728E-2</v>
      </c>
    </row>
    <row r="1308" spans="1:7">
      <c r="A1308" s="62">
        <v>123.50660984724668</v>
      </c>
      <c r="B1308" s="62">
        <v>124.40690365169534</v>
      </c>
      <c r="C1308" s="62">
        <v>122.95860492279967</v>
      </c>
      <c r="D1308" s="62">
        <v>123.79039811169245</v>
      </c>
      <c r="E1308" s="62">
        <v>81926091.677558661</v>
      </c>
      <c r="F1308" s="62" t="s">
        <v>1355</v>
      </c>
      <c r="G1308" s="25">
        <f t="shared" si="20"/>
        <v>-2.2924901185770175E-3</v>
      </c>
    </row>
    <row r="1309" spans="1:7">
      <c r="A1309" s="62">
        <v>123.20324997835637</v>
      </c>
      <c r="B1309" s="62">
        <v>123.45777869415757</v>
      </c>
      <c r="C1309" s="62">
        <v>120.43386794945447</v>
      </c>
      <c r="D1309" s="62">
        <v>121.21673212723593</v>
      </c>
      <c r="E1309" s="62">
        <v>90591627.529799193</v>
      </c>
      <c r="F1309" s="62" t="s">
        <v>1356</v>
      </c>
      <c r="G1309" s="25">
        <f t="shared" si="20"/>
        <v>1.6388148865746244E-2</v>
      </c>
    </row>
    <row r="1310" spans="1:7">
      <c r="A1310" s="62">
        <v>120.36536733389859</v>
      </c>
      <c r="B1310" s="62">
        <v>121.52009199612624</v>
      </c>
      <c r="C1310" s="62">
        <v>119.86629142056292</v>
      </c>
      <c r="D1310" s="62">
        <v>121.01123028056828</v>
      </c>
      <c r="E1310" s="62">
        <v>76732732.068843767</v>
      </c>
      <c r="F1310" s="62" t="s">
        <v>1357</v>
      </c>
      <c r="G1310" s="25">
        <f t="shared" si="20"/>
        <v>-5.3372149442018069E-3</v>
      </c>
    </row>
    <row r="1311" spans="1:7">
      <c r="A1311" s="62">
        <v>119.5335741450058</v>
      </c>
      <c r="B1311" s="62">
        <v>120.87422904945653</v>
      </c>
      <c r="C1311" s="62">
        <v>118.55499392277899</v>
      </c>
      <c r="D1311" s="62">
        <v>119.0442840338924</v>
      </c>
      <c r="E1311" s="62">
        <v>120913772.12871425</v>
      </c>
      <c r="F1311" s="62" t="s">
        <v>1358</v>
      </c>
      <c r="G1311" s="25">
        <f t="shared" si="20"/>
        <v>4.1101520756268162E-3</v>
      </c>
    </row>
    <row r="1312" spans="1:7">
      <c r="A1312" s="62">
        <v>117.33176864499546</v>
      </c>
      <c r="B1312" s="62">
        <v>117.82409235479777</v>
      </c>
      <c r="C1312" s="62">
        <v>116.31404521387957</v>
      </c>
      <c r="D1312" s="62">
        <v>117.53727049166309</v>
      </c>
      <c r="E1312" s="62">
        <v>87547159.705566525</v>
      </c>
      <c r="F1312" s="62" t="s">
        <v>1359</v>
      </c>
      <c r="G1312" s="25">
        <f t="shared" si="20"/>
        <v>-1.7483973024726707E-3</v>
      </c>
    </row>
    <row r="1313" spans="1:7">
      <c r="A1313" s="62">
        <v>118.78985317611343</v>
      </c>
      <c r="B1313" s="62">
        <v>119.95436364056333</v>
      </c>
      <c r="C1313" s="62">
        <v>118.1438923714215</v>
      </c>
      <c r="D1313" s="62">
        <v>119.0442840338924</v>
      </c>
      <c r="E1313" s="62">
        <v>82588224.41362147</v>
      </c>
      <c r="F1313" s="62" t="s">
        <v>1360</v>
      </c>
      <c r="G1313" s="25">
        <f t="shared" si="20"/>
        <v>-2.1372790793259266E-3</v>
      </c>
    </row>
    <row r="1314" spans="1:7">
      <c r="A1314" s="62">
        <v>118.61370873611259</v>
      </c>
      <c r="B1314" s="62">
        <v>118.87792539611384</v>
      </c>
      <c r="C1314" s="62">
        <v>116.37276002721318</v>
      </c>
      <c r="D1314" s="62">
        <v>117.77212974499753</v>
      </c>
      <c r="E1314" s="62">
        <v>96130324.181225821</v>
      </c>
      <c r="F1314" s="62" t="s">
        <v>1361</v>
      </c>
      <c r="G1314" s="25">
        <f t="shared" si="20"/>
        <v>7.1458246780222723E-3</v>
      </c>
    </row>
    <row r="1315" spans="1:7">
      <c r="A1315" s="62">
        <v>118.00698899833196</v>
      </c>
      <c r="B1315" s="62">
        <v>119.05406983611465</v>
      </c>
      <c r="C1315" s="62">
        <v>116.45104644499132</v>
      </c>
      <c r="D1315" s="62">
        <v>116.97947976499381</v>
      </c>
      <c r="E1315" s="62">
        <v>101008255.38357297</v>
      </c>
      <c r="F1315" s="62" t="s">
        <v>1362</v>
      </c>
      <c r="G1315" s="25">
        <f t="shared" si="20"/>
        <v>8.7836707378283752E-3</v>
      </c>
    </row>
    <row r="1316" spans="1:7">
      <c r="A1316" s="62">
        <v>117.51769888721856</v>
      </c>
      <c r="B1316" s="62">
        <v>120.26750931167592</v>
      </c>
      <c r="C1316" s="62">
        <v>117.49323438166289</v>
      </c>
      <c r="D1316" s="62">
        <v>120.18922289389776</v>
      </c>
      <c r="E1316" s="62">
        <v>90468295.791369647</v>
      </c>
      <c r="F1316" s="62" t="s">
        <v>1363</v>
      </c>
      <c r="G1316" s="25">
        <f t="shared" si="20"/>
        <v>-2.2227650219833861E-2</v>
      </c>
    </row>
    <row r="1317" spans="1:7">
      <c r="A1317" s="62">
        <v>119.91522043167427</v>
      </c>
      <c r="B1317" s="62">
        <v>121.57880680945985</v>
      </c>
      <c r="C1317" s="62">
        <v>119.52378834278353</v>
      </c>
      <c r="D1317" s="62">
        <v>120.68829880723344</v>
      </c>
      <c r="E1317" s="62">
        <v>97556786.691191047</v>
      </c>
      <c r="F1317" s="62" t="s">
        <v>1364</v>
      </c>
      <c r="G1317" s="25">
        <f t="shared" si="20"/>
        <v>-6.4055785291492473E-3</v>
      </c>
    </row>
    <row r="1318" spans="1:7">
      <c r="A1318" s="62">
        <v>120.74701362056706</v>
      </c>
      <c r="B1318" s="62">
        <v>121.21673212723593</v>
      </c>
      <c r="C1318" s="62">
        <v>117.68405752499712</v>
      </c>
      <c r="D1318" s="62">
        <v>117.75255814055299</v>
      </c>
      <c r="E1318" s="62">
        <v>114361890.27542055</v>
      </c>
      <c r="F1318" s="62" t="s">
        <v>1365</v>
      </c>
      <c r="G1318" s="25">
        <f t="shared" si="20"/>
        <v>2.5430067314884175E-2</v>
      </c>
    </row>
    <row r="1319" spans="1:7">
      <c r="A1319" s="62">
        <v>117.41984086499586</v>
      </c>
      <c r="B1319" s="62">
        <v>118.8289963850025</v>
      </c>
      <c r="C1319" s="62">
        <v>117.11158809499442</v>
      </c>
      <c r="D1319" s="62">
        <v>117.33176864499546</v>
      </c>
      <c r="E1319" s="62">
        <v>189610946.33383349</v>
      </c>
      <c r="F1319" s="62" t="s">
        <v>1366</v>
      </c>
      <c r="G1319" s="25">
        <f t="shared" si="20"/>
        <v>7.5062552126770044E-4</v>
      </c>
    </row>
    <row r="1320" spans="1:7">
      <c r="A1320" s="62">
        <v>117.94827418499835</v>
      </c>
      <c r="B1320" s="62">
        <v>120.54151177389943</v>
      </c>
      <c r="C1320" s="62">
        <v>117.74277233833071</v>
      </c>
      <c r="D1320" s="62">
        <v>120.24793770723137</v>
      </c>
      <c r="E1320" s="62">
        <v>124128561.19612586</v>
      </c>
      <c r="F1320" s="62" t="s">
        <v>1367</v>
      </c>
      <c r="G1320" s="25">
        <f t="shared" si="20"/>
        <v>-1.9124348958333259E-2</v>
      </c>
    </row>
    <row r="1321" spans="1:7">
      <c r="A1321" s="62">
        <v>122.0876685250178</v>
      </c>
      <c r="B1321" s="62">
        <v>123.16400891144507</v>
      </c>
      <c r="C1321" s="62">
        <v>119.71559006633998</v>
      </c>
      <c r="D1321" s="62">
        <v>121.39287656723675</v>
      </c>
      <c r="E1321" s="62">
        <v>114382687.75276348</v>
      </c>
      <c r="F1321" s="62" t="s">
        <v>1368</v>
      </c>
      <c r="G1321" s="25">
        <f t="shared" si="20"/>
        <v>5.7234985892786749E-3</v>
      </c>
    </row>
    <row r="1322" spans="1:7">
      <c r="A1322" s="62">
        <v>122.88031850502151</v>
      </c>
      <c r="B1322" s="62">
        <v>124.49497587169577</v>
      </c>
      <c r="C1322" s="62">
        <v>122.04363241501758</v>
      </c>
      <c r="D1322" s="62">
        <v>123.00753393391101</v>
      </c>
      <c r="E1322" s="62">
        <v>117750117.34632438</v>
      </c>
      <c r="F1322" s="62" t="s">
        <v>1369</v>
      </c>
      <c r="G1322" s="25">
        <f t="shared" si="20"/>
        <v>-1.0342084327765733E-3</v>
      </c>
    </row>
    <row r="1323" spans="1:7">
      <c r="A1323" s="62">
        <v>121.33416175390315</v>
      </c>
      <c r="B1323" s="62">
        <v>121.34394755612541</v>
      </c>
      <c r="C1323" s="62">
        <v>117.8406303605534</v>
      </c>
      <c r="D1323" s="62">
        <v>118.80942478055795</v>
      </c>
      <c r="E1323" s="62">
        <v>94617235.150435239</v>
      </c>
      <c r="F1323" s="62" t="s">
        <v>1370</v>
      </c>
      <c r="G1323" s="25">
        <f t="shared" si="20"/>
        <v>2.1250308870768508E-2</v>
      </c>
    </row>
    <row r="1324" spans="1:7">
      <c r="A1324" s="62">
        <v>118.43756429611176</v>
      </c>
      <c r="B1324" s="62">
        <v>118.57456552722351</v>
      </c>
      <c r="C1324" s="62">
        <v>116.60761928054761</v>
      </c>
      <c r="D1324" s="62">
        <v>117.82105875610887</v>
      </c>
      <c r="E1324" s="62">
        <v>90033548.60321179</v>
      </c>
      <c r="F1324" s="62" t="s">
        <v>1371</v>
      </c>
      <c r="G1324" s="25">
        <f t="shared" si="20"/>
        <v>5.2325581395349374E-3</v>
      </c>
    </row>
    <row r="1325" spans="1:7">
      <c r="A1325" s="62">
        <v>119.34764390278269</v>
      </c>
      <c r="B1325" s="62">
        <v>120.57086918056622</v>
      </c>
      <c r="C1325" s="62">
        <v>118.66263774722394</v>
      </c>
      <c r="D1325" s="62">
        <v>119.91522043167427</v>
      </c>
      <c r="E1325" s="62">
        <v>105281622.96756519</v>
      </c>
      <c r="F1325" s="62" t="s">
        <v>1372</v>
      </c>
      <c r="G1325" s="25">
        <f t="shared" si="20"/>
        <v>-4.7331483597194968E-3</v>
      </c>
    </row>
    <row r="1326" spans="1:7">
      <c r="A1326" s="62">
        <v>117.41005506277361</v>
      </c>
      <c r="B1326" s="62">
        <v>119.55314574945034</v>
      </c>
      <c r="C1326" s="62">
        <v>116.8914075449934</v>
      </c>
      <c r="D1326" s="62">
        <v>119.08342724278145</v>
      </c>
      <c r="E1326" s="62">
        <v>114393611.74218938</v>
      </c>
      <c r="F1326" s="62" t="s">
        <v>1373</v>
      </c>
      <c r="G1326" s="25">
        <f t="shared" si="20"/>
        <v>-1.4052099597337442E-2</v>
      </c>
    </row>
    <row r="1327" spans="1:7">
      <c r="A1327" s="62">
        <v>118.49138620833423</v>
      </c>
      <c r="B1327" s="62">
        <v>119.44550192500539</v>
      </c>
      <c r="C1327" s="62">
        <v>116.2455445983237</v>
      </c>
      <c r="D1327" s="62">
        <v>116.48040385165812</v>
      </c>
      <c r="E1327" s="62">
        <v>132360921.52491733</v>
      </c>
      <c r="F1327" s="62" t="s">
        <v>1374</v>
      </c>
      <c r="G1327" s="25">
        <f t="shared" si="20"/>
        <v>1.7264555154162808E-2</v>
      </c>
    </row>
    <row r="1328" spans="1:7">
      <c r="A1328" s="62">
        <v>113.86759465831253</v>
      </c>
      <c r="B1328" s="62">
        <v>118.40820688944495</v>
      </c>
      <c r="C1328" s="62">
        <v>113.72080762497849</v>
      </c>
      <c r="D1328" s="62">
        <v>118.33970627388909</v>
      </c>
      <c r="E1328" s="62">
        <v>157755702.08102795</v>
      </c>
      <c r="F1328" s="62" t="s">
        <v>1375</v>
      </c>
      <c r="G1328" s="25">
        <f t="shared" si="20"/>
        <v>-3.7790457289341051E-2</v>
      </c>
    </row>
    <row r="1329" spans="1:7">
      <c r="A1329" s="62">
        <v>118.81921058278023</v>
      </c>
      <c r="B1329" s="62">
        <v>119.32317939722704</v>
      </c>
      <c r="C1329" s="62">
        <v>115.05167672720697</v>
      </c>
      <c r="D1329" s="62">
        <v>118.38863528500043</v>
      </c>
      <c r="E1329" s="62">
        <v>157132340.82137373</v>
      </c>
      <c r="F1329" s="62" t="s">
        <v>1376</v>
      </c>
      <c r="G1329" s="25">
        <f t="shared" si="20"/>
        <v>3.6369647875682531E-3</v>
      </c>
    </row>
    <row r="1330" spans="1:7">
      <c r="A1330" s="62">
        <v>117.55684209610763</v>
      </c>
      <c r="B1330" s="62">
        <v>120.95251546723468</v>
      </c>
      <c r="C1330" s="62">
        <v>116.07918596054513</v>
      </c>
      <c r="D1330" s="62">
        <v>119.14214205611508</v>
      </c>
      <c r="E1330" s="62">
        <v>182054542.85045502</v>
      </c>
      <c r="F1330" s="62" t="s">
        <v>1377</v>
      </c>
      <c r="G1330" s="25">
        <f t="shared" si="20"/>
        <v>-1.3305954825462041E-2</v>
      </c>
    </row>
    <row r="1331" spans="1:7">
      <c r="A1331" s="62">
        <v>119.44550192500539</v>
      </c>
      <c r="B1331" s="62">
        <v>123.01731973613326</v>
      </c>
      <c r="C1331" s="62">
        <v>119.23021427611549</v>
      </c>
      <c r="D1331" s="62">
        <v>122.13659753612913</v>
      </c>
      <c r="E1331" s="62">
        <v>115439018.11436403</v>
      </c>
      <c r="F1331" s="62" t="s">
        <v>1378</v>
      </c>
      <c r="G1331" s="25">
        <f t="shared" si="20"/>
        <v>-2.2033490906177344E-2</v>
      </c>
    </row>
    <row r="1332" spans="1:7">
      <c r="A1332" s="62">
        <v>122.43995740501946</v>
      </c>
      <c r="B1332" s="62">
        <v>125.96284620503599</v>
      </c>
      <c r="C1332" s="62">
        <v>122.33231358057451</v>
      </c>
      <c r="D1332" s="62">
        <v>125.65948633614568</v>
      </c>
      <c r="E1332" s="62">
        <v>104499296.7130473</v>
      </c>
      <c r="F1332" s="62" t="s">
        <v>1379</v>
      </c>
      <c r="G1332" s="25">
        <f t="shared" si="20"/>
        <v>-2.5621057550034965E-2</v>
      </c>
    </row>
    <row r="1333" spans="1:7">
      <c r="A1333" s="62">
        <v>125.05276659836505</v>
      </c>
      <c r="B1333" s="62">
        <v>125.18976782947681</v>
      </c>
      <c r="C1333" s="62">
        <v>120.15986548723097</v>
      </c>
      <c r="D1333" s="62">
        <v>121.09930250056871</v>
      </c>
      <c r="E1333" s="62">
        <v>118853712.10071509</v>
      </c>
      <c r="F1333" s="62" t="s">
        <v>1380</v>
      </c>
      <c r="G1333" s="25">
        <f t="shared" si="20"/>
        <v>3.264646464646459E-2</v>
      </c>
    </row>
    <row r="1334" spans="1:7">
      <c r="A1334" s="62">
        <v>118.66263774722394</v>
      </c>
      <c r="B1334" s="62">
        <v>122.1757407450182</v>
      </c>
      <c r="C1334" s="62">
        <v>118.60392293389033</v>
      </c>
      <c r="D1334" s="62">
        <v>119.9641494427856</v>
      </c>
      <c r="E1334" s="62">
        <v>168162395.13356707</v>
      </c>
      <c r="F1334" s="62" t="s">
        <v>1381</v>
      </c>
      <c r="G1334" s="25">
        <f t="shared" si="20"/>
        <v>-1.0849172036870747E-2</v>
      </c>
    </row>
    <row r="1335" spans="1:7">
      <c r="A1335" s="62">
        <v>118.39842108722269</v>
      </c>
      <c r="B1335" s="62">
        <v>123.74978703247004</v>
      </c>
      <c r="C1335" s="62">
        <v>117.95805998722062</v>
      </c>
      <c r="D1335" s="62">
        <v>122.00938210723966</v>
      </c>
      <c r="E1335" s="62">
        <v>151443424.49795592</v>
      </c>
      <c r="F1335" s="62" t="s">
        <v>1382</v>
      </c>
      <c r="G1335" s="25">
        <f t="shared" si="20"/>
        <v>-2.9595765158806686E-2</v>
      </c>
    </row>
    <row r="1336" spans="1:7">
      <c r="A1336" s="62">
        <v>122.66503085613161</v>
      </c>
      <c r="B1336" s="62">
        <v>122.87053270279925</v>
      </c>
      <c r="C1336" s="62">
        <v>119.61186056278395</v>
      </c>
      <c r="D1336" s="62">
        <v>122.26381296501862</v>
      </c>
      <c r="E1336" s="62">
        <v>113470415.07473148</v>
      </c>
      <c r="F1336" s="62" t="s">
        <v>1383</v>
      </c>
      <c r="G1336" s="25">
        <f t="shared" si="20"/>
        <v>3.2815751560748563E-3</v>
      </c>
    </row>
    <row r="1337" spans="1:7">
      <c r="A1337" s="62">
        <v>123.1641067694673</v>
      </c>
      <c r="B1337" s="62">
        <v>123.99589995836008</v>
      </c>
      <c r="C1337" s="62">
        <v>115.85411250943297</v>
      </c>
      <c r="D1337" s="62">
        <v>121.10908830279098</v>
      </c>
      <c r="E1337" s="62">
        <v>161737401.19112593</v>
      </c>
      <c r="F1337" s="62" t="s">
        <v>1384</v>
      </c>
      <c r="G1337" s="25">
        <f t="shared" si="20"/>
        <v>1.6968325791855143E-2</v>
      </c>
    </row>
    <row r="1338" spans="1:7">
      <c r="A1338" s="62">
        <v>123.30110800057905</v>
      </c>
      <c r="B1338" s="62">
        <v>126.94142642726281</v>
      </c>
      <c r="C1338" s="62">
        <v>122.90967591168831</v>
      </c>
      <c r="D1338" s="62">
        <v>125.26805424725494</v>
      </c>
      <c r="E1338" s="62">
        <v>106191006.7664478</v>
      </c>
      <c r="F1338" s="62" t="s">
        <v>1385</v>
      </c>
      <c r="G1338" s="25">
        <f t="shared" si="20"/>
        <v>-1.5701898289195992E-2</v>
      </c>
    </row>
    <row r="1339" spans="1:7">
      <c r="A1339" s="62">
        <v>127.08821346059683</v>
      </c>
      <c r="B1339" s="62">
        <v>127.91022084726737</v>
      </c>
      <c r="C1339" s="62">
        <v>126.04113262281415</v>
      </c>
      <c r="D1339" s="62">
        <v>127.45028814282077</v>
      </c>
      <c r="E1339" s="62">
        <v>89587784.433762953</v>
      </c>
      <c r="F1339" s="62" t="s">
        <v>1386</v>
      </c>
      <c r="G1339" s="25">
        <f t="shared" si="20"/>
        <v>-2.8409090909091717E-3</v>
      </c>
    </row>
    <row r="1340" spans="1:7">
      <c r="A1340" s="62">
        <v>126.93164062504054</v>
      </c>
      <c r="B1340" s="62">
        <v>127.21053598837518</v>
      </c>
      <c r="C1340" s="62">
        <v>124.68090611391885</v>
      </c>
      <c r="D1340" s="62">
        <v>126.43256471170486</v>
      </c>
      <c r="E1340" s="62">
        <v>98976809.259026989</v>
      </c>
      <c r="F1340" s="62" t="s">
        <v>1387</v>
      </c>
      <c r="G1340" s="25">
        <f t="shared" ref="G1340:G1403" si="21">A1340/D1340-1</f>
        <v>3.9473684210526994E-3</v>
      </c>
    </row>
    <row r="1341" spans="1:7">
      <c r="A1341" s="62">
        <v>128.03743627615685</v>
      </c>
      <c r="B1341" s="62">
        <v>129.38787698282985</v>
      </c>
      <c r="C1341" s="62">
        <v>126.69678137170611</v>
      </c>
      <c r="D1341" s="62">
        <v>128.43865416726985</v>
      </c>
      <c r="E1341" s="62">
        <v>100232200.45956084</v>
      </c>
      <c r="F1341" s="62" t="s">
        <v>1388</v>
      </c>
      <c r="G1341" s="25">
        <f t="shared" si="21"/>
        <v>-3.1238095238095287E-3</v>
      </c>
    </row>
    <row r="1342" spans="1:7">
      <c r="A1342" s="62">
        <v>130.33709979838986</v>
      </c>
      <c r="B1342" s="62">
        <v>133.09669602506949</v>
      </c>
      <c r="C1342" s="62">
        <v>129.94566770949913</v>
      </c>
      <c r="D1342" s="62">
        <v>132.58783430951155</v>
      </c>
      <c r="E1342" s="62">
        <v>82340020.950601041</v>
      </c>
      <c r="F1342" s="62" t="s">
        <v>1389</v>
      </c>
      <c r="G1342" s="25">
        <f t="shared" si="21"/>
        <v>-1.6975422540408958E-2</v>
      </c>
    </row>
    <row r="1343" spans="1:7">
      <c r="A1343" s="62">
        <v>132.47040468284433</v>
      </c>
      <c r="B1343" s="62">
        <v>132.62697751840062</v>
      </c>
      <c r="C1343" s="62">
        <v>130.82844492796997</v>
      </c>
      <c r="D1343" s="62">
        <v>131.47225285617296</v>
      </c>
      <c r="E1343" s="62">
        <v>61461624.33483088</v>
      </c>
      <c r="F1343" s="62" t="s">
        <v>1390</v>
      </c>
      <c r="G1343" s="25">
        <f t="shared" si="21"/>
        <v>7.59211016003003E-3</v>
      </c>
    </row>
    <row r="1344" spans="1:7">
      <c r="A1344" s="62">
        <v>132.2355454295099</v>
      </c>
      <c r="B1344" s="62">
        <v>133.46855650951568</v>
      </c>
      <c r="C1344" s="62">
        <v>130.90467632728144</v>
      </c>
      <c r="D1344" s="62">
        <v>132.98905220062454</v>
      </c>
      <c r="E1344" s="62">
        <v>65687030.597989142</v>
      </c>
      <c r="F1344" s="62" t="s">
        <v>1391</v>
      </c>
      <c r="G1344" s="25">
        <f t="shared" si="21"/>
        <v>-5.6659308314936929E-3</v>
      </c>
    </row>
    <row r="1345" spans="1:7">
      <c r="A1345" s="62">
        <v>132.48997628728884</v>
      </c>
      <c r="B1345" s="62">
        <v>134.05570464285179</v>
      </c>
      <c r="C1345" s="62">
        <v>131.52118186728433</v>
      </c>
      <c r="D1345" s="62">
        <v>133.55662872951609</v>
      </c>
      <c r="E1345" s="62">
        <v>74645451.993479058</v>
      </c>
      <c r="F1345" s="62" t="s">
        <v>1392</v>
      </c>
      <c r="G1345" s="25">
        <f t="shared" si="21"/>
        <v>-7.9865181711608058E-3</v>
      </c>
    </row>
    <row r="1346" spans="1:7">
      <c r="A1346" s="62">
        <v>133.09669602506949</v>
      </c>
      <c r="B1346" s="62">
        <v>134.92370529996697</v>
      </c>
      <c r="C1346" s="62">
        <v>132.9401231895132</v>
      </c>
      <c r="D1346" s="62">
        <v>133.69362996062785</v>
      </c>
      <c r="E1346" s="62">
        <v>78454695.135055646</v>
      </c>
      <c r="F1346" s="62" t="s">
        <v>1393</v>
      </c>
      <c r="G1346" s="25">
        <f t="shared" si="21"/>
        <v>-4.4649392475478722E-3</v>
      </c>
    </row>
    <row r="1347" spans="1:7">
      <c r="A1347" s="62">
        <v>133.97741822507362</v>
      </c>
      <c r="B1347" s="62">
        <v>134.02634723618499</v>
      </c>
      <c r="C1347" s="62">
        <v>132.03004358284224</v>
      </c>
      <c r="D1347" s="62">
        <v>133.11626762951403</v>
      </c>
      <c r="E1347" s="62">
        <v>72857812.145190224</v>
      </c>
      <c r="F1347" s="62" t="s">
        <v>1394</v>
      </c>
      <c r="G1347" s="25">
        <f t="shared" si="21"/>
        <v>6.4691612144378574E-3</v>
      </c>
    </row>
    <row r="1348" spans="1:7">
      <c r="A1348" s="62">
        <v>133.8306311917396</v>
      </c>
      <c r="B1348" s="62">
        <v>134.47649413840929</v>
      </c>
      <c r="C1348" s="62">
        <v>132.9499089917355</v>
      </c>
      <c r="D1348" s="62">
        <v>134.40799352285342</v>
      </c>
      <c r="E1348" s="62">
        <v>77350664.034221083</v>
      </c>
      <c r="F1348" s="62" t="s">
        <v>1395</v>
      </c>
      <c r="G1348" s="25">
        <f t="shared" si="21"/>
        <v>-4.2955951947578619E-3</v>
      </c>
    </row>
    <row r="1349" spans="1:7">
      <c r="A1349" s="62">
        <v>134.24652778618594</v>
      </c>
      <c r="B1349" s="62">
        <v>134.2562989869856</v>
      </c>
      <c r="C1349" s="62">
        <v>131.51059156228814</v>
      </c>
      <c r="D1349" s="62">
        <v>133.18146689902574</v>
      </c>
      <c r="E1349" s="62">
        <v>86154263.663422197</v>
      </c>
      <c r="F1349" s="62" t="s">
        <v>1396</v>
      </c>
      <c r="G1349" s="25">
        <f t="shared" si="21"/>
        <v>7.9970652971386169E-3</v>
      </c>
    </row>
    <row r="1350" spans="1:7">
      <c r="A1350" s="62">
        <v>130.87546351031187</v>
      </c>
      <c r="B1350" s="62">
        <v>132.6635932566451</v>
      </c>
      <c r="C1350" s="62">
        <v>130.55301388392391</v>
      </c>
      <c r="D1350" s="62">
        <v>132.65382205584544</v>
      </c>
      <c r="E1350" s="62">
        <v>91985559.239921674</v>
      </c>
      <c r="F1350" s="62" t="s">
        <v>1397</v>
      </c>
      <c r="G1350" s="25">
        <f t="shared" si="21"/>
        <v>-1.3406010606953345E-2</v>
      </c>
    </row>
    <row r="1351" spans="1:7">
      <c r="A1351" s="62">
        <v>131.90143959427354</v>
      </c>
      <c r="B1351" s="62">
        <v>133.19123809982537</v>
      </c>
      <c r="C1351" s="62">
        <v>131.53013396388744</v>
      </c>
      <c r="D1351" s="62">
        <v>132.62450845344654</v>
      </c>
      <c r="E1351" s="62">
        <v>85256017.871530607</v>
      </c>
      <c r="F1351" s="62" t="s">
        <v>1398</v>
      </c>
      <c r="G1351" s="25">
        <f t="shared" si="21"/>
        <v>-5.4520002947027191E-3</v>
      </c>
    </row>
    <row r="1352" spans="1:7">
      <c r="A1352" s="62">
        <v>131.07088752630455</v>
      </c>
      <c r="B1352" s="62">
        <v>132.28251642545931</v>
      </c>
      <c r="C1352" s="62">
        <v>127.93433206962172</v>
      </c>
      <c r="D1352" s="62">
        <v>130.68981069511881</v>
      </c>
      <c r="E1352" s="62">
        <v>108727499.49419524</v>
      </c>
      <c r="F1352" s="62" t="s">
        <v>1399</v>
      </c>
      <c r="G1352" s="25">
        <f t="shared" si="21"/>
        <v>2.915887850467147E-3</v>
      </c>
    </row>
    <row r="1353" spans="1:7">
      <c r="A1353" s="62">
        <v>128.94076575198415</v>
      </c>
      <c r="B1353" s="62">
        <v>133.6113997342097</v>
      </c>
      <c r="C1353" s="62">
        <v>127.230805612048</v>
      </c>
      <c r="D1353" s="62">
        <v>132.7222204614429</v>
      </c>
      <c r="E1353" s="62">
        <v>181680650.76160386</v>
      </c>
      <c r="F1353" s="62" t="s">
        <v>1400</v>
      </c>
      <c r="G1353" s="25">
        <f t="shared" si="21"/>
        <v>-2.8491496723845877E-2</v>
      </c>
    </row>
    <row r="1354" spans="1:7">
      <c r="A1354" s="62">
        <v>133.9533917621969</v>
      </c>
      <c r="B1354" s="62">
        <v>138.74128015401809</v>
      </c>
      <c r="C1354" s="62">
        <v>133.57231493101114</v>
      </c>
      <c r="D1354" s="62">
        <v>136.32779355650823</v>
      </c>
      <c r="E1354" s="62">
        <v>145960697.07760671</v>
      </c>
      <c r="F1354" s="62" t="s">
        <v>1401</v>
      </c>
      <c r="G1354" s="25">
        <f t="shared" si="21"/>
        <v>-1.7416857798165153E-2</v>
      </c>
    </row>
    <row r="1355" spans="1:7">
      <c r="A1355" s="62">
        <v>138.80967855961552</v>
      </c>
      <c r="B1355" s="62">
        <v>140.99842753873378</v>
      </c>
      <c r="C1355" s="62">
        <v>137.19743042767573</v>
      </c>
      <c r="D1355" s="62">
        <v>140.14833306916555</v>
      </c>
      <c r="E1355" s="62">
        <v>144141709.79401064</v>
      </c>
      <c r="F1355" s="62" t="s">
        <v>1402</v>
      </c>
      <c r="G1355" s="25">
        <f t="shared" si="21"/>
        <v>-9.5516976922542796E-3</v>
      </c>
    </row>
    <row r="1356" spans="1:7">
      <c r="A1356" s="62">
        <v>139.88451064757538</v>
      </c>
      <c r="B1356" s="62">
        <v>140.99842753873378</v>
      </c>
      <c r="C1356" s="62">
        <v>138.13546570444072</v>
      </c>
      <c r="D1356" s="62">
        <v>140.31444348275932</v>
      </c>
      <c r="E1356" s="62">
        <v>100694435.6354593</v>
      </c>
      <c r="F1356" s="62" t="s">
        <v>1403</v>
      </c>
      <c r="G1356" s="25">
        <f t="shared" si="21"/>
        <v>-3.0640668523675973E-3</v>
      </c>
    </row>
    <row r="1357" spans="1:7">
      <c r="A1357" s="62">
        <v>139.65000182838412</v>
      </c>
      <c r="B1357" s="62">
        <v>141.77035240190494</v>
      </c>
      <c r="C1357" s="62">
        <v>133.41597571821697</v>
      </c>
      <c r="D1357" s="62">
        <v>139.79656984037865</v>
      </c>
      <c r="E1357" s="62">
        <v>161302296.64903286</v>
      </c>
      <c r="F1357" s="62" t="s">
        <v>1404</v>
      </c>
      <c r="G1357" s="25">
        <f t="shared" si="21"/>
        <v>-1.0484378276368611E-3</v>
      </c>
    </row>
    <row r="1358" spans="1:7">
      <c r="A1358" s="62">
        <v>135.88808952052463</v>
      </c>
      <c r="B1358" s="62">
        <v>136.65024318289616</v>
      </c>
      <c r="C1358" s="62">
        <v>131.93075319667247</v>
      </c>
      <c r="D1358" s="62">
        <v>133.16192449742647</v>
      </c>
      <c r="E1358" s="62">
        <v>117139502.4491514</v>
      </c>
      <c r="F1358" s="62" t="s">
        <v>1405</v>
      </c>
      <c r="G1358" s="25">
        <f t="shared" si="21"/>
        <v>2.0472556501320627E-2</v>
      </c>
    </row>
    <row r="1359" spans="1:7">
      <c r="A1359" s="62">
        <v>133.73842534460493</v>
      </c>
      <c r="B1359" s="62">
        <v>136.47436156850273</v>
      </c>
      <c r="C1359" s="62">
        <v>130.53347148232464</v>
      </c>
      <c r="D1359" s="62">
        <v>130.73866669911698</v>
      </c>
      <c r="E1359" s="62">
        <v>123351823.86641949</v>
      </c>
      <c r="F1359" s="62" t="s">
        <v>1406</v>
      </c>
      <c r="G1359" s="25">
        <f t="shared" si="21"/>
        <v>2.2944693572496178E-2</v>
      </c>
    </row>
    <row r="1360" spans="1:7">
      <c r="A1360" s="62">
        <v>129.00916415758158</v>
      </c>
      <c r="B1360" s="62">
        <v>129.45863939436478</v>
      </c>
      <c r="C1360" s="62">
        <v>125.60878627930859</v>
      </c>
      <c r="D1360" s="62">
        <v>125.71626948810456</v>
      </c>
      <c r="E1360" s="62">
        <v>106762199.58952874</v>
      </c>
      <c r="F1360" s="62" t="s">
        <v>1407</v>
      </c>
      <c r="G1360" s="25">
        <f t="shared" si="21"/>
        <v>2.619306699829016E-2</v>
      </c>
    </row>
    <row r="1361" spans="1:7">
      <c r="A1361" s="62">
        <v>124.90525982173484</v>
      </c>
      <c r="B1361" s="62">
        <v>125.76512549210274</v>
      </c>
      <c r="C1361" s="62">
        <v>124.0336687104074</v>
      </c>
      <c r="D1361" s="62">
        <v>124.85640381773668</v>
      </c>
      <c r="E1361" s="62">
        <v>92882472.544612676</v>
      </c>
      <c r="F1361" s="62" t="s">
        <v>1408</v>
      </c>
      <c r="G1361" s="25">
        <f t="shared" si="21"/>
        <v>3.9129754265143646E-4</v>
      </c>
    </row>
    <row r="1362" spans="1:7">
      <c r="A1362" s="62">
        <v>124.23104696656003</v>
      </c>
      <c r="B1362" s="62">
        <v>127.24468071718347</v>
      </c>
      <c r="C1362" s="62">
        <v>124.09425015536515</v>
      </c>
      <c r="D1362" s="62">
        <v>125.83352389770018</v>
      </c>
      <c r="E1362" s="62">
        <v>114211685.22518557</v>
      </c>
      <c r="F1362" s="62" t="s">
        <v>1409</v>
      </c>
      <c r="G1362" s="25">
        <f t="shared" si="21"/>
        <v>-1.2734896723093581E-2</v>
      </c>
    </row>
    <row r="1363" spans="1:7">
      <c r="A1363" s="62">
        <v>125.96054950809543</v>
      </c>
      <c r="B1363" s="62">
        <v>128.00273047521915</v>
      </c>
      <c r="C1363" s="62">
        <v>125.81398149610089</v>
      </c>
      <c r="D1363" s="62">
        <v>127.80730645922647</v>
      </c>
      <c r="E1363" s="62">
        <v>92334357.721284106</v>
      </c>
      <c r="F1363" s="62" t="s">
        <v>1410</v>
      </c>
      <c r="G1363" s="25">
        <f t="shared" si="21"/>
        <v>-1.4449541284403788E-2</v>
      </c>
    </row>
    <row r="1364" spans="1:7">
      <c r="A1364" s="62">
        <v>127.89524726642315</v>
      </c>
      <c r="B1364" s="62">
        <v>128.44243451120272</v>
      </c>
      <c r="C1364" s="62">
        <v>125.55015907451077</v>
      </c>
      <c r="D1364" s="62">
        <v>125.81398149610089</v>
      </c>
      <c r="E1364" s="62">
        <v>90712321.666043893</v>
      </c>
      <c r="F1364" s="62" t="s">
        <v>1411</v>
      </c>
      <c r="G1364" s="25">
        <f t="shared" si="21"/>
        <v>1.6542404473439021E-2</v>
      </c>
    </row>
    <row r="1365" spans="1:7">
      <c r="A1365" s="62">
        <v>125.85306629929946</v>
      </c>
      <c r="B1365" s="62">
        <v>126.72270317046697</v>
      </c>
      <c r="C1365" s="62">
        <v>123.95745334417025</v>
      </c>
      <c r="D1365" s="62">
        <v>125.55993027531039</v>
      </c>
      <c r="E1365" s="62">
        <v>94104242.544513389</v>
      </c>
      <c r="F1365" s="62" t="s">
        <v>1412</v>
      </c>
      <c r="G1365" s="25">
        <f t="shared" si="21"/>
        <v>2.3346303501945442E-3</v>
      </c>
    </row>
    <row r="1366" spans="1:7">
      <c r="A1366" s="62">
        <v>126.02894791369287</v>
      </c>
      <c r="B1366" s="62">
        <v>127.19172080884944</v>
      </c>
      <c r="C1366" s="62">
        <v>125.55993027531039</v>
      </c>
      <c r="D1366" s="62">
        <v>126.23414313048521</v>
      </c>
      <c r="E1366" s="62">
        <v>102976985.18667035</v>
      </c>
      <c r="F1366" s="62" t="s">
        <v>1413</v>
      </c>
      <c r="G1366" s="25">
        <f t="shared" si="21"/>
        <v>-1.6255128105889805E-3</v>
      </c>
    </row>
    <row r="1367" spans="1:7">
      <c r="A1367" s="62">
        <v>129.02870655918085</v>
      </c>
      <c r="B1367" s="62">
        <v>129.59543620555968</v>
      </c>
      <c r="C1367" s="62">
        <v>127.25034801364725</v>
      </c>
      <c r="D1367" s="62">
        <v>129.40001218956698</v>
      </c>
      <c r="E1367" s="62">
        <v>107620595.62211393</v>
      </c>
      <c r="F1367" s="62" t="s">
        <v>1414</v>
      </c>
      <c r="G1367" s="25">
        <f t="shared" si="21"/>
        <v>-2.8694404591105283E-3</v>
      </c>
    </row>
    <row r="1368" spans="1:7">
      <c r="A1368" s="62">
        <v>127.92456086882207</v>
      </c>
      <c r="B1368" s="62">
        <v>128.61831612559615</v>
      </c>
      <c r="C1368" s="62">
        <v>124.93457342413375</v>
      </c>
      <c r="D1368" s="62">
        <v>125.42313346411552</v>
      </c>
      <c r="E1368" s="62">
        <v>112144002.81702602</v>
      </c>
      <c r="F1368" s="62" t="s">
        <v>1415</v>
      </c>
      <c r="G1368" s="25">
        <f t="shared" si="21"/>
        <v>1.9943907759426338E-2</v>
      </c>
    </row>
    <row r="1369" spans="1:7">
      <c r="A1369" s="62">
        <v>123.70340212337973</v>
      </c>
      <c r="B1369" s="62">
        <v>128.05148876720935</v>
      </c>
      <c r="C1369" s="62">
        <v>123.4903899459477</v>
      </c>
      <c r="D1369" s="62">
        <v>124.79777661293886</v>
      </c>
      <c r="E1369" s="62">
        <v>158719458.51915401</v>
      </c>
      <c r="F1369" s="62" t="s">
        <v>1416</v>
      </c>
      <c r="G1369" s="25">
        <f t="shared" si="21"/>
        <v>-8.7691825869088413E-3</v>
      </c>
    </row>
    <row r="1370" spans="1:7">
      <c r="A1370" s="62">
        <v>128.01250167601879</v>
      </c>
      <c r="B1370" s="62">
        <v>128.72579933439215</v>
      </c>
      <c r="C1370" s="62">
        <v>125.49153186971296</v>
      </c>
      <c r="D1370" s="62">
        <v>125.94100710649614</v>
      </c>
      <c r="E1370" s="62">
        <v>99951786.891584232</v>
      </c>
      <c r="F1370" s="62" t="s">
        <v>1417</v>
      </c>
      <c r="G1370" s="25">
        <f t="shared" si="21"/>
        <v>1.6448134067809761E-2</v>
      </c>
    </row>
    <row r="1371" spans="1:7">
      <c r="A1371" s="62">
        <v>126.44910954807719</v>
      </c>
      <c r="B1371" s="62">
        <v>130.55457727605184</v>
      </c>
      <c r="C1371" s="62">
        <v>123.8597413361739</v>
      </c>
      <c r="D1371" s="62">
        <v>130.46507307672721</v>
      </c>
      <c r="E1371" s="62">
        <v>146657396.50479013</v>
      </c>
      <c r="F1371" s="62" t="s">
        <v>1418</v>
      </c>
      <c r="G1371" s="25">
        <f t="shared" si="21"/>
        <v>-3.0781905332534554E-2</v>
      </c>
    </row>
    <row r="1372" spans="1:7">
      <c r="A1372" s="62">
        <v>129.65406341035748</v>
      </c>
      <c r="B1372" s="62">
        <v>131.65715957428267</v>
      </c>
      <c r="C1372" s="62">
        <v>128.70625693279288</v>
      </c>
      <c r="D1372" s="62">
        <v>131.01226032150677</v>
      </c>
      <c r="E1372" s="62">
        <v>101437467.13679445</v>
      </c>
      <c r="F1372" s="62" t="s">
        <v>1419</v>
      </c>
      <c r="G1372" s="25">
        <f t="shared" si="21"/>
        <v>-1.0366945107398773E-2</v>
      </c>
    </row>
    <row r="1373" spans="1:7">
      <c r="A1373" s="62">
        <v>130.66049709271988</v>
      </c>
      <c r="B1373" s="62">
        <v>132.87855967423707</v>
      </c>
      <c r="C1373" s="62">
        <v>130.34781866713158</v>
      </c>
      <c r="D1373" s="62">
        <v>132.47794044145203</v>
      </c>
      <c r="E1373" s="62">
        <v>98710614.977437004</v>
      </c>
      <c r="F1373" s="62" t="s">
        <v>1420</v>
      </c>
      <c r="G1373" s="25">
        <f t="shared" si="21"/>
        <v>-1.3718837586664923E-2</v>
      </c>
    </row>
    <row r="1374" spans="1:7">
      <c r="A1374" s="62">
        <v>131.78418518467794</v>
      </c>
      <c r="B1374" s="62">
        <v>135.6135187780549</v>
      </c>
      <c r="C1374" s="62">
        <v>131.26719095036924</v>
      </c>
      <c r="D1374" s="62">
        <v>134.89142703896189</v>
      </c>
      <c r="E1374" s="62">
        <v>123881728.03133987</v>
      </c>
      <c r="F1374" s="62" t="s">
        <v>1421</v>
      </c>
      <c r="G1374" s="25">
        <f t="shared" si="21"/>
        <v>-2.3035132198478858E-2</v>
      </c>
    </row>
    <row r="1375" spans="1:7">
      <c r="A1375" s="62">
        <v>133.5625437302115</v>
      </c>
      <c r="B1375" s="62">
        <v>134.1976717821878</v>
      </c>
      <c r="C1375" s="62">
        <v>130.45530187592755</v>
      </c>
      <c r="D1375" s="62">
        <v>130.92431951431004</v>
      </c>
      <c r="E1375" s="62">
        <v>127401165.47870913</v>
      </c>
      <c r="F1375" s="62" t="s">
        <v>1422</v>
      </c>
      <c r="G1375" s="25">
        <f t="shared" si="21"/>
        <v>2.015075751921791E-2</v>
      </c>
    </row>
    <row r="1376" spans="1:7">
      <c r="A1376" s="62">
        <v>128.95053695278375</v>
      </c>
      <c r="B1376" s="62">
        <v>130.40644587192938</v>
      </c>
      <c r="C1376" s="62">
        <v>128.10044248321552</v>
      </c>
      <c r="D1376" s="62">
        <v>128.31540890080748</v>
      </c>
      <c r="E1376" s="62">
        <v>56216288.178267315</v>
      </c>
      <c r="F1376" s="62" t="s">
        <v>1423</v>
      </c>
      <c r="G1376" s="25">
        <f t="shared" si="21"/>
        <v>4.9497410904659755E-3</v>
      </c>
    </row>
    <row r="1377" spans="1:7">
      <c r="A1377" s="62">
        <v>127.96364567202063</v>
      </c>
      <c r="B1377" s="62">
        <v>129.40001218956698</v>
      </c>
      <c r="C1377" s="62">
        <v>127.78776405762719</v>
      </c>
      <c r="D1377" s="62">
        <v>129.13618976797682</v>
      </c>
      <c r="E1377" s="62">
        <v>90289508.740108088</v>
      </c>
      <c r="F1377" s="62" t="s">
        <v>1424</v>
      </c>
      <c r="G1377" s="25">
        <f t="shared" si="21"/>
        <v>-9.0799031476995751E-3</v>
      </c>
    </row>
    <row r="1378" spans="1:7">
      <c r="A1378" s="62">
        <v>128.86259614558705</v>
      </c>
      <c r="B1378" s="62">
        <v>131.32982434749491</v>
      </c>
      <c r="C1378" s="62">
        <v>126.68361836726844</v>
      </c>
      <c r="D1378" s="62">
        <v>128.59877372399691</v>
      </c>
      <c r="E1378" s="62">
        <v>173317311.22169265</v>
      </c>
      <c r="F1378" s="62" t="s">
        <v>1425</v>
      </c>
      <c r="G1378" s="25">
        <f t="shared" si="21"/>
        <v>2.0515158422611535E-3</v>
      </c>
    </row>
    <row r="1379" spans="1:7">
      <c r="A1379" s="62">
        <v>125.29610785372024</v>
      </c>
      <c r="B1379" s="62">
        <v>125.37427746011733</v>
      </c>
      <c r="C1379" s="62">
        <v>120.62449675141472</v>
      </c>
      <c r="D1379" s="62">
        <v>122.1595523970374</v>
      </c>
      <c r="E1379" s="62">
        <v>124090739.18993527</v>
      </c>
      <c r="F1379" s="62" t="s">
        <v>1426</v>
      </c>
      <c r="G1379" s="25">
        <f t="shared" si="21"/>
        <v>2.5675891857302791E-2</v>
      </c>
    </row>
    <row r="1380" spans="1:7">
      <c r="A1380" s="62">
        <v>123.75714372777773</v>
      </c>
      <c r="B1380" s="62">
        <v>126.14620232328849</v>
      </c>
      <c r="C1380" s="62">
        <v>123.23438448499726</v>
      </c>
      <c r="D1380" s="62">
        <v>126.00940551209362</v>
      </c>
      <c r="E1380" s="62">
        <v>197049983.87423512</v>
      </c>
      <c r="F1380" s="62" t="s">
        <v>1427</v>
      </c>
      <c r="G1380" s="25">
        <f t="shared" si="21"/>
        <v>-1.7873759305211068E-2</v>
      </c>
    </row>
    <row r="1381" spans="1:7">
      <c r="A1381" s="62">
        <v>125.75535429130309</v>
      </c>
      <c r="B1381" s="62">
        <v>126.61521996167099</v>
      </c>
      <c r="C1381" s="62">
        <v>125.11534063892699</v>
      </c>
      <c r="D1381" s="62">
        <v>125.95077830729581</v>
      </c>
      <c r="E1381" s="62">
        <v>96569309.069489494</v>
      </c>
      <c r="F1381" s="62" t="s">
        <v>1428</v>
      </c>
      <c r="G1381" s="25">
        <f t="shared" si="21"/>
        <v>-1.5515903801397446E-3</v>
      </c>
    </row>
    <row r="1382" spans="1:7">
      <c r="A1382" s="62">
        <v>124.88571742013558</v>
      </c>
      <c r="B1382" s="62">
        <v>125.43290466491514</v>
      </c>
      <c r="C1382" s="62">
        <v>123.6643173201812</v>
      </c>
      <c r="D1382" s="62">
        <v>124.49486938815018</v>
      </c>
      <c r="E1382" s="62">
        <v>100508210.82672669</v>
      </c>
      <c r="F1382" s="62" t="s">
        <v>1429</v>
      </c>
      <c r="G1382" s="25">
        <f t="shared" si="21"/>
        <v>3.1394709991365843E-3</v>
      </c>
    </row>
    <row r="1383" spans="1:7">
      <c r="A1383" s="62">
        <v>124.95411582573301</v>
      </c>
      <c r="B1383" s="62">
        <v>124.97365822733229</v>
      </c>
      <c r="C1383" s="62">
        <v>121.28991552586987</v>
      </c>
      <c r="D1383" s="62">
        <v>121.49511074266222</v>
      </c>
      <c r="E1383" s="62">
        <v>161261921.87748843</v>
      </c>
      <c r="F1383" s="62" t="s">
        <v>1430</v>
      </c>
      <c r="G1383" s="25">
        <f t="shared" si="21"/>
        <v>2.8470323307061118E-2</v>
      </c>
    </row>
    <row r="1384" spans="1:7">
      <c r="A1384" s="62">
        <v>118.99368333795564</v>
      </c>
      <c r="B1384" s="62">
        <v>120.52776186349834</v>
      </c>
      <c r="C1384" s="62">
        <v>118.75917451876441</v>
      </c>
      <c r="D1384" s="62">
        <v>119.79492180352571</v>
      </c>
      <c r="E1384" s="62">
        <v>80927605.134215906</v>
      </c>
      <c r="F1384" s="62" t="s">
        <v>1431</v>
      </c>
      <c r="G1384" s="25">
        <f t="shared" si="21"/>
        <v>-6.68841761827077E-3</v>
      </c>
    </row>
    <row r="1385" spans="1:7">
      <c r="A1385" s="62">
        <v>119.60926898833264</v>
      </c>
      <c r="B1385" s="62">
        <v>119.95126101631988</v>
      </c>
      <c r="C1385" s="62">
        <v>117.79182563960053</v>
      </c>
      <c r="D1385" s="62">
        <v>119.62881138993193</v>
      </c>
      <c r="E1385" s="62">
        <v>88975539.222617507</v>
      </c>
      <c r="F1385" s="62" t="s">
        <v>1432</v>
      </c>
      <c r="G1385" s="25">
        <f t="shared" si="21"/>
        <v>-1.6335865392480553E-4</v>
      </c>
    </row>
    <row r="1386" spans="1:7">
      <c r="A1386" s="62">
        <v>120.42027865470236</v>
      </c>
      <c r="B1386" s="62">
        <v>121.03586430507937</v>
      </c>
      <c r="C1386" s="62">
        <v>117.40097760761513</v>
      </c>
      <c r="D1386" s="62">
        <v>117.74296963560235</v>
      </c>
      <c r="E1386" s="62">
        <v>83216148.830998302</v>
      </c>
      <c r="F1386" s="62" t="s">
        <v>1433</v>
      </c>
      <c r="G1386" s="25">
        <f t="shared" si="21"/>
        <v>2.273858921161831E-2</v>
      </c>
    </row>
    <row r="1387" spans="1:7">
      <c r="A1387" s="62">
        <v>118.99368333795564</v>
      </c>
      <c r="B1387" s="62">
        <v>123.06827407140347</v>
      </c>
      <c r="C1387" s="62">
        <v>118.23152967558411</v>
      </c>
      <c r="D1387" s="62">
        <v>121.68076355785529</v>
      </c>
      <c r="E1387" s="62">
        <v>117784083.40999249</v>
      </c>
      <c r="F1387" s="62" t="s">
        <v>1434</v>
      </c>
      <c r="G1387" s="25">
        <f t="shared" si="21"/>
        <v>-2.2083032201076103E-2</v>
      </c>
    </row>
    <row r="1388" spans="1:7">
      <c r="A1388" s="62">
        <v>121.53419554586075</v>
      </c>
      <c r="B1388" s="62">
        <v>122.12046759383887</v>
      </c>
      <c r="C1388" s="62">
        <v>120.27371064270784</v>
      </c>
      <c r="D1388" s="62">
        <v>121.52442434506112</v>
      </c>
      <c r="E1388" s="62">
        <v>84150877.344646409</v>
      </c>
      <c r="F1388" s="62" t="s">
        <v>1435</v>
      </c>
      <c r="G1388" s="25">
        <f t="shared" si="21"/>
        <v>8.0405242421699441E-5</v>
      </c>
    </row>
    <row r="1389" spans="1:7">
      <c r="A1389" s="62">
        <v>120.91860989548374</v>
      </c>
      <c r="B1389" s="62">
        <v>121.71984836105382</v>
      </c>
      <c r="C1389" s="62">
        <v>119.45292977553849</v>
      </c>
      <c r="D1389" s="62">
        <v>119.51155698033631</v>
      </c>
      <c r="E1389" s="62">
        <v>88742409.226958722</v>
      </c>
      <c r="F1389" s="62" t="s">
        <v>1436</v>
      </c>
      <c r="G1389" s="25">
        <f t="shared" si="21"/>
        <v>1.1773362766740014E-2</v>
      </c>
    </row>
    <row r="1390" spans="1:7">
      <c r="A1390" s="62">
        <v>119.45292977553849</v>
      </c>
      <c r="B1390" s="62">
        <v>120.04975472038019</v>
      </c>
      <c r="C1390" s="62">
        <v>118.73963211716513</v>
      </c>
      <c r="D1390" s="62">
        <v>119.79492180352571</v>
      </c>
      <c r="E1390" s="62">
        <v>80092941.087571338</v>
      </c>
      <c r="F1390" s="62" t="s">
        <v>1437</v>
      </c>
      <c r="G1390" s="25">
        <f t="shared" si="21"/>
        <v>-2.8548123980423057E-3</v>
      </c>
    </row>
    <row r="1391" spans="1:7">
      <c r="A1391" s="62">
        <v>120.12714263071331</v>
      </c>
      <c r="B1391" s="62">
        <v>120.94792349788266</v>
      </c>
      <c r="C1391" s="62">
        <v>119.41384497233994</v>
      </c>
      <c r="D1391" s="62">
        <v>120.69387227709214</v>
      </c>
      <c r="E1391" s="62">
        <v>80816709.859190896</v>
      </c>
      <c r="F1391" s="62" t="s">
        <v>1438</v>
      </c>
      <c r="G1391" s="25">
        <f t="shared" si="21"/>
        <v>-4.6955958549222965E-3</v>
      </c>
    </row>
    <row r="1392" spans="1:7">
      <c r="A1392" s="62">
        <v>120.26393944190819</v>
      </c>
      <c r="B1392" s="62">
        <v>120.54730426509762</v>
      </c>
      <c r="C1392" s="62">
        <v>118.12404646678813</v>
      </c>
      <c r="D1392" s="62">
        <v>119.22819215714688</v>
      </c>
      <c r="E1392" s="62">
        <v>91088287.739746645</v>
      </c>
      <c r="F1392" s="62" t="s">
        <v>1439</v>
      </c>
      <c r="G1392" s="25">
        <f t="shared" si="21"/>
        <v>8.6871004753319436E-3</v>
      </c>
    </row>
    <row r="1393" spans="1:7">
      <c r="A1393" s="62">
        <v>119.91217621312134</v>
      </c>
      <c r="B1393" s="62">
        <v>120.64433228903799</v>
      </c>
      <c r="C1393" s="62">
        <v>117.26418079642025</v>
      </c>
      <c r="D1393" s="62">
        <v>118.24130087638375</v>
      </c>
      <c r="E1393" s="62">
        <v>131167914.39265783</v>
      </c>
      <c r="F1393" s="62" t="s">
        <v>1440</v>
      </c>
      <c r="G1393" s="25">
        <f t="shared" si="21"/>
        <v>1.4131063548467049E-2</v>
      </c>
    </row>
    <row r="1394" spans="1:7">
      <c r="A1394" s="62">
        <v>116.32614551965527</v>
      </c>
      <c r="B1394" s="62">
        <v>118.2022160731852</v>
      </c>
      <c r="C1394" s="62">
        <v>114.13739654053703</v>
      </c>
      <c r="D1394" s="62">
        <v>114.29373575333118</v>
      </c>
      <c r="E1394" s="62">
        <v>173377028.54937479</v>
      </c>
      <c r="F1394" s="62" t="s">
        <v>1441</v>
      </c>
      <c r="G1394" s="25">
        <f t="shared" si="21"/>
        <v>1.7782337351457622E-2</v>
      </c>
    </row>
    <row r="1395" spans="1:7">
      <c r="A1395" s="62">
        <v>113.92243012294506</v>
      </c>
      <c r="B1395" s="62">
        <v>114.80183819491221</v>
      </c>
      <c r="C1395" s="62">
        <v>113.56089569335856</v>
      </c>
      <c r="D1395" s="62">
        <v>113.90288772134578</v>
      </c>
      <c r="E1395" s="62">
        <v>47784639.736135498</v>
      </c>
      <c r="F1395" s="62" t="s">
        <v>1442</v>
      </c>
      <c r="G1395" s="25">
        <f t="shared" si="21"/>
        <v>1.7157073003359891E-4</v>
      </c>
    </row>
    <row r="1396" spans="1:7">
      <c r="A1396" s="62">
        <v>113.37524287816549</v>
      </c>
      <c r="B1396" s="62">
        <v>114.07876933573921</v>
      </c>
      <c r="C1396" s="62">
        <v>112.53491960939688</v>
      </c>
      <c r="D1396" s="62">
        <v>112.906225239783</v>
      </c>
      <c r="E1396" s="62">
        <v>78290514.716325566</v>
      </c>
      <c r="F1396" s="62" t="s">
        <v>1443</v>
      </c>
      <c r="G1396" s="25">
        <f t="shared" si="21"/>
        <v>4.1540458675899394E-3</v>
      </c>
    </row>
    <row r="1397" spans="1:7">
      <c r="A1397" s="62">
        <v>112.53491960939688</v>
      </c>
      <c r="B1397" s="62">
        <v>113.19936126377205</v>
      </c>
      <c r="C1397" s="62">
        <v>110.01394980309104</v>
      </c>
      <c r="D1397" s="62">
        <v>111.30374830864285</v>
      </c>
      <c r="E1397" s="62">
        <v>116540658.95795852</v>
      </c>
      <c r="F1397" s="62" t="s">
        <v>1444</v>
      </c>
      <c r="G1397" s="25">
        <f t="shared" si="21"/>
        <v>1.1061364234922433E-2</v>
      </c>
    </row>
    <row r="1398" spans="1:7">
      <c r="A1398" s="62">
        <v>111.24512110384504</v>
      </c>
      <c r="B1398" s="62">
        <v>114.92905922932346</v>
      </c>
      <c r="C1398" s="62">
        <v>111.1474090958487</v>
      </c>
      <c r="D1398" s="62">
        <v>114.49893097012352</v>
      </c>
      <c r="E1398" s="62">
        <v>130955570.99264526</v>
      </c>
      <c r="F1398" s="62" t="s">
        <v>1445</v>
      </c>
      <c r="G1398" s="25">
        <f t="shared" si="21"/>
        <v>-2.8417818740399503E-2</v>
      </c>
    </row>
    <row r="1399" spans="1:7">
      <c r="A1399" s="62">
        <v>114.65527018291769</v>
      </c>
      <c r="B1399" s="62">
        <v>116.05255189726549</v>
      </c>
      <c r="C1399" s="62">
        <v>114.60641417891951</v>
      </c>
      <c r="D1399" s="62">
        <v>115.92552628687024</v>
      </c>
      <c r="E1399" s="62">
        <v>75327780.596576303</v>
      </c>
      <c r="F1399" s="62" t="s">
        <v>1446</v>
      </c>
      <c r="G1399" s="25">
        <f t="shared" si="21"/>
        <v>-1.0957518543492806E-2</v>
      </c>
    </row>
    <row r="1400" spans="1:7">
      <c r="A1400" s="62">
        <v>115.92552628687024</v>
      </c>
      <c r="B1400" s="62">
        <v>116.3359167204549</v>
      </c>
      <c r="C1400" s="62">
        <v>114.13739654053703</v>
      </c>
      <c r="D1400" s="62">
        <v>114.89955020290856</v>
      </c>
      <c r="E1400" s="62">
        <v>75848376.795990199</v>
      </c>
      <c r="F1400" s="62" t="s">
        <v>1447</v>
      </c>
      <c r="G1400" s="25">
        <f t="shared" si="21"/>
        <v>8.9293307254019183E-3</v>
      </c>
    </row>
    <row r="1401" spans="1:7">
      <c r="A1401" s="62">
        <v>115.3294830380925</v>
      </c>
      <c r="B1401" s="62">
        <v>117.07852798122717</v>
      </c>
      <c r="C1401" s="62">
        <v>115.30016943569359</v>
      </c>
      <c r="D1401" s="62">
        <v>115.89621268447134</v>
      </c>
      <c r="E1401" s="62">
        <v>78109244.26284495</v>
      </c>
      <c r="F1401" s="62" t="s">
        <v>1448</v>
      </c>
      <c r="G1401" s="25">
        <f t="shared" si="21"/>
        <v>-4.8899755501222719E-3</v>
      </c>
    </row>
    <row r="1402" spans="1:7">
      <c r="A1402" s="62">
        <v>116.65836634684287</v>
      </c>
      <c r="B1402" s="62">
        <v>117.913086241524</v>
      </c>
      <c r="C1402" s="62">
        <v>116.23820471245855</v>
      </c>
      <c r="D1402" s="62">
        <v>116.81470555963702</v>
      </c>
      <c r="E1402" s="62">
        <v>76010077.495054632</v>
      </c>
      <c r="F1402" s="62" t="s">
        <v>1449</v>
      </c>
      <c r="G1402" s="25">
        <f t="shared" si="21"/>
        <v>-1.3383521539104271E-3</v>
      </c>
    </row>
    <row r="1403" spans="1:7">
      <c r="A1403" s="62">
        <v>117.54754561960965</v>
      </c>
      <c r="B1403" s="62">
        <v>118.22175847478447</v>
      </c>
      <c r="C1403" s="62">
        <v>115.44282896736827</v>
      </c>
      <c r="D1403" s="62">
        <v>116.19911990926002</v>
      </c>
      <c r="E1403" s="62">
        <v>93318129.337190211</v>
      </c>
      <c r="F1403" s="62" t="s">
        <v>1450</v>
      </c>
      <c r="G1403" s="25">
        <f t="shared" si="21"/>
        <v>1.160443995963667E-2</v>
      </c>
    </row>
    <row r="1404" spans="1:7">
      <c r="A1404" s="62">
        <v>116.53134073644762</v>
      </c>
      <c r="B1404" s="62">
        <v>116.93362107336858</v>
      </c>
      <c r="C1404" s="62">
        <v>115.17314382529834</v>
      </c>
      <c r="D1404" s="62">
        <v>116.70722235084104</v>
      </c>
      <c r="E1404" s="62">
        <v>83601378.863333791</v>
      </c>
      <c r="F1404" s="62" t="s">
        <v>1451</v>
      </c>
      <c r="G1404" s="25">
        <f t="shared" ref="G1404:G1441" si="22">A1404/D1404-1</f>
        <v>-1.5070328198257821E-3</v>
      </c>
    </row>
    <row r="1405" spans="1:7">
      <c r="A1405" s="62">
        <v>116.48248473244942</v>
      </c>
      <c r="B1405" s="62">
        <v>117.77228323800126</v>
      </c>
      <c r="C1405" s="62">
        <v>115.85712788127279</v>
      </c>
      <c r="D1405" s="62">
        <v>116.88310396523448</v>
      </c>
      <c r="E1405" s="62">
        <v>105770699.13849288</v>
      </c>
      <c r="F1405" s="62" t="s">
        <v>1452</v>
      </c>
      <c r="G1405" s="25">
        <f t="shared" si="22"/>
        <v>-3.4275204815250593E-3</v>
      </c>
    </row>
    <row r="1406" spans="1:7">
      <c r="A1406" s="62">
        <v>116.7560783548392</v>
      </c>
      <c r="B1406" s="62">
        <v>116.8928751660341</v>
      </c>
      <c r="C1406" s="62">
        <v>113.77586211095053</v>
      </c>
      <c r="D1406" s="62">
        <v>114.50870217092316</v>
      </c>
      <c r="E1406" s="62">
        <v>114924415.43540294</v>
      </c>
      <c r="F1406" s="62" t="s">
        <v>1453</v>
      </c>
      <c r="G1406" s="25">
        <f t="shared" si="22"/>
        <v>1.9626247973376421E-2</v>
      </c>
    </row>
    <row r="1407" spans="1:7">
      <c r="A1407" s="62">
        <v>113.31661567336768</v>
      </c>
      <c r="B1407" s="62">
        <v>114.89955020290856</v>
      </c>
      <c r="C1407" s="62">
        <v>111.51871472623482</v>
      </c>
      <c r="D1407" s="62">
        <v>112.906225239783</v>
      </c>
      <c r="E1407" s="62">
        <v>141255299.96799892</v>
      </c>
      <c r="F1407" s="62" t="s">
        <v>1454</v>
      </c>
      <c r="G1407" s="25">
        <f t="shared" si="22"/>
        <v>3.6347901341411415E-3</v>
      </c>
    </row>
    <row r="1408" spans="1:7">
      <c r="A1408" s="62">
        <v>113.6586077013549</v>
      </c>
      <c r="B1408" s="62">
        <v>119.19887855474798</v>
      </c>
      <c r="C1408" s="62">
        <v>113.39478527976476</v>
      </c>
      <c r="D1408" s="62">
        <v>117.74296963560235</v>
      </c>
      <c r="E1408" s="62">
        <v>158133394.41941574</v>
      </c>
      <c r="F1408" s="62" t="s">
        <v>1455</v>
      </c>
      <c r="G1408" s="25">
        <f t="shared" si="22"/>
        <v>-3.4688796680497958E-2</v>
      </c>
    </row>
    <row r="1409" spans="1:7">
      <c r="A1409" s="62">
        <v>115.97438229086841</v>
      </c>
      <c r="B1409" s="62">
        <v>116.4727135316498</v>
      </c>
      <c r="C1409" s="62">
        <v>113.47295488616183</v>
      </c>
      <c r="D1409" s="62">
        <v>115.61284786128191</v>
      </c>
      <c r="E1409" s="62">
        <v>117138030.77741985</v>
      </c>
      <c r="F1409" s="62" t="s">
        <v>1456</v>
      </c>
      <c r="G1409" s="25">
        <f t="shared" si="22"/>
        <v>3.1271129141312581E-3</v>
      </c>
    </row>
    <row r="1410" spans="1:7">
      <c r="A1410" s="62">
        <v>116.10629350166352</v>
      </c>
      <c r="B1410" s="62">
        <v>116.68180146743669</v>
      </c>
      <c r="C1410" s="62">
        <v>113.99798347247342</v>
      </c>
      <c r="D1410" s="62">
        <v>115.05282129312955</v>
      </c>
      <c r="E1410" s="62">
        <v>129569663.83570293</v>
      </c>
      <c r="F1410" s="62" t="s">
        <v>1457</v>
      </c>
      <c r="G1410" s="25">
        <f t="shared" si="22"/>
        <v>9.1564222128019956E-3</v>
      </c>
    </row>
    <row r="1411" spans="1:7">
      <c r="A1411" s="62">
        <v>112.12650960275747</v>
      </c>
      <c r="B1411" s="62">
        <v>112.75078943003685</v>
      </c>
      <c r="C1411" s="62">
        <v>109.59037280443496</v>
      </c>
      <c r="D1411" s="62">
        <v>111.33640544635699</v>
      </c>
      <c r="E1411" s="62">
        <v>141716430.05918756</v>
      </c>
      <c r="F1411" s="62" t="s">
        <v>1458</v>
      </c>
      <c r="G1411" s="25">
        <f t="shared" si="22"/>
        <v>7.0965480988260943E-3</v>
      </c>
    </row>
    <row r="1412" spans="1:7">
      <c r="A1412" s="62">
        <v>107.72728769489807</v>
      </c>
      <c r="B1412" s="62">
        <v>108.75149678652831</v>
      </c>
      <c r="C1412" s="62">
        <v>106.05929003138598</v>
      </c>
      <c r="D1412" s="62">
        <v>106.96644665540133</v>
      </c>
      <c r="E1412" s="62">
        <v>110334570.668699</v>
      </c>
      <c r="F1412" s="62" t="s">
        <v>1459</v>
      </c>
      <c r="G1412" s="25">
        <f t="shared" si="22"/>
        <v>7.1128944008753692E-3</v>
      </c>
    </row>
    <row r="1413" spans="1:7">
      <c r="A1413" s="62">
        <v>106.09830752059094</v>
      </c>
      <c r="B1413" s="62">
        <v>107.96139263012785</v>
      </c>
      <c r="C1413" s="62">
        <v>104.6839235369111</v>
      </c>
      <c r="D1413" s="62">
        <v>106.42995617883311</v>
      </c>
      <c r="E1413" s="62">
        <v>125960846.28057189</v>
      </c>
      <c r="F1413" s="62" t="s">
        <v>1460</v>
      </c>
      <c r="G1413" s="25">
        <f t="shared" si="22"/>
        <v>-3.1161213454312664E-3</v>
      </c>
    </row>
    <row r="1414" spans="1:7">
      <c r="A1414" s="62">
        <v>106.1860968713021</v>
      </c>
      <c r="B1414" s="62">
        <v>109.23921540159031</v>
      </c>
      <c r="C1414" s="62">
        <v>105.07409842896071</v>
      </c>
      <c r="D1414" s="62">
        <v>108.33205877757497</v>
      </c>
      <c r="E1414" s="62">
        <v>195372362.3771953</v>
      </c>
      <c r="F1414" s="62" t="s">
        <v>1461</v>
      </c>
      <c r="G1414" s="25">
        <f t="shared" si="22"/>
        <v>-1.9809112191608191E-2</v>
      </c>
    </row>
    <row r="1415" spans="1:7">
      <c r="A1415" s="62">
        <v>112.48742137790335</v>
      </c>
      <c r="B1415" s="62">
        <v>114.05787531840305</v>
      </c>
      <c r="C1415" s="62">
        <v>109.44405721991637</v>
      </c>
      <c r="D1415" s="62">
        <v>109.60988154903747</v>
      </c>
      <c r="E1415" s="62">
        <v>149808894.39848316</v>
      </c>
      <c r="F1415" s="62" t="s">
        <v>1462</v>
      </c>
      <c r="G1415" s="25">
        <f t="shared" si="22"/>
        <v>2.6252558512058322E-2</v>
      </c>
    </row>
    <row r="1416" spans="1:7">
      <c r="A1416" s="62">
        <v>108.46861998979234</v>
      </c>
      <c r="B1416" s="62">
        <v>112.594719473217</v>
      </c>
      <c r="C1416" s="62">
        <v>108.37107626677994</v>
      </c>
      <c r="D1416" s="62">
        <v>112.22405332576986</v>
      </c>
      <c r="E1416" s="62">
        <v>147562363.37390727</v>
      </c>
      <c r="F1416" s="62" t="s">
        <v>1463</v>
      </c>
      <c r="G1416" s="25">
        <f t="shared" si="22"/>
        <v>-3.3463711429813081E-2</v>
      </c>
    </row>
    <row r="1417" spans="1:7">
      <c r="A1417" s="62">
        <v>113.73598103246211</v>
      </c>
      <c r="B1417" s="62">
        <v>114.39927834894645</v>
      </c>
      <c r="C1417" s="62">
        <v>111.72648279468359</v>
      </c>
      <c r="D1417" s="62">
        <v>112.65324570702442</v>
      </c>
      <c r="E1417" s="62">
        <v>94600420.355358526</v>
      </c>
      <c r="F1417" s="62" t="s">
        <v>1464</v>
      </c>
      <c r="G1417" s="25">
        <f t="shared" si="22"/>
        <v>9.6112217508010911E-3</v>
      </c>
    </row>
    <row r="1418" spans="1:7">
      <c r="A1418" s="62">
        <v>112.22405332576986</v>
      </c>
      <c r="B1418" s="62">
        <v>113.68720917095591</v>
      </c>
      <c r="C1418" s="62">
        <v>110.10735453640071</v>
      </c>
      <c r="D1418" s="62">
        <v>111.20959860644088</v>
      </c>
      <c r="E1418" s="62">
        <v>114667201.07225928</v>
      </c>
      <c r="F1418" s="62" t="s">
        <v>1465</v>
      </c>
      <c r="G1418" s="25">
        <f t="shared" si="22"/>
        <v>9.1220068415049926E-3</v>
      </c>
    </row>
    <row r="1419" spans="1:7">
      <c r="A1419" s="62">
        <v>112.21429895346863</v>
      </c>
      <c r="B1419" s="62">
        <v>113.68720917095591</v>
      </c>
      <c r="C1419" s="62">
        <v>111.47296665857436</v>
      </c>
      <c r="D1419" s="62">
        <v>113.53113921413606</v>
      </c>
      <c r="E1419" s="62">
        <v>84651930.898209065</v>
      </c>
      <c r="F1419" s="62" t="s">
        <v>1466</v>
      </c>
      <c r="G1419" s="25">
        <f t="shared" si="22"/>
        <v>-1.1598934616375844E-2</v>
      </c>
    </row>
    <row r="1420" spans="1:7">
      <c r="A1420" s="62">
        <v>112.90685938685668</v>
      </c>
      <c r="B1420" s="62">
        <v>115.14061064384072</v>
      </c>
      <c r="C1420" s="62">
        <v>111.77535219991282</v>
      </c>
      <c r="D1420" s="62">
        <v>114.56510267806755</v>
      </c>
      <c r="E1420" s="62">
        <v>104556142.46652418</v>
      </c>
      <c r="F1420" s="62" t="s">
        <v>1467</v>
      </c>
      <c r="G1420" s="25">
        <f t="shared" si="22"/>
        <v>-1.4474244359301891E-2</v>
      </c>
    </row>
    <row r="1421" spans="1:7">
      <c r="A1421" s="62">
        <v>113.99934908459561</v>
      </c>
      <c r="B1421" s="62">
        <v>115.7892764018732</v>
      </c>
      <c r="C1421" s="62">
        <v>113.5896654479435</v>
      </c>
      <c r="D1421" s="62">
        <v>113.80426163857079</v>
      </c>
      <c r="E1421" s="62">
        <v>92210936.001041204</v>
      </c>
      <c r="F1421" s="62" t="s">
        <v>1468</v>
      </c>
      <c r="G1421" s="25">
        <f t="shared" si="22"/>
        <v>1.7142367360933886E-3</v>
      </c>
    </row>
    <row r="1422" spans="1:7">
      <c r="A1422" s="62">
        <v>114.62362891187499</v>
      </c>
      <c r="B1422" s="62">
        <v>116.0575216401573</v>
      </c>
      <c r="C1422" s="62">
        <v>112.7898069192418</v>
      </c>
      <c r="D1422" s="62">
        <v>113.34580614041251</v>
      </c>
      <c r="E1422" s="62">
        <v>127556878.2464648</v>
      </c>
      <c r="F1422" s="62" t="s">
        <v>1469</v>
      </c>
      <c r="G1422" s="25">
        <f t="shared" si="22"/>
        <v>1.1273666092943113E-2</v>
      </c>
    </row>
    <row r="1423" spans="1:7">
      <c r="A1423" s="62">
        <v>113.13120994978522</v>
      </c>
      <c r="B1423" s="62">
        <v>117.46117581430579</v>
      </c>
      <c r="C1423" s="62">
        <v>112.81907003614552</v>
      </c>
      <c r="D1423" s="62">
        <v>117.01345012567886</v>
      </c>
      <c r="E1423" s="62">
        <v>123677191.39104429</v>
      </c>
      <c r="F1423" s="62" t="s">
        <v>1470</v>
      </c>
      <c r="G1423" s="25">
        <f t="shared" si="22"/>
        <v>-3.3177725908636213E-2</v>
      </c>
    </row>
    <row r="1424" spans="1:7">
      <c r="A1424" s="62">
        <v>116.09653912936227</v>
      </c>
      <c r="B1424" s="62">
        <v>118.56244444711582</v>
      </c>
      <c r="C1424" s="62">
        <v>115.89169731103622</v>
      </c>
      <c r="D1424" s="62">
        <v>118.30102726944259</v>
      </c>
      <c r="E1424" s="62">
        <v>118299573.19275899</v>
      </c>
      <c r="F1424" s="62" t="s">
        <v>1471</v>
      </c>
      <c r="G1424" s="25">
        <f t="shared" si="22"/>
        <v>-1.8634564643799534E-2</v>
      </c>
    </row>
    <row r="1425" spans="1:7">
      <c r="A1425" s="62">
        <v>117.74502804827188</v>
      </c>
      <c r="B1425" s="62">
        <v>118.22299229103265</v>
      </c>
      <c r="C1425" s="62">
        <v>115.24790873915437</v>
      </c>
      <c r="D1425" s="62">
        <v>115.80390796032506</v>
      </c>
      <c r="E1425" s="62">
        <v>115393605.57899509</v>
      </c>
      <c r="F1425" s="62" t="s">
        <v>1472</v>
      </c>
      <c r="G1425" s="25">
        <f t="shared" si="22"/>
        <v>1.6762129380053725E-2</v>
      </c>
    </row>
    <row r="1426" spans="1:7">
      <c r="A1426" s="62">
        <v>118.21323791873141</v>
      </c>
      <c r="B1426" s="62">
        <v>120.00804242215963</v>
      </c>
      <c r="C1426" s="62">
        <v>116.68180146743669</v>
      </c>
      <c r="D1426" s="62">
        <v>118.02790484500785</v>
      </c>
      <c r="E1426" s="62">
        <v>154866252.11218527</v>
      </c>
      <c r="F1426" s="62" t="s">
        <v>1473</v>
      </c>
      <c r="G1426" s="25">
        <f t="shared" si="22"/>
        <v>1.5702479338841613E-3</v>
      </c>
    </row>
    <row r="1427" spans="1:7">
      <c r="A1427" s="62">
        <v>118.12544856802025</v>
      </c>
      <c r="B1427" s="62">
        <v>122.31007428525236</v>
      </c>
      <c r="C1427" s="62">
        <v>116.71106458434042</v>
      </c>
      <c r="D1427" s="62">
        <v>122.19302181763746</v>
      </c>
      <c r="E1427" s="62">
        <v>268936270.72922295</v>
      </c>
      <c r="F1427" s="62" t="s">
        <v>1474</v>
      </c>
      <c r="G1427" s="25">
        <f t="shared" si="22"/>
        <v>-3.3288097708948694E-2</v>
      </c>
    </row>
    <row r="1428" spans="1:7">
      <c r="A1428" s="62">
        <v>121.34439142742957</v>
      </c>
      <c r="B1428" s="62">
        <v>122.10523246692631</v>
      </c>
      <c r="C1428" s="62">
        <v>116.35454227673007</v>
      </c>
      <c r="D1428" s="62">
        <v>117.11099384869127</v>
      </c>
      <c r="E1428" s="62">
        <v>246275989.4549585</v>
      </c>
      <c r="F1428" s="62" t="s">
        <v>1475</v>
      </c>
      <c r="G1428" s="25">
        <f t="shared" si="22"/>
        <v>3.6148592370481403E-2</v>
      </c>
    </row>
    <row r="1429" spans="1:7">
      <c r="A1429" s="62">
        <v>114.096892807608</v>
      </c>
      <c r="B1429" s="62">
        <v>114.12615592451172</v>
      </c>
      <c r="C1429" s="62">
        <v>112.09724648585374</v>
      </c>
      <c r="D1429" s="62">
        <v>112.44840388869839</v>
      </c>
      <c r="E1429" s="62">
        <v>103037757.7316995</v>
      </c>
      <c r="F1429" s="62" t="s">
        <v>1476</v>
      </c>
      <c r="G1429" s="25">
        <f t="shared" si="22"/>
        <v>1.4659958362248426E-2</v>
      </c>
    </row>
    <row r="1430" spans="1:7">
      <c r="A1430" s="62">
        <v>112.14601834735994</v>
      </c>
      <c r="B1430" s="62">
        <v>113.54089358643731</v>
      </c>
      <c r="C1430" s="62">
        <v>111.77544974363583</v>
      </c>
      <c r="D1430" s="62">
        <v>113.3945780019187</v>
      </c>
      <c r="E1430" s="62">
        <v>85579215.578418568</v>
      </c>
      <c r="F1430" s="62" t="s">
        <v>1477</v>
      </c>
      <c r="G1430" s="25">
        <f t="shared" si="22"/>
        <v>-1.1010752688172087E-2</v>
      </c>
    </row>
    <row r="1431" spans="1:7">
      <c r="A1431" s="62">
        <v>112.25331644267358</v>
      </c>
      <c r="B1431" s="62">
        <v>112.71177194083188</v>
      </c>
      <c r="C1431" s="62">
        <v>111.32665107405575</v>
      </c>
      <c r="D1431" s="62">
        <v>111.80461531681654</v>
      </c>
      <c r="E1431" s="62">
        <v>99287767.586731493</v>
      </c>
      <c r="F1431" s="62" t="s">
        <v>1478</v>
      </c>
      <c r="G1431" s="25">
        <f t="shared" si="22"/>
        <v>4.013261210957797E-3</v>
      </c>
    </row>
    <row r="1432" spans="1:7">
      <c r="A1432" s="62">
        <v>110.38047696083544</v>
      </c>
      <c r="B1432" s="62">
        <v>113.26777116200257</v>
      </c>
      <c r="C1432" s="62">
        <v>109.49282908142257</v>
      </c>
      <c r="D1432" s="62">
        <v>112.85808752535048</v>
      </c>
      <c r="E1432" s="62">
        <v>165564945.65976804</v>
      </c>
      <c r="F1432" s="62" t="s">
        <v>1479</v>
      </c>
      <c r="G1432" s="25">
        <f t="shared" si="22"/>
        <v>-2.1953327571305192E-2</v>
      </c>
    </row>
    <row r="1433" spans="1:7">
      <c r="A1433" s="62">
        <v>113.63843730944971</v>
      </c>
      <c r="B1433" s="62">
        <v>113.78475289396832</v>
      </c>
      <c r="C1433" s="62">
        <v>110.76089748058381</v>
      </c>
      <c r="D1433" s="62">
        <v>111.11205488342846</v>
      </c>
      <c r="E1433" s="62">
        <v>108919196.1501106</v>
      </c>
      <c r="F1433" s="62" t="s">
        <v>1480</v>
      </c>
      <c r="G1433" s="25">
        <f t="shared" si="22"/>
        <v>2.2737248705118285E-2</v>
      </c>
    </row>
    <row r="1434" spans="1:7">
      <c r="A1434" s="62">
        <v>110.24391574861808</v>
      </c>
      <c r="B1434" s="62">
        <v>112.53619323940956</v>
      </c>
      <c r="C1434" s="62">
        <v>109.46356596451885</v>
      </c>
      <c r="D1434" s="62">
        <v>110.11710890870195</v>
      </c>
      <c r="E1434" s="62">
        <v>148356020.79859012</v>
      </c>
      <c r="F1434" s="62" t="s">
        <v>1481</v>
      </c>
      <c r="G1434" s="25">
        <f t="shared" si="22"/>
        <v>1.1515634688634702E-3</v>
      </c>
    </row>
    <row r="1435" spans="1:7">
      <c r="A1435" s="62">
        <v>113.92131410618569</v>
      </c>
      <c r="B1435" s="62">
        <v>114.82847073020102</v>
      </c>
      <c r="C1435" s="62">
        <v>112.9848943652666</v>
      </c>
      <c r="D1435" s="62">
        <v>114.7504357517911</v>
      </c>
      <c r="E1435" s="62">
        <v>119044502.72544415</v>
      </c>
      <c r="F1435" s="62" t="s">
        <v>1482</v>
      </c>
      <c r="G1435" s="25">
        <f t="shared" si="22"/>
        <v>-7.2254335260114599E-3</v>
      </c>
    </row>
    <row r="1436" spans="1:7">
      <c r="A1436" s="62">
        <v>112.96538562066412</v>
      </c>
      <c r="B1436" s="62">
        <v>114.37976960434398</v>
      </c>
      <c r="C1436" s="62">
        <v>110.82917808669249</v>
      </c>
      <c r="D1436" s="62">
        <v>110.99500241581359</v>
      </c>
      <c r="E1436" s="62">
        <v>146267929.49235505</v>
      </c>
      <c r="F1436" s="62" t="s">
        <v>1483</v>
      </c>
      <c r="G1436" s="25">
        <f t="shared" si="22"/>
        <v>1.7751999296950371E-2</v>
      </c>
    </row>
    <row r="1437" spans="1:7">
      <c r="A1437" s="62">
        <v>111.28763358485079</v>
      </c>
      <c r="B1437" s="62">
        <v>112.47766700560211</v>
      </c>
      <c r="C1437" s="62">
        <v>110.78040622518628</v>
      </c>
      <c r="D1437" s="62">
        <v>111.73633471070784</v>
      </c>
      <c r="E1437" s="62">
        <v>102580179.33893788</v>
      </c>
      <c r="F1437" s="62" t="s">
        <v>1484</v>
      </c>
      <c r="G1437" s="25">
        <f t="shared" si="22"/>
        <v>-4.0157136621561396E-3</v>
      </c>
    </row>
    <row r="1438" spans="1:7">
      <c r="A1438" s="62">
        <v>112.1362639750587</v>
      </c>
      <c r="B1438" s="62">
        <v>112.48742137790335</v>
      </c>
      <c r="C1438" s="62">
        <v>110.00981081338831</v>
      </c>
      <c r="D1438" s="62">
        <v>112.18503583656491</v>
      </c>
      <c r="E1438" s="62">
        <v>141139172.00237912</v>
      </c>
      <c r="F1438" s="62" t="s">
        <v>1485</v>
      </c>
      <c r="G1438" s="25">
        <f t="shared" si="22"/>
        <v>-4.3474480479965827E-4</v>
      </c>
    </row>
    <row r="1439" spans="1:7">
      <c r="A1439" s="62">
        <v>109.52209219832629</v>
      </c>
      <c r="B1439" s="62">
        <v>109.67816215514614</v>
      </c>
      <c r="C1439" s="62">
        <v>105.02532656745451</v>
      </c>
      <c r="D1439" s="62">
        <v>105.76665886234878</v>
      </c>
      <c r="E1439" s="62">
        <v>153758167.48447165</v>
      </c>
      <c r="F1439" s="62" t="s">
        <v>1486</v>
      </c>
      <c r="G1439" s="25">
        <f t="shared" si="22"/>
        <v>3.5506778566817276E-2</v>
      </c>
    </row>
    <row r="1440" spans="1:7">
      <c r="A1440" s="62">
        <v>105.56181704402272</v>
      </c>
      <c r="B1440" s="62">
        <v>107.54195462117451</v>
      </c>
      <c r="C1440" s="62">
        <v>102.42090916302334</v>
      </c>
      <c r="D1440" s="62">
        <v>102.58673349214443</v>
      </c>
      <c r="E1440" s="62">
        <v>171967343.27914733</v>
      </c>
      <c r="F1440" s="62" t="s">
        <v>1487</v>
      </c>
      <c r="G1440" s="25">
        <f t="shared" si="22"/>
        <v>2.9000665589046237E-2</v>
      </c>
    </row>
    <row r="1441" spans="1:7">
      <c r="A1441" s="62">
        <v>104.48883609088629</v>
      </c>
      <c r="B1441" s="62">
        <v>109.35626786920521</v>
      </c>
      <c r="C1441" s="62">
        <v>104.14743306034288</v>
      </c>
      <c r="D1441" s="62">
        <v>108.87830362644443</v>
      </c>
      <c r="E1441" s="62">
        <v>154513961.88849112</v>
      </c>
      <c r="F1441" s="62" t="s">
        <v>1488</v>
      </c>
      <c r="G1441" s="25">
        <f t="shared" si="22"/>
        <v>-4.031535567102662E-2</v>
      </c>
    </row>
    <row r="1442" spans="1:7">
      <c r="A1442" s="62">
        <v>109.063636700168</v>
      </c>
      <c r="B1442" s="62">
        <v>110.08784579179823</v>
      </c>
      <c r="C1442" s="62">
        <v>106.47872804033931</v>
      </c>
      <c r="D1442" s="62">
        <v>109.91226709037592</v>
      </c>
      <c r="E1442" s="62">
        <v>187664943.82905969</v>
      </c>
      <c r="F1442" s="62" t="s">
        <v>1489</v>
      </c>
      <c r="G1442" s="25">
        <f>A1442/D1442-1</f>
        <v>-7.7209797657082913E-3</v>
      </c>
    </row>
    <row r="1443" spans="1:7">
      <c r="G1443" s="25"/>
    </row>
    <row r="1444" spans="1:7">
      <c r="G1444" s="25"/>
    </row>
    <row r="1445" spans="1:7">
      <c r="G1445" s="25"/>
    </row>
    <row r="1446" spans="1:7">
      <c r="G1446" s="25"/>
    </row>
    <row r="1447" spans="1:7">
      <c r="G1447" s="25"/>
    </row>
    <row r="1448" spans="1:7">
      <c r="G1448" s="25"/>
    </row>
    <row r="1449" spans="1:7">
      <c r="G1449" s="25"/>
    </row>
    <row r="1450" spans="1:7">
      <c r="G1450" s="25"/>
    </row>
    <row r="1451" spans="1:7">
      <c r="G1451" s="25"/>
    </row>
    <row r="1452" spans="1:7">
      <c r="G1452" s="25"/>
    </row>
    <row r="1453" spans="1:7">
      <c r="G1453" s="25"/>
    </row>
    <row r="1454" spans="1:7">
      <c r="G1454" s="25"/>
    </row>
    <row r="1455" spans="1:7">
      <c r="G1455" s="25"/>
    </row>
    <row r="1456" spans="1:7">
      <c r="G1456" s="25"/>
    </row>
    <row r="1457" spans="7:7">
      <c r="G1457" s="25"/>
    </row>
    <row r="1458" spans="7:7">
      <c r="G1458" s="25"/>
    </row>
    <row r="1459" spans="7:7">
      <c r="G1459" s="25"/>
    </row>
    <row r="1460" spans="7:7">
      <c r="G1460" s="25"/>
    </row>
    <row r="1461" spans="7:7">
      <c r="G1461" s="25"/>
    </row>
    <row r="1462" spans="7:7">
      <c r="G1462" s="25"/>
    </row>
    <row r="1463" spans="7:7">
      <c r="G1463" s="25"/>
    </row>
    <row r="1464" spans="7:7">
      <c r="G1464" s="25"/>
    </row>
    <row r="1465" spans="7:7">
      <c r="G1465" s="25"/>
    </row>
    <row r="1466" spans="7:7">
      <c r="G1466" s="25"/>
    </row>
    <row r="1467" spans="7:7">
      <c r="G1467" s="25"/>
    </row>
    <row r="1468" spans="7:7">
      <c r="G1468" s="25"/>
    </row>
    <row r="1469" spans="7:7">
      <c r="G1469" s="25"/>
    </row>
    <row r="1470" spans="7:7">
      <c r="G1470" s="25"/>
    </row>
    <row r="1471" spans="7:7">
      <c r="G1471" s="25"/>
    </row>
    <row r="1472" spans="7:7">
      <c r="G1472" s="25"/>
    </row>
    <row r="1473" spans="7:7">
      <c r="G1473" s="25"/>
    </row>
    <row r="1474" spans="7:7">
      <c r="G1474" s="25"/>
    </row>
    <row r="1475" spans="7:7">
      <c r="G1475" s="25"/>
    </row>
    <row r="1476" spans="7:7">
      <c r="G1476" s="25"/>
    </row>
    <row r="1477" spans="7:7">
      <c r="G1477" s="25"/>
    </row>
    <row r="1478" spans="7:7">
      <c r="G1478" s="25"/>
    </row>
    <row r="1479" spans="7:7">
      <c r="G1479" s="25"/>
    </row>
    <row r="1480" spans="7:7">
      <c r="G1480" s="25"/>
    </row>
    <row r="1481" spans="7:7">
      <c r="G1481" s="25"/>
    </row>
    <row r="1482" spans="7:7">
      <c r="G1482" s="25"/>
    </row>
    <row r="1483" spans="7:7">
      <c r="G1483" s="25"/>
    </row>
    <row r="1484" spans="7:7">
      <c r="G1484" s="25"/>
    </row>
    <row r="1485" spans="7:7">
      <c r="G1485" s="25"/>
    </row>
    <row r="1486" spans="7:7">
      <c r="G1486" s="25"/>
    </row>
    <row r="1487" spans="7:7">
      <c r="G1487" s="25"/>
    </row>
    <row r="1488" spans="7:7">
      <c r="G1488" s="25"/>
    </row>
    <row r="1489" spans="7:7">
      <c r="G1489" s="25"/>
    </row>
    <row r="1490" spans="7:7">
      <c r="G1490" s="25"/>
    </row>
    <row r="1491" spans="7:7">
      <c r="G1491" s="25"/>
    </row>
    <row r="1492" spans="7:7">
      <c r="G1492" s="25"/>
    </row>
    <row r="1493" spans="7:7">
      <c r="G1493" s="25"/>
    </row>
    <row r="1494" spans="7:7">
      <c r="G1494" s="25"/>
    </row>
    <row r="1495" spans="7:7">
      <c r="G1495" s="25"/>
    </row>
    <row r="1496" spans="7:7">
      <c r="G1496" s="25"/>
    </row>
    <row r="1497" spans="7:7">
      <c r="G1497" s="25"/>
    </row>
    <row r="1498" spans="7:7">
      <c r="G1498" s="25"/>
    </row>
    <row r="1499" spans="7:7">
      <c r="G1499" s="25"/>
    </row>
    <row r="1500" spans="7:7">
      <c r="G1500" s="25"/>
    </row>
    <row r="1501" spans="7:7">
      <c r="G1501" s="25"/>
    </row>
    <row r="1502" spans="7:7">
      <c r="G1502" s="25"/>
    </row>
    <row r="1503" spans="7:7">
      <c r="G1503" s="25"/>
    </row>
    <row r="1504" spans="7:7">
      <c r="G1504" s="25"/>
    </row>
    <row r="1505" spans="7:7">
      <c r="G1505" s="25"/>
    </row>
    <row r="1506" spans="7:7">
      <c r="G1506" s="25"/>
    </row>
    <row r="1507" spans="7:7">
      <c r="G1507" s="25"/>
    </row>
    <row r="1508" spans="7:7">
      <c r="G1508" s="25"/>
    </row>
    <row r="1509" spans="7:7">
      <c r="G1509" s="25"/>
    </row>
    <row r="1510" spans="7:7">
      <c r="G1510" s="25"/>
    </row>
    <row r="1511" spans="7:7">
      <c r="G1511" s="25"/>
    </row>
    <row r="1512" spans="7:7">
      <c r="G1512" s="25"/>
    </row>
    <row r="1513" spans="7:7">
      <c r="G1513" s="25"/>
    </row>
    <row r="1514" spans="7:7">
      <c r="G1514" s="25"/>
    </row>
    <row r="1515" spans="7:7">
      <c r="G1515" s="25"/>
    </row>
    <row r="1516" spans="7:7">
      <c r="G1516" s="25"/>
    </row>
    <row r="1517" spans="7:7">
      <c r="G1517" s="25"/>
    </row>
    <row r="1518" spans="7:7">
      <c r="G1518" s="25"/>
    </row>
    <row r="1519" spans="7:7">
      <c r="G1519" s="25"/>
    </row>
    <row r="1520" spans="7:7">
      <c r="G1520" s="25"/>
    </row>
    <row r="1521" spans="7:7">
      <c r="G1521" s="25"/>
    </row>
    <row r="1522" spans="7:7">
      <c r="G1522" s="25"/>
    </row>
    <row r="1523" spans="7:7">
      <c r="G1523" s="25"/>
    </row>
    <row r="1524" spans="7:7">
      <c r="G1524" s="25"/>
    </row>
    <row r="1525" spans="7:7">
      <c r="G1525" s="25"/>
    </row>
    <row r="1526" spans="7:7">
      <c r="G1526" s="25"/>
    </row>
    <row r="1527" spans="7:7">
      <c r="G1527" s="25"/>
    </row>
    <row r="1528" spans="7:7">
      <c r="G1528" s="25"/>
    </row>
    <row r="1529" spans="7:7">
      <c r="G1529" s="25"/>
    </row>
    <row r="1530" spans="7:7">
      <c r="G1530" s="25"/>
    </row>
    <row r="1531" spans="7:7">
      <c r="G1531" s="25"/>
    </row>
    <row r="1532" spans="7:7">
      <c r="G1532" s="25"/>
    </row>
    <row r="1533" spans="7:7">
      <c r="G1533" s="25"/>
    </row>
    <row r="1534" spans="7:7">
      <c r="G1534" s="25"/>
    </row>
    <row r="1535" spans="7:7">
      <c r="G1535" s="25"/>
    </row>
    <row r="1536" spans="7:7">
      <c r="G1536" s="25"/>
    </row>
    <row r="1537" spans="7:7">
      <c r="G1537" s="25"/>
    </row>
    <row r="1538" spans="7:7">
      <c r="G1538" s="25"/>
    </row>
    <row r="1539" spans="7:7">
      <c r="G1539" s="25"/>
    </row>
    <row r="1540" spans="7:7">
      <c r="G1540" s="25"/>
    </row>
    <row r="1541" spans="7:7">
      <c r="G1541" s="25"/>
    </row>
    <row r="1542" spans="7:7">
      <c r="G1542" s="25"/>
    </row>
    <row r="1543" spans="7:7">
      <c r="G1543" s="25"/>
    </row>
    <row r="1544" spans="7:7">
      <c r="G1544" s="25"/>
    </row>
    <row r="1545" spans="7:7">
      <c r="G1545" s="25"/>
    </row>
    <row r="1546" spans="7:7">
      <c r="G1546" s="25"/>
    </row>
    <row r="1547" spans="7:7">
      <c r="G1547" s="25"/>
    </row>
    <row r="1548" spans="7:7">
      <c r="G1548" s="25"/>
    </row>
    <row r="1549" spans="7:7">
      <c r="G1549" s="25"/>
    </row>
    <row r="1550" spans="7:7">
      <c r="G1550" s="25"/>
    </row>
    <row r="1551" spans="7:7">
      <c r="G1551" s="25"/>
    </row>
    <row r="1552" spans="7:7">
      <c r="G1552" s="25"/>
    </row>
    <row r="1553" spans="7:7">
      <c r="G1553" s="25"/>
    </row>
    <row r="1554" spans="7:7">
      <c r="G1554" s="25"/>
    </row>
    <row r="1555" spans="7:7">
      <c r="G1555" s="25"/>
    </row>
    <row r="1556" spans="7:7">
      <c r="G1556" s="25"/>
    </row>
    <row r="1557" spans="7:7">
      <c r="G1557" s="25"/>
    </row>
    <row r="1558" spans="7:7">
      <c r="G1558" s="25"/>
    </row>
  </sheetData>
  <sortState xmlns:xlrd2="http://schemas.microsoft.com/office/spreadsheetml/2017/richdata2" ref="I245:I337">
    <sortCondition ref="I245"/>
  </sortState>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63948-7FD9-4D33-AAA7-BDE5D55568DA}">
  <dimension ref="A1"/>
  <sheetViews>
    <sheetView workbookViewId="0">
      <selection sqref="A1:XFD1048576"/>
    </sheetView>
  </sheetViews>
  <sheetFormatPr defaultColWidth="9.140625" defaultRowHeight="14.25"/>
  <cols>
    <col min="1" max="1" width="3" style="1" customWidth="1"/>
    <col min="2" max="16384" width="9.140625" style="1"/>
  </cols>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B980A-1DF2-456B-8E8C-981833B3E564}">
  <dimension ref="A1"/>
  <sheetViews>
    <sheetView workbookViewId="0">
      <selection sqref="A1:XFD1048576"/>
    </sheetView>
  </sheetViews>
  <sheetFormatPr defaultColWidth="9.140625" defaultRowHeight="14.25"/>
  <cols>
    <col min="1" max="1" width="3" style="1" customWidth="1"/>
    <col min="2" max="16384" width="9.140625" style="1"/>
  </cols>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E02BD-B6BF-42BA-8013-D2DE54AE4447}">
  <dimension ref="A1"/>
  <sheetViews>
    <sheetView workbookViewId="0">
      <selection sqref="A1:XFD1048576"/>
    </sheetView>
  </sheetViews>
  <sheetFormatPr defaultColWidth="9.140625" defaultRowHeight="14.25"/>
  <cols>
    <col min="1" max="1" width="3" style="1" customWidth="1"/>
    <col min="2" max="16384" width="9.140625" style="1"/>
  </cols>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36E60-677E-467E-9C59-7853ADE8E695}">
  <dimension ref="A1"/>
  <sheetViews>
    <sheetView workbookViewId="0">
      <selection sqref="A1:XFD1048576"/>
    </sheetView>
  </sheetViews>
  <sheetFormatPr defaultColWidth="9.140625" defaultRowHeight="14.25"/>
  <cols>
    <col min="1" max="1" width="3" style="1" customWidth="1"/>
    <col min="2" max="16384" width="9.140625" style="1"/>
  </cols>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CC31F-8910-447E-89B3-28B6120F3B0A}">
  <dimension ref="B2:Z8"/>
  <sheetViews>
    <sheetView workbookViewId="0">
      <selection activeCell="D15" sqref="D15"/>
    </sheetView>
  </sheetViews>
  <sheetFormatPr defaultColWidth="9.140625" defaultRowHeight="14.25"/>
  <cols>
    <col min="1" max="1" width="3.140625" style="1" customWidth="1"/>
    <col min="2" max="16384" width="9.140625" style="1"/>
  </cols>
  <sheetData>
    <row r="2" spans="2:26" ht="15">
      <c r="B2" s="3" t="s">
        <v>10</v>
      </c>
      <c r="C2" s="4"/>
      <c r="D2" s="4"/>
      <c r="E2" s="4"/>
      <c r="F2" s="4"/>
      <c r="G2" s="3" t="s">
        <v>10</v>
      </c>
      <c r="H2" s="5"/>
      <c r="I2" s="5"/>
      <c r="J2" s="5"/>
      <c r="K2" s="5"/>
      <c r="L2" s="5"/>
      <c r="M2" s="5"/>
      <c r="N2" s="5"/>
      <c r="O2" s="5"/>
      <c r="P2" s="5"/>
      <c r="Q2" s="5"/>
      <c r="R2" s="5"/>
      <c r="S2" s="5"/>
      <c r="T2" s="5"/>
      <c r="U2" s="5"/>
      <c r="V2" s="5"/>
      <c r="W2" s="5"/>
      <c r="X2" s="5"/>
      <c r="Y2" s="5"/>
      <c r="Z2" s="6"/>
    </row>
    <row r="3" spans="2:26" ht="15">
      <c r="B3" s="7" t="s">
        <v>11</v>
      </c>
      <c r="C3" s="8"/>
      <c r="D3" s="8"/>
      <c r="E3" s="8"/>
      <c r="F3" s="9"/>
      <c r="G3" s="10" t="s">
        <v>12</v>
      </c>
      <c r="H3" s="10"/>
      <c r="I3" s="10"/>
      <c r="J3" s="10"/>
      <c r="K3" s="10"/>
      <c r="L3" s="10"/>
      <c r="M3" s="10"/>
      <c r="N3" s="10"/>
      <c r="O3" s="10"/>
      <c r="P3" s="10"/>
      <c r="Q3" s="10"/>
      <c r="R3" s="10"/>
      <c r="S3" s="10"/>
      <c r="T3" s="10"/>
      <c r="U3" s="10"/>
      <c r="V3" s="10"/>
      <c r="W3" s="10"/>
      <c r="X3" s="10"/>
      <c r="Y3" s="10"/>
      <c r="Z3" s="11"/>
    </row>
    <row r="4" spans="2:26" ht="15">
      <c r="B4" s="12" t="s">
        <v>11</v>
      </c>
      <c r="C4" s="13"/>
      <c r="D4" s="13"/>
      <c r="E4" s="13"/>
      <c r="F4" s="14"/>
      <c r="G4" s="15" t="s">
        <v>13</v>
      </c>
      <c r="H4" s="15"/>
      <c r="I4" s="15"/>
      <c r="J4" s="15"/>
      <c r="K4" s="15"/>
      <c r="L4" s="15"/>
      <c r="M4" s="15"/>
      <c r="N4" s="15"/>
      <c r="O4" s="15"/>
      <c r="P4" s="15"/>
      <c r="Q4" s="15"/>
      <c r="R4" s="15"/>
      <c r="S4" s="15"/>
      <c r="T4" s="15"/>
      <c r="U4" s="15"/>
      <c r="V4" s="15"/>
      <c r="W4" s="15"/>
      <c r="X4" s="15"/>
      <c r="Y4" s="15"/>
      <c r="Z4" s="16"/>
    </row>
    <row r="5" spans="2:26" ht="15">
      <c r="B5" s="12" t="s">
        <v>11</v>
      </c>
      <c r="C5" s="13"/>
      <c r="D5" s="13"/>
      <c r="E5" s="13"/>
      <c r="F5" s="14"/>
      <c r="G5" s="17" t="s">
        <v>12</v>
      </c>
      <c r="H5" s="17"/>
      <c r="I5" s="17"/>
      <c r="J5" s="17"/>
      <c r="K5" s="17"/>
      <c r="L5" s="17"/>
      <c r="M5" s="17"/>
      <c r="N5" s="17"/>
      <c r="O5" s="17"/>
      <c r="P5" s="17"/>
      <c r="Q5" s="17"/>
      <c r="R5" s="17"/>
      <c r="S5" s="17"/>
      <c r="T5" s="17"/>
      <c r="U5" s="17"/>
      <c r="V5" s="17"/>
      <c r="W5" s="17"/>
      <c r="X5" s="17"/>
      <c r="Y5" s="17"/>
      <c r="Z5" s="18"/>
    </row>
    <row r="6" spans="2:26" ht="15">
      <c r="B6" s="12" t="s">
        <v>11</v>
      </c>
      <c r="C6" s="13"/>
      <c r="D6" s="13"/>
      <c r="E6" s="13"/>
      <c r="F6" s="14"/>
      <c r="G6" s="15" t="s">
        <v>13</v>
      </c>
      <c r="H6" s="15"/>
      <c r="I6" s="15"/>
      <c r="J6" s="15"/>
      <c r="K6" s="15"/>
      <c r="L6" s="15"/>
      <c r="M6" s="15"/>
      <c r="N6" s="15"/>
      <c r="O6" s="15"/>
      <c r="P6" s="15"/>
      <c r="Q6" s="15"/>
      <c r="R6" s="15"/>
      <c r="S6" s="15"/>
      <c r="T6" s="15"/>
      <c r="U6" s="15"/>
      <c r="V6" s="15"/>
      <c r="W6" s="15"/>
      <c r="X6" s="15"/>
      <c r="Y6" s="15"/>
      <c r="Z6" s="16"/>
    </row>
    <row r="7" spans="2:26" ht="15">
      <c r="B7" s="12" t="s">
        <v>11</v>
      </c>
      <c r="C7" s="13"/>
      <c r="D7" s="13"/>
      <c r="E7" s="13"/>
      <c r="F7" s="14"/>
      <c r="G7" s="17" t="s">
        <v>12</v>
      </c>
      <c r="H7" s="17"/>
      <c r="I7" s="17"/>
      <c r="J7" s="17"/>
      <c r="K7" s="17"/>
      <c r="L7" s="17"/>
      <c r="M7" s="17"/>
      <c r="N7" s="17"/>
      <c r="O7" s="17"/>
      <c r="P7" s="17"/>
      <c r="Q7" s="17"/>
      <c r="R7" s="17"/>
      <c r="S7" s="17"/>
      <c r="T7" s="17"/>
      <c r="U7" s="17"/>
      <c r="V7" s="17"/>
      <c r="W7" s="17"/>
      <c r="X7" s="17"/>
      <c r="Y7" s="17"/>
      <c r="Z7" s="18"/>
    </row>
    <row r="8" spans="2:26" ht="15">
      <c r="B8" s="19" t="s">
        <v>11</v>
      </c>
      <c r="C8" s="20"/>
      <c r="D8" s="20"/>
      <c r="E8" s="20"/>
      <c r="F8" s="21"/>
      <c r="G8" s="22" t="s">
        <v>13</v>
      </c>
      <c r="H8" s="22"/>
      <c r="I8" s="22"/>
      <c r="J8" s="22"/>
      <c r="K8" s="22"/>
      <c r="L8" s="22"/>
      <c r="M8" s="22"/>
      <c r="N8" s="22"/>
      <c r="O8" s="22"/>
      <c r="P8" s="22"/>
      <c r="Q8" s="22"/>
      <c r="R8" s="22"/>
      <c r="S8" s="22"/>
      <c r="T8" s="22"/>
      <c r="U8" s="22"/>
      <c r="V8" s="22"/>
      <c r="W8" s="22"/>
      <c r="X8" s="22"/>
      <c r="Y8" s="22"/>
      <c r="Z8" s="2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Main</vt:lpstr>
      <vt:lpstr>Model</vt:lpstr>
      <vt:lpstr>Notes | Quant Analysis</vt:lpstr>
      <vt:lpstr>Product Lines</vt:lpstr>
      <vt:lpstr>Apple Silicon</vt:lpstr>
      <vt:lpstr>M&amp;A</vt:lpstr>
      <vt:lpstr>Management</vt:lpstr>
      <vt:lpstr>Table Formatting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Jacob H</cp:lastModifiedBy>
  <dcterms:created xsi:type="dcterms:W3CDTF">2015-06-05T18:17:20Z</dcterms:created>
  <dcterms:modified xsi:type="dcterms:W3CDTF">2026-01-12T08:59:30Z</dcterms:modified>
</cp:coreProperties>
</file>