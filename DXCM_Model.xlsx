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318C184D-D587-4DCE-9483-5AA656ACBA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52" i="2" l="1"/>
  <c r="CQ51" i="2" l="1"/>
  <c r="C7" i="1"/>
  <c r="C6" i="1"/>
  <c r="BL84" i="2"/>
  <c r="BL83" i="2"/>
  <c r="BL76" i="2"/>
  <c r="BL73" i="2"/>
  <c r="BL72" i="2"/>
  <c r="BL71" i="2"/>
  <c r="BL67" i="2"/>
  <c r="BL69" i="2" s="1"/>
  <c r="BL57" i="2"/>
  <c r="BL20" i="2"/>
  <c r="BL19" i="2"/>
  <c r="BL17" i="2"/>
  <c r="BL21" i="2" s="1"/>
  <c r="BL9" i="2"/>
  <c r="BL8" i="2"/>
  <c r="BL6" i="2"/>
  <c r="BL13" i="2" s="1"/>
  <c r="BK84" i="2"/>
  <c r="BK83" i="2"/>
  <c r="BK76" i="2"/>
  <c r="BK73" i="2"/>
  <c r="BK72" i="2"/>
  <c r="BK71" i="2"/>
  <c r="BK67" i="2"/>
  <c r="BK69" i="2" s="1"/>
  <c r="BK57" i="2"/>
  <c r="BK20" i="2"/>
  <c r="BK19" i="2"/>
  <c r="BK17" i="2"/>
  <c r="BK24" i="2" s="1"/>
  <c r="BK9" i="2"/>
  <c r="BK8" i="2"/>
  <c r="BK6" i="2"/>
  <c r="BK10" i="2" s="1"/>
  <c r="BJ4" i="2"/>
  <c r="CG4" i="2" s="1"/>
  <c r="BJ5" i="2"/>
  <c r="CG5" i="2" s="1"/>
  <c r="CH5" i="2" s="1"/>
  <c r="BJ15" i="2"/>
  <c r="CG15" i="2" s="1"/>
  <c r="BJ16" i="2"/>
  <c r="CG16" i="2" s="1"/>
  <c r="BJ27" i="2"/>
  <c r="CG27" i="2" s="1"/>
  <c r="CG76" i="2" s="1"/>
  <c r="BJ29" i="2"/>
  <c r="CG29" i="2" s="1"/>
  <c r="BJ30" i="2"/>
  <c r="CG30" i="2" s="1"/>
  <c r="BJ32" i="2"/>
  <c r="CG32" i="2" s="1"/>
  <c r="CH32" i="2" s="1"/>
  <c r="BJ34" i="2"/>
  <c r="CG34" i="2" s="1"/>
  <c r="BF5" i="2"/>
  <c r="BJ9" i="2" s="1"/>
  <c r="CL68" i="2"/>
  <c r="CL63" i="2"/>
  <c r="CH3" i="2"/>
  <c r="CI51" i="2"/>
  <c r="CG68" i="2"/>
  <c r="CG66" i="2"/>
  <c r="CG65" i="2"/>
  <c r="CG64" i="2"/>
  <c r="CG63" i="2"/>
  <c r="CG62" i="2"/>
  <c r="CG61" i="2"/>
  <c r="CG60" i="2"/>
  <c r="CG59" i="2"/>
  <c r="CG56" i="2"/>
  <c r="CG55" i="2"/>
  <c r="CG54" i="2"/>
  <c r="CG53" i="2"/>
  <c r="CG52" i="2"/>
  <c r="CG51" i="2"/>
  <c r="CG50" i="2"/>
  <c r="CG49" i="2"/>
  <c r="CG48" i="2"/>
  <c r="CG47" i="2"/>
  <c r="CG46" i="2"/>
  <c r="CG83" i="2"/>
  <c r="CG82" i="2"/>
  <c r="CG81" i="2"/>
  <c r="CG36" i="2"/>
  <c r="CG84" i="2" s="1"/>
  <c r="CG3" i="2"/>
  <c r="BJ81" i="2"/>
  <c r="BJ83" i="2" s="1"/>
  <c r="BJ84" i="2"/>
  <c r="BJ76" i="2"/>
  <c r="BJ73" i="2"/>
  <c r="BJ72" i="2"/>
  <c r="BJ71" i="2"/>
  <c r="BJ67" i="2"/>
  <c r="BJ69" i="2" s="1"/>
  <c r="CG69" i="2" s="1"/>
  <c r="BJ57" i="2"/>
  <c r="CG57" i="2" s="1"/>
  <c r="C3" i="2" a="1"/>
  <c r="AC84" i="2"/>
  <c r="AD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I84" i="2"/>
  <c r="BI83" i="2"/>
  <c r="BI76" i="2"/>
  <c r="BI73" i="2"/>
  <c r="BI72" i="2"/>
  <c r="BI71" i="2"/>
  <c r="BI67" i="2"/>
  <c r="BI69" i="2" s="1"/>
  <c r="BI57" i="2"/>
  <c r="BI20" i="2"/>
  <c r="BI19" i="2"/>
  <c r="BI17" i="2"/>
  <c r="BI23" i="2" s="1"/>
  <c r="BI9" i="2"/>
  <c r="BI8" i="2"/>
  <c r="BI6" i="2"/>
  <c r="BI13" i="2" s="1"/>
  <c r="BL85" i="2" l="1"/>
  <c r="BL23" i="2"/>
  <c r="BL24" i="2"/>
  <c r="BL10" i="2"/>
  <c r="BL12" i="2"/>
  <c r="BL26" i="2"/>
  <c r="BK85" i="2"/>
  <c r="BK21" i="2"/>
  <c r="BK23" i="2"/>
  <c r="BK12" i="2"/>
  <c r="BK26" i="2"/>
  <c r="BK13" i="2"/>
  <c r="CG67" i="2"/>
  <c r="CJ51" i="2"/>
  <c r="CG72" i="2"/>
  <c r="CG19" i="2"/>
  <c r="CH4" i="2"/>
  <c r="CH6" i="2" s="1"/>
  <c r="CG71" i="2"/>
  <c r="CG73" i="2"/>
  <c r="CG20" i="2"/>
  <c r="BI85" i="2"/>
  <c r="BJ85" i="2"/>
  <c r="CG85" i="2" s="1"/>
  <c r="BJ17" i="2"/>
  <c r="BJ6" i="2"/>
  <c r="CG6" i="2" s="1"/>
  <c r="CG13" i="2" s="1"/>
  <c r="BI24" i="2"/>
  <c r="BI12" i="2"/>
  <c r="BI26" i="2"/>
  <c r="BL74" i="2" l="1"/>
  <c r="BL28" i="2"/>
  <c r="BL75" i="2"/>
  <c r="BL41" i="2"/>
  <c r="BL40" i="2"/>
  <c r="BK74" i="2"/>
  <c r="BK75" i="2"/>
  <c r="BK28" i="2"/>
  <c r="BK41" i="2"/>
  <c r="BK40" i="2"/>
  <c r="BJ24" i="2"/>
  <c r="CG17" i="2"/>
  <c r="CH10" i="2"/>
  <c r="CG12" i="2"/>
  <c r="CH13" i="2"/>
  <c r="CH12" i="2"/>
  <c r="BJ23" i="2"/>
  <c r="BJ26" i="2"/>
  <c r="BJ13" i="2"/>
  <c r="BJ12" i="2"/>
  <c r="BI75" i="2"/>
  <c r="BI74" i="2"/>
  <c r="BI28" i="2"/>
  <c r="BI41" i="2"/>
  <c r="BI40" i="2"/>
  <c r="BL31" i="2" l="1"/>
  <c r="BL39" i="2"/>
  <c r="BK31" i="2"/>
  <c r="BK39" i="2"/>
  <c r="CG21" i="2"/>
  <c r="CG23" i="2"/>
  <c r="CG24" i="2"/>
  <c r="BJ28" i="2"/>
  <c r="CG26" i="2"/>
  <c r="BJ74" i="2"/>
  <c r="BJ41" i="2"/>
  <c r="BJ75" i="2"/>
  <c r="BJ40" i="2"/>
  <c r="BI39" i="2"/>
  <c r="BI31" i="2"/>
  <c r="BL42" i="2" l="1"/>
  <c r="BL33" i="2"/>
  <c r="BK42" i="2"/>
  <c r="BK33" i="2"/>
  <c r="CG41" i="2"/>
  <c r="CG40" i="2"/>
  <c r="CG75" i="2"/>
  <c r="CG74" i="2"/>
  <c r="BJ31" i="2"/>
  <c r="CG28" i="2"/>
  <c r="CG39" i="2" s="1"/>
  <c r="BJ39" i="2"/>
  <c r="BI33" i="2"/>
  <c r="BI42" i="2"/>
  <c r="BL43" i="2" l="1"/>
  <c r="BL35" i="2"/>
  <c r="BK43" i="2"/>
  <c r="BK35" i="2"/>
  <c r="BJ33" i="2"/>
  <c r="CG31" i="2"/>
  <c r="CG42" i="2" s="1"/>
  <c r="BJ42" i="2"/>
  <c r="BI35" i="2"/>
  <c r="BI37" i="2" s="1"/>
  <c r="BI43" i="2"/>
  <c r="BL37" i="2" l="1"/>
  <c r="BL44" i="2"/>
  <c r="BL80" i="2"/>
  <c r="BL78" i="2"/>
  <c r="BL77" i="2"/>
  <c r="BK44" i="2"/>
  <c r="BK78" i="2"/>
  <c r="BK80" i="2"/>
  <c r="BK77" i="2"/>
  <c r="BK37" i="2"/>
  <c r="BJ35" i="2"/>
  <c r="CG33" i="2"/>
  <c r="CG43" i="2" s="1"/>
  <c r="BJ43" i="2"/>
  <c r="BI78" i="2"/>
  <c r="BI77" i="2"/>
  <c r="BI44" i="2"/>
  <c r="BI80" i="2"/>
  <c r="BJ37" i="2" l="1"/>
  <c r="CG37" i="2" s="1"/>
  <c r="CG35" i="2"/>
  <c r="BJ80" i="2"/>
  <c r="CG80" i="2" s="1"/>
  <c r="BJ78" i="2"/>
  <c r="BJ77" i="2"/>
  <c r="BJ44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CF32" i="2"/>
  <c r="CI32" i="2" s="1"/>
  <c r="CJ32" i="2" s="1"/>
  <c r="CK32" i="2" s="1"/>
  <c r="CL32" i="2" s="1"/>
  <c r="CM32" i="2" s="1"/>
  <c r="CN32" i="2" s="1"/>
  <c r="CO32" i="2" s="1"/>
  <c r="CP32" i="2" s="1"/>
  <c r="CQ32" i="2" s="1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S26" i="2"/>
  <c r="BT26" i="2"/>
  <c r="BU26" i="2"/>
  <c r="BV26" i="2"/>
  <c r="BW26" i="2"/>
  <c r="BX26" i="2"/>
  <c r="BY26" i="2"/>
  <c r="BZ26" i="2"/>
  <c r="CA26" i="2"/>
  <c r="CQ53" i="2"/>
  <c r="CQ59" i="2"/>
  <c r="CQ57" i="2"/>
  <c r="CG44" i="2" l="1"/>
  <c r="CG78" i="2"/>
  <c r="CG77" i="2"/>
  <c r="CQ54" i="2"/>
  <c r="CE84" i="2" l="1"/>
  <c r="BW84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CF84" i="2"/>
  <c r="CD84" i="2"/>
  <c r="CC84" i="2"/>
  <c r="CB84" i="2"/>
  <c r="CA84" i="2"/>
  <c r="BZ84" i="2"/>
  <c r="BY84" i="2"/>
  <c r="BX84" i="2"/>
  <c r="BV84" i="2"/>
  <c r="BU84" i="2"/>
  <c r="BT84" i="2"/>
  <c r="BS84" i="2"/>
  <c r="CF68" i="2"/>
  <c r="CE68" i="2"/>
  <c r="CD68" i="2"/>
  <c r="CC68" i="2"/>
  <c r="CB68" i="2"/>
  <c r="CF66" i="2"/>
  <c r="CE66" i="2"/>
  <c r="CD66" i="2"/>
  <c r="CC66" i="2"/>
  <c r="CB66" i="2"/>
  <c r="CF65" i="2"/>
  <c r="CE65" i="2"/>
  <c r="CD65" i="2"/>
  <c r="CC65" i="2"/>
  <c r="CB65" i="2"/>
  <c r="CF64" i="2"/>
  <c r="CE64" i="2"/>
  <c r="CD64" i="2"/>
  <c r="CC64" i="2"/>
  <c r="CB64" i="2"/>
  <c r="CF63" i="2"/>
  <c r="CE63" i="2"/>
  <c r="CD63" i="2"/>
  <c r="CC63" i="2"/>
  <c r="CB63" i="2"/>
  <c r="CB73" i="2" s="1"/>
  <c r="CF62" i="2"/>
  <c r="CE62" i="2"/>
  <c r="CD62" i="2"/>
  <c r="CC62" i="2"/>
  <c r="CB62" i="2"/>
  <c r="CF61" i="2"/>
  <c r="CE61" i="2"/>
  <c r="CD61" i="2"/>
  <c r="CD71" i="2" s="1"/>
  <c r="CC61" i="2"/>
  <c r="CB61" i="2"/>
  <c r="CF60" i="2"/>
  <c r="CE60" i="2"/>
  <c r="CD60" i="2"/>
  <c r="CC60" i="2"/>
  <c r="CB60" i="2"/>
  <c r="CF59" i="2"/>
  <c r="CE59" i="2"/>
  <c r="CD59" i="2"/>
  <c r="CC59" i="2"/>
  <c r="CB59" i="2"/>
  <c r="CF56" i="2"/>
  <c r="CE56" i="2"/>
  <c r="CD56" i="2"/>
  <c r="CC56" i="2"/>
  <c r="CB56" i="2"/>
  <c r="CF55" i="2"/>
  <c r="CE55" i="2"/>
  <c r="CD55" i="2"/>
  <c r="CC55" i="2"/>
  <c r="CB55" i="2"/>
  <c r="CF54" i="2"/>
  <c r="CE54" i="2"/>
  <c r="CD54" i="2"/>
  <c r="CC54" i="2"/>
  <c r="CB54" i="2"/>
  <c r="CF52" i="2"/>
  <c r="CE52" i="2"/>
  <c r="CD52" i="2"/>
  <c r="CC52" i="2"/>
  <c r="CB52" i="2"/>
  <c r="CF51" i="2"/>
  <c r="CE51" i="2"/>
  <c r="CD51" i="2"/>
  <c r="CC51" i="2"/>
  <c r="CB51" i="2"/>
  <c r="CF50" i="2"/>
  <c r="CE50" i="2"/>
  <c r="CD50" i="2"/>
  <c r="CC50" i="2"/>
  <c r="CB50" i="2"/>
  <c r="CF49" i="2"/>
  <c r="CE49" i="2"/>
  <c r="CD49" i="2"/>
  <c r="CC49" i="2"/>
  <c r="CB49" i="2"/>
  <c r="CC76" i="2" s="1"/>
  <c r="CF48" i="2"/>
  <c r="CE48" i="2"/>
  <c r="CD48" i="2"/>
  <c r="CC48" i="2"/>
  <c r="CB48" i="2"/>
  <c r="CF47" i="2"/>
  <c r="CE47" i="2"/>
  <c r="CD47" i="2"/>
  <c r="CC47" i="2"/>
  <c r="CB47" i="2"/>
  <c r="CF46" i="2"/>
  <c r="CE46" i="2"/>
  <c r="CD46" i="2"/>
  <c r="CC46" i="2"/>
  <c r="CB46" i="2"/>
  <c r="CF76" i="2"/>
  <c r="CE76" i="2"/>
  <c r="CB71" i="2" l="1"/>
  <c r="CC71" i="2"/>
  <c r="CD72" i="2"/>
  <c r="CE73" i="2"/>
  <c r="CB76" i="2"/>
  <c r="CF73" i="2"/>
  <c r="CD76" i="2"/>
  <c r="CE71" i="2"/>
  <c r="CC73" i="2"/>
  <c r="CF71" i="2"/>
  <c r="CD73" i="2"/>
  <c r="CB72" i="2"/>
  <c r="CC72" i="2"/>
  <c r="CE72" i="2"/>
  <c r="CF72" i="2"/>
  <c r="BG76" i="2" l="1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BH76" i="2"/>
  <c r="BH73" i="2"/>
  <c r="BH72" i="2"/>
  <c r="BH71" i="2"/>
  <c r="N83" i="2"/>
  <c r="N85" i="2" s="1"/>
  <c r="L83" i="2"/>
  <c r="L85" i="2" s="1"/>
  <c r="K83" i="2"/>
  <c r="H83" i="2"/>
  <c r="H85" i="2" s="1"/>
  <c r="F83" i="2"/>
  <c r="F85" i="2" s="1"/>
  <c r="C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L85" i="2" s="1"/>
  <c r="AK83" i="2"/>
  <c r="AJ83" i="2"/>
  <c r="AI83" i="2"/>
  <c r="AH83" i="2"/>
  <c r="AG83" i="2"/>
  <c r="AF83" i="2"/>
  <c r="AF85" i="2" s="1"/>
  <c r="AE83" i="2"/>
  <c r="AD83" i="2"/>
  <c r="AD85" i="2" s="1"/>
  <c r="AC83" i="2"/>
  <c r="AC85" i="2" s="1"/>
  <c r="AB83" i="2"/>
  <c r="AB85" i="2" s="1"/>
  <c r="AA83" i="2"/>
  <c r="Z83" i="2"/>
  <c r="Z85" i="2" s="1"/>
  <c r="Y83" i="2"/>
  <c r="Y85" i="2" s="1"/>
  <c r="X83" i="2"/>
  <c r="X85" i="2" s="1"/>
  <c r="W83" i="2"/>
  <c r="V83" i="2"/>
  <c r="V85" i="2" s="1"/>
  <c r="U83" i="2"/>
  <c r="U85" i="2" s="1"/>
  <c r="T83" i="2"/>
  <c r="T85" i="2" s="1"/>
  <c r="S83" i="2"/>
  <c r="R83" i="2"/>
  <c r="R85" i="2" s="1"/>
  <c r="Q83" i="2"/>
  <c r="Q85" i="2" s="1"/>
  <c r="P83" i="2"/>
  <c r="P85" i="2" s="1"/>
  <c r="O83" i="2"/>
  <c r="M83" i="2"/>
  <c r="M85" i="2" s="1"/>
  <c r="D83" i="2"/>
  <c r="D85" i="2" s="1"/>
  <c r="BH83" i="2"/>
  <c r="AL84" i="2"/>
  <c r="AK84" i="2"/>
  <c r="AJ84" i="2"/>
  <c r="AI84" i="2"/>
  <c r="AH84" i="2"/>
  <c r="AG84" i="2"/>
  <c r="AF84" i="2"/>
  <c r="AE84" i="2"/>
  <c r="W85" i="2" l="1"/>
  <c r="BW85" i="2" s="1"/>
  <c r="BX83" i="2"/>
  <c r="CD83" i="2"/>
  <c r="AG85" i="2"/>
  <c r="S85" i="2"/>
  <c r="BV85" i="2" s="1"/>
  <c r="BW83" i="2"/>
  <c r="AA85" i="2"/>
  <c r="BY83" i="2"/>
  <c r="AI85" i="2"/>
  <c r="CA83" i="2"/>
  <c r="CC83" i="2"/>
  <c r="CE83" i="2"/>
  <c r="O85" i="2"/>
  <c r="BU85" i="2" s="1"/>
  <c r="BV83" i="2"/>
  <c r="CB83" i="2"/>
  <c r="K85" i="2"/>
  <c r="BU83" i="2"/>
  <c r="AH85" i="2"/>
  <c r="AJ85" i="2"/>
  <c r="CA85" i="2" s="1"/>
  <c r="C85" i="2"/>
  <c r="AE85" i="2"/>
  <c r="BZ83" i="2"/>
  <c r="CF83" i="2"/>
  <c r="BZ85" i="2"/>
  <c r="AK85" i="2"/>
  <c r="BY85" i="2"/>
  <c r="BX85" i="2"/>
  <c r="E83" i="2"/>
  <c r="E85" i="2" s="1"/>
  <c r="G83" i="2"/>
  <c r="J83" i="2"/>
  <c r="J85" i="2" s="1"/>
  <c r="I83" i="2"/>
  <c r="I85" i="2" s="1"/>
  <c r="BT85" i="2" s="1"/>
  <c r="BS83" i="2" l="1"/>
  <c r="G85" i="2"/>
  <c r="BS85" i="2" s="1"/>
  <c r="BT83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L28" i="2"/>
  <c r="AL31" i="2" s="1"/>
  <c r="AK28" i="2"/>
  <c r="AK31" i="2" s="1"/>
  <c r="AJ28" i="2"/>
  <c r="AI28" i="2"/>
  <c r="AH28" i="2"/>
  <c r="AH39" i="2" s="1"/>
  <c r="AG28" i="2"/>
  <c r="AG39" i="2" s="1"/>
  <c r="AF28" i="2"/>
  <c r="AE28" i="2"/>
  <c r="AD28" i="2"/>
  <c r="AD31" i="2" s="1"/>
  <c r="AC28" i="2"/>
  <c r="AC31" i="2" s="1"/>
  <c r="AB28" i="2"/>
  <c r="AA28" i="2"/>
  <c r="Z28" i="2"/>
  <c r="Z39" i="2" s="1"/>
  <c r="Y28" i="2"/>
  <c r="Y39" i="2" s="1"/>
  <c r="X28" i="2"/>
  <c r="W28" i="2"/>
  <c r="V28" i="2"/>
  <c r="V31" i="2" s="1"/>
  <c r="U28" i="2"/>
  <c r="U31" i="2" s="1"/>
  <c r="T28" i="2"/>
  <c r="S28" i="2"/>
  <c r="R28" i="2"/>
  <c r="R39" i="2" s="1"/>
  <c r="Q28" i="2"/>
  <c r="Q39" i="2" s="1"/>
  <c r="P28" i="2"/>
  <c r="O28" i="2"/>
  <c r="N28" i="2"/>
  <c r="N31" i="2" s="1"/>
  <c r="M28" i="2"/>
  <c r="M31" i="2" s="1"/>
  <c r="L28" i="2"/>
  <c r="K28" i="2"/>
  <c r="J28" i="2"/>
  <c r="J39" i="2" s="1"/>
  <c r="I28" i="2"/>
  <c r="I39" i="2" s="1"/>
  <c r="H28" i="2"/>
  <c r="G28" i="2"/>
  <c r="F28" i="2"/>
  <c r="F31" i="2" s="1"/>
  <c r="E28" i="2"/>
  <c r="E31" i="2" s="1"/>
  <c r="D28" i="2"/>
  <c r="C28" i="2"/>
  <c r="BG84" i="2"/>
  <c r="BG85" i="2" s="1"/>
  <c r="BF84" i="2"/>
  <c r="BF85" i="2" s="1"/>
  <c r="BE84" i="2"/>
  <c r="BE85" i="2" s="1"/>
  <c r="BD84" i="2"/>
  <c r="BD85" i="2" s="1"/>
  <c r="BC84" i="2"/>
  <c r="BB84" i="2"/>
  <c r="BB85" i="2" s="1"/>
  <c r="BA84" i="2"/>
  <c r="BA85" i="2" s="1"/>
  <c r="AZ84" i="2"/>
  <c r="AZ85" i="2" s="1"/>
  <c r="AY84" i="2"/>
  <c r="AX84" i="2"/>
  <c r="AX85" i="2" s="1"/>
  <c r="AW84" i="2"/>
  <c r="AW85" i="2" s="1"/>
  <c r="AV84" i="2"/>
  <c r="AV85" i="2" s="1"/>
  <c r="AU84" i="2"/>
  <c r="AT84" i="2"/>
  <c r="AT85" i="2" s="1"/>
  <c r="AS84" i="2"/>
  <c r="AS85" i="2" s="1"/>
  <c r="AR84" i="2"/>
  <c r="AR85" i="2" s="1"/>
  <c r="AQ84" i="2"/>
  <c r="AP84" i="2"/>
  <c r="AP85" i="2" s="1"/>
  <c r="AO84" i="2"/>
  <c r="AO85" i="2" s="1"/>
  <c r="AN84" i="2"/>
  <c r="AN85" i="2" s="1"/>
  <c r="AM84" i="2"/>
  <c r="BH84" i="2"/>
  <c r="BH85" i="2" s="1"/>
  <c r="BG67" i="2"/>
  <c r="BG69" i="2" s="1"/>
  <c r="BF67" i="2"/>
  <c r="BE67" i="2"/>
  <c r="BE69" i="2" s="1"/>
  <c r="BD67" i="2"/>
  <c r="BD69" i="2" s="1"/>
  <c r="BC67" i="2"/>
  <c r="BC69" i="2" s="1"/>
  <c r="BB67" i="2"/>
  <c r="BA67" i="2"/>
  <c r="BA69" i="2" s="1"/>
  <c r="AZ67" i="2"/>
  <c r="AZ69" i="2" s="1"/>
  <c r="AY67" i="2"/>
  <c r="AY69" i="2" s="1"/>
  <c r="AX67" i="2"/>
  <c r="AW67" i="2"/>
  <c r="AW69" i="2" s="1"/>
  <c r="AV67" i="2"/>
  <c r="AV69" i="2" s="1"/>
  <c r="AU67" i="2"/>
  <c r="AU69" i="2" s="1"/>
  <c r="AT67" i="2"/>
  <c r="AS67" i="2"/>
  <c r="AS69" i="2" s="1"/>
  <c r="AR67" i="2"/>
  <c r="AR69" i="2" s="1"/>
  <c r="AQ67" i="2"/>
  <c r="AQ69" i="2" s="1"/>
  <c r="AP67" i="2"/>
  <c r="BH67" i="2"/>
  <c r="BH69" i="2" s="1"/>
  <c r="BG57" i="2"/>
  <c r="BF57" i="2"/>
  <c r="CF57" i="2" s="1"/>
  <c r="BE57" i="2"/>
  <c r="BD57" i="2"/>
  <c r="BC57" i="2"/>
  <c r="BB57" i="2"/>
  <c r="CE57" i="2" s="1"/>
  <c r="BA57" i="2"/>
  <c r="AZ57" i="2"/>
  <c r="AY57" i="2"/>
  <c r="AX57" i="2"/>
  <c r="CD57" i="2" s="1"/>
  <c r="AW57" i="2"/>
  <c r="AV57" i="2"/>
  <c r="AU57" i="2"/>
  <c r="AT57" i="2"/>
  <c r="CC57" i="2" s="1"/>
  <c r="AS57" i="2"/>
  <c r="AR57" i="2"/>
  <c r="AQ57" i="2"/>
  <c r="AP57" i="2"/>
  <c r="CB57" i="2" s="1"/>
  <c r="BH57" i="2"/>
  <c r="AI39" i="2" l="1"/>
  <c r="CA28" i="2"/>
  <c r="AU85" i="2"/>
  <c r="CD85" i="2" s="1"/>
  <c r="K39" i="2"/>
  <c r="BU28" i="2"/>
  <c r="AA31" i="2"/>
  <c r="BY31" i="2" s="1"/>
  <c r="BY28" i="2"/>
  <c r="BC85" i="2"/>
  <c r="CF85" i="2" s="1"/>
  <c r="G39" i="2"/>
  <c r="BT28" i="2"/>
  <c r="O39" i="2"/>
  <c r="BV28" i="2"/>
  <c r="W39" i="2"/>
  <c r="BX28" i="2"/>
  <c r="AE39" i="2"/>
  <c r="BZ28" i="2"/>
  <c r="C31" i="2"/>
  <c r="BS31" i="2" s="1"/>
  <c r="BS28" i="2"/>
  <c r="S31" i="2"/>
  <c r="BW28" i="2"/>
  <c r="AM85" i="2"/>
  <c r="CB85" i="2" s="1"/>
  <c r="AQ85" i="2"/>
  <c r="CC85" i="2" s="1"/>
  <c r="AY85" i="2"/>
  <c r="CE85" i="2" s="1"/>
  <c r="AT69" i="2"/>
  <c r="CC69" i="2" s="1"/>
  <c r="CC67" i="2"/>
  <c r="AP69" i="2"/>
  <c r="CB69" i="2" s="1"/>
  <c r="CB67" i="2"/>
  <c r="AX69" i="2"/>
  <c r="CD69" i="2" s="1"/>
  <c r="CD67" i="2"/>
  <c r="BF69" i="2"/>
  <c r="CF69" i="2" s="1"/>
  <c r="CF67" i="2"/>
  <c r="BB69" i="2"/>
  <c r="CE69" i="2" s="1"/>
  <c r="CE67" i="2"/>
  <c r="X39" i="2"/>
  <c r="AF39" i="2"/>
  <c r="H39" i="2"/>
  <c r="D31" i="2"/>
  <c r="L31" i="2"/>
  <c r="T31" i="2"/>
  <c r="T33" i="2" s="1"/>
  <c r="AB31" i="2"/>
  <c r="AJ31" i="2"/>
  <c r="P39" i="2"/>
  <c r="G31" i="2"/>
  <c r="O31" i="2"/>
  <c r="W31" i="2"/>
  <c r="AE31" i="2"/>
  <c r="L33" i="2"/>
  <c r="L42" i="2"/>
  <c r="AB33" i="2"/>
  <c r="AB42" i="2"/>
  <c r="C33" i="2"/>
  <c r="AK33" i="2"/>
  <c r="AK42" i="2"/>
  <c r="AL42" i="2"/>
  <c r="AL33" i="2"/>
  <c r="M33" i="2"/>
  <c r="M42" i="2"/>
  <c r="F42" i="2"/>
  <c r="F33" i="2"/>
  <c r="S33" i="2"/>
  <c r="S42" i="2"/>
  <c r="AC33" i="2"/>
  <c r="AC42" i="2"/>
  <c r="V42" i="2"/>
  <c r="V33" i="2"/>
  <c r="U33" i="2"/>
  <c r="U42" i="2"/>
  <c r="AD42" i="2"/>
  <c r="AD33" i="2"/>
  <c r="E33" i="2"/>
  <c r="E42" i="2"/>
  <c r="N42" i="2"/>
  <c r="N33" i="2"/>
  <c r="H31" i="2"/>
  <c r="P31" i="2"/>
  <c r="X31" i="2"/>
  <c r="AF31" i="2"/>
  <c r="O33" i="2"/>
  <c r="D39" i="2"/>
  <c r="L39" i="2"/>
  <c r="T39" i="2"/>
  <c r="AB39" i="2"/>
  <c r="AJ39" i="2"/>
  <c r="S39" i="2"/>
  <c r="I31" i="2"/>
  <c r="Q31" i="2"/>
  <c r="Y31" i="2"/>
  <c r="AG31" i="2"/>
  <c r="E39" i="2"/>
  <c r="M39" i="2"/>
  <c r="U39" i="2"/>
  <c r="AC39" i="2"/>
  <c r="AK39" i="2"/>
  <c r="AA39" i="2"/>
  <c r="J31" i="2"/>
  <c r="R31" i="2"/>
  <c r="Z31" i="2"/>
  <c r="AH31" i="2"/>
  <c r="F39" i="2"/>
  <c r="N39" i="2"/>
  <c r="V39" i="2"/>
  <c r="AD39" i="2"/>
  <c r="AL39" i="2"/>
  <c r="C39" i="2"/>
  <c r="K31" i="2"/>
  <c r="BU31" i="2" s="1"/>
  <c r="AI31" i="2"/>
  <c r="AA42" i="2" l="1"/>
  <c r="BW31" i="2"/>
  <c r="G42" i="2"/>
  <c r="BT31" i="2"/>
  <c r="AA33" i="2"/>
  <c r="BY33" i="2" s="1"/>
  <c r="AE42" i="2"/>
  <c r="BZ31" i="2"/>
  <c r="G33" i="2"/>
  <c r="CA31" i="2"/>
  <c r="BW33" i="2"/>
  <c r="W42" i="2"/>
  <c r="BX31" i="2"/>
  <c r="C42" i="2"/>
  <c r="O42" i="2"/>
  <c r="BV31" i="2"/>
  <c r="AE33" i="2"/>
  <c r="T42" i="2"/>
  <c r="AJ42" i="2"/>
  <c r="D42" i="2"/>
  <c r="D33" i="2"/>
  <c r="BY43" i="2"/>
  <c r="AJ33" i="2"/>
  <c r="W33" i="2"/>
  <c r="BU43" i="2"/>
  <c r="X33" i="2"/>
  <c r="X42" i="2"/>
  <c r="K33" i="2"/>
  <c r="BU33" i="2" s="1"/>
  <c r="K42" i="2"/>
  <c r="AA43" i="2"/>
  <c r="AA35" i="2"/>
  <c r="P33" i="2"/>
  <c r="BV33" i="2" s="1"/>
  <c r="P42" i="2"/>
  <c r="S43" i="2"/>
  <c r="S35" i="2"/>
  <c r="AK43" i="2"/>
  <c r="AK35" i="2"/>
  <c r="T35" i="2"/>
  <c r="T37" i="2" s="1"/>
  <c r="T43" i="2"/>
  <c r="AI33" i="2"/>
  <c r="AI42" i="2"/>
  <c r="AL43" i="2"/>
  <c r="AL35" i="2"/>
  <c r="AB43" i="2"/>
  <c r="AB35" i="2"/>
  <c r="AB37" i="2" s="1"/>
  <c r="AD43" i="2"/>
  <c r="AD35" i="2"/>
  <c r="J33" i="2"/>
  <c r="J42" i="2"/>
  <c r="F35" i="2"/>
  <c r="F43" i="2"/>
  <c r="AF33" i="2"/>
  <c r="AF42" i="2"/>
  <c r="Z33" i="2"/>
  <c r="Z42" i="2"/>
  <c r="AC43" i="2"/>
  <c r="AC35" i="2"/>
  <c r="H33" i="2"/>
  <c r="H42" i="2"/>
  <c r="N35" i="2"/>
  <c r="N43" i="2"/>
  <c r="I33" i="2"/>
  <c r="I42" i="2"/>
  <c r="W43" i="2"/>
  <c r="W35" i="2"/>
  <c r="U35" i="2"/>
  <c r="U43" i="2"/>
  <c r="C43" i="2"/>
  <c r="C35" i="2"/>
  <c r="L35" i="2"/>
  <c r="L37" i="2" s="1"/>
  <c r="L43" i="2"/>
  <c r="R33" i="2"/>
  <c r="R42" i="2"/>
  <c r="Y33" i="2"/>
  <c r="Y42" i="2"/>
  <c r="Q33" i="2"/>
  <c r="Q42" i="2"/>
  <c r="O35" i="2"/>
  <c r="O43" i="2"/>
  <c r="V35" i="2"/>
  <c r="V43" i="2"/>
  <c r="AH33" i="2"/>
  <c r="AH42" i="2"/>
  <c r="AG33" i="2"/>
  <c r="AG42" i="2"/>
  <c r="AE43" i="2"/>
  <c r="AE35" i="2"/>
  <c r="G35" i="2"/>
  <c r="G43" i="2"/>
  <c r="E35" i="2"/>
  <c r="E43" i="2"/>
  <c r="M35" i="2"/>
  <c r="M43" i="2"/>
  <c r="AJ35" i="2"/>
  <c r="AJ37" i="2" s="1"/>
  <c r="D35" i="2"/>
  <c r="D37" i="2" s="1"/>
  <c r="D43" i="2"/>
  <c r="AE80" i="2" l="1"/>
  <c r="AE37" i="2"/>
  <c r="AD80" i="2"/>
  <c r="AD37" i="2"/>
  <c r="O80" i="2"/>
  <c r="O37" i="2"/>
  <c r="C80" i="2"/>
  <c r="C37" i="2"/>
  <c r="BS35" i="2"/>
  <c r="AK80" i="2"/>
  <c r="AK37" i="2"/>
  <c r="BS43" i="2"/>
  <c r="AA80" i="2"/>
  <c r="AA37" i="2"/>
  <c r="BY35" i="2"/>
  <c r="AJ43" i="2"/>
  <c r="M80" i="2"/>
  <c r="M37" i="2"/>
  <c r="N80" i="2"/>
  <c r="N37" i="2"/>
  <c r="BU37" i="2" s="1"/>
  <c r="AC80" i="2"/>
  <c r="AC37" i="2"/>
  <c r="BZ33" i="2"/>
  <c r="BT33" i="2"/>
  <c r="AL80" i="2"/>
  <c r="AL37" i="2"/>
  <c r="S80" i="2"/>
  <c r="S37" i="2"/>
  <c r="BW35" i="2"/>
  <c r="E80" i="2"/>
  <c r="E37" i="2"/>
  <c r="U80" i="2"/>
  <c r="U37" i="2"/>
  <c r="F80" i="2"/>
  <c r="F37" i="2"/>
  <c r="BS37" i="2" s="1"/>
  <c r="W80" i="2"/>
  <c r="W37" i="2"/>
  <c r="G80" i="2"/>
  <c r="G37" i="2"/>
  <c r="V80" i="2"/>
  <c r="V37" i="2"/>
  <c r="BW37" i="2" s="1"/>
  <c r="CA33" i="2"/>
  <c r="CA43" i="2" s="1"/>
  <c r="BW43" i="2"/>
  <c r="BX33" i="2"/>
  <c r="BS33" i="2"/>
  <c r="BT43" i="2"/>
  <c r="BX43" i="2"/>
  <c r="D80" i="2"/>
  <c r="BS80" i="2" s="1"/>
  <c r="BV43" i="2"/>
  <c r="L80" i="2"/>
  <c r="BU80" i="2" s="1"/>
  <c r="T80" i="2"/>
  <c r="BW80" i="2" s="1"/>
  <c r="AB80" i="2"/>
  <c r="AJ80" i="2"/>
  <c r="BZ43" i="2"/>
  <c r="D44" i="2"/>
  <c r="G44" i="2"/>
  <c r="V44" i="2"/>
  <c r="R43" i="2"/>
  <c r="R35" i="2"/>
  <c r="J43" i="2"/>
  <c r="J35" i="2"/>
  <c r="AI43" i="2"/>
  <c r="AI35" i="2"/>
  <c r="P35" i="2"/>
  <c r="P37" i="2" s="1"/>
  <c r="P43" i="2"/>
  <c r="CA37" i="2"/>
  <c r="AJ44" i="2"/>
  <c r="AE44" i="2"/>
  <c r="AD44" i="2"/>
  <c r="AA44" i="2"/>
  <c r="O44" i="2"/>
  <c r="L44" i="2"/>
  <c r="I35" i="2"/>
  <c r="I43" i="2"/>
  <c r="Z43" i="2"/>
  <c r="Z35" i="2"/>
  <c r="T44" i="2"/>
  <c r="AC44" i="2"/>
  <c r="C44" i="2"/>
  <c r="BY37" i="2"/>
  <c r="AB44" i="2"/>
  <c r="AK44" i="2"/>
  <c r="W44" i="2"/>
  <c r="M44" i="2"/>
  <c r="AG43" i="2"/>
  <c r="AG35" i="2"/>
  <c r="Q35" i="2"/>
  <c r="Q43" i="2"/>
  <c r="N44" i="2"/>
  <c r="AF43" i="2"/>
  <c r="AF35" i="2"/>
  <c r="AF37" i="2" s="1"/>
  <c r="K43" i="2"/>
  <c r="K35" i="2"/>
  <c r="AL44" i="2"/>
  <c r="S44" i="2"/>
  <c r="E44" i="2"/>
  <c r="AH43" i="2"/>
  <c r="AH35" i="2"/>
  <c r="Y43" i="2"/>
  <c r="Y35" i="2"/>
  <c r="U44" i="2"/>
  <c r="H35" i="2"/>
  <c r="H37" i="2" s="1"/>
  <c r="H43" i="2"/>
  <c r="F44" i="2"/>
  <c r="X43" i="2"/>
  <c r="X35" i="2"/>
  <c r="X37" i="2" s="1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AP16" i="2"/>
  <c r="AP15" i="2"/>
  <c r="AP5" i="2"/>
  <c r="AP4" i="2"/>
  <c r="AT16" i="2"/>
  <c r="AT15" i="2"/>
  <c r="AT5" i="2"/>
  <c r="AT4" i="2"/>
  <c r="AX16" i="2"/>
  <c r="AX15" i="2"/>
  <c r="AX5" i="2"/>
  <c r="AX4" i="2"/>
  <c r="BB16" i="2"/>
  <c r="BB15" i="2"/>
  <c r="BB5" i="2"/>
  <c r="BB4" i="2"/>
  <c r="BF16" i="2"/>
  <c r="BJ20" i="2" s="1"/>
  <c r="BF15" i="2"/>
  <c r="BJ19" i="2" s="1"/>
  <c r="BF4" i="2"/>
  <c r="BJ8" i="2" s="1"/>
  <c r="BH20" i="2"/>
  <c r="BG20" i="2"/>
  <c r="BE20" i="2"/>
  <c r="BD20" i="2"/>
  <c r="BC20" i="2"/>
  <c r="BA20" i="2"/>
  <c r="AZ20" i="2"/>
  <c r="AY20" i="2"/>
  <c r="AW20" i="2"/>
  <c r="AV20" i="2"/>
  <c r="AU20" i="2"/>
  <c r="AS20" i="2"/>
  <c r="AR20" i="2"/>
  <c r="AQ20" i="2"/>
  <c r="BH19" i="2"/>
  <c r="BG19" i="2"/>
  <c r="BE19" i="2"/>
  <c r="BD19" i="2"/>
  <c r="BC19" i="2"/>
  <c r="BA19" i="2"/>
  <c r="AZ19" i="2"/>
  <c r="AY19" i="2"/>
  <c r="AW19" i="2"/>
  <c r="AV19" i="2"/>
  <c r="AU19" i="2"/>
  <c r="AS19" i="2"/>
  <c r="AR19" i="2"/>
  <c r="AQ19" i="2"/>
  <c r="BG9" i="2"/>
  <c r="BE9" i="2"/>
  <c r="BD9" i="2"/>
  <c r="BC9" i="2"/>
  <c r="BA9" i="2"/>
  <c r="AZ9" i="2"/>
  <c r="AY9" i="2"/>
  <c r="AW9" i="2"/>
  <c r="AV9" i="2"/>
  <c r="AU9" i="2"/>
  <c r="AS9" i="2"/>
  <c r="AR9" i="2"/>
  <c r="AQ9" i="2"/>
  <c r="BG8" i="2"/>
  <c r="BE8" i="2"/>
  <c r="BD8" i="2"/>
  <c r="BC8" i="2"/>
  <c r="BA8" i="2"/>
  <c r="AZ8" i="2"/>
  <c r="AY8" i="2"/>
  <c r="AW8" i="2"/>
  <c r="AV8" i="2"/>
  <c r="AU8" i="2"/>
  <c r="AS8" i="2"/>
  <c r="AR8" i="2"/>
  <c r="AQ8" i="2"/>
  <c r="BH17" i="2"/>
  <c r="BH24" i="2" s="1"/>
  <c r="BH9" i="2"/>
  <c r="BH8" i="2"/>
  <c r="BH6" i="2"/>
  <c r="BH13" i="2" s="1"/>
  <c r="K80" i="2" l="1"/>
  <c r="K37" i="2"/>
  <c r="BU35" i="2"/>
  <c r="AI80" i="2"/>
  <c r="AI37" i="2"/>
  <c r="CA35" i="2"/>
  <c r="BT35" i="2"/>
  <c r="Z80" i="2"/>
  <c r="Z37" i="2"/>
  <c r="J80" i="2"/>
  <c r="J37" i="2"/>
  <c r="BZ35" i="2"/>
  <c r="Q80" i="2"/>
  <c r="Q37" i="2"/>
  <c r="BV37" i="2" s="1"/>
  <c r="Y80" i="2"/>
  <c r="Y37" i="2"/>
  <c r="BX37" i="2" s="1"/>
  <c r="AH80" i="2"/>
  <c r="AH37" i="2"/>
  <c r="CA80" i="2"/>
  <c r="I80" i="2"/>
  <c r="I37" i="2"/>
  <c r="AG80" i="2"/>
  <c r="AG37" i="2"/>
  <c r="BZ37" i="2" s="1"/>
  <c r="R80" i="2"/>
  <c r="R37" i="2"/>
  <c r="BY80" i="2"/>
  <c r="BX35" i="2"/>
  <c r="BV35" i="2"/>
  <c r="H80" i="2"/>
  <c r="BT80" i="2" s="1"/>
  <c r="X80" i="2"/>
  <c r="P80" i="2"/>
  <c r="AF80" i="2"/>
  <c r="BZ80" i="2" s="1"/>
  <c r="BB8" i="2"/>
  <c r="Q44" i="2"/>
  <c r="X44" i="2"/>
  <c r="AH44" i="2"/>
  <c r="K44" i="2"/>
  <c r="AG44" i="2"/>
  <c r="Z44" i="2"/>
  <c r="R44" i="2"/>
  <c r="P44" i="2"/>
  <c r="AF44" i="2"/>
  <c r="AI44" i="2"/>
  <c r="BT37" i="2"/>
  <c r="H44" i="2"/>
  <c r="I44" i="2"/>
  <c r="Y44" i="2"/>
  <c r="J44" i="2"/>
  <c r="BH12" i="2"/>
  <c r="AT8" i="2"/>
  <c r="AX19" i="2"/>
  <c r="AX20" i="2"/>
  <c r="AT20" i="2"/>
  <c r="AX9" i="2"/>
  <c r="AT9" i="2"/>
  <c r="AT19" i="2"/>
  <c r="BB9" i="2"/>
  <c r="BB20" i="2"/>
  <c r="AX8" i="2"/>
  <c r="BB19" i="2"/>
  <c r="BH23" i="2"/>
  <c r="BH26" i="2"/>
  <c r="BV80" i="2" l="1"/>
  <c r="BX80" i="2"/>
  <c r="BH75" i="2"/>
  <c r="BH74" i="2"/>
  <c r="BH28" i="2"/>
  <c r="BH41" i="2"/>
  <c r="BH40" i="2"/>
  <c r="BH31" i="2" l="1"/>
  <c r="BH39" i="2"/>
  <c r="BH42" i="2" l="1"/>
  <c r="BH33" i="2"/>
  <c r="BH43" i="2" l="1"/>
  <c r="BH35" i="2"/>
  <c r="BH37" i="2" s="1"/>
  <c r="BH78" i="2" l="1"/>
  <c r="BH77" i="2"/>
  <c r="BH80" i="2"/>
  <c r="BH44" i="2"/>
  <c r="AT17" i="2" l="1"/>
  <c r="BB17" i="2"/>
  <c r="BB6" i="2"/>
  <c r="BF9" i="2"/>
  <c r="BF20" i="2"/>
  <c r="BG17" i="2"/>
  <c r="BE17" i="2"/>
  <c r="BI21" i="2" s="1"/>
  <c r="BD17" i="2"/>
  <c r="BC17" i="2"/>
  <c r="BA17" i="2"/>
  <c r="AZ17" i="2"/>
  <c r="AY17" i="2"/>
  <c r="AW17" i="2"/>
  <c r="AV17" i="2"/>
  <c r="AU17" i="2"/>
  <c r="AS17" i="2"/>
  <c r="AR17" i="2"/>
  <c r="AQ17" i="2"/>
  <c r="AP17" i="2"/>
  <c r="AO17" i="2"/>
  <c r="AN17" i="2"/>
  <c r="AM17" i="2"/>
  <c r="BE6" i="2"/>
  <c r="BD6" i="2"/>
  <c r="BD26" i="2" s="1"/>
  <c r="BC6" i="2"/>
  <c r="BA6" i="2"/>
  <c r="AZ6" i="2"/>
  <c r="AY6" i="2"/>
  <c r="AW6" i="2"/>
  <c r="AW26" i="2" s="1"/>
  <c r="AV6" i="2"/>
  <c r="AU6" i="2"/>
  <c r="AT6" i="2"/>
  <c r="AS6" i="2"/>
  <c r="AR6" i="2"/>
  <c r="AQ6" i="2"/>
  <c r="AO6" i="2"/>
  <c r="AO26" i="2" s="1"/>
  <c r="AO10" i="2" s="1"/>
  <c r="AN6" i="2"/>
  <c r="AN26" i="2" s="1"/>
  <c r="AN10" i="2" s="1"/>
  <c r="AM6" i="2"/>
  <c r="BG6" i="2"/>
  <c r="BE26" i="2" l="1"/>
  <c r="BI10" i="2"/>
  <c r="BD75" i="2"/>
  <c r="BD74" i="2"/>
  <c r="AW75" i="2"/>
  <c r="AW74" i="2"/>
  <c r="BE75" i="2"/>
  <c r="BE74" i="2"/>
  <c r="BE41" i="2"/>
  <c r="BE40" i="2"/>
  <c r="BD41" i="2"/>
  <c r="BD40" i="2"/>
  <c r="AN41" i="2"/>
  <c r="AN40" i="2"/>
  <c r="AW41" i="2"/>
  <c r="AW40" i="2"/>
  <c r="AO41" i="2"/>
  <c r="AO40" i="2"/>
  <c r="AM24" i="2"/>
  <c r="AM23" i="2"/>
  <c r="AM13" i="2"/>
  <c r="AM12" i="2"/>
  <c r="AM26" i="2"/>
  <c r="AM10" i="2" s="1"/>
  <c r="AN24" i="2"/>
  <c r="AN23" i="2"/>
  <c r="AN13" i="2"/>
  <c r="AN12" i="2"/>
  <c r="AO24" i="2"/>
  <c r="AO23" i="2"/>
  <c r="AO12" i="2"/>
  <c r="AO13" i="2"/>
  <c r="AQ23" i="2"/>
  <c r="AQ24" i="2"/>
  <c r="AQ21" i="2"/>
  <c r="AQ13" i="2"/>
  <c r="AQ10" i="2"/>
  <c r="AQ12" i="2"/>
  <c r="AQ26" i="2"/>
  <c r="AR23" i="2"/>
  <c r="AR24" i="2"/>
  <c r="AR21" i="2"/>
  <c r="AR12" i="2"/>
  <c r="AR13" i="2"/>
  <c r="AR10" i="2"/>
  <c r="AR26" i="2"/>
  <c r="AW23" i="2"/>
  <c r="AW24" i="2"/>
  <c r="AW21" i="2"/>
  <c r="AS21" i="2"/>
  <c r="AS23" i="2"/>
  <c r="AS24" i="2"/>
  <c r="AS10" i="2"/>
  <c r="AS12" i="2"/>
  <c r="AS13" i="2"/>
  <c r="AS26" i="2"/>
  <c r="AW10" i="2"/>
  <c r="AW12" i="2"/>
  <c r="AW13" i="2"/>
  <c r="AP23" i="2"/>
  <c r="AP24" i="2"/>
  <c r="AT24" i="2"/>
  <c r="AT21" i="2"/>
  <c r="AT23" i="2"/>
  <c r="AT13" i="2"/>
  <c r="AT12" i="2"/>
  <c r="AU21" i="2"/>
  <c r="AU24" i="2"/>
  <c r="AU23" i="2"/>
  <c r="AU12" i="2"/>
  <c r="AU10" i="2"/>
  <c r="AU13" i="2"/>
  <c r="AU26" i="2"/>
  <c r="AY21" i="2"/>
  <c r="AY24" i="2"/>
  <c r="AY23" i="2"/>
  <c r="AY13" i="2"/>
  <c r="AY12" i="2"/>
  <c r="AY10" i="2"/>
  <c r="AY26" i="2"/>
  <c r="AV23" i="2"/>
  <c r="AV24" i="2"/>
  <c r="AV21" i="2"/>
  <c r="AV12" i="2"/>
  <c r="AV13" i="2"/>
  <c r="AV10" i="2"/>
  <c r="AV26" i="2"/>
  <c r="AZ23" i="2"/>
  <c r="AZ24" i="2"/>
  <c r="AZ21" i="2"/>
  <c r="AZ10" i="2"/>
  <c r="AZ12" i="2"/>
  <c r="AZ13" i="2"/>
  <c r="AZ26" i="2"/>
  <c r="BA21" i="2"/>
  <c r="BA23" i="2"/>
  <c r="BA24" i="2"/>
  <c r="BA13" i="2"/>
  <c r="BA12" i="2"/>
  <c r="BA10" i="2"/>
  <c r="BA26" i="2"/>
  <c r="BE21" i="2"/>
  <c r="BE23" i="2"/>
  <c r="BE24" i="2"/>
  <c r="BE10" i="2"/>
  <c r="BE12" i="2"/>
  <c r="BE13" i="2"/>
  <c r="BB24" i="2"/>
  <c r="BB23" i="2"/>
  <c r="BB12" i="2"/>
  <c r="BB13" i="2"/>
  <c r="BC24" i="2"/>
  <c r="BC23" i="2"/>
  <c r="BC21" i="2"/>
  <c r="BC13" i="2"/>
  <c r="BC12" i="2"/>
  <c r="BC10" i="2"/>
  <c r="BC26" i="2"/>
  <c r="BG24" i="2"/>
  <c r="BG23" i="2"/>
  <c r="BG21" i="2"/>
  <c r="BG26" i="2"/>
  <c r="BG13" i="2"/>
  <c r="BG12" i="2"/>
  <c r="BG10" i="2"/>
  <c r="BD23" i="2"/>
  <c r="BD24" i="2"/>
  <c r="BD21" i="2"/>
  <c r="BH21" i="2"/>
  <c r="BF19" i="2"/>
  <c r="BF6" i="2"/>
  <c r="BF8" i="2"/>
  <c r="BD13" i="2"/>
  <c r="BD10" i="2"/>
  <c r="BD12" i="2"/>
  <c r="BH10" i="2"/>
  <c r="AP6" i="2"/>
  <c r="AT26" i="2"/>
  <c r="AX17" i="2"/>
  <c r="BB21" i="2" s="1"/>
  <c r="AX6" i="2"/>
  <c r="BB10" i="2" s="1"/>
  <c r="BB26" i="2"/>
  <c r="BF17" i="2"/>
  <c r="BJ21" i="2" s="1"/>
  <c r="BF12" i="2" l="1"/>
  <c r="BJ10" i="2"/>
  <c r="BG75" i="2"/>
  <c r="BG74" i="2"/>
  <c r="AS74" i="2"/>
  <c r="AS75" i="2"/>
  <c r="AU75" i="2"/>
  <c r="AU74" i="2"/>
  <c r="AQ75" i="2"/>
  <c r="AQ74" i="2"/>
  <c r="BC75" i="2"/>
  <c r="BC74" i="2"/>
  <c r="AZ74" i="2"/>
  <c r="AZ75" i="2"/>
  <c r="AR74" i="2"/>
  <c r="AR75" i="2"/>
  <c r="AV75" i="2"/>
  <c r="AV74" i="2"/>
  <c r="BB75" i="2"/>
  <c r="BB74" i="2"/>
  <c r="BA74" i="2"/>
  <c r="BA75" i="2"/>
  <c r="AT75" i="2"/>
  <c r="AT74" i="2"/>
  <c r="AY75" i="2"/>
  <c r="AY74" i="2"/>
  <c r="AY40" i="2"/>
  <c r="AY41" i="2"/>
  <c r="AS40" i="2"/>
  <c r="AS41" i="2"/>
  <c r="AM41" i="2"/>
  <c r="AM40" i="2"/>
  <c r="AQ40" i="2"/>
  <c r="AQ41" i="2"/>
  <c r="AU40" i="2"/>
  <c r="AU41" i="2"/>
  <c r="BC41" i="2"/>
  <c r="BC40" i="2"/>
  <c r="AR40" i="2"/>
  <c r="AR41" i="2"/>
  <c r="AV41" i="2"/>
  <c r="AV40" i="2"/>
  <c r="BA40" i="2"/>
  <c r="BA41" i="2"/>
  <c r="AZ40" i="2"/>
  <c r="AZ41" i="2"/>
  <c r="BB40" i="2"/>
  <c r="BB41" i="2"/>
  <c r="AT40" i="2"/>
  <c r="AT41" i="2"/>
  <c r="BG40" i="2"/>
  <c r="BG41" i="2"/>
  <c r="AP13" i="2"/>
  <c r="AP12" i="2"/>
  <c r="AT10" i="2"/>
  <c r="AX21" i="2"/>
  <c r="AX23" i="2"/>
  <c r="AX24" i="2"/>
  <c r="AX13" i="2"/>
  <c r="AX10" i="2"/>
  <c r="AX12" i="2"/>
  <c r="BF26" i="2"/>
  <c r="BF24" i="2"/>
  <c r="BF21" i="2"/>
  <c r="BF23" i="2"/>
  <c r="BF13" i="2"/>
  <c r="BF10" i="2"/>
  <c r="AP26" i="2"/>
  <c r="AP10" i="2" s="1"/>
  <c r="AX26" i="2"/>
  <c r="BF75" i="2" l="1"/>
  <c r="BF74" i="2"/>
  <c r="AX75" i="2"/>
  <c r="AX74" i="2"/>
  <c r="AP75" i="2"/>
  <c r="AP74" i="2"/>
  <c r="BF41" i="2"/>
  <c r="BF40" i="2"/>
  <c r="AX40" i="2"/>
  <c r="AX41" i="2"/>
  <c r="AP41" i="2"/>
  <c r="AP40" i="2"/>
  <c r="BF28" i="2" l="1"/>
  <c r="BD28" i="2"/>
  <c r="BC28" i="2"/>
  <c r="BB28" i="2"/>
  <c r="BA28" i="2"/>
  <c r="AZ28" i="2"/>
  <c r="AY28" i="2"/>
  <c r="CE28" i="2" s="1"/>
  <c r="AX28" i="2"/>
  <c r="AV28" i="2"/>
  <c r="AU28" i="2"/>
  <c r="AT28" i="2"/>
  <c r="AS28" i="2"/>
  <c r="AR28" i="2"/>
  <c r="AP28" i="2"/>
  <c r="AN28" i="2"/>
  <c r="AM28" i="2"/>
  <c r="BG28" i="2"/>
  <c r="CB53" i="2"/>
  <c r="CC53" i="2"/>
  <c r="CD53" i="2"/>
  <c r="CE53" i="2"/>
  <c r="CF53" i="2"/>
  <c r="CF17" i="2"/>
  <c r="CE17" i="2"/>
  <c r="CD17" i="2"/>
  <c r="CC17" i="2"/>
  <c r="CB17" i="2"/>
  <c r="CF16" i="2"/>
  <c r="CE16" i="2"/>
  <c r="CD16" i="2"/>
  <c r="CC16" i="2"/>
  <c r="CB16" i="2"/>
  <c r="CF15" i="2"/>
  <c r="CE15" i="2"/>
  <c r="CD15" i="2"/>
  <c r="CC15" i="2"/>
  <c r="CB15" i="2"/>
  <c r="CF6" i="2"/>
  <c r="CG10" i="2" s="1"/>
  <c r="CE6" i="2"/>
  <c r="CD6" i="2"/>
  <c r="CC6" i="2"/>
  <c r="CB6" i="2"/>
  <c r="CF5" i="2"/>
  <c r="CG9" i="2" s="1"/>
  <c r="CE5" i="2"/>
  <c r="CD5" i="2"/>
  <c r="CC5" i="2"/>
  <c r="CB5" i="2"/>
  <c r="CC4" i="2"/>
  <c r="CE4" i="2"/>
  <c r="CF4" i="2"/>
  <c r="CG8" i="2" s="1"/>
  <c r="CD4" i="2"/>
  <c r="CB4" i="2"/>
  <c r="CB12" i="2" s="1"/>
  <c r="BT3" i="2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G194" i="3"/>
  <c r="C5" i="1"/>
  <c r="C8" i="1" l="1"/>
  <c r="CL54" i="2"/>
  <c r="CD13" i="2"/>
  <c r="CD12" i="2"/>
  <c r="CI4" i="2"/>
  <c r="BS40" i="2"/>
  <c r="BS41" i="2"/>
  <c r="BS39" i="2"/>
  <c r="BS42" i="2"/>
  <c r="BS44" i="2"/>
  <c r="BU41" i="2"/>
  <c r="BU10" i="2"/>
  <c r="BU40" i="2"/>
  <c r="BU39" i="2"/>
  <c r="BU42" i="2"/>
  <c r="BU44" i="2"/>
  <c r="CE13" i="2"/>
  <c r="BV10" i="2"/>
  <c r="BV41" i="2"/>
  <c r="BV40" i="2"/>
  <c r="BV39" i="2"/>
  <c r="BV42" i="2"/>
  <c r="BV44" i="2"/>
  <c r="BW10" i="2"/>
  <c r="BW40" i="2"/>
  <c r="BW41" i="2"/>
  <c r="BW39" i="2"/>
  <c r="BW42" i="2"/>
  <c r="BW44" i="2"/>
  <c r="BZ10" i="2"/>
  <c r="BZ41" i="2"/>
  <c r="BZ40" i="2"/>
  <c r="BZ39" i="2"/>
  <c r="BZ42" i="2"/>
  <c r="BZ44" i="2"/>
  <c r="CA40" i="2"/>
  <c r="CA10" i="2"/>
  <c r="CA41" i="2"/>
  <c r="CA39" i="2"/>
  <c r="CA42" i="2"/>
  <c r="CA44" i="2"/>
  <c r="BX10" i="2"/>
  <c r="BX41" i="2"/>
  <c r="BX40" i="2"/>
  <c r="BX39" i="2"/>
  <c r="BX42" i="2"/>
  <c r="BX44" i="2"/>
  <c r="BT10" i="2"/>
  <c r="BT41" i="2"/>
  <c r="BT40" i="2"/>
  <c r="BT39" i="2"/>
  <c r="BT42" i="2"/>
  <c r="BT44" i="2"/>
  <c r="CE12" i="2"/>
  <c r="CC12" i="2"/>
  <c r="BY10" i="2"/>
  <c r="BY41" i="2"/>
  <c r="BY40" i="2"/>
  <c r="BY39" i="2"/>
  <c r="BY42" i="2"/>
  <c r="BY44" i="2"/>
  <c r="CD21" i="2"/>
  <c r="CC13" i="2"/>
  <c r="CB24" i="2"/>
  <c r="CC20" i="2"/>
  <c r="CC24" i="2"/>
  <c r="CF13" i="2"/>
  <c r="CB23" i="2"/>
  <c r="CC23" i="2"/>
  <c r="CC19" i="2"/>
  <c r="CE24" i="2"/>
  <c r="CE20" i="2"/>
  <c r="CD23" i="2"/>
  <c r="CD19" i="2"/>
  <c r="CF20" i="2"/>
  <c r="CF24" i="2"/>
  <c r="CE19" i="2"/>
  <c r="CE23" i="2"/>
  <c r="CB13" i="2"/>
  <c r="CF19" i="2"/>
  <c r="CF23" i="2"/>
  <c r="CE21" i="2"/>
  <c r="CD20" i="2"/>
  <c r="CD24" i="2"/>
  <c r="CF21" i="2"/>
  <c r="CC21" i="2"/>
  <c r="K207" i="3"/>
  <c r="K211" i="3"/>
  <c r="K212" i="3" s="1"/>
  <c r="K208" i="3"/>
  <c r="K210" i="3"/>
  <c r="K209" i="3"/>
  <c r="AV39" i="2"/>
  <c r="AV31" i="2"/>
  <c r="BF39" i="2"/>
  <c r="BF31" i="2"/>
  <c r="BD39" i="2"/>
  <c r="BD31" i="2"/>
  <c r="AM31" i="2"/>
  <c r="AM39" i="2"/>
  <c r="AX39" i="2"/>
  <c r="AX31" i="2"/>
  <c r="AN39" i="2"/>
  <c r="AN31" i="2"/>
  <c r="AY39" i="2"/>
  <c r="AY31" i="2"/>
  <c r="BC39" i="2"/>
  <c r="BC31" i="2"/>
  <c r="AP39" i="2"/>
  <c r="AP31" i="2"/>
  <c r="AZ31" i="2"/>
  <c r="AZ39" i="2"/>
  <c r="AR39" i="2"/>
  <c r="AR31" i="2"/>
  <c r="BA31" i="2"/>
  <c r="BA39" i="2"/>
  <c r="AT31" i="2"/>
  <c r="AT39" i="2"/>
  <c r="AU39" i="2"/>
  <c r="AU31" i="2"/>
  <c r="BG39" i="2"/>
  <c r="BG31" i="2"/>
  <c r="AS31" i="2"/>
  <c r="AS39" i="2"/>
  <c r="BB31" i="2"/>
  <c r="BB39" i="2"/>
  <c r="CF10" i="2"/>
  <c r="CE10" i="2"/>
  <c r="CD10" i="2"/>
  <c r="CC10" i="2"/>
  <c r="CD9" i="2"/>
  <c r="CE9" i="2"/>
  <c r="CF9" i="2"/>
  <c r="CL51" i="2"/>
  <c r="CB26" i="2"/>
  <c r="CD26" i="2"/>
  <c r="CF26" i="2"/>
  <c r="CE26" i="2"/>
  <c r="CC9" i="2"/>
  <c r="CC26" i="2"/>
  <c r="AO28" i="2"/>
  <c r="AW28" i="2"/>
  <c r="CD28" i="2" s="1"/>
  <c r="BE28" i="2"/>
  <c r="CF28" i="2" s="1"/>
  <c r="AQ28" i="2"/>
  <c r="CC28" i="2" s="1"/>
  <c r="CC8" i="2"/>
  <c r="CD8" i="2"/>
  <c r="CE8" i="2"/>
  <c r="CF8" i="2"/>
  <c r="CF12" i="2"/>
  <c r="CL56" i="2" l="1"/>
  <c r="CL55" i="2"/>
  <c r="CE31" i="2"/>
  <c r="CD39" i="2"/>
  <c r="CI5" i="2"/>
  <c r="CI6" i="2" s="1"/>
  <c r="CI26" i="2" s="1"/>
  <c r="CJ4" i="2"/>
  <c r="CB28" i="2"/>
  <c r="CB39" i="2" s="1"/>
  <c r="CC74" i="2"/>
  <c r="CC75" i="2"/>
  <c r="CC41" i="2"/>
  <c r="CC40" i="2"/>
  <c r="CF75" i="2"/>
  <c r="CF74" i="2"/>
  <c r="CF41" i="2"/>
  <c r="CF40" i="2"/>
  <c r="CC39" i="2"/>
  <c r="CD74" i="2"/>
  <c r="CD75" i="2"/>
  <c r="CD40" i="2"/>
  <c r="CD41" i="2"/>
  <c r="CF39" i="2"/>
  <c r="CB74" i="2"/>
  <c r="CB75" i="2"/>
  <c r="CB10" i="2"/>
  <c r="CB41" i="2"/>
  <c r="CB40" i="2"/>
  <c r="CE39" i="2"/>
  <c r="CE74" i="2"/>
  <c r="CE75" i="2"/>
  <c r="CE40" i="2"/>
  <c r="CE41" i="2"/>
  <c r="CE42" i="2"/>
  <c r="M223" i="3"/>
  <c r="M231" i="3"/>
  <c r="M239" i="3"/>
  <c r="M247" i="3"/>
  <c r="M255" i="3"/>
  <c r="M263" i="3"/>
  <c r="M271" i="3"/>
  <c r="M246" i="3"/>
  <c r="M224" i="3"/>
  <c r="M232" i="3"/>
  <c r="M240" i="3"/>
  <c r="M248" i="3"/>
  <c r="M256" i="3"/>
  <c r="M264" i="3"/>
  <c r="M272" i="3"/>
  <c r="M238" i="3"/>
  <c r="M225" i="3"/>
  <c r="M233" i="3"/>
  <c r="M241" i="3"/>
  <c r="M249" i="3"/>
  <c r="M257" i="3"/>
  <c r="M265" i="3"/>
  <c r="M273" i="3"/>
  <c r="M270" i="3"/>
  <c r="M226" i="3"/>
  <c r="M234" i="3"/>
  <c r="M242" i="3"/>
  <c r="M250" i="3"/>
  <c r="M258" i="3"/>
  <c r="M266" i="3"/>
  <c r="M274" i="3"/>
  <c r="M262" i="3"/>
  <c r="M219" i="3"/>
  <c r="M227" i="3"/>
  <c r="M235" i="3"/>
  <c r="M243" i="3"/>
  <c r="M251" i="3"/>
  <c r="M259" i="3"/>
  <c r="M267" i="3"/>
  <c r="M275" i="3"/>
  <c r="M222" i="3"/>
  <c r="M220" i="3"/>
  <c r="M228" i="3"/>
  <c r="M236" i="3"/>
  <c r="M244" i="3"/>
  <c r="M252" i="3"/>
  <c r="M260" i="3"/>
  <c r="M268" i="3"/>
  <c r="M276" i="3"/>
  <c r="M230" i="3"/>
  <c r="M221" i="3"/>
  <c r="M229" i="3"/>
  <c r="M237" i="3"/>
  <c r="M245" i="3"/>
  <c r="M253" i="3"/>
  <c r="M261" i="3"/>
  <c r="M269" i="3"/>
  <c r="M218" i="3"/>
  <c r="M254" i="3"/>
  <c r="P229" i="3"/>
  <c r="AM42" i="2"/>
  <c r="AM33" i="2"/>
  <c r="BC42" i="2"/>
  <c r="BC33" i="2"/>
  <c r="AS33" i="2"/>
  <c r="AS42" i="2"/>
  <c r="BD42" i="2"/>
  <c r="BD33" i="2"/>
  <c r="AO39" i="2"/>
  <c r="AO31" i="2"/>
  <c r="CB31" i="2" s="1"/>
  <c r="CB42" i="2" s="1"/>
  <c r="AU42" i="2"/>
  <c r="AU33" i="2"/>
  <c r="AN33" i="2"/>
  <c r="AN42" i="2"/>
  <c r="BF33" i="2"/>
  <c r="BF42" i="2"/>
  <c r="BE39" i="2"/>
  <c r="BE31" i="2"/>
  <c r="BA33" i="2"/>
  <c r="BA42" i="2"/>
  <c r="AW39" i="2"/>
  <c r="AW31" i="2"/>
  <c r="AY33" i="2"/>
  <c r="AY42" i="2"/>
  <c r="AZ33" i="2"/>
  <c r="AZ42" i="2"/>
  <c r="AR33" i="2"/>
  <c r="AR42" i="2"/>
  <c r="AP33" i="2"/>
  <c r="AP42" i="2"/>
  <c r="AX33" i="2"/>
  <c r="AX42" i="2"/>
  <c r="AV42" i="2"/>
  <c r="AV33" i="2"/>
  <c r="AQ39" i="2"/>
  <c r="AQ31" i="2"/>
  <c r="BG33" i="2"/>
  <c r="BG42" i="2"/>
  <c r="BB42" i="2"/>
  <c r="BB33" i="2"/>
  <c r="AT42" i="2"/>
  <c r="AT33" i="2"/>
  <c r="P219" i="3"/>
  <c r="P218" i="3"/>
  <c r="P221" i="3"/>
  <c r="P228" i="3"/>
  <c r="P220" i="3"/>
  <c r="P231" i="3"/>
  <c r="P227" i="3"/>
  <c r="P223" i="3"/>
  <c r="P226" i="3"/>
  <c r="P230" i="3"/>
  <c r="P225" i="3"/>
  <c r="P222" i="3"/>
  <c r="P224" i="3"/>
  <c r="CL70" i="2" l="1"/>
  <c r="CL57" i="2"/>
  <c r="CI12" i="2"/>
  <c r="CF31" i="2"/>
  <c r="CF42" i="2" s="1"/>
  <c r="CK4" i="2"/>
  <c r="CC42" i="2"/>
  <c r="CC31" i="2"/>
  <c r="CJ5" i="2"/>
  <c r="CI13" i="2"/>
  <c r="CE33" i="2"/>
  <c r="CE43" i="2" s="1"/>
  <c r="CD31" i="2"/>
  <c r="CD42" i="2" s="1"/>
  <c r="CI29" i="2"/>
  <c r="CI30" i="2"/>
  <c r="CI27" i="2"/>
  <c r="CI28" i="2" s="1"/>
  <c r="CH26" i="2"/>
  <c r="BB35" i="2"/>
  <c r="BB37" i="2" s="1"/>
  <c r="BB43" i="2"/>
  <c r="AX35" i="2"/>
  <c r="AX37" i="2" s="1"/>
  <c r="AX43" i="2"/>
  <c r="AW33" i="2"/>
  <c r="AW42" i="2"/>
  <c r="BD35" i="2"/>
  <c r="BD37" i="2" s="1"/>
  <c r="BD43" i="2"/>
  <c r="BG35" i="2"/>
  <c r="BG37" i="2" s="1"/>
  <c r="BG43" i="2"/>
  <c r="AP35" i="2"/>
  <c r="AP37" i="2" s="1"/>
  <c r="AP43" i="2"/>
  <c r="AN35" i="2"/>
  <c r="AN37" i="2" s="1"/>
  <c r="AN43" i="2"/>
  <c r="AS35" i="2"/>
  <c r="AS37" i="2" s="1"/>
  <c r="AS43" i="2"/>
  <c r="AY35" i="2"/>
  <c r="AY43" i="2"/>
  <c r="BC35" i="2"/>
  <c r="BC43" i="2"/>
  <c r="AR35" i="2"/>
  <c r="AR37" i="2" s="1"/>
  <c r="AR43" i="2"/>
  <c r="BA35" i="2"/>
  <c r="BA37" i="2" s="1"/>
  <c r="BA43" i="2"/>
  <c r="BF35" i="2"/>
  <c r="BF37" i="2" s="1"/>
  <c r="BF43" i="2"/>
  <c r="AQ33" i="2"/>
  <c r="AQ42" i="2"/>
  <c r="AU35" i="2"/>
  <c r="AU43" i="2"/>
  <c r="AT35" i="2"/>
  <c r="AT37" i="2" s="1"/>
  <c r="AT43" i="2"/>
  <c r="AV35" i="2"/>
  <c r="AV37" i="2" s="1"/>
  <c r="AV43" i="2"/>
  <c r="BE42" i="2"/>
  <c r="BE33" i="2"/>
  <c r="CF33" i="2" s="1"/>
  <c r="AO33" i="2"/>
  <c r="CB33" i="2" s="1"/>
  <c r="AO42" i="2"/>
  <c r="AM35" i="2"/>
  <c r="AM43" i="2"/>
  <c r="AZ35" i="2"/>
  <c r="AZ37" i="2" s="1"/>
  <c r="AZ43" i="2"/>
  <c r="CI10" i="2"/>
  <c r="BC37" i="2" l="1"/>
  <c r="CK5" i="2"/>
  <c r="CK6" i="2" s="1"/>
  <c r="CK12" i="2" s="1"/>
  <c r="CL4" i="2"/>
  <c r="AY37" i="2"/>
  <c r="CE37" i="2" s="1"/>
  <c r="CE35" i="2"/>
  <c r="AM37" i="2"/>
  <c r="CB35" i="2"/>
  <c r="CB43" i="2"/>
  <c r="AU37" i="2"/>
  <c r="CD35" i="2"/>
  <c r="CD43" i="2"/>
  <c r="CJ6" i="2"/>
  <c r="CC33" i="2"/>
  <c r="CC43" i="2" s="1"/>
  <c r="CF43" i="2"/>
  <c r="CD33" i="2"/>
  <c r="CI31" i="2"/>
  <c r="CI42" i="2" s="1"/>
  <c r="CH30" i="2"/>
  <c r="CH29" i="2"/>
  <c r="CH27" i="2"/>
  <c r="CH28" i="2" s="1"/>
  <c r="AX78" i="2"/>
  <c r="AX77" i="2"/>
  <c r="BG78" i="2"/>
  <c r="BG77" i="2"/>
  <c r="AY78" i="2"/>
  <c r="AY77" i="2"/>
  <c r="AT77" i="2"/>
  <c r="AT78" i="2"/>
  <c r="BA78" i="2"/>
  <c r="BA77" i="2"/>
  <c r="AS78" i="2"/>
  <c r="AS77" i="2"/>
  <c r="BD78" i="2"/>
  <c r="BD77" i="2"/>
  <c r="BC77" i="2"/>
  <c r="BC78" i="2"/>
  <c r="BB77" i="2"/>
  <c r="BB78" i="2"/>
  <c r="AP78" i="2"/>
  <c r="AP77" i="2"/>
  <c r="AZ78" i="2"/>
  <c r="AZ77" i="2"/>
  <c r="BF78" i="2"/>
  <c r="BF77" i="2"/>
  <c r="AU77" i="2"/>
  <c r="AU78" i="2"/>
  <c r="AR78" i="2"/>
  <c r="AR77" i="2"/>
  <c r="AV78" i="2"/>
  <c r="AV77" i="2"/>
  <c r="BA80" i="2"/>
  <c r="BA44" i="2"/>
  <c r="BD44" i="2"/>
  <c r="BD80" i="2"/>
  <c r="AO35" i="2"/>
  <c r="AO37" i="2" s="1"/>
  <c r="AO43" i="2"/>
  <c r="BE35" i="2"/>
  <c r="BE37" i="2" s="1"/>
  <c r="BE43" i="2"/>
  <c r="CB37" i="2"/>
  <c r="AM80" i="2"/>
  <c r="AM44" i="2"/>
  <c r="AW35" i="2"/>
  <c r="AW37" i="2" s="1"/>
  <c r="AW43" i="2"/>
  <c r="AP44" i="2"/>
  <c r="AP80" i="2"/>
  <c r="AS80" i="2"/>
  <c r="AS44" i="2"/>
  <c r="CD37" i="2"/>
  <c r="AU44" i="2"/>
  <c r="AU80" i="2"/>
  <c r="AN44" i="2"/>
  <c r="AN80" i="2"/>
  <c r="AQ35" i="2"/>
  <c r="AQ43" i="2"/>
  <c r="CF37" i="2"/>
  <c r="BC80" i="2"/>
  <c r="BC44" i="2"/>
  <c r="AX80" i="2"/>
  <c r="AX44" i="2"/>
  <c r="AT80" i="2"/>
  <c r="AT44" i="2"/>
  <c r="AR80" i="2"/>
  <c r="AR44" i="2"/>
  <c r="AZ44" i="2"/>
  <c r="AZ80" i="2"/>
  <c r="AV44" i="2"/>
  <c r="AV80" i="2"/>
  <c r="BF80" i="2"/>
  <c r="BF44" i="2"/>
  <c r="AY44" i="2"/>
  <c r="AY80" i="2"/>
  <c r="BG44" i="2"/>
  <c r="BG80" i="2"/>
  <c r="BB44" i="2"/>
  <c r="BB80" i="2"/>
  <c r="CK26" i="2" l="1"/>
  <c r="CK10" i="2"/>
  <c r="CJ26" i="2"/>
  <c r="CJ10" i="2"/>
  <c r="CJ12" i="2"/>
  <c r="CJ13" i="2"/>
  <c r="CM4" i="2"/>
  <c r="CL5" i="2"/>
  <c r="CK13" i="2"/>
  <c r="CF35" i="2"/>
  <c r="CE80" i="2"/>
  <c r="AQ37" i="2"/>
  <c r="CC37" i="2" s="1"/>
  <c r="CC35" i="2"/>
  <c r="CH31" i="2"/>
  <c r="CH42" i="2" s="1"/>
  <c r="CB77" i="2"/>
  <c r="CB78" i="2"/>
  <c r="CB44" i="2"/>
  <c r="CE77" i="2"/>
  <c r="CE78" i="2"/>
  <c r="CE44" i="2"/>
  <c r="CB80" i="2"/>
  <c r="AW78" i="2"/>
  <c r="AW77" i="2"/>
  <c r="AQ78" i="2"/>
  <c r="AQ77" i="2"/>
  <c r="BE78" i="2"/>
  <c r="BE77" i="2"/>
  <c r="AO80" i="2"/>
  <c r="AO44" i="2"/>
  <c r="AW80" i="2"/>
  <c r="CD80" i="2" s="1"/>
  <c r="AW44" i="2"/>
  <c r="AQ44" i="2"/>
  <c r="AQ80" i="2"/>
  <c r="CC80" i="2" s="1"/>
  <c r="BE80" i="2"/>
  <c r="CF80" i="2" s="1"/>
  <c r="BE44" i="2"/>
  <c r="CN4" i="2" l="1"/>
  <c r="CJ29" i="2"/>
  <c r="CJ27" i="2"/>
  <c r="CJ28" i="2" s="1"/>
  <c r="CJ30" i="2"/>
  <c r="CM5" i="2"/>
  <c r="CL6" i="2"/>
  <c r="CL13" i="2" s="1"/>
  <c r="CK29" i="2"/>
  <c r="CK30" i="2"/>
  <c r="CK27" i="2"/>
  <c r="CK28" i="2" s="1"/>
  <c r="CH33" i="2"/>
  <c r="CH34" i="2" s="1"/>
  <c r="CH35" i="2" s="1"/>
  <c r="CN51" i="2"/>
  <c r="CN52" i="2" s="1"/>
  <c r="CC77" i="2"/>
  <c r="CC78" i="2"/>
  <c r="CC44" i="2"/>
  <c r="CF78" i="2"/>
  <c r="CF44" i="2"/>
  <c r="CF77" i="2"/>
  <c r="CD77" i="2"/>
  <c r="CD78" i="2"/>
  <c r="CD44" i="2"/>
  <c r="CH46" i="2" l="1"/>
  <c r="CK31" i="2"/>
  <c r="CK42" i="2" s="1"/>
  <c r="CN5" i="2"/>
  <c r="CN6" i="2" s="1"/>
  <c r="CJ31" i="2"/>
  <c r="CJ42" i="2" s="1"/>
  <c r="CM6" i="2"/>
  <c r="CL26" i="2"/>
  <c r="CL10" i="2"/>
  <c r="CL12" i="2"/>
  <c r="CO4" i="2"/>
  <c r="CI33" i="2"/>
  <c r="CI34" i="2" s="1"/>
  <c r="CI35" i="2" s="1"/>
  <c r="CI46" i="2" l="1"/>
  <c r="CL30" i="2"/>
  <c r="CL27" i="2"/>
  <c r="CL28" i="2" s="1"/>
  <c r="CL29" i="2"/>
  <c r="CM26" i="2"/>
  <c r="CM10" i="2"/>
  <c r="CM12" i="2"/>
  <c r="CP4" i="2"/>
  <c r="CN26" i="2"/>
  <c r="CN10" i="2"/>
  <c r="CM13" i="2"/>
  <c r="CN12" i="2"/>
  <c r="CO5" i="2"/>
  <c r="CN13" i="2"/>
  <c r="CJ33" i="2"/>
  <c r="CJ34" i="2" s="1"/>
  <c r="CJ35" i="2" s="1"/>
  <c r="CJ46" i="2" l="1"/>
  <c r="CP5" i="2"/>
  <c r="CP6" i="2" s="1"/>
  <c r="CN30" i="2"/>
  <c r="CN29" i="2"/>
  <c r="CN27" i="2"/>
  <c r="CN28" i="2" s="1"/>
  <c r="CQ4" i="2"/>
  <c r="CM27" i="2"/>
  <c r="CM28" i="2" s="1"/>
  <c r="CM30" i="2"/>
  <c r="CM29" i="2"/>
  <c r="CL31" i="2"/>
  <c r="CL42" i="2" s="1"/>
  <c r="CO6" i="2"/>
  <c r="CK33" i="2"/>
  <c r="CK34" i="2" s="1"/>
  <c r="CK35" i="2" s="1"/>
  <c r="CN31" i="2" l="1"/>
  <c r="CN42" i="2" s="1"/>
  <c r="CK46" i="2"/>
  <c r="CO26" i="2"/>
  <c r="CO10" i="2"/>
  <c r="CO12" i="2"/>
  <c r="CO13" i="2"/>
  <c r="CP26" i="2"/>
  <c r="CP10" i="2"/>
  <c r="CP12" i="2"/>
  <c r="CM31" i="2"/>
  <c r="CM42" i="2" s="1"/>
  <c r="CQ5" i="2"/>
  <c r="CP13" i="2"/>
  <c r="CL33" i="2"/>
  <c r="CL34" i="2" s="1"/>
  <c r="CL35" i="2" s="1"/>
  <c r="CL46" i="2" l="1"/>
  <c r="CP27" i="2"/>
  <c r="CP28" i="2" s="1"/>
  <c r="CP30" i="2"/>
  <c r="CP29" i="2"/>
  <c r="CQ6" i="2"/>
  <c r="CQ13" i="2" s="1"/>
  <c r="CO27" i="2"/>
  <c r="CO28" i="2" s="1"/>
  <c r="CO29" i="2"/>
  <c r="CO30" i="2"/>
  <c r="CM33" i="2"/>
  <c r="CM34" i="2" s="1"/>
  <c r="CM35" i="2" s="1"/>
  <c r="CM46" i="2" l="1"/>
  <c r="CO31" i="2"/>
  <c r="CO42" i="2" s="1"/>
  <c r="CQ26" i="2"/>
  <c r="CQ10" i="2"/>
  <c r="CQ12" i="2"/>
  <c r="CP31" i="2"/>
  <c r="CP42" i="2" s="1"/>
  <c r="CN33" i="2"/>
  <c r="CN34" i="2" s="1"/>
  <c r="CN35" i="2" s="1"/>
  <c r="CN46" i="2" l="1"/>
  <c r="CQ29" i="2"/>
  <c r="CQ30" i="2"/>
  <c r="CQ27" i="2"/>
  <c r="CQ28" i="2" s="1"/>
  <c r="CO33" i="2"/>
  <c r="CO34" i="2" s="1"/>
  <c r="CO35" i="2" s="1"/>
  <c r="CO46" i="2" l="1"/>
  <c r="CQ31" i="2"/>
  <c r="CQ42" i="2" s="1"/>
  <c r="CP33" i="2"/>
  <c r="CP34" i="2" s="1"/>
  <c r="CP35" i="2" s="1"/>
  <c r="CP46" i="2" l="1"/>
  <c r="CQ33" i="2"/>
  <c r="CQ34" i="2" s="1"/>
  <c r="CQ35" i="2" s="1"/>
  <c r="CQ46" i="2" l="1"/>
  <c r="CR35" i="2"/>
  <c r="CS35" i="2" s="1"/>
  <c r="CT35" i="2" s="1"/>
  <c r="CU35" i="2" s="1"/>
  <c r="CV35" i="2" s="1"/>
  <c r="CW35" i="2" s="1"/>
  <c r="CX35" i="2" s="1"/>
  <c r="CY35" i="2" s="1"/>
  <c r="CZ35" i="2" s="1"/>
  <c r="DA35" i="2" s="1"/>
  <c r="DB35" i="2" s="1"/>
  <c r="DC35" i="2" s="1"/>
  <c r="DD35" i="2" s="1"/>
  <c r="DE35" i="2" s="1"/>
  <c r="DF35" i="2" s="1"/>
  <c r="DG35" i="2" s="1"/>
  <c r="DH35" i="2" s="1"/>
  <c r="DI35" i="2" s="1"/>
  <c r="DJ35" i="2" s="1"/>
  <c r="DK35" i="2" s="1"/>
  <c r="DL35" i="2" s="1"/>
  <c r="DM35" i="2" s="1"/>
  <c r="DN35" i="2" s="1"/>
  <c r="DO35" i="2" s="1"/>
  <c r="DP35" i="2" s="1"/>
  <c r="DQ35" i="2" s="1"/>
  <c r="DR35" i="2" s="1"/>
  <c r="DS35" i="2" s="1"/>
  <c r="DT35" i="2" s="1"/>
  <c r="DU35" i="2" s="1"/>
  <c r="DV35" i="2" s="1"/>
  <c r="DW35" i="2" s="1"/>
  <c r="DX35" i="2" s="1"/>
  <c r="DY35" i="2" s="1"/>
  <c r="DZ35" i="2" s="1"/>
  <c r="EA35" i="2" s="1"/>
  <c r="EB35" i="2" s="1"/>
  <c r="EC35" i="2" s="1"/>
  <c r="ED35" i="2" s="1"/>
  <c r="EE35" i="2" s="1"/>
  <c r="EF35" i="2" s="1"/>
  <c r="EG35" i="2" s="1"/>
  <c r="EH35" i="2" s="1"/>
  <c r="EI35" i="2" s="1"/>
  <c r="EJ35" i="2" s="1"/>
  <c r="EK35" i="2" s="1"/>
  <c r="EL35" i="2" s="1"/>
  <c r="EM35" i="2" s="1"/>
  <c r="EN35" i="2" s="1"/>
  <c r="EO35" i="2" s="1"/>
  <c r="CQ56" i="2" s="1"/>
  <c r="CQ58" i="2" l="1"/>
  <c r="CQ60" i="2" l="1"/>
  <c r="CR60" i="2" l="1"/>
  <c r="CP6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<sst xmlns="http://schemas.openxmlformats.org/spreadsheetml/2006/main" count="1517" uniqueCount="1483">
  <si>
    <t>Master</t>
  </si>
  <si>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</si>
  <si>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</si>
  <si>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</si>
  <si>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</si>
  <si>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</si>
  <si>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</si>
  <si>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</si>
  <si>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</si>
  <si>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</si>
  <si>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</si>
  <si>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</si>
  <si>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</si>
  <si>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</si>
  <si>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</si>
  <si>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</si>
  <si>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</si>
  <si>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</si>
  <si>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</si>
  <si>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</si>
  <si>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</si>
  <si>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</si>
  <si>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</si>
  <si>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</si>
  <si>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</si>
  <si>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</si>
  <si>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</si>
  <si>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</si>
  <si>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</si>
  <si>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</si>
  <si>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</si>
  <si>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</si>
  <si>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</si>
  <si>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</si>
  <si>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</si>
  <si>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</si>
  <si>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</si>
  <si>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</si>
  <si>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</si>
  <si>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</si>
  <si>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</si>
  <si>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</si>
  <si>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</si>
  <si>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</si>
  <si>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</si>
  <si>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</si>
  <si>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</si>
  <si>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</si>
  <si>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</si>
  <si>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</si>
  <si>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</si>
  <si>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</si>
  <si>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</si>
  <si>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</si>
  <si>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U.S. Revenues</t>
  </si>
  <si>
    <t>U.S. % of Revenues</t>
  </si>
  <si>
    <t>U.S.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</si>
  <si>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</si>
  <si>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</si>
  <si>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</si>
  <si>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</si>
  <si>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</si>
  <si>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</si>
  <si>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</si>
  <si>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</si>
  <si>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</si>
  <si>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</si>
  <si>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</si>
  <si>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</si>
  <si>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</si>
  <si>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</si>
  <si>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</si>
  <si>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</si>
  <si>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</si>
  <si>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</si>
  <si>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</si>
  <si>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</si>
  <si>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</si>
  <si>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</si>
  <si>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</si>
  <si>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</si>
  <si>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Revenues:</t>
  </si>
  <si>
    <t>Earnings Scope:</t>
  </si>
  <si>
    <t>Balance Sheet Scope:</t>
  </si>
  <si>
    <t>[Godel Snapshot of projected balances (assets, liabilities, equity)]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</si>
  <si>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</si>
  <si>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</si>
  <si>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</si>
  <si>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</si>
  <si>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</si>
  <si>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</si>
  <si>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</si>
  <si>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</si>
  <si>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</si>
  <si>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</si>
  <si>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</si>
  <si>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https://www.sec.gov/edgar/browse/?CIK=310764&amp;owner=exclude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</si>
  <si>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</si>
  <si>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</si>
  <si>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</si>
  <si>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</si>
  <si>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</si>
  <si>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</si>
  <si>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</si>
  <si>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</si>
  <si>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</si>
  <si>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</si>
  <si>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</si>
  <si>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</si>
  <si>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</si>
  <si>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</si>
  <si>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</si>
  <si>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</si>
  <si>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</si>
  <si>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</si>
  <si>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</si>
  <si>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</si>
  <si>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Equity β (1-year avg.)</t>
  </si>
  <si>
    <t>Discount (Cost of Equity)</t>
  </si>
  <si>
    <t>NPV</t>
  </si>
  <si>
    <t>FV</t>
  </si>
  <si>
    <t>CP</t>
  </si>
  <si>
    <t>Change Δ</t>
  </si>
  <si>
    <t>DXCM</t>
  </si>
  <si>
    <t>DexCom, Inc. (DXCM)</t>
  </si>
  <si>
    <t>Registered Exchange: NASDAQ</t>
  </si>
  <si>
    <t>Founded: 1999</t>
  </si>
  <si>
    <t>Headquarters: San Diego, CA</t>
  </si>
  <si>
    <t>Address: 6340 Sequence Drive San Diego, CA 92121 U.S.</t>
  </si>
  <si>
    <t>dexcom.com/en-us</t>
  </si>
  <si>
    <t>https://investors.dexcom.com/overview/default.aspx</t>
  </si>
  <si>
    <t>https://seekingalpha.com/symbol/DXCM/earnings/transcripts</t>
  </si>
  <si>
    <t>https://stockanalysis.com/stocks/dxcm/company/</t>
  </si>
  <si>
    <t>https://www.macrotrends.net/stocks/charts/DXCM/dexcom/cash-flow-statement?freq=Q</t>
  </si>
  <si>
    <t>https://www.gurufocus.com/term/wacc/DXCM</t>
  </si>
  <si>
    <t>Founder(s): Scott Glenn, John Burd, Lauren Otsuki, Ellen Preston, and Bret Megargel</t>
  </si>
  <si>
    <t>Current CEO: Kevin Sayer</t>
  </si>
  <si>
    <t>Employees: 10,300</t>
  </si>
  <si>
    <t>Industry: CGMS - Medical Devices</t>
  </si>
  <si>
    <t>Sector: Healthcare</t>
  </si>
  <si>
    <t>IPO: Apr 14, 2005</t>
  </si>
  <si>
    <t>Fiscal Year: [January - December]</t>
  </si>
  <si>
    <t>IR@dexcom.com</t>
  </si>
  <si>
    <t>(858) 410-1560</t>
  </si>
  <si>
    <t>DexCom, Inc., a medical device company, focuses on the design, development, and commercialization of continuous glucose monitoring (CGM) systems in the United States and internationally</t>
  </si>
  <si>
    <t>Its products include:</t>
  </si>
  <si>
    <t>Dexcom G6 and Dexcom G7, integrated CGM systems for diabetes management</t>
  </si>
  <si>
    <t>Dexcom Share, a remote monitoring system; Dexcom Real-Time API, which enables authorized third-party software developers to integrate real-time CGM data into their digital health apps and devices</t>
  </si>
  <si>
    <t>Dexcom ONE, that is designed to replace finger stick blood glucose testing for diabetes treatment decisions</t>
  </si>
  <si>
    <t>Stelo, a new over-the-counter glucose biosensor designed for adults with prediabetes and Type 2 diabetes</t>
  </si>
  <si>
    <t>Stelo is a new offering put out by Dexcom and Oura, fitting into the Oura ring software ecosystem</t>
  </si>
  <si>
    <t>Stelo is an over-the-counter (OTC) continuous glucose monitor (iCGM)—the first in its class FDA-cleared for adults (18+) not on insulin, available without a prescription</t>
  </si>
  <si>
    <t>Designed for the wellness, prediabetic, and health-optimization population—not intended for diabetics on insulin or those with problematic hypoglycemia … Health nut target</t>
  </si>
  <si>
    <t>It markets its products directly to endocrinologists, physicians, and diabetes educators</t>
  </si>
  <si>
    <t>The Company provides its systems for the management of diabetes and metabolic health by patients, caregivers, and clinicians</t>
  </si>
  <si>
    <t>The Company has a collaboration and license agreement with Verily Life Sciences LLC and Verily Ireland Limited to develop blood-based or interstitial glucose monitoring products</t>
  </si>
  <si>
    <t>The Company was incorporated in 1999 and is headquartered in San Diego, California</t>
  </si>
  <si>
    <t>Intl. % of Revenues</t>
  </si>
  <si>
    <t>Intl. Revenue Growth Y/y</t>
  </si>
  <si>
    <t>Intl. Revenues</t>
  </si>
  <si>
    <t>Direct Revenues</t>
  </si>
  <si>
    <t>Distributor Revenues</t>
  </si>
  <si>
    <t>Distributor Revenue Growth Y/y</t>
  </si>
  <si>
    <t>Direct Revenue Growth Y/y</t>
  </si>
  <si>
    <t>Distributor % of Ttl Revenues</t>
  </si>
  <si>
    <t>Direct % of Ttl Revenues</t>
  </si>
  <si>
    <t>R&amp;D</t>
  </si>
  <si>
    <t>SG&amp;A</t>
  </si>
  <si>
    <t>Operating Income</t>
  </si>
  <si>
    <t>Other Income</t>
  </si>
  <si>
    <t>Pretax Income</t>
  </si>
  <si>
    <t>Taxes</t>
  </si>
  <si>
    <t>NI</t>
  </si>
  <si>
    <t>EPS</t>
  </si>
  <si>
    <t>A/R</t>
  </si>
  <si>
    <t>Inventories</t>
  </si>
  <si>
    <t>Prepaid Assets</t>
  </si>
  <si>
    <t>PP&amp;E</t>
  </si>
  <si>
    <t xml:space="preserve">LT Operating Lease </t>
  </si>
  <si>
    <t xml:space="preserve">Goodwill </t>
  </si>
  <si>
    <t>Intangibles</t>
  </si>
  <si>
    <t>LT Deffered Tax Assets</t>
  </si>
  <si>
    <t>Other LT Assets</t>
  </si>
  <si>
    <t>A/P</t>
  </si>
  <si>
    <t>Accrued Comp.</t>
  </si>
  <si>
    <t>ST Debt</t>
  </si>
  <si>
    <t>ST Operating Lease Liabilities</t>
  </si>
  <si>
    <t>Deffered Revenues</t>
  </si>
  <si>
    <t>LT Debt</t>
  </si>
  <si>
    <t>LT Operating Lease Liabilities</t>
  </si>
  <si>
    <t>Other LT Liabilities</t>
  </si>
  <si>
    <t>Ttl Assets</t>
  </si>
  <si>
    <t>Ttl Liabilities</t>
  </si>
  <si>
    <t>Ttl SE</t>
  </si>
  <si>
    <t>Ttl L + SE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</si>
  <si>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</si>
  <si>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</si>
  <si>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</si>
  <si>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</si>
  <si>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</si>
  <si>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</si>
  <si>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</si>
  <si>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</si>
  <si>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</si>
  <si>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</si>
  <si>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</si>
  <si>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</si>
  <si>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</si>
  <si>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</si>
  <si>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</si>
  <si>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</si>
  <si>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</si>
  <si>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</si>
  <si>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</si>
  <si>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</si>
  <si>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</si>
  <si>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</si>
  <si>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</si>
  <si>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</si>
  <si>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</si>
  <si>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</si>
  <si>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</si>
  <si>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</si>
  <si>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</si>
  <si>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</si>
  <si>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</si>
  <si>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</si>
  <si>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</si>
  <si>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</si>
  <si>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</si>
  <si>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</si>
  <si>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</si>
  <si>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</si>
  <si>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</si>
  <si>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</si>
  <si>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</si>
  <si>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</si>
  <si>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</si>
  <si>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</si>
  <si>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</si>
  <si>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</si>
  <si>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</si>
  <si>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</si>
  <si>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</si>
  <si>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</si>
  <si>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</si>
  <si>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</si>
  <si>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</si>
  <si>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</si>
  <si>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</si>
  <si>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</si>
  <si>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</si>
  <si>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</si>
  <si>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</si>
  <si>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</si>
  <si>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</si>
  <si>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</si>
  <si>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</si>
  <si>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</si>
  <si>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</si>
  <si>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</si>
  <si>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</si>
  <si>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</si>
  <si>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</si>
  <si>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</si>
  <si>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</si>
  <si>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</si>
  <si>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</si>
  <si>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</si>
  <si>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</si>
  <si>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</si>
  <si>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</si>
  <si>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</si>
  <si>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</si>
  <si>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</si>
  <si>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</si>
  <si>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</si>
  <si>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</si>
  <si>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</si>
  <si>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</si>
  <si>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</si>
  <si>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</si>
  <si>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</si>
  <si>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</si>
  <si>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</si>
  <si>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</si>
  <si>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</si>
  <si>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</si>
  <si>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</si>
  <si>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</si>
  <si>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</si>
  <si>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</si>
  <si>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</si>
  <si>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</si>
  <si>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</si>
  <si>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</si>
  <si>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</si>
  <si>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</si>
  <si>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</si>
  <si>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</si>
  <si>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</si>
  <si>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</si>
  <si>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</si>
  <si>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</si>
  <si>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</si>
  <si>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</si>
  <si>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</si>
  <si>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</si>
  <si>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</si>
  <si>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</si>
  <si>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</si>
  <si>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</si>
  <si>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</si>
  <si>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</si>
  <si>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</si>
  <si>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</si>
  <si>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</si>
  <si>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</si>
  <si>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</si>
  <si>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</si>
  <si>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</si>
  <si>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</si>
  <si>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</si>
  <si>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</si>
  <si>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</si>
  <si>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</si>
  <si>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</si>
  <si>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</si>
  <si>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</si>
  <si>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</si>
  <si>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</si>
  <si>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</si>
  <si>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</si>
  <si>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</si>
  <si>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</si>
  <si>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</si>
  <si>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</si>
  <si>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</si>
  <si>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</si>
  <si>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</si>
  <si>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</si>
  <si>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</si>
  <si>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</si>
  <si>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</si>
  <si>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</si>
  <si>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</si>
  <si>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</si>
  <si>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</si>
  <si>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</si>
  <si>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</si>
  <si>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</si>
  <si>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</si>
  <si>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</si>
  <si>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</si>
  <si>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</si>
  <si>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</si>
  <si>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</si>
  <si>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</si>
  <si>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</si>
  <si>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</si>
  <si>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</si>
  <si>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</si>
  <si>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</si>
  <si>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</si>
  <si>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</si>
  <si>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</si>
  <si>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</si>
  <si>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</si>
  <si>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</si>
  <si>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</si>
  <si>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</si>
  <si>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</si>
  <si>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</si>
  <si>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</si>
  <si>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</si>
  <si>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</si>
  <si>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</si>
  <si>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</si>
  <si>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</si>
  <si>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</si>
  <si>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</si>
  <si>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</si>
  <si>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</si>
  <si>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</si>
  <si>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</si>
  <si>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</si>
  <si>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</si>
  <si>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</si>
  <si>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</si>
  <si>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</si>
  <si>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</si>
  <si>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</si>
  <si>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</si>
  <si>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</si>
  <si>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</si>
  <si>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</si>
  <si>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</si>
  <si>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</si>
  <si>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</si>
  <si>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</si>
  <si>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</si>
  <si>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</si>
  <si>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</si>
  <si>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</si>
  <si>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</si>
  <si>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</si>
  <si>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</si>
  <si>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</si>
  <si>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</si>
  <si>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</si>
  <si>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</si>
  <si>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</si>
  <si>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</si>
  <si>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</si>
  <si>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</si>
  <si>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</si>
  <si>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</si>
  <si>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</si>
  <si>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</si>
  <si>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</si>
  <si>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</si>
  <si>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</si>
  <si>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</si>
  <si>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</si>
  <si>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</si>
  <si>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</si>
  <si>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</si>
  <si>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</si>
  <si>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</si>
  <si>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</si>
  <si>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</si>
  <si>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</si>
  <si>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</si>
  <si>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</si>
  <si>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</si>
  <si>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</si>
  <si>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</si>
  <si>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</si>
  <si>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</si>
  <si>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</si>
  <si>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</si>
  <si>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</si>
  <si>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</si>
  <si>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</si>
  <si>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</si>
  <si>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</si>
  <si>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</si>
  <si>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</si>
  <si>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</si>
  <si>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</si>
  <si>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</si>
  <si>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</si>
  <si>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</si>
  <si>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</si>
  <si>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</si>
  <si>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</si>
  <si>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</si>
  <si>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</si>
  <si>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</si>
  <si>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</si>
  <si>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</si>
  <si>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</si>
  <si>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</si>
  <si>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</si>
  <si>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</si>
  <si>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</si>
  <si>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</si>
  <si>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</si>
  <si>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</si>
  <si>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</si>
  <si>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</si>
  <si>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</si>
  <si>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</si>
  <si>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</si>
  <si>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</si>
  <si>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</si>
  <si>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</si>
  <si>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</si>
  <si>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</si>
  <si>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</si>
  <si>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</si>
  <si>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</si>
  <si>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</si>
  <si>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</si>
  <si>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</si>
  <si>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</si>
  <si>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</si>
  <si>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</si>
  <si>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</si>
  <si>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</si>
  <si>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</si>
  <si>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</si>
  <si>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</si>
  <si>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</si>
  <si>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</si>
  <si>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</si>
  <si>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</si>
  <si>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</si>
  <si>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</si>
  <si>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</si>
  <si>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</si>
  <si>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</si>
  <si>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</si>
  <si>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</si>
  <si>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</si>
  <si>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</si>
  <si>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</si>
  <si>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</si>
  <si>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</si>
  <si>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</si>
  <si>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</si>
  <si>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</si>
  <si>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</si>
  <si>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</si>
  <si>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</si>
  <si>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</si>
  <si>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</si>
  <si>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</si>
  <si>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</si>
  <si>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</si>
  <si>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</si>
  <si>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</si>
  <si>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</si>
  <si>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</si>
  <si>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</si>
  <si>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</si>
  <si>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</si>
  <si>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</si>
  <si>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</si>
  <si>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</si>
  <si>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</si>
  <si>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</si>
  <si>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</si>
  <si>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</si>
  <si>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</si>
  <si>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</si>
  <si>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</si>
  <si>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</si>
  <si>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</si>
  <si>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</si>
  <si>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</si>
  <si>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</si>
  <si>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</si>
  <si>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</si>
  <si>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</si>
  <si>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</si>
  <si>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</si>
  <si>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</si>
  <si>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</si>
  <si>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</si>
  <si>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</si>
  <si>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</si>
  <si>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</si>
  <si>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</si>
  <si>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</si>
  <si>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</si>
  <si>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</si>
  <si>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</si>
  <si>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</si>
  <si>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</si>
  <si>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</si>
  <si>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</si>
  <si>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</si>
  <si>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</si>
  <si>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</si>
  <si>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</si>
  <si>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</si>
  <si>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</si>
  <si>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</si>
  <si>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</si>
  <si>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</si>
  <si>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</si>
  <si>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</si>
  <si>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</si>
  <si>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</si>
  <si>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</si>
  <si>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</si>
  <si>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</si>
  <si>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</si>
  <si>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</si>
  <si>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</si>
  <si>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</si>
  <si>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</si>
  <si>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</si>
  <si>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</si>
  <si>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</si>
  <si>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</si>
  <si>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</si>
  <si>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</si>
  <si>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</si>
  <si>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</si>
  <si>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</si>
  <si>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</si>
  <si>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</si>
  <si>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</si>
  <si>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</si>
  <si>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</si>
  <si>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</si>
  <si>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</si>
  <si>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</si>
  <si>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</si>
  <si>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</si>
  <si>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</si>
  <si>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</si>
  <si>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</si>
  <si>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</si>
  <si>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</si>
  <si>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</si>
  <si>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</si>
  <si>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</si>
  <si>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</si>
  <si>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</si>
  <si>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</si>
  <si>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</si>
  <si>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</si>
  <si>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</si>
  <si>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</si>
  <si>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</si>
  <si>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</si>
  <si>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</si>
  <si>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</si>
  <si>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</si>
  <si>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</si>
  <si>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</si>
  <si>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</si>
  <si>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</si>
  <si>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</si>
  <si>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</si>
  <si>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</si>
  <si>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</si>
  <si>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</si>
  <si>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</si>
  <si>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</si>
  <si>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</si>
  <si>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</si>
  <si>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</si>
  <si>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</si>
  <si>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</si>
  <si>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</si>
  <si>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</si>
  <si>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</si>
  <si>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</si>
  <si>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</si>
  <si>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</si>
  <si>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</si>
  <si>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</si>
  <si>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</si>
  <si>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</si>
  <si>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</si>
  <si>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</si>
  <si>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</si>
  <si>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</si>
  <si>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</si>
  <si>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</si>
  <si>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</si>
  <si>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</si>
  <si>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</si>
  <si>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</si>
  <si>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</si>
  <si>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</si>
  <si>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</si>
  <si>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</si>
  <si>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</si>
  <si>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</si>
  <si>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</si>
  <si>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</si>
  <si>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</si>
  <si>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</si>
  <si>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</si>
  <si>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</si>
  <si>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</si>
  <si>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</si>
  <si>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</si>
  <si>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</si>
  <si>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</si>
  <si>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</si>
  <si>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</si>
  <si>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</si>
  <si>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</si>
  <si>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</si>
  <si>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</si>
  <si>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</si>
  <si>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</si>
  <si>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</si>
  <si>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</si>
  <si>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</si>
  <si>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</si>
  <si>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</si>
  <si>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</si>
  <si>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</si>
  <si>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</si>
  <si>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</si>
  <si>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</si>
  <si>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</si>
  <si>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</si>
  <si>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</si>
  <si>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</si>
  <si>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</si>
  <si>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</si>
  <si>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</si>
  <si>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</si>
  <si>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</si>
  <si>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</si>
  <si>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</si>
  <si>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</si>
  <si>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</si>
  <si>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</si>
  <si>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</si>
  <si>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</si>
  <si>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</si>
  <si>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</si>
  <si>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</si>
  <si>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</si>
  <si>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</si>
  <si>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</si>
  <si>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</si>
  <si>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</si>
  <si>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</si>
  <si>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</si>
  <si>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</si>
  <si>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</si>
  <si>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</si>
  <si>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</si>
  <si>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</si>
  <si>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</si>
  <si>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</si>
  <si>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</si>
  <si>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</si>
  <si>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</si>
  <si>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</si>
  <si>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</si>
  <si>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</si>
  <si>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</si>
  <si>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</si>
  <si>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</si>
  <si>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</si>
  <si>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</si>
  <si>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</si>
  <si>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</si>
  <si>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</si>
  <si>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</si>
  <si>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</si>
  <si>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</si>
  <si>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</si>
  <si>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</si>
  <si>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</si>
  <si>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</si>
  <si>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</si>
  <si>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</si>
  <si>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</si>
  <si>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</si>
  <si>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</si>
  <si>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</si>
  <si>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</si>
  <si>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</si>
  <si>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</si>
  <si>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</si>
  <si>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</si>
  <si>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</si>
  <si>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</si>
  <si>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</si>
  <si>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</si>
  <si>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</si>
  <si>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</si>
  <si>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</si>
  <si>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</si>
  <si>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</si>
  <si>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</si>
  <si>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</si>
  <si>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</si>
  <si>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</si>
  <si>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</si>
  <si>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</si>
  <si>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</si>
  <si>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</si>
  <si>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</si>
  <si>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</si>
  <si>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</si>
  <si>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</si>
  <si>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</si>
  <si>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</si>
  <si>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</si>
  <si>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</si>
  <si>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</si>
  <si>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</si>
  <si>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</si>
  <si>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</si>
  <si>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</si>
  <si>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</si>
  <si>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</si>
  <si>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</si>
  <si>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</si>
  <si>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</si>
  <si>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</si>
  <si>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</si>
  <si>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</si>
  <si>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</si>
  <si>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</si>
  <si>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</si>
  <si>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</si>
  <si>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</si>
  <si>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</si>
  <si>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</si>
  <si>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</si>
  <si>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</si>
  <si>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</si>
  <si>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</si>
  <si>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</si>
  <si>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</si>
  <si>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</si>
  <si>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</si>
  <si>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</si>
  <si>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</si>
  <si>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</si>
  <si>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</si>
  <si>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</si>
  <si>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</si>
  <si>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</si>
  <si>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</si>
  <si>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</si>
  <si>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</si>
  <si>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</si>
  <si>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</si>
  <si>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</si>
  <si>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</si>
  <si>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</si>
  <si>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</si>
  <si>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</si>
  <si>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</si>
  <si>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</si>
  <si>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</si>
  <si>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</si>
  <si>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</si>
  <si>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</si>
  <si>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</si>
  <si>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</si>
  <si>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</si>
  <si>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</si>
  <si>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</si>
  <si>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</si>
  <si>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</si>
  <si>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</si>
  <si>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</si>
  <si>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</si>
  <si>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</si>
  <si>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</si>
  <si>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</si>
  <si>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</si>
  <si>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</si>
  <si>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</si>
  <si>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</si>
  <si>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</si>
  <si>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</si>
  <si>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</si>
  <si>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</si>
  <si>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</si>
  <si>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</si>
  <si>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</si>
  <si>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</si>
  <si>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</si>
  <si>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</si>
  <si>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</si>
  <si>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</si>
  <si>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</si>
  <si>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</si>
  <si>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</si>
  <si>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</si>
  <si>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</si>
  <si>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</si>
  <si>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</si>
  <si>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</si>
  <si>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</si>
  <si>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</si>
  <si>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</si>
  <si>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</si>
  <si>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</si>
  <si>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</si>
  <si>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</si>
  <si>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</si>
  <si>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</si>
  <si>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</si>
  <si>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</si>
  <si>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</si>
  <si>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</si>
  <si>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</si>
  <si>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</si>
  <si>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</si>
  <si>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</si>
  <si>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</si>
  <si>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</si>
  <si>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</si>
  <si>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</si>
  <si>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</si>
  <si>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</si>
  <si>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</si>
  <si>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</si>
  <si>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</si>
  <si>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</si>
  <si>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</si>
  <si>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</si>
  <si>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</si>
  <si>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</si>
  <si>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</si>
  <si>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</si>
  <si>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</si>
  <si>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</si>
  <si>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</si>
  <si>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</si>
  <si>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</si>
  <si>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</si>
  <si>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</si>
  <si>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</si>
  <si>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</si>
  <si>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</si>
  <si>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</si>
  <si>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</si>
  <si>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</si>
  <si>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</si>
  <si>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</si>
  <si>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</si>
  <si>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</si>
  <si>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</si>
  <si>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</si>
  <si>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</si>
  <si>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</si>
  <si>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</si>
  <si>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</si>
  <si>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</si>
  <si>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</si>
  <si>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</si>
  <si>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</si>
  <si>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</si>
  <si>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</si>
  <si>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</si>
  <si>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</si>
  <si>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</si>
  <si>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</si>
  <si>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</si>
  <si>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</si>
  <si>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</si>
  <si>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</si>
  <si>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</si>
  <si>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</si>
  <si>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</si>
  <si>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</si>
  <si>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</si>
  <si>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</si>
  <si>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</si>
  <si>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</si>
  <si>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</si>
  <si>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</si>
  <si>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</si>
  <si>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</si>
  <si>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</si>
  <si>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</si>
  <si>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</si>
  <si>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</si>
  <si>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</si>
  <si>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</si>
  <si>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</si>
  <si>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</si>
  <si>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</si>
  <si>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</si>
  <si>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</si>
  <si>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</si>
  <si>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</si>
  <si>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</si>
  <si>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</si>
  <si>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</si>
  <si>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</si>
  <si>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</si>
  <si>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</si>
  <si>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</si>
  <si>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</si>
  <si>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</si>
  <si>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</si>
  <si>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</si>
  <si>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</si>
  <si>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</si>
  <si>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</si>
  <si>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</si>
  <si>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</si>
  <si>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</si>
  <si>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</si>
  <si>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</si>
  <si>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</si>
  <si>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</si>
  <si>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</si>
  <si>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</si>
  <si>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</si>
  <si>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</si>
  <si>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</si>
  <si>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</si>
  <si>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</si>
  <si>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</si>
  <si>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</si>
  <si>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</si>
  <si>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</si>
  <si>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</si>
  <si>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</si>
  <si>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</si>
  <si>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</si>
  <si>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</si>
  <si>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</si>
  <si>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</si>
  <si>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</si>
  <si>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</si>
  <si>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</si>
  <si>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</si>
  <si>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</si>
  <si>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</si>
  <si>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</si>
  <si>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</si>
  <si>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</si>
  <si>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</si>
  <si>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</si>
  <si>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</si>
  <si>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</si>
  <si>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</si>
  <si>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</si>
  <si>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</si>
  <si>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</si>
  <si>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</si>
  <si>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</si>
  <si>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</si>
  <si>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</si>
  <si>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</si>
  <si>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</si>
  <si>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</si>
  <si>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</si>
  <si>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</si>
  <si>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</si>
  <si>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</si>
  <si>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</si>
  <si>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</si>
  <si>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</si>
  <si>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</si>
  <si>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</si>
  <si>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</si>
  <si>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</si>
  <si>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</si>
  <si>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</si>
  <si>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</si>
  <si>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</si>
  <si>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</si>
  <si>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</si>
  <si>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</si>
  <si>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</si>
  <si>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</si>
  <si>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</si>
  <si>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</si>
  <si>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</si>
  <si>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</si>
  <si>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</si>
  <si>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</si>
  <si>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</si>
  <si>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</si>
  <si>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</si>
  <si>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</si>
  <si>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</si>
  <si>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</si>
  <si>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</si>
  <si>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</si>
  <si>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</si>
  <si>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</si>
  <si>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</si>
  <si>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</si>
  <si>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</si>
  <si>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</si>
  <si>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</si>
  <si>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</si>
  <si>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</si>
  <si>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</si>
  <si>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</si>
  <si>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</si>
  <si>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</si>
  <si>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</si>
  <si>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</si>
  <si>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</si>
  <si>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</si>
  <si>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</si>
  <si>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</si>
  <si>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</si>
  <si>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</si>
  <si>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</si>
  <si>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</si>
  <si>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</si>
  <si>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</si>
  <si>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</si>
  <si>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</si>
  <si>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</si>
  <si>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</si>
  <si>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</si>
  <si>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</si>
  <si>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</si>
  <si>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</si>
  <si>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</si>
  <si>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</si>
  <si>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</si>
  <si>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</si>
  <si>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</si>
  <si>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</si>
  <si>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</si>
  <si>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</si>
  <si>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</si>
  <si>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</si>
  <si>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</si>
  <si>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</si>
  <si>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</si>
  <si>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</si>
  <si>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</si>
  <si>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</si>
  <si>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</si>
  <si>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</si>
  <si>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</si>
  <si>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</si>
  <si>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</si>
  <si>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</si>
  <si>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</si>
  <si>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</si>
  <si>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</si>
  <si>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</si>
  <si>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</si>
  <si>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</si>
  <si>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</si>
  <si>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</si>
  <si>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</si>
  <si>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</si>
  <si>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</si>
  <si>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</si>
  <si>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</si>
  <si>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</si>
  <si>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</si>
  <si>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</si>
  <si>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</si>
  <si>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</si>
  <si>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</si>
  <si>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</si>
  <si>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</si>
  <si>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</si>
  <si>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</si>
  <si>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</si>
  <si>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</si>
  <si>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</si>
  <si>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</si>
  <si>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</si>
  <si>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</si>
  <si>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</si>
  <si>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</si>
  <si>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</si>
  <si>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</si>
  <si>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</si>
  <si>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</si>
  <si>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</si>
  <si>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</si>
  <si>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</si>
  <si>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</si>
  <si>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</si>
  <si>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</si>
  <si>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</si>
  <si>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</si>
  <si>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</si>
  <si>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</si>
  <si>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</si>
  <si>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</si>
  <si>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</si>
  <si>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</si>
  <si>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</si>
  <si>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</si>
  <si>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</si>
  <si>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</si>
  <si>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</si>
  <si>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</si>
  <si>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</si>
  <si>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</si>
  <si>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</si>
  <si>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</si>
  <si>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</si>
  <si>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</si>
  <si>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</si>
  <si>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</si>
  <si>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</si>
  <si>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</si>
  <si>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</si>
  <si>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</si>
  <si>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</si>
  <si>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</si>
  <si>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</si>
  <si>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</si>
  <si>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</si>
  <si>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</si>
  <si>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</si>
  <si>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</si>
  <si>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</si>
  <si>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</si>
  <si>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</si>
  <si>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</si>
  <si>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</si>
  <si>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</si>
  <si>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</si>
  <si>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</si>
  <si>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</si>
  <si>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</si>
  <si>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</si>
  <si>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</si>
  <si>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</si>
  <si>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</si>
  <si>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</si>
  <si>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</si>
  <si>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</si>
  <si>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</si>
  <si>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</si>
  <si>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</si>
  <si>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</si>
  <si>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</si>
  <si>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</si>
  <si>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</si>
  <si>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</si>
  <si>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</si>
  <si>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</si>
  <si>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</si>
  <si>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</si>
  <si>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</si>
  <si>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</si>
  <si>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</si>
  <si>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</si>
  <si>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</si>
  <si>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</si>
  <si>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</si>
  <si>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</si>
  <si>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</si>
  <si>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</si>
  <si>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</si>
  <si>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</si>
  <si>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</si>
  <si>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</si>
  <si>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</si>
  <si>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</si>
  <si>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</si>
  <si>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</si>
  <si>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</si>
  <si>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</si>
  <si>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</si>
  <si>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</si>
  <si>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</si>
  <si>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</si>
  <si>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</si>
  <si>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</si>
  <si>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</si>
  <si>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</si>
  <si>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</si>
  <si>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</si>
  <si>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</si>
  <si>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</si>
  <si>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</si>
  <si>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</si>
  <si>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</si>
  <si>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</si>
  <si>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</si>
  <si>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</si>
  <si>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</si>
  <si>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</si>
  <si>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</si>
  <si>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</si>
  <si>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</si>
  <si>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</si>
  <si>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</si>
  <si>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</si>
  <si>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</si>
  <si>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</si>
  <si>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</si>
  <si>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</si>
  <si>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</si>
  <si>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</si>
  <si>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</si>
  <si>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</si>
  <si>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</si>
  <si>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</si>
  <si>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</si>
  <si>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</si>
  <si>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</si>
  <si>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</si>
  <si>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</si>
  <si>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</si>
  <si>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</si>
  <si>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</si>
  <si>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</si>
  <si>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</si>
  <si>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</si>
  <si>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</si>
  <si>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</si>
  <si>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</si>
  <si>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</si>
  <si>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</si>
  <si>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</si>
  <si>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</si>
  <si>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</si>
  <si>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</si>
  <si>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</si>
  <si>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</si>
  <si>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</si>
  <si>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</si>
  <si>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</si>
  <si>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</si>
  <si>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</si>
  <si>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</si>
  <si>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</si>
  <si>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</si>
  <si>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</si>
  <si>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</si>
  <si>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</si>
  <si>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</si>
  <si>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</si>
  <si>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</si>
  <si>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</si>
  <si>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</si>
  <si>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</si>
  <si>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</si>
  <si>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</si>
  <si>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</si>
  <si>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</si>
  <si>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</si>
  <si>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</si>
  <si>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</si>
  <si>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</si>
  <si>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</si>
  <si>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</si>
  <si>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</si>
  <si>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</si>
  <si>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</si>
  <si>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</si>
  <si>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</si>
  <si>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</si>
  <si>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</si>
  <si>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</si>
  <si>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</si>
  <si>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</si>
  <si>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</si>
  <si>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</si>
  <si>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</si>
  <si>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</si>
  <si>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</si>
  <si>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</si>
  <si>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</si>
  <si>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</si>
  <si>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</si>
  <si>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</si>
  <si>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</si>
  <si>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</si>
  <si>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</si>
  <si>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</si>
  <si>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</si>
  <si>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</si>
  <si>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</si>
  <si>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</si>
  <si>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</si>
  <si>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</si>
  <si>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</si>
  <si>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</si>
  <si>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</si>
  <si>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</si>
  <si>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</si>
  <si>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</si>
  <si>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</si>
  <si>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</si>
  <si>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</si>
  <si>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</si>
  <si>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</si>
  <si>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</si>
  <si>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</si>
  <si>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</si>
  <si>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</si>
  <si>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</si>
  <si>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</si>
  <si>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</si>
  <si>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</si>
  <si>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</si>
  <si>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</si>
  <si>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</si>
  <si>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</si>
  <si>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</si>
  <si>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</si>
  <si>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</si>
  <si>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</si>
  <si>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</si>
  <si>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</si>
  <si>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</si>
  <si>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</si>
  <si>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</si>
  <si>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</si>
  <si>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</si>
  <si>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</si>
  <si>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</si>
  <si>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</si>
  <si>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</si>
  <si>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</si>
  <si>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</si>
  <si>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</si>
  <si>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</si>
  <si>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</si>
  <si>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</si>
  <si>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</si>
  <si>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</si>
  <si>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</si>
  <si>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</si>
  <si>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</si>
  <si>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</si>
  <si>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</si>
  <si>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</si>
  <si>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</si>
  <si>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</si>
  <si>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</si>
  <si>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</si>
  <si>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</si>
  <si>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</si>
  <si>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</si>
  <si>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</si>
  <si>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</si>
  <si>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</si>
  <si>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</si>
  <si>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</si>
  <si>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</si>
  <si>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</si>
  <si>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</si>
  <si>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</si>
  <si>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</si>
  <si>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</si>
  <si>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</si>
  <si>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</si>
  <si>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</si>
  <si>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</si>
  <si>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</si>
  <si>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</si>
  <si>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</si>
  <si>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</si>
  <si>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</si>
  <si>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</si>
  <si>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</si>
  <si>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</si>
  <si>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</si>
  <si>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</si>
  <si>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</si>
  <si>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</si>
  <si>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</si>
  <si>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</si>
  <si>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</si>
  <si>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Fri, 18 Sep 2020 00:00:00 GMT</t>
  </si>
  <si>
    <t>Thu, 17 Sep 2020 00:00:00 GMT</t>
  </si>
  <si>
    <t>Wed, 16 Sep 2020 00:00:00 GMT</t>
  </si>
  <si>
    <t>Tue, 15 Sep 2020 00:00:00 GMT</t>
  </si>
  <si>
    <t>Mon, 14 Sep 2020 00:00:00 GMT</t>
  </si>
  <si>
    <r>
      <rPr>
        <i/>
        <sz val="11"/>
        <color theme="1"/>
        <rFont val="Calibre"/>
      </rPr>
      <t xml:space="preserve">1256 </t>
    </r>
    <r>
      <rPr>
        <sz val="11"/>
        <color theme="1"/>
        <rFont val="Calibre"/>
      </rPr>
      <t>Trading Days? (From: 9/13/2020 - 9/13/2025)</t>
    </r>
  </si>
  <si>
    <t>More</t>
  </si>
  <si>
    <t xml:space="preserve">Revenue Breakdown by Segment </t>
  </si>
  <si>
    <t>In August 2015, Dexcom entered a partnership with Google's life sciences team (which later became Verily) to jointly develop next-generation continuous glucose monitoring (CGM) products</t>
  </si>
  <si>
    <t>DXCM retained sales and distribution rights but made upfront and milestone payments to Google/Verily as part of the collab and licensing deal</t>
  </si>
  <si>
    <t>The partnership included Alphabet receiving over a billion shares of Dexcom via stock payments as part of licensing and collaboration agreements</t>
  </si>
  <si>
    <t>The collaboration involves ongoing joint product development, sharing R&amp;D resources, and expanded options for joint ventures in diabetes technology</t>
  </si>
  <si>
    <t>The collaboration aimed to combine Google’s miniaturized electronics platform with Dexcom's biometric sensor technologies</t>
  </si>
  <si>
    <t>This allowed the team to create smaller, less expensive and disposable CGM sensors without finger pricking … This is their patch business which relays data back to the DXCM app</t>
  </si>
  <si>
    <t>Kevin Sayer serves as The Company's CEO</t>
  </si>
  <si>
    <t>Fixed Asset Turnover Ratio</t>
  </si>
  <si>
    <t>ERP 
(Avg. market return - (less) RFR)</t>
  </si>
  <si>
    <t>Verily Life Sciences LLC is a subsidiary of Alphabet (GOOG) which operates in the wider healthcare market</t>
  </si>
  <si>
    <t>Financial Stmts. Notes/Observations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</si>
  <si>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(2023-2024)</t>
    </r>
  </si>
  <si>
    <t>Capital Structure</t>
  </si>
  <si>
    <t>Mkt Cap</t>
  </si>
  <si>
    <t>Debt to Ttl Mkt Cap</t>
  </si>
  <si>
    <t>Mkt Equity to Ttl Mkt Cap</t>
  </si>
  <si>
    <t>Debt / Equity</t>
  </si>
  <si>
    <t>Cost of Equity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</si>
  <si>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</si>
  <si>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</si>
  <si>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</si>
  <si>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</si>
  <si>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</si>
  <si>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</si>
  <si>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</si>
  <si>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t>Q1 2026</t>
  </si>
  <si>
    <t>Q2'26</t>
  </si>
  <si>
    <t>9/21/2026</t>
  </si>
  <si>
    <t>Alphabet Inc. (GOOG) holds a minority interest in DXCM (~0.27% stake) - just over a million shares … Investigate further … was there an old partnership or spin off?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</si>
</sst>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 applyAlignment="1">
      <alignment horizontal="left" indent="5"/>
    </xf>
    <xf numFmtId="0" fontId="16" fillId="0" borderId="0" xfId="2" applyFont="1"/>
    <xf numFmtId="0" fontId="13" fillId="0" borderId="0" xfId="0" applyFont="1" applyAlignment="1">
      <alignment vertical="top" wrapText="1"/>
    </xf>
    <xf numFmtId="10" fontId="2" fillId="0" borderId="0" xfId="1" applyNumberFormat="1" applyFont="1"/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2" fontId="2" fillId="0" borderId="0" xfId="0" applyNumberFormat="1" applyFont="1" applyAlignment="1">
      <alignment horizontal="right" indent="1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165" fontId="12" fillId="0" borderId="0" xfId="1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10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4" fontId="13" fillId="0" borderId="0" xfId="0" applyNumberFormat="1" applyFont="1" applyAlignment="1">
      <alignment horizontal="left" vertical="center"/>
    </xf>
    <xf numFmtId="2" fontId="1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 indent="1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left" indent="1"/>
    </xf>
    <xf numFmtId="1" fontId="13" fillId="0" borderId="0" xfId="0" applyNumberFormat="1" applyFont="1" applyAlignment="1">
      <alignment vertical="top"/>
    </xf>
    <xf numFmtId="10" fontId="13" fillId="0" borderId="0" xfId="1" applyNumberFormat="1" applyFont="1"/>
    <xf numFmtId="0" fontId="12" fillId="0" borderId="0" xfId="0" applyFont="1" applyAlignment="1">
      <alignment horizontal="left" indent="1"/>
    </xf>
    <xf numFmtId="0" fontId="12" fillId="0" borderId="0" xfId="0" applyFont="1"/>
    <xf numFmtId="10" fontId="12" fillId="0" borderId="0" xfId="1" applyNumberFormat="1" applyFont="1"/>
    <xf numFmtId="0" fontId="13" fillId="0" borderId="0" xfId="0" applyFont="1" applyAlignment="1">
      <alignment horizontal="left" vertical="top" indent="1"/>
    </xf>
    <xf numFmtId="2" fontId="13" fillId="0" borderId="0" xfId="0" applyNumberFormat="1" applyFont="1" applyAlignment="1">
      <alignment vertical="top"/>
    </xf>
    <xf numFmtId="1" fontId="13" fillId="0" borderId="0" xfId="0" applyNumberFormat="1" applyFont="1"/>
    <xf numFmtId="2" fontId="13" fillId="0" borderId="0" xfId="0" applyNumberFormat="1" applyFont="1"/>
    <xf numFmtId="9" fontId="13" fillId="0" borderId="0" xfId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0" fontId="13" fillId="0" borderId="0" xfId="0" applyFont="1" applyAlignment="1">
      <alignment horizontal="center"/>
    </xf>
    <xf numFmtId="1" fontId="12" fillId="0" borderId="0" xfId="0" applyNumberFormat="1" applyFont="1" applyAlignment="1">
      <alignment horizontal="left" indent="1"/>
    </xf>
    <xf numFmtId="0" fontId="17" fillId="0" borderId="0" xfId="0" applyFont="1" applyAlignment="1">
      <alignment horizontal="center" vertic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rgb="FF00CC66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colors>
    <mruColors>
      <color rgb="FF8EBA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(DXCM)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Model!$B$4</c:f>
              <c:strCache>
                <c:ptCount val="1"/>
                <c:pt idx="0">
                  <c:v>Distributor Revenues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Model!$AM$1:$BK$1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Model!$AM$4:$BL$4</c:f>
              <c:numCache>
                <c:formatCode>0.0</c:formatCode>
                <c:ptCount val="26"/>
                <c:pt idx="0">
                  <c:v>286.10000000000002</c:v>
                </c:pt>
                <c:pt idx="1">
                  <c:v>331.7</c:v>
                </c:pt>
                <c:pt idx="2">
                  <c:v>382.4</c:v>
                </c:pt>
                <c:pt idx="3">
                  <c:v>437.4</c:v>
                </c:pt>
                <c:pt idx="4">
                  <c:v>390.7</c:v>
                </c:pt>
                <c:pt idx="5">
                  <c:v>495.9</c:v>
                </c:pt>
                <c:pt idx="6">
                  <c:v>552.29999999999995</c:v>
                </c:pt>
                <c:pt idx="7">
                  <c:v>410.50000000000023</c:v>
                </c:pt>
                <c:pt idx="8">
                  <c:v>527.1</c:v>
                </c:pt>
                <c:pt idx="9">
                  <c:v>585.1</c:v>
                </c:pt>
                <c:pt idx="10">
                  <c:v>656.2</c:v>
                </c:pt>
                <c:pt idx="11">
                  <c:v>702.40000000000009</c:v>
                </c:pt>
                <c:pt idx="12">
                  <c:v>618.9</c:v>
                </c:pt>
                <c:pt idx="13">
                  <c:v>738.8</c:v>
                </c:pt>
                <c:pt idx="14">
                  <c:v>713.6</c:v>
                </c:pt>
                <c:pt idx="15">
                  <c:v>1024.3000000000002</c:v>
                </c:pt>
                <c:pt idx="16">
                  <c:v>778.8</c:v>
                </c:pt>
                <c:pt idx="17">
                  <c:v>860.1</c:v>
                </c:pt>
                <c:pt idx="18">
                  <c:v>843.3</c:v>
                </c:pt>
                <c:pt idx="19">
                  <c:v>947.90000000000009</c:v>
                </c:pt>
                <c:pt idx="20">
                  <c:v>880</c:v>
                </c:pt>
                <c:pt idx="21">
                  <c:v>977.8</c:v>
                </c:pt>
                <c:pt idx="22">
                  <c:v>1026</c:v>
                </c:pt>
                <c:pt idx="23">
                  <c:v>1075.1999999999998</c:v>
                </c:pt>
                <c:pt idx="24">
                  <c:v>1010.3</c:v>
                </c:pt>
                <c:pt idx="25">
                  <c:v>1102.4000000000001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1"/>
          <c:tx>
            <c:strRef>
              <c:f>Model!$B$5</c:f>
              <c:strCache>
                <c:ptCount val="1"/>
                <c:pt idx="0">
                  <c:v>Direct Revenues</c:v>
                </c:pt>
              </c:strCache>
            </c:strRef>
          </c:tx>
          <c:spPr>
            <a:solidFill>
              <a:srgbClr val="8EBAE2"/>
            </a:solidFill>
            <a:ln>
              <a:noFill/>
            </a:ln>
            <a:effectLst/>
          </c:spPr>
          <c:invertIfNegative val="0"/>
          <c:cat>
            <c:strRef>
              <c:f>Model!$AM$1:$BK$1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Model!$AM$5:$BL$5</c:f>
              <c:numCache>
                <c:formatCode>0.0</c:formatCode>
                <c:ptCount val="26"/>
                <c:pt idx="0">
                  <c:v>119</c:v>
                </c:pt>
                <c:pt idx="1">
                  <c:v>120.1</c:v>
                </c:pt>
                <c:pt idx="2">
                  <c:v>118.5</c:v>
                </c:pt>
                <c:pt idx="3">
                  <c:v>131.5</c:v>
                </c:pt>
                <c:pt idx="4">
                  <c:v>114.3</c:v>
                </c:pt>
                <c:pt idx="5">
                  <c:v>99.2</c:v>
                </c:pt>
                <c:pt idx="6">
                  <c:v>97.9</c:v>
                </c:pt>
                <c:pt idx="7">
                  <c:v>287.70000000000005</c:v>
                </c:pt>
                <c:pt idx="8">
                  <c:v>101.7</c:v>
                </c:pt>
                <c:pt idx="9">
                  <c:v>111.1</c:v>
                </c:pt>
                <c:pt idx="10">
                  <c:v>113.4</c:v>
                </c:pt>
                <c:pt idx="11">
                  <c:v>112.79999999999995</c:v>
                </c:pt>
                <c:pt idx="12">
                  <c:v>122.6</c:v>
                </c:pt>
                <c:pt idx="13">
                  <c:v>132.5</c:v>
                </c:pt>
                <c:pt idx="14">
                  <c:v>261.39999999999998</c:v>
                </c:pt>
                <c:pt idx="15">
                  <c:v>10.200000000000045</c:v>
                </c:pt>
                <c:pt idx="16">
                  <c:v>142.5</c:v>
                </c:pt>
                <c:pt idx="17">
                  <c:v>144.19999999999999</c:v>
                </c:pt>
                <c:pt idx="18">
                  <c:v>150.9</c:v>
                </c:pt>
                <c:pt idx="19">
                  <c:v>165.29999999999995</c:v>
                </c:pt>
                <c:pt idx="20">
                  <c:v>156</c:v>
                </c:pt>
                <c:pt idx="21">
                  <c:v>179.3</c:v>
                </c:pt>
                <c:pt idx="22">
                  <c:v>183.3</c:v>
                </c:pt>
                <c:pt idx="23">
                  <c:v>184.39999999999998</c:v>
                </c:pt>
                <c:pt idx="24">
                  <c:v>181.6</c:v>
                </c:pt>
                <c:pt idx="25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(DXCM)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Model!$AM$35:$BL$35</c:f>
              <c:numCache>
                <c:formatCode>0.0</c:formatCode>
                <c:ptCount val="26"/>
                <c:pt idx="0">
                  <c:v>19.899999999999995</c:v>
                </c:pt>
                <c:pt idx="1">
                  <c:v>46.299999999999955</c:v>
                </c:pt>
                <c:pt idx="2">
                  <c:v>72.19999999999996</c:v>
                </c:pt>
                <c:pt idx="3">
                  <c:v>413.79999999999995</c:v>
                </c:pt>
                <c:pt idx="4">
                  <c:v>56.499999999999972</c:v>
                </c:pt>
                <c:pt idx="5">
                  <c:v>78.899999999999991</c:v>
                </c:pt>
                <c:pt idx="6">
                  <c:v>88.599999999999909</c:v>
                </c:pt>
                <c:pt idx="7">
                  <c:v>-7.0999999999997607</c:v>
                </c:pt>
                <c:pt idx="8">
                  <c:v>99.300000000000068</c:v>
                </c:pt>
                <c:pt idx="9">
                  <c:v>52.800000000000033</c:v>
                </c:pt>
                <c:pt idx="10">
                  <c:v>103.00000000000006</c:v>
                </c:pt>
                <c:pt idx="11">
                  <c:v>86.100000000000051</c:v>
                </c:pt>
                <c:pt idx="12">
                  <c:v>48.600000000000044</c:v>
                </c:pt>
                <c:pt idx="13">
                  <c:v>115.89999999999995</c:v>
                </c:pt>
                <c:pt idx="14">
                  <c:v>120.7</c:v>
                </c:pt>
                <c:pt idx="15">
                  <c:v>256.30000000000024</c:v>
                </c:pt>
                <c:pt idx="16">
                  <c:v>146.69999999999993</c:v>
                </c:pt>
                <c:pt idx="17">
                  <c:v>143.49999999999994</c:v>
                </c:pt>
                <c:pt idx="18">
                  <c:v>134.60000000000002</c:v>
                </c:pt>
                <c:pt idx="19">
                  <c:v>151.40000000000003</c:v>
                </c:pt>
                <c:pt idx="20">
                  <c:v>105.39999999999998</c:v>
                </c:pt>
                <c:pt idx="21">
                  <c:v>179.79999999999995</c:v>
                </c:pt>
                <c:pt idx="22">
                  <c:v>283.8</c:v>
                </c:pt>
                <c:pt idx="23">
                  <c:v>267.29999999999973</c:v>
                </c:pt>
                <c:pt idx="24">
                  <c:v>199.49999999999983</c:v>
                </c:pt>
                <c:pt idx="25">
                  <c:v>249.10000000000011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Model!$AM$83:$BL$83</c:f>
              <c:numCache>
                <c:formatCode>General</c:formatCode>
                <c:ptCount val="26"/>
                <c:pt idx="0">
                  <c:v>-31.300000000000004</c:v>
                </c:pt>
                <c:pt idx="1">
                  <c:v>95.899999999999991</c:v>
                </c:pt>
                <c:pt idx="2">
                  <c:v>100.19999999999999</c:v>
                </c:pt>
                <c:pt idx="3">
                  <c:v>111.8</c:v>
                </c:pt>
                <c:pt idx="4">
                  <c:v>-71.900000000000006</c:v>
                </c:pt>
                <c:pt idx="5">
                  <c:v>-39.6</c:v>
                </c:pt>
                <c:pt idx="6">
                  <c:v>139.30000000000001</c:v>
                </c:pt>
                <c:pt idx="7">
                  <c:v>25.5</c:v>
                </c:pt>
                <c:pt idx="8">
                  <c:v>-30.599999999999994</c:v>
                </c:pt>
                <c:pt idx="9">
                  <c:v>81.300000000000011</c:v>
                </c:pt>
                <c:pt idx="10">
                  <c:v>185.2</c:v>
                </c:pt>
                <c:pt idx="11">
                  <c:v>68.800000000000011</c:v>
                </c:pt>
                <c:pt idx="12">
                  <c:v>80.7</c:v>
                </c:pt>
                <c:pt idx="13">
                  <c:v>131.30000000000001</c:v>
                </c:pt>
                <c:pt idx="14">
                  <c:v>218.79999999999998</c:v>
                </c:pt>
                <c:pt idx="15">
                  <c:v>81.099999999999994</c:v>
                </c:pt>
                <c:pt idx="16">
                  <c:v>152.29999999999998</c:v>
                </c:pt>
                <c:pt idx="17">
                  <c:v>216.9</c:v>
                </c:pt>
                <c:pt idx="18">
                  <c:v>88.3</c:v>
                </c:pt>
                <c:pt idx="19">
                  <c:v>176.79999999999998</c:v>
                </c:pt>
                <c:pt idx="20">
                  <c:v>96.800000000000011</c:v>
                </c:pt>
                <c:pt idx="21">
                  <c:v>208.9</c:v>
                </c:pt>
                <c:pt idx="22">
                  <c:v>579.4</c:v>
                </c:pt>
                <c:pt idx="23">
                  <c:v>192.1</c:v>
                </c:pt>
                <c:pt idx="24" formatCode="0.0">
                  <c:v>449</c:v>
                </c:pt>
                <c:pt idx="25" formatCode="0.0">
                  <c:v>184.5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strRef>
              <c:f>Model!$B$26</c:f>
              <c:strCache>
                <c:ptCount val="1"/>
                <c:pt idx="0">
                  <c:v>Revenues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Model!$AM$1:$BK$1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Model!$AM$26:$BL$26</c:f>
              <c:numCache>
                <c:formatCode>0.0</c:formatCode>
                <c:ptCount val="26"/>
                <c:pt idx="0">
                  <c:v>405.1</c:v>
                </c:pt>
                <c:pt idx="1">
                  <c:v>451.79999999999995</c:v>
                </c:pt>
                <c:pt idx="2">
                  <c:v>500.9</c:v>
                </c:pt>
                <c:pt idx="3">
                  <c:v>568.9</c:v>
                </c:pt>
                <c:pt idx="4">
                  <c:v>505</c:v>
                </c:pt>
                <c:pt idx="5">
                  <c:v>595.1</c:v>
                </c:pt>
                <c:pt idx="6">
                  <c:v>650.19999999999993</c:v>
                </c:pt>
                <c:pt idx="7">
                  <c:v>698.20000000000027</c:v>
                </c:pt>
                <c:pt idx="8">
                  <c:v>628.80000000000007</c:v>
                </c:pt>
                <c:pt idx="9">
                  <c:v>696.2</c:v>
                </c:pt>
                <c:pt idx="10">
                  <c:v>769.6</c:v>
                </c:pt>
                <c:pt idx="11">
                  <c:v>815.2</c:v>
                </c:pt>
                <c:pt idx="12">
                  <c:v>741.5</c:v>
                </c:pt>
                <c:pt idx="13">
                  <c:v>871.3</c:v>
                </c:pt>
                <c:pt idx="14">
                  <c:v>975</c:v>
                </c:pt>
                <c:pt idx="15">
                  <c:v>1034.5000000000002</c:v>
                </c:pt>
                <c:pt idx="16">
                  <c:v>921.3</c:v>
                </c:pt>
                <c:pt idx="17">
                  <c:v>1004.3</c:v>
                </c:pt>
                <c:pt idx="18">
                  <c:v>994.19999999999993</c:v>
                </c:pt>
                <c:pt idx="19">
                  <c:v>1113.2</c:v>
                </c:pt>
                <c:pt idx="20">
                  <c:v>1036</c:v>
                </c:pt>
                <c:pt idx="21">
                  <c:v>1157.0999999999999</c:v>
                </c:pt>
                <c:pt idx="22">
                  <c:v>1209.3</c:v>
                </c:pt>
                <c:pt idx="23">
                  <c:v>1259.5999999999999</c:v>
                </c:pt>
                <c:pt idx="24">
                  <c:v>1191.8999999999999</c:v>
                </c:pt>
                <c:pt idx="25">
                  <c:v>1308.4000000000001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(DXCM)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Analysis'!$I$216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397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Analysis'!$I$218:$I$274</c:f>
              <c:numCache>
                <c:formatCode>0.00%</c:formatCode>
                <c:ptCount val="57"/>
                <c:pt idx="0">
                  <c:v>-6.9999999999999993E-2</c:v>
                </c:pt>
                <c:pt idx="1">
                  <c:v>-6.7499999999999991E-2</c:v>
                </c:pt>
                <c:pt idx="2">
                  <c:v>-6.4999999999999988E-2</c:v>
                </c:pt>
                <c:pt idx="3">
                  <c:v>-6.2499999999999986E-2</c:v>
                </c:pt>
                <c:pt idx="4">
                  <c:v>-5.9999999999999984E-2</c:v>
                </c:pt>
                <c:pt idx="5">
                  <c:v>-5.7499999999999982E-2</c:v>
                </c:pt>
                <c:pt idx="6">
                  <c:v>-5.4999999999999979E-2</c:v>
                </c:pt>
                <c:pt idx="7">
                  <c:v>-5.2499999999999977E-2</c:v>
                </c:pt>
                <c:pt idx="8">
                  <c:v>-4.9999999999999975E-2</c:v>
                </c:pt>
                <c:pt idx="9">
                  <c:v>-4.7499999999999973E-2</c:v>
                </c:pt>
                <c:pt idx="10">
                  <c:v>-4.4999999999999971E-2</c:v>
                </c:pt>
                <c:pt idx="11">
                  <c:v>-4.2499999999999968E-2</c:v>
                </c:pt>
                <c:pt idx="12">
                  <c:v>-3.9999999999999966E-2</c:v>
                </c:pt>
                <c:pt idx="13">
                  <c:v>-3.7499999999999964E-2</c:v>
                </c:pt>
                <c:pt idx="14">
                  <c:v>-3.4999999999999962E-2</c:v>
                </c:pt>
                <c:pt idx="15">
                  <c:v>-3.2499999999999959E-2</c:v>
                </c:pt>
                <c:pt idx="16">
                  <c:v>-2.9999999999999961E-2</c:v>
                </c:pt>
                <c:pt idx="17">
                  <c:v>-2.7499999999999962E-2</c:v>
                </c:pt>
                <c:pt idx="18">
                  <c:v>-2.4999999999999963E-2</c:v>
                </c:pt>
                <c:pt idx="19">
                  <c:v>-2.2499999999999964E-2</c:v>
                </c:pt>
                <c:pt idx="20">
                  <c:v>-1.9999999999999966E-2</c:v>
                </c:pt>
                <c:pt idx="21">
                  <c:v>-1.7499999999999967E-2</c:v>
                </c:pt>
                <c:pt idx="22">
                  <c:v>-1.4999999999999966E-2</c:v>
                </c:pt>
                <c:pt idx="23">
                  <c:v>-1.2499999999999966E-2</c:v>
                </c:pt>
                <c:pt idx="24">
                  <c:v>-9.9999999999999655E-3</c:v>
                </c:pt>
                <c:pt idx="25">
                  <c:v>-7.499999999999965E-3</c:v>
                </c:pt>
                <c:pt idx="26">
                  <c:v>-4.9999999999999645E-3</c:v>
                </c:pt>
                <c:pt idx="27">
                  <c:v>-2.4999999999999645E-3</c:v>
                </c:pt>
                <c:pt idx="28">
                  <c:v>3.5561831257524545E-17</c:v>
                </c:pt>
                <c:pt idx="29">
                  <c:v>2.5000000000000356E-3</c:v>
                </c:pt>
                <c:pt idx="30">
                  <c:v>5.0000000000000357E-3</c:v>
                </c:pt>
                <c:pt idx="31">
                  <c:v>7.5000000000000362E-3</c:v>
                </c:pt>
                <c:pt idx="32">
                  <c:v>1.0000000000000037E-2</c:v>
                </c:pt>
                <c:pt idx="33">
                  <c:v>1.2500000000000037E-2</c:v>
                </c:pt>
                <c:pt idx="34">
                  <c:v>1.5000000000000038E-2</c:v>
                </c:pt>
                <c:pt idx="35">
                  <c:v>1.7500000000000036E-2</c:v>
                </c:pt>
                <c:pt idx="36">
                  <c:v>2.0000000000000035E-2</c:v>
                </c:pt>
                <c:pt idx="37">
                  <c:v>2.2500000000000034E-2</c:v>
                </c:pt>
                <c:pt idx="38">
                  <c:v>2.5000000000000033E-2</c:v>
                </c:pt>
                <c:pt idx="39">
                  <c:v>2.7500000000000031E-2</c:v>
                </c:pt>
                <c:pt idx="40">
                  <c:v>3.000000000000003E-2</c:v>
                </c:pt>
                <c:pt idx="41">
                  <c:v>3.2500000000000029E-2</c:v>
                </c:pt>
                <c:pt idx="42">
                  <c:v>3.5000000000000031E-2</c:v>
                </c:pt>
                <c:pt idx="43">
                  <c:v>3.7500000000000033E-2</c:v>
                </c:pt>
                <c:pt idx="44">
                  <c:v>4.0000000000000036E-2</c:v>
                </c:pt>
                <c:pt idx="45">
                  <c:v>4.2500000000000038E-2</c:v>
                </c:pt>
                <c:pt idx="46">
                  <c:v>4.500000000000004E-2</c:v>
                </c:pt>
                <c:pt idx="47">
                  <c:v>4.7500000000000042E-2</c:v>
                </c:pt>
                <c:pt idx="48">
                  <c:v>5.0000000000000044E-2</c:v>
                </c:pt>
                <c:pt idx="49">
                  <c:v>5.2500000000000047E-2</c:v>
                </c:pt>
                <c:pt idx="50">
                  <c:v>5.5000000000000049E-2</c:v>
                </c:pt>
                <c:pt idx="51">
                  <c:v>5.7500000000000051E-2</c:v>
                </c:pt>
                <c:pt idx="52">
                  <c:v>6.0000000000000053E-2</c:v>
                </c:pt>
                <c:pt idx="53">
                  <c:v>6.2500000000000056E-2</c:v>
                </c:pt>
                <c:pt idx="54">
                  <c:v>6.5000000000000058E-2</c:v>
                </c:pt>
                <c:pt idx="55">
                  <c:v>6.750000000000006E-2</c:v>
                </c:pt>
                <c:pt idx="56">
                  <c:v>7.0000000000000062E-2</c:v>
                </c:pt>
              </c:numCache>
            </c:numRef>
          </c:xVal>
          <c:yVal>
            <c:numRef>
              <c:f>'Notes | Quant Analysis'!$J$218:$J$274</c:f>
              <c:numCache>
                <c:formatCode>General</c:formatCode>
                <c:ptCount val="57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9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13</c:v>
                </c:pt>
                <c:pt idx="15">
                  <c:v>12</c:v>
                </c:pt>
                <c:pt idx="16">
                  <c:v>17</c:v>
                </c:pt>
                <c:pt idx="17">
                  <c:v>23</c:v>
                </c:pt>
                <c:pt idx="18">
                  <c:v>29</c:v>
                </c:pt>
                <c:pt idx="19">
                  <c:v>25</c:v>
                </c:pt>
                <c:pt idx="20">
                  <c:v>28</c:v>
                </c:pt>
                <c:pt idx="21">
                  <c:v>32</c:v>
                </c:pt>
                <c:pt idx="22">
                  <c:v>49</c:v>
                </c:pt>
                <c:pt idx="23">
                  <c:v>49</c:v>
                </c:pt>
                <c:pt idx="24">
                  <c:v>57</c:v>
                </c:pt>
                <c:pt idx="25">
                  <c:v>64</c:v>
                </c:pt>
                <c:pt idx="26">
                  <c:v>44</c:v>
                </c:pt>
                <c:pt idx="27">
                  <c:v>52</c:v>
                </c:pt>
                <c:pt idx="28">
                  <c:v>64</c:v>
                </c:pt>
                <c:pt idx="29">
                  <c:v>67</c:v>
                </c:pt>
                <c:pt idx="30">
                  <c:v>62</c:v>
                </c:pt>
                <c:pt idx="31">
                  <c:v>63</c:v>
                </c:pt>
                <c:pt idx="32">
                  <c:v>60</c:v>
                </c:pt>
                <c:pt idx="33">
                  <c:v>48</c:v>
                </c:pt>
                <c:pt idx="34">
                  <c:v>55</c:v>
                </c:pt>
                <c:pt idx="35">
                  <c:v>52</c:v>
                </c:pt>
                <c:pt idx="36">
                  <c:v>35</c:v>
                </c:pt>
                <c:pt idx="37">
                  <c:v>33</c:v>
                </c:pt>
                <c:pt idx="38">
                  <c:v>27</c:v>
                </c:pt>
                <c:pt idx="39">
                  <c:v>21</c:v>
                </c:pt>
                <c:pt idx="40">
                  <c:v>19</c:v>
                </c:pt>
                <c:pt idx="41">
                  <c:v>13</c:v>
                </c:pt>
                <c:pt idx="42">
                  <c:v>9</c:v>
                </c:pt>
                <c:pt idx="43">
                  <c:v>13</c:v>
                </c:pt>
                <c:pt idx="44">
                  <c:v>7</c:v>
                </c:pt>
                <c:pt idx="45">
                  <c:v>5</c:v>
                </c:pt>
                <c:pt idx="46">
                  <c:v>6</c:v>
                </c:pt>
                <c:pt idx="47">
                  <c:v>8</c:v>
                </c:pt>
                <c:pt idx="48">
                  <c:v>4</c:v>
                </c:pt>
                <c:pt idx="49">
                  <c:v>5</c:v>
                </c:pt>
                <c:pt idx="50">
                  <c:v>2</c:v>
                </c:pt>
                <c:pt idx="51">
                  <c:v>0</c:v>
                </c:pt>
                <c:pt idx="52">
                  <c:v>2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Analysis'!$L$216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Analysis'!$L$218:$L$276</c:f>
              <c:numCache>
                <c:formatCode>0.00%</c:formatCode>
                <c:ptCount val="59"/>
                <c:pt idx="0">
                  <c:v>-7.2499999999999995E-2</c:v>
                </c:pt>
                <c:pt idx="1">
                  <c:v>-6.9999999999999993E-2</c:v>
                </c:pt>
                <c:pt idx="2">
                  <c:v>-6.7499999999999991E-2</c:v>
                </c:pt>
                <c:pt idx="3">
                  <c:v>-6.4999999999999988E-2</c:v>
                </c:pt>
                <c:pt idx="4">
                  <c:v>-6.2499999999999986E-2</c:v>
                </c:pt>
                <c:pt idx="5">
                  <c:v>-5.9999999999999984E-2</c:v>
                </c:pt>
                <c:pt idx="6">
                  <c:v>-5.7499999999999982E-2</c:v>
                </c:pt>
                <c:pt idx="7">
                  <c:v>-5.4999999999999979E-2</c:v>
                </c:pt>
                <c:pt idx="8">
                  <c:v>-5.2499999999999977E-2</c:v>
                </c:pt>
                <c:pt idx="9">
                  <c:v>-4.9999999999999975E-2</c:v>
                </c:pt>
                <c:pt idx="10">
                  <c:v>-4.7499999999999973E-2</c:v>
                </c:pt>
                <c:pt idx="11">
                  <c:v>-4.4999999999999971E-2</c:v>
                </c:pt>
                <c:pt idx="12">
                  <c:v>-4.2499999999999968E-2</c:v>
                </c:pt>
                <c:pt idx="13">
                  <c:v>-3.9999999999999966E-2</c:v>
                </c:pt>
                <c:pt idx="14">
                  <c:v>-3.7499999999999964E-2</c:v>
                </c:pt>
                <c:pt idx="15">
                  <c:v>-3.4999999999999962E-2</c:v>
                </c:pt>
                <c:pt idx="16">
                  <c:v>-3.2499999999999959E-2</c:v>
                </c:pt>
                <c:pt idx="17">
                  <c:v>-2.9999999999999961E-2</c:v>
                </c:pt>
                <c:pt idx="18">
                  <c:v>-2.7499999999999962E-2</c:v>
                </c:pt>
                <c:pt idx="19">
                  <c:v>-2.4999999999999963E-2</c:v>
                </c:pt>
                <c:pt idx="20">
                  <c:v>-2.2499999999999964E-2</c:v>
                </c:pt>
                <c:pt idx="21">
                  <c:v>-1.9999999999999966E-2</c:v>
                </c:pt>
                <c:pt idx="22">
                  <c:v>-1.7499999999999967E-2</c:v>
                </c:pt>
                <c:pt idx="23">
                  <c:v>-1.4999999999999966E-2</c:v>
                </c:pt>
                <c:pt idx="24">
                  <c:v>-1.2499999999999966E-2</c:v>
                </c:pt>
                <c:pt idx="25">
                  <c:v>-9.9999999999999655E-3</c:v>
                </c:pt>
                <c:pt idx="26">
                  <c:v>-7.499999999999965E-3</c:v>
                </c:pt>
                <c:pt idx="27">
                  <c:v>-4.9999999999999645E-3</c:v>
                </c:pt>
                <c:pt idx="28">
                  <c:v>-2.4999999999999645E-3</c:v>
                </c:pt>
                <c:pt idx="29">
                  <c:v>3.5561831257524545E-17</c:v>
                </c:pt>
                <c:pt idx="30">
                  <c:v>2.5000000000000356E-3</c:v>
                </c:pt>
                <c:pt idx="31">
                  <c:v>5.0000000000000357E-3</c:v>
                </c:pt>
                <c:pt idx="32">
                  <c:v>7.5000000000000362E-3</c:v>
                </c:pt>
                <c:pt idx="33">
                  <c:v>1.0000000000000037E-2</c:v>
                </c:pt>
                <c:pt idx="34">
                  <c:v>1.2500000000000037E-2</c:v>
                </c:pt>
                <c:pt idx="35">
                  <c:v>1.5000000000000038E-2</c:v>
                </c:pt>
                <c:pt idx="36">
                  <c:v>1.7500000000000036E-2</c:v>
                </c:pt>
                <c:pt idx="37">
                  <c:v>2.0000000000000035E-2</c:v>
                </c:pt>
                <c:pt idx="38">
                  <c:v>2.2500000000000034E-2</c:v>
                </c:pt>
                <c:pt idx="39">
                  <c:v>2.5000000000000033E-2</c:v>
                </c:pt>
                <c:pt idx="40">
                  <c:v>2.7500000000000031E-2</c:v>
                </c:pt>
                <c:pt idx="41">
                  <c:v>3.000000000000003E-2</c:v>
                </c:pt>
                <c:pt idx="42">
                  <c:v>3.2500000000000029E-2</c:v>
                </c:pt>
                <c:pt idx="43">
                  <c:v>3.5000000000000031E-2</c:v>
                </c:pt>
                <c:pt idx="44">
                  <c:v>3.7500000000000033E-2</c:v>
                </c:pt>
                <c:pt idx="45">
                  <c:v>4.0000000000000036E-2</c:v>
                </c:pt>
                <c:pt idx="46">
                  <c:v>4.2500000000000038E-2</c:v>
                </c:pt>
                <c:pt idx="47">
                  <c:v>4.500000000000004E-2</c:v>
                </c:pt>
                <c:pt idx="48">
                  <c:v>4.7500000000000042E-2</c:v>
                </c:pt>
                <c:pt idx="49">
                  <c:v>5.0000000000000044E-2</c:v>
                </c:pt>
                <c:pt idx="50">
                  <c:v>5.2500000000000047E-2</c:v>
                </c:pt>
                <c:pt idx="51">
                  <c:v>5.5000000000000049E-2</c:v>
                </c:pt>
                <c:pt idx="52">
                  <c:v>5.7500000000000051E-2</c:v>
                </c:pt>
                <c:pt idx="53">
                  <c:v>6.0000000000000053E-2</c:v>
                </c:pt>
                <c:pt idx="54">
                  <c:v>6.2500000000000056E-2</c:v>
                </c:pt>
                <c:pt idx="55">
                  <c:v>6.5000000000000058E-2</c:v>
                </c:pt>
                <c:pt idx="56">
                  <c:v>6.750000000000006E-2</c:v>
                </c:pt>
                <c:pt idx="57">
                  <c:v>7.0000000000000062E-2</c:v>
                </c:pt>
                <c:pt idx="58">
                  <c:v>7.2500000000000064E-2</c:v>
                </c:pt>
              </c:numCache>
            </c:numRef>
          </c:xVal>
          <c:yVal>
            <c:numRef>
              <c:f>'Notes | Quant Analysis'!$M$218:$M$276</c:f>
              <c:numCache>
                <c:formatCode>General</c:formatCode>
                <c:ptCount val="59"/>
                <c:pt idx="0">
                  <c:v>0.13621792461371246</c:v>
                </c:pt>
                <c:pt idx="1">
                  <c:v>0.18906588154133219</c:v>
                </c:pt>
                <c:pt idx="2">
                  <c:v>0.25941364978817766</c:v>
                </c:pt>
                <c:pt idx="3">
                  <c:v>0.35186270671947445</c:v>
                </c:pt>
                <c:pt idx="4">
                  <c:v>0.4717961684986568</c:v>
                </c:pt>
                <c:pt idx="5">
                  <c:v>0.62536897997425844</c:v>
                </c:pt>
                <c:pt idx="6">
                  <c:v>0.81944350263058863</c:v>
                </c:pt>
                <c:pt idx="7">
                  <c:v>1.0614571140326186</c:v>
                </c:pt>
                <c:pt idx="8">
                  <c:v>1.3592102574303619</c:v>
                </c:pt>
                <c:pt idx="9">
                  <c:v>1.7205670030363061</c:v>
                </c:pt>
                <c:pt idx="10">
                  <c:v>2.1530657448408568</c:v>
                </c:pt>
                <c:pt idx="11">
                  <c:v>2.6634450932020912</c:v>
                </c:pt>
                <c:pt idx="12">
                  <c:v>3.2570990082065854</c:v>
                </c:pt>
                <c:pt idx="13">
                  <c:v>3.9374851379970268</c:v>
                </c:pt>
                <c:pt idx="14">
                  <c:v>4.7055202857109792</c:v>
                </c:pt>
                <c:pt idx="15">
                  <c:v>5.5590058067186172</c:v>
                </c:pt>
                <c:pt idx="16">
                  <c:v>6.4921322855796326</c:v>
                </c:pt>
                <c:pt idx="17">
                  <c:v>7.4951158261769901</c:v>
                </c:pt>
                <c:pt idx="18">
                  <c:v>8.5540166628440524</c:v>
                </c:pt>
                <c:pt idx="19">
                  <c:v>9.6507838859263657</c:v>
                </c:pt>
                <c:pt idx="20">
                  <c:v>10.763557719973852</c:v>
                </c:pt>
                <c:pt idx="21">
                  <c:v>11.867243482811697</c:v>
                </c:pt>
                <c:pt idx="22">
                  <c:v>12.934350250362211</c:v>
                </c:pt>
                <c:pt idx="23">
                  <c:v>13.93606413623632</c:v>
                </c:pt>
                <c:pt idx="24">
                  <c:v>14.843503214957062</c:v>
                </c:pt>
                <c:pt idx="25">
                  <c:v>15.629080949923319</c:v>
                </c:pt>
                <c:pt idx="26">
                  <c:v>16.26788993866894</c:v>
                </c:pt>
                <c:pt idx="27">
                  <c:v>16.739009876745989</c:v>
                </c:pt>
                <c:pt idx="28">
                  <c:v>17.026644204741345</c:v>
                </c:pt>
                <c:pt idx="29">
                  <c:v>17.120999377149889</c:v>
                </c:pt>
                <c:pt idx="30">
                  <c:v>17.018838505039128</c:v>
                </c:pt>
                <c:pt idx="31">
                  <c:v>16.723665721666723</c:v>
                </c:pt>
                <c:pt idx="32">
                  <c:v>16.245526625516831</c:v>
                </c:pt>
                <c:pt idx="33">
                  <c:v>15.600440650654669</c:v>
                </c:pt>
                <c:pt idx="34">
                  <c:v>14.809510097306466</c:v>
                </c:pt>
                <c:pt idx="35">
                  <c:v>13.89777492332599</c:v>
                </c:pt>
                <c:pt idx="36">
                  <c:v>12.892899901812658</c:v>
                </c:pt>
                <c:pt idx="37">
                  <c:v>11.823789873543076</c:v>
                </c:pt>
                <c:pt idx="38">
                  <c:v>10.719229033644687</c:v>
                </c:pt>
                <c:pt idx="39">
                  <c:v>9.6066319654774261</c:v>
                </c:pt>
                <c:pt idx="40">
                  <c:v>8.5109788400268602</c:v>
                </c:pt>
                <c:pt idx="41">
                  <c:v>7.4539868757812568</c:v>
                </c:pt>
                <c:pt idx="42">
                  <c:v>6.4535472177573086</c:v>
                </c:pt>
                <c:pt idx="43">
                  <c:v>5.5234333180809294</c:v>
                </c:pt>
                <c:pt idx="44">
                  <c:v>4.6732659179436729</c:v>
                </c:pt>
                <c:pt idx="45">
                  <c:v>3.9087026003934553</c:v>
                </c:pt>
                <c:pt idx="46">
                  <c:v>3.2318077400750971</c:v>
                </c:pt>
                <c:pt idx="47">
                  <c:v>2.6415519791835598</c:v>
                </c:pt>
                <c:pt idx="48">
                  <c:v>2.1343889328600798</c:v>
                </c:pt>
                <c:pt idx="49">
                  <c:v>1.704859975093143</c:v>
                </c:pt>
                <c:pt idx="50">
                  <c:v>1.3461846209677564</c:v>
                </c:pt>
                <c:pt idx="51">
                  <c:v>1.0508029656816811</c:v>
                </c:pt>
                <c:pt idx="52">
                  <c:v>0.8108466187988862</c:v>
                </c:pt>
                <c:pt idx="53">
                  <c:v>0.61852446953753948</c:v>
                </c:pt>
                <c:pt idx="54">
                  <c:v>0.46641855177205177</c:v>
                </c:pt>
                <c:pt idx="55">
                  <c:v>0.34769264351960805</c:v>
                </c:pt>
                <c:pt idx="56">
                  <c:v>0.2562217204554228</c:v>
                </c:pt>
                <c:pt idx="57">
                  <c:v>0.18665393036520272</c:v>
                </c:pt>
                <c:pt idx="58">
                  <c:v>0.1344185142431647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Analysis'!$O$218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2867662652938527E-2"/>
                  <c:y val="-2.71032692224752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31312918203788"/>
                      <c:h val="7.74483890400384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Analysis'!$P$218:$P$219</c:f>
              <c:numCache>
                <c:formatCode>0.00%</c:formatCode>
                <c:ptCount val="2"/>
                <c:pt idx="0">
                  <c:v>-4.979345568676913E-5</c:v>
                </c:pt>
                <c:pt idx="1">
                  <c:v>-4.979345568676913E-5</c:v>
                </c:pt>
              </c:numCache>
            </c:numRef>
          </c:xVal>
          <c:yVal>
            <c:numRef>
              <c:f>'Notes | Quant Analysis'!$Q$218:$Q$219</c:f>
              <c:numCache>
                <c:formatCode>General</c:formatCode>
                <c:ptCount val="2"/>
                <c:pt idx="0">
                  <c:v>0</c:v>
                </c:pt>
                <c:pt idx="1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Analysis'!$O$220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4.0879211921868643E-2"/>
                  <c:y val="-6.47146612670208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Analysis'!$P$220:$P$221</c:f>
              <c:numCache>
                <c:formatCode>0.00%</c:formatCode>
                <c:ptCount val="2"/>
                <c:pt idx="0">
                  <c:v>-6.9953663094431281E-2</c:v>
                </c:pt>
                <c:pt idx="1">
                  <c:v>-6.9953663094431281E-2</c:v>
                </c:pt>
              </c:numCache>
            </c:numRef>
          </c:xVal>
          <c:yVal>
            <c:numRef>
              <c:f>'Notes | Quant Analysis'!$Q$220:$Q$221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Analysis'!$O$222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5.978507318246902E-2"/>
                  <c:y val="-9.14924770060904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Analysis'!$P$222:$P$223</c:f>
              <c:numCache>
                <c:formatCode>0.00%</c:formatCode>
                <c:ptCount val="2"/>
                <c:pt idx="0">
                  <c:v>-4.6652373214849774E-2</c:v>
                </c:pt>
                <c:pt idx="1">
                  <c:v>-4.6652373214849774E-2</c:v>
                </c:pt>
              </c:numCache>
            </c:numRef>
          </c:xVal>
          <c:yVal>
            <c:numRef>
              <c:f>'Notes | Quant Analysis'!$Q$222:$Q$223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Analysis'!$O$224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5.5106417319386369E-2"/>
                  <c:y val="-3.75313950814489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Analysis'!$P$224:$P$225</c:f>
              <c:numCache>
                <c:formatCode>0.00%</c:formatCode>
                <c:ptCount val="2"/>
                <c:pt idx="0">
                  <c:v>-2.335108333526827E-2</c:v>
                </c:pt>
                <c:pt idx="1">
                  <c:v>-2.335108333526827E-2</c:v>
                </c:pt>
              </c:numCache>
            </c:numRef>
          </c:xVal>
          <c:yVal>
            <c:numRef>
              <c:f>'Notes | Quant Analysis'!$Q$224:$Q$225</c:f>
              <c:numCache>
                <c:formatCode>General</c:formatCode>
                <c:ptCount val="2"/>
                <c:pt idx="0">
                  <c:v>0</c:v>
                </c:pt>
                <c:pt idx="1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Analysis'!$O$226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758155576459E-2"/>
                  <c:y val="-3.7531395081448926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Analysis'!$P$226:$P$227</c:f>
              <c:numCache>
                <c:formatCode>0.00%</c:formatCode>
                <c:ptCount val="2"/>
                <c:pt idx="0">
                  <c:v>2.3251496423894732E-2</c:v>
                </c:pt>
                <c:pt idx="1">
                  <c:v>2.3251496423894732E-2</c:v>
                </c:pt>
              </c:numCache>
            </c:numRef>
          </c:xVal>
          <c:yVal>
            <c:numRef>
              <c:f>'Notes | Quant Analysis'!$Q$226:$Q$227</c:f>
              <c:numCache>
                <c:formatCode>General</c:formatCode>
                <c:ptCount val="2"/>
                <c:pt idx="0">
                  <c:v>0</c:v>
                </c:pt>
                <c:pt idx="1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Analysis'!$O$228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4.3627001869829381E-2"/>
                  <c:y val="-8.9115424388361009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Analysis'!$P$228:$P$229</c:f>
              <c:numCache>
                <c:formatCode>0.00%</c:formatCode>
                <c:ptCount val="2"/>
                <c:pt idx="0">
                  <c:v>4.6552786303476229E-2</c:v>
                </c:pt>
                <c:pt idx="1">
                  <c:v>4.6552786303476229E-2</c:v>
                </c:pt>
              </c:numCache>
            </c:numRef>
          </c:xVal>
          <c:yVal>
            <c:numRef>
              <c:f>'Notes | Quant Analysis'!$Q$228:$Q$229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Analysis'!$O$230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3.7263937096531641E-2"/>
                  <c:y val="-6.451968730230564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Analysis'!$P$230:$P$231</c:f>
              <c:numCache>
                <c:formatCode>0.00%</c:formatCode>
                <c:ptCount val="2"/>
                <c:pt idx="0">
                  <c:v>6.9854076183057737E-2</c:v>
                </c:pt>
                <c:pt idx="1">
                  <c:v>6.9854076183057737E-2</c:v>
                </c:pt>
              </c:numCache>
            </c:numRef>
          </c:xVal>
          <c:yVal>
            <c:numRef>
              <c:f>'Notes | Quant Analysis'!$Q$230:$Q$231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8.0000000000000016E-2"/>
          <c:min val="-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(DXCM)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Model!$BS$35:$CG$35</c:f>
              <c:numCache>
                <c:formatCode>0.0</c:formatCode>
                <c:ptCount val="15"/>
                <c:pt idx="0">
                  <c:v>-44.599999999999994</c:v>
                </c:pt>
                <c:pt idx="1">
                  <c:v>-54.499999999999993</c:v>
                </c:pt>
                <c:pt idx="2">
                  <c:v>-29.800000000000004</c:v>
                </c:pt>
                <c:pt idx="3">
                  <c:v>-22.300000000000008</c:v>
                </c:pt>
                <c:pt idx="4">
                  <c:v>-57.499999999999972</c:v>
                </c:pt>
                <c:pt idx="5">
                  <c:v>-65.600000000000009</c:v>
                </c:pt>
                <c:pt idx="6">
                  <c:v>-50.199999999999982</c:v>
                </c:pt>
                <c:pt idx="7">
                  <c:v>-127.09999999999998</c:v>
                </c:pt>
                <c:pt idx="8">
                  <c:v>101.09999999999998</c:v>
                </c:pt>
                <c:pt idx="9">
                  <c:v>552.19999999999982</c:v>
                </c:pt>
                <c:pt idx="10">
                  <c:v>216.90000000000012</c:v>
                </c:pt>
                <c:pt idx="11">
                  <c:v>341.20000000000022</c:v>
                </c:pt>
                <c:pt idx="12">
                  <c:v>541.50000000000023</c:v>
                </c:pt>
                <c:pt idx="13">
                  <c:v>576.19999999999993</c:v>
                </c:pt>
                <c:pt idx="14">
                  <c:v>836.29999999999973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Model!$BS$83:$CG$83</c:f>
              <c:numCache>
                <c:formatCode>0.0</c:formatCode>
                <c:ptCount val="15"/>
                <c:pt idx="0">
                  <c:v>-37.950000000000003</c:v>
                </c:pt>
                <c:pt idx="1">
                  <c:v>-42.6</c:v>
                </c:pt>
                <c:pt idx="2">
                  <c:v>-5.4999999999999991</c:v>
                </c:pt>
                <c:pt idx="3">
                  <c:v>7.4000000000000012</c:v>
                </c:pt>
                <c:pt idx="4">
                  <c:v>15.699999999999998</c:v>
                </c:pt>
                <c:pt idx="5">
                  <c:v>0.5</c:v>
                </c:pt>
                <c:pt idx="6">
                  <c:v>26.000000000000007</c:v>
                </c:pt>
                <c:pt idx="7">
                  <c:v>56.099999999999994</c:v>
                </c:pt>
                <c:pt idx="8">
                  <c:v>130.30000000000001</c:v>
                </c:pt>
                <c:pt idx="9">
                  <c:v>276.59999999999997</c:v>
                </c:pt>
                <c:pt idx="10">
                  <c:v>53.300000000000011</c:v>
                </c:pt>
                <c:pt idx="11">
                  <c:v>304.70000000000005</c:v>
                </c:pt>
                <c:pt idx="12">
                  <c:v>511.9</c:v>
                </c:pt>
                <c:pt idx="13">
                  <c:v>634.29999999999995</c:v>
                </c:pt>
                <c:pt idx="14">
                  <c:v>1077.2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strRef>
              <c:f>Model!$B$26</c:f>
              <c:strCache>
                <c:ptCount val="1"/>
                <c:pt idx="0">
                  <c:v>Revenues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Model!$BS$3:$CG$3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Model!$BS$26:$CG$26</c:f>
              <c:numCache>
                <c:formatCode>0.0</c:formatCode>
                <c:ptCount val="15"/>
                <c:pt idx="0">
                  <c:v>76.399999999999991</c:v>
                </c:pt>
                <c:pt idx="1">
                  <c:v>99.899999999999991</c:v>
                </c:pt>
                <c:pt idx="2">
                  <c:v>160</c:v>
                </c:pt>
                <c:pt idx="3">
                  <c:v>259.2</c:v>
                </c:pt>
                <c:pt idx="4">
                  <c:v>402</c:v>
                </c:pt>
                <c:pt idx="5">
                  <c:v>573.29999999999995</c:v>
                </c:pt>
                <c:pt idx="6">
                  <c:v>718.5</c:v>
                </c:pt>
                <c:pt idx="7">
                  <c:v>1031.5999999999999</c:v>
                </c:pt>
                <c:pt idx="8">
                  <c:v>1476</c:v>
                </c:pt>
                <c:pt idx="9">
                  <c:v>1926.6999999999998</c:v>
                </c:pt>
                <c:pt idx="10">
                  <c:v>2448.5</c:v>
                </c:pt>
                <c:pt idx="11">
                  <c:v>2909.8</c:v>
                </c:pt>
                <c:pt idx="12">
                  <c:v>3622.3</c:v>
                </c:pt>
                <c:pt idx="13">
                  <c:v>4033</c:v>
                </c:pt>
                <c:pt idx="14">
                  <c:v>4662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0" Type="http://schemas.openxmlformats.org/officeDocument/2006/relationships/image" Target="../media/image7.png"/><Relationship Id="rId4" Type="http://schemas.openxmlformats.org/officeDocument/2006/relationships/chart" Target="../charts/chart4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</xdr:row>
      <xdr:rowOff>9524</xdr:rowOff>
    </xdr:from>
    <xdr:to>
      <xdr:col>8</xdr:col>
      <xdr:colOff>1</xdr:colOff>
      <xdr:row>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53426-7860-02AC-B0FB-2B1CED8D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0" y="380999"/>
          <a:ext cx="1819276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1</xdr:colOff>
      <xdr:row>0</xdr:row>
      <xdr:rowOff>0</xdr:rowOff>
    </xdr:from>
    <xdr:to>
      <xdr:col>64</xdr:col>
      <xdr:colOff>1</xdr:colOff>
      <xdr:row>108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0161883" y="0"/>
          <a:ext cx="0" cy="195161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0</xdr:colOff>
      <xdr:row>0</xdr:row>
      <xdr:rowOff>0</xdr:rowOff>
    </xdr:from>
    <xdr:to>
      <xdr:col>85</xdr:col>
      <xdr:colOff>0</xdr:colOff>
      <xdr:row>107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75</xdr:row>
      <xdr:rowOff>190499</xdr:rowOff>
    </xdr:from>
    <xdr:to>
      <xdr:col>23</xdr:col>
      <xdr:colOff>0</xdr:colOff>
      <xdr:row>106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112</xdr:row>
      <xdr:rowOff>0</xdr:rowOff>
    </xdr:from>
    <xdr:to>
      <xdr:col>23</xdr:col>
      <xdr:colOff>0</xdr:colOff>
      <xdr:row>140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177</xdr:row>
      <xdr:rowOff>0</xdr:rowOff>
    </xdr:from>
    <xdr:to>
      <xdr:col>23</xdr:col>
      <xdr:colOff>0</xdr:colOff>
      <xdr:row>205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145</xdr:row>
      <xdr:rowOff>0</xdr:rowOff>
    </xdr:from>
    <xdr:to>
      <xdr:col>23</xdr:col>
      <xdr:colOff>0</xdr:colOff>
      <xdr:row>173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11206</xdr:colOff>
      <xdr:row>2</xdr:row>
      <xdr:rowOff>11206</xdr:rowOff>
    </xdr:from>
    <xdr:to>
      <xdr:col>19</xdr:col>
      <xdr:colOff>0</xdr:colOff>
      <xdr:row>32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C553F0-7C24-5B37-615E-0BE6E91F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118" y="381000"/>
          <a:ext cx="6645088" cy="5367618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2</xdr:row>
      <xdr:rowOff>11206</xdr:rowOff>
    </xdr:from>
    <xdr:to>
      <xdr:col>30</xdr:col>
      <xdr:colOff>1</xdr:colOff>
      <xdr:row>32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E06C6F-B36B-ECFC-2FAB-21098A29A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69207" y="381000"/>
          <a:ext cx="6656294" cy="5367618"/>
        </a:xfrm>
        <a:prstGeom prst="rect">
          <a:avLst/>
        </a:prstGeom>
      </xdr:spPr>
    </xdr:pic>
    <xdr:clientData/>
  </xdr:twoCellAnchor>
  <xdr:twoCellAnchor editAs="oneCell">
    <xdr:from>
      <xdr:col>8</xdr:col>
      <xdr:colOff>11206</xdr:colOff>
      <xdr:row>36</xdr:row>
      <xdr:rowOff>190499</xdr:rowOff>
    </xdr:from>
    <xdr:to>
      <xdr:col>18</xdr:col>
      <xdr:colOff>0</xdr:colOff>
      <xdr:row>65</xdr:row>
      <xdr:rowOff>33617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21F429-0A9C-367A-D938-AC650F03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118" y="6656293"/>
          <a:ext cx="6039970" cy="5053853"/>
        </a:xfrm>
        <a:prstGeom prst="rect">
          <a:avLst/>
        </a:prstGeom>
      </xdr:spPr>
    </xdr:pic>
    <xdr:clientData/>
  </xdr:twoCellAnchor>
  <xdr:twoCellAnchor editAs="oneCell">
    <xdr:from>
      <xdr:col>31</xdr:col>
      <xdr:colOff>11206</xdr:colOff>
      <xdr:row>37</xdr:row>
      <xdr:rowOff>11206</xdr:rowOff>
    </xdr:from>
    <xdr:to>
      <xdr:col>41</xdr:col>
      <xdr:colOff>11206</xdr:colOff>
      <xdr:row>61</xdr:row>
      <xdr:rowOff>11206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852D6C-A1F1-A633-D1CD-A09E5A2DD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27206" y="6678706"/>
          <a:ext cx="6051176" cy="4303059"/>
        </a:xfrm>
        <a:prstGeom prst="rect">
          <a:avLst/>
        </a:prstGeom>
      </xdr:spPr>
    </xdr:pic>
    <xdr:clientData/>
  </xdr:twoCellAnchor>
  <xdr:twoCellAnchor editAs="oneCell">
    <xdr:from>
      <xdr:col>31</xdr:col>
      <xdr:colOff>11206</xdr:colOff>
      <xdr:row>76</xdr:row>
      <xdr:rowOff>11205</xdr:rowOff>
    </xdr:from>
    <xdr:to>
      <xdr:col>41</xdr:col>
      <xdr:colOff>11206</xdr:colOff>
      <xdr:row>100</xdr:row>
      <xdr:rowOff>179293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D554E4-4869-B09B-CC8E-BF045785A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27206" y="13682381"/>
          <a:ext cx="6051176" cy="4471147"/>
        </a:xfrm>
        <a:prstGeom prst="rect">
          <a:avLst/>
        </a:prstGeom>
      </xdr:spPr>
    </xdr:pic>
    <xdr:clientData/>
  </xdr:twoCellAnchor>
  <xdr:twoCellAnchor editAs="oneCell">
    <xdr:from>
      <xdr:col>40</xdr:col>
      <xdr:colOff>605116</xdr:colOff>
      <xdr:row>76</xdr:row>
      <xdr:rowOff>11206</xdr:rowOff>
    </xdr:from>
    <xdr:to>
      <xdr:col>51</xdr:col>
      <xdr:colOff>44823</xdr:colOff>
      <xdr:row>101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34816B-506B-AC09-4016-E1796C288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1250"/>
        <a:stretch>
          <a:fillRect/>
        </a:stretch>
      </xdr:blipFill>
      <xdr:spPr>
        <a:xfrm>
          <a:off x="19767175" y="13682382"/>
          <a:ext cx="6096001" cy="4471147"/>
        </a:xfrm>
        <a:prstGeom prst="rect">
          <a:avLst/>
        </a:prstGeom>
      </xdr:spPr>
    </xdr:pic>
    <xdr:clientData/>
  </xdr:twoCellAnchor>
  <xdr:twoCellAnchor editAs="oneCell">
    <xdr:from>
      <xdr:col>51</xdr:col>
      <xdr:colOff>11206</xdr:colOff>
      <xdr:row>76</xdr:row>
      <xdr:rowOff>11206</xdr:rowOff>
    </xdr:from>
    <xdr:to>
      <xdr:col>61</xdr:col>
      <xdr:colOff>110640</xdr:colOff>
      <xdr:row>101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9FDF6F-F7FB-0006-FFC0-EA8301154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829559" y="13682382"/>
          <a:ext cx="6150610" cy="4471148"/>
        </a:xfrm>
        <a:prstGeom prst="rect">
          <a:avLst/>
        </a:prstGeom>
      </xdr:spPr>
    </xdr:pic>
    <xdr:clientData/>
  </xdr:twoCellAnchor>
  <xdr:twoCellAnchor editAs="oneCell">
    <xdr:from>
      <xdr:col>31</xdr:col>
      <xdr:colOff>11205</xdr:colOff>
      <xdr:row>145</xdr:row>
      <xdr:rowOff>11205</xdr:rowOff>
    </xdr:from>
    <xdr:to>
      <xdr:col>42</xdr:col>
      <xdr:colOff>599096</xdr:colOff>
      <xdr:row>171</xdr:row>
      <xdr:rowOff>179293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B597C69-10A6-4D4A-479D-B3C2543E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27205" y="26076087"/>
          <a:ext cx="7244185" cy="4840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rlz=1C1VDKB_enUS1035US1035&amp;cs=0&amp;sca_esv=ddc44fe0ec2836f6&amp;sxsrf=AE3TifP8mavUhHFrOAMq84d9lg_Stz525Q%3A1757749316303&amp;q=IR%40dexcom.com&amp;sa=X&amp;ved=2ahUKEwjU6Oa8ntWPAxX2SjABHa6pDLUQxccNegQIAxAB&amp;mstk=AUtExfCz3ackmFM4gH95cV6-FprFck9lXbLvtQfJ2qXHQ11nQWgQsuZLtiLaCbohmoXcPZlusLr1aVTi3vFYt1ApN5Cph5XFS1FiKF9Wvi2uZ9BjyvnujAJUYoQ5izZIOa2aEu-G4GedzEkIu9FFie8npabxLRhMiQi1qZTWMOnmy9GYMYldmU0VO6iCWnpZ3rMSI_cVJhPa9wEUWXnTcyjxsVCgdTgO1ACExbfRT3YvfNeXOVVf46lOcVh4trJlTMQfSzG0JRG2AmTPuKsXGPal2B7_&amp;csui=3" TargetMode="External"/><Relationship Id="rId2" Type="http://schemas.openxmlformats.org/officeDocument/2006/relationships/hyperlink" Target="https://www.sec.gov/edgar/browse/?CIK=310764&amp;owner=exclude" TargetMode="External"/><Relationship Id="rId1" Type="http://schemas.openxmlformats.org/officeDocument/2006/relationships/hyperlink" Target="000%20Med-Devices%20Master%20List%20000.xlsx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workbookViewId="0">
      <selection activeCell="C4" sqref="C4"/>
    </sheetView>
  </sheetViews>
  <sheetFormatPr defaultColWidth="9.140625" defaultRowHeight="14.25"/>
  <cols>
    <col min="1" max="1" width="3" style="1" customWidth="1"/>
    <col min="2" max="2" width="9.140625" style="1" customWidth="1"/>
    <col min="3" max="3" width="11.28515625" style="1" customWidth="1"/>
    <col min="4" max="4" width="9.140625" style="1" customWidth="1"/>
    <col min="5" max="16384" width="9.140625" style="1"/>
  </cols>
  <sheetData>
    <row r="1" spans="1:17">
      <c r="A1" s="39" t="s">
        <v>0</v>
      </c>
    </row>
    <row r="2" spans="1:17" ht="15">
      <c r="B2" s="2" t="s">
        <v>123</v>
      </c>
    </row>
    <row r="3" spans="1:17">
      <c r="B3" s="1" t="s">
        <v>1</v>
      </c>
      <c r="C3" s="46">
        <v>78.3</v>
      </c>
      <c r="D3" s="37" t="s">
        <v>1481</v>
      </c>
    </row>
    <row r="4" spans="1:17">
      <c r="B4" s="1" t="s">
        <v>2</v>
      </c>
      <c r="C4" s="38">
        <v>382.2</v>
      </c>
      <c r="D4" s="1" t="s">
        <v>1480</v>
      </c>
    </row>
    <row r="5" spans="1:17">
      <c r="B5" s="1" t="s">
        <v>3</v>
      </c>
      <c r="C5" s="47">
        <f>C3*C4</f>
        <v>29926.26</v>
      </c>
    </row>
    <row r="6" spans="1:17">
      <c r="B6" s="1" t="s">
        <v>4</v>
      </c>
      <c r="C6" s="47">
        <f>1105+842</f>
        <v>1947</v>
      </c>
      <c r="D6" s="1" t="s">
        <v>1480</v>
      </c>
    </row>
    <row r="7" spans="1:17">
      <c r="B7" s="1" t="s">
        <v>5</v>
      </c>
      <c r="C7" s="47">
        <f>82.6</f>
        <v>82.6</v>
      </c>
      <c r="D7" s="1" t="s">
        <v>1480</v>
      </c>
    </row>
    <row r="8" spans="1:17">
      <c r="B8" s="1" t="s">
        <v>6</v>
      </c>
      <c r="C8" s="47">
        <f>C5-C6+C7</f>
        <v>28061.859999999997</v>
      </c>
    </row>
    <row r="10" spans="1:17" ht="15">
      <c r="B10" s="2" t="s">
        <v>124</v>
      </c>
      <c r="Q10" s="2"/>
    </row>
    <row r="11" spans="1:17">
      <c r="Q11" s="39"/>
    </row>
    <row r="12" spans="1:17" ht="15">
      <c r="B12" s="1" t="s">
        <v>135</v>
      </c>
      <c r="M12" s="1" t="s">
        <v>103</v>
      </c>
      <c r="P12" s="2"/>
    </row>
    <row r="13" spans="1:17">
      <c r="B13" s="1" t="s">
        <v>126</v>
      </c>
      <c r="M13" s="1" t="s">
        <v>8</v>
      </c>
      <c r="P13" s="39" t="s">
        <v>96</v>
      </c>
    </row>
    <row r="14" spans="1:17">
      <c r="B14" s="1" t="s">
        <v>127</v>
      </c>
      <c r="F14" s="1" t="s">
        <v>125</v>
      </c>
      <c r="M14" s="1" t="s">
        <v>108</v>
      </c>
      <c r="P14" s="39" t="s">
        <v>129</v>
      </c>
    </row>
    <row r="15" spans="1:17">
      <c r="B15" s="1" t="s">
        <v>136</v>
      </c>
      <c r="F15" s="1" t="s">
        <v>128</v>
      </c>
      <c r="N15" s="1" t="s">
        <v>107</v>
      </c>
      <c r="Q15" s="39" t="s">
        <v>130</v>
      </c>
    </row>
    <row r="16" spans="1:17">
      <c r="B16" s="1" t="s">
        <v>137</v>
      </c>
      <c r="F16" s="1" t="s">
        <v>7</v>
      </c>
      <c r="M16" s="1" t="s">
        <v>97</v>
      </c>
      <c r="P16" s="39" t="s">
        <v>131</v>
      </c>
    </row>
    <row r="17" spans="1:18">
      <c r="B17" s="1" t="s">
        <v>138</v>
      </c>
      <c r="F17" s="1" t="s">
        <v>100</v>
      </c>
      <c r="M17" s="1" t="s">
        <v>98</v>
      </c>
      <c r="P17" s="39" t="s">
        <v>132</v>
      </c>
    </row>
    <row r="18" spans="1:18">
      <c r="B18" s="1" t="s">
        <v>139</v>
      </c>
      <c r="F18" s="1" t="s">
        <v>93</v>
      </c>
      <c r="G18" s="1" t="s">
        <v>143</v>
      </c>
      <c r="I18" s="1" t="s">
        <v>94</v>
      </c>
      <c r="J18" s="39" t="s">
        <v>142</v>
      </c>
      <c r="M18" s="1" t="s">
        <v>109</v>
      </c>
      <c r="P18" s="39" t="s">
        <v>133</v>
      </c>
    </row>
    <row r="19" spans="1:18">
      <c r="B19" s="1" t="s">
        <v>140</v>
      </c>
      <c r="M19" s="1" t="s">
        <v>110</v>
      </c>
      <c r="P19" s="39" t="s">
        <v>134</v>
      </c>
    </row>
    <row r="20" spans="1:18">
      <c r="B20" s="1" t="s">
        <v>141</v>
      </c>
      <c r="M20" s="1" t="s">
        <v>9</v>
      </c>
      <c r="P20" s="39" t="s">
        <v>99</v>
      </c>
    </row>
    <row r="21" spans="1:18" ht="15">
      <c r="R21" s="2"/>
    </row>
    <row r="22" spans="1:18" ht="15">
      <c r="A22" s="2" t="s">
        <v>10</v>
      </c>
    </row>
    <row r="23" spans="1:18">
      <c r="B23" s="1" t="s">
        <v>144</v>
      </c>
    </row>
    <row r="24" spans="1:18">
      <c r="B24" s="1" t="s">
        <v>154</v>
      </c>
    </row>
    <row r="25" spans="1:18">
      <c r="B25" s="1" t="s">
        <v>145</v>
      </c>
    </row>
    <row r="26" spans="1:18">
      <c r="C26" s="1" t="s">
        <v>146</v>
      </c>
    </row>
    <row r="27" spans="1:18">
      <c r="C27" s="1" t="s">
        <v>147</v>
      </c>
    </row>
    <row r="28" spans="1:18">
      <c r="C28" s="1" t="s">
        <v>148</v>
      </c>
    </row>
    <row r="29" spans="1:18">
      <c r="C29" s="1" t="s">
        <v>149</v>
      </c>
    </row>
    <row r="30" spans="1:18">
      <c r="D30" s="1" t="s">
        <v>150</v>
      </c>
    </row>
    <row r="31" spans="1:18">
      <c r="D31" s="1" t="s">
        <v>151</v>
      </c>
    </row>
    <row r="32" spans="1:18">
      <c r="D32" s="1" t="s">
        <v>152</v>
      </c>
    </row>
    <row r="33" spans="1:3">
      <c r="B33" s="1" t="s">
        <v>155</v>
      </c>
    </row>
    <row r="34" spans="1:3">
      <c r="C34" s="1" t="s">
        <v>1463</v>
      </c>
    </row>
    <row r="35" spans="1:3">
      <c r="B35" s="1" t="s">
        <v>153</v>
      </c>
    </row>
    <row r="36" spans="1:3">
      <c r="B36" s="1" t="s">
        <v>156</v>
      </c>
    </row>
    <row r="38" spans="1:3" ht="15">
      <c r="A38" s="2" t="s">
        <v>101</v>
      </c>
    </row>
  </sheetData>
  <hyperlinks>
    <hyperlink ref="A1" r:id="rId1" xr:uid="{39DC74D6-56FE-49C3-B7A3-A5E5C69FC345}"/>
    <hyperlink ref="P13" r:id="rId2" xr:uid="{D23D60F7-54EC-47DC-98E8-E1C980E9C97F}"/>
    <hyperlink ref="J18" r:id="rId3" display="https://www.google.com/search?rlz=1C1VDKB_enUS1035US1035&amp;cs=0&amp;sca_esv=ddc44fe0ec2836f6&amp;sxsrf=AE3TifP8mavUhHFrOAMq84d9lg_Stz525Q%3A1757749316303&amp;q=IR%40dexcom.com&amp;sa=X&amp;ved=2ahUKEwjU6Oa8ntWPAxX2SjABHa6pDLUQxccNegQIAxAB&amp;mstk=AUtExfCz3ackmFM4gH95cV6-FprFck9lXbLvtQfJ2qXHQ11nQWgQsuZLtiLaCbohmoXcPZlusLr1aVTi3vFYt1ApN5Cph5XFS1FiKF9Wvi2uZ9BjyvnujAJUYoQ5izZIOa2aEu-G4GedzEkIu9FFie8npabxLRhMiQi1qZTWMOnmy9GYMYldmU0VO6iCWnpZ3rMSI_cVJhPa9wEUWXnTcyjxsVCgdTgO1ACExbfRT3YvfNeXOVVf46lOcVh4trJlTMQfSzG0JRG2AmTPuKsXGPal2B7_&amp;csui=3" xr:uid="{43665656-058F-42F4-8E86-1210B0E3A45C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ER85"/>
  <sheetViews>
    <sheetView zoomScale="55" zoomScaleNormal="55" workbookViewId="0">
      <pane xSplit="2" ySplit="3" topLeftCell="AX4" activePane="bottomRight" state="frozen"/>
      <selection pane="topRight" activeCell="C1" sqref="C1"/>
      <selection pane="bottomLeft" activeCell="A4" sqref="A4"/>
      <selection pane="bottomRight" activeCell="CQ49" sqref="CQ49"/>
    </sheetView>
  </sheetViews>
  <sheetFormatPr defaultColWidth="9.140625" defaultRowHeight="14.25" customHeight="1"/>
  <cols>
    <col min="1" max="1" width="3.140625" style="48" customWidth="1"/>
    <col min="2" max="2" width="36.42578125" style="48" customWidth="1"/>
    <col min="3" max="64" width="9.140625" style="48"/>
    <col min="65" max="66" width="9.140625" style="50"/>
    <col min="67" max="85" width="9.140625" style="48"/>
    <col min="86" max="94" width="9.140625" style="50"/>
    <col min="95" max="95" width="9.85546875" style="50" bestFit="1" customWidth="1"/>
    <col min="96" max="147" width="9.140625" style="50"/>
    <col min="148" max="16384" width="9.140625" style="48"/>
  </cols>
  <sheetData>
    <row r="1" spans="2:148" ht="14.25" customHeight="1">
      <c r="B1" s="48" t="s">
        <v>50</v>
      </c>
      <c r="AM1" s="49" t="s">
        <v>44</v>
      </c>
      <c r="AQ1" s="49" t="s">
        <v>45</v>
      </c>
      <c r="AU1" s="49" t="s">
        <v>46</v>
      </c>
      <c r="AY1" s="49" t="s">
        <v>47</v>
      </c>
      <c r="BC1" s="49" t="s">
        <v>48</v>
      </c>
      <c r="BG1" s="49" t="s">
        <v>49</v>
      </c>
      <c r="BK1" s="49" t="s">
        <v>1479</v>
      </c>
    </row>
    <row r="2" spans="2:148" ht="14.25" customHeight="1">
      <c r="B2" s="48" t="s">
        <v>51</v>
      </c>
    </row>
    <row r="3" spans="2:148" ht="14.25" customHeight="1">
      <c r="B3" s="51" t="s">
        <v>52</v>
      </c>
      <c r="C3" s="2" t="str" cm="1">
        <f t="array" ref="C3:BN3">"Q"&amp;MOD(_xlfn.SEQUENCE(1,64)-1,4)+1&amp;" "&amp;(2011+INT((_xlfn.SEQUENCE(1,64)-1)/4))</f>
        <v>Q1 2011</v>
      </c>
      <c r="D3" s="51" t="str">
        <v>Q2 2011</v>
      </c>
      <c r="E3" s="51" t="str">
        <v>Q3 2011</v>
      </c>
      <c r="F3" s="51" t="str">
        <v>Q4 2011</v>
      </c>
      <c r="G3" s="51" t="str">
        <v>Q1 2012</v>
      </c>
      <c r="H3" s="51" t="str">
        <v>Q2 2012</v>
      </c>
      <c r="I3" s="51" t="str">
        <v>Q3 2012</v>
      </c>
      <c r="J3" s="51" t="str">
        <v>Q4 2012</v>
      </c>
      <c r="K3" s="51" t="str">
        <v>Q1 2013</v>
      </c>
      <c r="L3" s="51" t="str">
        <v>Q2 2013</v>
      </c>
      <c r="M3" s="51" t="str">
        <v>Q3 2013</v>
      </c>
      <c r="N3" s="51" t="str">
        <v>Q4 2013</v>
      </c>
      <c r="O3" s="51" t="str">
        <v>Q1 2014</v>
      </c>
      <c r="P3" s="51" t="str">
        <v>Q2 2014</v>
      </c>
      <c r="Q3" s="51" t="str">
        <v>Q3 2014</v>
      </c>
      <c r="R3" s="51" t="str">
        <v>Q4 2014</v>
      </c>
      <c r="S3" s="51" t="str">
        <v>Q1 2015</v>
      </c>
      <c r="T3" s="51" t="str">
        <v>Q2 2015</v>
      </c>
      <c r="U3" s="51" t="str">
        <v>Q3 2015</v>
      </c>
      <c r="V3" s="51" t="str">
        <v>Q4 2015</v>
      </c>
      <c r="W3" s="51" t="str">
        <v>Q1 2016</v>
      </c>
      <c r="X3" s="51" t="str">
        <v>Q2 2016</v>
      </c>
      <c r="Y3" s="51" t="str">
        <v>Q3 2016</v>
      </c>
      <c r="Z3" s="51" t="str">
        <v>Q4 2016</v>
      </c>
      <c r="AA3" s="51" t="str">
        <v>Q1 2017</v>
      </c>
      <c r="AB3" s="51" t="str">
        <v>Q2 2017</v>
      </c>
      <c r="AC3" s="51" t="str">
        <v>Q3 2017</v>
      </c>
      <c r="AD3" s="51" t="str">
        <v>Q4 2017</v>
      </c>
      <c r="AE3" s="51" t="str">
        <v>Q1 2018</v>
      </c>
      <c r="AF3" s="51" t="str">
        <v>Q2 2018</v>
      </c>
      <c r="AG3" s="51" t="str">
        <v>Q3 2018</v>
      </c>
      <c r="AH3" s="51" t="str">
        <v>Q4 2018</v>
      </c>
      <c r="AI3" s="51" t="str">
        <v>Q1 2019</v>
      </c>
      <c r="AJ3" s="51" t="str">
        <v>Q2 2019</v>
      </c>
      <c r="AK3" s="51" t="str">
        <v>Q3 2019</v>
      </c>
      <c r="AL3" s="51" t="str">
        <v>Q4 2019</v>
      </c>
      <c r="AM3" s="51" t="str">
        <v>Q1 2020</v>
      </c>
      <c r="AN3" s="51" t="str">
        <v>Q2 2020</v>
      </c>
      <c r="AO3" s="51" t="str">
        <v>Q3 2020</v>
      </c>
      <c r="AP3" s="51" t="str">
        <v>Q4 2020</v>
      </c>
      <c r="AQ3" s="51" t="str">
        <v>Q1 2021</v>
      </c>
      <c r="AR3" s="51" t="str">
        <v>Q2 2021</v>
      </c>
      <c r="AS3" s="51" t="str">
        <v>Q3 2021</v>
      </c>
      <c r="AT3" s="51" t="str">
        <v>Q4 2021</v>
      </c>
      <c r="AU3" s="51" t="str">
        <v>Q1 2022</v>
      </c>
      <c r="AV3" s="51" t="str">
        <v>Q2 2022</v>
      </c>
      <c r="AW3" s="51" t="str">
        <v>Q3 2022</v>
      </c>
      <c r="AX3" s="51" t="str">
        <v>Q4 2022</v>
      </c>
      <c r="AY3" s="51" t="str">
        <v>Q1 2023</v>
      </c>
      <c r="AZ3" s="51" t="str">
        <v>Q2 2023</v>
      </c>
      <c r="BA3" s="51" t="str">
        <v>Q3 2023</v>
      </c>
      <c r="BB3" s="51" t="str">
        <v>Q4 2023</v>
      </c>
      <c r="BC3" s="51" t="str">
        <v>Q1 2024</v>
      </c>
      <c r="BD3" s="51" t="str">
        <v>Q2 2024</v>
      </c>
      <c r="BE3" s="51" t="str">
        <v>Q3 2024</v>
      </c>
      <c r="BF3" s="51" t="str">
        <v>Q4 2024</v>
      </c>
      <c r="BG3" s="51" t="str">
        <v>Q1 2025</v>
      </c>
      <c r="BH3" s="51" t="str">
        <v>Q2 2025</v>
      </c>
      <c r="BI3" s="51" t="str">
        <v>Q3 2025</v>
      </c>
      <c r="BJ3" s="51" t="str">
        <v>Q4 2025</v>
      </c>
      <c r="BK3" s="51" t="str">
        <v>Q1 2026</v>
      </c>
      <c r="BL3" s="51" t="str">
        <v>Q2 2026</v>
      </c>
      <c r="BM3" s="52" t="str">
        <v>Q3 2026</v>
      </c>
      <c r="BN3" s="52" t="str">
        <v>Q4 2026</v>
      </c>
      <c r="BS3" s="51">
        <v>2011</v>
      </c>
      <c r="BT3" s="51">
        <f t="shared" ref="BT3:ED3" si="0">BS3+1</f>
        <v>2012</v>
      </c>
      <c r="BU3" s="51">
        <f t="shared" si="0"/>
        <v>2013</v>
      </c>
      <c r="BV3" s="51">
        <f t="shared" si="0"/>
        <v>2014</v>
      </c>
      <c r="BW3" s="51">
        <f t="shared" si="0"/>
        <v>2015</v>
      </c>
      <c r="BX3" s="51">
        <f t="shared" si="0"/>
        <v>2016</v>
      </c>
      <c r="BY3" s="51">
        <f t="shared" si="0"/>
        <v>2017</v>
      </c>
      <c r="BZ3" s="51">
        <f t="shared" si="0"/>
        <v>2018</v>
      </c>
      <c r="CA3" s="51">
        <f t="shared" si="0"/>
        <v>2019</v>
      </c>
      <c r="CB3" s="51">
        <f t="shared" si="0"/>
        <v>2020</v>
      </c>
      <c r="CC3" s="51">
        <f t="shared" si="0"/>
        <v>2021</v>
      </c>
      <c r="CD3" s="51">
        <f t="shared" si="0"/>
        <v>2022</v>
      </c>
      <c r="CE3" s="51">
        <f t="shared" si="0"/>
        <v>2023</v>
      </c>
      <c r="CF3" s="51">
        <f t="shared" si="0"/>
        <v>2024</v>
      </c>
      <c r="CG3" s="51">
        <f t="shared" si="0"/>
        <v>2025</v>
      </c>
      <c r="CH3" s="52">
        <f>CG3+1</f>
        <v>2026</v>
      </c>
      <c r="CI3" s="52">
        <f t="shared" si="0"/>
        <v>2027</v>
      </c>
      <c r="CJ3" s="52">
        <f t="shared" si="0"/>
        <v>2028</v>
      </c>
      <c r="CK3" s="52">
        <f t="shared" si="0"/>
        <v>2029</v>
      </c>
      <c r="CL3" s="52">
        <f t="shared" si="0"/>
        <v>2030</v>
      </c>
      <c r="CM3" s="52">
        <f t="shared" si="0"/>
        <v>2031</v>
      </c>
      <c r="CN3" s="52">
        <f t="shared" si="0"/>
        <v>2032</v>
      </c>
      <c r="CO3" s="52">
        <f t="shared" si="0"/>
        <v>2033</v>
      </c>
      <c r="CP3" s="52">
        <f t="shared" si="0"/>
        <v>2034</v>
      </c>
      <c r="CQ3" s="52">
        <f t="shared" si="0"/>
        <v>2035</v>
      </c>
      <c r="CR3" s="52">
        <f t="shared" si="0"/>
        <v>2036</v>
      </c>
      <c r="CS3" s="52">
        <f t="shared" si="0"/>
        <v>2037</v>
      </c>
      <c r="CT3" s="52">
        <f t="shared" si="0"/>
        <v>2038</v>
      </c>
      <c r="CU3" s="52">
        <f t="shared" si="0"/>
        <v>2039</v>
      </c>
      <c r="CV3" s="52">
        <f t="shared" si="0"/>
        <v>2040</v>
      </c>
      <c r="CW3" s="52">
        <f t="shared" si="0"/>
        <v>2041</v>
      </c>
      <c r="CX3" s="52">
        <f t="shared" si="0"/>
        <v>2042</v>
      </c>
      <c r="CY3" s="52">
        <f t="shared" si="0"/>
        <v>2043</v>
      </c>
      <c r="CZ3" s="52">
        <f t="shared" si="0"/>
        <v>2044</v>
      </c>
      <c r="DA3" s="52">
        <f t="shared" si="0"/>
        <v>2045</v>
      </c>
      <c r="DB3" s="52">
        <f t="shared" si="0"/>
        <v>2046</v>
      </c>
      <c r="DC3" s="52">
        <f t="shared" si="0"/>
        <v>2047</v>
      </c>
      <c r="DD3" s="52">
        <f t="shared" si="0"/>
        <v>2048</v>
      </c>
      <c r="DE3" s="52">
        <f t="shared" si="0"/>
        <v>2049</v>
      </c>
      <c r="DF3" s="52">
        <f t="shared" si="0"/>
        <v>2050</v>
      </c>
      <c r="DG3" s="52">
        <f t="shared" si="0"/>
        <v>2051</v>
      </c>
      <c r="DH3" s="52">
        <f t="shared" si="0"/>
        <v>2052</v>
      </c>
      <c r="DI3" s="52">
        <f t="shared" si="0"/>
        <v>2053</v>
      </c>
      <c r="DJ3" s="52">
        <f t="shared" si="0"/>
        <v>2054</v>
      </c>
      <c r="DK3" s="52">
        <f t="shared" si="0"/>
        <v>2055</v>
      </c>
      <c r="DL3" s="52">
        <f t="shared" si="0"/>
        <v>2056</v>
      </c>
      <c r="DM3" s="52">
        <f t="shared" si="0"/>
        <v>2057</v>
      </c>
      <c r="DN3" s="52">
        <f t="shared" si="0"/>
        <v>2058</v>
      </c>
      <c r="DO3" s="52">
        <f t="shared" si="0"/>
        <v>2059</v>
      </c>
      <c r="DP3" s="52">
        <f t="shared" si="0"/>
        <v>2060</v>
      </c>
      <c r="DQ3" s="52">
        <f t="shared" si="0"/>
        <v>2061</v>
      </c>
      <c r="DR3" s="52">
        <f t="shared" si="0"/>
        <v>2062</v>
      </c>
      <c r="DS3" s="52">
        <f t="shared" si="0"/>
        <v>2063</v>
      </c>
      <c r="DT3" s="52">
        <f t="shared" si="0"/>
        <v>2064</v>
      </c>
      <c r="DU3" s="52">
        <f t="shared" si="0"/>
        <v>2065</v>
      </c>
      <c r="DV3" s="52">
        <f t="shared" si="0"/>
        <v>2066</v>
      </c>
      <c r="DW3" s="52">
        <f t="shared" si="0"/>
        <v>2067</v>
      </c>
      <c r="DX3" s="52">
        <f t="shared" si="0"/>
        <v>2068</v>
      </c>
      <c r="DY3" s="52">
        <f t="shared" si="0"/>
        <v>2069</v>
      </c>
      <c r="DZ3" s="52">
        <f t="shared" si="0"/>
        <v>2070</v>
      </c>
      <c r="EA3" s="52">
        <f t="shared" si="0"/>
        <v>2071</v>
      </c>
      <c r="EB3" s="52">
        <f t="shared" si="0"/>
        <v>2072</v>
      </c>
      <c r="EC3" s="52">
        <f t="shared" si="0"/>
        <v>2073</v>
      </c>
      <c r="ED3" s="52">
        <f t="shared" si="0"/>
        <v>2074</v>
      </c>
      <c r="EE3" s="52">
        <f t="shared" ref="EE3:EO3" si="1">ED3+1</f>
        <v>2075</v>
      </c>
      <c r="EF3" s="52">
        <f t="shared" si="1"/>
        <v>2076</v>
      </c>
      <c r="EG3" s="52">
        <f t="shared" si="1"/>
        <v>2077</v>
      </c>
      <c r="EH3" s="52">
        <f t="shared" si="1"/>
        <v>2078</v>
      </c>
      <c r="EI3" s="52">
        <f t="shared" si="1"/>
        <v>2079</v>
      </c>
      <c r="EJ3" s="52">
        <f t="shared" si="1"/>
        <v>2080</v>
      </c>
      <c r="EK3" s="52">
        <f t="shared" si="1"/>
        <v>2081</v>
      </c>
      <c r="EL3" s="52">
        <f t="shared" si="1"/>
        <v>2082</v>
      </c>
      <c r="EM3" s="52">
        <f t="shared" si="1"/>
        <v>2083</v>
      </c>
      <c r="EN3" s="52">
        <f t="shared" si="1"/>
        <v>2084</v>
      </c>
      <c r="EO3" s="52">
        <f t="shared" si="1"/>
        <v>2085</v>
      </c>
      <c r="EP3" s="52"/>
      <c r="EQ3" s="52"/>
      <c r="ER3" s="51"/>
    </row>
    <row r="4" spans="2:148" ht="14.25" customHeight="1">
      <c r="B4" s="53" t="s">
        <v>161</v>
      </c>
      <c r="AM4" s="54">
        <v>286.10000000000002</v>
      </c>
      <c r="AN4" s="54">
        <v>331.7</v>
      </c>
      <c r="AO4" s="54">
        <v>382.4</v>
      </c>
      <c r="AP4" s="54">
        <f>1437.6-SUM(AM4:AO4)</f>
        <v>437.4</v>
      </c>
      <c r="AQ4" s="54">
        <v>390.7</v>
      </c>
      <c r="AR4" s="54">
        <v>495.9</v>
      </c>
      <c r="AS4" s="54">
        <v>552.29999999999995</v>
      </c>
      <c r="AT4" s="54">
        <f>1849.4-SUM(AQ4:AS4)</f>
        <v>410.50000000000023</v>
      </c>
      <c r="AU4" s="54">
        <v>527.1</v>
      </c>
      <c r="AV4" s="54">
        <v>585.1</v>
      </c>
      <c r="AW4" s="54">
        <v>656.2</v>
      </c>
      <c r="AX4" s="54">
        <f>2470.8-SUM(AU4:AW4)</f>
        <v>702.40000000000009</v>
      </c>
      <c r="AY4" s="54">
        <v>618.9</v>
      </c>
      <c r="AZ4" s="54">
        <v>738.8</v>
      </c>
      <c r="BA4" s="54">
        <v>713.6</v>
      </c>
      <c r="BB4" s="54">
        <f>3095.6-SUM(AY4:BA4)</f>
        <v>1024.3000000000002</v>
      </c>
      <c r="BC4" s="54">
        <v>778.8</v>
      </c>
      <c r="BD4" s="54">
        <v>860.1</v>
      </c>
      <c r="BE4" s="54">
        <v>843.3</v>
      </c>
      <c r="BF4" s="54">
        <f>3430.1-SUM(BC4:BE4)</f>
        <v>947.90000000000009</v>
      </c>
      <c r="BG4" s="54">
        <v>880</v>
      </c>
      <c r="BH4" s="54">
        <v>977.8</v>
      </c>
      <c r="BI4" s="54">
        <v>1026</v>
      </c>
      <c r="BJ4" s="54">
        <f>3959-SUM(BG4:BI4)</f>
        <v>1075.1999999999998</v>
      </c>
      <c r="BK4" s="54">
        <v>1010.3</v>
      </c>
      <c r="BL4" s="54">
        <v>1102.4000000000001</v>
      </c>
      <c r="BS4" s="54"/>
      <c r="BT4" s="54"/>
      <c r="BU4" s="54"/>
      <c r="BV4" s="54"/>
      <c r="BW4" s="54"/>
      <c r="BX4" s="54"/>
      <c r="BY4" s="54"/>
      <c r="BZ4" s="54"/>
      <c r="CA4" s="54"/>
      <c r="CB4" s="54">
        <f>SUM(AM4:AP4)</f>
        <v>1437.6</v>
      </c>
      <c r="CC4" s="54">
        <f>SUM(AQ4:AT4)</f>
        <v>1849.4</v>
      </c>
      <c r="CD4" s="54">
        <f>SUM(AU4:AX4)</f>
        <v>2470.8000000000002</v>
      </c>
      <c r="CE4" s="54">
        <f>SUM(AY4:BB4)</f>
        <v>3095.6</v>
      </c>
      <c r="CF4" s="54">
        <f>SUM(BC4:BF4)</f>
        <v>3430.1</v>
      </c>
      <c r="CG4" s="54">
        <f>SUM(BG4:BJ4)</f>
        <v>3959</v>
      </c>
      <c r="CH4" s="55">
        <f t="shared" ref="CH4:CQ4" si="2">CG4*(1+CH8)</f>
        <v>4501.3829999999998</v>
      </c>
      <c r="CI4" s="55">
        <f t="shared" si="2"/>
        <v>5145.0807690000001</v>
      </c>
      <c r="CJ4" s="55">
        <f t="shared" si="2"/>
        <v>5865.3920766600004</v>
      </c>
      <c r="CK4" s="55">
        <f t="shared" si="2"/>
        <v>6657.2200070091003</v>
      </c>
      <c r="CL4" s="55">
        <f t="shared" si="2"/>
        <v>7509.3441679062662</v>
      </c>
      <c r="CM4" s="55">
        <f t="shared" si="2"/>
        <v>8410.4654680550193</v>
      </c>
      <c r="CN4" s="55">
        <f t="shared" si="2"/>
        <v>9377.6689968813462</v>
      </c>
      <c r="CO4" s="55">
        <f t="shared" si="2"/>
        <v>10409.212586538295</v>
      </c>
      <c r="CP4" s="55">
        <f t="shared" si="2"/>
        <v>11502.179908124815</v>
      </c>
      <c r="CQ4" s="55">
        <f t="shared" si="2"/>
        <v>12652.397898937297</v>
      </c>
    </row>
    <row r="5" spans="2:148" ht="14.25" customHeight="1">
      <c r="B5" s="53" t="s">
        <v>160</v>
      </c>
      <c r="AM5" s="54">
        <v>119</v>
      </c>
      <c r="AN5" s="54">
        <v>120.1</v>
      </c>
      <c r="AO5" s="54">
        <v>118.5</v>
      </c>
      <c r="AP5" s="54">
        <f>489.1-SUM(AM5:AO5)</f>
        <v>131.5</v>
      </c>
      <c r="AQ5" s="54">
        <v>114.3</v>
      </c>
      <c r="AR5" s="54">
        <v>99.2</v>
      </c>
      <c r="AS5" s="54">
        <v>97.9</v>
      </c>
      <c r="AT5" s="54">
        <f>599.1-SUM(AQ5:AS5)</f>
        <v>287.70000000000005</v>
      </c>
      <c r="AU5" s="54">
        <v>101.7</v>
      </c>
      <c r="AV5" s="54">
        <v>111.1</v>
      </c>
      <c r="AW5" s="54">
        <v>113.4</v>
      </c>
      <c r="AX5" s="54">
        <f>439-SUM(AU5:AW5)</f>
        <v>112.79999999999995</v>
      </c>
      <c r="AY5" s="54">
        <v>122.6</v>
      </c>
      <c r="AZ5" s="54">
        <v>132.5</v>
      </c>
      <c r="BA5" s="54">
        <v>261.39999999999998</v>
      </c>
      <c r="BB5" s="54">
        <f>526.7-SUM(AY5:BA5)</f>
        <v>10.200000000000045</v>
      </c>
      <c r="BC5" s="54">
        <v>142.5</v>
      </c>
      <c r="BD5" s="54">
        <v>144.19999999999999</v>
      </c>
      <c r="BE5" s="54">
        <v>150.9</v>
      </c>
      <c r="BF5" s="54">
        <f>602.9-SUM(BC5:BE5)</f>
        <v>165.29999999999995</v>
      </c>
      <c r="BG5" s="54">
        <v>156</v>
      </c>
      <c r="BH5" s="54">
        <v>179.3</v>
      </c>
      <c r="BI5" s="54">
        <v>183.3</v>
      </c>
      <c r="BJ5" s="54">
        <f>703-SUM(BG5:BI5)</f>
        <v>184.39999999999998</v>
      </c>
      <c r="BK5" s="54">
        <v>181.6</v>
      </c>
      <c r="BL5" s="54">
        <v>206</v>
      </c>
      <c r="BS5" s="54"/>
      <c r="BT5" s="54"/>
      <c r="BU5" s="54"/>
      <c r="BV5" s="54"/>
      <c r="BW5" s="54"/>
      <c r="BX5" s="54"/>
      <c r="BY5" s="54"/>
      <c r="BZ5" s="54"/>
      <c r="CA5" s="54"/>
      <c r="CB5" s="54">
        <f>SUM(AM5:AP5)</f>
        <v>489.1</v>
      </c>
      <c r="CC5" s="54">
        <f>SUM(AQ5:AT5)</f>
        <v>599.1</v>
      </c>
      <c r="CD5" s="54">
        <f>SUM(AU5:AX5)</f>
        <v>439</v>
      </c>
      <c r="CE5" s="54">
        <f>SUM(AY5:BB5)</f>
        <v>526.70000000000005</v>
      </c>
      <c r="CF5" s="54">
        <f>SUM(BC5:BF5)</f>
        <v>602.9</v>
      </c>
      <c r="CG5" s="54">
        <f t="shared" ref="CG5:CG6" si="3">SUM(BG5:BJ5)</f>
        <v>703</v>
      </c>
      <c r="CH5" s="55">
        <f t="shared" ref="CH5:CQ5" si="4">CG5*(1+CH9)</f>
        <v>811.96500000000003</v>
      </c>
      <c r="CI5" s="55">
        <f t="shared" si="4"/>
        <v>932.13581999999997</v>
      </c>
      <c r="CJ5" s="55">
        <f t="shared" si="4"/>
        <v>1053.3134765999998</v>
      </c>
      <c r="CK5" s="55">
        <f t="shared" si="4"/>
        <v>1174.4445264089998</v>
      </c>
      <c r="CL5" s="55">
        <f t="shared" si="4"/>
        <v>1303.63342431399</v>
      </c>
      <c r="CM5" s="55">
        <f t="shared" si="4"/>
        <v>1440.5149338669589</v>
      </c>
      <c r="CN5" s="55">
        <f t="shared" si="4"/>
        <v>1588.1677145883223</v>
      </c>
      <c r="CO5" s="55">
        <f t="shared" si="4"/>
        <v>1746.9844860471546</v>
      </c>
      <c r="CP5" s="55">
        <f t="shared" si="4"/>
        <v>1912.9480122216344</v>
      </c>
      <c r="CQ5" s="55">
        <f t="shared" si="4"/>
        <v>2085.1133333215816</v>
      </c>
    </row>
    <row r="6" spans="2:148" s="51" customFormat="1" ht="14.25" customHeight="1">
      <c r="B6" s="49" t="s">
        <v>53</v>
      </c>
      <c r="AM6" s="56">
        <f t="shared" ref="AM6:BF6" si="5">SUM(AM4:AM5)</f>
        <v>405.1</v>
      </c>
      <c r="AN6" s="56">
        <f t="shared" si="5"/>
        <v>451.79999999999995</v>
      </c>
      <c r="AO6" s="56">
        <f t="shared" si="5"/>
        <v>500.9</v>
      </c>
      <c r="AP6" s="56">
        <f t="shared" si="5"/>
        <v>568.9</v>
      </c>
      <c r="AQ6" s="56">
        <f t="shared" si="5"/>
        <v>505</v>
      </c>
      <c r="AR6" s="56">
        <f t="shared" si="5"/>
        <v>595.1</v>
      </c>
      <c r="AS6" s="56">
        <f t="shared" si="5"/>
        <v>650.19999999999993</v>
      </c>
      <c r="AT6" s="56">
        <f t="shared" si="5"/>
        <v>698.20000000000027</v>
      </c>
      <c r="AU6" s="56">
        <f t="shared" si="5"/>
        <v>628.80000000000007</v>
      </c>
      <c r="AV6" s="56">
        <f t="shared" si="5"/>
        <v>696.2</v>
      </c>
      <c r="AW6" s="56">
        <f t="shared" si="5"/>
        <v>769.6</v>
      </c>
      <c r="AX6" s="56">
        <f t="shared" si="5"/>
        <v>815.2</v>
      </c>
      <c r="AY6" s="56">
        <f t="shared" si="5"/>
        <v>741.5</v>
      </c>
      <c r="AZ6" s="56">
        <f t="shared" si="5"/>
        <v>871.3</v>
      </c>
      <c r="BA6" s="56">
        <f t="shared" si="5"/>
        <v>975</v>
      </c>
      <c r="BB6" s="56">
        <f t="shared" si="5"/>
        <v>1034.5000000000002</v>
      </c>
      <c r="BC6" s="56">
        <f t="shared" si="5"/>
        <v>921.3</v>
      </c>
      <c r="BD6" s="56">
        <f t="shared" si="5"/>
        <v>1004.3</v>
      </c>
      <c r="BE6" s="56">
        <f t="shared" si="5"/>
        <v>994.19999999999993</v>
      </c>
      <c r="BF6" s="56">
        <f t="shared" si="5"/>
        <v>1113.2</v>
      </c>
      <c r="BG6" s="56">
        <f t="shared" ref="BG6:BL6" si="6">SUM(BG4:BG5)</f>
        <v>1036</v>
      </c>
      <c r="BH6" s="56">
        <f t="shared" si="6"/>
        <v>1157.0999999999999</v>
      </c>
      <c r="BI6" s="56">
        <f t="shared" si="6"/>
        <v>1209.3</v>
      </c>
      <c r="BJ6" s="56">
        <f t="shared" si="6"/>
        <v>1259.5999999999999</v>
      </c>
      <c r="BK6" s="56">
        <f t="shared" si="6"/>
        <v>1191.8999999999999</v>
      </c>
      <c r="BL6" s="56">
        <f t="shared" si="6"/>
        <v>1308.4000000000001</v>
      </c>
      <c r="BM6" s="52"/>
      <c r="BN6" s="52"/>
      <c r="BS6" s="56"/>
      <c r="BT6" s="56"/>
      <c r="BU6" s="56"/>
      <c r="BV6" s="56"/>
      <c r="BW6" s="56"/>
      <c r="BX6" s="56"/>
      <c r="BY6" s="56"/>
      <c r="BZ6" s="56"/>
      <c r="CA6" s="56"/>
      <c r="CB6" s="56">
        <f>SUM(AM6:AP6)</f>
        <v>1926.6999999999998</v>
      </c>
      <c r="CC6" s="56">
        <f>SUM(AQ6:AT6)</f>
        <v>2448.5</v>
      </c>
      <c r="CD6" s="56">
        <f>SUM(AU6:AX6)</f>
        <v>2909.8</v>
      </c>
      <c r="CE6" s="56">
        <f>SUM(AY6:BB6)</f>
        <v>3622.3</v>
      </c>
      <c r="CF6" s="56">
        <f>SUM(BC6:BF6)</f>
        <v>4033</v>
      </c>
      <c r="CG6" s="56">
        <f t="shared" si="3"/>
        <v>4662</v>
      </c>
      <c r="CH6" s="57">
        <f t="shared" ref="CH6" si="7">SUM(CH4:CH5)</f>
        <v>5313.348</v>
      </c>
      <c r="CI6" s="57">
        <f t="shared" ref="CI6:CQ6" si="8">SUM(CI4:CI5)</f>
        <v>6077.2165889999997</v>
      </c>
      <c r="CJ6" s="57">
        <f t="shared" si="8"/>
        <v>6918.7055532600007</v>
      </c>
      <c r="CK6" s="57">
        <f t="shared" si="8"/>
        <v>7831.6645334181003</v>
      </c>
      <c r="CL6" s="57">
        <f t="shared" si="8"/>
        <v>8812.9775922202571</v>
      </c>
      <c r="CM6" s="57">
        <f t="shared" si="8"/>
        <v>9850.9804019219773</v>
      </c>
      <c r="CN6" s="57">
        <f t="shared" si="8"/>
        <v>10965.836711469668</v>
      </c>
      <c r="CO6" s="57">
        <f t="shared" si="8"/>
        <v>12156.19707258545</v>
      </c>
      <c r="CP6" s="57">
        <f t="shared" si="8"/>
        <v>13415.127920346449</v>
      </c>
      <c r="CQ6" s="57">
        <f t="shared" si="8"/>
        <v>14737.511232258879</v>
      </c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</row>
    <row r="7" spans="2:148" ht="14.25" customHeight="1">
      <c r="B7" s="53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5"/>
      <c r="CI7" s="55"/>
      <c r="CJ7" s="55"/>
      <c r="CK7" s="55"/>
      <c r="CL7" s="55"/>
      <c r="CM7" s="55"/>
      <c r="CN7" s="55"/>
      <c r="CO7" s="55"/>
      <c r="CP7" s="55"/>
      <c r="CQ7" s="55"/>
    </row>
    <row r="8" spans="2:148" ht="14.25" customHeight="1">
      <c r="B8" s="53" t="s">
        <v>162</v>
      </c>
      <c r="AM8" s="58"/>
      <c r="AN8" s="58"/>
      <c r="AO8" s="58"/>
      <c r="AP8" s="58"/>
      <c r="AQ8" s="58">
        <f t="shared" ref="AQ8:BG10" si="9">AQ4/AM4-1</f>
        <v>0.36560643131772097</v>
      </c>
      <c r="AR8" s="58">
        <f t="shared" si="9"/>
        <v>0.49502562556526986</v>
      </c>
      <c r="AS8" s="58">
        <f t="shared" si="9"/>
        <v>0.44429916317991625</v>
      </c>
      <c r="AT8" s="58">
        <f t="shared" si="9"/>
        <v>-6.1499771376314016E-2</v>
      </c>
      <c r="AU8" s="58">
        <f t="shared" si="9"/>
        <v>0.34911696954184812</v>
      </c>
      <c r="AV8" s="58">
        <f t="shared" si="9"/>
        <v>0.17987497479330528</v>
      </c>
      <c r="AW8" s="58">
        <f t="shared" si="9"/>
        <v>0.18812239724787272</v>
      </c>
      <c r="AX8" s="58">
        <f t="shared" si="9"/>
        <v>0.71108404384896384</v>
      </c>
      <c r="AY8" s="58">
        <f t="shared" si="9"/>
        <v>0.17416050085372792</v>
      </c>
      <c r="AZ8" s="58">
        <f t="shared" si="9"/>
        <v>0.2626901384378737</v>
      </c>
      <c r="BA8" s="58">
        <f t="shared" si="9"/>
        <v>8.7473331301432422E-2</v>
      </c>
      <c r="BB8" s="58">
        <f t="shared" si="9"/>
        <v>0.45828587699316636</v>
      </c>
      <c r="BC8" s="58">
        <f t="shared" si="9"/>
        <v>0.25836160930683461</v>
      </c>
      <c r="BD8" s="58">
        <f t="shared" si="9"/>
        <v>0.16418516513264758</v>
      </c>
      <c r="BE8" s="58">
        <f t="shared" si="9"/>
        <v>0.18175448430493257</v>
      </c>
      <c r="BF8" s="58">
        <f t="shared" si="9"/>
        <v>-7.4587523186566473E-2</v>
      </c>
      <c r="BG8" s="58">
        <f t="shared" si="9"/>
        <v>0.12994350282485878</v>
      </c>
      <c r="BH8" s="58">
        <f>BH4/BD4-1</f>
        <v>0.13684455295895814</v>
      </c>
      <c r="BI8" s="58">
        <f>BI4/BE4-1</f>
        <v>0.216648879402348</v>
      </c>
      <c r="BJ8" s="58">
        <f>BJ4/BF4-1</f>
        <v>0.1342968667580966</v>
      </c>
      <c r="BK8" s="58">
        <f t="shared" ref="BK8:BL10" si="10">BK4/BG4-1</f>
        <v>0.14806818181818171</v>
      </c>
      <c r="BL8" s="58">
        <f t="shared" si="10"/>
        <v>0.12742892206995315</v>
      </c>
      <c r="BS8" s="59"/>
      <c r="BT8" s="58"/>
      <c r="BU8" s="58"/>
      <c r="BV8" s="58"/>
      <c r="BW8" s="58"/>
      <c r="BX8" s="58"/>
      <c r="BY8" s="58"/>
      <c r="BZ8" s="58"/>
      <c r="CA8" s="58"/>
      <c r="CB8" s="58"/>
      <c r="CC8" s="58">
        <f t="shared" ref="CC8:CG8" si="11">CC4/CB4-1</f>
        <v>0.28644963828603243</v>
      </c>
      <c r="CD8" s="58">
        <f t="shared" si="11"/>
        <v>0.33600086514545269</v>
      </c>
      <c r="CE8" s="58">
        <f t="shared" si="11"/>
        <v>0.25287356321839072</v>
      </c>
      <c r="CF8" s="58">
        <f t="shared" si="11"/>
        <v>0.10805659645949084</v>
      </c>
      <c r="CG8" s="58">
        <f t="shared" si="11"/>
        <v>0.15419375528410262</v>
      </c>
      <c r="CH8" s="60">
        <v>0.13700000000000001</v>
      </c>
      <c r="CI8" s="60">
        <v>0.14299999999999999</v>
      </c>
      <c r="CJ8" s="60">
        <v>0.14000000000000001</v>
      </c>
      <c r="CK8" s="60">
        <v>0.13500000000000001</v>
      </c>
      <c r="CL8" s="60">
        <v>0.128</v>
      </c>
      <c r="CM8" s="60">
        <v>0.12</v>
      </c>
      <c r="CN8" s="60">
        <v>0.115</v>
      </c>
      <c r="CO8" s="60">
        <v>0.11</v>
      </c>
      <c r="CP8" s="60">
        <v>0.105</v>
      </c>
      <c r="CQ8" s="60">
        <v>0.1</v>
      </c>
    </row>
    <row r="9" spans="2:148" ht="14.25" customHeight="1">
      <c r="B9" s="53" t="s">
        <v>163</v>
      </c>
      <c r="AM9" s="58"/>
      <c r="AN9" s="58"/>
      <c r="AO9" s="58"/>
      <c r="AP9" s="58"/>
      <c r="AQ9" s="58">
        <f t="shared" si="9"/>
        <v>-3.9495798319327702E-2</v>
      </c>
      <c r="AR9" s="58">
        <f t="shared" si="9"/>
        <v>-0.17402164862614478</v>
      </c>
      <c r="AS9" s="58">
        <f t="shared" si="9"/>
        <v>-0.17383966244725735</v>
      </c>
      <c r="AT9" s="58">
        <f t="shared" si="9"/>
        <v>1.1878326996197721</v>
      </c>
      <c r="AU9" s="58">
        <f t="shared" si="9"/>
        <v>-0.11023622047244086</v>
      </c>
      <c r="AV9" s="58">
        <f t="shared" si="9"/>
        <v>0.11995967741935476</v>
      </c>
      <c r="AW9" s="58">
        <f t="shared" si="9"/>
        <v>0.15832482124616964</v>
      </c>
      <c r="AX9" s="58">
        <f t="shared" si="9"/>
        <v>-0.60792492179353519</v>
      </c>
      <c r="AY9" s="58">
        <f t="shared" si="9"/>
        <v>0.20550639134709914</v>
      </c>
      <c r="AZ9" s="58">
        <f t="shared" si="9"/>
        <v>0.19261926192619261</v>
      </c>
      <c r="BA9" s="58">
        <f t="shared" si="9"/>
        <v>1.3051146384479715</v>
      </c>
      <c r="BB9" s="58">
        <f t="shared" si="9"/>
        <v>-0.90957446808510589</v>
      </c>
      <c r="BC9" s="58">
        <f t="shared" si="9"/>
        <v>0.16231647634584023</v>
      </c>
      <c r="BD9" s="58">
        <f t="shared" si="9"/>
        <v>8.8301886792452766E-2</v>
      </c>
      <c r="BE9" s="58">
        <f t="shared" si="9"/>
        <v>-0.42272379495026768</v>
      </c>
      <c r="BF9" s="58">
        <f t="shared" si="9"/>
        <v>15.205882352941099</v>
      </c>
      <c r="BG9" s="58">
        <f t="shared" si="9"/>
        <v>9.473684210526323E-2</v>
      </c>
      <c r="BH9" s="58">
        <f t="shared" ref="BH9:BJ10" si="12">BH5/BD5-1</f>
        <v>0.24341192787794741</v>
      </c>
      <c r="BI9" s="58">
        <f t="shared" si="12"/>
        <v>0.21471172962226648</v>
      </c>
      <c r="BJ9" s="58">
        <f>BJ5/BF5-1</f>
        <v>0.11554748941318826</v>
      </c>
      <c r="BK9" s="58">
        <f t="shared" si="10"/>
        <v>0.16410256410256396</v>
      </c>
      <c r="BL9" s="58">
        <f t="shared" si="10"/>
        <v>0.14891243725599557</v>
      </c>
      <c r="BS9" s="59"/>
      <c r="BT9" s="58"/>
      <c r="BU9" s="58"/>
      <c r="BV9" s="58"/>
      <c r="BW9" s="58"/>
      <c r="BX9" s="58"/>
      <c r="BY9" s="58"/>
      <c r="BZ9" s="58"/>
      <c r="CA9" s="58"/>
      <c r="CB9" s="58"/>
      <c r="CC9" s="58">
        <f t="shared" ref="CC9:CG9" si="13">CC5/CB5-1</f>
        <v>0.22490288284604376</v>
      </c>
      <c r="CD9" s="58">
        <f t="shared" si="13"/>
        <v>-0.26723418461024873</v>
      </c>
      <c r="CE9" s="58">
        <f t="shared" si="13"/>
        <v>0.19977220956719832</v>
      </c>
      <c r="CF9" s="58">
        <f t="shared" si="13"/>
        <v>0.14467438769698115</v>
      </c>
      <c r="CG9" s="58">
        <f t="shared" si="13"/>
        <v>0.16603085088737779</v>
      </c>
      <c r="CH9" s="60">
        <v>0.155</v>
      </c>
      <c r="CI9" s="60">
        <v>0.14799999999999999</v>
      </c>
      <c r="CJ9" s="60">
        <v>0.13</v>
      </c>
      <c r="CK9" s="60">
        <v>0.115</v>
      </c>
      <c r="CL9" s="60">
        <v>0.11</v>
      </c>
      <c r="CM9" s="60">
        <v>0.105</v>
      </c>
      <c r="CN9" s="60">
        <v>0.10249999999999999</v>
      </c>
      <c r="CO9" s="60">
        <v>0.1</v>
      </c>
      <c r="CP9" s="60">
        <v>9.5000000000000001E-2</v>
      </c>
      <c r="CQ9" s="60">
        <v>0.09</v>
      </c>
    </row>
    <row r="10" spans="2:148" s="51" customFormat="1" ht="14.25" customHeight="1">
      <c r="B10" s="49" t="s">
        <v>111</v>
      </c>
      <c r="G10" s="62">
        <f t="shared" ref="G10:AO10" si="14">G26/C26-1</f>
        <v>0.41549295774647899</v>
      </c>
      <c r="H10" s="62">
        <f t="shared" si="14"/>
        <v>9.3457943925233655E-2</v>
      </c>
      <c r="I10" s="62">
        <f t="shared" si="14"/>
        <v>0.26229508196721318</v>
      </c>
      <c r="J10" s="62">
        <f t="shared" si="14"/>
        <v>0.48</v>
      </c>
      <c r="K10" s="62">
        <f t="shared" si="14"/>
        <v>0.47263681592039797</v>
      </c>
      <c r="L10" s="62">
        <f t="shared" si="14"/>
        <v>0.52991452991452981</v>
      </c>
      <c r="M10" s="62">
        <f t="shared" si="14"/>
        <v>0.85714285714285698</v>
      </c>
      <c r="N10" s="62">
        <f t="shared" si="14"/>
        <v>0.55255255255255276</v>
      </c>
      <c r="O10" s="62">
        <f t="shared" si="14"/>
        <v>0.59121621621621623</v>
      </c>
      <c r="P10" s="62">
        <f t="shared" si="14"/>
        <v>0.64245810055865937</v>
      </c>
      <c r="Q10" s="62">
        <f t="shared" si="14"/>
        <v>0.60839160839160855</v>
      </c>
      <c r="R10" s="62">
        <f t="shared" si="14"/>
        <v>0.63056092843326872</v>
      </c>
      <c r="S10" s="62">
        <f t="shared" si="14"/>
        <v>0.54564755838641177</v>
      </c>
      <c r="T10" s="62">
        <f t="shared" si="14"/>
        <v>0.58503401360544238</v>
      </c>
      <c r="U10" s="62">
        <f t="shared" si="14"/>
        <v>0.52463768115942022</v>
      </c>
      <c r="V10" s="62">
        <f t="shared" si="14"/>
        <v>0.5516014234875446</v>
      </c>
      <c r="W10" s="62">
        <f t="shared" si="14"/>
        <v>0.59615384615384626</v>
      </c>
      <c r="X10" s="62">
        <f t="shared" si="14"/>
        <v>0.47317596566523612</v>
      </c>
      <c r="Y10" s="62">
        <f t="shared" si="14"/>
        <v>0.41254752851711007</v>
      </c>
      <c r="Z10" s="62">
        <f t="shared" si="14"/>
        <v>0.30886850152905176</v>
      </c>
      <c r="AA10" s="62">
        <f t="shared" si="14"/>
        <v>0.2246127366609294</v>
      </c>
      <c r="AB10" s="62">
        <f t="shared" si="14"/>
        <v>0.24253459577567349</v>
      </c>
      <c r="AC10" s="62">
        <f t="shared" si="14"/>
        <v>0.24226110363391662</v>
      </c>
      <c r="AD10" s="62">
        <f t="shared" si="14"/>
        <v>0.29088785046728982</v>
      </c>
      <c r="AE10" s="62">
        <f t="shared" si="14"/>
        <v>0.29585382993675324</v>
      </c>
      <c r="AF10" s="62">
        <f t="shared" si="14"/>
        <v>0.4214536928487691</v>
      </c>
      <c r="AG10" s="62">
        <f t="shared" si="14"/>
        <v>0.44474539544962077</v>
      </c>
      <c r="AH10" s="62">
        <f t="shared" si="14"/>
        <v>0.52941176470588225</v>
      </c>
      <c r="AI10" s="62">
        <f t="shared" si="14"/>
        <v>0.5211496746203903</v>
      </c>
      <c r="AJ10" s="62">
        <f t="shared" si="14"/>
        <v>0.38721649484536069</v>
      </c>
      <c r="AK10" s="62">
        <f t="shared" si="14"/>
        <v>0.48593925759280099</v>
      </c>
      <c r="AL10" s="62">
        <f t="shared" si="14"/>
        <v>0.36923076923076925</v>
      </c>
      <c r="AM10" s="62">
        <f t="shared" si="14"/>
        <v>0.44420677361853844</v>
      </c>
      <c r="AN10" s="62">
        <f t="shared" si="14"/>
        <v>0.34304399524375739</v>
      </c>
      <c r="AO10" s="62">
        <f t="shared" si="14"/>
        <v>0.263941458491042</v>
      </c>
      <c r="AP10" s="62">
        <f>AP26/AL26-1</f>
        <v>0.22925669835782192</v>
      </c>
      <c r="AQ10" s="62">
        <f t="shared" si="9"/>
        <v>0.24660577635151815</v>
      </c>
      <c r="AR10" s="62">
        <f t="shared" si="9"/>
        <v>0.31717574147853056</v>
      </c>
      <c r="AS10" s="62">
        <f t="shared" si="9"/>
        <v>0.29806348572569363</v>
      </c>
      <c r="AT10" s="62">
        <f t="shared" si="9"/>
        <v>0.22728071717349319</v>
      </c>
      <c r="AU10" s="62">
        <f t="shared" si="9"/>
        <v>0.24514851485148537</v>
      </c>
      <c r="AV10" s="62">
        <f t="shared" si="9"/>
        <v>0.16988741388002015</v>
      </c>
      <c r="AW10" s="62">
        <f t="shared" si="9"/>
        <v>0.18363580436788696</v>
      </c>
      <c r="AX10" s="62">
        <f t="shared" si="9"/>
        <v>0.16757376109997102</v>
      </c>
      <c r="AY10" s="62">
        <f t="shared" si="9"/>
        <v>0.1792302798982186</v>
      </c>
      <c r="AZ10" s="62">
        <f t="shared" si="9"/>
        <v>0.25150818730249913</v>
      </c>
      <c r="BA10" s="62">
        <f t="shared" si="9"/>
        <v>0.26689189189189189</v>
      </c>
      <c r="BB10" s="62">
        <f t="shared" si="9"/>
        <v>0.26901373895976466</v>
      </c>
      <c r="BC10" s="62">
        <f t="shared" si="9"/>
        <v>0.24248145650708008</v>
      </c>
      <c r="BD10" s="62">
        <f t="shared" si="9"/>
        <v>0.1526454722827959</v>
      </c>
      <c r="BE10" s="62">
        <f t="shared" si="9"/>
        <v>1.9692307692307676E-2</v>
      </c>
      <c r="BF10" s="62">
        <f t="shared" si="9"/>
        <v>7.6075398743354006E-2</v>
      </c>
      <c r="BG10" s="62">
        <f t="shared" si="9"/>
        <v>0.12449799196787148</v>
      </c>
      <c r="BH10" s="62">
        <f t="shared" si="12"/>
        <v>0.15214577317534594</v>
      </c>
      <c r="BI10" s="62">
        <f t="shared" si="12"/>
        <v>0.21635485817742905</v>
      </c>
      <c r="BJ10" s="62">
        <f t="shared" si="12"/>
        <v>0.13151275601868484</v>
      </c>
      <c r="BK10" s="62">
        <f t="shared" si="10"/>
        <v>0.15048262548262525</v>
      </c>
      <c r="BL10" s="62">
        <f t="shared" si="10"/>
        <v>0.13075792930602392</v>
      </c>
      <c r="BM10" s="52"/>
      <c r="BN10" s="52"/>
      <c r="BS10" s="61"/>
      <c r="BT10" s="62">
        <f t="shared" ref="BT10:CA10" si="15">BT26/BS26-1</f>
        <v>0.30759162303664933</v>
      </c>
      <c r="BU10" s="62">
        <f t="shared" si="15"/>
        <v>0.6016016016016017</v>
      </c>
      <c r="BV10" s="62">
        <f t="shared" si="15"/>
        <v>0.61999999999999988</v>
      </c>
      <c r="BW10" s="62">
        <f t="shared" si="15"/>
        <v>0.55092592592592604</v>
      </c>
      <c r="BX10" s="62">
        <f t="shared" si="15"/>
        <v>0.42611940298507456</v>
      </c>
      <c r="BY10" s="62">
        <f t="shared" si="15"/>
        <v>0.25327053898482488</v>
      </c>
      <c r="BZ10" s="62">
        <f t="shared" si="15"/>
        <v>0.43576896311760605</v>
      </c>
      <c r="CA10" s="62">
        <f t="shared" si="15"/>
        <v>0.43078712679333098</v>
      </c>
      <c r="CB10" s="62">
        <f>CB26/CA26-1</f>
        <v>0.30535230352303522</v>
      </c>
      <c r="CC10" s="62">
        <f t="shared" ref="CC10:CG10" si="16">CC6/CB6-1</f>
        <v>0.27082576426013394</v>
      </c>
      <c r="CD10" s="62">
        <f t="shared" si="16"/>
        <v>0.18840106187461725</v>
      </c>
      <c r="CE10" s="62">
        <f t="shared" si="16"/>
        <v>0.24486218984122621</v>
      </c>
      <c r="CF10" s="62">
        <f t="shared" si="16"/>
        <v>0.11338100102145043</v>
      </c>
      <c r="CG10" s="62">
        <f t="shared" si="16"/>
        <v>0.15596330275229353</v>
      </c>
      <c r="CH10" s="63">
        <f t="shared" ref="CH10:CQ10" si="17">CH6/CG6-1</f>
        <v>0.13971428571428568</v>
      </c>
      <c r="CI10" s="63">
        <f t="shared" si="17"/>
        <v>0.14376408038773292</v>
      </c>
      <c r="CJ10" s="63">
        <f t="shared" si="17"/>
        <v>0.13846617969534436</v>
      </c>
      <c r="CK10" s="63">
        <f t="shared" si="17"/>
        <v>0.13195517183527561</v>
      </c>
      <c r="CL10" s="63">
        <f t="shared" si="17"/>
        <v>0.12530070135344085</v>
      </c>
      <c r="CM10" s="63">
        <f t="shared" si="17"/>
        <v>0.11778116973972885</v>
      </c>
      <c r="CN10" s="63">
        <f t="shared" si="17"/>
        <v>0.1131721172981095</v>
      </c>
      <c r="CO10" s="63">
        <f t="shared" si="17"/>
        <v>0.10855171314658829</v>
      </c>
      <c r="CP10" s="63">
        <f t="shared" si="17"/>
        <v>0.10356288568240868</v>
      </c>
      <c r="CQ10" s="63">
        <f t="shared" si="17"/>
        <v>9.8574036696795098E-2</v>
      </c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</row>
    <row r="11" spans="2:148" ht="14.25" customHeight="1"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S11" s="59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</row>
    <row r="12" spans="2:148" ht="14.25" customHeight="1">
      <c r="B12" s="53" t="s">
        <v>164</v>
      </c>
      <c r="AM12" s="58">
        <f t="shared" ref="AM12:BG12" si="18">AM4/AM6</f>
        <v>0.70624537151320665</v>
      </c>
      <c r="AN12" s="58">
        <f t="shared" si="18"/>
        <v>0.73417441345728207</v>
      </c>
      <c r="AO12" s="58">
        <f t="shared" si="18"/>
        <v>0.7634258334997005</v>
      </c>
      <c r="AP12" s="58">
        <f t="shared" si="18"/>
        <v>0.76885217085603796</v>
      </c>
      <c r="AQ12" s="58">
        <f t="shared" si="18"/>
        <v>0.77366336633663368</v>
      </c>
      <c r="AR12" s="58">
        <f t="shared" si="18"/>
        <v>0.83330532683582581</v>
      </c>
      <c r="AS12" s="58">
        <f t="shared" si="18"/>
        <v>0.84943094432482313</v>
      </c>
      <c r="AT12" s="58">
        <f t="shared" si="18"/>
        <v>0.5879404182182757</v>
      </c>
      <c r="AU12" s="58">
        <f t="shared" si="18"/>
        <v>0.8382633587786259</v>
      </c>
      <c r="AV12" s="58">
        <f t="shared" si="18"/>
        <v>0.84041941970698075</v>
      </c>
      <c r="AW12" s="58">
        <f t="shared" si="18"/>
        <v>0.85265072765072769</v>
      </c>
      <c r="AX12" s="58">
        <f t="shared" si="18"/>
        <v>0.86162904808635921</v>
      </c>
      <c r="AY12" s="58">
        <f t="shared" si="18"/>
        <v>0.83465947403910989</v>
      </c>
      <c r="AZ12" s="58">
        <f t="shared" si="18"/>
        <v>0.84792838287616201</v>
      </c>
      <c r="BA12" s="58">
        <f t="shared" si="18"/>
        <v>0.73189743589743594</v>
      </c>
      <c r="BB12" s="58">
        <f t="shared" si="18"/>
        <v>0.99014016433059449</v>
      </c>
      <c r="BC12" s="58">
        <f t="shared" si="18"/>
        <v>0.84532725496580918</v>
      </c>
      <c r="BD12" s="58">
        <f t="shared" si="18"/>
        <v>0.85641740515782139</v>
      </c>
      <c r="BE12" s="58">
        <f t="shared" si="18"/>
        <v>0.84821967410983712</v>
      </c>
      <c r="BF12" s="58">
        <f t="shared" si="18"/>
        <v>0.85150916277398492</v>
      </c>
      <c r="BG12" s="58">
        <f t="shared" si="18"/>
        <v>0.84942084942084939</v>
      </c>
      <c r="BH12" s="58">
        <f t="shared" ref="BH12:BI12" si="19">BH4/BH6</f>
        <v>0.845043643591738</v>
      </c>
      <c r="BI12" s="58">
        <f t="shared" si="19"/>
        <v>0.84842470850905483</v>
      </c>
      <c r="BJ12" s="58">
        <f t="shared" ref="BJ12:BK12" si="20">BJ4/BJ6</f>
        <v>0.853604318831375</v>
      </c>
      <c r="BK12" s="58">
        <f t="shared" si="20"/>
        <v>0.84763822468327887</v>
      </c>
      <c r="BL12" s="58">
        <f t="shared" ref="BL12" si="21">BL4/BL6</f>
        <v>0.84255579333537145</v>
      </c>
      <c r="BS12" s="59"/>
      <c r="BT12" s="58"/>
      <c r="BU12" s="58"/>
      <c r="BV12" s="58"/>
      <c r="BW12" s="58"/>
      <c r="BX12" s="58"/>
      <c r="BY12" s="58"/>
      <c r="BZ12" s="58"/>
      <c r="CA12" s="58"/>
      <c r="CB12" s="58">
        <f t="shared" ref="CB12:CE12" si="22">CB4/CB6</f>
        <v>0.74614626044532106</v>
      </c>
      <c r="CC12" s="58">
        <f t="shared" si="22"/>
        <v>0.75531958341841943</v>
      </c>
      <c r="CD12" s="58">
        <f t="shared" si="22"/>
        <v>0.84913052443466908</v>
      </c>
      <c r="CE12" s="58">
        <f t="shared" si="22"/>
        <v>0.85459514672997816</v>
      </c>
      <c r="CF12" s="58">
        <f>CF4/CF6</f>
        <v>0.85050830647160924</v>
      </c>
      <c r="CG12" s="58">
        <f>CG4/CG6</f>
        <v>0.84920634920634919</v>
      </c>
      <c r="CH12" s="60">
        <f t="shared" ref="CH12" si="23">CH4/CH6</f>
        <v>0.84718392245341356</v>
      </c>
      <c r="CI12" s="60">
        <f t="shared" ref="CI12:CQ12" si="24">CI4/CI6</f>
        <v>0.84661796953440793</v>
      </c>
      <c r="CJ12" s="60">
        <f t="shared" si="24"/>
        <v>0.84775859176378832</v>
      </c>
      <c r="CK12" s="60">
        <f t="shared" si="24"/>
        <v>0.85003896408003854</v>
      </c>
      <c r="CL12" s="60">
        <f t="shared" si="24"/>
        <v>0.85207798264859014</v>
      </c>
      <c r="CM12" s="60">
        <f t="shared" si="24"/>
        <v>0.85376938384874812</v>
      </c>
      <c r="CN12" s="60">
        <f t="shared" si="24"/>
        <v>0.85517131465880891</v>
      </c>
      <c r="CO12" s="60">
        <f t="shared" si="24"/>
        <v>0.85628856824089017</v>
      </c>
      <c r="CP12" s="60">
        <f t="shared" si="24"/>
        <v>0.85740366967948889</v>
      </c>
      <c r="CQ12" s="60">
        <f t="shared" si="24"/>
        <v>0.85851659072818987</v>
      </c>
    </row>
    <row r="13" spans="2:148" ht="14.25" customHeight="1">
      <c r="B13" s="53" t="s">
        <v>165</v>
      </c>
      <c r="AM13" s="58">
        <f t="shared" ref="AM13:BG13" si="25">AM5/AM6</f>
        <v>0.29375462848679335</v>
      </c>
      <c r="AN13" s="58">
        <f t="shared" si="25"/>
        <v>0.26582558654271804</v>
      </c>
      <c r="AO13" s="58">
        <f t="shared" si="25"/>
        <v>0.23657416650029947</v>
      </c>
      <c r="AP13" s="58">
        <f t="shared" si="25"/>
        <v>0.23114782914396204</v>
      </c>
      <c r="AQ13" s="58">
        <f t="shared" si="25"/>
        <v>0.22633663366336634</v>
      </c>
      <c r="AR13" s="58">
        <f t="shared" si="25"/>
        <v>0.16669467316417408</v>
      </c>
      <c r="AS13" s="58">
        <f t="shared" si="25"/>
        <v>0.15056905567517689</v>
      </c>
      <c r="AT13" s="58">
        <f t="shared" si="25"/>
        <v>0.41205958178172436</v>
      </c>
      <c r="AU13" s="58">
        <f t="shared" si="25"/>
        <v>0.16173664122137404</v>
      </c>
      <c r="AV13" s="58">
        <f t="shared" si="25"/>
        <v>0.15958058029301922</v>
      </c>
      <c r="AW13" s="58">
        <f t="shared" si="25"/>
        <v>0.14734927234927236</v>
      </c>
      <c r="AX13" s="58">
        <f t="shared" si="25"/>
        <v>0.13837095191364077</v>
      </c>
      <c r="AY13" s="58">
        <f t="shared" si="25"/>
        <v>0.16534052596089008</v>
      </c>
      <c r="AZ13" s="58">
        <f t="shared" si="25"/>
        <v>0.15207161712383796</v>
      </c>
      <c r="BA13" s="58">
        <f t="shared" si="25"/>
        <v>0.26810256410256406</v>
      </c>
      <c r="BB13" s="58">
        <f t="shared" si="25"/>
        <v>9.8598356694055509E-3</v>
      </c>
      <c r="BC13" s="58">
        <f t="shared" si="25"/>
        <v>0.15467274503419082</v>
      </c>
      <c r="BD13" s="58">
        <f t="shared" si="25"/>
        <v>0.14358259484217864</v>
      </c>
      <c r="BE13" s="58">
        <f t="shared" si="25"/>
        <v>0.15178032589016296</v>
      </c>
      <c r="BF13" s="58">
        <f t="shared" si="25"/>
        <v>0.14849083722601505</v>
      </c>
      <c r="BG13" s="58">
        <f t="shared" si="25"/>
        <v>0.15057915057915058</v>
      </c>
      <c r="BH13" s="58">
        <f t="shared" ref="BH13:BI13" si="26">BH5/BH6</f>
        <v>0.15495635640826205</v>
      </c>
      <c r="BI13" s="58">
        <f t="shared" si="26"/>
        <v>0.1515752914909452</v>
      </c>
      <c r="BJ13" s="58">
        <f t="shared" ref="BJ13:BK13" si="27">BJ5/BJ6</f>
        <v>0.14639568116862495</v>
      </c>
      <c r="BK13" s="58">
        <f t="shared" si="27"/>
        <v>0.15236177531672121</v>
      </c>
      <c r="BL13" s="58">
        <f t="shared" ref="BL13" si="28">BL5/BL6</f>
        <v>0.15744420666462855</v>
      </c>
      <c r="BS13" s="59"/>
      <c r="BT13" s="58"/>
      <c r="BU13" s="58"/>
      <c r="BV13" s="58"/>
      <c r="BW13" s="58"/>
      <c r="BX13" s="58"/>
      <c r="BY13" s="58"/>
      <c r="BZ13" s="58"/>
      <c r="CA13" s="58"/>
      <c r="CB13" s="58">
        <f t="shared" ref="CB13:CE13" si="29">CB5/CB6</f>
        <v>0.25385373955467905</v>
      </c>
      <c r="CC13" s="58">
        <f t="shared" si="29"/>
        <v>0.24468041658158057</v>
      </c>
      <c r="CD13" s="58">
        <f t="shared" si="29"/>
        <v>0.15086947556533095</v>
      </c>
      <c r="CE13" s="58">
        <f t="shared" si="29"/>
        <v>0.14540485327002181</v>
      </c>
      <c r="CF13" s="58">
        <f>CF5/CF6</f>
        <v>0.14949169352839076</v>
      </c>
      <c r="CG13" s="58">
        <f>CG5/CG6</f>
        <v>0.15079365079365079</v>
      </c>
      <c r="CH13" s="60">
        <f t="shared" ref="CH13" si="30">CH5/CH6</f>
        <v>0.15281607754658647</v>
      </c>
      <c r="CI13" s="60">
        <f t="shared" ref="CI13:CQ13" si="31">CI5/CI6</f>
        <v>0.15338203046559215</v>
      </c>
      <c r="CJ13" s="60">
        <f t="shared" si="31"/>
        <v>0.15224140823621157</v>
      </c>
      <c r="CK13" s="60">
        <f t="shared" si="31"/>
        <v>0.14996103591996143</v>
      </c>
      <c r="CL13" s="60">
        <f t="shared" si="31"/>
        <v>0.14792201735140972</v>
      </c>
      <c r="CM13" s="60">
        <f t="shared" si="31"/>
        <v>0.14623061615125202</v>
      </c>
      <c r="CN13" s="60">
        <f t="shared" si="31"/>
        <v>0.14482868534119109</v>
      </c>
      <c r="CO13" s="60">
        <f t="shared" si="31"/>
        <v>0.14371143175910983</v>
      </c>
      <c r="CP13" s="60">
        <f t="shared" si="31"/>
        <v>0.14259633032051117</v>
      </c>
      <c r="CQ13" s="60">
        <f t="shared" si="31"/>
        <v>0.14148340927181011</v>
      </c>
    </row>
    <row r="14" spans="2:148" ht="14.25" customHeight="1"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</row>
    <row r="15" spans="2:148" ht="14.25" customHeight="1">
      <c r="B15" s="64" t="s">
        <v>54</v>
      </c>
      <c r="AM15" s="54">
        <v>292.3</v>
      </c>
      <c r="AN15" s="54">
        <v>367.1</v>
      </c>
      <c r="AO15" s="54">
        <v>398.6</v>
      </c>
      <c r="AP15" s="54">
        <f>1509.5-SUM(AM15:AO15)</f>
        <v>451.5</v>
      </c>
      <c r="AQ15" s="54">
        <v>381.2</v>
      </c>
      <c r="AR15" s="54">
        <v>461.5</v>
      </c>
      <c r="AS15" s="54">
        <v>489.6</v>
      </c>
      <c r="AT15" s="54">
        <f>2024.3-SUM(AQ15:AS15)</f>
        <v>691.99999999999977</v>
      </c>
      <c r="AU15" s="54">
        <v>451.2</v>
      </c>
      <c r="AV15" s="54">
        <v>511</v>
      </c>
      <c r="AW15" s="54">
        <v>573.4</v>
      </c>
      <c r="AX15" s="54">
        <f>2142-SUM(AU15:AW15)</f>
        <v>606.40000000000009</v>
      </c>
      <c r="AY15" s="54">
        <v>526</v>
      </c>
      <c r="AZ15" s="54">
        <v>616.6</v>
      </c>
      <c r="BA15" s="54">
        <v>713.6</v>
      </c>
      <c r="BB15" s="54">
        <f>2625.3-SUM(AY15:BA15)</f>
        <v>769.10000000000036</v>
      </c>
      <c r="BC15" s="54">
        <v>653.20000000000005</v>
      </c>
      <c r="BD15" s="54">
        <v>731.9</v>
      </c>
      <c r="BE15" s="54">
        <v>701.9</v>
      </c>
      <c r="BF15" s="54">
        <f>2889.8-SUM(BC15:BE15)</f>
        <v>802.80000000000018</v>
      </c>
      <c r="BG15" s="54">
        <v>750.5</v>
      </c>
      <c r="BH15" s="54">
        <v>841</v>
      </c>
      <c r="BI15" s="54">
        <v>851.9</v>
      </c>
      <c r="BJ15" s="54">
        <f>3334.9-SUM(BG15:BI15)</f>
        <v>891.5</v>
      </c>
      <c r="BK15" s="54">
        <v>832.3</v>
      </c>
      <c r="BL15" s="54">
        <v>933.4</v>
      </c>
      <c r="BS15" s="54"/>
      <c r="BT15" s="54"/>
      <c r="BU15" s="54"/>
      <c r="BV15" s="54"/>
      <c r="BW15" s="54"/>
      <c r="BX15" s="54"/>
      <c r="BY15" s="54"/>
      <c r="BZ15" s="54"/>
      <c r="CA15" s="54"/>
      <c r="CB15" s="54">
        <f>SUM(AM15:AP15)</f>
        <v>1509.5</v>
      </c>
      <c r="CC15" s="54">
        <f>SUM(AQ15:AT15)</f>
        <v>2024.3</v>
      </c>
      <c r="CD15" s="54">
        <f>SUM(AU15:AX15)</f>
        <v>2142</v>
      </c>
      <c r="CE15" s="54">
        <f>SUM(AY15:BB15)</f>
        <v>2625.3</v>
      </c>
      <c r="CF15" s="54">
        <f>SUM(BC15:BF15)</f>
        <v>2889.8</v>
      </c>
      <c r="CG15" s="54">
        <f t="shared" ref="CG15:CG17" si="32">SUM(BG15:BJ15)</f>
        <v>3334.9</v>
      </c>
    </row>
    <row r="16" spans="2:148" ht="14.25" customHeight="1">
      <c r="B16" s="64" t="s">
        <v>159</v>
      </c>
      <c r="AM16" s="54">
        <v>112.8</v>
      </c>
      <c r="AN16" s="54">
        <v>84.7</v>
      </c>
      <c r="AO16" s="54">
        <v>102.3</v>
      </c>
      <c r="AP16" s="54">
        <f>417.2-SUM(AM16:AO16)</f>
        <v>117.39999999999998</v>
      </c>
      <c r="AQ16" s="54">
        <v>123.8</v>
      </c>
      <c r="AR16" s="54">
        <v>133.6</v>
      </c>
      <c r="AS16" s="54">
        <v>160.6</v>
      </c>
      <c r="AT16" s="54">
        <f>424.2-SUM(AQ16:AS16)</f>
        <v>6.1999999999999886</v>
      </c>
      <c r="AU16" s="54">
        <v>177.6</v>
      </c>
      <c r="AV16" s="54">
        <v>185.2</v>
      </c>
      <c r="AW16" s="54">
        <v>196.2</v>
      </c>
      <c r="AX16" s="54">
        <f>767.8-SUM(AU16:AW16)</f>
        <v>208.79999999999995</v>
      </c>
      <c r="AY16" s="54">
        <v>215.5</v>
      </c>
      <c r="AZ16" s="54">
        <v>254.7</v>
      </c>
      <c r="BA16" s="54">
        <v>261.39999999999998</v>
      </c>
      <c r="BB16" s="54">
        <f>997-SUM(AY16:BA16)</f>
        <v>265.40000000000009</v>
      </c>
      <c r="BC16" s="54">
        <v>267.8</v>
      </c>
      <c r="BD16" s="54">
        <v>272.39999999999998</v>
      </c>
      <c r="BE16" s="54">
        <v>292.3</v>
      </c>
      <c r="BF16" s="54">
        <f>1143.2-SUM(BC16:BE16)</f>
        <v>310.70000000000005</v>
      </c>
      <c r="BG16" s="54">
        <v>285.5</v>
      </c>
      <c r="BH16" s="54">
        <v>316.10000000000002</v>
      </c>
      <c r="BI16" s="54">
        <v>357.4</v>
      </c>
      <c r="BJ16" s="54">
        <f>1327.1-SUM(BG16:BI16)</f>
        <v>368.09999999999991</v>
      </c>
      <c r="BK16" s="54">
        <v>359.6</v>
      </c>
      <c r="BL16" s="54">
        <v>375</v>
      </c>
      <c r="BS16" s="54"/>
      <c r="BT16" s="54"/>
      <c r="BU16" s="54"/>
      <c r="BV16" s="54"/>
      <c r="BW16" s="54"/>
      <c r="BX16" s="54"/>
      <c r="BY16" s="54"/>
      <c r="BZ16" s="54"/>
      <c r="CA16" s="54"/>
      <c r="CB16" s="54">
        <f>SUM(AM16:AP16)</f>
        <v>417.2</v>
      </c>
      <c r="CC16" s="54">
        <f>SUM(AQ16:AT16)</f>
        <v>424.2</v>
      </c>
      <c r="CD16" s="54">
        <f>SUM(AU16:AX16)</f>
        <v>767.8</v>
      </c>
      <c r="CE16" s="54">
        <f>SUM(AY16:BB16)</f>
        <v>997</v>
      </c>
      <c r="CF16" s="54">
        <f>SUM(BC16:BF16)</f>
        <v>1143.2</v>
      </c>
      <c r="CG16" s="54">
        <f t="shared" si="32"/>
        <v>1327.1</v>
      </c>
    </row>
    <row r="17" spans="2:147" ht="14.25" customHeight="1">
      <c r="B17" s="49" t="s">
        <v>53</v>
      </c>
      <c r="AM17" s="56">
        <f t="shared" ref="AM17:BH17" si="33">SUM(AM15:AM16)</f>
        <v>405.1</v>
      </c>
      <c r="AN17" s="56">
        <f t="shared" si="33"/>
        <v>451.8</v>
      </c>
      <c r="AO17" s="56">
        <f t="shared" si="33"/>
        <v>500.90000000000003</v>
      </c>
      <c r="AP17" s="56">
        <f t="shared" si="33"/>
        <v>568.9</v>
      </c>
      <c r="AQ17" s="56">
        <f t="shared" si="33"/>
        <v>505</v>
      </c>
      <c r="AR17" s="56">
        <f t="shared" si="33"/>
        <v>595.1</v>
      </c>
      <c r="AS17" s="56">
        <f t="shared" si="33"/>
        <v>650.20000000000005</v>
      </c>
      <c r="AT17" s="56">
        <f t="shared" si="33"/>
        <v>698.19999999999982</v>
      </c>
      <c r="AU17" s="56">
        <f t="shared" si="33"/>
        <v>628.79999999999995</v>
      </c>
      <c r="AV17" s="56">
        <f t="shared" si="33"/>
        <v>696.2</v>
      </c>
      <c r="AW17" s="56">
        <f t="shared" si="33"/>
        <v>769.59999999999991</v>
      </c>
      <c r="AX17" s="56">
        <f t="shared" si="33"/>
        <v>815.2</v>
      </c>
      <c r="AY17" s="56">
        <f t="shared" si="33"/>
        <v>741.5</v>
      </c>
      <c r="AZ17" s="56">
        <f t="shared" si="33"/>
        <v>871.3</v>
      </c>
      <c r="BA17" s="56">
        <f t="shared" si="33"/>
        <v>975</v>
      </c>
      <c r="BB17" s="56">
        <f t="shared" si="33"/>
        <v>1034.5000000000005</v>
      </c>
      <c r="BC17" s="56">
        <f t="shared" si="33"/>
        <v>921</v>
      </c>
      <c r="BD17" s="56">
        <f t="shared" si="33"/>
        <v>1004.3</v>
      </c>
      <c r="BE17" s="56">
        <f t="shared" si="33"/>
        <v>994.2</v>
      </c>
      <c r="BF17" s="56">
        <f t="shared" si="33"/>
        <v>1113.5000000000002</v>
      </c>
      <c r="BG17" s="56">
        <f t="shared" si="33"/>
        <v>1036</v>
      </c>
      <c r="BH17" s="56">
        <f t="shared" si="33"/>
        <v>1157.0999999999999</v>
      </c>
      <c r="BI17" s="56">
        <f t="shared" ref="BI17:BK17" si="34">SUM(BI15:BI16)</f>
        <v>1209.3</v>
      </c>
      <c r="BJ17" s="56">
        <f t="shared" si="34"/>
        <v>1259.5999999999999</v>
      </c>
      <c r="BK17" s="56">
        <f t="shared" si="34"/>
        <v>1191.9000000000001</v>
      </c>
      <c r="BL17" s="56">
        <f t="shared" ref="BL17" si="35">SUM(BL15:BL16)</f>
        <v>1308.4000000000001</v>
      </c>
      <c r="BS17" s="54"/>
      <c r="BT17" s="54"/>
      <c r="BU17" s="54"/>
      <c r="BV17" s="54"/>
      <c r="BW17" s="54"/>
      <c r="BX17" s="54"/>
      <c r="BY17" s="54"/>
      <c r="BZ17" s="54"/>
      <c r="CA17" s="54"/>
      <c r="CB17" s="56">
        <f>SUM(AM17:AP17)</f>
        <v>1926.7000000000003</v>
      </c>
      <c r="CC17" s="56">
        <f>SUM(AQ17:AT17)</f>
        <v>2448.5</v>
      </c>
      <c r="CD17" s="56">
        <f>SUM(AU17:AX17)</f>
        <v>2909.8</v>
      </c>
      <c r="CE17" s="56">
        <f>SUM(AY17:BB17)</f>
        <v>3622.3000000000006</v>
      </c>
      <c r="CF17" s="56">
        <f>SUM(BC17:BF17)</f>
        <v>4033</v>
      </c>
      <c r="CG17" s="56">
        <f t="shared" si="32"/>
        <v>4662</v>
      </c>
    </row>
    <row r="18" spans="2:147" ht="14.25" customHeight="1"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</row>
    <row r="19" spans="2:147" ht="14.25" customHeight="1">
      <c r="B19" s="64" t="s">
        <v>56</v>
      </c>
      <c r="AM19" s="58"/>
      <c r="AN19" s="58"/>
      <c r="AO19" s="58"/>
      <c r="AP19" s="58"/>
      <c r="AQ19" s="58">
        <f t="shared" ref="AQ19:BL21" si="36">AQ15/AM15-1</f>
        <v>0.30413958262059526</v>
      </c>
      <c r="AR19" s="58">
        <f t="shared" si="36"/>
        <v>0.25715064015254696</v>
      </c>
      <c r="AS19" s="58">
        <f t="shared" si="36"/>
        <v>0.22829904666332168</v>
      </c>
      <c r="AT19" s="58">
        <f t="shared" si="36"/>
        <v>0.53266888150609026</v>
      </c>
      <c r="AU19" s="58">
        <f t="shared" si="36"/>
        <v>0.18363064008394536</v>
      </c>
      <c r="AV19" s="58">
        <f t="shared" si="36"/>
        <v>0.10725893824485366</v>
      </c>
      <c r="AW19" s="58">
        <f t="shared" si="36"/>
        <v>0.17116013071895408</v>
      </c>
      <c r="AX19" s="58">
        <f t="shared" si="36"/>
        <v>-0.12369942196531747</v>
      </c>
      <c r="AY19" s="58">
        <f t="shared" si="36"/>
        <v>0.16578014184397172</v>
      </c>
      <c r="AZ19" s="58">
        <f t="shared" si="36"/>
        <v>0.20665362035225043</v>
      </c>
      <c r="BA19" s="58">
        <f t="shared" si="36"/>
        <v>0.24450645273805383</v>
      </c>
      <c r="BB19" s="58">
        <f t="shared" si="36"/>
        <v>0.26830474934036985</v>
      </c>
      <c r="BC19" s="58">
        <f t="shared" si="36"/>
        <v>0.2418250950570342</v>
      </c>
      <c r="BD19" s="58">
        <f t="shared" si="36"/>
        <v>0.18699318845280555</v>
      </c>
      <c r="BE19" s="58">
        <f t="shared" si="36"/>
        <v>-1.6395739910313956E-2</v>
      </c>
      <c r="BF19" s="58">
        <f t="shared" si="36"/>
        <v>4.3817448966324113E-2</v>
      </c>
      <c r="BG19" s="58">
        <f t="shared" si="36"/>
        <v>0.1489589712186159</v>
      </c>
      <c r="BH19" s="58">
        <f t="shared" si="36"/>
        <v>0.14906407979232128</v>
      </c>
      <c r="BI19" s="58">
        <f t="shared" si="36"/>
        <v>0.21370565607636416</v>
      </c>
      <c r="BJ19" s="58">
        <f t="shared" si="36"/>
        <v>0.11048829098156432</v>
      </c>
      <c r="BK19" s="58">
        <f t="shared" si="36"/>
        <v>0.10899400399733494</v>
      </c>
      <c r="BL19" s="58">
        <f t="shared" si="36"/>
        <v>0.10986920332936978</v>
      </c>
      <c r="BS19" s="59"/>
      <c r="BT19" s="59"/>
      <c r="BU19" s="59"/>
      <c r="BV19" s="59"/>
      <c r="BW19" s="59"/>
      <c r="BX19" s="59"/>
      <c r="BY19" s="59"/>
      <c r="BZ19" s="59"/>
      <c r="CA19" s="59"/>
      <c r="CB19" s="58"/>
      <c r="CC19" s="58">
        <f t="shared" ref="CC19:CG19" si="37">CC15/CB15-1</f>
        <v>0.34104007949652204</v>
      </c>
      <c r="CD19" s="58">
        <f t="shared" si="37"/>
        <v>5.814355579706576E-2</v>
      </c>
      <c r="CE19" s="58">
        <f t="shared" si="37"/>
        <v>0.22563025210084042</v>
      </c>
      <c r="CF19" s="58">
        <f t="shared" si="37"/>
        <v>0.10075039043156964</v>
      </c>
      <c r="CG19" s="58">
        <f t="shared" si="37"/>
        <v>0.15402449996539547</v>
      </c>
    </row>
    <row r="20" spans="2:147" ht="14.25" customHeight="1">
      <c r="B20" s="64" t="s">
        <v>158</v>
      </c>
      <c r="AM20" s="58"/>
      <c r="AN20" s="58"/>
      <c r="AO20" s="58"/>
      <c r="AP20" s="58"/>
      <c r="AQ20" s="58">
        <f t="shared" si="36"/>
        <v>9.7517730496453847E-2</v>
      </c>
      <c r="AR20" s="58">
        <f t="shared" si="36"/>
        <v>0.57733175914994095</v>
      </c>
      <c r="AS20" s="58">
        <f t="shared" si="36"/>
        <v>0.56989247311827951</v>
      </c>
      <c r="AT20" s="58">
        <f t="shared" si="36"/>
        <v>-0.9471890971039183</v>
      </c>
      <c r="AU20" s="58">
        <f t="shared" si="36"/>
        <v>0.43457189014539588</v>
      </c>
      <c r="AV20" s="58">
        <f t="shared" si="36"/>
        <v>0.38622754491017952</v>
      </c>
      <c r="AW20" s="58">
        <f t="shared" si="36"/>
        <v>0.22166874221668742</v>
      </c>
      <c r="AX20" s="58">
        <f t="shared" si="36"/>
        <v>32.677419354838761</v>
      </c>
      <c r="AY20" s="58">
        <f t="shared" si="36"/>
        <v>0.21340090090090102</v>
      </c>
      <c r="AZ20" s="58">
        <f t="shared" si="36"/>
        <v>0.37526997840172793</v>
      </c>
      <c r="BA20" s="58">
        <f t="shared" si="36"/>
        <v>0.33231396534148816</v>
      </c>
      <c r="BB20" s="58">
        <f t="shared" si="36"/>
        <v>0.27107279693486652</v>
      </c>
      <c r="BC20" s="58">
        <f t="shared" si="36"/>
        <v>0.24269141531322513</v>
      </c>
      <c r="BD20" s="58">
        <f t="shared" si="36"/>
        <v>6.9493521790341628E-2</v>
      </c>
      <c r="BE20" s="58">
        <f t="shared" si="36"/>
        <v>0.11820964039785786</v>
      </c>
      <c r="BF20" s="58">
        <f t="shared" si="36"/>
        <v>0.17068575734739988</v>
      </c>
      <c r="BG20" s="58">
        <f t="shared" si="36"/>
        <v>6.6094100074682638E-2</v>
      </c>
      <c r="BH20" s="58">
        <f t="shared" si="36"/>
        <v>0.16042584434654938</v>
      </c>
      <c r="BI20" s="58">
        <f t="shared" si="36"/>
        <v>0.22271638727334908</v>
      </c>
      <c r="BJ20" s="58">
        <f t="shared" si="36"/>
        <v>0.18474412616671976</v>
      </c>
      <c r="BK20" s="58">
        <f t="shared" si="36"/>
        <v>0.25954465849387054</v>
      </c>
      <c r="BL20" s="58">
        <f t="shared" si="36"/>
        <v>0.18633343878519448</v>
      </c>
      <c r="BS20" s="59"/>
      <c r="BT20" s="59"/>
      <c r="BU20" s="59"/>
      <c r="BV20" s="59"/>
      <c r="BW20" s="59"/>
      <c r="BX20" s="59"/>
      <c r="BY20" s="59"/>
      <c r="BZ20" s="59"/>
      <c r="CA20" s="59"/>
      <c r="CB20" s="58"/>
      <c r="CC20" s="58">
        <f t="shared" ref="CC20:CG20" si="38">CC16/CB16-1</f>
        <v>1.6778523489932917E-2</v>
      </c>
      <c r="CD20" s="58">
        <f t="shared" si="38"/>
        <v>0.80999528524280984</v>
      </c>
      <c r="CE20" s="58">
        <f t="shared" si="38"/>
        <v>0.29851523834331872</v>
      </c>
      <c r="CF20" s="58">
        <f t="shared" si="38"/>
        <v>0.14663991975927781</v>
      </c>
      <c r="CG20" s="58">
        <f t="shared" si="38"/>
        <v>0.1608642407277816</v>
      </c>
    </row>
    <row r="21" spans="2:147" ht="14.25" customHeight="1">
      <c r="B21" s="65" t="s">
        <v>111</v>
      </c>
      <c r="AM21" s="58"/>
      <c r="AN21" s="58"/>
      <c r="AO21" s="58"/>
      <c r="AP21" s="58"/>
      <c r="AQ21" s="58">
        <f t="shared" si="36"/>
        <v>0.24660577635151815</v>
      </c>
      <c r="AR21" s="58">
        <f t="shared" si="36"/>
        <v>0.31717574147853034</v>
      </c>
      <c r="AS21" s="58">
        <f t="shared" si="36"/>
        <v>0.29806348572569386</v>
      </c>
      <c r="AT21" s="58">
        <f t="shared" si="36"/>
        <v>0.22728071717349252</v>
      </c>
      <c r="AU21" s="58">
        <f t="shared" si="36"/>
        <v>0.24514851485148514</v>
      </c>
      <c r="AV21" s="58">
        <f t="shared" si="36"/>
        <v>0.16988741388002015</v>
      </c>
      <c r="AW21" s="58">
        <f t="shared" si="36"/>
        <v>0.18363580436788651</v>
      </c>
      <c r="AX21" s="58">
        <f t="shared" si="36"/>
        <v>0.16757376109997169</v>
      </c>
      <c r="AY21" s="58">
        <f t="shared" si="36"/>
        <v>0.17923027989821882</v>
      </c>
      <c r="AZ21" s="58">
        <f t="shared" si="36"/>
        <v>0.25150818730249913</v>
      </c>
      <c r="BA21" s="58">
        <f t="shared" si="36"/>
        <v>0.26689189189189211</v>
      </c>
      <c r="BB21" s="58">
        <f t="shared" si="36"/>
        <v>0.26901373895976488</v>
      </c>
      <c r="BC21" s="58">
        <f t="shared" si="36"/>
        <v>0.24207687120701271</v>
      </c>
      <c r="BD21" s="58">
        <f t="shared" si="36"/>
        <v>0.1526454722827959</v>
      </c>
      <c r="BE21" s="58">
        <f t="shared" si="36"/>
        <v>1.9692307692307676E-2</v>
      </c>
      <c r="BF21" s="58">
        <f t="shared" si="36"/>
        <v>7.636539391010122E-2</v>
      </c>
      <c r="BG21" s="58">
        <f t="shared" si="36"/>
        <v>0.12486427795874055</v>
      </c>
      <c r="BH21" s="58">
        <f t="shared" si="36"/>
        <v>0.15214577317534594</v>
      </c>
      <c r="BI21" s="58">
        <f t="shared" si="36"/>
        <v>0.21635485817742905</v>
      </c>
      <c r="BJ21" s="58">
        <f t="shared" si="36"/>
        <v>0.13120790300853136</v>
      </c>
      <c r="BK21" s="58">
        <f t="shared" si="36"/>
        <v>0.15048262548262548</v>
      </c>
      <c r="BL21" s="58">
        <f t="shared" si="36"/>
        <v>0.13075792930602392</v>
      </c>
      <c r="BS21" s="59"/>
      <c r="BT21" s="59"/>
      <c r="BU21" s="59"/>
      <c r="BV21" s="59"/>
      <c r="BW21" s="59"/>
      <c r="BX21" s="59"/>
      <c r="BY21" s="59"/>
      <c r="BZ21" s="59"/>
      <c r="CA21" s="59"/>
      <c r="CB21" s="58"/>
      <c r="CC21" s="58">
        <f t="shared" ref="CC21:CG21" si="39">CC17/CB17-1</f>
        <v>0.27082576426013372</v>
      </c>
      <c r="CD21" s="58">
        <f t="shared" si="39"/>
        <v>0.18840106187461725</v>
      </c>
      <c r="CE21" s="58">
        <f t="shared" si="39"/>
        <v>0.24486218984122643</v>
      </c>
      <c r="CF21" s="58">
        <f t="shared" si="39"/>
        <v>0.11338100102145021</v>
      </c>
      <c r="CG21" s="58">
        <f t="shared" si="39"/>
        <v>0.15596330275229353</v>
      </c>
    </row>
    <row r="22" spans="2:147" ht="14.25" customHeight="1"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S22" s="59"/>
      <c r="BT22" s="59"/>
      <c r="BU22" s="59"/>
      <c r="BV22" s="59"/>
      <c r="BW22" s="59"/>
      <c r="BX22" s="59"/>
      <c r="BY22" s="59"/>
      <c r="BZ22" s="59"/>
      <c r="CA22" s="59"/>
      <c r="CB22" s="58"/>
      <c r="CC22" s="58"/>
      <c r="CD22" s="58"/>
      <c r="CE22" s="58"/>
      <c r="CF22" s="58"/>
      <c r="CG22" s="58"/>
    </row>
    <row r="23" spans="2:147" ht="14.25" customHeight="1">
      <c r="B23" s="53" t="s">
        <v>55</v>
      </c>
      <c r="AM23" s="58">
        <f t="shared" ref="AM23:BH23" si="40">AM15/AM17</f>
        <v>0.72155023450999756</v>
      </c>
      <c r="AN23" s="58">
        <f t="shared" si="40"/>
        <v>0.81252766710934043</v>
      </c>
      <c r="AO23" s="58">
        <f t="shared" si="40"/>
        <v>0.7957676182870832</v>
      </c>
      <c r="AP23" s="58">
        <f t="shared" si="40"/>
        <v>0.7936368430304096</v>
      </c>
      <c r="AQ23" s="58">
        <f t="shared" si="40"/>
        <v>0.75485148514851486</v>
      </c>
      <c r="AR23" s="58">
        <f t="shared" si="40"/>
        <v>0.77549991598050749</v>
      </c>
      <c r="AS23" s="58">
        <f t="shared" si="40"/>
        <v>0.7529990772070132</v>
      </c>
      <c r="AT23" s="58">
        <f t="shared" si="40"/>
        <v>0.99112002291606982</v>
      </c>
      <c r="AU23" s="58">
        <f t="shared" si="40"/>
        <v>0.71755725190839703</v>
      </c>
      <c r="AV23" s="58">
        <f t="shared" si="40"/>
        <v>0.73398448721631715</v>
      </c>
      <c r="AW23" s="58">
        <f t="shared" si="40"/>
        <v>0.74506237006237008</v>
      </c>
      <c r="AX23" s="58">
        <f t="shared" si="40"/>
        <v>0.74386653581943085</v>
      </c>
      <c r="AY23" s="58">
        <f t="shared" si="40"/>
        <v>0.70937289278489546</v>
      </c>
      <c r="AZ23" s="58">
        <f t="shared" si="40"/>
        <v>0.70767818202685651</v>
      </c>
      <c r="BA23" s="58">
        <f t="shared" si="40"/>
        <v>0.73189743589743594</v>
      </c>
      <c r="BB23" s="58">
        <f t="shared" si="40"/>
        <v>0.743450942484292</v>
      </c>
      <c r="BC23" s="58">
        <f t="shared" si="40"/>
        <v>0.70922909880564611</v>
      </c>
      <c r="BD23" s="58">
        <f t="shared" si="40"/>
        <v>0.72876630488897742</v>
      </c>
      <c r="BE23" s="58">
        <f t="shared" si="40"/>
        <v>0.70599476966405139</v>
      </c>
      <c r="BF23" s="58">
        <f t="shared" si="40"/>
        <v>0.72096991468343063</v>
      </c>
      <c r="BG23" s="58">
        <f t="shared" si="40"/>
        <v>0.72442084942084939</v>
      </c>
      <c r="BH23" s="58">
        <f t="shared" si="40"/>
        <v>0.72681704260651636</v>
      </c>
      <c r="BI23" s="58">
        <f t="shared" ref="BI23:BK23" si="41">BI15/BI17</f>
        <v>0.70445712395600757</v>
      </c>
      <c r="BJ23" s="58">
        <f t="shared" si="41"/>
        <v>0.70776436964115597</v>
      </c>
      <c r="BK23" s="58">
        <f t="shared" si="41"/>
        <v>0.69829683698296829</v>
      </c>
      <c r="BL23" s="58">
        <f t="shared" ref="BL23" si="42">BL15/BL17</f>
        <v>0.71339040048914704</v>
      </c>
      <c r="BS23" s="59"/>
      <c r="BT23" s="59"/>
      <c r="BU23" s="59"/>
      <c r="BV23" s="59"/>
      <c r="BW23" s="59"/>
      <c r="BX23" s="59"/>
      <c r="BY23" s="59"/>
      <c r="BZ23" s="59"/>
      <c r="CA23" s="59"/>
      <c r="CB23" s="58">
        <f t="shared" ref="CB23:CE23" si="43">CB15/CB17</f>
        <v>0.7834639539108319</v>
      </c>
      <c r="CC23" s="58">
        <f t="shared" si="43"/>
        <v>0.82675107208494991</v>
      </c>
      <c r="CD23" s="58">
        <f t="shared" si="43"/>
        <v>0.73613306756478103</v>
      </c>
      <c r="CE23" s="58">
        <f t="shared" si="43"/>
        <v>0.72476051127736518</v>
      </c>
      <c r="CF23" s="58">
        <f>CF15/CF17</f>
        <v>0.71653855690552948</v>
      </c>
      <c r="CG23" s="58">
        <f>CG15/CG17</f>
        <v>0.71533676533676538</v>
      </c>
    </row>
    <row r="24" spans="2:147" ht="14.25" customHeight="1">
      <c r="B24" s="64" t="s">
        <v>157</v>
      </c>
      <c r="AM24" s="58">
        <f t="shared" ref="AM24:BH24" si="44">AM16/AM17</f>
        <v>0.27844976549000244</v>
      </c>
      <c r="AN24" s="58">
        <f t="shared" si="44"/>
        <v>0.18747233289065959</v>
      </c>
      <c r="AO24" s="58">
        <f t="shared" si="44"/>
        <v>0.20423238171291674</v>
      </c>
      <c r="AP24" s="58">
        <f t="shared" si="44"/>
        <v>0.2063631569695904</v>
      </c>
      <c r="AQ24" s="58">
        <f t="shared" si="44"/>
        <v>0.24514851485148514</v>
      </c>
      <c r="AR24" s="58">
        <f t="shared" si="44"/>
        <v>0.22450008401949251</v>
      </c>
      <c r="AS24" s="58">
        <f t="shared" si="44"/>
        <v>0.24700092279298674</v>
      </c>
      <c r="AT24" s="58">
        <f t="shared" si="44"/>
        <v>8.8799770839300927E-3</v>
      </c>
      <c r="AU24" s="58">
        <f t="shared" si="44"/>
        <v>0.28244274809160308</v>
      </c>
      <c r="AV24" s="58">
        <f t="shared" si="44"/>
        <v>0.26601551278368279</v>
      </c>
      <c r="AW24" s="58">
        <f t="shared" si="44"/>
        <v>0.25493762993762997</v>
      </c>
      <c r="AX24" s="58">
        <f t="shared" si="44"/>
        <v>0.25613346418056909</v>
      </c>
      <c r="AY24" s="58">
        <f t="shared" si="44"/>
        <v>0.29062710721510454</v>
      </c>
      <c r="AZ24" s="58">
        <f t="shared" si="44"/>
        <v>0.29232181797314361</v>
      </c>
      <c r="BA24" s="58">
        <f t="shared" si="44"/>
        <v>0.26810256410256406</v>
      </c>
      <c r="BB24" s="58">
        <f t="shared" si="44"/>
        <v>0.25654905751570806</v>
      </c>
      <c r="BC24" s="58">
        <f t="shared" si="44"/>
        <v>0.29077090119435395</v>
      </c>
      <c r="BD24" s="58">
        <f t="shared" si="44"/>
        <v>0.27123369511102258</v>
      </c>
      <c r="BE24" s="58">
        <f t="shared" si="44"/>
        <v>0.2940052303359485</v>
      </c>
      <c r="BF24" s="58">
        <f t="shared" si="44"/>
        <v>0.27903008531656937</v>
      </c>
      <c r="BG24" s="58">
        <f t="shared" si="44"/>
        <v>0.27557915057915056</v>
      </c>
      <c r="BH24" s="58">
        <f t="shared" si="44"/>
        <v>0.27318295739348375</v>
      </c>
      <c r="BI24" s="58">
        <f t="shared" ref="BI24:BK24" si="45">BI16/BI17</f>
        <v>0.29554287604399238</v>
      </c>
      <c r="BJ24" s="58">
        <f t="shared" si="45"/>
        <v>0.29223563035884403</v>
      </c>
      <c r="BK24" s="58">
        <f t="shared" si="45"/>
        <v>0.30170316301703165</v>
      </c>
      <c r="BL24" s="58">
        <f t="shared" ref="BL24" si="46">BL16/BL17</f>
        <v>0.28660959951085291</v>
      </c>
      <c r="BS24" s="59"/>
      <c r="BT24" s="59"/>
      <c r="BU24" s="59"/>
      <c r="BV24" s="59"/>
      <c r="BW24" s="59"/>
      <c r="BX24" s="59"/>
      <c r="BY24" s="59"/>
      <c r="BZ24" s="59"/>
      <c r="CA24" s="59"/>
      <c r="CB24" s="58">
        <f t="shared" ref="CB24:CE24" si="47">CB16/CB17</f>
        <v>0.21653604608916796</v>
      </c>
      <c r="CC24" s="58">
        <f t="shared" si="47"/>
        <v>0.17324892791505003</v>
      </c>
      <c r="CD24" s="58">
        <f t="shared" si="47"/>
        <v>0.26386693243521886</v>
      </c>
      <c r="CE24" s="58">
        <f t="shared" si="47"/>
        <v>0.27523948872263476</v>
      </c>
      <c r="CF24" s="58">
        <f>CF16/CF17</f>
        <v>0.28346144309447063</v>
      </c>
      <c r="CG24" s="58">
        <f>CG16/CG17</f>
        <v>0.28466323466323462</v>
      </c>
    </row>
    <row r="25" spans="2:147" ht="14.25" customHeight="1"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</row>
    <row r="26" spans="2:147" s="51" customFormat="1" ht="14.25" customHeight="1">
      <c r="B26" s="51" t="s">
        <v>52</v>
      </c>
      <c r="C26" s="56">
        <v>14.2</v>
      </c>
      <c r="D26" s="56">
        <v>21.4</v>
      </c>
      <c r="E26" s="56">
        <v>18.3</v>
      </c>
      <c r="F26" s="56">
        <v>22.5</v>
      </c>
      <c r="G26" s="56">
        <v>20.100000000000001</v>
      </c>
      <c r="H26" s="56">
        <v>23.4</v>
      </c>
      <c r="I26" s="56">
        <v>23.1</v>
      </c>
      <c r="J26" s="56">
        <v>33.299999999999997</v>
      </c>
      <c r="K26" s="56">
        <v>29.6</v>
      </c>
      <c r="L26" s="56">
        <v>35.799999999999997</v>
      </c>
      <c r="M26" s="56">
        <v>42.9</v>
      </c>
      <c r="N26" s="56">
        <v>51.7</v>
      </c>
      <c r="O26" s="56">
        <v>47.1</v>
      </c>
      <c r="P26" s="56">
        <v>58.8</v>
      </c>
      <c r="Q26" s="56">
        <v>69</v>
      </c>
      <c r="R26" s="56">
        <v>84.3</v>
      </c>
      <c r="S26" s="56">
        <v>72.8</v>
      </c>
      <c r="T26" s="56">
        <v>93.2</v>
      </c>
      <c r="U26" s="56">
        <v>105.2</v>
      </c>
      <c r="V26" s="56">
        <v>130.80000000000001</v>
      </c>
      <c r="W26" s="56">
        <v>116.2</v>
      </c>
      <c r="X26" s="56">
        <v>137.30000000000001</v>
      </c>
      <c r="Y26" s="56">
        <v>148.6</v>
      </c>
      <c r="Z26" s="56">
        <v>171.2</v>
      </c>
      <c r="AA26" s="56">
        <v>142.30000000000001</v>
      </c>
      <c r="AB26" s="56">
        <v>170.6</v>
      </c>
      <c r="AC26" s="56">
        <v>184.6</v>
      </c>
      <c r="AD26" s="56">
        <v>221</v>
      </c>
      <c r="AE26" s="56">
        <v>184.4</v>
      </c>
      <c r="AF26" s="56">
        <v>242.5</v>
      </c>
      <c r="AG26" s="56">
        <v>266.7</v>
      </c>
      <c r="AH26" s="56">
        <v>338</v>
      </c>
      <c r="AI26" s="56">
        <v>280.5</v>
      </c>
      <c r="AJ26" s="56">
        <v>336.4</v>
      </c>
      <c r="AK26" s="56">
        <v>396.3</v>
      </c>
      <c r="AL26" s="56">
        <v>462.8</v>
      </c>
      <c r="AM26" s="56">
        <f t="shared" ref="AM26:BF26" si="48">AM6</f>
        <v>405.1</v>
      </c>
      <c r="AN26" s="56">
        <f t="shared" si="48"/>
        <v>451.79999999999995</v>
      </c>
      <c r="AO26" s="56">
        <f t="shared" si="48"/>
        <v>500.9</v>
      </c>
      <c r="AP26" s="56">
        <f t="shared" si="48"/>
        <v>568.9</v>
      </c>
      <c r="AQ26" s="56">
        <f t="shared" si="48"/>
        <v>505</v>
      </c>
      <c r="AR26" s="56">
        <f t="shared" si="48"/>
        <v>595.1</v>
      </c>
      <c r="AS26" s="56">
        <f t="shared" si="48"/>
        <v>650.19999999999993</v>
      </c>
      <c r="AT26" s="56">
        <f t="shared" si="48"/>
        <v>698.20000000000027</v>
      </c>
      <c r="AU26" s="56">
        <f t="shared" si="48"/>
        <v>628.80000000000007</v>
      </c>
      <c r="AV26" s="56">
        <f t="shared" si="48"/>
        <v>696.2</v>
      </c>
      <c r="AW26" s="56">
        <f t="shared" si="48"/>
        <v>769.6</v>
      </c>
      <c r="AX26" s="56">
        <f t="shared" si="48"/>
        <v>815.2</v>
      </c>
      <c r="AY26" s="56">
        <f t="shared" si="48"/>
        <v>741.5</v>
      </c>
      <c r="AZ26" s="56">
        <f t="shared" si="48"/>
        <v>871.3</v>
      </c>
      <c r="BA26" s="56">
        <f t="shared" si="48"/>
        <v>975</v>
      </c>
      <c r="BB26" s="56">
        <f t="shared" si="48"/>
        <v>1034.5000000000002</v>
      </c>
      <c r="BC26" s="56">
        <f t="shared" si="48"/>
        <v>921.3</v>
      </c>
      <c r="BD26" s="56">
        <f t="shared" si="48"/>
        <v>1004.3</v>
      </c>
      <c r="BE26" s="56">
        <f t="shared" si="48"/>
        <v>994.19999999999993</v>
      </c>
      <c r="BF26" s="56">
        <f t="shared" si="48"/>
        <v>1113.2</v>
      </c>
      <c r="BG26" s="56">
        <f t="shared" ref="BG26:BL26" si="49">BG6</f>
        <v>1036</v>
      </c>
      <c r="BH26" s="56">
        <f t="shared" si="49"/>
        <v>1157.0999999999999</v>
      </c>
      <c r="BI26" s="56">
        <f t="shared" si="49"/>
        <v>1209.3</v>
      </c>
      <c r="BJ26" s="56">
        <f t="shared" si="49"/>
        <v>1259.5999999999999</v>
      </c>
      <c r="BK26" s="56">
        <f t="shared" si="49"/>
        <v>1191.8999999999999</v>
      </c>
      <c r="BL26" s="56">
        <f t="shared" si="49"/>
        <v>1308.4000000000001</v>
      </c>
      <c r="BM26" s="52"/>
      <c r="BN26" s="52"/>
      <c r="BS26" s="56">
        <f>SUM(C26:F26)</f>
        <v>76.399999999999991</v>
      </c>
      <c r="BT26" s="56">
        <f>SUM(G26:J26)</f>
        <v>99.899999999999991</v>
      </c>
      <c r="BU26" s="56">
        <f>SUM(K26:N26)</f>
        <v>160</v>
      </c>
      <c r="BV26" s="56">
        <f>SUM(O26:R26)</f>
        <v>259.2</v>
      </c>
      <c r="BW26" s="56">
        <f>SUM(S26:V26)</f>
        <v>402</v>
      </c>
      <c r="BX26" s="56">
        <f>SUM(W26:Z26)</f>
        <v>573.29999999999995</v>
      </c>
      <c r="BY26" s="56">
        <f>SUM(AA26:AD26)</f>
        <v>718.5</v>
      </c>
      <c r="BZ26" s="56">
        <f>SUM(AE26:AH26)</f>
        <v>1031.5999999999999</v>
      </c>
      <c r="CA26" s="56">
        <f>SUM(AI26:AL26)</f>
        <v>1476</v>
      </c>
      <c r="CB26" s="56">
        <f>SUM(AM26:AP26)</f>
        <v>1926.6999999999998</v>
      </c>
      <c r="CC26" s="56">
        <f>SUM(AQ26:AT26)</f>
        <v>2448.5</v>
      </c>
      <c r="CD26" s="56">
        <f>SUM(AU26:AX26)</f>
        <v>2909.8</v>
      </c>
      <c r="CE26" s="56">
        <f>SUM(AY26:BB26)</f>
        <v>3622.3</v>
      </c>
      <c r="CF26" s="56">
        <f>SUM(BC26:BF26)</f>
        <v>4033</v>
      </c>
      <c r="CG26" s="56">
        <f t="shared" ref="CG26:CG37" si="50">SUM(BG26:BJ26)</f>
        <v>4662</v>
      </c>
      <c r="CH26" s="57">
        <f>CH6</f>
        <v>5313.348</v>
      </c>
      <c r="CI26" s="57">
        <f t="shared" ref="CI26:CQ26" si="51">CI6</f>
        <v>6077.2165889999997</v>
      </c>
      <c r="CJ26" s="57">
        <f t="shared" si="51"/>
        <v>6918.7055532600007</v>
      </c>
      <c r="CK26" s="57">
        <f t="shared" si="51"/>
        <v>7831.6645334181003</v>
      </c>
      <c r="CL26" s="57">
        <f t="shared" si="51"/>
        <v>8812.9775922202571</v>
      </c>
      <c r="CM26" s="57">
        <f t="shared" si="51"/>
        <v>9850.9804019219773</v>
      </c>
      <c r="CN26" s="57">
        <f t="shared" si="51"/>
        <v>10965.836711469668</v>
      </c>
      <c r="CO26" s="57">
        <f t="shared" si="51"/>
        <v>12156.19707258545</v>
      </c>
      <c r="CP26" s="57">
        <f t="shared" si="51"/>
        <v>13415.127920346449</v>
      </c>
      <c r="CQ26" s="57">
        <f t="shared" si="51"/>
        <v>14737.511232258879</v>
      </c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</row>
    <row r="27" spans="2:147" ht="14.25" customHeight="1">
      <c r="B27" s="48" t="s">
        <v>57</v>
      </c>
      <c r="C27" s="54">
        <v>9.1</v>
      </c>
      <c r="D27" s="54">
        <v>9.5</v>
      </c>
      <c r="E27" s="54">
        <v>10.1</v>
      </c>
      <c r="F27" s="54">
        <v>11.7</v>
      </c>
      <c r="G27" s="54">
        <v>10.7</v>
      </c>
      <c r="H27" s="54">
        <v>12.2</v>
      </c>
      <c r="I27" s="54">
        <v>14.7</v>
      </c>
      <c r="J27" s="54">
        <v>15.7</v>
      </c>
      <c r="K27" s="54">
        <v>13.1</v>
      </c>
      <c r="L27" s="54">
        <v>13.9</v>
      </c>
      <c r="M27" s="54">
        <v>15.3</v>
      </c>
      <c r="N27" s="54">
        <v>17.600000000000001</v>
      </c>
      <c r="O27" s="54">
        <v>17.3</v>
      </c>
      <c r="P27" s="54">
        <v>18.899999999999999</v>
      </c>
      <c r="Q27" s="54">
        <v>21.8</v>
      </c>
      <c r="R27" s="54">
        <v>24.9</v>
      </c>
      <c r="S27" s="54">
        <v>26.3</v>
      </c>
      <c r="T27" s="54">
        <v>27.2</v>
      </c>
      <c r="U27" s="54">
        <v>30.5</v>
      </c>
      <c r="V27" s="54">
        <v>39.6</v>
      </c>
      <c r="W27" s="54">
        <v>41.1</v>
      </c>
      <c r="X27" s="54">
        <v>51.8</v>
      </c>
      <c r="Y27" s="54">
        <v>47.5</v>
      </c>
      <c r="Z27" s="54">
        <v>54.5</v>
      </c>
      <c r="AA27" s="54">
        <v>48.2</v>
      </c>
      <c r="AB27" s="54">
        <v>53.1</v>
      </c>
      <c r="AC27" s="54">
        <v>57.6</v>
      </c>
      <c r="AD27" s="54">
        <v>67.5</v>
      </c>
      <c r="AE27" s="54">
        <v>65.5</v>
      </c>
      <c r="AF27" s="54">
        <v>88.9</v>
      </c>
      <c r="AG27" s="54">
        <v>98.1</v>
      </c>
      <c r="AH27" s="54">
        <v>115.2</v>
      </c>
      <c r="AI27" s="54">
        <v>111.7</v>
      </c>
      <c r="AJ27" s="54">
        <v>129.9</v>
      </c>
      <c r="AK27" s="54">
        <v>149.4</v>
      </c>
      <c r="AL27" s="54">
        <v>153.5</v>
      </c>
      <c r="AM27" s="54">
        <v>148.6</v>
      </c>
      <c r="AN27" s="54">
        <v>167.7</v>
      </c>
      <c r="AO27" s="54">
        <v>160.5</v>
      </c>
      <c r="AP27" s="54">
        <v>169.8</v>
      </c>
      <c r="AQ27" s="54">
        <v>161.1</v>
      </c>
      <c r="AR27" s="54">
        <v>178</v>
      </c>
      <c r="AS27" s="54">
        <v>203.3</v>
      </c>
      <c r="AT27" s="54">
        <v>225.6</v>
      </c>
      <c r="AU27" s="54">
        <v>230.7</v>
      </c>
      <c r="AV27" s="54">
        <v>246.7</v>
      </c>
      <c r="AW27" s="54">
        <v>275.39999999999998</v>
      </c>
      <c r="AX27" s="54">
        <v>273.89999999999998</v>
      </c>
      <c r="AY27" s="54">
        <v>278.89999999999998</v>
      </c>
      <c r="AZ27" s="54">
        <v>324.89999999999998</v>
      </c>
      <c r="BA27" s="54">
        <v>351.7</v>
      </c>
      <c r="BB27" s="54">
        <v>377.9</v>
      </c>
      <c r="BC27" s="54">
        <v>359.1</v>
      </c>
      <c r="BD27" s="54">
        <v>377.6</v>
      </c>
      <c r="BE27" s="54">
        <v>400.4</v>
      </c>
      <c r="BF27" s="54">
        <v>457.7</v>
      </c>
      <c r="BG27" s="54">
        <v>447</v>
      </c>
      <c r="BH27" s="54">
        <v>468.3</v>
      </c>
      <c r="BI27" s="54">
        <v>477.9</v>
      </c>
      <c r="BJ27" s="54">
        <f>1860.1-SUM(BG27:BI27)</f>
        <v>466.90000000000009</v>
      </c>
      <c r="BK27" s="54">
        <v>441.6</v>
      </c>
      <c r="BL27" s="54">
        <v>478.4</v>
      </c>
      <c r="BS27" s="54">
        <f t="shared" ref="BS27:BS35" si="52">SUM(C27:F27)</f>
        <v>40.400000000000006</v>
      </c>
      <c r="BT27" s="54">
        <f t="shared" ref="BT27:BT35" si="53">SUM(G27:J27)</f>
        <v>53.3</v>
      </c>
      <c r="BU27" s="54">
        <f t="shared" ref="BU27:BU35" si="54">SUM(K27:N27)</f>
        <v>59.9</v>
      </c>
      <c r="BV27" s="54">
        <f t="shared" ref="BV27:BV35" si="55">SUM(O27:R27)</f>
        <v>82.9</v>
      </c>
      <c r="BW27" s="54">
        <f t="shared" ref="BW27:BW35" si="56">SUM(S27:V27)</f>
        <v>123.6</v>
      </c>
      <c r="BX27" s="54">
        <f t="shared" ref="BX27:BX35" si="57">SUM(W27:Z27)</f>
        <v>194.9</v>
      </c>
      <c r="BY27" s="54">
        <f t="shared" ref="BY27:BY35" si="58">SUM(AA27:AD27)</f>
        <v>226.4</v>
      </c>
      <c r="BZ27" s="54">
        <f t="shared" ref="BZ27:BZ35" si="59">SUM(AE27:AH27)</f>
        <v>367.7</v>
      </c>
      <c r="CA27" s="54">
        <f t="shared" ref="CA27:CA35" si="60">SUM(AI27:AL27)</f>
        <v>544.5</v>
      </c>
      <c r="CB27" s="54">
        <f t="shared" ref="CB27:CB35" si="61">SUM(AM27:AP27)</f>
        <v>646.59999999999991</v>
      </c>
      <c r="CC27" s="54">
        <f t="shared" ref="CC27:CC35" si="62">SUM(AQ27:AT27)</f>
        <v>768.00000000000011</v>
      </c>
      <c r="CD27" s="54">
        <f t="shared" ref="CD27:CD35" si="63">SUM(AU27:AX27)</f>
        <v>1026.6999999999998</v>
      </c>
      <c r="CE27" s="54">
        <f t="shared" ref="CE27:CE35" si="64">SUM(AY27:BB27)</f>
        <v>1333.4</v>
      </c>
      <c r="CF27" s="54">
        <f t="shared" ref="CF27:CF35" si="65">SUM(BC27:BF27)</f>
        <v>1594.8</v>
      </c>
      <c r="CG27" s="54">
        <f t="shared" si="50"/>
        <v>1860.1</v>
      </c>
      <c r="CH27" s="55">
        <f>CH26*(1-CH39)</f>
        <v>1992.5055</v>
      </c>
      <c r="CI27" s="55">
        <f t="shared" ref="CI27:CQ27" si="66">CI26*(1-CI39)</f>
        <v>2263.7631794025001</v>
      </c>
      <c r="CJ27" s="55">
        <f t="shared" si="66"/>
        <v>2546.0836435996803</v>
      </c>
      <c r="CK27" s="55">
        <f t="shared" si="66"/>
        <v>2858.5575546976065</v>
      </c>
      <c r="CL27" s="55">
        <f t="shared" si="66"/>
        <v>3172.6719331992927</v>
      </c>
      <c r="CM27" s="55">
        <f t="shared" si="66"/>
        <v>3447.8431406726918</v>
      </c>
      <c r="CN27" s="55">
        <f t="shared" si="66"/>
        <v>3783.2136654570354</v>
      </c>
      <c r="CO27" s="55">
        <f t="shared" si="66"/>
        <v>4133.1070046790528</v>
      </c>
      <c r="CP27" s="55">
        <f t="shared" si="66"/>
        <v>4494.0678533160599</v>
      </c>
      <c r="CQ27" s="55">
        <f t="shared" si="66"/>
        <v>4863.3787066454297</v>
      </c>
    </row>
    <row r="28" spans="2:147" ht="14.25" customHeight="1">
      <c r="B28" s="48" t="s">
        <v>58</v>
      </c>
      <c r="C28" s="54">
        <f t="shared" ref="C28:AL28" si="67">C26-C27</f>
        <v>5.0999999999999996</v>
      </c>
      <c r="D28" s="54">
        <f t="shared" si="67"/>
        <v>11.899999999999999</v>
      </c>
      <c r="E28" s="54">
        <f t="shared" si="67"/>
        <v>8.2000000000000011</v>
      </c>
      <c r="F28" s="54">
        <f t="shared" si="67"/>
        <v>10.8</v>
      </c>
      <c r="G28" s="54">
        <f t="shared" si="67"/>
        <v>9.4000000000000021</v>
      </c>
      <c r="H28" s="54">
        <f t="shared" si="67"/>
        <v>11.2</v>
      </c>
      <c r="I28" s="54">
        <f t="shared" si="67"/>
        <v>8.4000000000000021</v>
      </c>
      <c r="J28" s="54">
        <f t="shared" si="67"/>
        <v>17.599999999999998</v>
      </c>
      <c r="K28" s="54">
        <f t="shared" si="67"/>
        <v>16.5</v>
      </c>
      <c r="L28" s="54">
        <f t="shared" si="67"/>
        <v>21.9</v>
      </c>
      <c r="M28" s="54">
        <f t="shared" si="67"/>
        <v>27.599999999999998</v>
      </c>
      <c r="N28" s="54">
        <f t="shared" si="67"/>
        <v>34.1</v>
      </c>
      <c r="O28" s="54">
        <f t="shared" si="67"/>
        <v>29.8</v>
      </c>
      <c r="P28" s="54">
        <f t="shared" si="67"/>
        <v>39.9</v>
      </c>
      <c r="Q28" s="54">
        <f t="shared" si="67"/>
        <v>47.2</v>
      </c>
      <c r="R28" s="54">
        <f t="shared" si="67"/>
        <v>59.4</v>
      </c>
      <c r="S28" s="54">
        <f t="shared" si="67"/>
        <v>46.5</v>
      </c>
      <c r="T28" s="54">
        <f t="shared" si="67"/>
        <v>66</v>
      </c>
      <c r="U28" s="54">
        <f t="shared" si="67"/>
        <v>74.7</v>
      </c>
      <c r="V28" s="54">
        <f t="shared" si="67"/>
        <v>91.200000000000017</v>
      </c>
      <c r="W28" s="54">
        <f t="shared" si="67"/>
        <v>75.099999999999994</v>
      </c>
      <c r="X28" s="54">
        <f t="shared" si="67"/>
        <v>85.500000000000014</v>
      </c>
      <c r="Y28" s="54">
        <f t="shared" si="67"/>
        <v>101.1</v>
      </c>
      <c r="Z28" s="54">
        <f t="shared" si="67"/>
        <v>116.69999999999999</v>
      </c>
      <c r="AA28" s="54">
        <f t="shared" si="67"/>
        <v>94.100000000000009</v>
      </c>
      <c r="AB28" s="54">
        <f t="shared" si="67"/>
        <v>117.5</v>
      </c>
      <c r="AC28" s="54">
        <f t="shared" si="67"/>
        <v>127</v>
      </c>
      <c r="AD28" s="54">
        <f t="shared" si="67"/>
        <v>153.5</v>
      </c>
      <c r="AE28" s="54">
        <f t="shared" si="67"/>
        <v>118.9</v>
      </c>
      <c r="AF28" s="54">
        <f t="shared" si="67"/>
        <v>153.6</v>
      </c>
      <c r="AG28" s="54">
        <f t="shared" si="67"/>
        <v>168.6</v>
      </c>
      <c r="AH28" s="54">
        <f t="shared" si="67"/>
        <v>222.8</v>
      </c>
      <c r="AI28" s="54">
        <f t="shared" si="67"/>
        <v>168.8</v>
      </c>
      <c r="AJ28" s="54">
        <f t="shared" si="67"/>
        <v>206.49999999999997</v>
      </c>
      <c r="AK28" s="54">
        <f t="shared" si="67"/>
        <v>246.9</v>
      </c>
      <c r="AL28" s="54">
        <f t="shared" si="67"/>
        <v>309.3</v>
      </c>
      <c r="AM28" s="54">
        <f t="shared" ref="AM28:BF28" si="68">AM26-AM27</f>
        <v>256.5</v>
      </c>
      <c r="AN28" s="54">
        <f t="shared" si="68"/>
        <v>284.09999999999997</v>
      </c>
      <c r="AO28" s="54">
        <f t="shared" si="68"/>
        <v>340.4</v>
      </c>
      <c r="AP28" s="54">
        <f t="shared" si="68"/>
        <v>399.09999999999997</v>
      </c>
      <c r="AQ28" s="54">
        <f t="shared" si="68"/>
        <v>343.9</v>
      </c>
      <c r="AR28" s="54">
        <f t="shared" si="68"/>
        <v>417.1</v>
      </c>
      <c r="AS28" s="54">
        <f t="shared" si="68"/>
        <v>446.89999999999992</v>
      </c>
      <c r="AT28" s="54">
        <f t="shared" si="68"/>
        <v>472.60000000000025</v>
      </c>
      <c r="AU28" s="54">
        <f t="shared" si="68"/>
        <v>398.10000000000008</v>
      </c>
      <c r="AV28" s="54">
        <f t="shared" si="68"/>
        <v>449.50000000000006</v>
      </c>
      <c r="AW28" s="54">
        <f t="shared" si="68"/>
        <v>494.20000000000005</v>
      </c>
      <c r="AX28" s="54">
        <f t="shared" si="68"/>
        <v>541.30000000000007</v>
      </c>
      <c r="AY28" s="54">
        <f t="shared" si="68"/>
        <v>462.6</v>
      </c>
      <c r="AZ28" s="54">
        <f t="shared" si="68"/>
        <v>546.4</v>
      </c>
      <c r="BA28" s="54">
        <f t="shared" si="68"/>
        <v>623.29999999999995</v>
      </c>
      <c r="BB28" s="54">
        <f t="shared" si="68"/>
        <v>656.60000000000025</v>
      </c>
      <c r="BC28" s="54">
        <f t="shared" si="68"/>
        <v>562.19999999999993</v>
      </c>
      <c r="BD28" s="54">
        <f t="shared" si="68"/>
        <v>626.69999999999993</v>
      </c>
      <c r="BE28" s="54">
        <f t="shared" si="68"/>
        <v>593.79999999999995</v>
      </c>
      <c r="BF28" s="54">
        <f t="shared" si="68"/>
        <v>655.5</v>
      </c>
      <c r="BG28" s="54">
        <f>BG26-BG27</f>
        <v>589</v>
      </c>
      <c r="BH28" s="54">
        <f>BH26-BH27</f>
        <v>688.8</v>
      </c>
      <c r="BI28" s="54">
        <f>BI26-BI27</f>
        <v>731.4</v>
      </c>
      <c r="BJ28" s="54">
        <f t="shared" ref="BJ28" si="69">BJ26-BJ27</f>
        <v>792.69999999999982</v>
      </c>
      <c r="BK28" s="54">
        <f>BK26-BK27</f>
        <v>750.29999999999984</v>
      </c>
      <c r="BL28" s="54">
        <f>BL26-BL27</f>
        <v>830.00000000000011</v>
      </c>
      <c r="BS28" s="54">
        <f t="shared" si="52"/>
        <v>36</v>
      </c>
      <c r="BT28" s="54">
        <f t="shared" si="53"/>
        <v>46.6</v>
      </c>
      <c r="BU28" s="54">
        <f t="shared" si="54"/>
        <v>100.1</v>
      </c>
      <c r="BV28" s="54">
        <f t="shared" si="55"/>
        <v>176.3</v>
      </c>
      <c r="BW28" s="54">
        <f t="shared" si="56"/>
        <v>278.39999999999998</v>
      </c>
      <c r="BX28" s="54">
        <f t="shared" si="57"/>
        <v>378.40000000000003</v>
      </c>
      <c r="BY28" s="54">
        <f t="shared" si="58"/>
        <v>492.1</v>
      </c>
      <c r="BZ28" s="54">
        <f t="shared" si="59"/>
        <v>663.90000000000009</v>
      </c>
      <c r="CA28" s="54">
        <f t="shared" si="60"/>
        <v>931.5</v>
      </c>
      <c r="CB28" s="54">
        <f t="shared" si="61"/>
        <v>1280.0999999999999</v>
      </c>
      <c r="CC28" s="54">
        <f t="shared" si="62"/>
        <v>1680.5</v>
      </c>
      <c r="CD28" s="54">
        <f t="shared" si="63"/>
        <v>1883.1000000000004</v>
      </c>
      <c r="CE28" s="54">
        <f t="shared" si="64"/>
        <v>2288.9</v>
      </c>
      <c r="CF28" s="54">
        <f t="shared" si="65"/>
        <v>2438.1999999999998</v>
      </c>
      <c r="CG28" s="54">
        <f t="shared" si="50"/>
        <v>2801.8999999999996</v>
      </c>
      <c r="CH28" s="55">
        <f>CH26-CH27</f>
        <v>3320.8424999999997</v>
      </c>
      <c r="CI28" s="55">
        <f t="shared" ref="CI28:CQ28" si="70">CI26-CI27</f>
        <v>3813.4534095974996</v>
      </c>
      <c r="CJ28" s="55">
        <f t="shared" si="70"/>
        <v>4372.6219096603199</v>
      </c>
      <c r="CK28" s="55">
        <f t="shared" si="70"/>
        <v>4973.1069787204942</v>
      </c>
      <c r="CL28" s="55">
        <f t="shared" si="70"/>
        <v>5640.3056590209644</v>
      </c>
      <c r="CM28" s="55">
        <f t="shared" si="70"/>
        <v>6403.1372612492851</v>
      </c>
      <c r="CN28" s="55">
        <f t="shared" si="70"/>
        <v>7182.6230460126335</v>
      </c>
      <c r="CO28" s="55">
        <f t="shared" si="70"/>
        <v>8023.0900679063971</v>
      </c>
      <c r="CP28" s="55">
        <f t="shared" si="70"/>
        <v>8921.0600670303902</v>
      </c>
      <c r="CQ28" s="55">
        <f t="shared" si="70"/>
        <v>9874.1325256134496</v>
      </c>
    </row>
    <row r="29" spans="2:147" ht="14.25" customHeight="1">
      <c r="B29" s="48" t="s">
        <v>166</v>
      </c>
      <c r="C29" s="54">
        <v>10.7</v>
      </c>
      <c r="D29" s="54">
        <v>12.2</v>
      </c>
      <c r="E29" s="54">
        <v>13.2</v>
      </c>
      <c r="F29" s="54">
        <v>14.9</v>
      </c>
      <c r="G29" s="54">
        <v>15.4</v>
      </c>
      <c r="H29" s="54">
        <v>15.9</v>
      </c>
      <c r="I29" s="54">
        <v>15.4</v>
      </c>
      <c r="J29" s="54">
        <v>17.3</v>
      </c>
      <c r="K29" s="54">
        <v>18.100000000000001</v>
      </c>
      <c r="L29" s="54">
        <v>20.7</v>
      </c>
      <c r="M29" s="54">
        <v>21.6</v>
      </c>
      <c r="N29" s="54">
        <v>23.8</v>
      </c>
      <c r="O29" s="54">
        <v>27.6</v>
      </c>
      <c r="P29" s="54">
        <v>30.9</v>
      </c>
      <c r="Q29" s="54">
        <v>33.700000000000003</v>
      </c>
      <c r="R29" s="54">
        <v>36.200000000000003</v>
      </c>
      <c r="S29" s="54">
        <v>39.4</v>
      </c>
      <c r="T29" s="54">
        <v>45.2</v>
      </c>
      <c r="U29" s="54">
        <v>52.3</v>
      </c>
      <c r="V29" s="54">
        <v>61.1</v>
      </c>
      <c r="W29" s="54">
        <v>62.1</v>
      </c>
      <c r="X29" s="54">
        <v>69.3</v>
      </c>
      <c r="Y29" s="54">
        <v>75.7</v>
      </c>
      <c r="Z29" s="54">
        <v>79.099999999999994</v>
      </c>
      <c r="AA29" s="54">
        <v>86.4</v>
      </c>
      <c r="AB29" s="54">
        <v>85.8</v>
      </c>
      <c r="AC29" s="54">
        <v>84.2</v>
      </c>
      <c r="AD29" s="54">
        <v>92.8</v>
      </c>
      <c r="AE29" s="54">
        <v>104.8</v>
      </c>
      <c r="AF29" s="54">
        <v>111.3</v>
      </c>
      <c r="AG29" s="54">
        <v>104.6</v>
      </c>
      <c r="AH29" s="54">
        <v>112.1</v>
      </c>
      <c r="AI29" s="54">
        <v>124.2</v>
      </c>
      <c r="AJ29" s="54">
        <v>138.30000000000001</v>
      </c>
      <c r="AK29" s="54">
        <v>124.2</v>
      </c>
      <c r="AL29" s="54">
        <v>129</v>
      </c>
      <c r="AM29" s="54">
        <v>73.099999999999994</v>
      </c>
      <c r="AN29" s="54">
        <v>79.900000000000006</v>
      </c>
      <c r="AO29" s="54">
        <v>87.7</v>
      </c>
      <c r="AP29" s="54">
        <v>119.2</v>
      </c>
      <c r="AQ29" s="54">
        <v>109.4</v>
      </c>
      <c r="AR29" s="54">
        <v>129.1</v>
      </c>
      <c r="AS29" s="54">
        <v>128.80000000000001</v>
      </c>
      <c r="AT29" s="54">
        <v>236.9</v>
      </c>
      <c r="AU29" s="54">
        <v>135.9</v>
      </c>
      <c r="AV29" s="54">
        <v>121.7</v>
      </c>
      <c r="AW29" s="54">
        <v>110.3</v>
      </c>
      <c r="AX29" s="54">
        <v>116.3</v>
      </c>
      <c r="AY29" s="54">
        <v>119</v>
      </c>
      <c r="AZ29" s="54">
        <v>119.3</v>
      </c>
      <c r="BA29" s="54">
        <v>131.4</v>
      </c>
      <c r="BB29" s="54">
        <v>136.1</v>
      </c>
      <c r="BC29" s="54">
        <v>141.5</v>
      </c>
      <c r="BD29" s="54">
        <v>136</v>
      </c>
      <c r="BE29" s="54">
        <v>135.4</v>
      </c>
      <c r="BF29" s="54">
        <v>139.5</v>
      </c>
      <c r="BG29" s="54">
        <v>145.19999999999999</v>
      </c>
      <c r="BH29" s="54">
        <v>148.19999999999999</v>
      </c>
      <c r="BI29" s="54">
        <v>157.5</v>
      </c>
      <c r="BJ29" s="54">
        <f>599.1-SUM(BG29:BI29)</f>
        <v>148.20000000000005</v>
      </c>
      <c r="BK29" s="54">
        <v>145.30000000000001</v>
      </c>
      <c r="BL29" s="54">
        <v>153</v>
      </c>
      <c r="BS29" s="54">
        <f t="shared" si="52"/>
        <v>50.999999999999993</v>
      </c>
      <c r="BT29" s="54">
        <f t="shared" si="53"/>
        <v>64</v>
      </c>
      <c r="BU29" s="54">
        <f t="shared" si="54"/>
        <v>84.2</v>
      </c>
      <c r="BV29" s="54">
        <f t="shared" si="55"/>
        <v>128.4</v>
      </c>
      <c r="BW29" s="54">
        <f t="shared" si="56"/>
        <v>197.99999999999997</v>
      </c>
      <c r="BX29" s="54">
        <f t="shared" si="57"/>
        <v>286.20000000000005</v>
      </c>
      <c r="BY29" s="54">
        <f t="shared" si="58"/>
        <v>349.2</v>
      </c>
      <c r="BZ29" s="54">
        <f t="shared" si="59"/>
        <v>432.79999999999995</v>
      </c>
      <c r="CA29" s="54">
        <f t="shared" si="60"/>
        <v>515.70000000000005</v>
      </c>
      <c r="CB29" s="54">
        <f t="shared" si="61"/>
        <v>359.9</v>
      </c>
      <c r="CC29" s="54">
        <f t="shared" si="62"/>
        <v>604.20000000000005</v>
      </c>
      <c r="CD29" s="54">
        <f t="shared" si="63"/>
        <v>484.20000000000005</v>
      </c>
      <c r="CE29" s="54">
        <f t="shared" si="64"/>
        <v>505.80000000000007</v>
      </c>
      <c r="CF29" s="54">
        <f t="shared" si="65"/>
        <v>552.4</v>
      </c>
      <c r="CG29" s="54">
        <f t="shared" si="50"/>
        <v>599.1</v>
      </c>
      <c r="CH29" s="55">
        <f>CH26*CH40</f>
        <v>642.91510800000003</v>
      </c>
      <c r="CI29" s="55">
        <f t="shared" ref="CI29:CQ29" si="71">CI26*CI40</f>
        <v>717.11155750199987</v>
      </c>
      <c r="CJ29" s="55">
        <f t="shared" si="71"/>
        <v>802.56984417816011</v>
      </c>
      <c r="CK29" s="55">
        <f t="shared" si="71"/>
        <v>892.80975680966344</v>
      </c>
      <c r="CL29" s="55">
        <f t="shared" si="71"/>
        <v>1022.3054006975499</v>
      </c>
      <c r="CM29" s="55">
        <f t="shared" si="71"/>
        <v>1132.8627462210275</v>
      </c>
      <c r="CN29" s="55">
        <f t="shared" si="71"/>
        <v>1250.1053851075424</v>
      </c>
      <c r="CO29" s="55">
        <f t="shared" si="71"/>
        <v>1373.6502692021559</v>
      </c>
      <c r="CP29" s="55">
        <f t="shared" si="71"/>
        <v>1502.4943270788024</v>
      </c>
      <c r="CQ29" s="55">
        <f t="shared" si="71"/>
        <v>1635.8637467807357</v>
      </c>
    </row>
    <row r="30" spans="2:147" ht="14.25" customHeight="1">
      <c r="B30" s="48" t="s">
        <v>167</v>
      </c>
      <c r="C30" s="54">
        <v>6.3</v>
      </c>
      <c r="D30" s="54">
        <v>7</v>
      </c>
      <c r="E30" s="54">
        <v>8.1999999999999993</v>
      </c>
      <c r="F30" s="54">
        <v>8.1</v>
      </c>
      <c r="G30" s="54">
        <v>9.4</v>
      </c>
      <c r="H30" s="54">
        <v>10</v>
      </c>
      <c r="I30" s="54">
        <v>10.3</v>
      </c>
      <c r="J30" s="54">
        <v>8.6</v>
      </c>
      <c r="K30" s="54">
        <v>9.3000000000000007</v>
      </c>
      <c r="L30" s="54">
        <v>11.1</v>
      </c>
      <c r="M30" s="54">
        <v>11.8</v>
      </c>
      <c r="N30" s="54">
        <v>12.6</v>
      </c>
      <c r="O30" s="54">
        <v>14.5</v>
      </c>
      <c r="P30" s="54">
        <v>14.8</v>
      </c>
      <c r="Q30" s="54">
        <v>18.5</v>
      </c>
      <c r="R30" s="54">
        <v>21.6</v>
      </c>
      <c r="S30" s="54">
        <v>19.8</v>
      </c>
      <c r="T30" s="54">
        <v>24.4</v>
      </c>
      <c r="U30" s="54">
        <v>64.8</v>
      </c>
      <c r="V30" s="54">
        <v>28.5</v>
      </c>
      <c r="W30" s="54">
        <v>32.200000000000003</v>
      </c>
      <c r="X30" s="54">
        <v>36.299999999999997</v>
      </c>
      <c r="Y30" s="54">
        <v>43.9</v>
      </c>
      <c r="Z30" s="54">
        <v>43.7</v>
      </c>
      <c r="AA30" s="54">
        <v>48.1</v>
      </c>
      <c r="AB30" s="54">
        <v>45.3</v>
      </c>
      <c r="AC30" s="54">
        <v>43.3</v>
      </c>
      <c r="AD30" s="54">
        <v>48.7</v>
      </c>
      <c r="AE30" s="54">
        <v>44.8</v>
      </c>
      <c r="AF30" s="54">
        <v>47.2</v>
      </c>
      <c r="AG30" s="54">
        <v>50.1</v>
      </c>
      <c r="AH30" s="54">
        <v>275.3</v>
      </c>
      <c r="AI30" s="54">
        <v>59</v>
      </c>
      <c r="AJ30" s="54">
        <v>69</v>
      </c>
      <c r="AK30" s="54">
        <v>66.7</v>
      </c>
      <c r="AL30" s="54">
        <v>78.8</v>
      </c>
      <c r="AM30" s="54">
        <v>149.80000000000001</v>
      </c>
      <c r="AN30" s="54">
        <v>136.4</v>
      </c>
      <c r="AO30" s="54">
        <v>158.6</v>
      </c>
      <c r="AP30" s="54">
        <v>173.4</v>
      </c>
      <c r="AQ30" s="54">
        <v>188.6</v>
      </c>
      <c r="AR30" s="54">
        <v>186.5</v>
      </c>
      <c r="AS30" s="54">
        <v>198.5</v>
      </c>
      <c r="AT30" s="54">
        <v>236.9</v>
      </c>
      <c r="AU30" s="54">
        <v>218.9</v>
      </c>
      <c r="AV30" s="54">
        <v>248.9</v>
      </c>
      <c r="AW30" s="54">
        <v>234.6</v>
      </c>
      <c r="AX30" s="54">
        <v>305.3</v>
      </c>
      <c r="AY30" s="54">
        <v>296.39999999999998</v>
      </c>
      <c r="AZ30" s="54">
        <v>299</v>
      </c>
      <c r="BA30" s="54">
        <v>286.39999999999998</v>
      </c>
      <c r="BB30" s="54">
        <v>303.60000000000002</v>
      </c>
      <c r="BC30" s="54">
        <v>319.3</v>
      </c>
      <c r="BD30" s="54">
        <v>332.7</v>
      </c>
      <c r="BE30" s="54">
        <v>306.39999999999998</v>
      </c>
      <c r="BF30" s="54">
        <v>327.39999999999998</v>
      </c>
      <c r="BG30" s="54">
        <v>310.10000000000002</v>
      </c>
      <c r="BH30" s="54">
        <v>328</v>
      </c>
      <c r="BI30" s="54">
        <v>331.4</v>
      </c>
      <c r="BJ30" s="54">
        <f>1291-SUM(BG30:BI30)</f>
        <v>321.5</v>
      </c>
      <c r="BK30" s="54">
        <v>349.7</v>
      </c>
      <c r="BL30" s="54">
        <v>358.7</v>
      </c>
      <c r="BS30" s="54">
        <f t="shared" si="52"/>
        <v>29.6</v>
      </c>
      <c r="BT30" s="54">
        <f t="shared" si="53"/>
        <v>38.299999999999997</v>
      </c>
      <c r="BU30" s="54">
        <f t="shared" si="54"/>
        <v>44.800000000000004</v>
      </c>
      <c r="BV30" s="54">
        <f t="shared" si="55"/>
        <v>69.400000000000006</v>
      </c>
      <c r="BW30" s="54">
        <f t="shared" si="56"/>
        <v>137.5</v>
      </c>
      <c r="BX30" s="54">
        <f t="shared" si="57"/>
        <v>156.10000000000002</v>
      </c>
      <c r="BY30" s="54">
        <f t="shared" si="58"/>
        <v>185.39999999999998</v>
      </c>
      <c r="BZ30" s="54">
        <f t="shared" si="59"/>
        <v>417.4</v>
      </c>
      <c r="CA30" s="54">
        <f t="shared" si="60"/>
        <v>273.5</v>
      </c>
      <c r="CB30" s="54">
        <f t="shared" si="61"/>
        <v>618.20000000000005</v>
      </c>
      <c r="CC30" s="54">
        <f t="shared" si="62"/>
        <v>810.5</v>
      </c>
      <c r="CD30" s="54">
        <f t="shared" si="63"/>
        <v>1007.7</v>
      </c>
      <c r="CE30" s="54">
        <f t="shared" si="64"/>
        <v>1185.4000000000001</v>
      </c>
      <c r="CF30" s="54">
        <f t="shared" si="65"/>
        <v>1285.8</v>
      </c>
      <c r="CG30" s="54">
        <f t="shared" si="50"/>
        <v>1291</v>
      </c>
      <c r="CH30" s="55">
        <f>CH26*CH41</f>
        <v>1514.3041799999999</v>
      </c>
      <c r="CI30" s="55">
        <f t="shared" ref="CI30:CQ30" si="72">CI26*CI41</f>
        <v>1671.2345619750001</v>
      </c>
      <c r="CJ30" s="55">
        <f t="shared" si="72"/>
        <v>1868.0504993802003</v>
      </c>
      <c r="CK30" s="55">
        <f t="shared" si="72"/>
        <v>2075.3911013557968</v>
      </c>
      <c r="CL30" s="55">
        <f t="shared" si="72"/>
        <v>2322.2195955500379</v>
      </c>
      <c r="CM30" s="55">
        <f t="shared" si="72"/>
        <v>2561.254904499714</v>
      </c>
      <c r="CN30" s="55">
        <f t="shared" si="72"/>
        <v>2823.7029532034398</v>
      </c>
      <c r="CO30" s="55">
        <f t="shared" si="72"/>
        <v>3099.8302535092898</v>
      </c>
      <c r="CP30" s="55">
        <f t="shared" si="72"/>
        <v>3353.7819800866123</v>
      </c>
      <c r="CQ30" s="55">
        <f t="shared" si="72"/>
        <v>3610.6902519034252</v>
      </c>
    </row>
    <row r="31" spans="2:147" ht="14.25" customHeight="1">
      <c r="B31" s="48" t="s">
        <v>168</v>
      </c>
      <c r="C31" s="54">
        <f t="shared" ref="C31" si="73">C28-SUM(C29:C30)</f>
        <v>-11.9</v>
      </c>
      <c r="D31" s="54">
        <f t="shared" ref="D31" si="74">D28-SUM(D29:D30)</f>
        <v>-7.3000000000000007</v>
      </c>
      <c r="E31" s="54">
        <f t="shared" ref="E31" si="75">E28-SUM(E29:E30)</f>
        <v>-13.199999999999998</v>
      </c>
      <c r="F31" s="54">
        <f t="shared" ref="F31" si="76">F28-SUM(F29:F30)</f>
        <v>-12.2</v>
      </c>
      <c r="G31" s="54">
        <f t="shared" ref="G31" si="77">G28-SUM(G29:G30)</f>
        <v>-15.399999999999999</v>
      </c>
      <c r="H31" s="54">
        <f t="shared" ref="H31" si="78">H28-SUM(H29:H30)</f>
        <v>-14.7</v>
      </c>
      <c r="I31" s="54">
        <f t="shared" ref="I31" si="79">I28-SUM(I29:I30)</f>
        <v>-17.3</v>
      </c>
      <c r="J31" s="54">
        <f t="shared" ref="J31" si="80">J28-SUM(J29:J30)</f>
        <v>-8.3000000000000007</v>
      </c>
      <c r="K31" s="54">
        <f t="shared" ref="K31" si="81">K28-SUM(K29:K30)</f>
        <v>-10.900000000000002</v>
      </c>
      <c r="L31" s="54">
        <f t="shared" ref="L31" si="82">L28-SUM(L29:L30)</f>
        <v>-9.8999999999999986</v>
      </c>
      <c r="M31" s="54">
        <f t="shared" ref="M31" si="83">M28-SUM(M29:M30)</f>
        <v>-5.8000000000000078</v>
      </c>
      <c r="N31" s="54">
        <f t="shared" ref="N31" si="84">N28-SUM(N29:N30)</f>
        <v>-2.2999999999999972</v>
      </c>
      <c r="O31" s="54">
        <f t="shared" ref="O31" si="85">O28-SUM(O29:O30)</f>
        <v>-12.3</v>
      </c>
      <c r="P31" s="54">
        <f t="shared" ref="P31" si="86">P28-SUM(P29:P30)</f>
        <v>-5.8000000000000043</v>
      </c>
      <c r="Q31" s="54">
        <f t="shared" ref="Q31" si="87">Q28-SUM(Q29:Q30)</f>
        <v>-5</v>
      </c>
      <c r="R31" s="54">
        <f t="shared" ref="R31" si="88">R28-SUM(R29:R30)</f>
        <v>1.5999999999999943</v>
      </c>
      <c r="S31" s="54">
        <f t="shared" ref="S31" si="89">S28-SUM(S29:S30)</f>
        <v>-12.700000000000003</v>
      </c>
      <c r="T31" s="54">
        <f t="shared" ref="T31" si="90">T28-SUM(T29:T30)</f>
        <v>-3.5999999999999943</v>
      </c>
      <c r="U31" s="54">
        <f t="shared" ref="U31" si="91">U28-SUM(U29:U30)</f>
        <v>-42.399999999999991</v>
      </c>
      <c r="V31" s="54">
        <f t="shared" ref="V31" si="92">V28-SUM(V29:V30)</f>
        <v>1.6000000000000227</v>
      </c>
      <c r="W31" s="54">
        <f t="shared" ref="W31" si="93">W28-SUM(W29:W30)</f>
        <v>-19.200000000000017</v>
      </c>
      <c r="X31" s="54">
        <f t="shared" ref="X31" si="94">X28-SUM(X29:X30)</f>
        <v>-20.09999999999998</v>
      </c>
      <c r="Y31" s="54">
        <f t="shared" ref="Y31" si="95">Y28-SUM(Y29:Y30)</f>
        <v>-18.5</v>
      </c>
      <c r="Z31" s="54">
        <f t="shared" ref="Z31" si="96">Z28-SUM(Z29:Z30)</f>
        <v>-6.1000000000000085</v>
      </c>
      <c r="AA31" s="54">
        <f t="shared" ref="AA31" si="97">AA28-SUM(AA29:AA30)</f>
        <v>-40.399999999999991</v>
      </c>
      <c r="AB31" s="54">
        <f t="shared" ref="AB31" si="98">AB28-SUM(AB29:AB30)</f>
        <v>-13.599999999999994</v>
      </c>
      <c r="AC31" s="54">
        <f t="shared" ref="AC31" si="99">AC28-SUM(AC29:AC30)</f>
        <v>-0.5</v>
      </c>
      <c r="AD31" s="54">
        <f t="shared" ref="AD31" si="100">AD28-SUM(AD29:AD30)</f>
        <v>12</v>
      </c>
      <c r="AE31" s="54">
        <f t="shared" ref="AE31" si="101">AE28-SUM(AE29:AE30)</f>
        <v>-30.699999999999989</v>
      </c>
      <c r="AF31" s="54">
        <f t="shared" ref="AF31" si="102">AF28-SUM(AF29:AF30)</f>
        <v>-4.9000000000000057</v>
      </c>
      <c r="AG31" s="54">
        <f t="shared" ref="AG31" si="103">AG28-SUM(AG29:AG30)</f>
        <v>13.900000000000006</v>
      </c>
      <c r="AH31" s="54">
        <f t="shared" ref="AH31" si="104">AH28-SUM(AH29:AH30)</f>
        <v>-164.59999999999997</v>
      </c>
      <c r="AI31" s="54">
        <f t="shared" ref="AI31" si="105">AI28-SUM(AI29:AI30)</f>
        <v>-14.399999999999977</v>
      </c>
      <c r="AJ31" s="54">
        <f t="shared" ref="AJ31" si="106">AJ28-SUM(AJ29:AJ30)</f>
        <v>-0.80000000000003979</v>
      </c>
      <c r="AK31" s="54">
        <f t="shared" ref="AK31" si="107">AK28-SUM(AK29:AK30)</f>
        <v>56</v>
      </c>
      <c r="AL31" s="54">
        <f t="shared" ref="AL31" si="108">AL28-SUM(AL29:AL30)</f>
        <v>101.5</v>
      </c>
      <c r="AM31" s="54">
        <f t="shared" ref="AM31" si="109">AM28-SUM(AM29:AM30)</f>
        <v>33.599999999999994</v>
      </c>
      <c r="AN31" s="54">
        <f t="shared" ref="AN31" si="110">AN28-SUM(AN29:AN30)</f>
        <v>67.799999999999955</v>
      </c>
      <c r="AO31" s="54">
        <f t="shared" ref="AO31" si="111">AO28-SUM(AO29:AO30)</f>
        <v>94.099999999999966</v>
      </c>
      <c r="AP31" s="54">
        <f t="shared" ref="AP31" si="112">AP28-SUM(AP29:AP30)</f>
        <v>106.49999999999994</v>
      </c>
      <c r="AQ31" s="54">
        <f t="shared" ref="AQ31" si="113">AQ28-SUM(AQ29:AQ30)</f>
        <v>45.899999999999977</v>
      </c>
      <c r="AR31" s="54">
        <f t="shared" ref="AR31" si="114">AR28-SUM(AR29:AR30)</f>
        <v>101.5</v>
      </c>
      <c r="AS31" s="54">
        <f t="shared" ref="AS31" si="115">AS28-SUM(AS29:AS30)</f>
        <v>119.59999999999991</v>
      </c>
      <c r="AT31" s="54">
        <f t="shared" ref="AT31" si="116">AT28-SUM(AT29:AT30)</f>
        <v>-1.1999999999997613</v>
      </c>
      <c r="AU31" s="54">
        <f t="shared" ref="AU31" si="117">AU28-SUM(AU29:AU30)</f>
        <v>43.300000000000068</v>
      </c>
      <c r="AV31" s="54">
        <f t="shared" ref="AV31" si="118">AV28-SUM(AV29:AV30)</f>
        <v>78.900000000000034</v>
      </c>
      <c r="AW31" s="54">
        <f t="shared" ref="AW31" si="119">AW28-SUM(AW29:AW30)</f>
        <v>149.30000000000007</v>
      </c>
      <c r="AX31" s="54">
        <f t="shared" ref="AX31" si="120">AX28-SUM(AX29:AX30)</f>
        <v>119.70000000000005</v>
      </c>
      <c r="AY31" s="54">
        <f t="shared" ref="AY31" si="121">AY28-SUM(AY29:AY30)</f>
        <v>47.200000000000045</v>
      </c>
      <c r="AZ31" s="54">
        <f t="shared" ref="AZ31" si="122">AZ28-SUM(AZ29:AZ30)</f>
        <v>128.09999999999997</v>
      </c>
      <c r="BA31" s="54">
        <f t="shared" ref="BA31" si="123">BA28-SUM(BA29:BA30)</f>
        <v>205.5</v>
      </c>
      <c r="BB31" s="54">
        <f t="shared" ref="BB31" si="124">BB28-SUM(BB29:BB30)</f>
        <v>216.9000000000002</v>
      </c>
      <c r="BC31" s="54">
        <f t="shared" ref="BC31" si="125">BC28-SUM(BC29:BC30)</f>
        <v>101.39999999999992</v>
      </c>
      <c r="BD31" s="54">
        <f t="shared" ref="BD31" si="126">BD28-SUM(BD29:BD30)</f>
        <v>157.99999999999994</v>
      </c>
      <c r="BE31" s="54">
        <f t="shared" ref="BE31" si="127">BE28-SUM(BE29:BE30)</f>
        <v>152</v>
      </c>
      <c r="BF31" s="54">
        <f t="shared" ref="BF31" si="128">BF28-SUM(BF29:BF30)</f>
        <v>188.60000000000002</v>
      </c>
      <c r="BG31" s="54">
        <f t="shared" ref="BG31" si="129">BG28-SUM(BG29:BG30)</f>
        <v>133.69999999999999</v>
      </c>
      <c r="BH31" s="54">
        <f t="shared" ref="BH31:BK31" si="130">BH28-SUM(BH29:BH30)</f>
        <v>212.59999999999997</v>
      </c>
      <c r="BI31" s="54">
        <f t="shared" si="130"/>
        <v>242.5</v>
      </c>
      <c r="BJ31" s="54">
        <f t="shared" si="130"/>
        <v>322.99999999999977</v>
      </c>
      <c r="BK31" s="54">
        <f t="shared" si="130"/>
        <v>255.29999999999984</v>
      </c>
      <c r="BL31" s="54">
        <f t="shared" ref="BL31" si="131">BL28-SUM(BL29:BL30)</f>
        <v>318.30000000000013</v>
      </c>
      <c r="BS31" s="54">
        <f t="shared" si="52"/>
        <v>-44.599999999999994</v>
      </c>
      <c r="BT31" s="54">
        <f t="shared" si="53"/>
        <v>-55.7</v>
      </c>
      <c r="BU31" s="54">
        <f t="shared" si="54"/>
        <v>-28.900000000000006</v>
      </c>
      <c r="BV31" s="54">
        <f t="shared" si="55"/>
        <v>-21.500000000000011</v>
      </c>
      <c r="BW31" s="54">
        <f t="shared" si="56"/>
        <v>-57.099999999999966</v>
      </c>
      <c r="BX31" s="54">
        <f t="shared" si="57"/>
        <v>-63.900000000000006</v>
      </c>
      <c r="BY31" s="54">
        <f t="shared" si="58"/>
        <v>-42.499999999999986</v>
      </c>
      <c r="BZ31" s="54">
        <f t="shared" si="59"/>
        <v>-186.29999999999995</v>
      </c>
      <c r="CA31" s="54">
        <f t="shared" si="60"/>
        <v>142.29999999999998</v>
      </c>
      <c r="CB31" s="54">
        <f t="shared" si="61"/>
        <v>301.99999999999989</v>
      </c>
      <c r="CC31" s="54">
        <f t="shared" si="62"/>
        <v>265.80000000000013</v>
      </c>
      <c r="CD31" s="54">
        <f t="shared" si="63"/>
        <v>391.20000000000022</v>
      </c>
      <c r="CE31" s="54">
        <f t="shared" si="64"/>
        <v>597.70000000000027</v>
      </c>
      <c r="CF31" s="54">
        <f t="shared" si="65"/>
        <v>599.99999999999989</v>
      </c>
      <c r="CG31" s="54">
        <f t="shared" si="50"/>
        <v>911.79999999999973</v>
      </c>
      <c r="CH31" s="55">
        <f>CH28-SUM(CH29:CH30)</f>
        <v>1163.623212</v>
      </c>
      <c r="CI31" s="55">
        <f t="shared" ref="CI31:CQ31" si="132">CI28-SUM(CI29:CI30)</f>
        <v>1425.1072901204998</v>
      </c>
      <c r="CJ31" s="55">
        <f t="shared" si="132"/>
        <v>1702.0015661019597</v>
      </c>
      <c r="CK31" s="55">
        <f t="shared" si="132"/>
        <v>2004.9061205550342</v>
      </c>
      <c r="CL31" s="55">
        <f t="shared" si="132"/>
        <v>2295.7806627733767</v>
      </c>
      <c r="CM31" s="55">
        <f t="shared" si="132"/>
        <v>2709.0196105285436</v>
      </c>
      <c r="CN31" s="55">
        <f t="shared" si="132"/>
        <v>3108.8147077016511</v>
      </c>
      <c r="CO31" s="55">
        <f t="shared" si="132"/>
        <v>3549.6095451949514</v>
      </c>
      <c r="CP31" s="55">
        <f t="shared" si="132"/>
        <v>4064.7837598649758</v>
      </c>
      <c r="CQ31" s="55">
        <f t="shared" si="132"/>
        <v>4627.5785269292883</v>
      </c>
    </row>
    <row r="32" spans="2:147" ht="14.25" customHeight="1">
      <c r="B32" s="48" t="s">
        <v>169</v>
      </c>
      <c r="C32" s="54">
        <v>0</v>
      </c>
      <c r="D32" s="54">
        <v>0</v>
      </c>
      <c r="E32" s="54">
        <v>0</v>
      </c>
      <c r="F32" s="54">
        <v>0</v>
      </c>
      <c r="G32" s="54">
        <v>0</v>
      </c>
      <c r="H32" s="54">
        <v>0</v>
      </c>
      <c r="I32" s="54">
        <v>0</v>
      </c>
      <c r="J32" s="54">
        <v>-0.1</v>
      </c>
      <c r="K32" s="54">
        <v>-0.2</v>
      </c>
      <c r="L32" s="54">
        <v>-0.2</v>
      </c>
      <c r="M32" s="54">
        <v>-0.2</v>
      </c>
      <c r="N32" s="54">
        <v>-0.3</v>
      </c>
      <c r="O32" s="54">
        <v>-0.2</v>
      </c>
      <c r="P32" s="54">
        <v>-0.2</v>
      </c>
      <c r="Q32" s="54">
        <v>-0.2</v>
      </c>
      <c r="R32" s="54">
        <v>-0.2</v>
      </c>
      <c r="S32" s="54">
        <v>-0.2</v>
      </c>
      <c r="T32" s="54">
        <v>-0.1</v>
      </c>
      <c r="U32" s="54">
        <v>-0.1</v>
      </c>
      <c r="V32" s="54">
        <v>0</v>
      </c>
      <c r="W32" s="54">
        <v>0</v>
      </c>
      <c r="X32" s="54">
        <v>0</v>
      </c>
      <c r="Y32" s="54">
        <v>-0.1</v>
      </c>
      <c r="Z32" s="54">
        <v>-0.9</v>
      </c>
      <c r="AA32" s="54">
        <v>0.1</v>
      </c>
      <c r="AB32" s="54">
        <v>-0.8</v>
      </c>
      <c r="AC32" s="54">
        <v>-2</v>
      </c>
      <c r="AD32" s="54">
        <v>-3.4</v>
      </c>
      <c r="AE32" s="54">
        <v>6.7</v>
      </c>
      <c r="AF32" s="54">
        <v>34.5</v>
      </c>
      <c r="AG32" s="54">
        <v>30.9</v>
      </c>
      <c r="AH32" s="54">
        <v>-12.3</v>
      </c>
      <c r="AI32" s="54">
        <v>-12.2</v>
      </c>
      <c r="AJ32" s="54">
        <v>-8.5</v>
      </c>
      <c r="AK32" s="54">
        <v>-10.199999999999999</v>
      </c>
      <c r="AL32" s="54">
        <v>-7.2</v>
      </c>
      <c r="AM32" s="54">
        <v>-11.2</v>
      </c>
      <c r="AN32" s="54">
        <v>-21.6</v>
      </c>
      <c r="AO32" s="54">
        <v>-19</v>
      </c>
      <c r="AP32" s="54">
        <v>50.2</v>
      </c>
      <c r="AQ32" s="54">
        <v>-4.5999999999999996</v>
      </c>
      <c r="AR32" s="54">
        <v>-3.9</v>
      </c>
      <c r="AS32" s="54">
        <v>-6.3</v>
      </c>
      <c r="AT32" s="54">
        <v>5.8</v>
      </c>
      <c r="AU32" s="54">
        <v>-5.2</v>
      </c>
      <c r="AV32" s="54">
        <v>-1.7</v>
      </c>
      <c r="AW32" s="54">
        <v>-1.3</v>
      </c>
      <c r="AX32" s="54">
        <v>7.8</v>
      </c>
      <c r="AY32" s="54">
        <v>17.3</v>
      </c>
      <c r="AZ32" s="54">
        <v>31.2</v>
      </c>
      <c r="BA32" s="54">
        <v>34.9</v>
      </c>
      <c r="BB32" s="54">
        <v>29.3</v>
      </c>
      <c r="BC32" s="54">
        <v>31.4</v>
      </c>
      <c r="BD32" s="54">
        <v>29.8</v>
      </c>
      <c r="BE32" s="54">
        <v>25.4</v>
      </c>
      <c r="BF32" s="54">
        <v>22.4</v>
      </c>
      <c r="BG32" s="54">
        <v>20.6</v>
      </c>
      <c r="BH32" s="54">
        <v>28.5</v>
      </c>
      <c r="BI32" s="54">
        <v>109.8</v>
      </c>
      <c r="BJ32" s="54">
        <f>176.6-SUM(BG32:BI32)</f>
        <v>17.699999999999989</v>
      </c>
      <c r="BK32" s="54">
        <v>14.2</v>
      </c>
      <c r="BL32" s="54">
        <v>-0.8</v>
      </c>
      <c r="BS32" s="54">
        <f t="shared" si="52"/>
        <v>0</v>
      </c>
      <c r="BT32" s="54">
        <f t="shared" si="53"/>
        <v>-0.1</v>
      </c>
      <c r="BU32" s="54">
        <f t="shared" si="54"/>
        <v>-0.90000000000000013</v>
      </c>
      <c r="BV32" s="54">
        <f t="shared" si="55"/>
        <v>-0.8</v>
      </c>
      <c r="BW32" s="54">
        <f t="shared" si="56"/>
        <v>-0.4</v>
      </c>
      <c r="BX32" s="54">
        <f t="shared" si="57"/>
        <v>-1</v>
      </c>
      <c r="BY32" s="54">
        <f t="shared" si="58"/>
        <v>-6.1</v>
      </c>
      <c r="BZ32" s="54">
        <f t="shared" si="59"/>
        <v>59.8</v>
      </c>
      <c r="CA32" s="54">
        <f t="shared" si="60"/>
        <v>-38.1</v>
      </c>
      <c r="CB32" s="54">
        <f t="shared" si="61"/>
        <v>-1.5999999999999943</v>
      </c>
      <c r="CC32" s="54">
        <f t="shared" si="62"/>
        <v>-9</v>
      </c>
      <c r="CD32" s="54">
        <f t="shared" si="63"/>
        <v>-0.40000000000000124</v>
      </c>
      <c r="CE32" s="54">
        <f t="shared" si="64"/>
        <v>112.7</v>
      </c>
      <c r="CF32" s="54">
        <f t="shared" si="65"/>
        <v>109</v>
      </c>
      <c r="CG32" s="54">
        <f t="shared" si="50"/>
        <v>176.6</v>
      </c>
      <c r="CH32" s="55">
        <f t="shared" ref="CH32:CQ32" si="133">CG32*(1+$CQ$49)</f>
        <v>216.95309999999998</v>
      </c>
      <c r="CI32" s="55">
        <f t="shared" si="133"/>
        <v>266.52688334999993</v>
      </c>
      <c r="CJ32" s="55">
        <f t="shared" si="133"/>
        <v>327.42827619547489</v>
      </c>
      <c r="CK32" s="55">
        <f t="shared" si="133"/>
        <v>402.24563730614091</v>
      </c>
      <c r="CL32" s="55">
        <f t="shared" si="133"/>
        <v>494.15876543059409</v>
      </c>
      <c r="CM32" s="55">
        <f t="shared" si="133"/>
        <v>607.07404333148475</v>
      </c>
      <c r="CN32" s="55">
        <f t="shared" si="133"/>
        <v>745.79046223272894</v>
      </c>
      <c r="CO32" s="55">
        <f t="shared" si="133"/>
        <v>916.2035828529074</v>
      </c>
      <c r="CP32" s="55">
        <f t="shared" si="133"/>
        <v>1125.5561015347967</v>
      </c>
      <c r="CQ32" s="55">
        <f t="shared" si="133"/>
        <v>1382.7456707354977</v>
      </c>
    </row>
    <row r="33" spans="2:147" ht="14.25" customHeight="1">
      <c r="B33" s="48" t="s">
        <v>170</v>
      </c>
      <c r="C33" s="54">
        <f t="shared" ref="C33" si="134">C31+C32</f>
        <v>-11.9</v>
      </c>
      <c r="D33" s="54">
        <f t="shared" ref="D33" si="135">D31+D32</f>
        <v>-7.3000000000000007</v>
      </c>
      <c r="E33" s="54">
        <f t="shared" ref="E33" si="136">E31+E32</f>
        <v>-13.199999999999998</v>
      </c>
      <c r="F33" s="54">
        <f t="shared" ref="F33" si="137">F31+F32</f>
        <v>-12.2</v>
      </c>
      <c r="G33" s="54">
        <f t="shared" ref="G33" si="138">G31+G32</f>
        <v>-15.399999999999999</v>
      </c>
      <c r="H33" s="54">
        <f t="shared" ref="H33" si="139">H31+H32</f>
        <v>-14.7</v>
      </c>
      <c r="I33" s="54">
        <f t="shared" ref="I33" si="140">I31+I32</f>
        <v>-17.3</v>
      </c>
      <c r="J33" s="54">
        <f t="shared" ref="J33" si="141">J31+J32</f>
        <v>-8.4</v>
      </c>
      <c r="K33" s="54">
        <f t="shared" ref="K33" si="142">K31+K32</f>
        <v>-11.100000000000001</v>
      </c>
      <c r="L33" s="54">
        <f t="shared" ref="L33" si="143">L31+L32</f>
        <v>-10.099999999999998</v>
      </c>
      <c r="M33" s="54">
        <f t="shared" ref="M33" si="144">M31+M32</f>
        <v>-6.000000000000008</v>
      </c>
      <c r="N33" s="54">
        <f t="shared" ref="N33" si="145">N31+N32</f>
        <v>-2.599999999999997</v>
      </c>
      <c r="O33" s="54">
        <f t="shared" ref="O33" si="146">O31+O32</f>
        <v>-12.5</v>
      </c>
      <c r="P33" s="54">
        <f t="shared" ref="P33" si="147">P31+P32</f>
        <v>-6.0000000000000044</v>
      </c>
      <c r="Q33" s="54">
        <f t="shared" ref="Q33" si="148">Q31+Q32</f>
        <v>-5.2</v>
      </c>
      <c r="R33" s="54">
        <f t="shared" ref="R33" si="149">R31+R32</f>
        <v>1.3999999999999944</v>
      </c>
      <c r="S33" s="54">
        <f t="shared" ref="S33" si="150">S31+S32</f>
        <v>-12.900000000000002</v>
      </c>
      <c r="T33" s="54">
        <f t="shared" ref="T33" si="151">T31+T32</f>
        <v>-3.6999999999999944</v>
      </c>
      <c r="U33" s="54">
        <f t="shared" ref="U33" si="152">U31+U32</f>
        <v>-42.499999999999993</v>
      </c>
      <c r="V33" s="54">
        <f t="shared" ref="V33" si="153">V31+V32</f>
        <v>1.6000000000000227</v>
      </c>
      <c r="W33" s="54">
        <f t="shared" ref="W33" si="154">W31+W32</f>
        <v>-19.200000000000017</v>
      </c>
      <c r="X33" s="54">
        <f t="shared" ref="X33" si="155">X31+X32</f>
        <v>-20.09999999999998</v>
      </c>
      <c r="Y33" s="54">
        <f t="shared" ref="Y33" si="156">Y31+Y32</f>
        <v>-18.600000000000001</v>
      </c>
      <c r="Z33" s="54">
        <f t="shared" ref="Z33" si="157">Z31+Z32</f>
        <v>-7.0000000000000089</v>
      </c>
      <c r="AA33" s="54">
        <f t="shared" ref="AA33" si="158">AA31+AA32</f>
        <v>-40.29999999999999</v>
      </c>
      <c r="AB33" s="54">
        <f t="shared" ref="AB33" si="159">AB31+AB32</f>
        <v>-14.399999999999995</v>
      </c>
      <c r="AC33" s="54">
        <f t="shared" ref="AC33" si="160">AC31+AC32</f>
        <v>-2.5</v>
      </c>
      <c r="AD33" s="54">
        <f t="shared" ref="AD33" si="161">AD31+AD32</f>
        <v>8.6</v>
      </c>
      <c r="AE33" s="54">
        <f t="shared" ref="AE33" si="162">AE31+AE32</f>
        <v>-23.999999999999989</v>
      </c>
      <c r="AF33" s="54">
        <f t="shared" ref="AF33" si="163">AF31+AF32</f>
        <v>29.599999999999994</v>
      </c>
      <c r="AG33" s="54">
        <f t="shared" ref="AG33" si="164">AG31+AG32</f>
        <v>44.800000000000004</v>
      </c>
      <c r="AH33" s="54">
        <f t="shared" ref="AH33" si="165">AH31+AH32</f>
        <v>-176.89999999999998</v>
      </c>
      <c r="AI33" s="54">
        <f t="shared" ref="AI33" si="166">AI31+AI32</f>
        <v>-26.599999999999977</v>
      </c>
      <c r="AJ33" s="54">
        <f t="shared" ref="AJ33" si="167">AJ31+AJ32</f>
        <v>-9.3000000000000398</v>
      </c>
      <c r="AK33" s="54">
        <f t="shared" ref="AK33" si="168">AK31+AK32</f>
        <v>45.8</v>
      </c>
      <c r="AL33" s="54">
        <f t="shared" ref="AL33" si="169">AL31+AL32</f>
        <v>94.3</v>
      </c>
      <c r="AM33" s="54">
        <f t="shared" ref="AM33" si="170">AM31+AM32</f>
        <v>22.399999999999995</v>
      </c>
      <c r="AN33" s="54">
        <f t="shared" ref="AN33" si="171">AN31+AN32</f>
        <v>46.199999999999953</v>
      </c>
      <c r="AO33" s="54">
        <f t="shared" ref="AO33" si="172">AO31+AO32</f>
        <v>75.099999999999966</v>
      </c>
      <c r="AP33" s="54">
        <f t="shared" ref="AP33" si="173">AP31+AP32</f>
        <v>156.69999999999993</v>
      </c>
      <c r="AQ33" s="54">
        <f t="shared" ref="AQ33" si="174">AQ31+AQ32</f>
        <v>41.299999999999976</v>
      </c>
      <c r="AR33" s="54">
        <f t="shared" ref="AR33" si="175">AR31+AR32</f>
        <v>97.6</v>
      </c>
      <c r="AS33" s="54">
        <f t="shared" ref="AS33" si="176">AS31+AS32</f>
        <v>113.29999999999991</v>
      </c>
      <c r="AT33" s="54">
        <f t="shared" ref="AT33" si="177">AT31+AT32</f>
        <v>4.6000000000002386</v>
      </c>
      <c r="AU33" s="54">
        <f t="shared" ref="AU33" si="178">AU31+AU32</f>
        <v>38.100000000000065</v>
      </c>
      <c r="AV33" s="54">
        <f t="shared" ref="AV33" si="179">AV31+AV32</f>
        <v>77.200000000000031</v>
      </c>
      <c r="AW33" s="54">
        <f t="shared" ref="AW33" si="180">AW31+AW32</f>
        <v>148.00000000000006</v>
      </c>
      <c r="AX33" s="54">
        <f t="shared" ref="AX33" si="181">AX31+AX32</f>
        <v>127.50000000000004</v>
      </c>
      <c r="AY33" s="54">
        <f t="shared" ref="AY33" si="182">AY31+AY32</f>
        <v>64.500000000000043</v>
      </c>
      <c r="AZ33" s="54">
        <f t="shared" ref="AZ33" si="183">AZ31+AZ32</f>
        <v>159.29999999999995</v>
      </c>
      <c r="BA33" s="54">
        <f t="shared" ref="BA33" si="184">BA31+BA32</f>
        <v>240.4</v>
      </c>
      <c r="BB33" s="54">
        <f t="shared" ref="BB33" si="185">BB31+BB32</f>
        <v>246.20000000000022</v>
      </c>
      <c r="BC33" s="54">
        <f t="shared" ref="BC33" si="186">BC31+BC32</f>
        <v>132.79999999999993</v>
      </c>
      <c r="BD33" s="54">
        <f t="shared" ref="BD33" si="187">BD31+BD32</f>
        <v>187.79999999999995</v>
      </c>
      <c r="BE33" s="54">
        <f t="shared" ref="BE33" si="188">BE31+BE32</f>
        <v>177.4</v>
      </c>
      <c r="BF33" s="54">
        <f t="shared" ref="BF33" si="189">BF31+BF32</f>
        <v>211.00000000000003</v>
      </c>
      <c r="BG33" s="54">
        <f t="shared" ref="BG33" si="190">BG31+BG32</f>
        <v>154.29999999999998</v>
      </c>
      <c r="BH33" s="54">
        <f t="shared" ref="BH33:BK33" si="191">BH31+BH32</f>
        <v>241.09999999999997</v>
      </c>
      <c r="BI33" s="54">
        <f t="shared" si="191"/>
        <v>352.3</v>
      </c>
      <c r="BJ33" s="54">
        <f t="shared" si="191"/>
        <v>340.69999999999976</v>
      </c>
      <c r="BK33" s="54">
        <f t="shared" si="191"/>
        <v>269.49999999999983</v>
      </c>
      <c r="BL33" s="54">
        <f t="shared" ref="BL33" si="192">BL31+BL32</f>
        <v>317.50000000000011</v>
      </c>
      <c r="BS33" s="54">
        <f t="shared" si="52"/>
        <v>-44.599999999999994</v>
      </c>
      <c r="BT33" s="54">
        <f t="shared" si="53"/>
        <v>-55.8</v>
      </c>
      <c r="BU33" s="54">
        <f t="shared" si="54"/>
        <v>-29.800000000000004</v>
      </c>
      <c r="BV33" s="54">
        <f t="shared" si="55"/>
        <v>-22.300000000000008</v>
      </c>
      <c r="BW33" s="54">
        <f t="shared" si="56"/>
        <v>-57.499999999999972</v>
      </c>
      <c r="BX33" s="54">
        <f t="shared" si="57"/>
        <v>-64.900000000000006</v>
      </c>
      <c r="BY33" s="54">
        <f t="shared" si="58"/>
        <v>-48.599999999999987</v>
      </c>
      <c r="BZ33" s="54">
        <f t="shared" si="59"/>
        <v>-126.49999999999997</v>
      </c>
      <c r="CA33" s="54">
        <f t="shared" si="60"/>
        <v>104.19999999999997</v>
      </c>
      <c r="CB33" s="54">
        <f t="shared" si="61"/>
        <v>300.39999999999986</v>
      </c>
      <c r="CC33" s="54">
        <f t="shared" si="62"/>
        <v>256.80000000000013</v>
      </c>
      <c r="CD33" s="54">
        <f t="shared" si="63"/>
        <v>390.80000000000024</v>
      </c>
      <c r="CE33" s="54">
        <f t="shared" si="64"/>
        <v>710.40000000000032</v>
      </c>
      <c r="CF33" s="54">
        <f t="shared" si="65"/>
        <v>708.99999999999989</v>
      </c>
      <c r="CG33" s="54">
        <f t="shared" si="50"/>
        <v>1088.3999999999999</v>
      </c>
      <c r="CH33" s="55">
        <f>CH31+CH32</f>
        <v>1380.5763119999999</v>
      </c>
      <c r="CI33" s="55">
        <f t="shared" ref="CI33:CQ33" si="193">CI31+CI32</f>
        <v>1691.6341734704997</v>
      </c>
      <c r="CJ33" s="55">
        <f t="shared" si="193"/>
        <v>2029.4298422974346</v>
      </c>
      <c r="CK33" s="55">
        <f t="shared" si="193"/>
        <v>2407.1517578611752</v>
      </c>
      <c r="CL33" s="55">
        <f t="shared" si="193"/>
        <v>2789.9394282039707</v>
      </c>
      <c r="CM33" s="55">
        <f t="shared" si="193"/>
        <v>3316.0936538600281</v>
      </c>
      <c r="CN33" s="55">
        <f t="shared" si="193"/>
        <v>3854.6051699343798</v>
      </c>
      <c r="CO33" s="55">
        <f t="shared" si="193"/>
        <v>4465.8131280478592</v>
      </c>
      <c r="CP33" s="55">
        <f t="shared" si="193"/>
        <v>5190.3398613997724</v>
      </c>
      <c r="CQ33" s="55">
        <f t="shared" si="193"/>
        <v>6010.324197664786</v>
      </c>
    </row>
    <row r="34" spans="2:147" ht="14.25" customHeight="1">
      <c r="B34" s="48" t="s">
        <v>171</v>
      </c>
      <c r="C34" s="54">
        <v>0</v>
      </c>
      <c r="D34" s="54">
        <v>0</v>
      </c>
      <c r="E34" s="54">
        <v>0</v>
      </c>
      <c r="F34" s="54">
        <v>0</v>
      </c>
      <c r="G34" s="54">
        <v>-1.3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4">
        <v>0</v>
      </c>
      <c r="O34" s="54">
        <v>0</v>
      </c>
      <c r="P34" s="54">
        <v>0</v>
      </c>
      <c r="Q34" s="54">
        <v>0</v>
      </c>
      <c r="R34" s="54">
        <v>0</v>
      </c>
      <c r="S34" s="54">
        <v>0</v>
      </c>
      <c r="T34" s="54">
        <v>0</v>
      </c>
      <c r="U34" s="54">
        <v>0</v>
      </c>
      <c r="V34" s="54">
        <v>0</v>
      </c>
      <c r="W34" s="54">
        <v>0</v>
      </c>
      <c r="X34" s="54">
        <v>0.1</v>
      </c>
      <c r="Y34" s="54">
        <v>0.2</v>
      </c>
      <c r="Z34" s="54">
        <v>0.4</v>
      </c>
      <c r="AA34" s="54">
        <v>1.4</v>
      </c>
      <c r="AB34" s="54">
        <v>-17.3</v>
      </c>
      <c r="AC34" s="54">
        <v>-0.5</v>
      </c>
      <c r="AD34" s="54">
        <v>18</v>
      </c>
      <c r="AE34" s="54">
        <v>0.2</v>
      </c>
      <c r="AF34" s="54">
        <v>-0.6</v>
      </c>
      <c r="AG34" s="54">
        <v>-1.8</v>
      </c>
      <c r="AH34" s="54">
        <v>2.8</v>
      </c>
      <c r="AI34" s="54">
        <v>0.3</v>
      </c>
      <c r="AJ34" s="54">
        <v>1.2</v>
      </c>
      <c r="AK34" s="54">
        <v>0</v>
      </c>
      <c r="AL34" s="54">
        <v>1.6</v>
      </c>
      <c r="AM34" s="54">
        <v>2.5</v>
      </c>
      <c r="AN34" s="54">
        <v>-0.1</v>
      </c>
      <c r="AO34" s="54">
        <v>2.9</v>
      </c>
      <c r="AP34" s="54">
        <v>-257.10000000000002</v>
      </c>
      <c r="AQ34" s="54">
        <v>-15.2</v>
      </c>
      <c r="AR34" s="54">
        <v>18.7</v>
      </c>
      <c r="AS34" s="54">
        <v>24.7</v>
      </c>
      <c r="AT34" s="54">
        <v>11.7</v>
      </c>
      <c r="AU34" s="54">
        <v>-61.2</v>
      </c>
      <c r="AV34" s="54">
        <v>24.4</v>
      </c>
      <c r="AW34" s="54">
        <v>45</v>
      </c>
      <c r="AX34" s="54">
        <v>41.4</v>
      </c>
      <c r="AY34" s="54">
        <v>15.9</v>
      </c>
      <c r="AZ34" s="54">
        <v>43.4</v>
      </c>
      <c r="BA34" s="54">
        <v>119.7</v>
      </c>
      <c r="BB34" s="54">
        <v>-10.1</v>
      </c>
      <c r="BC34" s="54">
        <v>-13.9</v>
      </c>
      <c r="BD34" s="54">
        <v>44.3</v>
      </c>
      <c r="BE34" s="54">
        <v>42.8</v>
      </c>
      <c r="BF34" s="54">
        <v>59.6</v>
      </c>
      <c r="BG34" s="54">
        <v>48.9</v>
      </c>
      <c r="BH34" s="54">
        <v>61.3</v>
      </c>
      <c r="BI34" s="54">
        <v>68.5</v>
      </c>
      <c r="BJ34" s="54">
        <f>252.1-SUM(BG34:BI34)</f>
        <v>73.400000000000006</v>
      </c>
      <c r="BK34" s="54">
        <v>70</v>
      </c>
      <c r="BL34" s="54">
        <v>68.400000000000006</v>
      </c>
      <c r="BS34" s="54">
        <f t="shared" si="52"/>
        <v>0</v>
      </c>
      <c r="BT34" s="54">
        <f t="shared" si="53"/>
        <v>-1.3</v>
      </c>
      <c r="BU34" s="54">
        <f t="shared" si="54"/>
        <v>0</v>
      </c>
      <c r="BV34" s="54">
        <f t="shared" si="55"/>
        <v>0</v>
      </c>
      <c r="BW34" s="54">
        <f t="shared" si="56"/>
        <v>0</v>
      </c>
      <c r="BX34" s="54">
        <f t="shared" si="57"/>
        <v>0.70000000000000007</v>
      </c>
      <c r="BY34" s="54">
        <f t="shared" si="58"/>
        <v>1.6000000000000014</v>
      </c>
      <c r="BZ34" s="54">
        <f t="shared" si="59"/>
        <v>0.59999999999999964</v>
      </c>
      <c r="CA34" s="54">
        <f t="shared" si="60"/>
        <v>3.1</v>
      </c>
      <c r="CB34" s="54">
        <f t="shared" si="61"/>
        <v>-251.8</v>
      </c>
      <c r="CC34" s="54">
        <f t="shared" si="62"/>
        <v>39.9</v>
      </c>
      <c r="CD34" s="54">
        <f t="shared" si="63"/>
        <v>49.599999999999994</v>
      </c>
      <c r="CE34" s="54">
        <f t="shared" si="64"/>
        <v>168.9</v>
      </c>
      <c r="CF34" s="54">
        <f t="shared" si="65"/>
        <v>132.79999999999998</v>
      </c>
      <c r="CG34" s="54">
        <f t="shared" si="50"/>
        <v>252.1</v>
      </c>
      <c r="CH34" s="55">
        <f>CH33*CH43</f>
        <v>303.72678864</v>
      </c>
      <c r="CI34" s="55">
        <f t="shared" ref="CI34:CQ34" si="194">CI33*CI43</f>
        <v>355.24317642880493</v>
      </c>
      <c r="CJ34" s="55">
        <f t="shared" si="194"/>
        <v>405.88596845948695</v>
      </c>
      <c r="CK34" s="55">
        <f t="shared" si="194"/>
        <v>481.43035157223505</v>
      </c>
      <c r="CL34" s="55">
        <f t="shared" si="194"/>
        <v>557.98788564079416</v>
      </c>
      <c r="CM34" s="55">
        <f t="shared" si="194"/>
        <v>696.3796673106059</v>
      </c>
      <c r="CN34" s="55">
        <f t="shared" si="194"/>
        <v>809.46708568621978</v>
      </c>
      <c r="CO34" s="55">
        <f t="shared" si="194"/>
        <v>937.82075689005035</v>
      </c>
      <c r="CP34" s="55">
        <f t="shared" si="194"/>
        <v>1089.9713708939521</v>
      </c>
      <c r="CQ34" s="55">
        <f t="shared" si="194"/>
        <v>1262.1680815096049</v>
      </c>
    </row>
    <row r="35" spans="2:147" s="51" customFormat="1" ht="14.25" customHeight="1">
      <c r="B35" s="51" t="s">
        <v>172</v>
      </c>
      <c r="C35" s="56">
        <f t="shared" ref="C35" si="195">C33-C34</f>
        <v>-11.9</v>
      </c>
      <c r="D35" s="56">
        <f t="shared" ref="D35" si="196">D33-D34</f>
        <v>-7.3000000000000007</v>
      </c>
      <c r="E35" s="56">
        <f t="shared" ref="E35" si="197">E33-E34</f>
        <v>-13.199999999999998</v>
      </c>
      <c r="F35" s="56">
        <f t="shared" ref="F35:AK35" si="198">F33-F34</f>
        <v>-12.2</v>
      </c>
      <c r="G35" s="56">
        <f t="shared" si="198"/>
        <v>-14.099999999999998</v>
      </c>
      <c r="H35" s="56">
        <f t="shared" si="198"/>
        <v>-14.7</v>
      </c>
      <c r="I35" s="56">
        <f t="shared" si="198"/>
        <v>-17.3</v>
      </c>
      <c r="J35" s="56">
        <f t="shared" si="198"/>
        <v>-8.4</v>
      </c>
      <c r="K35" s="56">
        <f t="shared" si="198"/>
        <v>-11.100000000000001</v>
      </c>
      <c r="L35" s="56">
        <f t="shared" si="198"/>
        <v>-10.099999999999998</v>
      </c>
      <c r="M35" s="56">
        <f t="shared" si="198"/>
        <v>-6.000000000000008</v>
      </c>
      <c r="N35" s="56">
        <f t="shared" si="198"/>
        <v>-2.599999999999997</v>
      </c>
      <c r="O35" s="56">
        <f t="shared" si="198"/>
        <v>-12.5</v>
      </c>
      <c r="P35" s="56">
        <f t="shared" si="198"/>
        <v>-6.0000000000000044</v>
      </c>
      <c r="Q35" s="56">
        <f t="shared" si="198"/>
        <v>-5.2</v>
      </c>
      <c r="R35" s="56">
        <f t="shared" si="198"/>
        <v>1.3999999999999944</v>
      </c>
      <c r="S35" s="56">
        <f t="shared" si="198"/>
        <v>-12.900000000000002</v>
      </c>
      <c r="T35" s="56">
        <f t="shared" si="198"/>
        <v>-3.6999999999999944</v>
      </c>
      <c r="U35" s="56">
        <f t="shared" si="198"/>
        <v>-42.499999999999993</v>
      </c>
      <c r="V35" s="56">
        <f t="shared" si="198"/>
        <v>1.6000000000000227</v>
      </c>
      <c r="W35" s="56">
        <f t="shared" si="198"/>
        <v>-19.200000000000017</v>
      </c>
      <c r="X35" s="56">
        <f t="shared" si="198"/>
        <v>-20.199999999999982</v>
      </c>
      <c r="Y35" s="56">
        <f t="shared" si="198"/>
        <v>-18.8</v>
      </c>
      <c r="Z35" s="56">
        <f t="shared" si="198"/>
        <v>-7.4000000000000092</v>
      </c>
      <c r="AA35" s="56">
        <f t="shared" si="198"/>
        <v>-41.699999999999989</v>
      </c>
      <c r="AB35" s="56">
        <f t="shared" si="198"/>
        <v>2.9000000000000057</v>
      </c>
      <c r="AC35" s="56">
        <f t="shared" si="198"/>
        <v>-2</v>
      </c>
      <c r="AD35" s="56">
        <f t="shared" si="198"/>
        <v>-9.4</v>
      </c>
      <c r="AE35" s="56">
        <f t="shared" si="198"/>
        <v>-24.199999999999989</v>
      </c>
      <c r="AF35" s="56">
        <f t="shared" si="198"/>
        <v>30.199999999999996</v>
      </c>
      <c r="AG35" s="56">
        <f t="shared" si="198"/>
        <v>46.6</v>
      </c>
      <c r="AH35" s="56">
        <f t="shared" si="198"/>
        <v>-179.7</v>
      </c>
      <c r="AI35" s="56">
        <f t="shared" si="198"/>
        <v>-26.899999999999977</v>
      </c>
      <c r="AJ35" s="56">
        <f t="shared" si="198"/>
        <v>-10.500000000000039</v>
      </c>
      <c r="AK35" s="56">
        <f t="shared" si="198"/>
        <v>45.8</v>
      </c>
      <c r="AL35" s="56">
        <f>AL33-AL34</f>
        <v>92.7</v>
      </c>
      <c r="AM35" s="56">
        <f>AM33-AM34</f>
        <v>19.899999999999995</v>
      </c>
      <c r="AN35" s="56">
        <f t="shared" ref="AN35:BH35" si="199">AN33-AN34</f>
        <v>46.299999999999955</v>
      </c>
      <c r="AO35" s="56">
        <f t="shared" si="199"/>
        <v>72.19999999999996</v>
      </c>
      <c r="AP35" s="56">
        <f t="shared" si="199"/>
        <v>413.79999999999995</v>
      </c>
      <c r="AQ35" s="56">
        <f t="shared" si="199"/>
        <v>56.499999999999972</v>
      </c>
      <c r="AR35" s="56">
        <f t="shared" si="199"/>
        <v>78.899999999999991</v>
      </c>
      <c r="AS35" s="56">
        <f t="shared" si="199"/>
        <v>88.599999999999909</v>
      </c>
      <c r="AT35" s="56">
        <f t="shared" si="199"/>
        <v>-7.0999999999997607</v>
      </c>
      <c r="AU35" s="56">
        <f t="shared" si="199"/>
        <v>99.300000000000068</v>
      </c>
      <c r="AV35" s="56">
        <f t="shared" si="199"/>
        <v>52.800000000000033</v>
      </c>
      <c r="AW35" s="56">
        <f t="shared" si="199"/>
        <v>103.00000000000006</v>
      </c>
      <c r="AX35" s="56">
        <f t="shared" si="199"/>
        <v>86.100000000000051</v>
      </c>
      <c r="AY35" s="56">
        <f t="shared" si="199"/>
        <v>48.600000000000044</v>
      </c>
      <c r="AZ35" s="56">
        <f t="shared" si="199"/>
        <v>115.89999999999995</v>
      </c>
      <c r="BA35" s="56">
        <f t="shared" si="199"/>
        <v>120.7</v>
      </c>
      <c r="BB35" s="56">
        <f t="shared" si="199"/>
        <v>256.30000000000024</v>
      </c>
      <c r="BC35" s="56">
        <f t="shared" si="199"/>
        <v>146.69999999999993</v>
      </c>
      <c r="BD35" s="56">
        <f t="shared" si="199"/>
        <v>143.49999999999994</v>
      </c>
      <c r="BE35" s="56">
        <f t="shared" si="199"/>
        <v>134.60000000000002</v>
      </c>
      <c r="BF35" s="56">
        <f t="shared" si="199"/>
        <v>151.40000000000003</v>
      </c>
      <c r="BG35" s="56">
        <f t="shared" si="199"/>
        <v>105.39999999999998</v>
      </c>
      <c r="BH35" s="56">
        <f t="shared" si="199"/>
        <v>179.79999999999995</v>
      </c>
      <c r="BI35" s="56">
        <f t="shared" ref="BI35:BK35" si="200">BI33-BI34</f>
        <v>283.8</v>
      </c>
      <c r="BJ35" s="56">
        <f t="shared" si="200"/>
        <v>267.29999999999973</v>
      </c>
      <c r="BK35" s="56">
        <f t="shared" si="200"/>
        <v>199.49999999999983</v>
      </c>
      <c r="BL35" s="56">
        <f t="shared" ref="BL35" si="201">BL33-BL34</f>
        <v>249.10000000000011</v>
      </c>
      <c r="BM35" s="52"/>
      <c r="BN35" s="52"/>
      <c r="BS35" s="56">
        <f t="shared" si="52"/>
        <v>-44.599999999999994</v>
      </c>
      <c r="BT35" s="56">
        <f t="shared" si="53"/>
        <v>-54.499999999999993</v>
      </c>
      <c r="BU35" s="56">
        <f t="shared" si="54"/>
        <v>-29.800000000000004</v>
      </c>
      <c r="BV35" s="56">
        <f t="shared" si="55"/>
        <v>-22.300000000000008</v>
      </c>
      <c r="BW35" s="56">
        <f t="shared" si="56"/>
        <v>-57.499999999999972</v>
      </c>
      <c r="BX35" s="56">
        <f t="shared" si="57"/>
        <v>-65.600000000000009</v>
      </c>
      <c r="BY35" s="56">
        <f t="shared" si="58"/>
        <v>-50.199999999999982</v>
      </c>
      <c r="BZ35" s="56">
        <f t="shared" si="59"/>
        <v>-127.09999999999998</v>
      </c>
      <c r="CA35" s="56">
        <f t="shared" si="60"/>
        <v>101.09999999999998</v>
      </c>
      <c r="CB35" s="56">
        <f t="shared" si="61"/>
        <v>552.19999999999982</v>
      </c>
      <c r="CC35" s="56">
        <f t="shared" si="62"/>
        <v>216.90000000000012</v>
      </c>
      <c r="CD35" s="56">
        <f t="shared" si="63"/>
        <v>341.20000000000022</v>
      </c>
      <c r="CE35" s="56">
        <f t="shared" si="64"/>
        <v>541.50000000000023</v>
      </c>
      <c r="CF35" s="56">
        <f t="shared" si="65"/>
        <v>576.19999999999993</v>
      </c>
      <c r="CG35" s="56">
        <f t="shared" si="50"/>
        <v>836.29999999999973</v>
      </c>
      <c r="CH35" s="57">
        <f>CH33-CH34</f>
        <v>1076.8495233599999</v>
      </c>
      <c r="CI35" s="57">
        <f t="shared" ref="CI35:CQ35" si="202">CI33-CI34</f>
        <v>1336.3909970416948</v>
      </c>
      <c r="CJ35" s="57">
        <f t="shared" si="202"/>
        <v>1623.5438738379476</v>
      </c>
      <c r="CK35" s="57">
        <f t="shared" si="202"/>
        <v>1925.7214062889402</v>
      </c>
      <c r="CL35" s="57">
        <f t="shared" si="202"/>
        <v>2231.9515425631766</v>
      </c>
      <c r="CM35" s="57">
        <f t="shared" si="202"/>
        <v>2619.7139865494223</v>
      </c>
      <c r="CN35" s="57">
        <f t="shared" si="202"/>
        <v>3045.1380842481599</v>
      </c>
      <c r="CO35" s="57">
        <f t="shared" si="202"/>
        <v>3527.992371157809</v>
      </c>
      <c r="CP35" s="57">
        <f t="shared" si="202"/>
        <v>4100.3684905058199</v>
      </c>
      <c r="CQ35" s="57">
        <f t="shared" si="202"/>
        <v>4748.1561161551808</v>
      </c>
      <c r="CR35" s="57">
        <f t="shared" ref="CR35:DW35" si="203">CQ35*(1+$CQ$50)</f>
        <v>4854.9896287686724</v>
      </c>
      <c r="CS35" s="57">
        <f t="shared" si="203"/>
        <v>4964.2268954159672</v>
      </c>
      <c r="CT35" s="57">
        <f t="shared" si="203"/>
        <v>5075.9220005628267</v>
      </c>
      <c r="CU35" s="57">
        <f t="shared" si="203"/>
        <v>5190.1302455754903</v>
      </c>
      <c r="CV35" s="57">
        <f t="shared" si="203"/>
        <v>5306.9081761009384</v>
      </c>
      <c r="CW35" s="57">
        <f t="shared" si="203"/>
        <v>5426.3136100632091</v>
      </c>
      <c r="CX35" s="57">
        <f t="shared" si="203"/>
        <v>5548.405666289631</v>
      </c>
      <c r="CY35" s="57">
        <f t="shared" si="203"/>
        <v>5673.2447937811476</v>
      </c>
      <c r="CZ35" s="57">
        <f t="shared" si="203"/>
        <v>5800.8928016412228</v>
      </c>
      <c r="DA35" s="57">
        <f t="shared" si="203"/>
        <v>5931.4128896781503</v>
      </c>
      <c r="DB35" s="57">
        <f t="shared" si="203"/>
        <v>6064.8696796959084</v>
      </c>
      <c r="DC35" s="57">
        <f t="shared" si="203"/>
        <v>6201.3292474890659</v>
      </c>
      <c r="DD35" s="57">
        <f t="shared" si="203"/>
        <v>6340.8591555575695</v>
      </c>
      <c r="DE35" s="57">
        <f t="shared" si="203"/>
        <v>6483.528486557615</v>
      </c>
      <c r="DF35" s="57">
        <f t="shared" si="203"/>
        <v>6629.4078775051612</v>
      </c>
      <c r="DG35" s="57">
        <f t="shared" si="203"/>
        <v>6778.5695547490268</v>
      </c>
      <c r="DH35" s="57">
        <f t="shared" si="203"/>
        <v>6931.0873697308798</v>
      </c>
      <c r="DI35" s="57">
        <f t="shared" si="203"/>
        <v>7087.036835549824</v>
      </c>
      <c r="DJ35" s="57">
        <f t="shared" si="203"/>
        <v>7246.4951643496952</v>
      </c>
      <c r="DK35" s="57">
        <f t="shared" si="203"/>
        <v>7409.5413055475628</v>
      </c>
      <c r="DL35" s="57">
        <f t="shared" si="203"/>
        <v>7576.2559849223826</v>
      </c>
      <c r="DM35" s="57">
        <f t="shared" si="203"/>
        <v>7746.7217445831357</v>
      </c>
      <c r="DN35" s="57">
        <f t="shared" si="203"/>
        <v>7921.0229838362557</v>
      </c>
      <c r="DO35" s="57">
        <f t="shared" si="203"/>
        <v>8099.246000972571</v>
      </c>
      <c r="DP35" s="57">
        <f t="shared" si="203"/>
        <v>8281.4790359944527</v>
      </c>
      <c r="DQ35" s="57">
        <f t="shared" si="203"/>
        <v>8467.8123143043267</v>
      </c>
      <c r="DR35" s="57">
        <f t="shared" si="203"/>
        <v>8658.3380913761739</v>
      </c>
      <c r="DS35" s="57">
        <f t="shared" si="203"/>
        <v>8853.1506984321368</v>
      </c>
      <c r="DT35" s="57">
        <f t="shared" si="203"/>
        <v>9052.3465891468604</v>
      </c>
      <c r="DU35" s="57">
        <f t="shared" si="203"/>
        <v>9256.0243874026637</v>
      </c>
      <c r="DV35" s="57">
        <f t="shared" si="203"/>
        <v>9464.2849361192239</v>
      </c>
      <c r="DW35" s="57">
        <f t="shared" si="203"/>
        <v>9677.2313471819052</v>
      </c>
      <c r="DX35" s="57">
        <f t="shared" ref="DX35:EO35" si="204">DW35*(1+$CQ$50)</f>
        <v>9894.9690524934977</v>
      </c>
      <c r="DY35" s="57">
        <f t="shared" si="204"/>
        <v>10117.605856174601</v>
      </c>
      <c r="DZ35" s="57">
        <f t="shared" si="204"/>
        <v>10345.251987938529</v>
      </c>
      <c r="EA35" s="57">
        <f t="shared" si="204"/>
        <v>10578.020157667146</v>
      </c>
      <c r="EB35" s="57">
        <f t="shared" si="204"/>
        <v>10816.025611214656</v>
      </c>
      <c r="EC35" s="57">
        <f t="shared" si="204"/>
        <v>11059.386187466986</v>
      </c>
      <c r="ED35" s="57">
        <f t="shared" si="204"/>
        <v>11308.222376684993</v>
      </c>
      <c r="EE35" s="57">
        <f t="shared" si="204"/>
        <v>11562.657380160405</v>
      </c>
      <c r="EF35" s="57">
        <f t="shared" si="204"/>
        <v>11822.817171214014</v>
      </c>
      <c r="EG35" s="57">
        <f t="shared" si="204"/>
        <v>12088.830557566329</v>
      </c>
      <c r="EH35" s="57">
        <f t="shared" si="204"/>
        <v>12360.82924511157</v>
      </c>
      <c r="EI35" s="57">
        <f t="shared" si="204"/>
        <v>12638.94790312658</v>
      </c>
      <c r="EJ35" s="57">
        <f t="shared" si="204"/>
        <v>12923.324230946928</v>
      </c>
      <c r="EK35" s="57">
        <f t="shared" si="204"/>
        <v>13214.099026143233</v>
      </c>
      <c r="EL35" s="57">
        <f t="shared" si="204"/>
        <v>13511.416254231455</v>
      </c>
      <c r="EM35" s="57">
        <f t="shared" si="204"/>
        <v>13815.423119951662</v>
      </c>
      <c r="EN35" s="57">
        <f t="shared" si="204"/>
        <v>14126.270140150573</v>
      </c>
      <c r="EO35" s="57">
        <f t="shared" si="204"/>
        <v>14444.11121830396</v>
      </c>
      <c r="EP35" s="52"/>
      <c r="EQ35" s="52"/>
    </row>
    <row r="36" spans="2:147" ht="14.25" customHeight="1">
      <c r="B36" s="48" t="s">
        <v>78</v>
      </c>
      <c r="C36" s="54">
        <v>249</v>
      </c>
      <c r="D36" s="54">
        <v>260</v>
      </c>
      <c r="E36" s="54">
        <v>270</v>
      </c>
      <c r="F36" s="54">
        <v>262</v>
      </c>
      <c r="G36" s="54">
        <v>271</v>
      </c>
      <c r="H36" s="54">
        <v>274</v>
      </c>
      <c r="I36" s="54">
        <v>276</v>
      </c>
      <c r="J36" s="54">
        <v>275</v>
      </c>
      <c r="K36" s="54">
        <v>279</v>
      </c>
      <c r="L36" s="54">
        <v>284</v>
      </c>
      <c r="M36" s="54">
        <v>286</v>
      </c>
      <c r="N36" s="54">
        <v>284</v>
      </c>
      <c r="O36" s="54">
        <v>293</v>
      </c>
      <c r="P36" s="54">
        <v>300</v>
      </c>
      <c r="Q36" s="54">
        <v>303</v>
      </c>
      <c r="R36" s="54">
        <v>301</v>
      </c>
      <c r="S36" s="54">
        <v>311</v>
      </c>
      <c r="T36" s="54">
        <v>311</v>
      </c>
      <c r="U36" s="54">
        <v>318</v>
      </c>
      <c r="V36" s="54">
        <v>322</v>
      </c>
      <c r="W36" s="54">
        <v>319</v>
      </c>
      <c r="X36" s="54">
        <v>328</v>
      </c>
      <c r="Y36" s="54">
        <v>334</v>
      </c>
      <c r="Z36" s="54">
        <v>336</v>
      </c>
      <c r="AA36" s="54">
        <v>334</v>
      </c>
      <c r="AB36" s="54">
        <v>341</v>
      </c>
      <c r="AC36" s="54">
        <v>346</v>
      </c>
      <c r="AD36" s="54">
        <v>347</v>
      </c>
      <c r="AE36" s="54">
        <v>345</v>
      </c>
      <c r="AF36" s="54">
        <v>349</v>
      </c>
      <c r="AG36" s="54">
        <v>353</v>
      </c>
      <c r="AH36" s="54">
        <v>354</v>
      </c>
      <c r="AI36" s="54">
        <v>353</v>
      </c>
      <c r="AJ36" s="54">
        <v>361</v>
      </c>
      <c r="AK36" s="54">
        <v>364</v>
      </c>
      <c r="AL36" s="54">
        <v>365</v>
      </c>
      <c r="AM36" s="54">
        <v>364</v>
      </c>
      <c r="AN36" s="54">
        <v>367</v>
      </c>
      <c r="AO36" s="54">
        <v>375</v>
      </c>
      <c r="AP36" s="54">
        <v>383</v>
      </c>
      <c r="AQ36" s="54">
        <v>378</v>
      </c>
      <c r="AR36" s="54">
        <v>385</v>
      </c>
      <c r="AS36" s="54">
        <v>387</v>
      </c>
      <c r="AT36" s="54">
        <v>387</v>
      </c>
      <c r="AU36" s="54">
        <v>387</v>
      </c>
      <c r="AV36" s="54">
        <v>389</v>
      </c>
      <c r="AW36" s="54">
        <v>393</v>
      </c>
      <c r="AX36" s="54">
        <v>390</v>
      </c>
      <c r="AY36" s="54">
        <v>689</v>
      </c>
      <c r="AZ36" s="54">
        <v>687</v>
      </c>
      <c r="BA36" s="54">
        <v>687</v>
      </c>
      <c r="BB36" s="54">
        <v>687</v>
      </c>
      <c r="BC36" s="54">
        <v>386</v>
      </c>
      <c r="BD36" s="54">
        <v>390</v>
      </c>
      <c r="BE36" s="54">
        <v>399</v>
      </c>
      <c r="BF36" s="54">
        <v>394</v>
      </c>
      <c r="BG36" s="54">
        <v>394</v>
      </c>
      <c r="BH36" s="54">
        <v>391</v>
      </c>
      <c r="BI36" s="54">
        <v>391.1</v>
      </c>
      <c r="BJ36" s="54">
        <v>390.2</v>
      </c>
      <c r="BK36" s="54">
        <v>385.1</v>
      </c>
      <c r="BL36" s="54">
        <v>382.2</v>
      </c>
      <c r="BS36" s="54">
        <f>AVERAGE(C36:F36)</f>
        <v>260.25</v>
      </c>
      <c r="BT36" s="54">
        <f>AVERAGE(G36:J36)</f>
        <v>274</v>
      </c>
      <c r="BU36" s="54">
        <f>AVERAGE(K36:N36)</f>
        <v>283.25</v>
      </c>
      <c r="BV36" s="54">
        <f>AVERAGE(O36:R36)</f>
        <v>299.25</v>
      </c>
      <c r="BW36" s="54">
        <f>AVERAGE(S36:V36)</f>
        <v>315.5</v>
      </c>
      <c r="BX36" s="54">
        <f>AVERAGE(W36:Z36)</f>
        <v>329.25</v>
      </c>
      <c r="BY36" s="54">
        <f>AVERAGE(AA36:AD36)</f>
        <v>342</v>
      </c>
      <c r="BZ36" s="54">
        <f>AVERAGE(AE36:AH36)</f>
        <v>350.25</v>
      </c>
      <c r="CA36" s="54">
        <f>AVERAGE(AI36:AL36)</f>
        <v>360.75</v>
      </c>
      <c r="CB36" s="54">
        <f>AVERAGE(AM36:AP36)</f>
        <v>372.25</v>
      </c>
      <c r="CC36" s="54">
        <f>AVERAGE(AQ36:AT36)</f>
        <v>384.25</v>
      </c>
      <c r="CD36" s="54">
        <f>AVERAGE(AU36:AX36)</f>
        <v>389.75</v>
      </c>
      <c r="CE36" s="54">
        <f>AVERAGE(AY36:BB36)</f>
        <v>687.5</v>
      </c>
      <c r="CF36" s="54">
        <f>AVERAGE(BC36:BF36)</f>
        <v>392.25</v>
      </c>
      <c r="CG36" s="54">
        <f>AVERAGE(BG36:BJ36)</f>
        <v>391.57499999999999</v>
      </c>
    </row>
    <row r="37" spans="2:147" ht="14.25" customHeight="1">
      <c r="B37" s="48" t="s">
        <v>173</v>
      </c>
      <c r="C37" s="66">
        <f>C35/C36</f>
        <v>-4.779116465863454E-2</v>
      </c>
      <c r="D37" s="66">
        <f t="shared" ref="D37:BI37" si="205">D35/D36</f>
        <v>-2.8076923076923079E-2</v>
      </c>
      <c r="E37" s="66">
        <f t="shared" si="205"/>
        <v>-4.8888888888888878E-2</v>
      </c>
      <c r="F37" s="66">
        <f t="shared" si="205"/>
        <v>-4.6564885496183206E-2</v>
      </c>
      <c r="G37" s="66">
        <f t="shared" si="205"/>
        <v>-5.2029520295202941E-2</v>
      </c>
      <c r="H37" s="66">
        <f t="shared" si="205"/>
        <v>-5.3649635036496349E-2</v>
      </c>
      <c r="I37" s="66">
        <f t="shared" si="205"/>
        <v>-6.2681159420289859E-2</v>
      </c>
      <c r="J37" s="66">
        <f t="shared" si="205"/>
        <v>-3.0545454545454546E-2</v>
      </c>
      <c r="K37" s="66">
        <f t="shared" si="205"/>
        <v>-3.9784946236559142E-2</v>
      </c>
      <c r="L37" s="66">
        <f t="shared" si="205"/>
        <v>-3.5563380281690135E-2</v>
      </c>
      <c r="M37" s="66">
        <f t="shared" si="205"/>
        <v>-2.0979020979021008E-2</v>
      </c>
      <c r="N37" s="66">
        <f t="shared" si="205"/>
        <v>-9.1549295774647783E-3</v>
      </c>
      <c r="O37" s="66">
        <f t="shared" si="205"/>
        <v>-4.2662116040955635E-2</v>
      </c>
      <c r="P37" s="66">
        <f t="shared" si="205"/>
        <v>-2.0000000000000014E-2</v>
      </c>
      <c r="Q37" s="66">
        <f t="shared" si="205"/>
        <v>-1.7161716171617162E-2</v>
      </c>
      <c r="R37" s="66">
        <f t="shared" si="205"/>
        <v>4.6511627906976553E-3</v>
      </c>
      <c r="S37" s="66">
        <f t="shared" si="205"/>
        <v>-4.1479099678456602E-2</v>
      </c>
      <c r="T37" s="66">
        <f t="shared" si="205"/>
        <v>-1.1897106109324741E-2</v>
      </c>
      <c r="U37" s="66">
        <f t="shared" si="205"/>
        <v>-0.13364779874213834</v>
      </c>
      <c r="V37" s="66">
        <f t="shared" si="205"/>
        <v>4.9689440993789524E-3</v>
      </c>
      <c r="W37" s="66">
        <f t="shared" si="205"/>
        <v>-6.0188087774294727E-2</v>
      </c>
      <c r="X37" s="66">
        <f t="shared" si="205"/>
        <v>-6.158536585365848E-2</v>
      </c>
      <c r="Y37" s="66">
        <f t="shared" si="205"/>
        <v>-5.6287425149700601E-2</v>
      </c>
      <c r="Z37" s="66">
        <f t="shared" si="205"/>
        <v>-2.202380952380955E-2</v>
      </c>
      <c r="AA37" s="66">
        <f t="shared" si="205"/>
        <v>-0.12485029940119757</v>
      </c>
      <c r="AB37" s="66">
        <f t="shared" si="205"/>
        <v>8.5043988269794882E-3</v>
      </c>
      <c r="AC37" s="66">
        <f t="shared" si="205"/>
        <v>-5.7803468208092483E-3</v>
      </c>
      <c r="AD37" s="66">
        <f t="shared" si="205"/>
        <v>-2.7089337175792507E-2</v>
      </c>
      <c r="AE37" s="66">
        <f t="shared" si="205"/>
        <v>-7.0144927536231846E-2</v>
      </c>
      <c r="AF37" s="66">
        <f t="shared" si="205"/>
        <v>8.6532951289398266E-2</v>
      </c>
      <c r="AG37" s="66">
        <f t="shared" si="205"/>
        <v>0.13201133144475921</v>
      </c>
      <c r="AH37" s="66">
        <f t="shared" si="205"/>
        <v>-0.50762711864406773</v>
      </c>
      <c r="AI37" s="66">
        <f t="shared" si="205"/>
        <v>-7.620396600566566E-2</v>
      </c>
      <c r="AJ37" s="66">
        <f t="shared" si="205"/>
        <v>-2.9085872576177393E-2</v>
      </c>
      <c r="AK37" s="66">
        <f t="shared" si="205"/>
        <v>0.12582417582417582</v>
      </c>
      <c r="AL37" s="66">
        <f t="shared" si="205"/>
        <v>0.25397260273972605</v>
      </c>
      <c r="AM37" s="66">
        <f t="shared" si="205"/>
        <v>5.4670329670329657E-2</v>
      </c>
      <c r="AN37" s="66">
        <f t="shared" si="205"/>
        <v>0.12615803814713883</v>
      </c>
      <c r="AO37" s="66">
        <f t="shared" si="205"/>
        <v>0.19253333333333322</v>
      </c>
      <c r="AP37" s="66">
        <f t="shared" si="205"/>
        <v>1.0804177545691904</v>
      </c>
      <c r="AQ37" s="66">
        <f t="shared" si="205"/>
        <v>0.14947089947089939</v>
      </c>
      <c r="AR37" s="66">
        <f t="shared" si="205"/>
        <v>0.20493506493506491</v>
      </c>
      <c r="AS37" s="66">
        <f t="shared" si="205"/>
        <v>0.22894056847545197</v>
      </c>
      <c r="AT37" s="66">
        <f t="shared" si="205"/>
        <v>-1.8346253229973544E-2</v>
      </c>
      <c r="AU37" s="66">
        <f t="shared" si="205"/>
        <v>0.25658914728682186</v>
      </c>
      <c r="AV37" s="66">
        <f t="shared" si="205"/>
        <v>0.13573264781491012</v>
      </c>
      <c r="AW37" s="66">
        <f t="shared" si="205"/>
        <v>0.26208651399491106</v>
      </c>
      <c r="AX37" s="66">
        <f t="shared" si="205"/>
        <v>0.22076923076923091</v>
      </c>
      <c r="AY37" s="66">
        <f t="shared" si="205"/>
        <v>7.0537010159651733E-2</v>
      </c>
      <c r="AZ37" s="66">
        <f t="shared" si="205"/>
        <v>0.16870451237263456</v>
      </c>
      <c r="BA37" s="66">
        <f t="shared" si="205"/>
        <v>0.17569141193595342</v>
      </c>
      <c r="BB37" s="66">
        <f t="shared" si="205"/>
        <v>0.37307132459970921</v>
      </c>
      <c r="BC37" s="66">
        <f t="shared" si="205"/>
        <v>0.38005181347150241</v>
      </c>
      <c r="BD37" s="66">
        <f t="shared" si="205"/>
        <v>0.36794871794871781</v>
      </c>
      <c r="BE37" s="66">
        <f t="shared" si="205"/>
        <v>0.33734335839599006</v>
      </c>
      <c r="BF37" s="66">
        <f t="shared" si="205"/>
        <v>0.38426395939086305</v>
      </c>
      <c r="BG37" s="66">
        <f t="shared" si="205"/>
        <v>0.26751269035532987</v>
      </c>
      <c r="BH37" s="66">
        <f t="shared" si="205"/>
        <v>0.45984654731457791</v>
      </c>
      <c r="BI37" s="66">
        <f t="shared" si="205"/>
        <v>0.72564561493224233</v>
      </c>
      <c r="BJ37" s="66">
        <f t="shared" ref="BJ37:BK37" si="206">BJ35/BJ36</f>
        <v>0.68503331624807728</v>
      </c>
      <c r="BK37" s="66">
        <f t="shared" si="206"/>
        <v>0.51804726045183025</v>
      </c>
      <c r="BL37" s="66">
        <f t="shared" ref="BL37" si="207">BL35/BL36</f>
        <v>0.65175300889586629</v>
      </c>
      <c r="BS37" s="66">
        <f>SUM(D37:G37)</f>
        <v>-0.1755602177571981</v>
      </c>
      <c r="BT37" s="66">
        <f>SUM(H37:K37)</f>
        <v>-0.1866611952387999</v>
      </c>
      <c r="BU37" s="66">
        <f>SUM(L37:O37)</f>
        <v>-0.10835944687913154</v>
      </c>
      <c r="BV37" s="66">
        <f>SUM(P37:S37)</f>
        <v>-7.3989653059376131E-2</v>
      </c>
      <c r="BW37" s="66">
        <f>SUM(T37:W37)</f>
        <v>-0.20076404852637886</v>
      </c>
      <c r="BX37" s="66">
        <f>SUM(X37:AA37)</f>
        <v>-0.2647468999283662</v>
      </c>
      <c r="BY37" s="66">
        <f>SUM(AB37:AE37)</f>
        <v>-9.4510212705854107E-2</v>
      </c>
      <c r="BZ37" s="66">
        <f>SUM(AF37:AI37)</f>
        <v>-0.36528680191557589</v>
      </c>
      <c r="CA37" s="66">
        <f>SUM(AJ37:AL37)</f>
        <v>0.35071090598772447</v>
      </c>
      <c r="CB37" s="66">
        <f>SUM(AM37:AP37)</f>
        <v>1.4537794557199921</v>
      </c>
      <c r="CC37" s="66">
        <f>SUM(AQ37:AT37)</f>
        <v>0.56500027965144273</v>
      </c>
      <c r="CD37" s="66">
        <f>SUM(AU37:AX37)</f>
        <v>0.87517753986587399</v>
      </c>
      <c r="CE37" s="66">
        <f>SUM(AY37:BB37)</f>
        <v>0.78800425906794902</v>
      </c>
      <c r="CF37" s="66">
        <f>SUM(BC37:BF37)</f>
        <v>1.4696078492070734</v>
      </c>
      <c r="CG37" s="66">
        <f t="shared" si="50"/>
        <v>2.1380381688502275</v>
      </c>
    </row>
    <row r="38" spans="2:147" ht="14.25" customHeight="1"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</row>
    <row r="39" spans="2:147" ht="14.25" customHeight="1">
      <c r="B39" s="65" t="s">
        <v>59</v>
      </c>
      <c r="C39" s="58">
        <f t="shared" ref="C39:AL39" si="208">C28/C26</f>
        <v>0.35915492957746475</v>
      </c>
      <c r="D39" s="58">
        <f t="shared" si="208"/>
        <v>0.55607476635514019</v>
      </c>
      <c r="E39" s="58">
        <f t="shared" si="208"/>
        <v>0.44808743169398912</v>
      </c>
      <c r="F39" s="58">
        <f t="shared" si="208"/>
        <v>0.48000000000000004</v>
      </c>
      <c r="G39" s="58">
        <f t="shared" si="208"/>
        <v>0.46766169154228865</v>
      </c>
      <c r="H39" s="58">
        <f t="shared" si="208"/>
        <v>0.47863247863247865</v>
      </c>
      <c r="I39" s="58">
        <f t="shared" si="208"/>
        <v>0.3636363636363637</v>
      </c>
      <c r="J39" s="58">
        <f t="shared" si="208"/>
        <v>0.5285285285285285</v>
      </c>
      <c r="K39" s="58">
        <f t="shared" si="208"/>
        <v>0.55743243243243246</v>
      </c>
      <c r="L39" s="58">
        <f t="shared" si="208"/>
        <v>0.61173184357541899</v>
      </c>
      <c r="M39" s="58">
        <f t="shared" si="208"/>
        <v>0.64335664335664333</v>
      </c>
      <c r="N39" s="58">
        <f t="shared" si="208"/>
        <v>0.65957446808510634</v>
      </c>
      <c r="O39" s="58">
        <f t="shared" si="208"/>
        <v>0.63269639065817407</v>
      </c>
      <c r="P39" s="58">
        <f t="shared" si="208"/>
        <v>0.6785714285714286</v>
      </c>
      <c r="Q39" s="58">
        <f t="shared" si="208"/>
        <v>0.68405797101449284</v>
      </c>
      <c r="R39" s="58">
        <f t="shared" si="208"/>
        <v>0.70462633451957291</v>
      </c>
      <c r="S39" s="58">
        <f t="shared" si="208"/>
        <v>0.6387362637362638</v>
      </c>
      <c r="T39" s="58">
        <f t="shared" si="208"/>
        <v>0.70815450643776823</v>
      </c>
      <c r="U39" s="58">
        <f t="shared" si="208"/>
        <v>0.71007604562737647</v>
      </c>
      <c r="V39" s="58">
        <f t="shared" si="208"/>
        <v>0.69724770642201839</v>
      </c>
      <c r="W39" s="58">
        <f t="shared" si="208"/>
        <v>0.64629948364888112</v>
      </c>
      <c r="X39" s="58">
        <f t="shared" si="208"/>
        <v>0.62272396212672987</v>
      </c>
      <c r="Y39" s="58">
        <f t="shared" si="208"/>
        <v>0.68034993270524902</v>
      </c>
      <c r="Z39" s="58">
        <f t="shared" si="208"/>
        <v>0.68165887850467288</v>
      </c>
      <c r="AA39" s="58">
        <f t="shared" si="208"/>
        <v>0.66127898805340835</v>
      </c>
      <c r="AB39" s="58">
        <f t="shared" si="208"/>
        <v>0.68874560375146543</v>
      </c>
      <c r="AC39" s="58">
        <f t="shared" si="208"/>
        <v>0.68797399783315283</v>
      </c>
      <c r="AD39" s="58">
        <f t="shared" si="208"/>
        <v>0.69457013574660631</v>
      </c>
      <c r="AE39" s="58">
        <f t="shared" si="208"/>
        <v>0.64479392624728848</v>
      </c>
      <c r="AF39" s="58">
        <f t="shared" si="208"/>
        <v>0.63340206185567005</v>
      </c>
      <c r="AG39" s="58">
        <f t="shared" si="208"/>
        <v>0.63217097862767158</v>
      </c>
      <c r="AH39" s="58">
        <f t="shared" si="208"/>
        <v>0.65917159763313615</v>
      </c>
      <c r="AI39" s="58">
        <f t="shared" si="208"/>
        <v>0.60178253119429592</v>
      </c>
      <c r="AJ39" s="58">
        <f t="shared" si="208"/>
        <v>0.61385255648038051</v>
      </c>
      <c r="AK39" s="58">
        <f t="shared" si="208"/>
        <v>0.62301286903860709</v>
      </c>
      <c r="AL39" s="58">
        <f t="shared" si="208"/>
        <v>0.66832324978392399</v>
      </c>
      <c r="AM39" s="58">
        <f t="shared" ref="AM39:BG39" si="209">AM28/AM26</f>
        <v>0.63317699333497901</v>
      </c>
      <c r="AN39" s="58">
        <f t="shared" si="209"/>
        <v>0.62881806108897742</v>
      </c>
      <c r="AO39" s="58">
        <f t="shared" si="209"/>
        <v>0.6795767618287083</v>
      </c>
      <c r="AP39" s="58">
        <f t="shared" si="209"/>
        <v>0.70152926700650375</v>
      </c>
      <c r="AQ39" s="58">
        <f t="shared" si="209"/>
        <v>0.68099009900990093</v>
      </c>
      <c r="AR39" s="58">
        <f t="shared" si="209"/>
        <v>0.70089060662073599</v>
      </c>
      <c r="AS39" s="58">
        <f t="shared" si="209"/>
        <v>0.68732697631497996</v>
      </c>
      <c r="AT39" s="58">
        <f t="shared" si="209"/>
        <v>0.67688341449441425</v>
      </c>
      <c r="AU39" s="58">
        <f t="shared" si="209"/>
        <v>0.63311068702290085</v>
      </c>
      <c r="AV39" s="58">
        <f t="shared" si="209"/>
        <v>0.64564780235564501</v>
      </c>
      <c r="AW39" s="58">
        <f t="shared" si="209"/>
        <v>0.64215176715176714</v>
      </c>
      <c r="AX39" s="58">
        <f t="shared" si="209"/>
        <v>0.66400883218842011</v>
      </c>
      <c r="AY39" s="58">
        <f t="shared" si="209"/>
        <v>0.62387053270397841</v>
      </c>
      <c r="AZ39" s="58">
        <f t="shared" si="209"/>
        <v>0.62710891770917021</v>
      </c>
      <c r="BA39" s="58">
        <f t="shared" si="209"/>
        <v>0.63928205128205129</v>
      </c>
      <c r="BB39" s="58">
        <f t="shared" si="209"/>
        <v>0.63470275495408424</v>
      </c>
      <c r="BC39" s="58">
        <f t="shared" si="209"/>
        <v>0.6102246825138391</v>
      </c>
      <c r="BD39" s="58">
        <f t="shared" si="209"/>
        <v>0.62401672806930197</v>
      </c>
      <c r="BE39" s="58">
        <f t="shared" si="209"/>
        <v>0.59726413196539929</v>
      </c>
      <c r="BF39" s="58">
        <f t="shared" si="209"/>
        <v>0.58884297520661155</v>
      </c>
      <c r="BG39" s="58">
        <f t="shared" si="209"/>
        <v>0.56853281853281856</v>
      </c>
      <c r="BH39" s="58">
        <f>BH28/BH26</f>
        <v>0.59528130671506352</v>
      </c>
      <c r="BI39" s="58">
        <f>BI28/BI26</f>
        <v>0.60481270156288758</v>
      </c>
      <c r="BJ39" s="58">
        <f>BJ28/BJ26</f>
        <v>0.62932677040330254</v>
      </c>
      <c r="BK39" s="58">
        <f t="shared" ref="BK39:BL39" si="210">BK28/BK26</f>
        <v>0.62949911905361178</v>
      </c>
      <c r="BL39" s="58">
        <f t="shared" si="210"/>
        <v>0.63436258025068792</v>
      </c>
      <c r="BS39" s="58">
        <f t="shared" ref="BS39:CF39" si="211">BS28/BS26</f>
        <v>0.47120418848167545</v>
      </c>
      <c r="BT39" s="58">
        <f t="shared" si="211"/>
        <v>0.4664664664664665</v>
      </c>
      <c r="BU39" s="58">
        <f t="shared" si="211"/>
        <v>0.62562499999999999</v>
      </c>
      <c r="BV39" s="58">
        <f t="shared" si="211"/>
        <v>0.6801697530864198</v>
      </c>
      <c r="BW39" s="58">
        <f t="shared" si="211"/>
        <v>0.69253731343283575</v>
      </c>
      <c r="BX39" s="58">
        <f t="shared" si="211"/>
        <v>0.66003837432408874</v>
      </c>
      <c r="BY39" s="58">
        <f t="shared" si="211"/>
        <v>0.6848990953375087</v>
      </c>
      <c r="BZ39" s="58">
        <f t="shared" si="211"/>
        <v>0.64356339666537432</v>
      </c>
      <c r="CA39" s="58">
        <f t="shared" si="211"/>
        <v>0.63109756097560976</v>
      </c>
      <c r="CB39" s="58">
        <f t="shared" si="211"/>
        <v>0.66440026989152434</v>
      </c>
      <c r="CC39" s="58">
        <f t="shared" si="211"/>
        <v>0.68633857463753323</v>
      </c>
      <c r="CD39" s="58">
        <f t="shared" si="211"/>
        <v>0.64715788026668508</v>
      </c>
      <c r="CE39" s="58">
        <f t="shared" si="211"/>
        <v>0.63189133975650824</v>
      </c>
      <c r="CF39" s="58">
        <f t="shared" si="211"/>
        <v>0.60456236052566326</v>
      </c>
      <c r="CG39" s="58">
        <f t="shared" ref="CG39" si="212">CG28/CG26</f>
        <v>0.60100815100815097</v>
      </c>
      <c r="CH39" s="60">
        <v>0.625</v>
      </c>
      <c r="CI39" s="60">
        <v>0.62749999999999995</v>
      </c>
      <c r="CJ39" s="60">
        <v>0.63200000000000001</v>
      </c>
      <c r="CK39" s="60">
        <v>0.63500000000000001</v>
      </c>
      <c r="CL39" s="60">
        <v>0.64</v>
      </c>
      <c r="CM39" s="60">
        <v>0.65</v>
      </c>
      <c r="CN39" s="60">
        <v>0.65500000000000003</v>
      </c>
      <c r="CO39" s="60">
        <v>0.66</v>
      </c>
      <c r="CP39" s="60">
        <v>0.66500000000000004</v>
      </c>
      <c r="CQ39" s="60">
        <v>0.67</v>
      </c>
    </row>
    <row r="40" spans="2:147" ht="14.25" customHeight="1">
      <c r="B40" s="65" t="s">
        <v>60</v>
      </c>
      <c r="C40" s="58">
        <f t="shared" ref="C40:AL40" si="213">C29/C26</f>
        <v>0.75352112676056338</v>
      </c>
      <c r="D40" s="58">
        <f t="shared" si="213"/>
        <v>0.57009345794392519</v>
      </c>
      <c r="E40" s="58">
        <f t="shared" si="213"/>
        <v>0.72131147540983598</v>
      </c>
      <c r="F40" s="58">
        <f t="shared" si="213"/>
        <v>0.66222222222222227</v>
      </c>
      <c r="G40" s="58">
        <f t="shared" si="213"/>
        <v>0.76616915422885568</v>
      </c>
      <c r="H40" s="58">
        <f t="shared" si="213"/>
        <v>0.67948717948717952</v>
      </c>
      <c r="I40" s="58">
        <f t="shared" si="213"/>
        <v>0.66666666666666663</v>
      </c>
      <c r="J40" s="58">
        <f t="shared" si="213"/>
        <v>0.51951951951951958</v>
      </c>
      <c r="K40" s="58">
        <f t="shared" si="213"/>
        <v>0.61148648648648651</v>
      </c>
      <c r="L40" s="58">
        <f t="shared" si="213"/>
        <v>0.57821229050279332</v>
      </c>
      <c r="M40" s="58">
        <f t="shared" si="213"/>
        <v>0.50349650349650354</v>
      </c>
      <c r="N40" s="58">
        <f t="shared" si="213"/>
        <v>0.46034816247582205</v>
      </c>
      <c r="O40" s="58">
        <f t="shared" si="213"/>
        <v>0.5859872611464968</v>
      </c>
      <c r="P40" s="58">
        <f t="shared" si="213"/>
        <v>0.52551020408163263</v>
      </c>
      <c r="Q40" s="58">
        <f t="shared" si="213"/>
        <v>0.48840579710144932</v>
      </c>
      <c r="R40" s="58">
        <f t="shared" si="213"/>
        <v>0.42941874258600243</v>
      </c>
      <c r="S40" s="58">
        <f t="shared" si="213"/>
        <v>0.54120879120879117</v>
      </c>
      <c r="T40" s="58">
        <f t="shared" si="213"/>
        <v>0.48497854077253222</v>
      </c>
      <c r="U40" s="58">
        <f t="shared" si="213"/>
        <v>0.49714828897338398</v>
      </c>
      <c r="V40" s="58">
        <f t="shared" si="213"/>
        <v>0.46712538226299694</v>
      </c>
      <c r="W40" s="58">
        <f t="shared" si="213"/>
        <v>0.53442340791738385</v>
      </c>
      <c r="X40" s="58">
        <f t="shared" si="213"/>
        <v>0.50473415877640193</v>
      </c>
      <c r="Y40" s="58">
        <f t="shared" si="213"/>
        <v>0.50942126514131902</v>
      </c>
      <c r="Z40" s="58">
        <f t="shared" si="213"/>
        <v>0.46203271028037385</v>
      </c>
      <c r="AA40" s="58">
        <f t="shared" si="213"/>
        <v>0.60716795502459586</v>
      </c>
      <c r="AB40" s="58">
        <f t="shared" si="213"/>
        <v>0.50293083235638925</v>
      </c>
      <c r="AC40" s="58">
        <f t="shared" si="213"/>
        <v>0.45612134344528715</v>
      </c>
      <c r="AD40" s="58">
        <f t="shared" si="213"/>
        <v>0.41990950226244345</v>
      </c>
      <c r="AE40" s="58">
        <f t="shared" si="213"/>
        <v>0.5683297180043384</v>
      </c>
      <c r="AF40" s="58">
        <f t="shared" si="213"/>
        <v>0.45896907216494842</v>
      </c>
      <c r="AG40" s="58">
        <f t="shared" si="213"/>
        <v>0.39220097487814021</v>
      </c>
      <c r="AH40" s="58">
        <f t="shared" si="213"/>
        <v>0.33165680473372777</v>
      </c>
      <c r="AI40" s="58">
        <f t="shared" si="213"/>
        <v>0.44278074866310163</v>
      </c>
      <c r="AJ40" s="58">
        <f t="shared" si="213"/>
        <v>0.41111771700356725</v>
      </c>
      <c r="AK40" s="58">
        <f t="shared" si="213"/>
        <v>0.31339894019682057</v>
      </c>
      <c r="AL40" s="58">
        <f t="shared" si="213"/>
        <v>0.2787381158167675</v>
      </c>
      <c r="AM40" s="58">
        <f t="shared" ref="AM40:BG40" si="214">AM29/AM26</f>
        <v>0.18044927178474449</v>
      </c>
      <c r="AN40" s="58">
        <f t="shared" si="214"/>
        <v>0.17684816290393982</v>
      </c>
      <c r="AO40" s="58">
        <f t="shared" si="214"/>
        <v>0.1750848472749052</v>
      </c>
      <c r="AP40" s="58">
        <f t="shared" si="214"/>
        <v>0.20952715767270172</v>
      </c>
      <c r="AQ40" s="58">
        <f t="shared" si="214"/>
        <v>0.21663366336633663</v>
      </c>
      <c r="AR40" s="58">
        <f t="shared" si="214"/>
        <v>0.21693832969248864</v>
      </c>
      <c r="AS40" s="58">
        <f t="shared" si="214"/>
        <v>0.19809289449400189</v>
      </c>
      <c r="AT40" s="58">
        <f t="shared" si="214"/>
        <v>0.33930105986823245</v>
      </c>
      <c r="AU40" s="58">
        <f t="shared" si="214"/>
        <v>0.21612595419847327</v>
      </c>
      <c r="AV40" s="58">
        <f t="shared" si="214"/>
        <v>0.17480609020396437</v>
      </c>
      <c r="AW40" s="58">
        <f t="shared" si="214"/>
        <v>0.1433212058212058</v>
      </c>
      <c r="AX40" s="58">
        <f t="shared" si="214"/>
        <v>0.14266437684003924</v>
      </c>
      <c r="AY40" s="58">
        <f t="shared" si="214"/>
        <v>0.16048550236008091</v>
      </c>
      <c r="AZ40" s="58">
        <f t="shared" si="214"/>
        <v>0.13692184092734994</v>
      </c>
      <c r="BA40" s="58">
        <f t="shared" si="214"/>
        <v>0.13476923076923078</v>
      </c>
      <c r="BB40" s="58">
        <f t="shared" si="214"/>
        <v>0.13156114064765584</v>
      </c>
      <c r="BC40" s="58">
        <f t="shared" si="214"/>
        <v>0.15358732226202107</v>
      </c>
      <c r="BD40" s="58">
        <f t="shared" si="214"/>
        <v>0.13541770387334462</v>
      </c>
      <c r="BE40" s="58">
        <f t="shared" si="214"/>
        <v>0.13618990142828405</v>
      </c>
      <c r="BF40" s="58">
        <f t="shared" si="214"/>
        <v>0.12531440891124684</v>
      </c>
      <c r="BG40" s="58">
        <f t="shared" si="214"/>
        <v>0.14015444015444015</v>
      </c>
      <c r="BH40" s="58">
        <f>BH29/BH26</f>
        <v>0.12807881773399016</v>
      </c>
      <c r="BI40" s="58">
        <f>BI29/BI26</f>
        <v>0.13024063507814437</v>
      </c>
      <c r="BJ40" s="58">
        <f>BJ29/BJ26</f>
        <v>0.11765639885677998</v>
      </c>
      <c r="BK40" s="58">
        <f t="shared" ref="BK40:BL40" si="215">BK29/BK26</f>
        <v>0.12190620018457926</v>
      </c>
      <c r="BL40" s="58">
        <f t="shared" si="215"/>
        <v>0.116936716600428</v>
      </c>
      <c r="BS40" s="58">
        <f t="shared" ref="BS40:CF40" si="216">BS29/BS26</f>
        <v>0.66753926701570676</v>
      </c>
      <c r="BT40" s="58">
        <f t="shared" si="216"/>
        <v>0.64064064064064075</v>
      </c>
      <c r="BU40" s="58">
        <f t="shared" si="216"/>
        <v>0.52625</v>
      </c>
      <c r="BV40" s="58">
        <f t="shared" si="216"/>
        <v>0.49537037037037041</v>
      </c>
      <c r="BW40" s="58">
        <f t="shared" si="216"/>
        <v>0.49253731343283574</v>
      </c>
      <c r="BX40" s="58">
        <f t="shared" si="216"/>
        <v>0.49921507064364218</v>
      </c>
      <c r="BY40" s="58">
        <f t="shared" si="216"/>
        <v>0.4860125260960334</v>
      </c>
      <c r="BZ40" s="58">
        <f t="shared" si="216"/>
        <v>0.41954245831717718</v>
      </c>
      <c r="CA40" s="58">
        <f t="shared" si="216"/>
        <v>0.34939024390243906</v>
      </c>
      <c r="CB40" s="58">
        <f t="shared" si="216"/>
        <v>0.18679607619245342</v>
      </c>
      <c r="CC40" s="58">
        <f t="shared" si="216"/>
        <v>0.24676332448437821</v>
      </c>
      <c r="CD40" s="58">
        <f t="shared" si="216"/>
        <v>0.16640318922262698</v>
      </c>
      <c r="CE40" s="58">
        <f t="shared" si="216"/>
        <v>0.13963503851144302</v>
      </c>
      <c r="CF40" s="58">
        <f t="shared" si="216"/>
        <v>0.13696999752045624</v>
      </c>
      <c r="CG40" s="58">
        <f t="shared" ref="CG40" si="217">CG29/CG26</f>
        <v>0.12850707850707851</v>
      </c>
      <c r="CH40" s="60">
        <v>0.121</v>
      </c>
      <c r="CI40" s="60">
        <v>0.11799999999999999</v>
      </c>
      <c r="CJ40" s="60">
        <v>0.11600000000000001</v>
      </c>
      <c r="CK40" s="60">
        <v>0.114</v>
      </c>
      <c r="CL40" s="60">
        <v>0.11600000000000001</v>
      </c>
      <c r="CM40" s="60">
        <v>0.115</v>
      </c>
      <c r="CN40" s="60">
        <v>0.114</v>
      </c>
      <c r="CO40" s="60">
        <v>0.113</v>
      </c>
      <c r="CP40" s="60">
        <v>0.112</v>
      </c>
      <c r="CQ40" s="60">
        <v>0.111</v>
      </c>
    </row>
    <row r="41" spans="2:147" ht="14.25" customHeight="1">
      <c r="B41" s="65" t="s">
        <v>61</v>
      </c>
      <c r="C41" s="58">
        <f t="shared" ref="C41:AL41" si="218">C30/C26</f>
        <v>0.44366197183098594</v>
      </c>
      <c r="D41" s="58">
        <f t="shared" si="218"/>
        <v>0.32710280373831779</v>
      </c>
      <c r="E41" s="58">
        <f t="shared" si="218"/>
        <v>0.44808743169398901</v>
      </c>
      <c r="F41" s="58">
        <f t="shared" si="218"/>
        <v>0.36</v>
      </c>
      <c r="G41" s="58">
        <f t="shared" si="218"/>
        <v>0.46766169154228854</v>
      </c>
      <c r="H41" s="58">
        <f t="shared" si="218"/>
        <v>0.42735042735042739</v>
      </c>
      <c r="I41" s="58">
        <f t="shared" si="218"/>
        <v>0.44588744588744589</v>
      </c>
      <c r="J41" s="58">
        <f t="shared" si="218"/>
        <v>0.25825825825825827</v>
      </c>
      <c r="K41" s="58">
        <f t="shared" si="218"/>
        <v>0.3141891891891892</v>
      </c>
      <c r="L41" s="58">
        <f t="shared" si="218"/>
        <v>0.31005586592178774</v>
      </c>
      <c r="M41" s="58">
        <f t="shared" si="218"/>
        <v>0.27505827505827507</v>
      </c>
      <c r="N41" s="58">
        <f t="shared" si="218"/>
        <v>0.24371373307543517</v>
      </c>
      <c r="O41" s="58">
        <f t="shared" si="218"/>
        <v>0.30785562632696389</v>
      </c>
      <c r="P41" s="58">
        <f t="shared" si="218"/>
        <v>0.25170068027210885</v>
      </c>
      <c r="Q41" s="58">
        <f t="shared" si="218"/>
        <v>0.26811594202898553</v>
      </c>
      <c r="R41" s="58">
        <f t="shared" si="218"/>
        <v>0.25622775800711745</v>
      </c>
      <c r="S41" s="58">
        <f t="shared" si="218"/>
        <v>0.27197802197802201</v>
      </c>
      <c r="T41" s="58">
        <f t="shared" si="218"/>
        <v>0.2618025751072961</v>
      </c>
      <c r="U41" s="58">
        <f t="shared" si="218"/>
        <v>0.61596958174904937</v>
      </c>
      <c r="V41" s="58">
        <f t="shared" si="218"/>
        <v>0.2178899082568807</v>
      </c>
      <c r="W41" s="58">
        <f t="shared" si="218"/>
        <v>0.27710843373493976</v>
      </c>
      <c r="X41" s="58">
        <f t="shared" si="218"/>
        <v>0.26438455935906768</v>
      </c>
      <c r="Y41" s="58">
        <f t="shared" si="218"/>
        <v>0.29542395693135937</v>
      </c>
      <c r="Z41" s="58">
        <f t="shared" si="218"/>
        <v>0.25525700934579443</v>
      </c>
      <c r="AA41" s="58">
        <f t="shared" si="218"/>
        <v>0.33801827125790579</v>
      </c>
      <c r="AB41" s="58">
        <f t="shared" si="218"/>
        <v>0.26553341148886284</v>
      </c>
      <c r="AC41" s="58">
        <f t="shared" si="218"/>
        <v>0.23456121343445285</v>
      </c>
      <c r="AD41" s="58">
        <f t="shared" si="218"/>
        <v>0.22036199095022627</v>
      </c>
      <c r="AE41" s="58">
        <f t="shared" si="218"/>
        <v>0.24295010845986983</v>
      </c>
      <c r="AF41" s="58">
        <f t="shared" si="218"/>
        <v>0.19463917525773197</v>
      </c>
      <c r="AG41" s="58">
        <f t="shared" si="218"/>
        <v>0.18785151856017998</v>
      </c>
      <c r="AH41" s="58">
        <f t="shared" si="218"/>
        <v>0.81449704142011836</v>
      </c>
      <c r="AI41" s="58">
        <f t="shared" si="218"/>
        <v>0.21033868092691621</v>
      </c>
      <c r="AJ41" s="58">
        <f t="shared" si="218"/>
        <v>0.20511296076099883</v>
      </c>
      <c r="AK41" s="58">
        <f t="shared" si="218"/>
        <v>0.1683068382538481</v>
      </c>
      <c r="AL41" s="58">
        <f t="shared" si="218"/>
        <v>0.17026793431287812</v>
      </c>
      <c r="AM41" s="58">
        <f t="shared" ref="AM41:BG41" si="219">AM30/AM26</f>
        <v>0.36978523821278697</v>
      </c>
      <c r="AN41" s="58">
        <f t="shared" si="219"/>
        <v>0.30190349712262066</v>
      </c>
      <c r="AO41" s="58">
        <f t="shared" si="219"/>
        <v>0.31663006588141346</v>
      </c>
      <c r="AP41" s="58">
        <f t="shared" si="219"/>
        <v>0.30479873439971877</v>
      </c>
      <c r="AQ41" s="58">
        <f t="shared" si="219"/>
        <v>0.37346534653465346</v>
      </c>
      <c r="AR41" s="58">
        <f t="shared" si="219"/>
        <v>0.31339270710804906</v>
      </c>
      <c r="AS41" s="58">
        <f t="shared" si="219"/>
        <v>0.30529067979083363</v>
      </c>
      <c r="AT41" s="58">
        <f t="shared" si="219"/>
        <v>0.33930105986823245</v>
      </c>
      <c r="AU41" s="58">
        <f t="shared" si="219"/>
        <v>0.34812340966921118</v>
      </c>
      <c r="AV41" s="58">
        <f t="shared" si="219"/>
        <v>0.35751220913530596</v>
      </c>
      <c r="AW41" s="58">
        <f t="shared" si="219"/>
        <v>0.30483367983367982</v>
      </c>
      <c r="AX41" s="58">
        <f t="shared" si="219"/>
        <v>0.37450932286555444</v>
      </c>
      <c r="AY41" s="58">
        <f t="shared" si="219"/>
        <v>0.39973027646662168</v>
      </c>
      <c r="AZ41" s="58">
        <f t="shared" si="219"/>
        <v>0.34316538505681166</v>
      </c>
      <c r="BA41" s="58">
        <f t="shared" si="219"/>
        <v>0.29374358974358972</v>
      </c>
      <c r="BB41" s="58">
        <f t="shared" si="219"/>
        <v>0.2934751087481875</v>
      </c>
      <c r="BC41" s="58">
        <f t="shared" si="219"/>
        <v>0.34657549115380443</v>
      </c>
      <c r="BD41" s="58">
        <f t="shared" si="219"/>
        <v>0.33127551528427762</v>
      </c>
      <c r="BE41" s="58">
        <f t="shared" si="219"/>
        <v>0.30818748742707702</v>
      </c>
      <c r="BF41" s="58">
        <f t="shared" si="219"/>
        <v>0.29410707869205888</v>
      </c>
      <c r="BG41" s="58">
        <f t="shared" si="219"/>
        <v>0.29932432432432432</v>
      </c>
      <c r="BH41" s="58">
        <f>BH30/BH26</f>
        <v>0.28346728891193501</v>
      </c>
      <c r="BI41" s="58">
        <f>BI30/BI26</f>
        <v>0.27404283469775903</v>
      </c>
      <c r="BJ41" s="58">
        <f>BJ30/BJ26</f>
        <v>0.25523975865354082</v>
      </c>
      <c r="BK41" s="58">
        <f t="shared" ref="BK41:BL41" si="220">BK30/BK26</f>
        <v>0.29339709707190204</v>
      </c>
      <c r="BL41" s="58">
        <f t="shared" si="220"/>
        <v>0.27415163558544786</v>
      </c>
      <c r="BS41" s="58">
        <f t="shared" ref="BS41:CF41" si="221">BS30/BS26</f>
        <v>0.38743455497382207</v>
      </c>
      <c r="BT41" s="58">
        <f t="shared" si="221"/>
        <v>0.3833833833833834</v>
      </c>
      <c r="BU41" s="58">
        <f t="shared" si="221"/>
        <v>0.28000000000000003</v>
      </c>
      <c r="BV41" s="58">
        <f t="shared" si="221"/>
        <v>0.26774691358024694</v>
      </c>
      <c r="BW41" s="58">
        <f t="shared" si="221"/>
        <v>0.3420398009950249</v>
      </c>
      <c r="BX41" s="58">
        <f t="shared" si="221"/>
        <v>0.27228327228327237</v>
      </c>
      <c r="BY41" s="58">
        <f t="shared" si="221"/>
        <v>0.2580375782881002</v>
      </c>
      <c r="BZ41" s="58">
        <f t="shared" si="221"/>
        <v>0.40461419154711131</v>
      </c>
      <c r="CA41" s="58">
        <f t="shared" si="221"/>
        <v>0.18529810298102981</v>
      </c>
      <c r="CB41" s="58">
        <f t="shared" si="221"/>
        <v>0.32085950070067998</v>
      </c>
      <c r="CC41" s="58">
        <f t="shared" si="221"/>
        <v>0.33101899121911377</v>
      </c>
      <c r="CD41" s="58">
        <f t="shared" si="221"/>
        <v>0.34631246133754895</v>
      </c>
      <c r="CE41" s="58">
        <f t="shared" si="221"/>
        <v>0.32725064185738345</v>
      </c>
      <c r="CF41" s="58">
        <f t="shared" si="221"/>
        <v>0.31881973716836098</v>
      </c>
      <c r="CG41" s="58">
        <f t="shared" ref="CG41" si="222">CG30/CG26</f>
        <v>0.27691977691977693</v>
      </c>
      <c r="CH41" s="60">
        <v>0.28499999999999998</v>
      </c>
      <c r="CI41" s="60">
        <v>0.27500000000000002</v>
      </c>
      <c r="CJ41" s="60">
        <v>0.27</v>
      </c>
      <c r="CK41" s="60">
        <v>0.26500000000000001</v>
      </c>
      <c r="CL41" s="60">
        <v>0.26350000000000001</v>
      </c>
      <c r="CM41" s="60">
        <v>0.26</v>
      </c>
      <c r="CN41" s="60">
        <v>0.25750000000000001</v>
      </c>
      <c r="CO41" s="60">
        <v>0.255</v>
      </c>
      <c r="CP41" s="60">
        <v>0.25</v>
      </c>
      <c r="CQ41" s="60">
        <v>0.245</v>
      </c>
    </row>
    <row r="42" spans="2:147" ht="14.25" customHeight="1">
      <c r="B42" s="65" t="s">
        <v>62</v>
      </c>
      <c r="C42" s="58">
        <f t="shared" ref="C42:AL42" si="223">C31/C26</f>
        <v>-0.83802816901408461</v>
      </c>
      <c r="D42" s="58">
        <f t="shared" si="223"/>
        <v>-0.34112149532710284</v>
      </c>
      <c r="E42" s="58">
        <f t="shared" si="223"/>
        <v>-0.72131147540983587</v>
      </c>
      <c r="F42" s="58">
        <f t="shared" si="223"/>
        <v>-0.54222222222222216</v>
      </c>
      <c r="G42" s="58">
        <f t="shared" si="223"/>
        <v>-0.76616915422885556</v>
      </c>
      <c r="H42" s="58">
        <f t="shared" si="223"/>
        <v>-0.62820512820512819</v>
      </c>
      <c r="I42" s="58">
        <f t="shared" si="223"/>
        <v>-0.74891774891774887</v>
      </c>
      <c r="J42" s="58">
        <f t="shared" si="223"/>
        <v>-0.24924924924924929</v>
      </c>
      <c r="K42" s="58">
        <f t="shared" si="223"/>
        <v>-0.36824324324324331</v>
      </c>
      <c r="L42" s="58">
        <f t="shared" si="223"/>
        <v>-0.27653631284916197</v>
      </c>
      <c r="M42" s="58">
        <f t="shared" si="223"/>
        <v>-0.13519813519813539</v>
      </c>
      <c r="N42" s="58">
        <f t="shared" si="223"/>
        <v>-4.4487427466150815E-2</v>
      </c>
      <c r="O42" s="58">
        <f t="shared" si="223"/>
        <v>-0.26114649681528662</v>
      </c>
      <c r="P42" s="58">
        <f t="shared" si="223"/>
        <v>-9.8639455782313007E-2</v>
      </c>
      <c r="Q42" s="58">
        <f t="shared" si="223"/>
        <v>-7.2463768115942032E-2</v>
      </c>
      <c r="R42" s="58">
        <f t="shared" si="223"/>
        <v>1.8979833926453075E-2</v>
      </c>
      <c r="S42" s="58">
        <f t="shared" si="223"/>
        <v>-0.1744505494505495</v>
      </c>
      <c r="T42" s="58">
        <f t="shared" si="223"/>
        <v>-3.8626609442060027E-2</v>
      </c>
      <c r="U42" s="58">
        <f t="shared" si="223"/>
        <v>-0.40304182509505693</v>
      </c>
      <c r="V42" s="58">
        <f t="shared" si="223"/>
        <v>1.2232415902140846E-2</v>
      </c>
      <c r="W42" s="58">
        <f t="shared" si="223"/>
        <v>-0.16523235800344249</v>
      </c>
      <c r="X42" s="58">
        <f t="shared" si="223"/>
        <v>-0.14639475600873983</v>
      </c>
      <c r="Y42" s="58">
        <f t="shared" si="223"/>
        <v>-0.12449528936742935</v>
      </c>
      <c r="Z42" s="58">
        <f t="shared" si="223"/>
        <v>-3.563084112149538E-2</v>
      </c>
      <c r="AA42" s="58">
        <f t="shared" si="223"/>
        <v>-0.28390723822909336</v>
      </c>
      <c r="AB42" s="58">
        <f t="shared" si="223"/>
        <v>-7.9718640093786611E-2</v>
      </c>
      <c r="AC42" s="58">
        <f t="shared" si="223"/>
        <v>-2.7085590465872156E-3</v>
      </c>
      <c r="AD42" s="58">
        <f t="shared" si="223"/>
        <v>5.4298642533936653E-2</v>
      </c>
      <c r="AE42" s="58">
        <f t="shared" si="223"/>
        <v>-0.16648590021691967</v>
      </c>
      <c r="AF42" s="58">
        <f t="shared" si="223"/>
        <v>-2.0206185567010333E-2</v>
      </c>
      <c r="AG42" s="58">
        <f t="shared" si="223"/>
        <v>5.2118485189351353E-2</v>
      </c>
      <c r="AH42" s="58">
        <f t="shared" si="223"/>
        <v>-0.48698224852070998</v>
      </c>
      <c r="AI42" s="58">
        <f t="shared" si="223"/>
        <v>-5.1336898395721843E-2</v>
      </c>
      <c r="AJ42" s="58">
        <f t="shared" si="223"/>
        <v>-2.3781212841856121E-3</v>
      </c>
      <c r="AK42" s="58">
        <f t="shared" si="223"/>
        <v>0.14130709058793842</v>
      </c>
      <c r="AL42" s="58">
        <f t="shared" si="223"/>
        <v>0.21931719965427829</v>
      </c>
      <c r="AM42" s="58">
        <f t="shared" ref="AM42:BG42" si="224">AM31/AM26</f>
        <v>8.2942483337447526E-2</v>
      </c>
      <c r="AN42" s="58">
        <f t="shared" si="224"/>
        <v>0.15006640106241692</v>
      </c>
      <c r="AO42" s="58">
        <f t="shared" si="224"/>
        <v>0.18786184867238964</v>
      </c>
      <c r="AP42" s="58">
        <f t="shared" si="224"/>
        <v>0.18720337493408323</v>
      </c>
      <c r="AQ42" s="58">
        <f t="shared" si="224"/>
        <v>9.0891089108910847E-2</v>
      </c>
      <c r="AR42" s="58">
        <f t="shared" si="224"/>
        <v>0.17055956982019829</v>
      </c>
      <c r="AS42" s="58">
        <f t="shared" si="224"/>
        <v>0.18394340203014445</v>
      </c>
      <c r="AT42" s="58">
        <f t="shared" si="224"/>
        <v>-1.7187052420506456E-3</v>
      </c>
      <c r="AU42" s="58">
        <f t="shared" si="224"/>
        <v>6.8861323155216383E-2</v>
      </c>
      <c r="AV42" s="58">
        <f t="shared" si="224"/>
        <v>0.11332950301637465</v>
      </c>
      <c r="AW42" s="58">
        <f t="shared" si="224"/>
        <v>0.19399688149688157</v>
      </c>
      <c r="AX42" s="58">
        <f t="shared" si="224"/>
        <v>0.14683513248282634</v>
      </c>
      <c r="AY42" s="58">
        <f t="shared" si="224"/>
        <v>6.3654753877275858E-2</v>
      </c>
      <c r="AZ42" s="58">
        <f t="shared" si="224"/>
        <v>0.14702169172500856</v>
      </c>
      <c r="BA42" s="58">
        <f t="shared" si="224"/>
        <v>0.21076923076923076</v>
      </c>
      <c r="BB42" s="58">
        <f t="shared" si="224"/>
        <v>0.20966650555824085</v>
      </c>
      <c r="BC42" s="58">
        <f t="shared" si="224"/>
        <v>0.11006186909801359</v>
      </c>
      <c r="BD42" s="58">
        <f t="shared" si="224"/>
        <v>0.15732350891167973</v>
      </c>
      <c r="BE42" s="58">
        <f t="shared" si="224"/>
        <v>0.15288674311003822</v>
      </c>
      <c r="BF42" s="58">
        <f t="shared" si="224"/>
        <v>0.1694214876033058</v>
      </c>
      <c r="BG42" s="58">
        <f t="shared" si="224"/>
        <v>0.12905405405405404</v>
      </c>
      <c r="BH42" s="58">
        <f>BH31/BH26</f>
        <v>0.18373520006913835</v>
      </c>
      <c r="BI42" s="58">
        <f>BI31/BI26</f>
        <v>0.2005292317869842</v>
      </c>
      <c r="BJ42" s="58">
        <f>BJ31/BJ26</f>
        <v>0.25643061289298175</v>
      </c>
      <c r="BK42" s="58">
        <f t="shared" ref="BK42:BL42" si="225">BK31/BK26</f>
        <v>0.21419582179713051</v>
      </c>
      <c r="BL42" s="58">
        <f t="shared" si="225"/>
        <v>0.24327422806481205</v>
      </c>
      <c r="BS42" s="58">
        <f t="shared" ref="BS42:CF42" si="226">BS31/BS26</f>
        <v>-0.58376963350785338</v>
      </c>
      <c r="BT42" s="58">
        <f t="shared" si="226"/>
        <v>-0.55755755755755765</v>
      </c>
      <c r="BU42" s="58">
        <f t="shared" si="226"/>
        <v>-0.18062500000000004</v>
      </c>
      <c r="BV42" s="58">
        <f t="shared" si="226"/>
        <v>-8.294753086419758E-2</v>
      </c>
      <c r="BW42" s="58">
        <f t="shared" si="226"/>
        <v>-0.14203980099502478</v>
      </c>
      <c r="BX42" s="58">
        <f t="shared" si="226"/>
        <v>-0.11145996860282577</v>
      </c>
      <c r="BY42" s="58">
        <f t="shared" si="226"/>
        <v>-5.9151009046624896E-2</v>
      </c>
      <c r="BZ42" s="58">
        <f t="shared" si="226"/>
        <v>-0.18059325319891428</v>
      </c>
      <c r="CA42" s="58">
        <f t="shared" si="226"/>
        <v>9.6409214092140913E-2</v>
      </c>
      <c r="CB42" s="58">
        <f t="shared" si="226"/>
        <v>0.156744692998391</v>
      </c>
      <c r="CC42" s="58">
        <f t="shared" si="226"/>
        <v>0.10855625893404131</v>
      </c>
      <c r="CD42" s="58">
        <f t="shared" si="226"/>
        <v>0.1344422297065091</v>
      </c>
      <c r="CE42" s="58">
        <f t="shared" si="226"/>
        <v>0.16500565938768191</v>
      </c>
      <c r="CF42" s="58">
        <f t="shared" si="226"/>
        <v>0.148772625836846</v>
      </c>
      <c r="CG42" s="58">
        <f t="shared" ref="CG42" si="227">CG31/CG26</f>
        <v>0.19558129558129553</v>
      </c>
      <c r="CH42" s="60">
        <f>CH31/CH26</f>
        <v>0.219</v>
      </c>
      <c r="CI42" s="60">
        <f t="shared" ref="CI42:CQ42" si="228">CI31/CI26</f>
        <v>0.23449999999999999</v>
      </c>
      <c r="CJ42" s="60">
        <f t="shared" si="228"/>
        <v>0.24599999999999994</v>
      </c>
      <c r="CK42" s="60">
        <f t="shared" si="228"/>
        <v>0.25600000000000006</v>
      </c>
      <c r="CL42" s="60">
        <f t="shared" si="228"/>
        <v>0.26049999999999995</v>
      </c>
      <c r="CM42" s="60">
        <f t="shared" si="228"/>
        <v>0.27499999999999997</v>
      </c>
      <c r="CN42" s="60">
        <f t="shared" si="228"/>
        <v>0.28350000000000003</v>
      </c>
      <c r="CO42" s="60">
        <f t="shared" si="228"/>
        <v>0.29199999999999998</v>
      </c>
      <c r="CP42" s="60">
        <f t="shared" si="228"/>
        <v>0.3030000000000001</v>
      </c>
      <c r="CQ42" s="60">
        <f t="shared" si="228"/>
        <v>0.314</v>
      </c>
    </row>
    <row r="43" spans="2:147" ht="14.25" customHeight="1">
      <c r="B43" s="65" t="s">
        <v>63</v>
      </c>
      <c r="C43" s="58">
        <f t="shared" ref="C43:AL43" si="229">C34/C33</f>
        <v>0</v>
      </c>
      <c r="D43" s="58">
        <f t="shared" si="229"/>
        <v>0</v>
      </c>
      <c r="E43" s="58">
        <f t="shared" si="229"/>
        <v>0</v>
      </c>
      <c r="F43" s="58">
        <f t="shared" si="229"/>
        <v>0</v>
      </c>
      <c r="G43" s="58">
        <f t="shared" si="229"/>
        <v>8.441558441558443E-2</v>
      </c>
      <c r="H43" s="58">
        <f t="shared" si="229"/>
        <v>0</v>
      </c>
      <c r="I43" s="58">
        <f t="shared" si="229"/>
        <v>0</v>
      </c>
      <c r="J43" s="58">
        <f t="shared" si="229"/>
        <v>0</v>
      </c>
      <c r="K43" s="58">
        <f t="shared" si="229"/>
        <v>0</v>
      </c>
      <c r="L43" s="58">
        <f t="shared" si="229"/>
        <v>0</v>
      </c>
      <c r="M43" s="58">
        <f t="shared" si="229"/>
        <v>0</v>
      </c>
      <c r="N43" s="58">
        <f t="shared" si="229"/>
        <v>0</v>
      </c>
      <c r="O43" s="58">
        <f t="shared" si="229"/>
        <v>0</v>
      </c>
      <c r="P43" s="58">
        <f t="shared" si="229"/>
        <v>0</v>
      </c>
      <c r="Q43" s="58">
        <f t="shared" si="229"/>
        <v>0</v>
      </c>
      <c r="R43" s="58">
        <f t="shared" si="229"/>
        <v>0</v>
      </c>
      <c r="S43" s="58">
        <f t="shared" si="229"/>
        <v>0</v>
      </c>
      <c r="T43" s="58">
        <f t="shared" si="229"/>
        <v>0</v>
      </c>
      <c r="U43" s="58">
        <f t="shared" si="229"/>
        <v>0</v>
      </c>
      <c r="V43" s="58">
        <f t="shared" si="229"/>
        <v>0</v>
      </c>
      <c r="W43" s="58">
        <f t="shared" si="229"/>
        <v>0</v>
      </c>
      <c r="X43" s="58">
        <f t="shared" si="229"/>
        <v>-4.9751243781094578E-3</v>
      </c>
      <c r="Y43" s="58">
        <f t="shared" si="229"/>
        <v>-1.075268817204301E-2</v>
      </c>
      <c r="Z43" s="58">
        <f t="shared" si="229"/>
        <v>-5.7142857142857072E-2</v>
      </c>
      <c r="AA43" s="58">
        <f t="shared" si="229"/>
        <v>-3.4739454094292813E-2</v>
      </c>
      <c r="AB43" s="58">
        <f t="shared" si="229"/>
        <v>1.2013888888888893</v>
      </c>
      <c r="AC43" s="58">
        <f t="shared" si="229"/>
        <v>0.2</v>
      </c>
      <c r="AD43" s="58">
        <f t="shared" si="229"/>
        <v>2.0930232558139537</v>
      </c>
      <c r="AE43" s="58">
        <f t="shared" si="229"/>
        <v>-8.3333333333333367E-3</v>
      </c>
      <c r="AF43" s="58">
        <f t="shared" si="229"/>
        <v>-2.0270270270270275E-2</v>
      </c>
      <c r="AG43" s="58">
        <f t="shared" si="229"/>
        <v>-4.0178571428571425E-2</v>
      </c>
      <c r="AH43" s="58">
        <f t="shared" si="229"/>
        <v>-1.5828151498021484E-2</v>
      </c>
      <c r="AI43" s="58">
        <f t="shared" si="229"/>
        <v>-1.1278195488721814E-2</v>
      </c>
      <c r="AJ43" s="58">
        <f t="shared" si="229"/>
        <v>-0.12903225806451557</v>
      </c>
      <c r="AK43" s="58">
        <f t="shared" si="229"/>
        <v>0</v>
      </c>
      <c r="AL43" s="58">
        <f t="shared" si="229"/>
        <v>1.6967126193001062E-2</v>
      </c>
      <c r="AM43" s="58">
        <f t="shared" ref="AM43:BG43" si="230">AM34/AM33</f>
        <v>0.11160714285714288</v>
      </c>
      <c r="AN43" s="58">
        <f t="shared" si="230"/>
        <v>-2.1645021645021667E-3</v>
      </c>
      <c r="AO43" s="58">
        <f t="shared" si="230"/>
        <v>3.8615179760319591E-2</v>
      </c>
      <c r="AP43" s="58">
        <f t="shared" si="230"/>
        <v>-1.640714741544353</v>
      </c>
      <c r="AQ43" s="58">
        <f t="shared" si="230"/>
        <v>-0.36803874092009703</v>
      </c>
      <c r="AR43" s="58">
        <f t="shared" si="230"/>
        <v>0.19159836065573771</v>
      </c>
      <c r="AS43" s="58">
        <f t="shared" si="230"/>
        <v>0.21800529567519875</v>
      </c>
      <c r="AT43" s="58">
        <f t="shared" si="230"/>
        <v>2.5434782608694331</v>
      </c>
      <c r="AU43" s="58">
        <f t="shared" si="230"/>
        <v>-1.6062992125984226</v>
      </c>
      <c r="AV43" s="58">
        <f t="shared" si="230"/>
        <v>0.31606217616580295</v>
      </c>
      <c r="AW43" s="58">
        <f t="shared" si="230"/>
        <v>0.30405405405405395</v>
      </c>
      <c r="AX43" s="58">
        <f t="shared" si="230"/>
        <v>0.32470588235294107</v>
      </c>
      <c r="AY43" s="58">
        <f t="shared" si="230"/>
        <v>0.24651162790697659</v>
      </c>
      <c r="AZ43" s="58">
        <f t="shared" si="230"/>
        <v>0.27244193345888268</v>
      </c>
      <c r="BA43" s="58">
        <f t="shared" si="230"/>
        <v>0.49792013311148087</v>
      </c>
      <c r="BB43" s="58">
        <f t="shared" si="230"/>
        <v>-4.1023558082859429E-2</v>
      </c>
      <c r="BC43" s="58">
        <f t="shared" si="230"/>
        <v>-0.10466867469879525</v>
      </c>
      <c r="BD43" s="58">
        <f t="shared" si="230"/>
        <v>0.23588924387646437</v>
      </c>
      <c r="BE43" s="58">
        <f t="shared" si="230"/>
        <v>0.2412626832018038</v>
      </c>
      <c r="BF43" s="58">
        <f t="shared" si="230"/>
        <v>0.28246445497630329</v>
      </c>
      <c r="BG43" s="58">
        <f t="shared" si="230"/>
        <v>0.31691510045366172</v>
      </c>
      <c r="BH43" s="58">
        <f>BH34/BH33</f>
        <v>0.25425134798838661</v>
      </c>
      <c r="BI43" s="58">
        <f>BI34/BI33</f>
        <v>0.19443655975021287</v>
      </c>
      <c r="BJ43" s="58">
        <f>BJ34/BJ33</f>
        <v>0.21543880246551234</v>
      </c>
      <c r="BK43" s="58">
        <f t="shared" ref="BK43:BL43" si="231">BK34/BK33</f>
        <v>0.25974025974025988</v>
      </c>
      <c r="BL43" s="58">
        <f t="shared" si="231"/>
        <v>0.21543307086614166</v>
      </c>
      <c r="BS43" s="58">
        <f t="shared" ref="BS43:CF43" si="232">BS34/BS33</f>
        <v>0</v>
      </c>
      <c r="BT43" s="58">
        <f t="shared" si="232"/>
        <v>2.3297491039426525E-2</v>
      </c>
      <c r="BU43" s="58">
        <f t="shared" si="232"/>
        <v>0</v>
      </c>
      <c r="BV43" s="58">
        <f t="shared" si="232"/>
        <v>0</v>
      </c>
      <c r="BW43" s="58">
        <f t="shared" si="232"/>
        <v>0</v>
      </c>
      <c r="BX43" s="58">
        <f t="shared" si="232"/>
        <v>-1.078582434514638E-2</v>
      </c>
      <c r="BY43" s="58">
        <f t="shared" si="232"/>
        <v>-3.2921810699588515E-2</v>
      </c>
      <c r="BZ43" s="58">
        <f t="shared" si="232"/>
        <v>-4.7430830039525678E-3</v>
      </c>
      <c r="CA43" s="58">
        <f t="shared" si="232"/>
        <v>2.9750479846449143E-2</v>
      </c>
      <c r="CB43" s="58">
        <f t="shared" si="232"/>
        <v>-0.83821571238348913</v>
      </c>
      <c r="CC43" s="58">
        <f t="shared" si="232"/>
        <v>0.15537383177570085</v>
      </c>
      <c r="CD43" s="58">
        <f t="shared" si="232"/>
        <v>0.12691914022517903</v>
      </c>
      <c r="CE43" s="58">
        <f t="shared" si="232"/>
        <v>0.23775337837837829</v>
      </c>
      <c r="CF43" s="58">
        <f t="shared" si="232"/>
        <v>0.18730606488011284</v>
      </c>
      <c r="CG43" s="58">
        <f t="shared" ref="CG43" si="233">CG34/CG33</f>
        <v>0.23162440279309079</v>
      </c>
      <c r="CH43" s="60">
        <v>0.22</v>
      </c>
      <c r="CI43" s="60">
        <v>0.21</v>
      </c>
      <c r="CJ43" s="60">
        <v>0.2</v>
      </c>
      <c r="CK43" s="60">
        <v>0.2</v>
      </c>
      <c r="CL43" s="60">
        <v>0.2</v>
      </c>
      <c r="CM43" s="60">
        <v>0.21</v>
      </c>
      <c r="CN43" s="60">
        <v>0.21</v>
      </c>
      <c r="CO43" s="60">
        <v>0.21</v>
      </c>
      <c r="CP43" s="60">
        <v>0.21</v>
      </c>
      <c r="CQ43" s="60">
        <v>0.21</v>
      </c>
    </row>
    <row r="44" spans="2:147" ht="14.25" customHeight="1">
      <c r="B44" s="65" t="s">
        <v>64</v>
      </c>
      <c r="C44" s="58">
        <f t="shared" ref="C44:AL44" si="234">C35/C26</f>
        <v>-0.83802816901408461</v>
      </c>
      <c r="D44" s="58">
        <f t="shared" si="234"/>
        <v>-0.34112149532710284</v>
      </c>
      <c r="E44" s="58">
        <f t="shared" si="234"/>
        <v>-0.72131147540983587</v>
      </c>
      <c r="F44" s="58">
        <f t="shared" si="234"/>
        <v>-0.54222222222222216</v>
      </c>
      <c r="G44" s="58">
        <f t="shared" si="234"/>
        <v>-0.70149253731343264</v>
      </c>
      <c r="H44" s="58">
        <f t="shared" si="234"/>
        <v>-0.62820512820512819</v>
      </c>
      <c r="I44" s="58">
        <f t="shared" si="234"/>
        <v>-0.74891774891774887</v>
      </c>
      <c r="J44" s="58">
        <f t="shared" si="234"/>
        <v>-0.25225225225225228</v>
      </c>
      <c r="K44" s="58">
        <f t="shared" si="234"/>
        <v>-0.37500000000000006</v>
      </c>
      <c r="L44" s="58">
        <f t="shared" si="234"/>
        <v>-0.28212290502793291</v>
      </c>
      <c r="M44" s="58">
        <f t="shared" si="234"/>
        <v>-0.13986013986014006</v>
      </c>
      <c r="N44" s="58">
        <f t="shared" si="234"/>
        <v>-5.0290135396518311E-2</v>
      </c>
      <c r="O44" s="58">
        <f t="shared" si="234"/>
        <v>-0.26539278131634819</v>
      </c>
      <c r="P44" s="58">
        <f t="shared" si="234"/>
        <v>-0.1020408163265307</v>
      </c>
      <c r="Q44" s="58">
        <f t="shared" si="234"/>
        <v>-7.5362318840579715E-2</v>
      </c>
      <c r="R44" s="58">
        <f t="shared" si="234"/>
        <v>1.6607354685646433E-2</v>
      </c>
      <c r="S44" s="58">
        <f t="shared" si="234"/>
        <v>-0.17719780219780223</v>
      </c>
      <c r="T44" s="58">
        <f t="shared" si="234"/>
        <v>-3.9699570815450586E-2</v>
      </c>
      <c r="U44" s="58">
        <f t="shared" si="234"/>
        <v>-0.40399239543726229</v>
      </c>
      <c r="V44" s="58">
        <f t="shared" si="234"/>
        <v>1.2232415902140846E-2</v>
      </c>
      <c r="W44" s="58">
        <f t="shared" si="234"/>
        <v>-0.16523235800344249</v>
      </c>
      <c r="X44" s="58">
        <f t="shared" si="234"/>
        <v>-0.14712308812818631</v>
      </c>
      <c r="Y44" s="58">
        <f t="shared" si="234"/>
        <v>-0.12651413189771199</v>
      </c>
      <c r="Z44" s="58">
        <f t="shared" si="234"/>
        <v>-4.3224299065420614E-2</v>
      </c>
      <c r="AA44" s="58">
        <f t="shared" si="234"/>
        <v>-0.29304286718200973</v>
      </c>
      <c r="AB44" s="58">
        <f t="shared" si="234"/>
        <v>1.699882766705748E-2</v>
      </c>
      <c r="AC44" s="58">
        <f t="shared" si="234"/>
        <v>-1.0834236186348862E-2</v>
      </c>
      <c r="AD44" s="58">
        <f t="shared" si="234"/>
        <v>-4.2533936651583712E-2</v>
      </c>
      <c r="AE44" s="58">
        <f t="shared" si="234"/>
        <v>-0.13123644251626893</v>
      </c>
      <c r="AF44" s="58">
        <f t="shared" si="234"/>
        <v>0.12453608247422679</v>
      </c>
      <c r="AG44" s="58">
        <f t="shared" si="234"/>
        <v>0.1747281589801275</v>
      </c>
      <c r="AH44" s="58">
        <f t="shared" si="234"/>
        <v>-0.53165680473372778</v>
      </c>
      <c r="AI44" s="58">
        <f t="shared" si="234"/>
        <v>-9.5900178253119348E-2</v>
      </c>
      <c r="AJ44" s="58">
        <f t="shared" si="234"/>
        <v>-3.1212841854934718E-2</v>
      </c>
      <c r="AK44" s="58">
        <f t="shared" si="234"/>
        <v>0.11556901337370677</v>
      </c>
      <c r="AL44" s="58">
        <f t="shared" si="234"/>
        <v>0.20030250648228176</v>
      </c>
      <c r="AM44" s="58">
        <f t="shared" ref="AM44:BG44" si="235">AM35/AM26</f>
        <v>4.9123673167119214E-2</v>
      </c>
      <c r="AN44" s="58">
        <f t="shared" si="235"/>
        <v>0.10247897299690119</v>
      </c>
      <c r="AO44" s="58">
        <f t="shared" si="235"/>
        <v>0.14414054701537227</v>
      </c>
      <c r="AP44" s="58">
        <f t="shared" si="235"/>
        <v>0.72736860608191245</v>
      </c>
      <c r="AQ44" s="58">
        <f t="shared" si="235"/>
        <v>0.11188118811881183</v>
      </c>
      <c r="AR44" s="58">
        <f t="shared" si="235"/>
        <v>0.1325827592001344</v>
      </c>
      <c r="AS44" s="58">
        <f t="shared" si="235"/>
        <v>0.13626576438019058</v>
      </c>
      <c r="AT44" s="58">
        <f t="shared" si="235"/>
        <v>-1.0169006015468E-2</v>
      </c>
      <c r="AU44" s="58">
        <f t="shared" si="235"/>
        <v>0.15791984732824438</v>
      </c>
      <c r="AV44" s="58">
        <f t="shared" si="235"/>
        <v>7.5840275782821071E-2</v>
      </c>
      <c r="AW44" s="58">
        <f t="shared" si="235"/>
        <v>0.13383575883575891</v>
      </c>
      <c r="AX44" s="58">
        <f t="shared" si="235"/>
        <v>0.10561825318940143</v>
      </c>
      <c r="AY44" s="58">
        <f t="shared" si="235"/>
        <v>6.5542818610923856E-2</v>
      </c>
      <c r="AZ44" s="58">
        <f t="shared" si="235"/>
        <v>0.13301962584643631</v>
      </c>
      <c r="BA44" s="58">
        <f t="shared" si="235"/>
        <v>0.12379487179487179</v>
      </c>
      <c r="BB44" s="58">
        <f t="shared" si="235"/>
        <v>0.24775253745770923</v>
      </c>
      <c r="BC44" s="58">
        <f t="shared" si="235"/>
        <v>0.15923152067730376</v>
      </c>
      <c r="BD44" s="58">
        <f t="shared" si="235"/>
        <v>0.14288559195459519</v>
      </c>
      <c r="BE44" s="58">
        <f t="shared" si="235"/>
        <v>0.13538523435928387</v>
      </c>
      <c r="BF44" s="58">
        <f t="shared" si="235"/>
        <v>0.13600431189363998</v>
      </c>
      <c r="BG44" s="58">
        <f t="shared" si="235"/>
        <v>0.10173745173745172</v>
      </c>
      <c r="BH44" s="58">
        <f>BH35/BH26</f>
        <v>0.15538847117794483</v>
      </c>
      <c r="BI44" s="58">
        <f>BI35/BI26</f>
        <v>0.23468122054080875</v>
      </c>
      <c r="BJ44" s="58">
        <f>BJ35/BJ26</f>
        <v>0.21221022546840246</v>
      </c>
      <c r="BK44" s="58">
        <f t="shared" ref="BK44:BL44" si="236">BK35/BK26</f>
        <v>0.16737981374276353</v>
      </c>
      <c r="BL44" s="58">
        <f t="shared" si="236"/>
        <v>0.19038520330174266</v>
      </c>
      <c r="BS44" s="58">
        <f t="shared" ref="BS44:CF44" si="237">BS35/BS26</f>
        <v>-0.58376963350785338</v>
      </c>
      <c r="BT44" s="58">
        <f t="shared" si="237"/>
        <v>-0.54554554554554557</v>
      </c>
      <c r="BU44" s="58">
        <f t="shared" si="237"/>
        <v>-0.18625000000000003</v>
      </c>
      <c r="BV44" s="58">
        <f t="shared" si="237"/>
        <v>-8.6033950617283986E-2</v>
      </c>
      <c r="BW44" s="58">
        <f t="shared" si="237"/>
        <v>-0.1430348258706467</v>
      </c>
      <c r="BX44" s="58">
        <f t="shared" si="237"/>
        <v>-0.11442525728240016</v>
      </c>
      <c r="BY44" s="58">
        <f t="shared" si="237"/>
        <v>-6.9867780097425169E-2</v>
      </c>
      <c r="BZ44" s="58">
        <f t="shared" si="237"/>
        <v>-0.12320666925164792</v>
      </c>
      <c r="CA44" s="58">
        <f t="shared" si="237"/>
        <v>6.849593495934958E-2</v>
      </c>
      <c r="CB44" s="58">
        <f t="shared" si="237"/>
        <v>0.28660403799242223</v>
      </c>
      <c r="CC44" s="58">
        <f t="shared" si="237"/>
        <v>8.8584847866040484E-2</v>
      </c>
      <c r="CD44" s="58">
        <f t="shared" si="237"/>
        <v>0.11725891813870376</v>
      </c>
      <c r="CE44" s="58">
        <f t="shared" si="237"/>
        <v>0.14949065510863269</v>
      </c>
      <c r="CF44" s="58">
        <f t="shared" si="237"/>
        <v>0.14287131167865111</v>
      </c>
      <c r="CG44" s="58">
        <f t="shared" ref="CG44" si="238">CG35/CG26</f>
        <v>0.17938652938652933</v>
      </c>
      <c r="CH44" s="60">
        <v>0.14287131167865108</v>
      </c>
      <c r="CI44" s="60">
        <v>0.14287131167865108</v>
      </c>
      <c r="CJ44" s="60">
        <v>0.14287131167865108</v>
      </c>
      <c r="CK44" s="60">
        <v>0.14287131167865108</v>
      </c>
      <c r="CL44" s="60">
        <v>0.14287131167865108</v>
      </c>
      <c r="CM44" s="60">
        <v>0.14287131167865108</v>
      </c>
      <c r="CN44" s="60">
        <v>0.14287131167865108</v>
      </c>
      <c r="CO44" s="60">
        <v>0.14287131167865108</v>
      </c>
      <c r="CP44" s="60">
        <v>0.14287131167865108</v>
      </c>
      <c r="CQ44" s="60">
        <v>0.14287131167865108</v>
      </c>
    </row>
    <row r="46" spans="2:147" ht="14.25" customHeight="1">
      <c r="B46" s="48" t="s">
        <v>65</v>
      </c>
      <c r="AP46" s="54">
        <v>817.6</v>
      </c>
      <c r="AQ46" s="54">
        <v>733.8</v>
      </c>
      <c r="AR46" s="54">
        <v>1158.8</v>
      </c>
      <c r="AS46" s="54">
        <v>1444.3</v>
      </c>
      <c r="AT46" s="54">
        <v>1052.5999999999999</v>
      </c>
      <c r="AU46" s="54">
        <v>716</v>
      </c>
      <c r="AV46" s="54">
        <v>735.4</v>
      </c>
      <c r="AW46" s="54">
        <v>698.1</v>
      </c>
      <c r="AX46" s="54">
        <v>642.29999999999995</v>
      </c>
      <c r="AY46" s="54">
        <v>623.20000000000005</v>
      </c>
      <c r="AZ46" s="54">
        <v>1194.9000000000001</v>
      </c>
      <c r="BA46" s="54">
        <v>643.70000000000005</v>
      </c>
      <c r="BB46" s="54">
        <v>566.29999999999995</v>
      </c>
      <c r="BC46" s="54">
        <v>851.2</v>
      </c>
      <c r="BD46" s="54">
        <v>939.2</v>
      </c>
      <c r="BE46" s="54">
        <v>621.20000000000005</v>
      </c>
      <c r="BF46" s="54">
        <v>606.1</v>
      </c>
      <c r="BG46" s="54">
        <v>904.9</v>
      </c>
      <c r="BH46" s="54">
        <v>1159</v>
      </c>
      <c r="BI46" s="54">
        <v>1159</v>
      </c>
      <c r="BJ46" s="54">
        <v>917.7</v>
      </c>
      <c r="BK46" s="54">
        <v>1118.2</v>
      </c>
      <c r="BL46" s="54">
        <v>1105</v>
      </c>
      <c r="CB46" s="54">
        <f t="shared" ref="CB46:CB57" si="239">AP46</f>
        <v>817.6</v>
      </c>
      <c r="CC46" s="54">
        <f t="shared" ref="CC46:CC57" si="240">AT46</f>
        <v>1052.5999999999999</v>
      </c>
      <c r="CD46" s="54">
        <f t="shared" ref="CD46:CD57" si="241">AX46</f>
        <v>642.29999999999995</v>
      </c>
      <c r="CE46" s="54">
        <f t="shared" ref="CE46:CE57" si="242">BB46</f>
        <v>566.29999999999995</v>
      </c>
      <c r="CF46" s="54">
        <f t="shared" ref="CF46:CF57" si="243">BF46</f>
        <v>606.1</v>
      </c>
      <c r="CG46" s="54">
        <f>BJ46</f>
        <v>917.7</v>
      </c>
      <c r="CH46" s="55">
        <f>CG46-CF64+CH35</f>
        <v>757.54952335999997</v>
      </c>
      <c r="CI46" s="55">
        <f t="shared" ref="CI46:CQ46" si="244">CH46-CH64+CI35</f>
        <v>2093.9405204016948</v>
      </c>
      <c r="CJ46" s="55">
        <f t="shared" si="244"/>
        <v>3717.4843942396424</v>
      </c>
      <c r="CK46" s="55">
        <f t="shared" si="244"/>
        <v>5643.2058005285826</v>
      </c>
      <c r="CL46" s="55">
        <f t="shared" si="244"/>
        <v>7875.1573430917597</v>
      </c>
      <c r="CM46" s="55">
        <f t="shared" si="244"/>
        <v>10494.871329641182</v>
      </c>
      <c r="CN46" s="55">
        <f t="shared" si="244"/>
        <v>13540.009413889342</v>
      </c>
      <c r="CO46" s="55">
        <f t="shared" si="244"/>
        <v>17068.001785047152</v>
      </c>
      <c r="CP46" s="55">
        <f t="shared" si="244"/>
        <v>21168.370275552974</v>
      </c>
      <c r="CQ46" s="55">
        <f t="shared" si="244"/>
        <v>25916.526391708154</v>
      </c>
    </row>
    <row r="47" spans="2:147" ht="14.25" customHeight="1">
      <c r="B47" s="48" t="s">
        <v>66</v>
      </c>
      <c r="AP47" s="54">
        <v>1890.1</v>
      </c>
      <c r="AQ47" s="54">
        <v>1898.8</v>
      </c>
      <c r="AR47" s="54">
        <v>1426.1</v>
      </c>
      <c r="AS47" s="54">
        <v>1253.5999999999999</v>
      </c>
      <c r="AT47" s="54">
        <v>1678.6</v>
      </c>
      <c r="AU47" s="54">
        <v>1972.2</v>
      </c>
      <c r="AV47" s="54">
        <v>2019.4</v>
      </c>
      <c r="AW47" s="54">
        <v>1673.8</v>
      </c>
      <c r="AX47" s="54">
        <v>1813.9</v>
      </c>
      <c r="AY47" s="54">
        <v>1943.8</v>
      </c>
      <c r="AZ47" s="54">
        <v>2441.3000000000002</v>
      </c>
      <c r="BA47" s="54">
        <v>2596.6</v>
      </c>
      <c r="BB47" s="54">
        <v>2157.8000000000002</v>
      </c>
      <c r="BC47" s="54">
        <v>2045.8</v>
      </c>
      <c r="BD47" s="54">
        <v>2181.5</v>
      </c>
      <c r="BE47" s="54">
        <v>1871.1</v>
      </c>
      <c r="BF47" s="54">
        <v>1973.3</v>
      </c>
      <c r="BG47" s="54">
        <v>1796.5</v>
      </c>
      <c r="BH47" s="54">
        <v>1770</v>
      </c>
      <c r="BI47" s="54">
        <v>1770</v>
      </c>
      <c r="BJ47" s="54">
        <v>1081</v>
      </c>
      <c r="BK47" s="54">
        <v>1297</v>
      </c>
      <c r="BL47" s="54">
        <v>842</v>
      </c>
      <c r="CB47" s="54">
        <f t="shared" si="239"/>
        <v>1890.1</v>
      </c>
      <c r="CC47" s="54">
        <f t="shared" si="240"/>
        <v>1678.6</v>
      </c>
      <c r="CD47" s="54">
        <f t="shared" si="241"/>
        <v>1813.9</v>
      </c>
      <c r="CE47" s="54">
        <f t="shared" si="242"/>
        <v>2157.8000000000002</v>
      </c>
      <c r="CF47" s="54">
        <f t="shared" si="243"/>
        <v>1973.3</v>
      </c>
      <c r="CG47" s="54">
        <f t="shared" ref="CG47:CG69" si="245">BJ47</f>
        <v>1081</v>
      </c>
    </row>
    <row r="48" spans="2:147" ht="14.25" customHeight="1">
      <c r="B48" s="48" t="s">
        <v>174</v>
      </c>
      <c r="AP48" s="54">
        <v>428.5</v>
      </c>
      <c r="AQ48" s="54">
        <v>443.4</v>
      </c>
      <c r="AR48" s="54">
        <v>483.5</v>
      </c>
      <c r="AS48" s="54">
        <v>529.1</v>
      </c>
      <c r="AT48" s="54">
        <v>514.29999999999995</v>
      </c>
      <c r="AU48" s="54">
        <v>544.5</v>
      </c>
      <c r="AV48" s="54">
        <v>560.79999999999995</v>
      </c>
      <c r="AW48" s="54">
        <v>564.1</v>
      </c>
      <c r="AX48" s="54">
        <v>713.3</v>
      </c>
      <c r="AY48" s="54">
        <v>636.79999999999995</v>
      </c>
      <c r="AZ48" s="54">
        <v>750.6</v>
      </c>
      <c r="BA48" s="54">
        <v>785.7</v>
      </c>
      <c r="BB48" s="54">
        <v>973.9</v>
      </c>
      <c r="BC48" s="54">
        <v>978.6</v>
      </c>
      <c r="BD48" s="54">
        <v>945.2</v>
      </c>
      <c r="BE48" s="54">
        <v>1002</v>
      </c>
      <c r="BF48" s="54">
        <v>1005.7</v>
      </c>
      <c r="BG48" s="54">
        <v>1155.2</v>
      </c>
      <c r="BH48" s="54">
        <v>1348.8</v>
      </c>
      <c r="BI48" s="54">
        <v>1348.8</v>
      </c>
      <c r="BJ48" s="54">
        <v>1216.0999999999999</v>
      </c>
      <c r="BK48" s="54">
        <v>1088.5999999999999</v>
      </c>
      <c r="BL48" s="54">
        <v>1257.7</v>
      </c>
      <c r="CB48" s="54">
        <f t="shared" si="239"/>
        <v>428.5</v>
      </c>
      <c r="CC48" s="54">
        <f t="shared" si="240"/>
        <v>514.29999999999995</v>
      </c>
      <c r="CD48" s="54">
        <f t="shared" si="241"/>
        <v>713.3</v>
      </c>
      <c r="CE48" s="54">
        <f t="shared" si="242"/>
        <v>973.9</v>
      </c>
      <c r="CF48" s="54">
        <f t="shared" si="243"/>
        <v>1005.7</v>
      </c>
      <c r="CG48" s="54">
        <f t="shared" si="245"/>
        <v>1216.0999999999999</v>
      </c>
      <c r="CT48" s="67"/>
      <c r="CW48" s="67"/>
      <c r="CY48" s="68"/>
      <c r="DA48" s="69"/>
    </row>
    <row r="49" spans="2:147" ht="14.25" customHeight="1">
      <c r="B49" s="48" t="s">
        <v>175</v>
      </c>
      <c r="AP49" s="54">
        <v>234.7</v>
      </c>
      <c r="AQ49" s="54">
        <v>289.7</v>
      </c>
      <c r="AR49" s="54">
        <v>319.3</v>
      </c>
      <c r="AS49" s="54">
        <v>351.3</v>
      </c>
      <c r="AT49" s="54">
        <v>357.3</v>
      </c>
      <c r="AU49" s="54">
        <v>342.2</v>
      </c>
      <c r="AV49" s="54">
        <v>339.5</v>
      </c>
      <c r="AW49" s="54">
        <v>311</v>
      </c>
      <c r="AX49" s="54">
        <v>306.7</v>
      </c>
      <c r="AY49" s="54">
        <v>366</v>
      </c>
      <c r="AZ49" s="54">
        <v>421.1</v>
      </c>
      <c r="BA49" s="54">
        <v>498.6</v>
      </c>
      <c r="BB49" s="54">
        <v>559.6</v>
      </c>
      <c r="BC49" s="54">
        <v>589.1</v>
      </c>
      <c r="BD49" s="54">
        <v>570.29999999999995</v>
      </c>
      <c r="BE49" s="54">
        <v>586.29999999999995</v>
      </c>
      <c r="BF49" s="54">
        <v>542.6</v>
      </c>
      <c r="BG49" s="54">
        <v>538.20000000000005</v>
      </c>
      <c r="BH49" s="54">
        <v>570.70000000000005</v>
      </c>
      <c r="BI49" s="54">
        <v>570.70000000000005</v>
      </c>
      <c r="BJ49" s="54">
        <v>629.1</v>
      </c>
      <c r="BK49" s="54">
        <v>693.6</v>
      </c>
      <c r="BL49" s="54">
        <v>726.4</v>
      </c>
      <c r="CB49" s="54">
        <f t="shared" si="239"/>
        <v>234.7</v>
      </c>
      <c r="CC49" s="54">
        <f t="shared" si="240"/>
        <v>357.3</v>
      </c>
      <c r="CD49" s="54">
        <f t="shared" si="241"/>
        <v>306.7</v>
      </c>
      <c r="CE49" s="54">
        <f t="shared" si="242"/>
        <v>559.6</v>
      </c>
      <c r="CF49" s="54">
        <f t="shared" si="243"/>
        <v>542.6</v>
      </c>
      <c r="CG49" s="54">
        <f t="shared" si="245"/>
        <v>629.1</v>
      </c>
      <c r="CI49" s="77" t="s">
        <v>113</v>
      </c>
      <c r="CJ49" s="78"/>
      <c r="CK49" s="78"/>
      <c r="CL49" s="79" t="s">
        <v>1465</v>
      </c>
      <c r="CM49" s="80"/>
      <c r="CN49" s="81" t="s">
        <v>112</v>
      </c>
      <c r="CO49" s="80"/>
      <c r="CP49" s="69" t="s">
        <v>114</v>
      </c>
      <c r="CQ49" s="70">
        <v>0.22850000000000001</v>
      </c>
      <c r="CY49" s="68"/>
      <c r="DA49" s="69"/>
    </row>
    <row r="50" spans="2:147" ht="14.25" customHeight="1">
      <c r="B50" s="48" t="s">
        <v>176</v>
      </c>
      <c r="AP50" s="54">
        <v>53.9</v>
      </c>
      <c r="AQ50" s="54">
        <v>79.400000000000006</v>
      </c>
      <c r="AR50" s="54">
        <v>86.5</v>
      </c>
      <c r="AS50" s="54">
        <v>77.900000000000006</v>
      </c>
      <c r="AT50" s="54">
        <v>81.599999999999994</v>
      </c>
      <c r="AU50" s="54">
        <v>171.7</v>
      </c>
      <c r="AV50" s="54">
        <v>153.6</v>
      </c>
      <c r="AW50" s="54">
        <v>151.5</v>
      </c>
      <c r="AX50" s="54">
        <v>192.6</v>
      </c>
      <c r="AY50" s="54">
        <v>197.6</v>
      </c>
      <c r="AZ50" s="54">
        <v>195</v>
      </c>
      <c r="BA50" s="54">
        <v>173.8</v>
      </c>
      <c r="BB50" s="54">
        <v>168.3</v>
      </c>
      <c r="BC50" s="54">
        <v>156</v>
      </c>
      <c r="BD50" s="54">
        <v>212.2</v>
      </c>
      <c r="BE50" s="54">
        <v>182.2</v>
      </c>
      <c r="BF50" s="54">
        <v>173.7</v>
      </c>
      <c r="BG50" s="54">
        <v>159</v>
      </c>
      <c r="BH50" s="54">
        <v>181.4</v>
      </c>
      <c r="BI50" s="54">
        <v>181.4</v>
      </c>
      <c r="BJ50" s="54">
        <v>189.4</v>
      </c>
      <c r="BK50" s="54">
        <v>134.30000000000001</v>
      </c>
      <c r="BL50" s="54">
        <v>155.5</v>
      </c>
      <c r="CB50" s="54">
        <f t="shared" si="239"/>
        <v>53.9</v>
      </c>
      <c r="CC50" s="54">
        <f t="shared" si="240"/>
        <v>81.599999999999994</v>
      </c>
      <c r="CD50" s="54">
        <f t="shared" si="241"/>
        <v>192.6</v>
      </c>
      <c r="CE50" s="54">
        <f t="shared" si="242"/>
        <v>168.3</v>
      </c>
      <c r="CF50" s="54">
        <f t="shared" si="243"/>
        <v>173.7</v>
      </c>
      <c r="CG50" s="54">
        <f t="shared" si="245"/>
        <v>189.4</v>
      </c>
      <c r="CI50" s="50">
        <v>2024</v>
      </c>
      <c r="CJ50" s="50">
        <v>2025</v>
      </c>
      <c r="CK50" s="78"/>
      <c r="CL50" s="79" t="s">
        <v>1478</v>
      </c>
      <c r="CM50" s="80"/>
      <c r="CN50" s="50">
        <v>2025</v>
      </c>
      <c r="CO50" s="80"/>
      <c r="CP50" s="69" t="s">
        <v>115</v>
      </c>
      <c r="CQ50" s="70">
        <v>2.2499999999999999E-2</v>
      </c>
      <c r="DA50" s="40"/>
    </row>
    <row r="51" spans="2:147" ht="14.25" customHeight="1">
      <c r="B51" s="48" t="s">
        <v>177</v>
      </c>
      <c r="AP51" s="54">
        <v>515.29999999999995</v>
      </c>
      <c r="AQ51" s="54">
        <v>589.9</v>
      </c>
      <c r="AR51" s="54">
        <v>676</v>
      </c>
      <c r="AS51" s="54">
        <v>742.2</v>
      </c>
      <c r="AT51" s="54">
        <v>801.8</v>
      </c>
      <c r="AU51" s="54">
        <v>856.5</v>
      </c>
      <c r="AV51" s="54">
        <v>942.9</v>
      </c>
      <c r="AW51" s="54">
        <v>1002.5</v>
      </c>
      <c r="AX51" s="54">
        <v>1055.5999999999999</v>
      </c>
      <c r="AY51" s="54">
        <v>1075.5</v>
      </c>
      <c r="AZ51" s="54">
        <v>1077.5999999999999</v>
      </c>
      <c r="BA51" s="54">
        <v>1078.9000000000001</v>
      </c>
      <c r="BB51" s="54">
        <v>1113.0999999999999</v>
      </c>
      <c r="BC51" s="54">
        <v>1108.5999999999999</v>
      </c>
      <c r="BD51" s="54">
        <v>1183.0999999999999</v>
      </c>
      <c r="BE51" s="54">
        <v>1318.8</v>
      </c>
      <c r="BF51" s="54">
        <v>1339.9</v>
      </c>
      <c r="BG51" s="54">
        <v>1364.7</v>
      </c>
      <c r="BH51" s="54">
        <v>1457.3</v>
      </c>
      <c r="BI51" s="54">
        <v>1457.3</v>
      </c>
      <c r="BJ51" s="54">
        <v>1559.9</v>
      </c>
      <c r="BK51" s="54">
        <v>1559.7</v>
      </c>
      <c r="BL51" s="54">
        <v>1577.2</v>
      </c>
      <c r="CB51" s="54">
        <f t="shared" si="239"/>
        <v>515.29999999999995</v>
      </c>
      <c r="CC51" s="54">
        <f t="shared" si="240"/>
        <v>801.8</v>
      </c>
      <c r="CD51" s="54">
        <f t="shared" si="241"/>
        <v>1055.5999999999999</v>
      </c>
      <c r="CE51" s="54">
        <f t="shared" si="242"/>
        <v>1113.0999999999999</v>
      </c>
      <c r="CF51" s="54">
        <f t="shared" si="243"/>
        <v>1339.9</v>
      </c>
      <c r="CG51" s="54">
        <f t="shared" si="245"/>
        <v>1559.9</v>
      </c>
      <c r="CI51" s="55">
        <f>SUM(CF46:CF50)-CF59+CF54+CF53+CF51</f>
        <v>4182.4000000000015</v>
      </c>
      <c r="CJ51" s="55">
        <f>SUM(CG46:CG50)-CG59+CG54+CG53+CG51</f>
        <v>3744.2000000000003</v>
      </c>
      <c r="CK51" s="78"/>
      <c r="CL51" s="55">
        <f>AVERAGE(CI51:CJ51)</f>
        <v>3963.3000000000011</v>
      </c>
      <c r="CM51" s="80"/>
      <c r="CN51" s="71">
        <f>AVERAGE(CH31)*(1-CH43)</f>
        <v>907.62610536</v>
      </c>
      <c r="CO51" s="80"/>
      <c r="CP51" s="69" t="s">
        <v>116</v>
      </c>
      <c r="CQ51" s="70">
        <f>CL60</f>
        <v>4.7399999999999998E-2</v>
      </c>
      <c r="DA51" s="40"/>
    </row>
    <row r="52" spans="2:147" ht="14.25" customHeight="1">
      <c r="B52" s="48" t="s">
        <v>178</v>
      </c>
      <c r="AP52" s="54">
        <v>93.3</v>
      </c>
      <c r="AQ52" s="54">
        <v>98.8</v>
      </c>
      <c r="AR52" s="54">
        <v>94.8</v>
      </c>
      <c r="AS52" s="54">
        <v>91.3</v>
      </c>
      <c r="AT52" s="54">
        <v>88.1</v>
      </c>
      <c r="AU52" s="54">
        <v>82.3</v>
      </c>
      <c r="AV52" s="54">
        <v>77.900000000000006</v>
      </c>
      <c r="AW52" s="54">
        <v>73.099999999999994</v>
      </c>
      <c r="AX52" s="54">
        <v>80</v>
      </c>
      <c r="AY52" s="54">
        <v>78</v>
      </c>
      <c r="AZ52" s="54">
        <v>76.3</v>
      </c>
      <c r="BA52" s="54">
        <v>73.400000000000006</v>
      </c>
      <c r="BB52" s="54">
        <v>71.400000000000006</v>
      </c>
      <c r="BC52" s="54">
        <v>68</v>
      </c>
      <c r="BD52" s="54">
        <v>71.2</v>
      </c>
      <c r="BE52" s="54">
        <v>67.5</v>
      </c>
      <c r="BF52" s="54">
        <v>62.8</v>
      </c>
      <c r="BG52" s="54">
        <v>59.1</v>
      </c>
      <c r="BH52" s="54">
        <v>56.4</v>
      </c>
      <c r="BI52" s="54">
        <v>56.4</v>
      </c>
      <c r="BJ52" s="54">
        <v>77.400000000000006</v>
      </c>
      <c r="BK52" s="54">
        <v>73.099999999999994</v>
      </c>
      <c r="BL52" s="54">
        <v>88</v>
      </c>
      <c r="CB52" s="54">
        <f t="shared" si="239"/>
        <v>93.3</v>
      </c>
      <c r="CC52" s="54">
        <f t="shared" si="240"/>
        <v>88.1</v>
      </c>
      <c r="CD52" s="54">
        <f t="shared" si="241"/>
        <v>80</v>
      </c>
      <c r="CE52" s="54">
        <f t="shared" si="242"/>
        <v>71.400000000000006</v>
      </c>
      <c r="CF52" s="54">
        <f t="shared" si="243"/>
        <v>62.8</v>
      </c>
      <c r="CG52" s="54">
        <f t="shared" si="245"/>
        <v>77.400000000000006</v>
      </c>
      <c r="CI52" s="78"/>
      <c r="CJ52" s="80"/>
      <c r="CK52" s="80"/>
      <c r="CL52" s="80"/>
      <c r="CM52" s="80"/>
      <c r="CN52" s="60">
        <f>CN51/CL51</f>
        <v>0.22900767172810529</v>
      </c>
      <c r="CO52" s="80"/>
      <c r="CP52" s="69" t="s">
        <v>1462</v>
      </c>
      <c r="CQ52" s="70">
        <f>8.45%-CQ51</f>
        <v>3.7099999999999994E-2</v>
      </c>
      <c r="DA52" s="40"/>
    </row>
    <row r="53" spans="2:147" ht="14.25" customHeight="1">
      <c r="B53" s="48" t="s">
        <v>179</v>
      </c>
      <c r="AP53" s="54">
        <v>19.3</v>
      </c>
      <c r="AQ53" s="54">
        <v>18.899999999999999</v>
      </c>
      <c r="AR53" s="54">
        <v>19.100000000000001</v>
      </c>
      <c r="AS53" s="54">
        <v>23.9</v>
      </c>
      <c r="AT53" s="54">
        <v>26.5</v>
      </c>
      <c r="AU53" s="54">
        <v>26.6</v>
      </c>
      <c r="AV53" s="54">
        <v>25.6</v>
      </c>
      <c r="AW53" s="54">
        <v>24.7</v>
      </c>
      <c r="AX53" s="54">
        <v>25.7</v>
      </c>
      <c r="AY53" s="54">
        <v>25.7</v>
      </c>
      <c r="AZ53" s="54">
        <v>25.8</v>
      </c>
      <c r="BA53" s="54">
        <v>25.3</v>
      </c>
      <c r="BB53" s="54">
        <v>25.2</v>
      </c>
      <c r="BC53" s="54">
        <v>23.2</v>
      </c>
      <c r="BD53" s="54">
        <v>23.3</v>
      </c>
      <c r="BE53" s="54">
        <v>23.8</v>
      </c>
      <c r="BF53" s="54">
        <v>22.8</v>
      </c>
      <c r="BG53" s="54">
        <v>23.1</v>
      </c>
      <c r="BH53" s="54">
        <v>24.1</v>
      </c>
      <c r="BI53" s="54">
        <v>24.1</v>
      </c>
      <c r="BJ53" s="54">
        <v>24.2</v>
      </c>
      <c r="BK53" s="54">
        <v>24.2</v>
      </c>
      <c r="BL53" s="54">
        <v>24.1</v>
      </c>
      <c r="CB53" s="54">
        <f t="shared" si="239"/>
        <v>19.3</v>
      </c>
      <c r="CC53" s="54">
        <f t="shared" si="240"/>
        <v>26.5</v>
      </c>
      <c r="CD53" s="54">
        <f t="shared" si="241"/>
        <v>25.7</v>
      </c>
      <c r="CE53" s="54">
        <f t="shared" si="242"/>
        <v>25.2</v>
      </c>
      <c r="CF53" s="54">
        <f t="shared" si="243"/>
        <v>22.8</v>
      </c>
      <c r="CG53" s="54">
        <f t="shared" si="245"/>
        <v>24.2</v>
      </c>
      <c r="CI53" s="82" t="s">
        <v>1466</v>
      </c>
      <c r="CJ53" s="80"/>
      <c r="CK53" s="80"/>
      <c r="CL53" s="78"/>
      <c r="CM53" s="80"/>
      <c r="CN53" s="80"/>
      <c r="CO53" s="80"/>
      <c r="CP53" s="69" t="s">
        <v>117</v>
      </c>
      <c r="CQ53" s="50">
        <f>'Notes | Quant Analysis'!K213</f>
        <v>1.49</v>
      </c>
      <c r="CT53" s="52"/>
      <c r="CU53" s="52"/>
      <c r="CV53" s="52"/>
      <c r="CW53" s="52"/>
      <c r="CX53" s="52"/>
      <c r="CY53" s="52"/>
      <c r="CZ53" s="52"/>
      <c r="DA53" s="40"/>
    </row>
    <row r="54" spans="2:147" ht="14.25" customHeight="1">
      <c r="B54" s="48" t="s">
        <v>180</v>
      </c>
      <c r="AP54" s="54">
        <v>0</v>
      </c>
      <c r="AQ54" s="54">
        <v>0</v>
      </c>
      <c r="AR54" s="54">
        <v>0</v>
      </c>
      <c r="AS54" s="54">
        <v>0</v>
      </c>
      <c r="AT54" s="54">
        <v>31.5</v>
      </c>
      <c r="AU54" s="54">
        <v>31.4</v>
      </c>
      <c r="AV54" s="54">
        <v>28</v>
      </c>
      <c r="AW54" s="54">
        <v>24.4</v>
      </c>
      <c r="AX54" s="54">
        <v>173.3</v>
      </c>
      <c r="AY54" s="54">
        <v>163.6</v>
      </c>
      <c r="AZ54" s="54">
        <v>154.19999999999999</v>
      </c>
      <c r="BA54" s="54">
        <v>144.5</v>
      </c>
      <c r="BB54" s="54">
        <v>134.5</v>
      </c>
      <c r="BC54" s="54">
        <v>123.3</v>
      </c>
      <c r="BD54" s="54">
        <v>114.5</v>
      </c>
      <c r="BE54" s="54">
        <v>106.2</v>
      </c>
      <c r="BF54" s="54">
        <v>103.4</v>
      </c>
      <c r="BG54" s="54">
        <v>95.2</v>
      </c>
      <c r="BH54" s="54">
        <v>87.2</v>
      </c>
      <c r="BI54" s="54">
        <v>87.2</v>
      </c>
      <c r="BJ54" s="54">
        <v>70.8</v>
      </c>
      <c r="BK54" s="54">
        <v>62.6</v>
      </c>
      <c r="BL54" s="54">
        <v>101.6</v>
      </c>
      <c r="CB54" s="54">
        <f t="shared" si="239"/>
        <v>0</v>
      </c>
      <c r="CC54" s="54">
        <f t="shared" si="240"/>
        <v>31.5</v>
      </c>
      <c r="CD54" s="54">
        <f t="shared" si="241"/>
        <v>173.3</v>
      </c>
      <c r="CE54" s="54">
        <f t="shared" si="242"/>
        <v>134.5</v>
      </c>
      <c r="CF54" s="54">
        <f t="shared" si="243"/>
        <v>103.4</v>
      </c>
      <c r="CG54" s="54">
        <f t="shared" si="245"/>
        <v>70.8</v>
      </c>
      <c r="CI54" s="83" t="s">
        <v>1467</v>
      </c>
      <c r="CJ54" s="78"/>
      <c r="CK54" s="78"/>
      <c r="CL54" s="84">
        <f>Main!C5</f>
        <v>29926.26</v>
      </c>
      <c r="CM54" s="80"/>
      <c r="CN54" s="78"/>
      <c r="CO54" s="80"/>
      <c r="CP54" s="69" t="s">
        <v>118</v>
      </c>
      <c r="CQ54" s="70">
        <f>+CQ51+(CQ52*CQ53)</f>
        <v>0.10267899999999999</v>
      </c>
      <c r="DA54" s="69"/>
    </row>
    <row r="55" spans="2:147" ht="14.25" customHeight="1">
      <c r="B55" s="48" t="s">
        <v>181</v>
      </c>
      <c r="AP55" s="54">
        <v>216.4</v>
      </c>
      <c r="AQ55" s="54">
        <v>216.7</v>
      </c>
      <c r="AR55" s="54">
        <v>216.4</v>
      </c>
      <c r="AS55" s="54">
        <v>216.3</v>
      </c>
      <c r="AT55" s="54">
        <v>290.5</v>
      </c>
      <c r="AU55" s="54">
        <v>290.8</v>
      </c>
      <c r="AV55" s="54">
        <v>309.5</v>
      </c>
      <c r="AW55" s="54">
        <v>342.3</v>
      </c>
      <c r="AX55" s="54">
        <v>341.2</v>
      </c>
      <c r="AY55" s="54">
        <v>349.1</v>
      </c>
      <c r="AZ55" s="54">
        <v>417</v>
      </c>
      <c r="BA55" s="54">
        <v>501.3</v>
      </c>
      <c r="BB55" s="54">
        <v>419.4</v>
      </c>
      <c r="BC55" s="54">
        <v>460.7</v>
      </c>
      <c r="BD55" s="54">
        <v>475.8</v>
      </c>
      <c r="BE55" s="54">
        <v>486.5</v>
      </c>
      <c r="BF55" s="54">
        <v>481.2</v>
      </c>
      <c r="BG55" s="54">
        <v>487.3</v>
      </c>
      <c r="BH55" s="54">
        <v>496.3</v>
      </c>
      <c r="BI55" s="54">
        <v>496.3</v>
      </c>
      <c r="BJ55" s="54">
        <v>295.60000000000002</v>
      </c>
      <c r="BK55" s="54">
        <v>296.10000000000002</v>
      </c>
      <c r="BL55" s="54">
        <v>304.10000000000002</v>
      </c>
      <c r="CB55" s="54">
        <f t="shared" si="239"/>
        <v>216.4</v>
      </c>
      <c r="CC55" s="54">
        <f t="shared" si="240"/>
        <v>290.5</v>
      </c>
      <c r="CD55" s="54">
        <f t="shared" si="241"/>
        <v>341.2</v>
      </c>
      <c r="CE55" s="54">
        <f t="shared" si="242"/>
        <v>419.4</v>
      </c>
      <c r="CF55" s="54">
        <f t="shared" si="243"/>
        <v>481.2</v>
      </c>
      <c r="CG55" s="54">
        <f t="shared" si="245"/>
        <v>295.60000000000002</v>
      </c>
      <c r="CI55" s="83" t="s">
        <v>1468</v>
      </c>
      <c r="CJ55" s="78"/>
      <c r="CK55" s="78"/>
      <c r="CL55" s="85">
        <f>Main!C7/(Main!C7+CL54)</f>
        <v>2.7525204223019469E-3</v>
      </c>
      <c r="CM55" s="82"/>
      <c r="CN55" s="78"/>
      <c r="CO55" s="80"/>
      <c r="CP55" s="69"/>
      <c r="DA55" s="40"/>
    </row>
    <row r="56" spans="2:147" ht="14.25" customHeight="1">
      <c r="B56" s="48" t="s">
        <v>182</v>
      </c>
      <c r="AP56" s="54">
        <v>21.4</v>
      </c>
      <c r="AQ56" s="54">
        <v>20.399999999999999</v>
      </c>
      <c r="AR56" s="54">
        <v>23.3</v>
      </c>
      <c r="AS56" s="54">
        <v>46</v>
      </c>
      <c r="AT56" s="54">
        <v>10.5</v>
      </c>
      <c r="AU56" s="54">
        <v>22.8</v>
      </c>
      <c r="AV56" s="54">
        <v>24.8</v>
      </c>
      <c r="AW56" s="54">
        <v>33.700000000000003</v>
      </c>
      <c r="AX56" s="54">
        <v>47.1</v>
      </c>
      <c r="AY56" s="54">
        <v>56.6</v>
      </c>
      <c r="AZ56" s="54">
        <v>66.900000000000006</v>
      </c>
      <c r="BA56" s="54">
        <v>74.400000000000006</v>
      </c>
      <c r="BB56" s="54">
        <v>75</v>
      </c>
      <c r="BC56" s="54">
        <v>77.7</v>
      </c>
      <c r="BD56" s="54">
        <v>82.9</v>
      </c>
      <c r="BE56" s="54">
        <v>88.2</v>
      </c>
      <c r="BF56" s="54">
        <v>173</v>
      </c>
      <c r="BG56" s="54">
        <v>168.5</v>
      </c>
      <c r="BH56" s="54">
        <v>175.5</v>
      </c>
      <c r="BI56" s="54">
        <v>175.5</v>
      </c>
      <c r="BJ56" s="54">
        <v>278.7</v>
      </c>
      <c r="BK56" s="54">
        <v>285.89999999999998</v>
      </c>
      <c r="BL56" s="54">
        <v>273.7</v>
      </c>
      <c r="CB56" s="54">
        <f t="shared" si="239"/>
        <v>21.4</v>
      </c>
      <c r="CC56" s="54">
        <f t="shared" si="240"/>
        <v>10.5</v>
      </c>
      <c r="CD56" s="54">
        <f t="shared" si="241"/>
        <v>47.1</v>
      </c>
      <c r="CE56" s="54">
        <f t="shared" si="242"/>
        <v>75</v>
      </c>
      <c r="CF56" s="54">
        <f t="shared" si="243"/>
        <v>173</v>
      </c>
      <c r="CG56" s="54">
        <f t="shared" si="245"/>
        <v>278.7</v>
      </c>
      <c r="CI56" s="83" t="s">
        <v>1469</v>
      </c>
      <c r="CJ56" s="78"/>
      <c r="CK56" s="78"/>
      <c r="CL56" s="85">
        <f>CL54/(CL54+Main!C7)</f>
        <v>0.9972474795776981</v>
      </c>
      <c r="CM56" s="80"/>
      <c r="CN56" s="78"/>
      <c r="CO56" s="80"/>
      <c r="CP56" s="69" t="s">
        <v>119</v>
      </c>
      <c r="CQ56" s="55">
        <f>NPV(CQ54,CH35:EO35)</f>
        <v>36315.433732396123</v>
      </c>
      <c r="DA56" s="40"/>
      <c r="DC56" s="72"/>
    </row>
    <row r="57" spans="2:147" s="51" customFormat="1" ht="14.25" customHeight="1">
      <c r="B57" s="51" t="s">
        <v>191</v>
      </c>
      <c r="AP57" s="56">
        <f>SUM(AP46:AP56)</f>
        <v>4290.4999999999991</v>
      </c>
      <c r="AQ57" s="56">
        <f>SUM(AQ46:AQ56)</f>
        <v>4389.7999999999993</v>
      </c>
      <c r="AR57" s="56">
        <f>SUM(AR46:AR56)</f>
        <v>4503.8</v>
      </c>
      <c r="AS57" s="56">
        <f>SUM(AS46:AS56)</f>
        <v>4775.8999999999996</v>
      </c>
      <c r="AT57" s="56">
        <f t="shared" ref="AT57:BF57" si="246">SUM(AT46:AT56)</f>
        <v>4933.3</v>
      </c>
      <c r="AU57" s="56">
        <f t="shared" si="246"/>
        <v>5057</v>
      </c>
      <c r="AV57" s="56">
        <f t="shared" si="246"/>
        <v>5217.4000000000005</v>
      </c>
      <c r="AW57" s="56">
        <f t="shared" si="246"/>
        <v>4899.2</v>
      </c>
      <c r="AX57" s="56">
        <f t="shared" si="246"/>
        <v>5391.7</v>
      </c>
      <c r="AY57" s="56">
        <f t="shared" si="246"/>
        <v>5515.9000000000005</v>
      </c>
      <c r="AZ57" s="56">
        <f t="shared" si="246"/>
        <v>6820.7</v>
      </c>
      <c r="BA57" s="56">
        <f t="shared" si="246"/>
        <v>6596.2000000000007</v>
      </c>
      <c r="BB57" s="56">
        <f t="shared" si="246"/>
        <v>6264.4999999999991</v>
      </c>
      <c r="BC57" s="56">
        <f t="shared" si="246"/>
        <v>6482.1999999999989</v>
      </c>
      <c r="BD57" s="56">
        <f t="shared" si="246"/>
        <v>6799.2</v>
      </c>
      <c r="BE57" s="56">
        <f t="shared" si="246"/>
        <v>6353.8</v>
      </c>
      <c r="BF57" s="56">
        <f t="shared" si="246"/>
        <v>6484.5000000000009</v>
      </c>
      <c r="BG57" s="56">
        <f t="shared" ref="BG57:BL57" si="247">SUM(BG46:BG56)</f>
        <v>6751.7000000000007</v>
      </c>
      <c r="BH57" s="56">
        <f t="shared" si="247"/>
        <v>7326.7</v>
      </c>
      <c r="BI57" s="56">
        <f t="shared" si="247"/>
        <v>7326.7</v>
      </c>
      <c r="BJ57" s="56">
        <f t="shared" si="247"/>
        <v>6339.9000000000005</v>
      </c>
      <c r="BK57" s="56">
        <f t="shared" si="247"/>
        <v>6633.3</v>
      </c>
      <c r="BL57" s="56">
        <f t="shared" si="247"/>
        <v>6455.3000000000011</v>
      </c>
      <c r="BM57" s="52"/>
      <c r="BN57" s="52"/>
      <c r="CB57" s="56">
        <f t="shared" si="239"/>
        <v>4290.4999999999991</v>
      </c>
      <c r="CC57" s="56">
        <f t="shared" si="240"/>
        <v>4933.3</v>
      </c>
      <c r="CD57" s="56">
        <f t="shared" si="241"/>
        <v>5391.7</v>
      </c>
      <c r="CE57" s="56">
        <f t="shared" si="242"/>
        <v>6264.4999999999991</v>
      </c>
      <c r="CF57" s="56">
        <f t="shared" si="243"/>
        <v>6484.5000000000009</v>
      </c>
      <c r="CG57" s="56">
        <f t="shared" si="245"/>
        <v>6339.9000000000005</v>
      </c>
      <c r="CH57" s="52"/>
      <c r="CI57" s="86" t="s">
        <v>1470</v>
      </c>
      <c r="CJ57" s="87"/>
      <c r="CK57" s="87"/>
      <c r="CL57" s="88">
        <f>CL55/CL56</f>
        <v>2.7601177026464383E-3</v>
      </c>
      <c r="CM57" s="80"/>
      <c r="CN57" s="80"/>
      <c r="CO57" s="80"/>
      <c r="CP57" s="69" t="s">
        <v>78</v>
      </c>
      <c r="CQ57" s="55">
        <f>Main!C4</f>
        <v>382.2</v>
      </c>
      <c r="CR57" s="72"/>
      <c r="CS57" s="52"/>
      <c r="CT57" s="52"/>
      <c r="CU57" s="52"/>
      <c r="CV57" s="52"/>
      <c r="CW57" s="52"/>
      <c r="CX57" s="52"/>
      <c r="CY57" s="52"/>
      <c r="CZ57" s="52"/>
      <c r="DA57" s="40"/>
      <c r="DC57" s="74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</row>
    <row r="58" spans="2:147" ht="14.25" customHeight="1"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CB58" s="54"/>
      <c r="CC58" s="54"/>
      <c r="CD58" s="54"/>
      <c r="CE58" s="54"/>
      <c r="CF58" s="54"/>
      <c r="CG58" s="54"/>
      <c r="CI58" s="78"/>
      <c r="CJ58" s="78"/>
      <c r="CK58" s="78"/>
      <c r="CL58" s="78"/>
      <c r="CM58" s="80"/>
      <c r="CN58" s="80"/>
      <c r="CO58" s="80"/>
      <c r="CP58" s="69" t="s">
        <v>120</v>
      </c>
      <c r="CQ58" s="73">
        <f>CQ56/CQ57</f>
        <v>95.016833418095558</v>
      </c>
      <c r="CR58" s="76"/>
      <c r="CT58" s="52"/>
      <c r="CU58" s="52"/>
      <c r="CV58" s="52"/>
      <c r="CW58" s="52"/>
      <c r="CX58" s="52"/>
      <c r="CY58" s="52"/>
      <c r="CZ58" s="52"/>
      <c r="DA58" s="40"/>
      <c r="DC58" s="75"/>
    </row>
    <row r="59" spans="2:147" ht="14.25" customHeight="1">
      <c r="B59" s="48" t="s">
        <v>183</v>
      </c>
      <c r="AP59" s="54">
        <v>481.1</v>
      </c>
      <c r="AQ59" s="54">
        <v>502.6</v>
      </c>
      <c r="AR59" s="54">
        <v>482</v>
      </c>
      <c r="AS59" s="54">
        <v>598</v>
      </c>
      <c r="AT59" s="54">
        <v>573</v>
      </c>
      <c r="AU59" s="54">
        <v>603.1</v>
      </c>
      <c r="AV59" s="54">
        <v>688.3</v>
      </c>
      <c r="AW59" s="54">
        <v>764.2</v>
      </c>
      <c r="AX59" s="54">
        <v>901.8</v>
      </c>
      <c r="AY59" s="54">
        <v>965.2</v>
      </c>
      <c r="AZ59" s="54">
        <v>1156.5</v>
      </c>
      <c r="BA59" s="54">
        <v>1343.1</v>
      </c>
      <c r="BB59" s="54">
        <v>1345.5</v>
      </c>
      <c r="BC59" s="54">
        <v>1446.6</v>
      </c>
      <c r="BD59" s="54">
        <v>1569.8</v>
      </c>
      <c r="BE59" s="54">
        <v>1592.5</v>
      </c>
      <c r="BF59" s="54">
        <v>1585.1</v>
      </c>
      <c r="BG59" s="54">
        <v>1690.6</v>
      </c>
      <c r="BH59" s="54">
        <v>1943.8</v>
      </c>
      <c r="BI59" s="54">
        <v>1943.8</v>
      </c>
      <c r="BJ59" s="54">
        <v>1944</v>
      </c>
      <c r="BK59" s="54">
        <v>2073.9</v>
      </c>
      <c r="BL59" s="54">
        <v>2191.5</v>
      </c>
      <c r="CB59" s="54">
        <f t="shared" ref="CB59:CB69" si="248">AP59</f>
        <v>481.1</v>
      </c>
      <c r="CC59" s="54">
        <f t="shared" ref="CC59:CC69" si="249">AT59</f>
        <v>573</v>
      </c>
      <c r="CD59" s="54">
        <f t="shared" ref="CD59:CD69" si="250">AX59</f>
        <v>901.8</v>
      </c>
      <c r="CE59" s="54">
        <f t="shared" ref="CE59:CE69" si="251">BB59</f>
        <v>1345.5</v>
      </c>
      <c r="CF59" s="54">
        <f t="shared" ref="CF59:CF69" si="252">BF59</f>
        <v>1585.1</v>
      </c>
      <c r="CG59" s="54">
        <f t="shared" si="245"/>
        <v>1944</v>
      </c>
      <c r="CI59" s="87" t="s">
        <v>1471</v>
      </c>
      <c r="CJ59" s="78"/>
      <c r="CK59" s="78"/>
      <c r="CL59" s="80"/>
      <c r="CM59" s="82"/>
      <c r="CN59" s="82"/>
      <c r="CO59" s="82"/>
      <c r="CP59" s="69" t="s">
        <v>121</v>
      </c>
      <c r="CQ59" s="73">
        <f>Main!C3</f>
        <v>78.3</v>
      </c>
      <c r="CR59" s="75"/>
      <c r="DA59" s="40"/>
    </row>
    <row r="60" spans="2:147" ht="14.25" customHeight="1">
      <c r="B60" s="48" t="s">
        <v>184</v>
      </c>
      <c r="AP60" s="54">
        <v>114.3</v>
      </c>
      <c r="AQ60" s="54">
        <v>81.400000000000006</v>
      </c>
      <c r="AR60" s="54">
        <v>98.1</v>
      </c>
      <c r="AS60" s="54">
        <v>115.3</v>
      </c>
      <c r="AT60" s="54">
        <v>125.2</v>
      </c>
      <c r="AU60" s="54">
        <v>84.7</v>
      </c>
      <c r="AV60" s="54">
        <v>94.8</v>
      </c>
      <c r="AW60" s="54">
        <v>112.7</v>
      </c>
      <c r="AX60" s="54">
        <v>134.30000000000001</v>
      </c>
      <c r="AY60" s="54">
        <v>94.8</v>
      </c>
      <c r="AZ60" s="54">
        <v>108.6</v>
      </c>
      <c r="BA60" s="54">
        <v>151.30000000000001</v>
      </c>
      <c r="BB60" s="54">
        <v>171</v>
      </c>
      <c r="BC60" s="54">
        <v>110.5</v>
      </c>
      <c r="BD60" s="54">
        <v>116.1</v>
      </c>
      <c r="BE60" s="54">
        <v>105.8</v>
      </c>
      <c r="BF60" s="54">
        <v>112</v>
      </c>
      <c r="BG60" s="54">
        <v>110.8</v>
      </c>
      <c r="BH60" s="54">
        <v>129.30000000000001</v>
      </c>
      <c r="BI60" s="54">
        <v>129.30000000000001</v>
      </c>
      <c r="BJ60" s="54">
        <v>169.2</v>
      </c>
      <c r="BK60" s="54">
        <v>121.8</v>
      </c>
      <c r="BL60" s="54">
        <v>136.30000000000001</v>
      </c>
      <c r="CB60" s="54">
        <f t="shared" si="248"/>
        <v>114.3</v>
      </c>
      <c r="CC60" s="54">
        <f t="shared" si="249"/>
        <v>125.2</v>
      </c>
      <c r="CD60" s="54">
        <f t="shared" si="250"/>
        <v>134.30000000000001</v>
      </c>
      <c r="CE60" s="54">
        <f t="shared" si="251"/>
        <v>171</v>
      </c>
      <c r="CF60" s="54">
        <f t="shared" si="252"/>
        <v>112</v>
      </c>
      <c r="CG60" s="54">
        <f t="shared" si="245"/>
        <v>169.2</v>
      </c>
      <c r="CI60" s="89" t="s">
        <v>116</v>
      </c>
      <c r="CJ60" s="78"/>
      <c r="CK60" s="78"/>
      <c r="CL60" s="85">
        <v>4.7399999999999998E-2</v>
      </c>
      <c r="CM60" s="80"/>
      <c r="CN60" s="80"/>
      <c r="CO60" s="80"/>
      <c r="CP60" s="69" t="s">
        <v>122</v>
      </c>
      <c r="CQ60" s="70">
        <f>CQ58/CQ59-1</f>
        <v>0.21349723394758069</v>
      </c>
      <c r="CR60" s="76" t="str">
        <f>IF(CQ60&gt;0,"Upside","Downside")</f>
        <v>Upside</v>
      </c>
      <c r="DC60" s="55"/>
    </row>
    <row r="61" spans="2:147" ht="14.25" customHeight="1">
      <c r="B61" s="48" t="s">
        <v>185</v>
      </c>
      <c r="AP61" s="54">
        <v>0</v>
      </c>
      <c r="AQ61" s="54">
        <v>0</v>
      </c>
      <c r="AR61" s="54">
        <v>0</v>
      </c>
      <c r="AS61" s="54">
        <v>0</v>
      </c>
      <c r="AT61" s="54">
        <v>0</v>
      </c>
      <c r="AU61" s="54">
        <v>0</v>
      </c>
      <c r="AV61" s="54">
        <v>0</v>
      </c>
      <c r="AW61" s="54">
        <v>0</v>
      </c>
      <c r="AX61" s="54">
        <v>772.6</v>
      </c>
      <c r="AY61" s="54">
        <v>773.2</v>
      </c>
      <c r="AZ61" s="54">
        <v>773.8</v>
      </c>
      <c r="BA61" s="54">
        <v>124.2</v>
      </c>
      <c r="BB61" s="54">
        <v>0</v>
      </c>
      <c r="BC61" s="54">
        <v>0</v>
      </c>
      <c r="BD61" s="54">
        <v>0</v>
      </c>
      <c r="BE61" s="54">
        <v>0</v>
      </c>
      <c r="BF61" s="54">
        <v>1204.4000000000001</v>
      </c>
      <c r="BG61" s="54">
        <v>1205.3</v>
      </c>
      <c r="BH61" s="54">
        <v>1206.0999999999999</v>
      </c>
      <c r="BI61" s="54">
        <v>1206.0999999999999</v>
      </c>
      <c r="BJ61" s="54">
        <v>0</v>
      </c>
      <c r="BK61" s="54">
        <v>0</v>
      </c>
      <c r="BL61" s="54">
        <v>20.7</v>
      </c>
      <c r="CB61" s="54">
        <f t="shared" si="248"/>
        <v>0</v>
      </c>
      <c r="CC61" s="54">
        <f t="shared" si="249"/>
        <v>0</v>
      </c>
      <c r="CD61" s="54">
        <f t="shared" si="250"/>
        <v>772.6</v>
      </c>
      <c r="CE61" s="54">
        <f t="shared" si="251"/>
        <v>0</v>
      </c>
      <c r="CF61" s="54">
        <f t="shared" si="252"/>
        <v>1204.4000000000001</v>
      </c>
      <c r="CG61" s="54">
        <f t="shared" si="245"/>
        <v>0</v>
      </c>
      <c r="CI61" s="89" t="s">
        <v>117</v>
      </c>
      <c r="CJ61" s="78"/>
      <c r="CK61" s="78"/>
      <c r="CL61" s="90">
        <v>1.21</v>
      </c>
      <c r="CM61" s="78"/>
      <c r="CN61" s="78"/>
      <c r="CO61" s="78"/>
      <c r="CP61" s="98" t="str" cm="1">
        <f t="array" ref="CP61">_xlfn.IFS(CQ60&gt;=25%,"Strong Buy",CQ60&gt;=10.00001%,"Buy",AND(CQ60&lt;=10%,CQ60&gt;=-4.9999%),"Hold",AND(CQ60&lt;=-5%,CQ60&gt;=-14.999999%),"Sell",CQ60&lt;=-15%,"Strong Sell")</f>
        <v>Buy</v>
      </c>
      <c r="CQ61" s="98"/>
      <c r="CR61" s="55"/>
    </row>
    <row r="62" spans="2:147" ht="14.25" customHeight="1">
      <c r="B62" s="48" t="s">
        <v>186</v>
      </c>
      <c r="AP62" s="54">
        <v>16.5</v>
      </c>
      <c r="AQ62" s="54">
        <v>18.2</v>
      </c>
      <c r="AR62" s="54">
        <v>18.8</v>
      </c>
      <c r="AS62" s="54">
        <v>19.3</v>
      </c>
      <c r="AT62" s="54">
        <v>20.5</v>
      </c>
      <c r="AU62" s="54">
        <v>20.9</v>
      </c>
      <c r="AV62" s="54">
        <v>21.2</v>
      </c>
      <c r="AW62" s="54">
        <v>20.9</v>
      </c>
      <c r="AX62" s="54">
        <v>20.5</v>
      </c>
      <c r="AY62" s="54">
        <v>22.2</v>
      </c>
      <c r="AZ62" s="54">
        <v>21.8</v>
      </c>
      <c r="BA62" s="54">
        <v>21</v>
      </c>
      <c r="BB62" s="54">
        <v>21.1</v>
      </c>
      <c r="BC62" s="54">
        <v>20.7</v>
      </c>
      <c r="BD62" s="54">
        <v>21.6</v>
      </c>
      <c r="BE62" s="54">
        <v>22.3</v>
      </c>
      <c r="BF62" s="54">
        <v>22.5</v>
      </c>
      <c r="BG62" s="54">
        <v>22.6</v>
      </c>
      <c r="BH62" s="54">
        <v>23.4</v>
      </c>
      <c r="BI62" s="54">
        <v>23.4</v>
      </c>
      <c r="BJ62" s="54">
        <v>21.6</v>
      </c>
      <c r="BK62" s="54">
        <v>20.5</v>
      </c>
      <c r="BL62" s="54">
        <v>9.1999999999999993</v>
      </c>
      <c r="CB62" s="54">
        <f t="shared" si="248"/>
        <v>16.5</v>
      </c>
      <c r="CC62" s="54">
        <f t="shared" si="249"/>
        <v>20.5</v>
      </c>
      <c r="CD62" s="54">
        <f t="shared" si="250"/>
        <v>20.5</v>
      </c>
      <c r="CE62" s="54">
        <f t="shared" si="251"/>
        <v>21.1</v>
      </c>
      <c r="CF62" s="54">
        <f t="shared" si="252"/>
        <v>22.5</v>
      </c>
      <c r="CG62" s="54">
        <f t="shared" si="245"/>
        <v>21.6</v>
      </c>
      <c r="CI62" s="83" t="s">
        <v>1472</v>
      </c>
      <c r="CJ62" s="78"/>
      <c r="CK62" s="78"/>
      <c r="CL62" s="85">
        <v>0.1275</v>
      </c>
      <c r="CM62" s="78"/>
      <c r="CN62" s="78"/>
      <c r="CO62" s="78"/>
      <c r="CP62" s="78"/>
      <c r="CQ62" s="78"/>
      <c r="CR62" s="78"/>
    </row>
    <row r="63" spans="2:147" ht="14.25" customHeight="1">
      <c r="B63" s="48" t="s">
        <v>187</v>
      </c>
      <c r="AP63" s="54">
        <v>2.2000000000000002</v>
      </c>
      <c r="AQ63" s="54">
        <v>1.9</v>
      </c>
      <c r="AR63" s="54">
        <v>1.8</v>
      </c>
      <c r="AS63" s="54">
        <v>2.2999999999999998</v>
      </c>
      <c r="AT63" s="54">
        <v>2.1</v>
      </c>
      <c r="AU63" s="54">
        <v>2.7</v>
      </c>
      <c r="AV63" s="54">
        <v>2.7</v>
      </c>
      <c r="AW63" s="54">
        <v>2.7</v>
      </c>
      <c r="AX63" s="54">
        <v>10.1</v>
      </c>
      <c r="AY63" s="54">
        <v>9.6</v>
      </c>
      <c r="AZ63" s="54">
        <v>9</v>
      </c>
      <c r="BA63" s="54">
        <v>9</v>
      </c>
      <c r="BB63" s="54">
        <v>18.399999999999999</v>
      </c>
      <c r="BC63" s="54">
        <v>16.399999999999999</v>
      </c>
      <c r="BD63" s="54">
        <v>14.7</v>
      </c>
      <c r="BE63" s="54">
        <v>13.9</v>
      </c>
      <c r="BF63" s="54">
        <v>8</v>
      </c>
      <c r="BG63" s="54">
        <v>7.8</v>
      </c>
      <c r="BH63" s="54">
        <v>6.1</v>
      </c>
      <c r="BI63" s="54">
        <v>6.1</v>
      </c>
      <c r="BJ63" s="54">
        <v>7.7</v>
      </c>
      <c r="BK63" s="54">
        <v>7.6</v>
      </c>
      <c r="BL63" s="54">
        <v>0</v>
      </c>
      <c r="CB63" s="54">
        <f t="shared" si="248"/>
        <v>2.2000000000000002</v>
      </c>
      <c r="CC63" s="54">
        <f t="shared" si="249"/>
        <v>2.1</v>
      </c>
      <c r="CD63" s="54">
        <f t="shared" si="250"/>
        <v>10.1</v>
      </c>
      <c r="CE63" s="54">
        <f t="shared" si="251"/>
        <v>18.399999999999999</v>
      </c>
      <c r="CF63" s="54">
        <f t="shared" si="252"/>
        <v>8</v>
      </c>
      <c r="CG63" s="54">
        <f t="shared" si="245"/>
        <v>7.7</v>
      </c>
      <c r="CI63" s="86" t="s">
        <v>1473</v>
      </c>
      <c r="CJ63" s="80"/>
      <c r="CK63" s="2"/>
      <c r="CL63" s="88">
        <f>(CL60+CL61)*(CL62-CL60)</f>
        <v>0.10071774000000001</v>
      </c>
      <c r="CM63" s="78"/>
      <c r="CN63" s="78"/>
      <c r="CO63" s="78"/>
      <c r="CP63" s="78"/>
      <c r="CQ63" s="78"/>
      <c r="CR63" s="78"/>
    </row>
    <row r="64" spans="2:147" ht="14.25" customHeight="1">
      <c r="B64" s="48" t="s">
        <v>188</v>
      </c>
      <c r="AP64" s="54">
        <v>1667.2</v>
      </c>
      <c r="AQ64" s="54">
        <v>1688.8</v>
      </c>
      <c r="AR64" s="54">
        <v>1710.7</v>
      </c>
      <c r="AS64" s="54">
        <v>1703.5</v>
      </c>
      <c r="AT64" s="54">
        <v>1981.8</v>
      </c>
      <c r="AU64" s="54">
        <v>1965.9</v>
      </c>
      <c r="AV64" s="54">
        <v>1967.3</v>
      </c>
      <c r="AW64" s="54">
        <v>1968.8</v>
      </c>
      <c r="AX64" s="54">
        <v>1197.7</v>
      </c>
      <c r="AY64" s="54">
        <v>1198.5</v>
      </c>
      <c r="AZ64" s="54">
        <v>2430.6</v>
      </c>
      <c r="BA64" s="54">
        <v>2432.4</v>
      </c>
      <c r="BB64" s="54">
        <v>2434.1999999999998</v>
      </c>
      <c r="BC64" s="54">
        <v>2436</v>
      </c>
      <c r="BD64" s="54">
        <v>2437.8000000000002</v>
      </c>
      <c r="BE64" s="54">
        <v>2439.6</v>
      </c>
      <c r="BF64" s="54">
        <v>1237</v>
      </c>
      <c r="BG64" s="54">
        <v>1238</v>
      </c>
      <c r="BH64" s="54">
        <v>1238.9000000000001</v>
      </c>
      <c r="BI64" s="54">
        <v>1238.9000000000001</v>
      </c>
      <c r="BJ64" s="54">
        <v>1240.9000000000001</v>
      </c>
      <c r="BK64" s="54">
        <v>1241.8</v>
      </c>
      <c r="BL64" s="54">
        <v>1242.8</v>
      </c>
      <c r="CB64" s="54">
        <f t="shared" si="248"/>
        <v>1667.2</v>
      </c>
      <c r="CC64" s="54">
        <f t="shared" si="249"/>
        <v>1981.8</v>
      </c>
      <c r="CD64" s="54">
        <f t="shared" si="250"/>
        <v>1197.7</v>
      </c>
      <c r="CE64" s="54">
        <f t="shared" si="251"/>
        <v>2434.1999999999998</v>
      </c>
      <c r="CF64" s="54">
        <f t="shared" si="252"/>
        <v>1237</v>
      </c>
      <c r="CG64" s="54">
        <f t="shared" si="245"/>
        <v>1240.9000000000001</v>
      </c>
      <c r="CI64" s="91"/>
      <c r="CJ64" s="78"/>
      <c r="CK64" s="78"/>
      <c r="CL64" s="78"/>
      <c r="CM64" s="78"/>
      <c r="CN64" s="78"/>
      <c r="CO64" s="78"/>
      <c r="CP64" s="78"/>
      <c r="CQ64" s="78"/>
      <c r="CR64" s="78"/>
    </row>
    <row r="65" spans="2:147" ht="14.25" customHeight="1">
      <c r="B65" s="48" t="s">
        <v>189</v>
      </c>
      <c r="AP65" s="54">
        <v>101.8</v>
      </c>
      <c r="AQ65" s="54">
        <v>111.3</v>
      </c>
      <c r="AR65" s="54">
        <v>107.1</v>
      </c>
      <c r="AS65" s="54">
        <v>102.9</v>
      </c>
      <c r="AT65" s="54">
        <v>98.6</v>
      </c>
      <c r="AU65" s="54">
        <v>93.3</v>
      </c>
      <c r="AV65" s="54">
        <v>87.7</v>
      </c>
      <c r="AW65" s="54">
        <v>82.1</v>
      </c>
      <c r="AX65" s="54">
        <v>94.6</v>
      </c>
      <c r="AY65" s="54">
        <v>89.7</v>
      </c>
      <c r="AZ65" s="54">
        <v>86.9</v>
      </c>
      <c r="BA65" s="54">
        <v>83.4</v>
      </c>
      <c r="BB65" s="54">
        <v>80.099999999999994</v>
      </c>
      <c r="BC65" s="54">
        <v>75.8</v>
      </c>
      <c r="BD65" s="54">
        <v>76.8</v>
      </c>
      <c r="BE65" s="54">
        <v>71.099999999999994</v>
      </c>
      <c r="BF65" s="54">
        <v>65</v>
      </c>
      <c r="BG65" s="54">
        <v>59.7</v>
      </c>
      <c r="BH65" s="54">
        <v>23.4</v>
      </c>
      <c r="BI65" s="54">
        <v>23.4</v>
      </c>
      <c r="BJ65" s="54">
        <v>73.400000000000006</v>
      </c>
      <c r="BK65" s="54">
        <v>69</v>
      </c>
      <c r="BL65" s="54">
        <v>82.6</v>
      </c>
      <c r="CB65" s="54">
        <f t="shared" si="248"/>
        <v>101.8</v>
      </c>
      <c r="CC65" s="54">
        <f t="shared" si="249"/>
        <v>98.6</v>
      </c>
      <c r="CD65" s="54">
        <f t="shared" si="250"/>
        <v>94.6</v>
      </c>
      <c r="CE65" s="54">
        <f t="shared" si="251"/>
        <v>80.099999999999994</v>
      </c>
      <c r="CF65" s="54">
        <f t="shared" si="252"/>
        <v>65</v>
      </c>
      <c r="CG65" s="54">
        <f t="shared" si="245"/>
        <v>73.400000000000006</v>
      </c>
      <c r="CI65" s="87" t="s">
        <v>1474</v>
      </c>
      <c r="CJ65" s="92"/>
      <c r="CK65" s="78"/>
      <c r="CL65" s="93"/>
      <c r="CM65" s="78"/>
      <c r="CN65" s="78"/>
      <c r="CO65" s="78"/>
      <c r="CP65" s="78"/>
      <c r="CQ65" s="78"/>
      <c r="CR65" s="78"/>
    </row>
    <row r="66" spans="2:147" ht="14.25" customHeight="1">
      <c r="B66" s="48" t="s">
        <v>190</v>
      </c>
      <c r="AP66" s="54">
        <v>80.900000000000006</v>
      </c>
      <c r="AQ66" s="54">
        <v>82.4</v>
      </c>
      <c r="AR66" s="54">
        <v>87.7</v>
      </c>
      <c r="AS66" s="54">
        <v>98.5</v>
      </c>
      <c r="AT66" s="54">
        <v>90</v>
      </c>
      <c r="AU66" s="54">
        <v>97.1</v>
      </c>
      <c r="AV66" s="54">
        <v>99.5</v>
      </c>
      <c r="AW66" s="54">
        <v>123.3</v>
      </c>
      <c r="AX66" s="54">
        <v>128.30000000000001</v>
      </c>
      <c r="AY66" s="54">
        <v>129.69999999999999</v>
      </c>
      <c r="AZ66" s="54">
        <v>133.1</v>
      </c>
      <c r="BA66" s="54">
        <v>133.9</v>
      </c>
      <c r="BB66" s="54">
        <v>125.6</v>
      </c>
      <c r="BC66" s="54">
        <v>129.4</v>
      </c>
      <c r="BD66" s="54">
        <v>128.1</v>
      </c>
      <c r="BE66" s="54">
        <v>129.6</v>
      </c>
      <c r="BF66" s="54">
        <v>147.9</v>
      </c>
      <c r="BG66" s="54">
        <v>150.30000000000001</v>
      </c>
      <c r="BH66" s="54">
        <v>6.1</v>
      </c>
      <c r="BI66" s="54">
        <v>6.1</v>
      </c>
      <c r="BJ66" s="54">
        <v>137.1</v>
      </c>
      <c r="BK66" s="54">
        <v>141.80000000000001</v>
      </c>
      <c r="BL66" s="54">
        <v>150.80000000000001</v>
      </c>
      <c r="CB66" s="54">
        <f t="shared" si="248"/>
        <v>80.900000000000006</v>
      </c>
      <c r="CC66" s="54">
        <f t="shared" si="249"/>
        <v>90</v>
      </c>
      <c r="CD66" s="54">
        <f t="shared" si="250"/>
        <v>128.30000000000001</v>
      </c>
      <c r="CE66" s="54">
        <f t="shared" si="251"/>
        <v>125.6</v>
      </c>
      <c r="CF66" s="54">
        <f t="shared" si="252"/>
        <v>147.9</v>
      </c>
      <c r="CG66" s="54">
        <f t="shared" si="245"/>
        <v>137.1</v>
      </c>
      <c r="CI66" s="94" t="s">
        <v>1474</v>
      </c>
      <c r="CJ66" s="78"/>
      <c r="CK66" s="78"/>
      <c r="CL66" s="95">
        <v>6.0000000000000001E-3</v>
      </c>
      <c r="CM66" s="78"/>
      <c r="CN66" s="96"/>
      <c r="CO66" s="78"/>
      <c r="CP66" s="40"/>
      <c r="CQ66" s="78"/>
      <c r="CR66" s="78"/>
    </row>
    <row r="67" spans="2:147" s="51" customFormat="1" ht="14.25" customHeight="1">
      <c r="B67" s="51" t="s">
        <v>192</v>
      </c>
      <c r="AP67" s="56">
        <f t="shared" ref="AP67:BG67" si="253">SUM(AP59:AP66)</f>
        <v>2464.0000000000005</v>
      </c>
      <c r="AQ67" s="56">
        <f>SUM(AQ59:AQ66)</f>
        <v>2486.6000000000004</v>
      </c>
      <c r="AR67" s="56">
        <f>SUM(AR59:AR66)</f>
        <v>2506.1999999999998</v>
      </c>
      <c r="AS67" s="56">
        <f>SUM(AS59:AS66)</f>
        <v>2639.7999999999997</v>
      </c>
      <c r="AT67" s="56">
        <f t="shared" si="253"/>
        <v>2891.2</v>
      </c>
      <c r="AU67" s="56">
        <f t="shared" si="253"/>
        <v>2867.7000000000003</v>
      </c>
      <c r="AV67" s="56">
        <f t="shared" si="253"/>
        <v>2961.5</v>
      </c>
      <c r="AW67" s="56">
        <f>SUM(AW59:AW66)</f>
        <v>3074.7000000000003</v>
      </c>
      <c r="AX67" s="56">
        <f t="shared" si="253"/>
        <v>3259.9</v>
      </c>
      <c r="AY67" s="56">
        <f t="shared" si="253"/>
        <v>3282.8999999999996</v>
      </c>
      <c r="AZ67" s="56">
        <f t="shared" si="253"/>
        <v>4720.2999999999993</v>
      </c>
      <c r="BA67" s="56">
        <f t="shared" si="253"/>
        <v>4298.2999999999993</v>
      </c>
      <c r="BB67" s="56">
        <f t="shared" si="253"/>
        <v>4195.8999999999996</v>
      </c>
      <c r="BC67" s="56">
        <f t="shared" si="253"/>
        <v>4235.3999999999996</v>
      </c>
      <c r="BD67" s="56">
        <f>SUM(BD59:BD66)</f>
        <v>4364.9000000000005</v>
      </c>
      <c r="BE67" s="56">
        <f t="shared" si="253"/>
        <v>4374.8000000000011</v>
      </c>
      <c r="BF67" s="56">
        <f t="shared" si="253"/>
        <v>4381.8999999999996</v>
      </c>
      <c r="BG67" s="56">
        <f t="shared" si="253"/>
        <v>4485.1000000000004</v>
      </c>
      <c r="BH67" s="56">
        <f>SUM(BH59:BH66)</f>
        <v>4577.1000000000004</v>
      </c>
      <c r="BI67" s="56">
        <f>SUM(BI59:BI66)</f>
        <v>4577.1000000000004</v>
      </c>
      <c r="BJ67" s="56">
        <f>SUM(BJ59:BJ66)</f>
        <v>3593.8999999999996</v>
      </c>
      <c r="BK67" s="56">
        <f t="shared" ref="BK67:BL67" si="254">SUM(BK59:BK66)</f>
        <v>3676.4000000000005</v>
      </c>
      <c r="BL67" s="56">
        <f t="shared" si="254"/>
        <v>3833.9</v>
      </c>
      <c r="BM67" s="52"/>
      <c r="BN67" s="52"/>
      <c r="CB67" s="56">
        <f t="shared" si="248"/>
        <v>2464.0000000000005</v>
      </c>
      <c r="CC67" s="56">
        <f t="shared" si="249"/>
        <v>2891.2</v>
      </c>
      <c r="CD67" s="56">
        <f t="shared" si="250"/>
        <v>3259.9</v>
      </c>
      <c r="CE67" s="56">
        <f t="shared" si="251"/>
        <v>4195.8999999999996</v>
      </c>
      <c r="CF67" s="56">
        <f t="shared" si="252"/>
        <v>4381.8999999999996</v>
      </c>
      <c r="CG67" s="56">
        <f t="shared" si="245"/>
        <v>3593.8999999999996</v>
      </c>
      <c r="CH67" s="52"/>
      <c r="CI67" s="83" t="s">
        <v>1475</v>
      </c>
      <c r="CJ67" s="78"/>
      <c r="CK67" s="78"/>
      <c r="CL67" s="85">
        <v>0.20499999999999999</v>
      </c>
      <c r="CM67" s="78"/>
      <c r="CN67" s="96"/>
      <c r="CO67" s="85"/>
      <c r="CP67" s="40"/>
      <c r="CQ67" s="2"/>
      <c r="CR67" s="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</row>
    <row r="68" spans="2:147" ht="14.25" customHeight="1">
      <c r="B68" s="48" t="s">
        <v>193</v>
      </c>
      <c r="AP68" s="54">
        <v>1826.5</v>
      </c>
      <c r="AQ68" s="54">
        <v>1903.2</v>
      </c>
      <c r="AR68" s="54">
        <v>1997.6</v>
      </c>
      <c r="AS68" s="54">
        <v>2136.1</v>
      </c>
      <c r="AT68" s="54">
        <v>2042.1</v>
      </c>
      <c r="AU68" s="54">
        <v>2189.3000000000002</v>
      </c>
      <c r="AV68" s="54">
        <v>2255.9</v>
      </c>
      <c r="AW68" s="54">
        <v>1824.5</v>
      </c>
      <c r="AX68" s="54">
        <v>2131.8000000000002</v>
      </c>
      <c r="AY68" s="54">
        <v>2233</v>
      </c>
      <c r="AZ68" s="54">
        <v>2100.4</v>
      </c>
      <c r="BA68" s="54">
        <v>2267.9</v>
      </c>
      <c r="BB68" s="54">
        <v>2068.6</v>
      </c>
      <c r="BC68" s="54">
        <v>2246.8000000000002</v>
      </c>
      <c r="BD68" s="54">
        <v>2434.3000000000002</v>
      </c>
      <c r="BE68" s="54">
        <v>1979</v>
      </c>
      <c r="BF68" s="54">
        <v>2102.6</v>
      </c>
      <c r="BG68" s="54">
        <v>2266.6</v>
      </c>
      <c r="BH68" s="54">
        <v>2573.1</v>
      </c>
      <c r="BI68" s="54">
        <v>2573.1</v>
      </c>
      <c r="BJ68" s="54">
        <v>2746</v>
      </c>
      <c r="BK68" s="54">
        <v>2956.9</v>
      </c>
      <c r="BL68" s="54">
        <v>2621.4</v>
      </c>
      <c r="CB68" s="54">
        <f t="shared" si="248"/>
        <v>1826.5</v>
      </c>
      <c r="CC68" s="54">
        <f t="shared" si="249"/>
        <v>2042.1</v>
      </c>
      <c r="CD68" s="54">
        <f t="shared" si="250"/>
        <v>2131.8000000000002</v>
      </c>
      <c r="CE68" s="54">
        <f t="shared" si="251"/>
        <v>2068.6</v>
      </c>
      <c r="CF68" s="54">
        <f t="shared" si="252"/>
        <v>2102.6</v>
      </c>
      <c r="CG68" s="54">
        <f t="shared" si="245"/>
        <v>2746</v>
      </c>
      <c r="CI68" s="97" t="s">
        <v>1476</v>
      </c>
      <c r="CJ68" s="78"/>
      <c r="CK68" s="78"/>
      <c r="CL68" s="88">
        <f>CL66*(1-CL67)</f>
        <v>4.7699999999999999E-3</v>
      </c>
      <c r="CM68" s="78"/>
      <c r="CN68" s="78"/>
      <c r="CO68" s="78"/>
      <c r="CP68" s="40"/>
      <c r="CQ68" s="78"/>
      <c r="CR68" s="78"/>
    </row>
    <row r="69" spans="2:147" s="51" customFormat="1" ht="14.25" customHeight="1">
      <c r="B69" s="51" t="s">
        <v>194</v>
      </c>
      <c r="AP69" s="56">
        <f t="shared" ref="AP69:BG69" si="255">AP67+AP68</f>
        <v>4290.5</v>
      </c>
      <c r="AQ69" s="56">
        <f t="shared" si="255"/>
        <v>4389.8</v>
      </c>
      <c r="AR69" s="56">
        <f t="shared" si="255"/>
        <v>4503.7999999999993</v>
      </c>
      <c r="AS69" s="56">
        <f t="shared" si="255"/>
        <v>4775.8999999999996</v>
      </c>
      <c r="AT69" s="56">
        <f t="shared" si="255"/>
        <v>4933.2999999999993</v>
      </c>
      <c r="AU69" s="56">
        <f t="shared" si="255"/>
        <v>5057</v>
      </c>
      <c r="AV69" s="56">
        <f t="shared" si="255"/>
        <v>5217.3999999999996</v>
      </c>
      <c r="AW69" s="56">
        <f t="shared" si="255"/>
        <v>4899.2000000000007</v>
      </c>
      <c r="AX69" s="56">
        <f t="shared" si="255"/>
        <v>5391.7000000000007</v>
      </c>
      <c r="AY69" s="56">
        <f t="shared" si="255"/>
        <v>5515.9</v>
      </c>
      <c r="AZ69" s="56">
        <f t="shared" si="255"/>
        <v>6820.6999999999989</v>
      </c>
      <c r="BA69" s="56">
        <f t="shared" si="255"/>
        <v>6566.1999999999989</v>
      </c>
      <c r="BB69" s="56">
        <f t="shared" si="255"/>
        <v>6264.5</v>
      </c>
      <c r="BC69" s="56">
        <f t="shared" si="255"/>
        <v>6482.2</v>
      </c>
      <c r="BD69" s="56">
        <f t="shared" si="255"/>
        <v>6799.2000000000007</v>
      </c>
      <c r="BE69" s="56">
        <f t="shared" si="255"/>
        <v>6353.8000000000011</v>
      </c>
      <c r="BF69" s="56">
        <f t="shared" si="255"/>
        <v>6484.5</v>
      </c>
      <c r="BG69" s="56">
        <f t="shared" si="255"/>
        <v>6751.7000000000007</v>
      </c>
      <c r="BH69" s="56">
        <f>BH67+BH68</f>
        <v>7150.2000000000007</v>
      </c>
      <c r="BI69" s="56">
        <f>BI67+BI68</f>
        <v>7150.2000000000007</v>
      </c>
      <c r="BJ69" s="56">
        <f>BJ67+BJ68</f>
        <v>6339.9</v>
      </c>
      <c r="BK69" s="56">
        <f t="shared" ref="BK69:BL69" si="256">BK67+BK68</f>
        <v>6633.3000000000011</v>
      </c>
      <c r="BL69" s="56">
        <f t="shared" si="256"/>
        <v>6455.3</v>
      </c>
      <c r="BM69" s="52"/>
      <c r="BN69" s="52"/>
      <c r="CB69" s="56">
        <f t="shared" si="248"/>
        <v>4290.5</v>
      </c>
      <c r="CC69" s="56">
        <f t="shared" si="249"/>
        <v>4933.2999999999993</v>
      </c>
      <c r="CD69" s="56">
        <f t="shared" si="250"/>
        <v>5391.7000000000007</v>
      </c>
      <c r="CE69" s="56">
        <f t="shared" si="251"/>
        <v>6264.5</v>
      </c>
      <c r="CF69" s="56">
        <f t="shared" si="252"/>
        <v>6484.5</v>
      </c>
      <c r="CG69" s="56">
        <f t="shared" si="245"/>
        <v>6339.9</v>
      </c>
      <c r="CH69" s="52"/>
      <c r="CI69" s="50"/>
      <c r="CJ69" s="50"/>
      <c r="CK69" s="50"/>
      <c r="CL69" s="50"/>
      <c r="CM69" s="50"/>
      <c r="CN69" s="50"/>
      <c r="CO69" s="50"/>
      <c r="CP69" s="50"/>
      <c r="CQ69" s="50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</row>
    <row r="70" spans="2:147" ht="14.25" customHeight="1">
      <c r="CI70" s="87" t="s">
        <v>1477</v>
      </c>
      <c r="CJ70" s="78"/>
      <c r="CK70" s="78"/>
      <c r="CL70" s="88">
        <f>(CL56*CL63)+(CL55*CL68*(1-CL67))</f>
        <v>0.10045095033408136</v>
      </c>
    </row>
    <row r="71" spans="2:147" ht="14.25" customHeight="1">
      <c r="B71" s="48" t="s">
        <v>67</v>
      </c>
      <c r="AP71" s="66">
        <f t="shared" ref="AP71:BG71" si="257">SUM(AP46:AP50)/SUM(AP59:AP63)</f>
        <v>5.5769418661455781</v>
      </c>
      <c r="AQ71" s="66">
        <f t="shared" si="257"/>
        <v>5.7028637642774376</v>
      </c>
      <c r="AR71" s="66">
        <f t="shared" si="257"/>
        <v>5.7835858165473617</v>
      </c>
      <c r="AS71" s="66">
        <f t="shared" si="257"/>
        <v>4.9750986528779428</v>
      </c>
      <c r="AT71" s="66">
        <f t="shared" si="257"/>
        <v>5.111542730299667</v>
      </c>
      <c r="AU71" s="66">
        <f t="shared" si="257"/>
        <v>5.2665167275794191</v>
      </c>
      <c r="AV71" s="66">
        <f t="shared" si="257"/>
        <v>4.7195786864931852</v>
      </c>
      <c r="AW71" s="66">
        <f t="shared" si="257"/>
        <v>3.7740144364242081</v>
      </c>
      <c r="AX71" s="66">
        <f t="shared" si="257"/>
        <v>1.9946718860436037</v>
      </c>
      <c r="AY71" s="66">
        <f t="shared" si="257"/>
        <v>2.0200536193029492</v>
      </c>
      <c r="AZ71" s="66">
        <f t="shared" si="257"/>
        <v>2.4172102237039188</v>
      </c>
      <c r="BA71" s="66">
        <f t="shared" si="257"/>
        <v>2.8499332767196415</v>
      </c>
      <c r="BB71" s="66">
        <f t="shared" si="257"/>
        <v>2.8444087403598974</v>
      </c>
      <c r="BC71" s="66">
        <f t="shared" si="257"/>
        <v>2.8984443608079284</v>
      </c>
      <c r="BD71" s="66">
        <f t="shared" si="257"/>
        <v>2.8152363256300084</v>
      </c>
      <c r="BE71" s="66">
        <f t="shared" si="257"/>
        <v>2.4576535024502739</v>
      </c>
      <c r="BF71" s="66">
        <f t="shared" si="257"/>
        <v>1.4670532060027286</v>
      </c>
      <c r="BG71" s="66">
        <f t="shared" si="257"/>
        <v>1.4993908662869186</v>
      </c>
      <c r="BH71" s="66">
        <f>SUM(BH46:BH50)/SUM(BH59:BH63)</f>
        <v>1.5202043098497899</v>
      </c>
      <c r="BI71" s="66">
        <f>SUM(BI46:BI50)/SUM(BI59:BI63)</f>
        <v>1.5202043098497899</v>
      </c>
      <c r="BJ71" s="66">
        <f>SUM(BJ46:BJ50)/SUM(BJ59:BJ63)</f>
        <v>1.8825204200700121</v>
      </c>
      <c r="BK71" s="66">
        <f t="shared" ref="BK71:BL71" si="258">SUM(BK46:BK50)/SUM(BK59:BK63)</f>
        <v>1.9478820037773179</v>
      </c>
      <c r="BL71" s="66">
        <f t="shared" si="258"/>
        <v>1.7332994019595369</v>
      </c>
      <c r="CB71" s="66">
        <f t="shared" ref="CB71:CF71" si="259">SUM(CB46:CB50)/SUM(CB59:CB63)</f>
        <v>5.5769418661455781</v>
      </c>
      <c r="CC71" s="66">
        <f t="shared" si="259"/>
        <v>5.111542730299667</v>
      </c>
      <c r="CD71" s="66">
        <f t="shared" si="259"/>
        <v>1.9946718860436037</v>
      </c>
      <c r="CE71" s="66">
        <f t="shared" si="259"/>
        <v>2.8444087403598974</v>
      </c>
      <c r="CF71" s="66">
        <f t="shared" si="259"/>
        <v>1.4670532060027286</v>
      </c>
      <c r="CG71" s="66">
        <f t="shared" ref="CG71" si="260">SUM(CG46:CG50)/SUM(CG59:CG63)</f>
        <v>1.8825204200700121</v>
      </c>
    </row>
    <row r="72" spans="2:147" ht="14.25" customHeight="1">
      <c r="B72" s="48" t="s">
        <v>68</v>
      </c>
      <c r="AP72" s="66">
        <f t="shared" ref="AP72:BG72" si="261">(SUM(AP46:AP50)-AP49)/SUM(AP59:AP63)</f>
        <v>5.1947565543071157</v>
      </c>
      <c r="AQ72" s="66">
        <f t="shared" si="261"/>
        <v>5.2233073994371795</v>
      </c>
      <c r="AR72" s="66">
        <f t="shared" si="261"/>
        <v>5.2520392874979187</v>
      </c>
      <c r="AS72" s="66">
        <f t="shared" si="261"/>
        <v>4.4970744318954967</v>
      </c>
      <c r="AT72" s="66">
        <f t="shared" si="261"/>
        <v>4.6158435072142057</v>
      </c>
      <c r="AU72" s="66">
        <f t="shared" si="261"/>
        <v>4.7854933933089674</v>
      </c>
      <c r="AV72" s="66">
        <f t="shared" si="261"/>
        <v>4.2988847583643128</v>
      </c>
      <c r="AW72" s="66">
        <f t="shared" si="261"/>
        <v>3.4286507495835643</v>
      </c>
      <c r="AX72" s="66">
        <f t="shared" si="261"/>
        <v>1.8279236666122984</v>
      </c>
      <c r="AY72" s="66">
        <f t="shared" si="261"/>
        <v>1.8238069705093833</v>
      </c>
      <c r="AZ72" s="66">
        <f t="shared" si="261"/>
        <v>2.2137507851379428</v>
      </c>
      <c r="BA72" s="66">
        <f t="shared" si="261"/>
        <v>2.5474948441101541</v>
      </c>
      <c r="BB72" s="66">
        <f t="shared" si="261"/>
        <v>2.4847686375321341</v>
      </c>
      <c r="BC72" s="66">
        <f t="shared" si="261"/>
        <v>2.5289173253042279</v>
      </c>
      <c r="BD72" s="66">
        <f t="shared" si="261"/>
        <v>2.4840901172918359</v>
      </c>
      <c r="BE72" s="66">
        <f t="shared" si="261"/>
        <v>2.119631017584318</v>
      </c>
      <c r="BF72" s="66">
        <f t="shared" si="261"/>
        <v>1.2819918144611189</v>
      </c>
      <c r="BG72" s="66">
        <f t="shared" si="261"/>
        <v>1.3221823450001648</v>
      </c>
      <c r="BH72" s="66">
        <f>(SUM(BH46:BH50)-BH49)/SUM(BH59:BH63)</f>
        <v>1.3477196482001994</v>
      </c>
      <c r="BI72" s="66">
        <f>(SUM(BI46:BI50)-BI49)/SUM(BI59:BI63)</f>
        <v>1.3477196482001994</v>
      </c>
      <c r="BJ72" s="66">
        <f>(SUM(BJ46:BJ50)-BJ49)/SUM(BJ59:BJ63)</f>
        <v>1.5888914819136528</v>
      </c>
      <c r="BK72" s="66">
        <f t="shared" ref="BK72:BL72" si="262">(SUM(BK46:BK50)-BK49)/SUM(BK59:BK63)</f>
        <v>1.6359834517492577</v>
      </c>
      <c r="BL72" s="66">
        <f t="shared" si="262"/>
        <v>1.4252025278873479</v>
      </c>
      <c r="CB72" s="66">
        <f t="shared" ref="CB72:CF72" si="263">(SUM(CB46:CB50)-CB49)/SUM(CB59:CB63)</f>
        <v>5.1947565543071157</v>
      </c>
      <c r="CC72" s="66">
        <f t="shared" si="263"/>
        <v>4.6158435072142057</v>
      </c>
      <c r="CD72" s="66">
        <f t="shared" si="263"/>
        <v>1.8279236666122984</v>
      </c>
      <c r="CE72" s="66">
        <f t="shared" si="263"/>
        <v>2.4847686375321341</v>
      </c>
      <c r="CF72" s="66">
        <f t="shared" si="263"/>
        <v>1.2819918144611189</v>
      </c>
      <c r="CG72" s="66">
        <f t="shared" ref="CG72" si="264">(SUM(CG46:CG50)-CG49)/SUM(CG59:CG63)</f>
        <v>1.5888914819136528</v>
      </c>
    </row>
    <row r="73" spans="2:147" ht="14.25" customHeight="1">
      <c r="B73" s="48" t="s">
        <v>69</v>
      </c>
      <c r="AP73" s="66">
        <f t="shared" ref="AP73:BG73" si="265">(AP46+AP47)/SUM(AP59:AP63)</f>
        <v>4.4092167399446343</v>
      </c>
      <c r="AQ73" s="66">
        <f t="shared" si="265"/>
        <v>4.3578877669260052</v>
      </c>
      <c r="AR73" s="66">
        <f t="shared" si="265"/>
        <v>4.3031463292825034</v>
      </c>
      <c r="AS73" s="66">
        <f t="shared" si="265"/>
        <v>3.6711117158797117</v>
      </c>
      <c r="AT73" s="66">
        <f t="shared" si="265"/>
        <v>3.78912319644839</v>
      </c>
      <c r="AU73" s="66">
        <f t="shared" si="265"/>
        <v>3.7787461343829061</v>
      </c>
      <c r="AV73" s="66">
        <f t="shared" si="265"/>
        <v>3.4136307311028502</v>
      </c>
      <c r="AW73" s="66">
        <f t="shared" si="265"/>
        <v>2.6339811215991116</v>
      </c>
      <c r="AX73" s="66">
        <f t="shared" si="265"/>
        <v>1.335399336704181</v>
      </c>
      <c r="AY73" s="66">
        <f t="shared" si="265"/>
        <v>1.3764075067024129</v>
      </c>
      <c r="AZ73" s="66">
        <f t="shared" si="265"/>
        <v>1.7568729767599172</v>
      </c>
      <c r="BA73" s="66">
        <f t="shared" si="265"/>
        <v>1.9654858667960695</v>
      </c>
      <c r="BB73" s="66">
        <f t="shared" si="265"/>
        <v>1.7507069408740363</v>
      </c>
      <c r="BC73" s="66">
        <f t="shared" si="265"/>
        <v>1.817212394931627</v>
      </c>
      <c r="BD73" s="66">
        <f t="shared" si="265"/>
        <v>1.8120427360353037</v>
      </c>
      <c r="BE73" s="66">
        <f t="shared" si="265"/>
        <v>1.4368982415681755</v>
      </c>
      <c r="BF73" s="66">
        <f t="shared" si="265"/>
        <v>0.87974079126875859</v>
      </c>
      <c r="BG73" s="66">
        <f t="shared" si="265"/>
        <v>0.88946692568568708</v>
      </c>
      <c r="BH73" s="66">
        <f>(BH46+BH47)/SUM(BH59:BH63)</f>
        <v>0.88524193792123795</v>
      </c>
      <c r="BI73" s="66">
        <f>(BI46+BI47)/SUM(BI59:BI63)</f>
        <v>0.88524193792123795</v>
      </c>
      <c r="BJ73" s="66">
        <f>(BJ46+BJ47)/SUM(BJ59:BJ63)</f>
        <v>0.93288214702450434</v>
      </c>
      <c r="BK73" s="66">
        <f t="shared" ref="BK73:BL73" si="266">(BK46+BK47)/SUM(BK59:BK63)</f>
        <v>1.0860688910873277</v>
      </c>
      <c r="BL73" s="66">
        <f t="shared" si="266"/>
        <v>0.82580480977223569</v>
      </c>
      <c r="CB73" s="66">
        <f t="shared" ref="CB73:CF73" si="267">(CB46+CB47)/SUM(CB59:CB63)</f>
        <v>4.4092167399446343</v>
      </c>
      <c r="CC73" s="66">
        <f t="shared" si="267"/>
        <v>3.78912319644839</v>
      </c>
      <c r="CD73" s="66">
        <f t="shared" si="267"/>
        <v>1.335399336704181</v>
      </c>
      <c r="CE73" s="66">
        <f t="shared" si="267"/>
        <v>1.7507069408740363</v>
      </c>
      <c r="CF73" s="66">
        <f t="shared" si="267"/>
        <v>0.87974079126875859</v>
      </c>
      <c r="CG73" s="66">
        <f t="shared" ref="CG73" si="268">(CG46+CG47)/SUM(CG59:CG63)</f>
        <v>0.93288214702450434</v>
      </c>
    </row>
    <row r="74" spans="2:147" ht="14.25" customHeight="1">
      <c r="B74" s="48" t="s">
        <v>1461</v>
      </c>
      <c r="AP74" s="66">
        <f t="shared" ref="AP74:BG74" si="269">AP26/(AP51+AP52)</f>
        <v>0.93476832073611582</v>
      </c>
      <c r="AQ74" s="66">
        <f t="shared" si="269"/>
        <v>0.73326557281835347</v>
      </c>
      <c r="AR74" s="66">
        <f t="shared" si="269"/>
        <v>0.77205500778412051</v>
      </c>
      <c r="AS74" s="66">
        <f t="shared" si="269"/>
        <v>0.78008398320335925</v>
      </c>
      <c r="AT74" s="66">
        <f t="shared" si="269"/>
        <v>0.78458253736374906</v>
      </c>
      <c r="AU74" s="66">
        <f t="shared" si="269"/>
        <v>0.66979122283766523</v>
      </c>
      <c r="AV74" s="66">
        <f t="shared" si="269"/>
        <v>0.68201410658307215</v>
      </c>
      <c r="AW74" s="66">
        <f t="shared" si="269"/>
        <v>0.71550762365191534</v>
      </c>
      <c r="AX74" s="66">
        <f t="shared" si="269"/>
        <v>0.71785840084536823</v>
      </c>
      <c r="AY74" s="66">
        <f t="shared" si="269"/>
        <v>0.64282618118768964</v>
      </c>
      <c r="AZ74" s="66">
        <f t="shared" si="269"/>
        <v>0.75509142906664362</v>
      </c>
      <c r="BA74" s="66">
        <f t="shared" si="269"/>
        <v>0.84613381931788578</v>
      </c>
      <c r="BB74" s="66">
        <f t="shared" si="269"/>
        <v>0.87336428872942184</v>
      </c>
      <c r="BC74" s="66">
        <f t="shared" si="269"/>
        <v>0.78301886792452835</v>
      </c>
      <c r="BD74" s="66">
        <f t="shared" si="269"/>
        <v>0.80068564139360598</v>
      </c>
      <c r="BE74" s="66">
        <f t="shared" si="269"/>
        <v>0.71716078770828817</v>
      </c>
      <c r="BF74" s="66">
        <f t="shared" si="269"/>
        <v>0.79361231909888075</v>
      </c>
      <c r="BG74" s="66">
        <f t="shared" si="269"/>
        <v>0.72763028515240902</v>
      </c>
      <c r="BH74" s="66">
        <f>BH26/(BH51+BH52)</f>
        <v>0.76441831274360827</v>
      </c>
      <c r="BI74" s="66">
        <f>BI26/(BI51+BI52)</f>
        <v>0.79890334940873353</v>
      </c>
      <c r="BJ74" s="66">
        <f>BJ26/(BJ51+BJ52)</f>
        <v>0.76931533622427151</v>
      </c>
      <c r="BK74" s="66">
        <f t="shared" ref="BK74:BL74" si="270">BK26/(BK51+BK52)</f>
        <v>0.72997305242528165</v>
      </c>
      <c r="BL74" s="66">
        <f t="shared" si="270"/>
        <v>0.78573144367043002</v>
      </c>
      <c r="CB74" s="66">
        <f t="shared" ref="CB74:CF74" si="271">CB26/(CB51+CB52)</f>
        <v>3.1657903384817616</v>
      </c>
      <c r="CC74" s="66">
        <f t="shared" si="271"/>
        <v>2.7514327452522758</v>
      </c>
      <c r="CD74" s="66">
        <f t="shared" si="271"/>
        <v>2.5623458964424097</v>
      </c>
      <c r="CE74" s="66">
        <f t="shared" si="271"/>
        <v>3.0580835795694385</v>
      </c>
      <c r="CF74" s="66">
        <f t="shared" si="271"/>
        <v>2.8751693163185283</v>
      </c>
      <c r="CG74" s="66">
        <f t="shared" ref="CG74" si="272">CG26/(CG51+CG52)</f>
        <v>2.8473706712270199</v>
      </c>
    </row>
    <row r="75" spans="2:147" ht="14.25" customHeight="1">
      <c r="B75" s="48" t="s">
        <v>70</v>
      </c>
      <c r="AP75" s="66">
        <f t="shared" ref="AP75:BG75" si="273">AP26/AP69</f>
        <v>0.13259526861671134</v>
      </c>
      <c r="AQ75" s="66">
        <f t="shared" si="273"/>
        <v>0.11503940954029795</v>
      </c>
      <c r="AR75" s="66">
        <f t="shared" si="273"/>
        <v>0.13213286558017676</v>
      </c>
      <c r="AS75" s="66">
        <f t="shared" si="273"/>
        <v>0.13614187901756736</v>
      </c>
      <c r="AT75" s="66">
        <f t="shared" si="273"/>
        <v>0.14152798329718452</v>
      </c>
      <c r="AU75" s="66">
        <f t="shared" si="273"/>
        <v>0.12434249555072178</v>
      </c>
      <c r="AV75" s="66">
        <f t="shared" si="273"/>
        <v>0.13343811093648178</v>
      </c>
      <c r="AW75" s="66">
        <f t="shared" si="273"/>
        <v>0.15708687132593074</v>
      </c>
      <c r="AX75" s="66">
        <f t="shared" si="273"/>
        <v>0.15119535582469351</v>
      </c>
      <c r="AY75" s="66">
        <f t="shared" si="273"/>
        <v>0.13442955818633406</v>
      </c>
      <c r="AZ75" s="66">
        <f t="shared" si="273"/>
        <v>0.12774348673889779</v>
      </c>
      <c r="BA75" s="66">
        <f t="shared" si="273"/>
        <v>0.14848770978648232</v>
      </c>
      <c r="BB75" s="66">
        <f t="shared" si="273"/>
        <v>0.16513688243275604</v>
      </c>
      <c r="BC75" s="66">
        <f t="shared" si="273"/>
        <v>0.14212767270371171</v>
      </c>
      <c r="BD75" s="66">
        <f t="shared" si="273"/>
        <v>0.14770855394752322</v>
      </c>
      <c r="BE75" s="66">
        <f t="shared" si="273"/>
        <v>0.1564732915735465</v>
      </c>
      <c r="BF75" s="66">
        <f t="shared" si="273"/>
        <v>0.17167090754877015</v>
      </c>
      <c r="BG75" s="66">
        <f t="shared" si="273"/>
        <v>0.15344283661892558</v>
      </c>
      <c r="BH75" s="66">
        <f>BH26/BH69</f>
        <v>0.16182764118486193</v>
      </c>
      <c r="BI75" s="66">
        <f>BI26/BI69</f>
        <v>0.16912813627590834</v>
      </c>
      <c r="BJ75" s="66">
        <f>BJ26/BJ69</f>
        <v>0.19867821259010393</v>
      </c>
      <c r="BK75" s="66">
        <f t="shared" ref="BK75:BL75" si="274">BK26/BK69</f>
        <v>0.17968432002170859</v>
      </c>
      <c r="BL75" s="66">
        <f t="shared" si="274"/>
        <v>0.20268616485678437</v>
      </c>
      <c r="CB75" s="66">
        <f t="shared" ref="CB75:CF75" si="275">CB26/CB69</f>
        <v>0.44906188089966198</v>
      </c>
      <c r="CC75" s="66">
        <f t="shared" si="275"/>
        <v>0.49632092108730469</v>
      </c>
      <c r="CD75" s="66">
        <f t="shared" si="275"/>
        <v>0.5396813620935883</v>
      </c>
      <c r="CE75" s="66">
        <f t="shared" si="275"/>
        <v>0.57822651448639162</v>
      </c>
      <c r="CF75" s="66">
        <f t="shared" si="275"/>
        <v>0.62194463721181281</v>
      </c>
      <c r="CG75" s="66">
        <f t="shared" ref="CG75" si="276">CG26/CG69</f>
        <v>0.73534282875124213</v>
      </c>
    </row>
    <row r="76" spans="2:147" ht="14.25" customHeight="1">
      <c r="B76" s="48" t="s">
        <v>71</v>
      </c>
      <c r="AP76" s="66">
        <f t="shared" ref="AP76:BG76" si="277">AP27/AVERAGE(AM49:AP49)</f>
        <v>0.7234767788666383</v>
      </c>
      <c r="AQ76" s="66">
        <f t="shared" si="277"/>
        <v>0.61441647597254001</v>
      </c>
      <c r="AR76" s="66">
        <f t="shared" si="277"/>
        <v>0.63292639563826003</v>
      </c>
      <c r="AS76" s="66">
        <f t="shared" si="277"/>
        <v>0.68050209205020928</v>
      </c>
      <c r="AT76" s="66">
        <f t="shared" si="277"/>
        <v>0.68488160291438982</v>
      </c>
      <c r="AU76" s="66">
        <f t="shared" si="277"/>
        <v>0.6735274797460038</v>
      </c>
      <c r="AV76" s="66">
        <f t="shared" si="277"/>
        <v>0.70977486873336693</v>
      </c>
      <c r="AW76" s="66">
        <f t="shared" si="277"/>
        <v>0.81599999999999995</v>
      </c>
      <c r="AX76" s="66">
        <f t="shared" si="277"/>
        <v>0.84315838079113425</v>
      </c>
      <c r="AY76" s="66">
        <f t="shared" si="277"/>
        <v>0.84310761789600963</v>
      </c>
      <c r="AZ76" s="66">
        <f t="shared" si="277"/>
        <v>0.92511389521640075</v>
      </c>
      <c r="BA76" s="66">
        <f t="shared" si="277"/>
        <v>0.88344637025872885</v>
      </c>
      <c r="BB76" s="66">
        <f t="shared" si="277"/>
        <v>0.81916219584891337</v>
      </c>
      <c r="BC76" s="66">
        <f t="shared" si="277"/>
        <v>0.69444981628311742</v>
      </c>
      <c r="BD76" s="66">
        <f t="shared" si="277"/>
        <v>0.68109668109668098</v>
      </c>
      <c r="BE76" s="66">
        <f t="shared" si="277"/>
        <v>0.69474688760681902</v>
      </c>
      <c r="BF76" s="66">
        <f t="shared" si="277"/>
        <v>0.80006992090197959</v>
      </c>
      <c r="BG76" s="66">
        <f t="shared" si="277"/>
        <v>0.79914186108876384</v>
      </c>
      <c r="BH76" s="66">
        <f>BH27/AVERAGE(BE49:BH49)</f>
        <v>0.83707212440790058</v>
      </c>
      <c r="BI76" s="66">
        <f>BI27/AVERAGE(BF49:BI49)</f>
        <v>0.86022860228602271</v>
      </c>
      <c r="BJ76" s="66">
        <f>BJ27/AVERAGE(BG49:BJ49)</f>
        <v>0.8089400961580111</v>
      </c>
      <c r="BK76" s="66">
        <f t="shared" ref="BK76:BL76" si="278">BK27/AVERAGE(BH49:BK49)</f>
        <v>0.71685402378150243</v>
      </c>
      <c r="BL76" s="66">
        <f t="shared" si="278"/>
        <v>0.73043743797236427</v>
      </c>
      <c r="CB76" s="66">
        <f t="shared" ref="CB76:CG76" si="279">CB27/AVERAGE(BY49:CB49)</f>
        <v>2.7550063911376221</v>
      </c>
      <c r="CC76" s="66">
        <f t="shared" si="279"/>
        <v>2.5945945945945952</v>
      </c>
      <c r="CD76" s="66">
        <f t="shared" si="279"/>
        <v>3.4272838544564364</v>
      </c>
      <c r="CE76" s="66">
        <f t="shared" si="279"/>
        <v>3.6574093122128506</v>
      </c>
      <c r="CF76" s="66">
        <f t="shared" si="279"/>
        <v>3.6118219907145286</v>
      </c>
      <c r="CG76" s="66">
        <f t="shared" si="279"/>
        <v>3.6508341511285574</v>
      </c>
    </row>
    <row r="77" spans="2:147" ht="14.25" customHeight="1">
      <c r="B77" s="48" t="s">
        <v>72</v>
      </c>
      <c r="AP77" s="58">
        <f t="shared" ref="AP77:BG77" si="280">AP35/AP69</f>
        <v>9.6445635706794069E-2</v>
      </c>
      <c r="AQ77" s="58">
        <f t="shared" si="280"/>
        <v>1.2870745819855112E-2</v>
      </c>
      <c r="AR77" s="58">
        <f t="shared" si="280"/>
        <v>1.7518539899640306E-2</v>
      </c>
      <c r="AS77" s="58">
        <f t="shared" si="280"/>
        <v>1.8551477208484247E-2</v>
      </c>
      <c r="AT77" s="58">
        <f t="shared" si="280"/>
        <v>-1.4391989135061241E-3</v>
      </c>
      <c r="AU77" s="58">
        <f t="shared" si="280"/>
        <v>1.9636147913782889E-2</v>
      </c>
      <c r="AV77" s="58">
        <f t="shared" si="280"/>
        <v>1.0119983133361451E-2</v>
      </c>
      <c r="AW77" s="58">
        <f t="shared" si="280"/>
        <v>2.1023840627041157E-2</v>
      </c>
      <c r="AX77" s="58">
        <f t="shared" si="280"/>
        <v>1.5968989372554119E-2</v>
      </c>
      <c r="AY77" s="58">
        <f t="shared" si="280"/>
        <v>8.8108921481535284E-3</v>
      </c>
      <c r="AZ77" s="58">
        <f t="shared" si="280"/>
        <v>1.6992390810327381E-2</v>
      </c>
      <c r="BA77" s="58">
        <f t="shared" si="280"/>
        <v>1.8382016996131709E-2</v>
      </c>
      <c r="BB77" s="58">
        <f t="shared" si="280"/>
        <v>4.0913081650570712E-2</v>
      </c>
      <c r="BC77" s="58">
        <f t="shared" si="280"/>
        <v>2.2631205454938127E-2</v>
      </c>
      <c r="BD77" s="58">
        <f t="shared" si="280"/>
        <v>2.1105424167549111E-2</v>
      </c>
      <c r="BE77" s="58">
        <f t="shared" si="280"/>
        <v>2.1184173250653152E-2</v>
      </c>
      <c r="BF77" s="58">
        <f t="shared" si="280"/>
        <v>2.3347983653327169E-2</v>
      </c>
      <c r="BG77" s="58">
        <f t="shared" si="280"/>
        <v>1.5610883184975631E-2</v>
      </c>
      <c r="BH77" s="58">
        <f>BH35/BH69</f>
        <v>2.5146149758048717E-2</v>
      </c>
      <c r="BI77" s="58">
        <f>BI35/BI69</f>
        <v>3.96911974490224E-2</v>
      </c>
      <c r="BJ77" s="58">
        <f>BJ35/BJ69</f>
        <v>4.2161548289405153E-2</v>
      </c>
      <c r="BK77" s="58">
        <f t="shared" ref="BK77:BL77" si="281">BK35/BK69</f>
        <v>3.0075528017728701E-2</v>
      </c>
      <c r="BL77" s="58">
        <f t="shared" si="281"/>
        <v>3.8588446702709417E-2</v>
      </c>
      <c r="CB77" s="58">
        <f t="shared" ref="CB77:CF77" si="282">CB35/CB69</f>
        <v>0.12870294837431531</v>
      </c>
      <c r="CC77" s="58">
        <f t="shared" si="282"/>
        <v>4.3966513287251971E-2</v>
      </c>
      <c r="CD77" s="58">
        <f t="shared" si="282"/>
        <v>6.328245265871621E-2</v>
      </c>
      <c r="CE77" s="58">
        <f t="shared" si="282"/>
        <v>8.6439460451751965E-2</v>
      </c>
      <c r="CF77" s="58">
        <f t="shared" si="282"/>
        <v>8.88580461099545E-2</v>
      </c>
      <c r="CG77" s="58">
        <f t="shared" ref="CG77" si="283">CG35/CG69</f>
        <v>0.13191059795895832</v>
      </c>
    </row>
    <row r="78" spans="2:147" ht="14.25" customHeight="1">
      <c r="B78" s="48" t="s">
        <v>73</v>
      </c>
      <c r="AP78" s="58">
        <f t="shared" ref="AP78:BG78" si="284">AP35/AP68</f>
        <v>0.22655351765672047</v>
      </c>
      <c r="AQ78" s="58">
        <f t="shared" si="284"/>
        <v>2.9686843211433361E-2</v>
      </c>
      <c r="AR78" s="58">
        <f t="shared" si="284"/>
        <v>3.9497396876251499E-2</v>
      </c>
      <c r="AS78" s="58">
        <f t="shared" si="284"/>
        <v>4.1477458920462486E-2</v>
      </c>
      <c r="AT78" s="58">
        <f t="shared" si="284"/>
        <v>-3.4768130845696885E-3</v>
      </c>
      <c r="AU78" s="58">
        <f t="shared" si="284"/>
        <v>4.5356963412963074E-2</v>
      </c>
      <c r="AV78" s="58">
        <f t="shared" si="284"/>
        <v>2.3405292787800892E-2</v>
      </c>
      <c r="AW78" s="58">
        <f t="shared" si="284"/>
        <v>5.6453822965195972E-2</v>
      </c>
      <c r="AX78" s="58">
        <f t="shared" si="284"/>
        <v>4.0388404165493969E-2</v>
      </c>
      <c r="AY78" s="58">
        <f t="shared" si="284"/>
        <v>2.1764442454097647E-2</v>
      </c>
      <c r="AZ78" s="58">
        <f t="shared" si="284"/>
        <v>5.5179965720815058E-2</v>
      </c>
      <c r="BA78" s="58">
        <f t="shared" si="284"/>
        <v>5.3221041492129278E-2</v>
      </c>
      <c r="BB78" s="58">
        <f t="shared" si="284"/>
        <v>0.12390022237261929</v>
      </c>
      <c r="BC78" s="58">
        <f t="shared" si="284"/>
        <v>6.529286095780662E-2</v>
      </c>
      <c r="BD78" s="58">
        <f t="shared" si="284"/>
        <v>5.8949184570513055E-2</v>
      </c>
      <c r="BE78" s="58">
        <f t="shared" si="284"/>
        <v>6.8014148559878737E-2</v>
      </c>
      <c r="BF78" s="58">
        <f t="shared" si="284"/>
        <v>7.2006087700941704E-2</v>
      </c>
      <c r="BG78" s="58">
        <f t="shared" si="284"/>
        <v>4.6501367687284911E-2</v>
      </c>
      <c r="BH78" s="58">
        <f>BH35/BH68</f>
        <v>6.9876802300726737E-2</v>
      </c>
      <c r="BI78" s="58">
        <f>BI35/BI68</f>
        <v>0.11029497493296025</v>
      </c>
      <c r="BJ78" s="58">
        <f>BJ35/BJ68</f>
        <v>9.7341587764020299E-2</v>
      </c>
      <c r="BK78" s="58">
        <f t="shared" ref="BK78:BL78" si="285">BK35/BK68</f>
        <v>6.7469309073691988E-2</v>
      </c>
      <c r="BL78" s="58">
        <f t="shared" si="285"/>
        <v>9.5025558861677004E-2</v>
      </c>
      <c r="CB78" s="58">
        <f t="shared" ref="CB78:CF78" si="286">CB35/CB68</f>
        <v>0.30232685464002179</v>
      </c>
      <c r="CC78" s="58">
        <f t="shared" si="286"/>
        <v>0.10621419127368892</v>
      </c>
      <c r="CD78" s="58">
        <f t="shared" si="286"/>
        <v>0.16005253776151618</v>
      </c>
      <c r="CE78" s="58">
        <f t="shared" si="286"/>
        <v>0.2617712462535049</v>
      </c>
      <c r="CF78" s="58">
        <f t="shared" si="286"/>
        <v>0.2740416627033197</v>
      </c>
      <c r="CG78" s="58">
        <f t="shared" ref="CG78" si="287">CG35/CG68</f>
        <v>0.30455207574654031</v>
      </c>
    </row>
    <row r="80" spans="2:147" ht="14.25" customHeight="1">
      <c r="B80" s="48" t="s">
        <v>74</v>
      </c>
      <c r="C80" s="54">
        <f t="shared" ref="C80:AL80" si="288">C35</f>
        <v>-11.9</v>
      </c>
      <c r="D80" s="54">
        <f t="shared" si="288"/>
        <v>-7.3000000000000007</v>
      </c>
      <c r="E80" s="54">
        <f t="shared" si="288"/>
        <v>-13.199999999999998</v>
      </c>
      <c r="F80" s="54">
        <f t="shared" si="288"/>
        <v>-12.2</v>
      </c>
      <c r="G80" s="54">
        <f t="shared" si="288"/>
        <v>-14.099999999999998</v>
      </c>
      <c r="H80" s="54">
        <f t="shared" si="288"/>
        <v>-14.7</v>
      </c>
      <c r="I80" s="54">
        <f t="shared" si="288"/>
        <v>-17.3</v>
      </c>
      <c r="J80" s="54">
        <f t="shared" si="288"/>
        <v>-8.4</v>
      </c>
      <c r="K80" s="54">
        <f t="shared" si="288"/>
        <v>-11.100000000000001</v>
      </c>
      <c r="L80" s="54">
        <f t="shared" si="288"/>
        <v>-10.099999999999998</v>
      </c>
      <c r="M80" s="54">
        <f t="shared" si="288"/>
        <v>-6.000000000000008</v>
      </c>
      <c r="N80" s="54">
        <f t="shared" si="288"/>
        <v>-2.599999999999997</v>
      </c>
      <c r="O80" s="54">
        <f t="shared" si="288"/>
        <v>-12.5</v>
      </c>
      <c r="P80" s="54">
        <f t="shared" si="288"/>
        <v>-6.0000000000000044</v>
      </c>
      <c r="Q80" s="54">
        <f t="shared" si="288"/>
        <v>-5.2</v>
      </c>
      <c r="R80" s="54">
        <f t="shared" si="288"/>
        <v>1.3999999999999944</v>
      </c>
      <c r="S80" s="54">
        <f t="shared" si="288"/>
        <v>-12.900000000000002</v>
      </c>
      <c r="T80" s="54">
        <f t="shared" si="288"/>
        <v>-3.6999999999999944</v>
      </c>
      <c r="U80" s="54">
        <f t="shared" si="288"/>
        <v>-42.499999999999993</v>
      </c>
      <c r="V80" s="54">
        <f t="shared" si="288"/>
        <v>1.6000000000000227</v>
      </c>
      <c r="W80" s="54">
        <f t="shared" si="288"/>
        <v>-19.200000000000017</v>
      </c>
      <c r="X80" s="54">
        <f t="shared" si="288"/>
        <v>-20.199999999999982</v>
      </c>
      <c r="Y80" s="54">
        <f t="shared" si="288"/>
        <v>-18.8</v>
      </c>
      <c r="Z80" s="54">
        <f t="shared" si="288"/>
        <v>-7.4000000000000092</v>
      </c>
      <c r="AA80" s="54">
        <f t="shared" si="288"/>
        <v>-41.699999999999989</v>
      </c>
      <c r="AB80" s="54">
        <f t="shared" si="288"/>
        <v>2.9000000000000057</v>
      </c>
      <c r="AC80" s="54">
        <f t="shared" si="288"/>
        <v>-2</v>
      </c>
      <c r="AD80" s="54">
        <f t="shared" si="288"/>
        <v>-9.4</v>
      </c>
      <c r="AE80" s="54">
        <f t="shared" si="288"/>
        <v>-24.199999999999989</v>
      </c>
      <c r="AF80" s="54">
        <f t="shared" si="288"/>
        <v>30.199999999999996</v>
      </c>
      <c r="AG80" s="54">
        <f t="shared" si="288"/>
        <v>46.6</v>
      </c>
      <c r="AH80" s="54">
        <f t="shared" si="288"/>
        <v>-179.7</v>
      </c>
      <c r="AI80" s="54">
        <f t="shared" si="288"/>
        <v>-26.899999999999977</v>
      </c>
      <c r="AJ80" s="54">
        <f t="shared" si="288"/>
        <v>-10.500000000000039</v>
      </c>
      <c r="AK80" s="54">
        <f t="shared" si="288"/>
        <v>45.8</v>
      </c>
      <c r="AL80" s="54">
        <f t="shared" si="288"/>
        <v>92.7</v>
      </c>
      <c r="AM80" s="54">
        <f t="shared" ref="AM80:BG80" si="289">AM35</f>
        <v>19.899999999999995</v>
      </c>
      <c r="AN80" s="54">
        <f t="shared" si="289"/>
        <v>46.299999999999955</v>
      </c>
      <c r="AO80" s="54">
        <f t="shared" si="289"/>
        <v>72.19999999999996</v>
      </c>
      <c r="AP80" s="54">
        <f t="shared" si="289"/>
        <v>413.79999999999995</v>
      </c>
      <c r="AQ80" s="54">
        <f t="shared" si="289"/>
        <v>56.499999999999972</v>
      </c>
      <c r="AR80" s="54">
        <f t="shared" si="289"/>
        <v>78.899999999999991</v>
      </c>
      <c r="AS80" s="54">
        <f t="shared" si="289"/>
        <v>88.599999999999909</v>
      </c>
      <c r="AT80" s="54">
        <f t="shared" si="289"/>
        <v>-7.0999999999997607</v>
      </c>
      <c r="AU80" s="54">
        <f t="shared" si="289"/>
        <v>99.300000000000068</v>
      </c>
      <c r="AV80" s="54">
        <f t="shared" si="289"/>
        <v>52.800000000000033</v>
      </c>
      <c r="AW80" s="54">
        <f t="shared" si="289"/>
        <v>103.00000000000006</v>
      </c>
      <c r="AX80" s="54">
        <f t="shared" si="289"/>
        <v>86.100000000000051</v>
      </c>
      <c r="AY80" s="54">
        <f t="shared" si="289"/>
        <v>48.600000000000044</v>
      </c>
      <c r="AZ80" s="54">
        <f t="shared" si="289"/>
        <v>115.89999999999995</v>
      </c>
      <c r="BA80" s="54">
        <f t="shared" si="289"/>
        <v>120.7</v>
      </c>
      <c r="BB80" s="54">
        <f t="shared" si="289"/>
        <v>256.30000000000024</v>
      </c>
      <c r="BC80" s="54">
        <f t="shared" si="289"/>
        <v>146.69999999999993</v>
      </c>
      <c r="BD80" s="54">
        <f t="shared" si="289"/>
        <v>143.49999999999994</v>
      </c>
      <c r="BE80" s="54">
        <f t="shared" si="289"/>
        <v>134.60000000000002</v>
      </c>
      <c r="BF80" s="54">
        <f t="shared" si="289"/>
        <v>151.40000000000003</v>
      </c>
      <c r="BG80" s="54">
        <f t="shared" si="289"/>
        <v>105.39999999999998</v>
      </c>
      <c r="BH80" s="54">
        <f>BH35</f>
        <v>179.79999999999995</v>
      </c>
      <c r="BI80" s="54">
        <f>BI35</f>
        <v>283.8</v>
      </c>
      <c r="BJ80" s="54">
        <f>BJ35</f>
        <v>267.29999999999973</v>
      </c>
      <c r="BK80" s="54">
        <f t="shared" ref="BK80:BL80" si="290">BK35</f>
        <v>199.49999999999983</v>
      </c>
      <c r="BL80" s="54">
        <f t="shared" si="290"/>
        <v>249.10000000000011</v>
      </c>
      <c r="BS80" s="54">
        <f>SUM(D80:G80)</f>
        <v>-46.8</v>
      </c>
      <c r="BT80" s="54">
        <f>SUM(H80:K80)</f>
        <v>-51.5</v>
      </c>
      <c r="BU80" s="54">
        <f>SUM(L80:O80)</f>
        <v>-31.200000000000003</v>
      </c>
      <c r="BV80" s="54">
        <f>SUM(P80:S80)</f>
        <v>-22.70000000000001</v>
      </c>
      <c r="BW80" s="54">
        <f>SUM(T80:W80)</f>
        <v>-63.799999999999983</v>
      </c>
      <c r="BX80" s="54">
        <f>SUM(X80:AA80)</f>
        <v>-88.09999999999998</v>
      </c>
      <c r="BY80" s="54">
        <f>SUM(AB80:AE80)</f>
        <v>-32.699999999999982</v>
      </c>
      <c r="BZ80" s="54">
        <f>SUM(AF80:AI80)</f>
        <v>-129.79999999999995</v>
      </c>
      <c r="CA80" s="54">
        <f>SUM(AJ80:AL80)</f>
        <v>127.99999999999996</v>
      </c>
      <c r="CB80" s="54">
        <f>SUM(AM80:AP80)</f>
        <v>552.19999999999982</v>
      </c>
      <c r="CC80" s="54">
        <f>SUM(AQ80:AT80)</f>
        <v>216.90000000000012</v>
      </c>
      <c r="CD80" s="54">
        <f>SUM(AU80:AX80)</f>
        <v>341.20000000000022</v>
      </c>
      <c r="CE80" s="54">
        <f>SUM(AY80:BB80)</f>
        <v>541.50000000000023</v>
      </c>
      <c r="CF80" s="54">
        <f>SUM(BC80:BF80)</f>
        <v>576.19999999999993</v>
      </c>
      <c r="CG80" s="54">
        <f t="shared" ref="CG80:CG85" si="291">SUM(BG80:BJ80)</f>
        <v>836.29999999999973</v>
      </c>
    </row>
    <row r="81" spans="2:147" s="51" customFormat="1" ht="14.25" customHeight="1">
      <c r="B81" s="51" t="s">
        <v>75</v>
      </c>
      <c r="C81" s="56">
        <v>-9.3000000000000007</v>
      </c>
      <c r="D81" s="56">
        <v>-2.5</v>
      </c>
      <c r="E81" s="56">
        <v>-6.7</v>
      </c>
      <c r="F81" s="56">
        <v>-11.5</v>
      </c>
      <c r="G81" s="56">
        <v>-10.199999999999999</v>
      </c>
      <c r="H81" s="56">
        <v>-6.3</v>
      </c>
      <c r="I81" s="56">
        <v>-6</v>
      </c>
      <c r="J81" s="56">
        <v>-10.6</v>
      </c>
      <c r="K81" s="56">
        <v>-4.5</v>
      </c>
      <c r="L81" s="56">
        <v>0.9</v>
      </c>
      <c r="M81" s="56">
        <v>1.6</v>
      </c>
      <c r="N81" s="56">
        <v>4.4000000000000004</v>
      </c>
      <c r="O81" s="56">
        <v>-2.4</v>
      </c>
      <c r="P81" s="56">
        <v>6.2</v>
      </c>
      <c r="Q81" s="56">
        <v>11.4</v>
      </c>
      <c r="R81" s="56">
        <v>8.4</v>
      </c>
      <c r="S81" s="56">
        <v>3.4</v>
      </c>
      <c r="T81" s="56">
        <v>16.399999999999999</v>
      </c>
      <c r="U81" s="56">
        <v>17.899999999999999</v>
      </c>
      <c r="V81" s="56">
        <v>11.3</v>
      </c>
      <c r="W81" s="56">
        <v>-0.2</v>
      </c>
      <c r="X81" s="56">
        <v>20.100000000000001</v>
      </c>
      <c r="Y81" s="56">
        <v>23</v>
      </c>
      <c r="Z81" s="56">
        <v>13.3</v>
      </c>
      <c r="AA81" s="56">
        <v>0.3</v>
      </c>
      <c r="AB81" s="56">
        <v>14.3</v>
      </c>
      <c r="AC81" s="56">
        <v>36.200000000000003</v>
      </c>
      <c r="AD81" s="56">
        <v>41.2</v>
      </c>
      <c r="AE81" s="56">
        <v>-8.6999999999999993</v>
      </c>
      <c r="AF81" s="56">
        <v>41.4</v>
      </c>
      <c r="AG81" s="56">
        <v>56.8</v>
      </c>
      <c r="AH81" s="56">
        <v>33.700000000000003</v>
      </c>
      <c r="AI81" s="56">
        <v>11.8</v>
      </c>
      <c r="AJ81" s="56">
        <v>64.5</v>
      </c>
      <c r="AK81" s="56">
        <v>94.5</v>
      </c>
      <c r="AL81" s="56">
        <v>139.5</v>
      </c>
      <c r="AM81" s="56">
        <v>1.9</v>
      </c>
      <c r="AN81" s="56">
        <v>154.1</v>
      </c>
      <c r="AO81" s="56">
        <v>147.6</v>
      </c>
      <c r="AP81" s="56">
        <v>172</v>
      </c>
      <c r="AQ81" s="56">
        <v>27.8</v>
      </c>
      <c r="AR81" s="56">
        <v>61.6</v>
      </c>
      <c r="AS81" s="56">
        <v>247.4</v>
      </c>
      <c r="AT81" s="56">
        <v>105.7</v>
      </c>
      <c r="AU81" s="56">
        <v>71</v>
      </c>
      <c r="AV81" s="56">
        <v>172.8</v>
      </c>
      <c r="AW81" s="56">
        <v>293.39999999999998</v>
      </c>
      <c r="AX81" s="56">
        <v>132.30000000000001</v>
      </c>
      <c r="AY81" s="56">
        <v>155.4</v>
      </c>
      <c r="AZ81" s="56">
        <v>190.3</v>
      </c>
      <c r="BA81" s="56">
        <v>269.2</v>
      </c>
      <c r="BB81" s="56">
        <v>133.6</v>
      </c>
      <c r="BC81" s="56">
        <v>209.2</v>
      </c>
      <c r="BD81" s="56">
        <v>283</v>
      </c>
      <c r="BE81" s="56">
        <v>199.5</v>
      </c>
      <c r="BF81" s="56">
        <v>301.39999999999998</v>
      </c>
      <c r="BG81" s="56">
        <v>183.8</v>
      </c>
      <c r="BH81" s="56">
        <v>303</v>
      </c>
      <c r="BI81" s="56">
        <v>659.9</v>
      </c>
      <c r="BJ81" s="56">
        <f>1440.7-SUM(BG81:BI81)</f>
        <v>294</v>
      </c>
      <c r="BK81" s="56">
        <v>525.6</v>
      </c>
      <c r="BL81" s="56">
        <v>269.2</v>
      </c>
      <c r="BM81" s="52"/>
      <c r="BN81" s="52"/>
      <c r="BS81" s="56">
        <f t="shared" ref="BS81:BS83" si="292">SUM(C81:F81)</f>
        <v>-30</v>
      </c>
      <c r="BT81" s="56">
        <f t="shared" ref="BT81:BT83" si="293">SUM(G81:J81)</f>
        <v>-33.1</v>
      </c>
      <c r="BU81" s="56">
        <f t="shared" ref="BU81:BU83" si="294">SUM(K81:N81)</f>
        <v>2.4000000000000004</v>
      </c>
      <c r="BV81" s="56">
        <f t="shared" ref="BV81:BV83" si="295">SUM(O81:R81)</f>
        <v>23.6</v>
      </c>
      <c r="BW81" s="56">
        <f t="shared" ref="BW81:BW83" si="296">SUM(S81:V81)</f>
        <v>49</v>
      </c>
      <c r="BX81" s="56">
        <f t="shared" ref="BX81:BX83" si="297">SUM(W81:Z81)</f>
        <v>56.2</v>
      </c>
      <c r="BY81" s="56">
        <f t="shared" ref="BY81:BY83" si="298">SUM(AA81:AD81)</f>
        <v>92</v>
      </c>
      <c r="BZ81" s="56">
        <f t="shared" ref="BZ81:BZ83" si="299">SUM(AE81:AH81)</f>
        <v>123.2</v>
      </c>
      <c r="CA81" s="56">
        <f t="shared" ref="CA81:CA83" si="300">SUM(AI81:AL81)</f>
        <v>310.3</v>
      </c>
      <c r="CB81" s="56">
        <f t="shared" ref="CB81:CB83" si="301">SUM(AM81:AP81)</f>
        <v>475.6</v>
      </c>
      <c r="CC81" s="56">
        <f t="shared" ref="CC81:CC83" si="302">SUM(AQ81:AT81)</f>
        <v>442.5</v>
      </c>
      <c r="CD81" s="56">
        <f t="shared" ref="CD81:CD83" si="303">SUM(AU81:AX81)</f>
        <v>669.5</v>
      </c>
      <c r="CE81" s="56">
        <f t="shared" ref="CE81:CE83" si="304">SUM(AY81:BB81)</f>
        <v>748.50000000000011</v>
      </c>
      <c r="CF81" s="56">
        <f t="shared" ref="CF81:CF83" si="305">SUM(BC81:BF81)</f>
        <v>993.1</v>
      </c>
      <c r="CG81" s="56">
        <f t="shared" si="291"/>
        <v>1440.7</v>
      </c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</row>
    <row r="82" spans="2:147" ht="14.25" customHeight="1">
      <c r="B82" s="48" t="s">
        <v>76</v>
      </c>
      <c r="C82" s="54">
        <v>-1.79</v>
      </c>
      <c r="D82" s="54">
        <v>-1.1599999999999999</v>
      </c>
      <c r="E82" s="54">
        <v>-1.5</v>
      </c>
      <c r="F82" s="54">
        <v>-3.5</v>
      </c>
      <c r="G82" s="54">
        <v>-2.2999999999999998</v>
      </c>
      <c r="H82" s="54">
        <v>-2.9</v>
      </c>
      <c r="I82" s="54">
        <v>-2.9</v>
      </c>
      <c r="J82" s="54">
        <v>-1.4</v>
      </c>
      <c r="K82" s="54">
        <v>-1.4</v>
      </c>
      <c r="L82" s="54">
        <v>-2</v>
      </c>
      <c r="M82" s="54">
        <v>-2.2000000000000002</v>
      </c>
      <c r="N82" s="54">
        <v>-2.2999999999999998</v>
      </c>
      <c r="O82" s="54">
        <v>-3.9</v>
      </c>
      <c r="P82" s="54">
        <v>-4</v>
      </c>
      <c r="Q82" s="54">
        <v>-3.7</v>
      </c>
      <c r="R82" s="54">
        <v>-4.5999999999999996</v>
      </c>
      <c r="S82" s="54">
        <v>-8</v>
      </c>
      <c r="T82" s="54">
        <v>-6.3</v>
      </c>
      <c r="U82" s="54">
        <v>-7.4</v>
      </c>
      <c r="V82" s="54">
        <v>-11.6</v>
      </c>
      <c r="W82" s="54">
        <v>-11.5</v>
      </c>
      <c r="X82" s="54">
        <v>-10.5</v>
      </c>
      <c r="Y82" s="54">
        <v>-16.100000000000001</v>
      </c>
      <c r="Z82" s="54">
        <v>-17.600000000000001</v>
      </c>
      <c r="AA82" s="54">
        <v>-22.9</v>
      </c>
      <c r="AB82" s="54">
        <v>-12</v>
      </c>
      <c r="AC82" s="54">
        <v>-13.5</v>
      </c>
      <c r="AD82" s="54">
        <v>-17.600000000000001</v>
      </c>
      <c r="AE82" s="54">
        <v>-15.3</v>
      </c>
      <c r="AF82" s="54">
        <v>-10.3</v>
      </c>
      <c r="AG82" s="54">
        <v>-23.8</v>
      </c>
      <c r="AH82" s="54">
        <v>-17.7</v>
      </c>
      <c r="AI82" s="54">
        <v>-39.299999999999997</v>
      </c>
      <c r="AJ82" s="54">
        <v>-46.9</v>
      </c>
      <c r="AK82" s="54">
        <v>-49.7</v>
      </c>
      <c r="AL82" s="54">
        <v>-44.1</v>
      </c>
      <c r="AM82" s="54">
        <v>-33.200000000000003</v>
      </c>
      <c r="AN82" s="54">
        <v>-58.2</v>
      </c>
      <c r="AO82" s="54">
        <v>-47.4</v>
      </c>
      <c r="AP82" s="54">
        <v>-60.2</v>
      </c>
      <c r="AQ82" s="54">
        <v>-99.7</v>
      </c>
      <c r="AR82" s="54">
        <v>-101.2</v>
      </c>
      <c r="AS82" s="54">
        <v>-108.1</v>
      </c>
      <c r="AT82" s="54">
        <v>-80.2</v>
      </c>
      <c r="AU82" s="54">
        <v>-101.6</v>
      </c>
      <c r="AV82" s="54">
        <v>-91.5</v>
      </c>
      <c r="AW82" s="54">
        <v>-108.2</v>
      </c>
      <c r="AX82" s="54">
        <v>-63.5</v>
      </c>
      <c r="AY82" s="54">
        <v>-74.7</v>
      </c>
      <c r="AZ82" s="54">
        <v>-59</v>
      </c>
      <c r="BA82" s="54">
        <v>-50.4</v>
      </c>
      <c r="BB82" s="54">
        <v>-52.5</v>
      </c>
      <c r="BC82" s="54">
        <v>-56.9</v>
      </c>
      <c r="BD82" s="54">
        <v>-66.099999999999994</v>
      </c>
      <c r="BE82" s="54">
        <v>-111.2</v>
      </c>
      <c r="BF82" s="54">
        <v>-124.6</v>
      </c>
      <c r="BG82" s="54">
        <v>-87</v>
      </c>
      <c r="BH82" s="54">
        <v>-94.1</v>
      </c>
      <c r="BI82" s="54">
        <v>-80.5</v>
      </c>
      <c r="BJ82" s="54">
        <v>-101.9</v>
      </c>
      <c r="BK82" s="54">
        <v>-76.599999999999994</v>
      </c>
      <c r="BL82" s="54">
        <v>-84.7</v>
      </c>
      <c r="BS82" s="54">
        <f t="shared" si="292"/>
        <v>-7.95</v>
      </c>
      <c r="BT82" s="54">
        <f t="shared" si="293"/>
        <v>-9.5</v>
      </c>
      <c r="BU82" s="54">
        <f t="shared" si="294"/>
        <v>-7.8999999999999995</v>
      </c>
      <c r="BV82" s="54">
        <f t="shared" si="295"/>
        <v>-16.200000000000003</v>
      </c>
      <c r="BW82" s="54">
        <f t="shared" si="296"/>
        <v>-33.300000000000004</v>
      </c>
      <c r="BX82" s="54">
        <f t="shared" si="297"/>
        <v>-55.7</v>
      </c>
      <c r="BY82" s="54">
        <f t="shared" si="298"/>
        <v>-66</v>
      </c>
      <c r="BZ82" s="54">
        <f t="shared" si="299"/>
        <v>-67.100000000000009</v>
      </c>
      <c r="CA82" s="54">
        <f t="shared" si="300"/>
        <v>-179.99999999999997</v>
      </c>
      <c r="CB82" s="54">
        <f t="shared" si="301"/>
        <v>-199</v>
      </c>
      <c r="CC82" s="54">
        <f t="shared" si="302"/>
        <v>-389.2</v>
      </c>
      <c r="CD82" s="54">
        <f t="shared" si="303"/>
        <v>-364.8</v>
      </c>
      <c r="CE82" s="54">
        <f t="shared" si="304"/>
        <v>-236.6</v>
      </c>
      <c r="CF82" s="54">
        <f t="shared" si="305"/>
        <v>-358.79999999999995</v>
      </c>
      <c r="CG82" s="54">
        <f t="shared" si="291"/>
        <v>-363.5</v>
      </c>
    </row>
    <row r="83" spans="2:147" s="51" customFormat="1" ht="14.25" customHeight="1">
      <c r="B83" s="51" t="s">
        <v>77</v>
      </c>
      <c r="C83" s="51">
        <f t="shared" ref="C83:BG83" si="306">C81+C82</f>
        <v>-11.09</v>
      </c>
      <c r="D83" s="51">
        <f t="shared" si="306"/>
        <v>-3.66</v>
      </c>
      <c r="E83" s="51">
        <f t="shared" si="306"/>
        <v>-8.1999999999999993</v>
      </c>
      <c r="F83" s="51">
        <f t="shared" si="306"/>
        <v>-15</v>
      </c>
      <c r="G83" s="51">
        <f t="shared" si="306"/>
        <v>-12.5</v>
      </c>
      <c r="H83" s="51">
        <f t="shared" si="306"/>
        <v>-9.1999999999999993</v>
      </c>
      <c r="I83" s="51">
        <f t="shared" si="306"/>
        <v>-8.9</v>
      </c>
      <c r="J83" s="51">
        <f t="shared" si="306"/>
        <v>-12</v>
      </c>
      <c r="K83" s="51">
        <f t="shared" si="306"/>
        <v>-5.9</v>
      </c>
      <c r="L83" s="51">
        <f t="shared" si="306"/>
        <v>-1.1000000000000001</v>
      </c>
      <c r="M83" s="51">
        <f t="shared" si="306"/>
        <v>-0.60000000000000009</v>
      </c>
      <c r="N83" s="51">
        <f t="shared" si="306"/>
        <v>2.1000000000000005</v>
      </c>
      <c r="O83" s="51">
        <f t="shared" si="306"/>
        <v>-6.3</v>
      </c>
      <c r="P83" s="51">
        <f t="shared" si="306"/>
        <v>2.2000000000000002</v>
      </c>
      <c r="Q83" s="51">
        <f t="shared" si="306"/>
        <v>7.7</v>
      </c>
      <c r="R83" s="51">
        <f t="shared" si="306"/>
        <v>3.8000000000000007</v>
      </c>
      <c r="S83" s="51">
        <f t="shared" si="306"/>
        <v>-4.5999999999999996</v>
      </c>
      <c r="T83" s="51">
        <f t="shared" si="306"/>
        <v>10.099999999999998</v>
      </c>
      <c r="U83" s="51">
        <f t="shared" si="306"/>
        <v>10.499999999999998</v>
      </c>
      <c r="V83" s="51">
        <f t="shared" si="306"/>
        <v>-0.29999999999999893</v>
      </c>
      <c r="W83" s="51">
        <f t="shared" si="306"/>
        <v>-11.7</v>
      </c>
      <c r="X83" s="51">
        <f t="shared" si="306"/>
        <v>9.6000000000000014</v>
      </c>
      <c r="Y83" s="51">
        <f t="shared" si="306"/>
        <v>6.8999999999999986</v>
      </c>
      <c r="Z83" s="51">
        <f t="shared" si="306"/>
        <v>-4.3000000000000007</v>
      </c>
      <c r="AA83" s="51">
        <f t="shared" si="306"/>
        <v>-22.599999999999998</v>
      </c>
      <c r="AB83" s="51">
        <f t="shared" si="306"/>
        <v>2.3000000000000007</v>
      </c>
      <c r="AC83" s="51">
        <f t="shared" si="306"/>
        <v>22.700000000000003</v>
      </c>
      <c r="AD83" s="51">
        <f t="shared" si="306"/>
        <v>23.6</v>
      </c>
      <c r="AE83" s="51">
        <f t="shared" si="306"/>
        <v>-24</v>
      </c>
      <c r="AF83" s="51">
        <f t="shared" si="306"/>
        <v>31.099999999999998</v>
      </c>
      <c r="AG83" s="51">
        <f t="shared" si="306"/>
        <v>33</v>
      </c>
      <c r="AH83" s="51">
        <f t="shared" si="306"/>
        <v>16.000000000000004</v>
      </c>
      <c r="AI83" s="51">
        <f t="shared" si="306"/>
        <v>-27.499999999999996</v>
      </c>
      <c r="AJ83" s="51">
        <f t="shared" si="306"/>
        <v>17.600000000000001</v>
      </c>
      <c r="AK83" s="51">
        <f t="shared" si="306"/>
        <v>44.8</v>
      </c>
      <c r="AL83" s="51">
        <f t="shared" si="306"/>
        <v>95.4</v>
      </c>
      <c r="AM83" s="51">
        <f t="shared" si="306"/>
        <v>-31.300000000000004</v>
      </c>
      <c r="AN83" s="51">
        <f t="shared" si="306"/>
        <v>95.899999999999991</v>
      </c>
      <c r="AO83" s="51">
        <f t="shared" si="306"/>
        <v>100.19999999999999</v>
      </c>
      <c r="AP83" s="51">
        <f t="shared" si="306"/>
        <v>111.8</v>
      </c>
      <c r="AQ83" s="51">
        <f t="shared" si="306"/>
        <v>-71.900000000000006</v>
      </c>
      <c r="AR83" s="51">
        <f t="shared" si="306"/>
        <v>-39.6</v>
      </c>
      <c r="AS83" s="51">
        <f t="shared" si="306"/>
        <v>139.30000000000001</v>
      </c>
      <c r="AT83" s="51">
        <f t="shared" si="306"/>
        <v>25.5</v>
      </c>
      <c r="AU83" s="51">
        <f t="shared" si="306"/>
        <v>-30.599999999999994</v>
      </c>
      <c r="AV83" s="51">
        <f t="shared" si="306"/>
        <v>81.300000000000011</v>
      </c>
      <c r="AW83" s="51">
        <f t="shared" si="306"/>
        <v>185.2</v>
      </c>
      <c r="AX83" s="51">
        <f t="shared" si="306"/>
        <v>68.800000000000011</v>
      </c>
      <c r="AY83" s="51">
        <f t="shared" si="306"/>
        <v>80.7</v>
      </c>
      <c r="AZ83" s="51">
        <f t="shared" si="306"/>
        <v>131.30000000000001</v>
      </c>
      <c r="BA83" s="51">
        <f t="shared" si="306"/>
        <v>218.79999999999998</v>
      </c>
      <c r="BB83" s="51">
        <f t="shared" si="306"/>
        <v>81.099999999999994</v>
      </c>
      <c r="BC83" s="51">
        <f t="shared" si="306"/>
        <v>152.29999999999998</v>
      </c>
      <c r="BD83" s="51">
        <f t="shared" si="306"/>
        <v>216.9</v>
      </c>
      <c r="BE83" s="51">
        <f t="shared" si="306"/>
        <v>88.3</v>
      </c>
      <c r="BF83" s="51">
        <f t="shared" si="306"/>
        <v>176.79999999999998</v>
      </c>
      <c r="BG83" s="51">
        <f t="shared" si="306"/>
        <v>96.800000000000011</v>
      </c>
      <c r="BH83" s="51">
        <f>BH81+BH82</f>
        <v>208.9</v>
      </c>
      <c r="BI83" s="51">
        <f>BI81+BI82</f>
        <v>579.4</v>
      </c>
      <c r="BJ83" s="51">
        <f>BJ81+BJ82</f>
        <v>192.1</v>
      </c>
      <c r="BK83" s="56">
        <f t="shared" ref="BK83:BL83" si="307">BK81+BK82</f>
        <v>449</v>
      </c>
      <c r="BL83" s="56">
        <f t="shared" si="307"/>
        <v>184.5</v>
      </c>
      <c r="BM83" s="52"/>
      <c r="BN83" s="52"/>
      <c r="BS83" s="56">
        <f t="shared" si="292"/>
        <v>-37.950000000000003</v>
      </c>
      <c r="BT83" s="56">
        <f t="shared" si="293"/>
        <v>-42.6</v>
      </c>
      <c r="BU83" s="56">
        <f t="shared" si="294"/>
        <v>-5.4999999999999991</v>
      </c>
      <c r="BV83" s="56">
        <f t="shared" si="295"/>
        <v>7.4000000000000012</v>
      </c>
      <c r="BW83" s="56">
        <f t="shared" si="296"/>
        <v>15.699999999999998</v>
      </c>
      <c r="BX83" s="56">
        <f t="shared" si="297"/>
        <v>0.5</v>
      </c>
      <c r="BY83" s="56">
        <f t="shared" si="298"/>
        <v>26.000000000000007</v>
      </c>
      <c r="BZ83" s="56">
        <f t="shared" si="299"/>
        <v>56.099999999999994</v>
      </c>
      <c r="CA83" s="56">
        <f t="shared" si="300"/>
        <v>130.30000000000001</v>
      </c>
      <c r="CB83" s="56">
        <f t="shared" si="301"/>
        <v>276.59999999999997</v>
      </c>
      <c r="CC83" s="56">
        <f t="shared" si="302"/>
        <v>53.300000000000011</v>
      </c>
      <c r="CD83" s="56">
        <f t="shared" si="303"/>
        <v>304.70000000000005</v>
      </c>
      <c r="CE83" s="56">
        <f t="shared" si="304"/>
        <v>511.9</v>
      </c>
      <c r="CF83" s="56">
        <f t="shared" si="305"/>
        <v>634.29999999999995</v>
      </c>
      <c r="CG83" s="56">
        <f t="shared" si="291"/>
        <v>1077.2</v>
      </c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</row>
    <row r="84" spans="2:147" ht="14.25" customHeight="1">
      <c r="B84" s="48" t="s">
        <v>78</v>
      </c>
      <c r="C84" s="54">
        <f>C36</f>
        <v>249</v>
      </c>
      <c r="D84" s="54">
        <f t="shared" ref="D84:N84" si="308">D36</f>
        <v>260</v>
      </c>
      <c r="E84" s="54">
        <f t="shared" si="308"/>
        <v>270</v>
      </c>
      <c r="F84" s="54">
        <f t="shared" si="308"/>
        <v>262</v>
      </c>
      <c r="G84" s="54">
        <f t="shared" si="308"/>
        <v>271</v>
      </c>
      <c r="H84" s="54">
        <f t="shared" si="308"/>
        <v>274</v>
      </c>
      <c r="I84" s="54">
        <f t="shared" si="308"/>
        <v>276</v>
      </c>
      <c r="J84" s="54">
        <f t="shared" si="308"/>
        <v>275</v>
      </c>
      <c r="K84" s="54">
        <f t="shared" si="308"/>
        <v>279</v>
      </c>
      <c r="L84" s="54">
        <f t="shared" si="308"/>
        <v>284</v>
      </c>
      <c r="M84" s="54">
        <f t="shared" si="308"/>
        <v>286</v>
      </c>
      <c r="N84" s="54">
        <f t="shared" si="308"/>
        <v>284</v>
      </c>
      <c r="O84" s="54">
        <f t="shared" ref="O84:AB84" si="309">O36</f>
        <v>293</v>
      </c>
      <c r="P84" s="54">
        <f t="shared" si="309"/>
        <v>300</v>
      </c>
      <c r="Q84" s="54">
        <f t="shared" si="309"/>
        <v>303</v>
      </c>
      <c r="R84" s="54">
        <f t="shared" si="309"/>
        <v>301</v>
      </c>
      <c r="S84" s="54">
        <f t="shared" si="309"/>
        <v>311</v>
      </c>
      <c r="T84" s="54">
        <f t="shared" si="309"/>
        <v>311</v>
      </c>
      <c r="U84" s="54">
        <f t="shared" si="309"/>
        <v>318</v>
      </c>
      <c r="V84" s="54">
        <f t="shared" si="309"/>
        <v>322</v>
      </c>
      <c r="W84" s="54">
        <f t="shared" si="309"/>
        <v>319</v>
      </c>
      <c r="X84" s="54">
        <f t="shared" si="309"/>
        <v>328</v>
      </c>
      <c r="Y84" s="54">
        <f t="shared" si="309"/>
        <v>334</v>
      </c>
      <c r="Z84" s="54">
        <f t="shared" si="309"/>
        <v>336</v>
      </c>
      <c r="AA84" s="54">
        <f t="shared" si="309"/>
        <v>334</v>
      </c>
      <c r="AB84" s="54">
        <f t="shared" si="309"/>
        <v>341</v>
      </c>
      <c r="AC84" s="54">
        <f t="shared" ref="AC84:AL84" si="310">AC36</f>
        <v>346</v>
      </c>
      <c r="AD84" s="54">
        <f t="shared" si="310"/>
        <v>347</v>
      </c>
      <c r="AE84" s="54">
        <f t="shared" si="310"/>
        <v>345</v>
      </c>
      <c r="AF84" s="54">
        <f t="shared" si="310"/>
        <v>349</v>
      </c>
      <c r="AG84" s="54">
        <f t="shared" si="310"/>
        <v>353</v>
      </c>
      <c r="AH84" s="54">
        <f t="shared" si="310"/>
        <v>354</v>
      </c>
      <c r="AI84" s="54">
        <f t="shared" si="310"/>
        <v>353</v>
      </c>
      <c r="AJ84" s="54">
        <f t="shared" si="310"/>
        <v>361</v>
      </c>
      <c r="AK84" s="54">
        <f t="shared" si="310"/>
        <v>364</v>
      </c>
      <c r="AL84" s="54">
        <f t="shared" si="310"/>
        <v>365</v>
      </c>
      <c r="AM84" s="54">
        <f t="shared" ref="AM84:BG84" si="311">AM36</f>
        <v>364</v>
      </c>
      <c r="AN84" s="54">
        <f t="shared" si="311"/>
        <v>367</v>
      </c>
      <c r="AO84" s="54">
        <f t="shared" si="311"/>
        <v>375</v>
      </c>
      <c r="AP84" s="54">
        <f t="shared" si="311"/>
        <v>383</v>
      </c>
      <c r="AQ84" s="54">
        <f t="shared" si="311"/>
        <v>378</v>
      </c>
      <c r="AR84" s="54">
        <f t="shared" si="311"/>
        <v>385</v>
      </c>
      <c r="AS84" s="54">
        <f t="shared" si="311"/>
        <v>387</v>
      </c>
      <c r="AT84" s="54">
        <f t="shared" si="311"/>
        <v>387</v>
      </c>
      <c r="AU84" s="54">
        <f t="shared" si="311"/>
        <v>387</v>
      </c>
      <c r="AV84" s="54">
        <f t="shared" si="311"/>
        <v>389</v>
      </c>
      <c r="AW84" s="54">
        <f t="shared" si="311"/>
        <v>393</v>
      </c>
      <c r="AX84" s="54">
        <f t="shared" si="311"/>
        <v>390</v>
      </c>
      <c r="AY84" s="54">
        <f t="shared" si="311"/>
        <v>689</v>
      </c>
      <c r="AZ84" s="54">
        <f t="shared" si="311"/>
        <v>687</v>
      </c>
      <c r="BA84" s="54">
        <f t="shared" si="311"/>
        <v>687</v>
      </c>
      <c r="BB84" s="54">
        <f t="shared" si="311"/>
        <v>687</v>
      </c>
      <c r="BC84" s="54">
        <f t="shared" si="311"/>
        <v>386</v>
      </c>
      <c r="BD84" s="54">
        <f t="shared" si="311"/>
        <v>390</v>
      </c>
      <c r="BE84" s="54">
        <f t="shared" si="311"/>
        <v>399</v>
      </c>
      <c r="BF84" s="54">
        <f t="shared" si="311"/>
        <v>394</v>
      </c>
      <c r="BG84" s="54">
        <f t="shared" si="311"/>
        <v>394</v>
      </c>
      <c r="BH84" s="54">
        <f>BH36</f>
        <v>391</v>
      </c>
      <c r="BI84" s="54">
        <f>BI36</f>
        <v>391.1</v>
      </c>
      <c r="BJ84" s="54">
        <f>BJ36</f>
        <v>390.2</v>
      </c>
      <c r="BK84" s="54">
        <f t="shared" ref="BK84:BL84" si="312">BK36</f>
        <v>385.1</v>
      </c>
      <c r="BL84" s="54">
        <f t="shared" si="312"/>
        <v>382.2</v>
      </c>
      <c r="BS84" s="54">
        <f>BS36</f>
        <v>260.25</v>
      </c>
      <c r="BT84" s="54">
        <f t="shared" ref="BT84:CF84" si="313">BT36</f>
        <v>274</v>
      </c>
      <c r="BU84" s="54">
        <f t="shared" si="313"/>
        <v>283.25</v>
      </c>
      <c r="BV84" s="54">
        <f t="shared" si="313"/>
        <v>299.25</v>
      </c>
      <c r="BW84" s="54">
        <f t="shared" si="313"/>
        <v>315.5</v>
      </c>
      <c r="BX84" s="54">
        <f t="shared" si="313"/>
        <v>329.25</v>
      </c>
      <c r="BY84" s="54">
        <f t="shared" si="313"/>
        <v>342</v>
      </c>
      <c r="BZ84" s="54">
        <f t="shared" si="313"/>
        <v>350.25</v>
      </c>
      <c r="CA84" s="54">
        <f t="shared" si="313"/>
        <v>360.75</v>
      </c>
      <c r="CB84" s="54">
        <f t="shared" si="313"/>
        <v>372.25</v>
      </c>
      <c r="CC84" s="54">
        <f t="shared" si="313"/>
        <v>384.25</v>
      </c>
      <c r="CD84" s="54">
        <f t="shared" si="313"/>
        <v>389.75</v>
      </c>
      <c r="CE84" s="54">
        <f t="shared" si="313"/>
        <v>687.5</v>
      </c>
      <c r="CF84" s="54">
        <f t="shared" si="313"/>
        <v>392.25</v>
      </c>
      <c r="CG84" s="54">
        <f>CG36</f>
        <v>391.57499999999999</v>
      </c>
    </row>
    <row r="85" spans="2:147" ht="14.25" customHeight="1">
      <c r="B85" s="48" t="s">
        <v>79</v>
      </c>
      <c r="C85" s="66">
        <f t="shared" ref="C85:BH85" si="314">C83/C84</f>
        <v>-4.4538152610441764E-2</v>
      </c>
      <c r="D85" s="66">
        <f t="shared" si="314"/>
        <v>-1.4076923076923077E-2</v>
      </c>
      <c r="E85" s="66">
        <f t="shared" si="314"/>
        <v>-3.0370370370370367E-2</v>
      </c>
      <c r="F85" s="66">
        <f t="shared" si="314"/>
        <v>-5.7251908396946563E-2</v>
      </c>
      <c r="G85" s="66">
        <f t="shared" si="314"/>
        <v>-4.6125461254612546E-2</v>
      </c>
      <c r="H85" s="66">
        <f t="shared" si="314"/>
        <v>-3.3576642335766418E-2</v>
      </c>
      <c r="I85" s="66">
        <f t="shared" si="314"/>
        <v>-3.2246376811594202E-2</v>
      </c>
      <c r="J85" s="66">
        <f t="shared" si="314"/>
        <v>-4.363636363636364E-2</v>
      </c>
      <c r="K85" s="66">
        <f t="shared" si="314"/>
        <v>-2.1146953405017922E-2</v>
      </c>
      <c r="L85" s="66">
        <f t="shared" si="314"/>
        <v>-3.8732394366197188E-3</v>
      </c>
      <c r="M85" s="66">
        <f t="shared" si="314"/>
        <v>-2.0979020979020983E-3</v>
      </c>
      <c r="N85" s="66">
        <f t="shared" si="314"/>
        <v>7.3943661971831009E-3</v>
      </c>
      <c r="O85" s="66">
        <f t="shared" si="314"/>
        <v>-2.1501706484641638E-2</v>
      </c>
      <c r="P85" s="66">
        <f t="shared" si="314"/>
        <v>7.3333333333333341E-3</v>
      </c>
      <c r="Q85" s="66">
        <f t="shared" si="314"/>
        <v>2.5412541254125412E-2</v>
      </c>
      <c r="R85" s="66">
        <f t="shared" si="314"/>
        <v>1.2624584717607976E-2</v>
      </c>
      <c r="S85" s="66">
        <f t="shared" si="314"/>
        <v>-1.4790996784565915E-2</v>
      </c>
      <c r="T85" s="66">
        <f t="shared" si="314"/>
        <v>3.2475884244372984E-2</v>
      </c>
      <c r="U85" s="66">
        <f t="shared" si="314"/>
        <v>3.3018867924528295E-2</v>
      </c>
      <c r="V85" s="66">
        <f t="shared" si="314"/>
        <v>-9.316770186335371E-4</v>
      </c>
      <c r="W85" s="66">
        <f t="shared" si="314"/>
        <v>-3.6677115987460811E-2</v>
      </c>
      <c r="X85" s="66">
        <f t="shared" si="314"/>
        <v>2.9268292682926834E-2</v>
      </c>
      <c r="Y85" s="66">
        <f t="shared" si="314"/>
        <v>2.0658682634730533E-2</v>
      </c>
      <c r="Z85" s="66">
        <f t="shared" si="314"/>
        <v>-1.2797619047619049E-2</v>
      </c>
      <c r="AA85" s="66">
        <f t="shared" si="314"/>
        <v>-6.7664670658682632E-2</v>
      </c>
      <c r="AB85" s="66">
        <f t="shared" si="314"/>
        <v>6.744868035190618E-3</v>
      </c>
      <c r="AC85" s="66">
        <f t="shared" si="314"/>
        <v>6.560693641618498E-2</v>
      </c>
      <c r="AD85" s="66">
        <f t="shared" si="314"/>
        <v>6.8011527377521613E-2</v>
      </c>
      <c r="AE85" s="66">
        <f t="shared" si="314"/>
        <v>-6.9565217391304349E-2</v>
      </c>
      <c r="AF85" s="66">
        <f t="shared" si="314"/>
        <v>8.9111747851002857E-2</v>
      </c>
      <c r="AG85" s="66">
        <f t="shared" si="314"/>
        <v>9.3484419263456089E-2</v>
      </c>
      <c r="AH85" s="66">
        <f t="shared" si="314"/>
        <v>4.5197740112994357E-2</v>
      </c>
      <c r="AI85" s="66">
        <f t="shared" si="314"/>
        <v>-7.790368271954673E-2</v>
      </c>
      <c r="AJ85" s="66">
        <f t="shared" si="314"/>
        <v>4.8753462603878119E-2</v>
      </c>
      <c r="AK85" s="66">
        <f t="shared" si="314"/>
        <v>0.12307692307692307</v>
      </c>
      <c r="AL85" s="66">
        <f t="shared" si="314"/>
        <v>0.26136986301369863</v>
      </c>
      <c r="AM85" s="66">
        <f t="shared" si="314"/>
        <v>-8.5989010989011003E-2</v>
      </c>
      <c r="AN85" s="66">
        <f t="shared" si="314"/>
        <v>0.26130790190735692</v>
      </c>
      <c r="AO85" s="66">
        <f t="shared" si="314"/>
        <v>0.26719999999999999</v>
      </c>
      <c r="AP85" s="66">
        <f t="shared" si="314"/>
        <v>0.29190600522193211</v>
      </c>
      <c r="AQ85" s="66">
        <f t="shared" si="314"/>
        <v>-0.19021164021164022</v>
      </c>
      <c r="AR85" s="66">
        <f t="shared" si="314"/>
        <v>-0.10285714285714286</v>
      </c>
      <c r="AS85" s="66">
        <f t="shared" si="314"/>
        <v>0.35994832041343672</v>
      </c>
      <c r="AT85" s="66">
        <f t="shared" si="314"/>
        <v>6.589147286821706E-2</v>
      </c>
      <c r="AU85" s="66">
        <f t="shared" si="314"/>
        <v>-7.906976744186045E-2</v>
      </c>
      <c r="AV85" s="66">
        <f t="shared" si="314"/>
        <v>0.20899742930591261</v>
      </c>
      <c r="AW85" s="66">
        <f t="shared" si="314"/>
        <v>0.47124681933842238</v>
      </c>
      <c r="AX85" s="66">
        <f t="shared" si="314"/>
        <v>0.17641025641025643</v>
      </c>
      <c r="AY85" s="66">
        <f t="shared" si="314"/>
        <v>0.11712626995645864</v>
      </c>
      <c r="AZ85" s="66">
        <f t="shared" si="314"/>
        <v>0.19112081513828241</v>
      </c>
      <c r="BA85" s="66">
        <f t="shared" si="314"/>
        <v>0.31848617176128091</v>
      </c>
      <c r="BB85" s="66">
        <f t="shared" si="314"/>
        <v>0.1180494905385735</v>
      </c>
      <c r="BC85" s="66">
        <f t="shared" si="314"/>
        <v>0.39455958549222792</v>
      </c>
      <c r="BD85" s="66">
        <f t="shared" si="314"/>
        <v>0.55615384615384622</v>
      </c>
      <c r="BE85" s="66">
        <f t="shared" si="314"/>
        <v>0.22130325814536339</v>
      </c>
      <c r="BF85" s="66">
        <f t="shared" si="314"/>
        <v>0.44873096446700506</v>
      </c>
      <c r="BG85" s="66">
        <f t="shared" si="314"/>
        <v>0.2456852791878173</v>
      </c>
      <c r="BH85" s="66">
        <f t="shared" si="314"/>
        <v>0.53427109974424558</v>
      </c>
      <c r="BI85" s="66">
        <f>BI83/BI84</f>
        <v>1.4814625415494758</v>
      </c>
      <c r="BJ85" s="66">
        <f>BJ83/BJ84</f>
        <v>0.49231163505894415</v>
      </c>
      <c r="BK85" s="66">
        <f t="shared" ref="BK85:BL85" si="315">BK83/BK84</f>
        <v>1.1659309270319398</v>
      </c>
      <c r="BL85" s="66">
        <f t="shared" si="315"/>
        <v>0.48273155416012559</v>
      </c>
      <c r="BS85" s="66">
        <f>SUM(D85:G85)</f>
        <v>-0.14782466309885256</v>
      </c>
      <c r="BT85" s="66">
        <f>SUM(H85:K85)</f>
        <v>-0.13060633618874218</v>
      </c>
      <c r="BU85" s="66">
        <f>SUM(L85:O85)</f>
        <v>-2.0078481821980354E-2</v>
      </c>
      <c r="BV85" s="66">
        <f>SUM(P85:S85)</f>
        <v>3.0579462520500804E-2</v>
      </c>
      <c r="BW85" s="66">
        <f>SUM(T85:W85)</f>
        <v>2.7885959162806929E-2</v>
      </c>
      <c r="BX85" s="66">
        <f>SUM(X85:AA85)</f>
        <v>-3.0535314388644312E-2</v>
      </c>
      <c r="BY85" s="66">
        <f>SUM(AB85:AE85)</f>
        <v>7.079811443759286E-2</v>
      </c>
      <c r="BZ85" s="66">
        <f>SUM(AF85:AI85)</f>
        <v>0.14989022450790657</v>
      </c>
      <c r="CA85" s="66">
        <f>SUM(AJ85:AL85)</f>
        <v>0.4332002486944998</v>
      </c>
      <c r="CB85" s="66">
        <f>SUM(AM85:AP85)</f>
        <v>0.73442489614027795</v>
      </c>
      <c r="CC85" s="66">
        <f>SUM(AQ85:AT85)</f>
        <v>0.13277101021287069</v>
      </c>
      <c r="CD85" s="66">
        <f>SUM(AU85:AX85)</f>
        <v>0.77758473761273095</v>
      </c>
      <c r="CE85" s="66">
        <f>SUM(AY85:BB85)</f>
        <v>0.74478274739459549</v>
      </c>
      <c r="CF85" s="66">
        <f>SUM(BC85:BF85)</f>
        <v>1.6207476542584425</v>
      </c>
      <c r="CG85" s="66">
        <f t="shared" si="291"/>
        <v>2.753730555540483</v>
      </c>
    </row>
  </sheetData>
  <mergeCells count="1">
    <mergeCell ref="CP61:CQ61"/>
  </mergeCells>
  <conditionalFormatting sqref="CP61:CQ6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8" operator="containsText" text="Strong Sell">
      <formula>NOT(ISERROR(SEARCH("Strong Sell",CP61)))</formula>
    </cfRule>
    <cfRule type="containsText" dxfId="3" priority="9" operator="containsText" text="Sell">
      <formula>NOT(ISERROR(SEARCH("Sell",CP61)))</formula>
    </cfRule>
    <cfRule type="containsText" dxfId="2" priority="10" operator="containsText" text="Hold">
      <formula>NOT(ISERROR(SEARCH("Hold",CP61)))</formula>
    </cfRule>
    <cfRule type="beginsWith" dxfId="1" priority="11" operator="beginsWith" text="Buy">
      <formula>LEFT(CP61,LEN("Buy"))="Buy"</formula>
    </cfRule>
    <cfRule type="beginsWith" dxfId="0" priority="12" operator="beginsWith" text="Strong">
      <formula>LEFT(CP61,LEN("Strong"))="Strong"</formula>
    </cfRule>
  </conditionalFormatting>
  <pageMargins left="0.7" right="0.7" top="0.75" bottom="0.75" header="0.3" footer="0.3"/>
  <ignoredErrors>
    <ignoredError sqref="CI10:CQ10 CC8:CF8 CC9:CF9 CB11:CF11 CC10:CF10 BT22:CF22 CF12 B86:AL87 B85 CC19:CF21 BS37:CF37" evalError="1"/>
    <ignoredError sqref="BS84:CF85" evalError="1" formula="1"/>
    <ignoredError sqref="C83:BH83 AC84:BH84 CG84" formula="1"/>
    <ignoredError sqref="AP71:BH78 CB26:CF26 BS27:CF35 BS26:CA26 BS81:CF82 BI71:BI76 BJ27 BJ29:BJ30 BJ32 BJ34 BJ71:BJ76 BJ81 CG82 BK71:BK76 BL71:BL76" formulaRange="1"/>
    <ignoredError sqref="BS36" evalError="1" formulaRange="1"/>
    <ignoredError sqref="BT36:CF36" evalError="1" formula="1" formulaRange="1"/>
    <ignoredError sqref="CG36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C1564"/>
  <sheetViews>
    <sheetView topLeftCell="H177" zoomScale="85" zoomScaleNormal="85" workbookViewId="0">
      <selection activeCell="J67" sqref="J67"/>
    </sheetView>
  </sheetViews>
  <sheetFormatPr defaultColWidth="9.140625" defaultRowHeight="14.25"/>
  <cols>
    <col min="1" max="7" width="0" style="1" hidden="1" customWidth="1"/>
    <col min="8" max="8" width="3.140625" style="1" customWidth="1"/>
    <col min="9" max="30" width="9.140625" style="1"/>
    <col min="31" max="31" width="2.85546875" style="1" customWidth="1"/>
    <col min="32" max="16384" width="9.140625" style="1"/>
  </cols>
  <sheetData>
    <row r="1" spans="8:81">
      <c r="CC1" s="1">
        <v>0</v>
      </c>
    </row>
    <row r="2" spans="8:81" ht="15">
      <c r="H2" s="2" t="s">
        <v>102</v>
      </c>
      <c r="AF2" s="2" t="s">
        <v>80</v>
      </c>
    </row>
    <row r="33" spans="8:32">
      <c r="I33" s="1" t="s">
        <v>15</v>
      </c>
      <c r="J33" s="1" t="s">
        <v>1460</v>
      </c>
    </row>
    <row r="34" spans="8:32">
      <c r="J34" s="1" t="s">
        <v>17</v>
      </c>
    </row>
    <row r="35" spans="8:32">
      <c r="J35" s="1" t="s">
        <v>18</v>
      </c>
    </row>
    <row r="36" spans="8:32" ht="15">
      <c r="AF36" s="2" t="s">
        <v>1464</v>
      </c>
    </row>
    <row r="37" spans="8:32" ht="15">
      <c r="H37" s="2" t="s">
        <v>106</v>
      </c>
      <c r="AF37" s="2" t="s">
        <v>81</v>
      </c>
    </row>
    <row r="66" spans="8:32">
      <c r="I66" s="1" t="s">
        <v>15</v>
      </c>
      <c r="J66" s="1" t="s">
        <v>1482</v>
      </c>
    </row>
    <row r="67" spans="8:32">
      <c r="K67" s="1" t="s">
        <v>1454</v>
      </c>
    </row>
    <row r="68" spans="8:32">
      <c r="K68" s="1" t="s">
        <v>1458</v>
      </c>
    </row>
    <row r="69" spans="8:32">
      <c r="L69" s="1" t="s">
        <v>1459</v>
      </c>
    </row>
    <row r="70" spans="8:32">
      <c r="K70" s="1" t="s">
        <v>1455</v>
      </c>
    </row>
    <row r="71" spans="8:32">
      <c r="L71" s="1" t="s">
        <v>1456</v>
      </c>
    </row>
    <row r="72" spans="8:32">
      <c r="K72" s="1" t="s">
        <v>1457</v>
      </c>
    </row>
    <row r="73" spans="8:32">
      <c r="J73" s="1" t="s">
        <v>17</v>
      </c>
    </row>
    <row r="74" spans="8:32">
      <c r="J74" s="1" t="s">
        <v>18</v>
      </c>
    </row>
    <row r="76" spans="8:32" ht="15">
      <c r="H76" s="2" t="s">
        <v>1453</v>
      </c>
      <c r="AF76" s="2" t="s">
        <v>82</v>
      </c>
    </row>
    <row r="108" spans="8:32">
      <c r="I108" s="1" t="s">
        <v>15</v>
      </c>
      <c r="J108" s="1" t="s">
        <v>16</v>
      </c>
    </row>
    <row r="109" spans="8:32">
      <c r="J109" s="1" t="s">
        <v>17</v>
      </c>
    </row>
    <row r="110" spans="8:32">
      <c r="J110" s="1" t="s">
        <v>18</v>
      </c>
    </row>
    <row r="112" spans="8:32" ht="15">
      <c r="H112" s="2" t="s">
        <v>105</v>
      </c>
      <c r="AF112" s="2" t="s">
        <v>83</v>
      </c>
    </row>
    <row r="113" spans="32:32">
      <c r="AF113" s="1" t="s">
        <v>84</v>
      </c>
    </row>
    <row r="141" spans="9:10">
      <c r="I141" s="1" t="s">
        <v>15</v>
      </c>
      <c r="J141" s="1" t="s">
        <v>16</v>
      </c>
    </row>
    <row r="142" spans="9:10">
      <c r="J142" s="1" t="s">
        <v>17</v>
      </c>
    </row>
    <row r="143" spans="9:10">
      <c r="J143" s="1" t="s">
        <v>18</v>
      </c>
    </row>
    <row r="145" spans="8:32" ht="15">
      <c r="H145" s="2" t="s">
        <v>104</v>
      </c>
      <c r="AF145" s="2" t="s">
        <v>85</v>
      </c>
    </row>
    <row r="161" spans="9:10" ht="15" customHeight="1"/>
    <row r="174" spans="9:10">
      <c r="I174" s="1" t="s">
        <v>15</v>
      </c>
      <c r="J174" s="1" t="s">
        <v>16</v>
      </c>
    </row>
    <row r="175" spans="9:10">
      <c r="J175" s="1" t="s">
        <v>17</v>
      </c>
    </row>
    <row r="176" spans="9:10">
      <c r="J176" s="1" t="s">
        <v>18</v>
      </c>
    </row>
    <row r="192" spans="1:1">
      <c r="A192" s="1" t="s">
        <v>1451</v>
      </c>
    </row>
    <row r="193" spans="1:11">
      <c r="A193" s="24" t="s">
        <v>19</v>
      </c>
      <c r="B193" s="24" t="s">
        <v>20</v>
      </c>
      <c r="C193" s="24" t="s">
        <v>21</v>
      </c>
      <c r="D193" s="24" t="s">
        <v>22</v>
      </c>
      <c r="E193" s="24" t="s">
        <v>23</v>
      </c>
      <c r="F193" s="24" t="s">
        <v>24</v>
      </c>
      <c r="G193" s="24" t="s">
        <v>25</v>
      </c>
    </row>
    <row r="194" spans="1:11">
      <c r="A194" s="42">
        <v>76.22</v>
      </c>
      <c r="B194" s="42">
        <v>76.69</v>
      </c>
      <c r="C194" s="42">
        <v>75.39</v>
      </c>
      <c r="D194" s="42">
        <v>75.77</v>
      </c>
      <c r="E194" s="42">
        <v>2896173</v>
      </c>
      <c r="F194" s="42" t="s">
        <v>195</v>
      </c>
      <c r="G194" s="25">
        <f>A194/D194-1</f>
        <v>5.9390259997360584E-3</v>
      </c>
    </row>
    <row r="195" spans="1:11">
      <c r="A195" s="42">
        <v>76</v>
      </c>
      <c r="B195" s="42">
        <v>77.930000000000007</v>
      </c>
      <c r="C195" s="42">
        <v>75.849999999999994</v>
      </c>
      <c r="D195" s="42">
        <v>76.239999999999995</v>
      </c>
      <c r="E195" s="42">
        <v>6307909</v>
      </c>
      <c r="F195" s="42" t="s">
        <v>196</v>
      </c>
      <c r="G195" s="25">
        <f t="shared" ref="G195:G258" si="0">A195/D195-1</f>
        <v>-3.1479538300104304E-3</v>
      </c>
    </row>
    <row r="196" spans="1:11">
      <c r="A196" s="42">
        <v>76</v>
      </c>
      <c r="B196" s="42">
        <v>78.28</v>
      </c>
      <c r="C196" s="42">
        <v>75.555000000000007</v>
      </c>
      <c r="D196" s="42">
        <v>77.97</v>
      </c>
      <c r="E196" s="42">
        <v>4887541</v>
      </c>
      <c r="F196" s="42" t="s">
        <v>197</v>
      </c>
      <c r="G196" s="25">
        <f t="shared" si="0"/>
        <v>-2.5266127997947918E-2</v>
      </c>
    </row>
    <row r="197" spans="1:11">
      <c r="A197" s="42">
        <v>78.400000000000006</v>
      </c>
      <c r="B197" s="42">
        <v>79.2</v>
      </c>
      <c r="C197" s="42">
        <v>77.61</v>
      </c>
      <c r="D197" s="42">
        <v>77.61</v>
      </c>
      <c r="E197" s="42">
        <v>2456957</v>
      </c>
      <c r="F197" s="42" t="s">
        <v>198</v>
      </c>
      <c r="G197" s="25">
        <f t="shared" si="0"/>
        <v>1.017910063136207E-2</v>
      </c>
    </row>
    <row r="198" spans="1:11">
      <c r="A198" s="42">
        <v>78</v>
      </c>
      <c r="B198" s="42">
        <v>79.650000000000006</v>
      </c>
      <c r="C198" s="42">
        <v>77.739999999999995</v>
      </c>
      <c r="D198" s="42">
        <v>79.349999999999994</v>
      </c>
      <c r="E198" s="42">
        <v>4033101</v>
      </c>
      <c r="F198" s="42" t="s">
        <v>199</v>
      </c>
      <c r="G198" s="25">
        <f t="shared" si="0"/>
        <v>-1.7013232514177634E-2</v>
      </c>
    </row>
    <row r="199" spans="1:11">
      <c r="A199" s="42">
        <v>80.510000000000005</v>
      </c>
      <c r="B199" s="42">
        <v>81.599999999999994</v>
      </c>
      <c r="C199" s="42">
        <v>79.48</v>
      </c>
      <c r="D199" s="42">
        <v>80.875</v>
      </c>
      <c r="E199" s="42">
        <v>2672319</v>
      </c>
      <c r="F199" s="42" t="s">
        <v>200</v>
      </c>
      <c r="G199" s="25">
        <f t="shared" si="0"/>
        <v>-4.5131375579597899E-3</v>
      </c>
    </row>
    <row r="200" spans="1:11">
      <c r="A200" s="42">
        <v>80.760000000000005</v>
      </c>
      <c r="B200" s="42">
        <v>81.64</v>
      </c>
      <c r="C200" s="42">
        <v>78.680000000000007</v>
      </c>
      <c r="D200" s="42">
        <v>79.2</v>
      </c>
      <c r="E200" s="42">
        <v>4871874</v>
      </c>
      <c r="F200" s="42" t="s">
        <v>201</v>
      </c>
      <c r="G200" s="25">
        <f t="shared" si="0"/>
        <v>1.9696969696969768E-2</v>
      </c>
    </row>
    <row r="201" spans="1:11">
      <c r="A201" s="42">
        <v>78.92</v>
      </c>
      <c r="B201" s="42">
        <v>79.510000000000005</v>
      </c>
      <c r="C201" s="42">
        <v>74</v>
      </c>
      <c r="D201" s="42">
        <v>74.319999999999993</v>
      </c>
      <c r="E201" s="42">
        <v>6700804</v>
      </c>
      <c r="F201" s="42" t="s">
        <v>202</v>
      </c>
      <c r="G201" s="25">
        <f t="shared" si="0"/>
        <v>6.1894510226049526E-2</v>
      </c>
    </row>
    <row r="202" spans="1:11">
      <c r="A202" s="42">
        <v>74.3</v>
      </c>
      <c r="B202" s="42">
        <v>75.107299999999995</v>
      </c>
      <c r="C202" s="42">
        <v>73.47</v>
      </c>
      <c r="D202" s="42">
        <v>74.17</v>
      </c>
      <c r="E202" s="42">
        <v>4415603</v>
      </c>
      <c r="F202" s="42" t="s">
        <v>203</v>
      </c>
      <c r="G202" s="25">
        <f t="shared" si="0"/>
        <v>1.7527302143722778E-3</v>
      </c>
    </row>
    <row r="203" spans="1:11">
      <c r="A203" s="42">
        <v>75.34</v>
      </c>
      <c r="B203" s="42">
        <v>75.8</v>
      </c>
      <c r="C203" s="42">
        <v>74.540000000000006</v>
      </c>
      <c r="D203" s="42">
        <v>75.08</v>
      </c>
      <c r="E203" s="42">
        <v>2851552</v>
      </c>
      <c r="F203" s="42" t="s">
        <v>204</v>
      </c>
      <c r="G203" s="25">
        <f t="shared" si="0"/>
        <v>3.4629728289825579E-3</v>
      </c>
    </row>
    <row r="204" spans="1:11">
      <c r="A204" s="42">
        <v>75.08</v>
      </c>
      <c r="B204" s="42">
        <v>76.36</v>
      </c>
      <c r="C204" s="42">
        <v>74.209999999999994</v>
      </c>
      <c r="D204" s="42">
        <v>76.260000000000005</v>
      </c>
      <c r="E204" s="42">
        <v>5224813</v>
      </c>
      <c r="F204" s="42" t="s">
        <v>205</v>
      </c>
      <c r="G204" s="25">
        <f t="shared" si="0"/>
        <v>-1.5473380540257153E-2</v>
      </c>
    </row>
    <row r="205" spans="1:11">
      <c r="A205" s="42">
        <v>76.38</v>
      </c>
      <c r="B205" s="42">
        <v>76.97</v>
      </c>
      <c r="C205" s="42">
        <v>74.739999999999995</v>
      </c>
      <c r="D205" s="42">
        <v>75.8</v>
      </c>
      <c r="E205" s="42">
        <v>4067723</v>
      </c>
      <c r="F205" s="42" t="s">
        <v>206</v>
      </c>
      <c r="G205" s="25">
        <f t="shared" si="0"/>
        <v>7.6517150395778444E-3</v>
      </c>
    </row>
    <row r="206" spans="1:11">
      <c r="A206" s="42">
        <v>76.12</v>
      </c>
      <c r="B206" s="42">
        <v>76.89</v>
      </c>
      <c r="C206" s="42">
        <v>75.72</v>
      </c>
      <c r="D206" s="42">
        <v>76.25</v>
      </c>
      <c r="E206" s="42">
        <v>4837354</v>
      </c>
      <c r="F206" s="42" t="s">
        <v>207</v>
      </c>
      <c r="G206" s="25">
        <f t="shared" si="0"/>
        <v>-1.7049180327868285E-3</v>
      </c>
    </row>
    <row r="207" spans="1:11">
      <c r="A207" s="42">
        <v>75.959999999999994</v>
      </c>
      <c r="B207" s="42">
        <v>82.2</v>
      </c>
      <c r="C207" s="42">
        <v>75.89</v>
      </c>
      <c r="D207" s="42">
        <v>81.704999999999998</v>
      </c>
      <c r="E207" s="42">
        <v>6534615</v>
      </c>
      <c r="F207" s="42" t="s">
        <v>208</v>
      </c>
      <c r="G207" s="25">
        <f t="shared" si="0"/>
        <v>-7.0313934275748169E-2</v>
      </c>
      <c r="I207" s="26"/>
      <c r="J207" s="26" t="s">
        <v>26</v>
      </c>
      <c r="K207" s="27">
        <f>MIN(G194:G1449)</f>
        <v>-8.4039900249376576E-2</v>
      </c>
    </row>
    <row r="208" spans="1:11">
      <c r="A208" s="42">
        <v>82.26</v>
      </c>
      <c r="B208" s="42">
        <v>82.36</v>
      </c>
      <c r="C208" s="42">
        <v>80.474999999999994</v>
      </c>
      <c r="D208" s="42">
        <v>81.010000000000005</v>
      </c>
      <c r="E208" s="42">
        <v>3645297</v>
      </c>
      <c r="F208" s="42" t="s">
        <v>209</v>
      </c>
      <c r="G208" s="25">
        <f t="shared" si="0"/>
        <v>1.5430193803234182E-2</v>
      </c>
      <c r="I208" s="26"/>
      <c r="J208" s="26" t="s">
        <v>27</v>
      </c>
      <c r="K208" s="27">
        <f>MAX(G194:G1449)</f>
        <v>0.11233150274588111</v>
      </c>
    </row>
    <row r="209" spans="1:17">
      <c r="A209" s="42">
        <v>80.62</v>
      </c>
      <c r="B209" s="42">
        <v>81.93</v>
      </c>
      <c r="C209" s="42">
        <v>79.83</v>
      </c>
      <c r="D209" s="42">
        <v>81.45</v>
      </c>
      <c r="E209" s="42">
        <v>3470305</v>
      </c>
      <c r="F209" s="42" t="s">
        <v>210</v>
      </c>
      <c r="G209" s="25">
        <f t="shared" si="0"/>
        <v>-1.0190300798035623E-2</v>
      </c>
      <c r="I209" s="26"/>
      <c r="J209" s="26" t="s">
        <v>28</v>
      </c>
      <c r="K209" s="27">
        <f>AVERAGE(G194:G1449)</f>
        <v>-4.979345568676913E-5</v>
      </c>
    </row>
    <row r="210" spans="1:17">
      <c r="A210" s="42">
        <v>81.67</v>
      </c>
      <c r="B210" s="42">
        <v>82.05</v>
      </c>
      <c r="C210" s="42">
        <v>80.430000000000007</v>
      </c>
      <c r="D210" s="42">
        <v>80.77</v>
      </c>
      <c r="E210" s="42">
        <v>3580863</v>
      </c>
      <c r="F210" s="42" t="s">
        <v>211</v>
      </c>
      <c r="G210" s="25">
        <f t="shared" si="0"/>
        <v>1.1142751021418817E-2</v>
      </c>
      <c r="I210" s="26"/>
      <c r="J210" s="26" t="s">
        <v>29</v>
      </c>
      <c r="K210" s="27">
        <f>MEDIAN(G194:G1449)</f>
        <v>2.7751259303510079E-4</v>
      </c>
    </row>
    <row r="211" spans="1:17" ht="15">
      <c r="A211" s="42">
        <v>80.900000000000006</v>
      </c>
      <c r="B211" s="42">
        <v>81.42</v>
      </c>
      <c r="C211" s="42">
        <v>80.319999999999993</v>
      </c>
      <c r="D211" s="42">
        <v>80.680000000000007</v>
      </c>
      <c r="E211" s="42">
        <v>2190934</v>
      </c>
      <c r="F211" s="42" t="s">
        <v>212</v>
      </c>
      <c r="G211" s="25">
        <f t="shared" si="0"/>
        <v>2.7268220128904286E-3</v>
      </c>
      <c r="I211" s="26"/>
      <c r="J211" s="26" t="s">
        <v>30</v>
      </c>
      <c r="K211" s="27">
        <f>_xlfn.STDEV.P(G194:G1449)</f>
        <v>2.3301289879581501E-2</v>
      </c>
      <c r="M211" s="2"/>
    </row>
    <row r="212" spans="1:17" ht="15">
      <c r="A212" s="42">
        <v>80.819999999999993</v>
      </c>
      <c r="B212" s="42">
        <v>81.739999999999995</v>
      </c>
      <c r="C212" s="42">
        <v>80.322699999999998</v>
      </c>
      <c r="D212" s="42">
        <v>80.930000000000007</v>
      </c>
      <c r="E212" s="42">
        <v>2976858</v>
      </c>
      <c r="F212" s="42" t="s">
        <v>213</v>
      </c>
      <c r="G212" s="25">
        <f t="shared" si="0"/>
        <v>-1.3591993080441789E-3</v>
      </c>
      <c r="I212" s="26"/>
      <c r="J212" s="28" t="s">
        <v>31</v>
      </c>
      <c r="K212" s="27">
        <f>3*K211</f>
        <v>6.9903869638744509E-2</v>
      </c>
      <c r="L212" s="26"/>
      <c r="M212" s="2" t="s">
        <v>95</v>
      </c>
    </row>
    <row r="213" spans="1:17" ht="15">
      <c r="A213" s="42">
        <v>80.95</v>
      </c>
      <c r="B213" s="42">
        <v>82.04</v>
      </c>
      <c r="C213" s="42">
        <v>80.290000000000006</v>
      </c>
      <c r="D213" s="42">
        <v>80.290000000000006</v>
      </c>
      <c r="E213" s="42">
        <v>2174052</v>
      </c>
      <c r="F213" s="42" t="s">
        <v>214</v>
      </c>
      <c r="G213" s="25">
        <f t="shared" si="0"/>
        <v>8.2202017685888418E-3</v>
      </c>
      <c r="I213" s="26"/>
      <c r="J213" s="28" t="s">
        <v>32</v>
      </c>
      <c r="K213" s="26">
        <v>1.49</v>
      </c>
      <c r="L213" s="26"/>
      <c r="M213" s="2" t="s">
        <v>33</v>
      </c>
    </row>
    <row r="214" spans="1:17">
      <c r="A214" s="42">
        <v>79.959999999999994</v>
      </c>
      <c r="B214" s="42">
        <v>80.204999999999998</v>
      </c>
      <c r="C214" s="42">
        <v>78.86</v>
      </c>
      <c r="D214" s="42">
        <v>79.739999999999995</v>
      </c>
      <c r="E214" s="42">
        <v>2233731</v>
      </c>
      <c r="F214" s="42" t="s">
        <v>215</v>
      </c>
      <c r="G214" s="25">
        <f t="shared" si="0"/>
        <v>2.7589666415850367E-3</v>
      </c>
    </row>
    <row r="215" spans="1:17">
      <c r="A215" s="42">
        <v>79.959999999999994</v>
      </c>
      <c r="B215" s="42">
        <v>81.56</v>
      </c>
      <c r="C215" s="42">
        <v>79.87</v>
      </c>
      <c r="D215" s="42">
        <v>80.67</v>
      </c>
      <c r="E215" s="42">
        <v>4278314</v>
      </c>
      <c r="F215" s="42" t="s">
        <v>216</v>
      </c>
      <c r="G215" s="25">
        <f t="shared" si="0"/>
        <v>-8.8012892029255552E-3</v>
      </c>
      <c r="I215" s="29" t="s">
        <v>34</v>
      </c>
      <c r="J215" s="30">
        <v>1256</v>
      </c>
    </row>
    <row r="216" spans="1:17" ht="15" thickBot="1">
      <c r="A216" s="42">
        <v>80.17</v>
      </c>
      <c r="B216" s="42">
        <v>80.36</v>
      </c>
      <c r="C216" s="42">
        <v>78.144999999999996</v>
      </c>
      <c r="D216" s="42">
        <v>78.5</v>
      </c>
      <c r="E216" s="42">
        <v>3479695</v>
      </c>
      <c r="F216" s="42" t="s">
        <v>217</v>
      </c>
      <c r="G216" s="25">
        <f t="shared" si="0"/>
        <v>2.1273885350318489E-2</v>
      </c>
      <c r="I216" s="1" t="s">
        <v>35</v>
      </c>
      <c r="L216" s="1" t="s">
        <v>36</v>
      </c>
      <c r="P216" s="1" t="s">
        <v>37</v>
      </c>
    </row>
    <row r="217" spans="1:17" ht="15" customHeight="1">
      <c r="A217" s="42">
        <v>77.849999999999994</v>
      </c>
      <c r="B217" s="42">
        <v>79.22</v>
      </c>
      <c r="C217" s="42">
        <v>77.599000000000004</v>
      </c>
      <c r="D217" s="42">
        <v>78.739999999999995</v>
      </c>
      <c r="E217" s="42">
        <v>4171168</v>
      </c>
      <c r="F217" s="42" t="s">
        <v>218</v>
      </c>
      <c r="G217" s="25">
        <f t="shared" si="0"/>
        <v>-1.130302260604521E-2</v>
      </c>
      <c r="I217" s="45" t="s">
        <v>38</v>
      </c>
      <c r="J217" s="45" t="s">
        <v>39</v>
      </c>
      <c r="L217" s="31" t="s">
        <v>40</v>
      </c>
      <c r="M217" s="32" t="s">
        <v>41</v>
      </c>
      <c r="P217" s="31" t="s">
        <v>42</v>
      </c>
      <c r="Q217" s="32" t="s">
        <v>43</v>
      </c>
    </row>
    <row r="218" spans="1:17" ht="15" customHeight="1">
      <c r="A218" s="42">
        <v>78.86</v>
      </c>
      <c r="B218" s="42">
        <v>79.05</v>
      </c>
      <c r="C218" s="42">
        <v>76.27</v>
      </c>
      <c r="D218" s="42">
        <v>76.27</v>
      </c>
      <c r="E218" s="42">
        <v>3819972</v>
      </c>
      <c r="F218" s="42" t="s">
        <v>219</v>
      </c>
      <c r="G218" s="25">
        <f t="shared" si="0"/>
        <v>3.3958306018093687E-2</v>
      </c>
      <c r="I218" s="43">
        <v>-6.9999999999999993E-2</v>
      </c>
      <c r="J218">
        <v>6</v>
      </c>
      <c r="L218" s="43">
        <v>-7.2499999999999995E-2</v>
      </c>
      <c r="M218" s="1">
        <f t="shared" ref="M218:M249" si="1">_xlfn.NORM.DIST(L218,$K$209,$K$211,FALSE)</f>
        <v>0.13621792461371246</v>
      </c>
      <c r="O218" s="1" t="s">
        <v>86</v>
      </c>
      <c r="P218" s="41">
        <f>K209</f>
        <v>-4.979345568676913E-5</v>
      </c>
      <c r="Q218" s="1">
        <v>0</v>
      </c>
    </row>
    <row r="219" spans="1:17" ht="15">
      <c r="A219" s="42">
        <v>76.400000000000006</v>
      </c>
      <c r="B219" s="42">
        <v>77.95</v>
      </c>
      <c r="C219" s="42">
        <v>75.59</v>
      </c>
      <c r="D219" s="42">
        <v>77.12</v>
      </c>
      <c r="E219" s="42">
        <v>3063584</v>
      </c>
      <c r="F219" s="42" t="s">
        <v>220</v>
      </c>
      <c r="G219" s="25">
        <f t="shared" si="0"/>
        <v>-9.3360995850622075E-3</v>
      </c>
      <c r="I219" s="43">
        <v>-6.7499999999999991E-2</v>
      </c>
      <c r="J219">
        <v>1</v>
      </c>
      <c r="L219" s="43">
        <v>-6.9999999999999993E-2</v>
      </c>
      <c r="M219" s="1">
        <f t="shared" si="1"/>
        <v>0.18906588154133219</v>
      </c>
      <c r="P219" s="41">
        <f>K209</f>
        <v>-4.979345568676913E-5</v>
      </c>
      <c r="Q219" s="1">
        <v>17</v>
      </c>
    </row>
    <row r="220" spans="1:17" ht="15">
      <c r="A220" s="42">
        <v>76.400000000000006</v>
      </c>
      <c r="B220" s="42">
        <v>77.95</v>
      </c>
      <c r="C220" s="42">
        <v>74.795000000000002</v>
      </c>
      <c r="D220" s="42">
        <v>75.48</v>
      </c>
      <c r="E220" s="42">
        <v>4824606</v>
      </c>
      <c r="F220" s="42" t="s">
        <v>221</v>
      </c>
      <c r="G220" s="25">
        <f t="shared" si="0"/>
        <v>1.2188659247482692E-2</v>
      </c>
      <c r="I220" s="43">
        <v>-6.4999999999999988E-2</v>
      </c>
      <c r="J220">
        <v>0</v>
      </c>
      <c r="L220" s="43">
        <v>-6.7499999999999991E-2</v>
      </c>
      <c r="M220" s="1">
        <f t="shared" si="1"/>
        <v>0.25941364978817766</v>
      </c>
      <c r="O220" s="33" t="s">
        <v>87</v>
      </c>
      <c r="P220" s="41">
        <f>($K$211*-3)+$K$209</f>
        <v>-6.9953663094431281E-2</v>
      </c>
      <c r="Q220" s="1">
        <v>0</v>
      </c>
    </row>
    <row r="221" spans="1:17" ht="15">
      <c r="A221" s="42">
        <v>75.459999999999994</v>
      </c>
      <c r="B221" s="42">
        <v>76.53</v>
      </c>
      <c r="C221" s="42">
        <v>74.88</v>
      </c>
      <c r="D221" s="42">
        <v>76.3</v>
      </c>
      <c r="E221" s="42">
        <v>5593546</v>
      </c>
      <c r="F221" s="42" t="s">
        <v>222</v>
      </c>
      <c r="G221" s="25">
        <f t="shared" si="0"/>
        <v>-1.1009174311926606E-2</v>
      </c>
      <c r="I221" s="43">
        <v>-6.2499999999999986E-2</v>
      </c>
      <c r="J221">
        <v>2</v>
      </c>
      <c r="L221" s="43">
        <v>-6.4999999999999988E-2</v>
      </c>
      <c r="M221" s="1">
        <f t="shared" si="1"/>
        <v>0.35186270671947445</v>
      </c>
      <c r="O221" s="34"/>
      <c r="P221" s="41">
        <f>($K$211*-3)+$K$209</f>
        <v>-6.9953663094431281E-2</v>
      </c>
      <c r="Q221" s="1">
        <v>2</v>
      </c>
    </row>
    <row r="222" spans="1:17" ht="15">
      <c r="A222" s="42">
        <v>76.25</v>
      </c>
      <c r="B222" s="42">
        <v>80.215000000000003</v>
      </c>
      <c r="C222" s="42">
        <v>75.94</v>
      </c>
      <c r="D222" s="42">
        <v>79.900000000000006</v>
      </c>
      <c r="E222" s="42">
        <v>6519030</v>
      </c>
      <c r="F222" s="42" t="s">
        <v>223</v>
      </c>
      <c r="G222" s="25">
        <f t="shared" si="0"/>
        <v>-4.5682102628285426E-2</v>
      </c>
      <c r="I222" s="43">
        <v>-5.9999999999999984E-2</v>
      </c>
      <c r="J222">
        <v>2</v>
      </c>
      <c r="L222" s="43">
        <v>-6.2499999999999986E-2</v>
      </c>
      <c r="M222" s="1">
        <f t="shared" si="1"/>
        <v>0.4717961684986568</v>
      </c>
      <c r="O222" s="33" t="s">
        <v>88</v>
      </c>
      <c r="P222" s="41">
        <f>($K$211*-2)+$K$209</f>
        <v>-4.6652373214849774E-2</v>
      </c>
      <c r="Q222" s="1">
        <v>0</v>
      </c>
    </row>
    <row r="223" spans="1:17" ht="15">
      <c r="A223" s="42">
        <v>79.28</v>
      </c>
      <c r="B223" s="42">
        <v>80.86</v>
      </c>
      <c r="C223" s="42">
        <v>78.930000000000007</v>
      </c>
      <c r="D223" s="42">
        <v>80.569999999999993</v>
      </c>
      <c r="E223" s="42">
        <v>5236719</v>
      </c>
      <c r="F223" s="42" t="s">
        <v>224</v>
      </c>
      <c r="G223" s="25">
        <f t="shared" si="0"/>
        <v>-1.6010922179471199E-2</v>
      </c>
      <c r="I223" s="43">
        <v>-5.7499999999999982E-2</v>
      </c>
      <c r="J223">
        <v>2</v>
      </c>
      <c r="L223" s="43">
        <v>-5.9999999999999984E-2</v>
      </c>
      <c r="M223" s="1">
        <f t="shared" si="1"/>
        <v>0.62536897997425844</v>
      </c>
      <c r="O223" s="34"/>
      <c r="P223" s="41">
        <f>($K$211*-2)+$K$209</f>
        <v>-4.6652373214849774E-2</v>
      </c>
      <c r="Q223" s="1">
        <v>3</v>
      </c>
    </row>
    <row r="224" spans="1:17" ht="15">
      <c r="A224" s="42">
        <v>80.77</v>
      </c>
      <c r="B224" s="42">
        <v>87</v>
      </c>
      <c r="C224" s="42">
        <v>80.459999999999994</v>
      </c>
      <c r="D224" s="42">
        <v>85.7</v>
      </c>
      <c r="E224" s="42">
        <v>9243641</v>
      </c>
      <c r="F224" s="42" t="s">
        <v>225</v>
      </c>
      <c r="G224" s="25">
        <f t="shared" si="0"/>
        <v>-5.7526254375729335E-2</v>
      </c>
      <c r="I224" s="43">
        <v>-5.4999999999999979E-2</v>
      </c>
      <c r="J224">
        <v>5</v>
      </c>
      <c r="L224" s="43">
        <v>-5.7499999999999982E-2</v>
      </c>
      <c r="M224" s="1">
        <f t="shared" si="1"/>
        <v>0.81944350263058863</v>
      </c>
      <c r="O224" s="35" t="s">
        <v>89</v>
      </c>
      <c r="P224" s="41">
        <f>($K$211*-1)+$K$209</f>
        <v>-2.335108333526827E-2</v>
      </c>
      <c r="Q224" s="1">
        <v>0</v>
      </c>
    </row>
    <row r="225" spans="1:17" ht="15">
      <c r="A225" s="42">
        <v>89.06</v>
      </c>
      <c r="B225" s="42">
        <v>89.98</v>
      </c>
      <c r="C225" s="42">
        <v>88.3</v>
      </c>
      <c r="D225" s="42">
        <v>89.35</v>
      </c>
      <c r="E225" s="42">
        <v>4423158</v>
      </c>
      <c r="F225" s="42" t="s">
        <v>226</v>
      </c>
      <c r="G225" s="25">
        <f t="shared" si="0"/>
        <v>-3.2456631225517008E-3</v>
      </c>
      <c r="I225" s="43">
        <v>-5.2499999999999977E-2</v>
      </c>
      <c r="J225">
        <v>9</v>
      </c>
      <c r="L225" s="43">
        <v>-5.4999999999999979E-2</v>
      </c>
      <c r="M225" s="1">
        <f t="shared" si="1"/>
        <v>1.0614571140326186</v>
      </c>
      <c r="P225" s="41">
        <f>($K$211*-1)+$K$209</f>
        <v>-2.335108333526827E-2</v>
      </c>
      <c r="Q225" s="1">
        <v>11</v>
      </c>
    </row>
    <row r="226" spans="1:17" ht="15">
      <c r="A226" s="42">
        <v>89.35</v>
      </c>
      <c r="B226" s="42">
        <v>89.96</v>
      </c>
      <c r="C226" s="42">
        <v>88.97</v>
      </c>
      <c r="D226" s="42">
        <v>89.64</v>
      </c>
      <c r="E226" s="42">
        <v>2471071</v>
      </c>
      <c r="F226" s="42" t="s">
        <v>227</v>
      </c>
      <c r="G226" s="25">
        <f t="shared" si="0"/>
        <v>-3.2351628737171678E-3</v>
      </c>
      <c r="I226" s="43">
        <v>-4.9999999999999975E-2</v>
      </c>
      <c r="J226">
        <v>4</v>
      </c>
      <c r="L226" s="43">
        <v>-5.2499999999999977E-2</v>
      </c>
      <c r="M226" s="1">
        <f t="shared" si="1"/>
        <v>1.3592102574303619</v>
      </c>
      <c r="O226" s="1" t="s">
        <v>90</v>
      </c>
      <c r="P226" s="41">
        <f>($K$211*1)+$K$209</f>
        <v>2.3251496423894732E-2</v>
      </c>
      <c r="Q226" s="1">
        <v>0</v>
      </c>
    </row>
    <row r="227" spans="1:17" ht="13.5" customHeight="1">
      <c r="A227" s="42">
        <v>89.53</v>
      </c>
      <c r="B227" s="42">
        <v>89.76</v>
      </c>
      <c r="C227" s="42">
        <v>88.63</v>
      </c>
      <c r="D227" s="42">
        <v>88.99</v>
      </c>
      <c r="E227" s="42">
        <v>2698399</v>
      </c>
      <c r="F227" s="42" t="s">
        <v>228</v>
      </c>
      <c r="G227" s="25">
        <f t="shared" si="0"/>
        <v>6.0680975390494662E-3</v>
      </c>
      <c r="I227" s="43">
        <v>-4.7499999999999973E-2</v>
      </c>
      <c r="J227">
        <v>6</v>
      </c>
      <c r="L227" s="43">
        <v>-4.9999999999999975E-2</v>
      </c>
      <c r="M227" s="1">
        <f t="shared" si="1"/>
        <v>1.7205670030363061</v>
      </c>
      <c r="P227" s="41">
        <f>($K$211*1)+$K$209</f>
        <v>2.3251496423894732E-2</v>
      </c>
      <c r="Q227" s="1">
        <v>11</v>
      </c>
    </row>
    <row r="228" spans="1:17" ht="15">
      <c r="A228" s="42">
        <v>88.99</v>
      </c>
      <c r="B228" s="42">
        <v>89.07</v>
      </c>
      <c r="C228" s="42">
        <v>86.69</v>
      </c>
      <c r="D228" s="42">
        <v>87.215000000000003</v>
      </c>
      <c r="E228" s="42">
        <v>3054755</v>
      </c>
      <c r="F228" s="42" t="s">
        <v>229</v>
      </c>
      <c r="G228" s="25">
        <f t="shared" si="0"/>
        <v>2.0352003669093621E-2</v>
      </c>
      <c r="I228" s="43">
        <v>-4.4999999999999971E-2</v>
      </c>
      <c r="J228">
        <v>6</v>
      </c>
      <c r="L228" s="43">
        <v>-4.7499999999999973E-2</v>
      </c>
      <c r="M228" s="1">
        <f t="shared" si="1"/>
        <v>2.1530657448408568</v>
      </c>
      <c r="O228" s="36" t="s">
        <v>91</v>
      </c>
      <c r="P228" s="41">
        <f>($K$211*2)+$K$209</f>
        <v>4.6552786303476229E-2</v>
      </c>
      <c r="Q228" s="1">
        <v>0</v>
      </c>
    </row>
    <row r="229" spans="1:17" ht="15">
      <c r="A229" s="42">
        <v>86.74</v>
      </c>
      <c r="B229" s="42">
        <v>87.14</v>
      </c>
      <c r="C229" s="42">
        <v>86.055000000000007</v>
      </c>
      <c r="D229" s="42">
        <v>86.54</v>
      </c>
      <c r="E229" s="42">
        <v>1994678</v>
      </c>
      <c r="F229" s="42" t="s">
        <v>230</v>
      </c>
      <c r="G229" s="25">
        <f t="shared" si="0"/>
        <v>2.3110700254216354E-3</v>
      </c>
      <c r="I229" s="43">
        <v>-4.2499999999999968E-2</v>
      </c>
      <c r="J229">
        <v>4</v>
      </c>
      <c r="L229" s="43">
        <v>-4.4999999999999971E-2</v>
      </c>
      <c r="M229" s="1">
        <f t="shared" si="1"/>
        <v>2.6634450932020912</v>
      </c>
      <c r="P229" s="41">
        <f>($K$211*2)+$K$209</f>
        <v>4.6552786303476229E-2</v>
      </c>
      <c r="Q229" s="1">
        <v>3</v>
      </c>
    </row>
    <row r="230" spans="1:17" ht="15">
      <c r="A230" s="42">
        <v>86.43</v>
      </c>
      <c r="B230" s="42">
        <v>86.775000000000006</v>
      </c>
      <c r="C230" s="42">
        <v>85.49</v>
      </c>
      <c r="D230" s="42">
        <v>86.19</v>
      </c>
      <c r="E230" s="42">
        <v>2188235</v>
      </c>
      <c r="F230" s="42" t="s">
        <v>231</v>
      </c>
      <c r="G230" s="25">
        <f t="shared" si="0"/>
        <v>2.7845457709712029E-3</v>
      </c>
      <c r="I230" s="43">
        <v>-3.9999999999999966E-2</v>
      </c>
      <c r="J230">
        <v>7</v>
      </c>
      <c r="L230" s="43">
        <v>-4.2499999999999968E-2</v>
      </c>
      <c r="M230" s="1">
        <f t="shared" si="1"/>
        <v>3.2570990082065854</v>
      </c>
      <c r="O230" s="36" t="s">
        <v>92</v>
      </c>
      <c r="P230" s="41">
        <f>($K$211*3)+$K$209</f>
        <v>6.9854076183057737E-2</v>
      </c>
      <c r="Q230" s="1">
        <v>0</v>
      </c>
    </row>
    <row r="231" spans="1:17" ht="15">
      <c r="A231" s="42">
        <v>85.12</v>
      </c>
      <c r="B231" s="42">
        <v>85.65</v>
      </c>
      <c r="C231" s="42">
        <v>84.25</v>
      </c>
      <c r="D231" s="42">
        <v>84.49</v>
      </c>
      <c r="E231" s="42">
        <v>1957487</v>
      </c>
      <c r="F231" s="42" t="s">
        <v>232</v>
      </c>
      <c r="G231" s="25">
        <f t="shared" si="0"/>
        <v>7.4565037282519064E-3</v>
      </c>
      <c r="I231" s="43">
        <v>-3.7499999999999964E-2</v>
      </c>
      <c r="J231">
        <v>8</v>
      </c>
      <c r="L231" s="43">
        <v>-3.9999999999999966E-2</v>
      </c>
      <c r="M231" s="1">
        <f t="shared" si="1"/>
        <v>3.9374851379970268</v>
      </c>
      <c r="O231" s="36"/>
      <c r="P231" s="41">
        <f>($K$211*3)+$K$209</f>
        <v>6.9854076183057737E-2</v>
      </c>
      <c r="Q231" s="1">
        <v>2</v>
      </c>
    </row>
    <row r="232" spans="1:17" ht="15">
      <c r="A232" s="42">
        <v>84.03</v>
      </c>
      <c r="B232" s="42">
        <v>84.5</v>
      </c>
      <c r="C232" s="42">
        <v>83.3</v>
      </c>
      <c r="D232" s="42">
        <v>83.954999999999998</v>
      </c>
      <c r="E232" s="42">
        <v>2077740</v>
      </c>
      <c r="F232" s="42" t="s">
        <v>233</v>
      </c>
      <c r="G232" s="25">
        <f t="shared" si="0"/>
        <v>8.9333571556204916E-4</v>
      </c>
      <c r="I232" s="43">
        <v>-3.4999999999999962E-2</v>
      </c>
      <c r="J232">
        <v>13</v>
      </c>
      <c r="L232" s="43">
        <v>-3.7499999999999964E-2</v>
      </c>
      <c r="M232" s="1">
        <f t="shared" si="1"/>
        <v>4.7055202857109792</v>
      </c>
    </row>
    <row r="233" spans="1:17" ht="15">
      <c r="A233" s="42">
        <v>83.89</v>
      </c>
      <c r="B233" s="42">
        <v>84.775000000000006</v>
      </c>
      <c r="C233" s="42">
        <v>83.23</v>
      </c>
      <c r="D233" s="42">
        <v>84.7</v>
      </c>
      <c r="E233" s="42">
        <v>2595277</v>
      </c>
      <c r="F233" s="42" t="s">
        <v>234</v>
      </c>
      <c r="G233" s="25">
        <f t="shared" si="0"/>
        <v>-9.5631641086186825E-3</v>
      </c>
      <c r="I233" s="43">
        <v>-3.2499999999999959E-2</v>
      </c>
      <c r="J233">
        <v>12</v>
      </c>
      <c r="L233" s="43">
        <v>-3.4999999999999962E-2</v>
      </c>
      <c r="M233" s="1">
        <f t="shared" si="1"/>
        <v>5.5590058067186172</v>
      </c>
    </row>
    <row r="234" spans="1:17" ht="15">
      <c r="A234" s="42">
        <v>84.1</v>
      </c>
      <c r="B234" s="42">
        <v>85.9</v>
      </c>
      <c r="C234" s="42">
        <v>83.54</v>
      </c>
      <c r="D234" s="42">
        <v>84.09</v>
      </c>
      <c r="E234" s="42">
        <v>4776253</v>
      </c>
      <c r="F234" s="42" t="s">
        <v>235</v>
      </c>
      <c r="G234" s="25">
        <f t="shared" si="0"/>
        <v>1.1892020454262742E-4</v>
      </c>
      <c r="I234" s="43">
        <v>-2.9999999999999961E-2</v>
      </c>
      <c r="J234">
        <v>17</v>
      </c>
      <c r="L234" s="43">
        <v>-3.2499999999999959E-2</v>
      </c>
      <c r="M234" s="1">
        <f t="shared" si="1"/>
        <v>6.4921322855796326</v>
      </c>
    </row>
    <row r="235" spans="1:17" ht="15">
      <c r="A235" s="42">
        <v>84.13</v>
      </c>
      <c r="B235" s="42">
        <v>85.57</v>
      </c>
      <c r="C235" s="42">
        <v>83.85</v>
      </c>
      <c r="D235" s="42">
        <v>85.484999999999999</v>
      </c>
      <c r="E235" s="42">
        <v>2332516</v>
      </c>
      <c r="F235" s="42" t="s">
        <v>236</v>
      </c>
      <c r="G235" s="25">
        <f t="shared" si="0"/>
        <v>-1.5850734046908843E-2</v>
      </c>
      <c r="I235" s="43">
        <v>-2.7499999999999962E-2</v>
      </c>
      <c r="J235">
        <v>23</v>
      </c>
      <c r="L235" s="43">
        <v>-2.9999999999999961E-2</v>
      </c>
      <c r="M235" s="1">
        <f t="shared" si="1"/>
        <v>7.4951158261769901</v>
      </c>
    </row>
    <row r="236" spans="1:17" ht="15">
      <c r="A236" s="42">
        <v>84.78</v>
      </c>
      <c r="B236" s="42">
        <v>86.14</v>
      </c>
      <c r="C236" s="42">
        <v>84.67</v>
      </c>
      <c r="D236" s="42">
        <v>86.03</v>
      </c>
      <c r="E236" s="42">
        <v>2125988</v>
      </c>
      <c r="F236" s="42" t="s">
        <v>237</v>
      </c>
      <c r="G236" s="25">
        <f t="shared" si="0"/>
        <v>-1.4529815180750916E-2</v>
      </c>
      <c r="I236" s="43">
        <v>-2.4999999999999963E-2</v>
      </c>
      <c r="J236">
        <v>29</v>
      </c>
      <c r="L236" s="43">
        <v>-2.7499999999999962E-2</v>
      </c>
      <c r="M236" s="1">
        <f t="shared" si="1"/>
        <v>8.5540166628440524</v>
      </c>
    </row>
    <row r="237" spans="1:17" ht="15">
      <c r="A237" s="42">
        <v>85.33</v>
      </c>
      <c r="B237" s="42">
        <v>85.61</v>
      </c>
      <c r="C237" s="42">
        <v>82.96</v>
      </c>
      <c r="D237" s="42">
        <v>83.42</v>
      </c>
      <c r="E237" s="42">
        <v>2354006</v>
      </c>
      <c r="F237" s="42" t="s">
        <v>238</v>
      </c>
      <c r="G237" s="25">
        <f t="shared" si="0"/>
        <v>2.2896187964516868E-2</v>
      </c>
      <c r="I237" s="43">
        <v>-2.2499999999999964E-2</v>
      </c>
      <c r="J237">
        <v>25</v>
      </c>
      <c r="L237" s="43">
        <v>-2.4999999999999963E-2</v>
      </c>
      <c r="M237" s="1">
        <f t="shared" si="1"/>
        <v>9.6507838859263657</v>
      </c>
    </row>
    <row r="238" spans="1:17" ht="15">
      <c r="A238" s="42">
        <v>83.37</v>
      </c>
      <c r="B238" s="42">
        <v>85.35</v>
      </c>
      <c r="C238" s="42">
        <v>83.05</v>
      </c>
      <c r="D238" s="42">
        <v>85.33</v>
      </c>
      <c r="E238" s="42">
        <v>2290251</v>
      </c>
      <c r="F238" s="42" t="s">
        <v>239</v>
      </c>
      <c r="G238" s="25">
        <f t="shared" si="0"/>
        <v>-2.2969647251845693E-2</v>
      </c>
      <c r="I238" s="43">
        <v>-1.9999999999999966E-2</v>
      </c>
      <c r="J238">
        <v>28</v>
      </c>
      <c r="L238" s="43">
        <v>-2.2499999999999964E-2</v>
      </c>
      <c r="M238" s="1">
        <f t="shared" si="1"/>
        <v>10.763557719973852</v>
      </c>
    </row>
    <row r="239" spans="1:17" ht="15">
      <c r="A239" s="42">
        <v>85.46</v>
      </c>
      <c r="B239" s="42">
        <v>85.92</v>
      </c>
      <c r="C239" s="42">
        <v>84.058000000000007</v>
      </c>
      <c r="D239" s="42">
        <v>85.24</v>
      </c>
      <c r="E239" s="42">
        <v>3669459</v>
      </c>
      <c r="F239" s="42" t="s">
        <v>240</v>
      </c>
      <c r="G239" s="25">
        <f t="shared" si="0"/>
        <v>2.5809479117784306E-3</v>
      </c>
      <c r="I239" s="43">
        <v>-1.7499999999999967E-2</v>
      </c>
      <c r="J239">
        <v>32</v>
      </c>
      <c r="L239" s="43">
        <v>-1.9999999999999966E-2</v>
      </c>
      <c r="M239" s="1">
        <f t="shared" si="1"/>
        <v>11.867243482811697</v>
      </c>
    </row>
    <row r="240" spans="1:17" ht="15">
      <c r="A240" s="42">
        <v>84.87</v>
      </c>
      <c r="B240" s="42">
        <v>85.2</v>
      </c>
      <c r="C240" s="42">
        <v>82.73</v>
      </c>
      <c r="D240" s="42">
        <v>84.14</v>
      </c>
      <c r="E240" s="42">
        <v>2692441</v>
      </c>
      <c r="F240" s="42" t="s">
        <v>241</v>
      </c>
      <c r="G240" s="25">
        <f t="shared" si="0"/>
        <v>8.6760161635370814E-3</v>
      </c>
      <c r="I240" s="43">
        <v>-1.4999999999999966E-2</v>
      </c>
      <c r="J240">
        <v>49</v>
      </c>
      <c r="L240" s="43">
        <v>-1.7499999999999967E-2</v>
      </c>
      <c r="M240" s="1">
        <f t="shared" si="1"/>
        <v>12.934350250362211</v>
      </c>
    </row>
    <row r="241" spans="1:13" ht="15">
      <c r="A241" s="42">
        <v>83.76</v>
      </c>
      <c r="B241" s="42">
        <v>84.46</v>
      </c>
      <c r="C241" s="42">
        <v>82.924099999999996</v>
      </c>
      <c r="D241" s="42">
        <v>83.14</v>
      </c>
      <c r="E241" s="42">
        <v>3017486</v>
      </c>
      <c r="F241" s="42" t="s">
        <v>242</v>
      </c>
      <c r="G241" s="25">
        <f t="shared" si="0"/>
        <v>7.4573009381766475E-3</v>
      </c>
      <c r="I241" s="43">
        <v>-1.2499999999999966E-2</v>
      </c>
      <c r="J241">
        <v>49</v>
      </c>
      <c r="L241" s="43">
        <v>-1.4999999999999966E-2</v>
      </c>
      <c r="M241" s="1">
        <f t="shared" si="1"/>
        <v>13.93606413623632</v>
      </c>
    </row>
    <row r="242" spans="1:13" ht="15">
      <c r="A242" s="42">
        <v>82.94</v>
      </c>
      <c r="B242" s="42">
        <v>83.805000000000007</v>
      </c>
      <c r="C242" s="42">
        <v>82.5</v>
      </c>
      <c r="D242" s="42">
        <v>82.84</v>
      </c>
      <c r="E242" s="42">
        <v>2770095</v>
      </c>
      <c r="F242" s="42" t="s">
        <v>243</v>
      </c>
      <c r="G242" s="25">
        <f t="shared" si="0"/>
        <v>1.2071463061322785E-3</v>
      </c>
      <c r="I242" s="43">
        <v>-9.9999999999999655E-3</v>
      </c>
      <c r="J242">
        <v>57</v>
      </c>
      <c r="L242" s="43">
        <v>-1.2499999999999966E-2</v>
      </c>
      <c r="M242" s="1">
        <f t="shared" si="1"/>
        <v>14.843503214957062</v>
      </c>
    </row>
    <row r="243" spans="1:13" ht="15">
      <c r="A243" s="42">
        <v>82.93</v>
      </c>
      <c r="B243" s="42">
        <v>84.49</v>
      </c>
      <c r="C243" s="42">
        <v>82.575000000000003</v>
      </c>
      <c r="D243" s="42">
        <v>83.7</v>
      </c>
      <c r="E243" s="42">
        <v>1840975</v>
      </c>
      <c r="F243" s="42" t="s">
        <v>244</v>
      </c>
      <c r="G243" s="25">
        <f t="shared" si="0"/>
        <v>-9.1995221027478813E-3</v>
      </c>
      <c r="I243" s="43">
        <v>-7.499999999999965E-3</v>
      </c>
      <c r="J243">
        <v>64</v>
      </c>
      <c r="L243" s="43">
        <v>-9.9999999999999655E-3</v>
      </c>
      <c r="M243" s="1">
        <f t="shared" si="1"/>
        <v>15.629080949923319</v>
      </c>
    </row>
    <row r="244" spans="1:13" ht="15">
      <c r="A244" s="42">
        <v>83.58</v>
      </c>
      <c r="B244" s="42">
        <v>84.73</v>
      </c>
      <c r="C244" s="42">
        <v>82.79</v>
      </c>
      <c r="D244" s="42">
        <v>83.26</v>
      </c>
      <c r="E244" s="42">
        <v>2845167</v>
      </c>
      <c r="F244" s="42" t="s">
        <v>245</v>
      </c>
      <c r="G244" s="25">
        <f t="shared" si="0"/>
        <v>3.8433821763150799E-3</v>
      </c>
      <c r="I244" s="43">
        <v>-4.9999999999999645E-3</v>
      </c>
      <c r="J244">
        <v>44</v>
      </c>
      <c r="L244" s="43">
        <v>-7.499999999999965E-3</v>
      </c>
      <c r="M244" s="1">
        <f t="shared" si="1"/>
        <v>16.26788993866894</v>
      </c>
    </row>
    <row r="245" spans="1:13" ht="15">
      <c r="A245" s="42">
        <v>83.58</v>
      </c>
      <c r="B245" s="42">
        <v>85.62</v>
      </c>
      <c r="C245" s="42">
        <v>82.75</v>
      </c>
      <c r="D245" s="42">
        <v>83.174999999999997</v>
      </c>
      <c r="E245" s="42">
        <v>5582890</v>
      </c>
      <c r="F245" s="42" t="s">
        <v>246</v>
      </c>
      <c r="G245" s="25">
        <f t="shared" si="0"/>
        <v>4.8692515779982237E-3</v>
      </c>
      <c r="I245" s="43">
        <v>-2.4999999999999645E-3</v>
      </c>
      <c r="J245">
        <v>52</v>
      </c>
      <c r="L245" s="43">
        <v>-4.9999999999999645E-3</v>
      </c>
      <c r="M245" s="1">
        <f t="shared" si="1"/>
        <v>16.739009876745989</v>
      </c>
    </row>
    <row r="246" spans="1:13" ht="15">
      <c r="A246" s="42">
        <v>87.29</v>
      </c>
      <c r="B246" s="42">
        <v>87.49</v>
      </c>
      <c r="C246" s="42">
        <v>85.556799999999996</v>
      </c>
      <c r="D246" s="42">
        <v>85.77</v>
      </c>
      <c r="E246" s="42">
        <v>2649526</v>
      </c>
      <c r="F246" s="42" t="s">
        <v>247</v>
      </c>
      <c r="G246" s="25">
        <f t="shared" si="0"/>
        <v>1.772181415413332E-2</v>
      </c>
      <c r="I246" s="43">
        <v>3.5561831257524545E-17</v>
      </c>
      <c r="J246">
        <v>64</v>
      </c>
      <c r="L246" s="43">
        <v>-2.4999999999999645E-3</v>
      </c>
      <c r="M246" s="1">
        <f t="shared" si="1"/>
        <v>17.026644204741345</v>
      </c>
    </row>
    <row r="247" spans="1:13" ht="15">
      <c r="A247" s="42">
        <v>86.33</v>
      </c>
      <c r="B247" s="42">
        <v>87.48</v>
      </c>
      <c r="C247" s="42">
        <v>84.84</v>
      </c>
      <c r="D247" s="42">
        <v>85</v>
      </c>
      <c r="E247" s="42">
        <v>4632472</v>
      </c>
      <c r="F247" s="42" t="s">
        <v>248</v>
      </c>
      <c r="G247" s="25">
        <f t="shared" si="0"/>
        <v>1.5647058823529347E-2</v>
      </c>
      <c r="I247" s="43">
        <v>2.5000000000000356E-3</v>
      </c>
      <c r="J247">
        <v>67</v>
      </c>
      <c r="L247" s="43">
        <v>3.5561831257524545E-17</v>
      </c>
      <c r="M247" s="1">
        <f t="shared" si="1"/>
        <v>17.120999377149889</v>
      </c>
    </row>
    <row r="248" spans="1:13" ht="15">
      <c r="A248" s="42">
        <v>85.04</v>
      </c>
      <c r="B248" s="42">
        <v>86.07</v>
      </c>
      <c r="C248" s="42">
        <v>84.8</v>
      </c>
      <c r="D248" s="42">
        <v>84.95</v>
      </c>
      <c r="E248" s="42">
        <v>2456012</v>
      </c>
      <c r="F248" s="42" t="s">
        <v>249</v>
      </c>
      <c r="G248" s="25">
        <f t="shared" si="0"/>
        <v>1.0594467333726598E-3</v>
      </c>
      <c r="I248" s="43">
        <v>5.0000000000000357E-3</v>
      </c>
      <c r="J248">
        <v>62</v>
      </c>
      <c r="L248" s="43">
        <v>2.5000000000000356E-3</v>
      </c>
      <c r="M248" s="1">
        <f t="shared" si="1"/>
        <v>17.018838505039128</v>
      </c>
    </row>
    <row r="249" spans="1:13" ht="15">
      <c r="A249" s="42">
        <v>84.68</v>
      </c>
      <c r="B249" s="42">
        <v>87.75</v>
      </c>
      <c r="C249" s="42">
        <v>84.4</v>
      </c>
      <c r="D249" s="42">
        <v>87.55</v>
      </c>
      <c r="E249" s="42">
        <v>4435185</v>
      </c>
      <c r="F249" s="42" t="s">
        <v>250</v>
      </c>
      <c r="G249" s="25">
        <f t="shared" si="0"/>
        <v>-3.2781267846944462E-2</v>
      </c>
      <c r="I249" s="43">
        <v>7.5000000000000362E-3</v>
      </c>
      <c r="J249">
        <v>63</v>
      </c>
      <c r="L249" s="43">
        <v>5.0000000000000357E-3</v>
      </c>
      <c r="M249" s="1">
        <f t="shared" si="1"/>
        <v>16.723665721666723</v>
      </c>
    </row>
    <row r="250" spans="1:13" ht="15">
      <c r="A250" s="42">
        <v>87.57</v>
      </c>
      <c r="B250" s="42">
        <v>88.32</v>
      </c>
      <c r="C250" s="42">
        <v>79.400000000000006</v>
      </c>
      <c r="D250" s="42">
        <v>80.31</v>
      </c>
      <c r="E250" s="42">
        <v>10200996</v>
      </c>
      <c r="F250" s="42" t="s">
        <v>251</v>
      </c>
      <c r="G250" s="25">
        <f t="shared" si="0"/>
        <v>9.0399701158012657E-2</v>
      </c>
      <c r="I250" s="43">
        <v>1.0000000000000037E-2</v>
      </c>
      <c r="J250">
        <v>60</v>
      </c>
      <c r="L250" s="43">
        <v>7.5000000000000362E-3</v>
      </c>
      <c r="M250" s="1">
        <f t="shared" ref="M250:M276" si="2">_xlfn.NORM.DIST(L250,$K$209,$K$211,FALSE)</f>
        <v>16.245526625516831</v>
      </c>
    </row>
    <row r="251" spans="1:13" ht="15">
      <c r="A251" s="42">
        <v>79.84</v>
      </c>
      <c r="B251" s="42">
        <v>80.319999999999993</v>
      </c>
      <c r="C251" s="42">
        <v>77.81</v>
      </c>
      <c r="D251" s="42">
        <v>79.989999999999995</v>
      </c>
      <c r="E251" s="42">
        <v>5612171</v>
      </c>
      <c r="F251" s="42" t="s">
        <v>252</v>
      </c>
      <c r="G251" s="25">
        <f t="shared" si="0"/>
        <v>-1.8752344043004854E-3</v>
      </c>
      <c r="I251" s="43">
        <v>1.2500000000000037E-2</v>
      </c>
      <c r="J251">
        <v>48</v>
      </c>
      <c r="L251" s="43">
        <v>1.0000000000000037E-2</v>
      </c>
      <c r="M251" s="1">
        <f t="shared" si="2"/>
        <v>15.600440650654669</v>
      </c>
    </row>
    <row r="252" spans="1:13" ht="15">
      <c r="A252" s="42">
        <v>80</v>
      </c>
      <c r="B252" s="42">
        <v>82.06</v>
      </c>
      <c r="C252" s="42">
        <v>79.61</v>
      </c>
      <c r="D252" s="42">
        <v>81.599999999999994</v>
      </c>
      <c r="E252" s="42">
        <v>4958416</v>
      </c>
      <c r="F252" s="42" t="s">
        <v>253</v>
      </c>
      <c r="G252" s="25">
        <f t="shared" si="0"/>
        <v>-1.9607843137254832E-2</v>
      </c>
      <c r="I252" s="43">
        <v>1.5000000000000038E-2</v>
      </c>
      <c r="J252">
        <v>55</v>
      </c>
      <c r="L252" s="43">
        <v>1.2500000000000037E-2</v>
      </c>
      <c r="M252" s="1">
        <f t="shared" si="2"/>
        <v>14.809510097306466</v>
      </c>
    </row>
    <row r="253" spans="1:13" ht="15">
      <c r="A253" s="42">
        <v>81.010000000000005</v>
      </c>
      <c r="B253" s="42">
        <v>82.43</v>
      </c>
      <c r="C253" s="42">
        <v>80.23</v>
      </c>
      <c r="D253" s="42">
        <v>82.01</v>
      </c>
      <c r="E253" s="42">
        <v>4738518</v>
      </c>
      <c r="F253" s="42" t="s">
        <v>254</v>
      </c>
      <c r="G253" s="25">
        <f t="shared" si="0"/>
        <v>-1.2193634922570418E-2</v>
      </c>
      <c r="I253" s="43">
        <v>1.7500000000000036E-2</v>
      </c>
      <c r="J253">
        <v>52</v>
      </c>
      <c r="L253" s="43">
        <v>1.5000000000000038E-2</v>
      </c>
      <c r="M253" s="1">
        <f t="shared" si="2"/>
        <v>13.89777492332599</v>
      </c>
    </row>
    <row r="254" spans="1:13" ht="15">
      <c r="A254" s="42">
        <v>81.83</v>
      </c>
      <c r="B254" s="42">
        <v>83.35</v>
      </c>
      <c r="C254" s="42">
        <v>81.61</v>
      </c>
      <c r="D254" s="42">
        <v>82.665000000000006</v>
      </c>
      <c r="E254" s="42">
        <v>2685622</v>
      </c>
      <c r="F254" s="42" t="s">
        <v>255</v>
      </c>
      <c r="G254" s="25">
        <f t="shared" si="0"/>
        <v>-1.0101010101010166E-2</v>
      </c>
      <c r="I254" s="43">
        <v>2.0000000000000035E-2</v>
      </c>
      <c r="J254">
        <v>35</v>
      </c>
      <c r="L254" s="43">
        <v>1.7500000000000036E-2</v>
      </c>
      <c r="M254" s="1">
        <f t="shared" si="2"/>
        <v>12.892899901812658</v>
      </c>
    </row>
    <row r="255" spans="1:13" ht="15">
      <c r="A255" s="42">
        <v>83</v>
      </c>
      <c r="B255" s="42">
        <v>83.7</v>
      </c>
      <c r="C255" s="42">
        <v>82.265000000000001</v>
      </c>
      <c r="D255" s="42">
        <v>82.8</v>
      </c>
      <c r="E255" s="42">
        <v>3446282</v>
      </c>
      <c r="F255" s="42" t="s">
        <v>256</v>
      </c>
      <c r="G255" s="25">
        <f t="shared" si="0"/>
        <v>2.4154589371980784E-3</v>
      </c>
      <c r="I255" s="43">
        <v>2.2500000000000034E-2</v>
      </c>
      <c r="J255">
        <v>33</v>
      </c>
      <c r="L255" s="43">
        <v>2.0000000000000035E-2</v>
      </c>
      <c r="M255" s="1">
        <f t="shared" si="2"/>
        <v>11.823789873543076</v>
      </c>
    </row>
    <row r="256" spans="1:13" ht="15">
      <c r="A256" s="42">
        <v>81.99</v>
      </c>
      <c r="B256" s="42">
        <v>83.17</v>
      </c>
      <c r="C256" s="42">
        <v>81.390100000000004</v>
      </c>
      <c r="D256" s="42">
        <v>81.69</v>
      </c>
      <c r="E256" s="42">
        <v>2883733</v>
      </c>
      <c r="F256" s="42" t="s">
        <v>257</v>
      </c>
      <c r="G256" s="25">
        <f t="shared" si="0"/>
        <v>3.6724201248623523E-3</v>
      </c>
      <c r="I256" s="43">
        <v>2.5000000000000033E-2</v>
      </c>
      <c r="J256">
        <v>27</v>
      </c>
      <c r="L256" s="43">
        <v>2.2500000000000034E-2</v>
      </c>
      <c r="M256" s="1">
        <f t="shared" si="2"/>
        <v>10.719229033644687</v>
      </c>
    </row>
    <row r="257" spans="1:13" ht="15">
      <c r="A257" s="42">
        <v>82.85</v>
      </c>
      <c r="B257" s="42">
        <v>83.608800000000002</v>
      </c>
      <c r="C257" s="42">
        <v>82.0244</v>
      </c>
      <c r="D257" s="42">
        <v>83.09</v>
      </c>
      <c r="E257" s="42">
        <v>2805698</v>
      </c>
      <c r="F257" s="42" t="s">
        <v>258</v>
      </c>
      <c r="G257" s="25">
        <f t="shared" si="0"/>
        <v>-2.8884342279457131E-3</v>
      </c>
      <c r="I257" s="43">
        <v>2.7500000000000031E-2</v>
      </c>
      <c r="J257">
        <v>21</v>
      </c>
      <c r="L257" s="43">
        <v>2.5000000000000033E-2</v>
      </c>
      <c r="M257" s="1">
        <f t="shared" si="2"/>
        <v>9.6066319654774261</v>
      </c>
    </row>
    <row r="258" spans="1:13" ht="15">
      <c r="A258" s="42">
        <v>82.99</v>
      </c>
      <c r="B258" s="42">
        <v>85.49</v>
      </c>
      <c r="C258" s="42">
        <v>82.9</v>
      </c>
      <c r="D258" s="42">
        <v>85.01</v>
      </c>
      <c r="E258" s="42">
        <v>3246683</v>
      </c>
      <c r="F258" s="42" t="s">
        <v>259</v>
      </c>
      <c r="G258" s="25">
        <f t="shared" si="0"/>
        <v>-2.3761910363486738E-2</v>
      </c>
      <c r="I258" s="43">
        <v>3.000000000000003E-2</v>
      </c>
      <c r="J258">
        <v>19</v>
      </c>
      <c r="L258" s="43">
        <v>2.7500000000000031E-2</v>
      </c>
      <c r="M258" s="1">
        <f t="shared" si="2"/>
        <v>8.5109788400268602</v>
      </c>
    </row>
    <row r="259" spans="1:13" ht="15">
      <c r="A259" s="42">
        <v>84.82</v>
      </c>
      <c r="B259" s="42">
        <v>86.45</v>
      </c>
      <c r="C259" s="42">
        <v>84.305000000000007</v>
      </c>
      <c r="D259" s="42">
        <v>86.05</v>
      </c>
      <c r="E259" s="42">
        <v>2241415</v>
      </c>
      <c r="F259" s="42" t="s">
        <v>260</v>
      </c>
      <c r="G259" s="25">
        <f t="shared" ref="G259:G322" si="3">A259/D259-1</f>
        <v>-1.4294015107495728E-2</v>
      </c>
      <c r="I259" s="43">
        <v>3.2500000000000029E-2</v>
      </c>
      <c r="J259">
        <v>13</v>
      </c>
      <c r="L259" s="43">
        <v>3.000000000000003E-2</v>
      </c>
      <c r="M259" s="1">
        <f t="shared" si="2"/>
        <v>7.4539868757812568</v>
      </c>
    </row>
    <row r="260" spans="1:13" ht="15">
      <c r="A260" s="42">
        <v>85.68</v>
      </c>
      <c r="B260" s="42">
        <v>86.935000000000002</v>
      </c>
      <c r="C260" s="42">
        <v>85.09</v>
      </c>
      <c r="D260" s="42">
        <v>86.91</v>
      </c>
      <c r="E260" s="42">
        <v>2024478</v>
      </c>
      <c r="F260" s="42" t="s">
        <v>261</v>
      </c>
      <c r="G260" s="25">
        <f t="shared" si="3"/>
        <v>-1.4152571625819732E-2</v>
      </c>
      <c r="I260" s="43">
        <v>3.5000000000000031E-2</v>
      </c>
      <c r="J260">
        <v>9</v>
      </c>
      <c r="L260" s="43">
        <v>3.2500000000000029E-2</v>
      </c>
      <c r="M260" s="1">
        <f t="shared" si="2"/>
        <v>6.4535472177573086</v>
      </c>
    </row>
    <row r="261" spans="1:13" ht="15">
      <c r="A261" s="42">
        <v>86.67</v>
      </c>
      <c r="B261" s="42">
        <v>87.91</v>
      </c>
      <c r="C261" s="42">
        <v>85.83</v>
      </c>
      <c r="D261" s="42">
        <v>86.73</v>
      </c>
      <c r="E261" s="42">
        <v>2398739</v>
      </c>
      <c r="F261" s="42" t="s">
        <v>262</v>
      </c>
      <c r="G261" s="25">
        <f t="shared" si="3"/>
        <v>-6.9180214458663958E-4</v>
      </c>
      <c r="I261" s="43">
        <v>3.7500000000000033E-2</v>
      </c>
      <c r="J261">
        <v>13</v>
      </c>
      <c r="L261" s="43">
        <v>3.5000000000000031E-2</v>
      </c>
      <c r="M261" s="1">
        <f t="shared" si="2"/>
        <v>5.5234333180809294</v>
      </c>
    </row>
    <row r="262" spans="1:13" ht="15">
      <c r="A262" s="42">
        <v>85.74</v>
      </c>
      <c r="B262" s="42">
        <v>86.54</v>
      </c>
      <c r="C262" s="42">
        <v>84.87</v>
      </c>
      <c r="D262" s="42">
        <v>85.78</v>
      </c>
      <c r="E262" s="42">
        <v>2371438</v>
      </c>
      <c r="F262" s="42" t="s">
        <v>263</v>
      </c>
      <c r="G262" s="25">
        <f t="shared" si="3"/>
        <v>-4.6630916297507596E-4</v>
      </c>
      <c r="I262" s="43">
        <v>4.0000000000000036E-2</v>
      </c>
      <c r="J262">
        <v>7</v>
      </c>
      <c r="L262" s="43">
        <v>3.7500000000000033E-2</v>
      </c>
      <c r="M262" s="1">
        <f t="shared" si="2"/>
        <v>4.6732659179436729</v>
      </c>
    </row>
    <row r="263" spans="1:13" ht="15">
      <c r="A263" s="42">
        <v>85.61</v>
      </c>
      <c r="B263" s="42">
        <v>87.234999999999999</v>
      </c>
      <c r="C263" s="42">
        <v>85.59</v>
      </c>
      <c r="D263" s="42">
        <v>86.87</v>
      </c>
      <c r="E263" s="42">
        <v>1821380</v>
      </c>
      <c r="F263" s="42" t="s">
        <v>264</v>
      </c>
      <c r="G263" s="25">
        <f t="shared" si="3"/>
        <v>-1.4504431909750259E-2</v>
      </c>
      <c r="I263" s="43">
        <v>4.2500000000000038E-2</v>
      </c>
      <c r="J263">
        <v>5</v>
      </c>
      <c r="L263" s="43">
        <v>4.0000000000000036E-2</v>
      </c>
      <c r="M263" s="1">
        <f t="shared" si="2"/>
        <v>3.9087026003934553</v>
      </c>
    </row>
    <row r="264" spans="1:13" ht="15">
      <c r="A264" s="42">
        <v>86.79</v>
      </c>
      <c r="B264" s="42">
        <v>87.33</v>
      </c>
      <c r="C264" s="42">
        <v>84.5</v>
      </c>
      <c r="D264" s="42">
        <v>85.49</v>
      </c>
      <c r="E264" s="42">
        <v>2405427</v>
      </c>
      <c r="F264" s="42" t="s">
        <v>265</v>
      </c>
      <c r="G264" s="25">
        <f t="shared" si="3"/>
        <v>1.5206456895543452E-2</v>
      </c>
      <c r="I264" s="43">
        <v>4.500000000000004E-2</v>
      </c>
      <c r="J264">
        <v>6</v>
      </c>
      <c r="L264" s="43">
        <v>4.2500000000000038E-2</v>
      </c>
      <c r="M264" s="1">
        <f t="shared" si="2"/>
        <v>3.2318077400750971</v>
      </c>
    </row>
    <row r="265" spans="1:13" ht="15">
      <c r="A265" s="42">
        <v>85.51</v>
      </c>
      <c r="B265" s="42">
        <v>85.88</v>
      </c>
      <c r="C265" s="42">
        <v>84.1</v>
      </c>
      <c r="D265" s="42">
        <v>85.44</v>
      </c>
      <c r="E265" s="42">
        <v>2502592</v>
      </c>
      <c r="F265" s="42" t="s">
        <v>266</v>
      </c>
      <c r="G265" s="25">
        <f t="shared" si="3"/>
        <v>8.1928838951328409E-4</v>
      </c>
      <c r="I265" s="43">
        <v>4.7500000000000042E-2</v>
      </c>
      <c r="J265">
        <v>8</v>
      </c>
      <c r="L265" s="43">
        <v>4.500000000000004E-2</v>
      </c>
      <c r="M265" s="1">
        <f t="shared" si="2"/>
        <v>2.6415519791835598</v>
      </c>
    </row>
    <row r="266" spans="1:13" ht="15">
      <c r="A266" s="42">
        <v>85.8</v>
      </c>
      <c r="B266" s="42">
        <v>86.8</v>
      </c>
      <c r="C266" s="42">
        <v>84.85</v>
      </c>
      <c r="D266" s="42">
        <v>86.76</v>
      </c>
      <c r="E266" s="42">
        <v>4155782</v>
      </c>
      <c r="F266" s="42" t="s">
        <v>267</v>
      </c>
      <c r="G266" s="25">
        <f t="shared" si="3"/>
        <v>-1.1065006915629394E-2</v>
      </c>
      <c r="I266" s="43">
        <v>5.0000000000000044E-2</v>
      </c>
      <c r="J266">
        <v>4</v>
      </c>
      <c r="L266" s="43">
        <v>4.7500000000000042E-2</v>
      </c>
      <c r="M266" s="1">
        <f t="shared" si="2"/>
        <v>2.1343889328600798</v>
      </c>
    </row>
    <row r="267" spans="1:13" ht="15">
      <c r="A267" s="42">
        <v>84.86</v>
      </c>
      <c r="B267" s="42">
        <v>87.665000000000006</v>
      </c>
      <c r="C267" s="42">
        <v>84.51</v>
      </c>
      <c r="D267" s="42">
        <v>87.65</v>
      </c>
      <c r="E267" s="42">
        <v>3694185</v>
      </c>
      <c r="F267" s="42" t="s">
        <v>268</v>
      </c>
      <c r="G267" s="25">
        <f t="shared" si="3"/>
        <v>-3.183114660581865E-2</v>
      </c>
      <c r="I267" s="43">
        <v>5.2500000000000047E-2</v>
      </c>
      <c r="J267">
        <v>5</v>
      </c>
      <c r="L267" s="43">
        <v>5.0000000000000044E-2</v>
      </c>
      <c r="M267" s="1">
        <f t="shared" si="2"/>
        <v>1.704859975093143</v>
      </c>
    </row>
    <row r="268" spans="1:13" ht="15">
      <c r="A268" s="42">
        <v>86.98</v>
      </c>
      <c r="B268" s="42">
        <v>87.6</v>
      </c>
      <c r="C268" s="42">
        <v>85.24</v>
      </c>
      <c r="D268" s="42">
        <v>85.24</v>
      </c>
      <c r="E268" s="42">
        <v>2830654</v>
      </c>
      <c r="F268" s="42" t="s">
        <v>269</v>
      </c>
      <c r="G268" s="25">
        <f t="shared" si="3"/>
        <v>2.0412951665884638E-2</v>
      </c>
      <c r="I268" s="43">
        <v>5.5000000000000049E-2</v>
      </c>
      <c r="J268">
        <v>2</v>
      </c>
      <c r="L268" s="43">
        <v>5.2500000000000047E-2</v>
      </c>
      <c r="M268" s="1">
        <f t="shared" si="2"/>
        <v>1.3461846209677564</v>
      </c>
    </row>
    <row r="269" spans="1:13" ht="15">
      <c r="A269" s="42">
        <v>85.33</v>
      </c>
      <c r="B269" s="42">
        <v>85.7</v>
      </c>
      <c r="C269" s="42">
        <v>84.6</v>
      </c>
      <c r="D269" s="42">
        <v>85.44</v>
      </c>
      <c r="E269" s="42">
        <v>2008368</v>
      </c>
      <c r="F269" s="42" t="s">
        <v>270</v>
      </c>
      <c r="G269" s="25">
        <f t="shared" si="3"/>
        <v>-1.2874531835206371E-3</v>
      </c>
      <c r="I269" s="43">
        <v>5.7500000000000051E-2</v>
      </c>
      <c r="J269">
        <v>0</v>
      </c>
      <c r="L269" s="43">
        <v>5.5000000000000049E-2</v>
      </c>
      <c r="M269" s="1">
        <f t="shared" si="2"/>
        <v>1.0508029656816811</v>
      </c>
    </row>
    <row r="270" spans="1:13" ht="15">
      <c r="A270" s="42">
        <v>84.51</v>
      </c>
      <c r="B270" s="42">
        <v>85.01</v>
      </c>
      <c r="C270" s="42">
        <v>83.48</v>
      </c>
      <c r="D270" s="42">
        <v>83.94</v>
      </c>
      <c r="E270" s="42">
        <v>2599356</v>
      </c>
      <c r="F270" s="42" t="s">
        <v>271</v>
      </c>
      <c r="G270" s="25">
        <f t="shared" si="3"/>
        <v>6.7905646890638049E-3</v>
      </c>
      <c r="I270" s="43">
        <v>6.0000000000000053E-2</v>
      </c>
      <c r="J270">
        <v>2</v>
      </c>
      <c r="L270" s="43">
        <v>5.7500000000000051E-2</v>
      </c>
      <c r="M270" s="1">
        <f t="shared" si="2"/>
        <v>0.8108466187988862</v>
      </c>
    </row>
    <row r="271" spans="1:13" ht="15">
      <c r="A271" s="42">
        <v>84.83</v>
      </c>
      <c r="B271" s="42">
        <v>85.31</v>
      </c>
      <c r="C271" s="42">
        <v>84.28</v>
      </c>
      <c r="D271" s="42">
        <v>84.9</v>
      </c>
      <c r="E271" s="42">
        <v>1693953</v>
      </c>
      <c r="F271" s="42" t="s">
        <v>272</v>
      </c>
      <c r="G271" s="25">
        <f t="shared" si="3"/>
        <v>-8.2449941107198832E-4</v>
      </c>
      <c r="I271" s="43">
        <v>6.2500000000000056E-2</v>
      </c>
      <c r="J271">
        <v>4</v>
      </c>
      <c r="L271" s="43">
        <v>6.0000000000000053E-2</v>
      </c>
      <c r="M271" s="1">
        <f t="shared" si="2"/>
        <v>0.61852446953753948</v>
      </c>
    </row>
    <row r="272" spans="1:13" ht="15">
      <c r="A272" s="42">
        <v>84.89</v>
      </c>
      <c r="B272" s="42">
        <v>87</v>
      </c>
      <c r="C272" s="42">
        <v>84.5</v>
      </c>
      <c r="D272" s="42">
        <v>86.43</v>
      </c>
      <c r="E272" s="42">
        <v>2673498</v>
      </c>
      <c r="F272" s="42" t="s">
        <v>273</v>
      </c>
      <c r="G272" s="25">
        <f t="shared" si="3"/>
        <v>-1.7817887307647884E-2</v>
      </c>
      <c r="I272" s="43">
        <v>6.5000000000000058E-2</v>
      </c>
      <c r="J272">
        <v>3</v>
      </c>
      <c r="L272" s="43">
        <v>6.2500000000000056E-2</v>
      </c>
      <c r="M272" s="1">
        <f t="shared" si="2"/>
        <v>0.46641855177205177</v>
      </c>
    </row>
    <row r="273" spans="1:13" ht="15">
      <c r="A273" s="42">
        <v>87.34</v>
      </c>
      <c r="B273" s="42">
        <v>87.653300000000002</v>
      </c>
      <c r="C273" s="42">
        <v>85.875</v>
      </c>
      <c r="D273" s="42">
        <v>86.21</v>
      </c>
      <c r="E273" s="42">
        <v>2743539</v>
      </c>
      <c r="F273" s="42" t="s">
        <v>274</v>
      </c>
      <c r="G273" s="25">
        <f t="shared" si="3"/>
        <v>1.3107528128987411E-2</v>
      </c>
      <c r="I273" s="43">
        <v>6.750000000000006E-2</v>
      </c>
      <c r="J273">
        <v>2</v>
      </c>
      <c r="L273" s="43">
        <v>6.5000000000000058E-2</v>
      </c>
      <c r="M273" s="1">
        <f t="shared" si="2"/>
        <v>0.34769264351960805</v>
      </c>
    </row>
    <row r="274" spans="1:13" ht="15">
      <c r="A274" s="42">
        <v>86.96</v>
      </c>
      <c r="B274" s="42">
        <v>86.99</v>
      </c>
      <c r="C274" s="42">
        <v>84.34</v>
      </c>
      <c r="D274" s="42">
        <v>84.67</v>
      </c>
      <c r="E274" s="42">
        <v>2366501</v>
      </c>
      <c r="F274" s="42" t="s">
        <v>275</v>
      </c>
      <c r="G274" s="25">
        <f t="shared" si="3"/>
        <v>2.7046179284279992E-2</v>
      </c>
      <c r="I274" s="43">
        <v>7.0000000000000062E-2</v>
      </c>
      <c r="J274">
        <v>1</v>
      </c>
      <c r="L274" s="43">
        <v>6.750000000000006E-2</v>
      </c>
      <c r="M274" s="1">
        <f t="shared" si="2"/>
        <v>0.2562217204554228</v>
      </c>
    </row>
    <row r="275" spans="1:13" ht="15.75" thickBot="1">
      <c r="A275" s="42">
        <v>85.48</v>
      </c>
      <c r="B275" s="42">
        <v>86</v>
      </c>
      <c r="C275" s="42">
        <v>84.68</v>
      </c>
      <c r="D275" s="42">
        <v>85.88</v>
      </c>
      <c r="E275" s="42">
        <v>3397874</v>
      </c>
      <c r="F275" s="42" t="s">
        <v>276</v>
      </c>
      <c r="G275" s="25">
        <f t="shared" si="3"/>
        <v>-4.6576618537492731E-3</v>
      </c>
      <c r="I275" s="44" t="s">
        <v>1452</v>
      </c>
      <c r="J275" s="44">
        <v>10</v>
      </c>
      <c r="L275" s="43">
        <v>7.0000000000000062E-2</v>
      </c>
      <c r="M275" s="1">
        <f t="shared" si="2"/>
        <v>0.18665393036520272</v>
      </c>
    </row>
    <row r="276" spans="1:13" ht="15">
      <c r="A276" s="42">
        <v>85.67</v>
      </c>
      <c r="B276" s="42">
        <v>86.85</v>
      </c>
      <c r="C276" s="42">
        <v>84.76</v>
      </c>
      <c r="D276" s="42">
        <v>86.21</v>
      </c>
      <c r="E276" s="42">
        <v>2892321</v>
      </c>
      <c r="F276" s="42" t="s">
        <v>277</v>
      </c>
      <c r="G276" s="25">
        <f t="shared" si="3"/>
        <v>-6.2637745041177473E-3</v>
      </c>
      <c r="L276" s="43">
        <v>7.2500000000000064E-2</v>
      </c>
      <c r="M276" s="1">
        <f t="shared" si="2"/>
        <v>0.1344185142431647</v>
      </c>
    </row>
    <row r="277" spans="1:13">
      <c r="A277" s="42">
        <v>86.52</v>
      </c>
      <c r="B277" s="42">
        <v>86.564999999999998</v>
      </c>
      <c r="C277" s="42">
        <v>83.64</v>
      </c>
      <c r="D277" s="42">
        <v>83.64</v>
      </c>
      <c r="E277" s="42">
        <v>3828441</v>
      </c>
      <c r="F277" s="42" t="s">
        <v>278</v>
      </c>
      <c r="G277" s="25">
        <f t="shared" si="3"/>
        <v>3.4433285509325673E-2</v>
      </c>
    </row>
    <row r="278" spans="1:13">
      <c r="A278" s="42">
        <v>84.11</v>
      </c>
      <c r="B278" s="42">
        <v>85.54</v>
      </c>
      <c r="C278" s="42">
        <v>83.84</v>
      </c>
      <c r="D278" s="42">
        <v>84.74</v>
      </c>
      <c r="E278" s="42">
        <v>5514636</v>
      </c>
      <c r="F278" s="42" t="s">
        <v>279</v>
      </c>
      <c r="G278" s="25">
        <f t="shared" si="3"/>
        <v>-7.4345055463771459E-3</v>
      </c>
    </row>
    <row r="279" spans="1:13">
      <c r="A279" s="42">
        <v>85.05</v>
      </c>
      <c r="B279" s="42">
        <v>87.02</v>
      </c>
      <c r="C279" s="42">
        <v>84.31</v>
      </c>
      <c r="D279" s="42">
        <v>87.02</v>
      </c>
      <c r="E279" s="42">
        <v>4030142</v>
      </c>
      <c r="F279" s="42" t="s">
        <v>280</v>
      </c>
      <c r="G279" s="25">
        <f t="shared" si="3"/>
        <v>-2.2638473914042723E-2</v>
      </c>
    </row>
    <row r="280" spans="1:13">
      <c r="A280" s="42">
        <v>84.67</v>
      </c>
      <c r="B280" s="42">
        <v>85.71</v>
      </c>
      <c r="C280" s="42">
        <v>84.23</v>
      </c>
      <c r="D280" s="42">
        <v>84.78</v>
      </c>
      <c r="E280" s="42">
        <v>3349024</v>
      </c>
      <c r="F280" s="42" t="s">
        <v>281</v>
      </c>
      <c r="G280" s="25">
        <f t="shared" si="3"/>
        <v>-1.2974758197688008E-3</v>
      </c>
    </row>
    <row r="281" spans="1:13">
      <c r="A281" s="42">
        <v>85.34</v>
      </c>
      <c r="B281" s="42">
        <v>85.74</v>
      </c>
      <c r="C281" s="42">
        <v>83.48</v>
      </c>
      <c r="D281" s="42">
        <v>84</v>
      </c>
      <c r="E281" s="42">
        <v>6159401</v>
      </c>
      <c r="F281" s="42" t="s">
        <v>282</v>
      </c>
      <c r="G281" s="25">
        <f t="shared" si="3"/>
        <v>1.595238095238094E-2</v>
      </c>
    </row>
    <row r="282" spans="1:13">
      <c r="A282" s="42">
        <v>83.35</v>
      </c>
      <c r="B282" s="42">
        <v>83.9</v>
      </c>
      <c r="C282" s="42">
        <v>80.5</v>
      </c>
      <c r="D282" s="42">
        <v>81.53</v>
      </c>
      <c r="E282" s="42">
        <v>3945588</v>
      </c>
      <c r="F282" s="42" t="s">
        <v>283</v>
      </c>
      <c r="G282" s="25">
        <f t="shared" si="3"/>
        <v>2.2323071262112082E-2</v>
      </c>
    </row>
    <row r="283" spans="1:13">
      <c r="A283" s="42">
        <v>81.53</v>
      </c>
      <c r="B283" s="42">
        <v>82.48</v>
      </c>
      <c r="C283" s="42">
        <v>78.5501</v>
      </c>
      <c r="D283" s="42">
        <v>79.515000000000001</v>
      </c>
      <c r="E283" s="42">
        <v>5205021</v>
      </c>
      <c r="F283" s="42" t="s">
        <v>284</v>
      </c>
      <c r="G283" s="25">
        <f t="shared" si="3"/>
        <v>2.5341130604288553E-2</v>
      </c>
    </row>
    <row r="284" spans="1:13">
      <c r="A284" s="42">
        <v>80.27</v>
      </c>
      <c r="B284" s="42">
        <v>81.96</v>
      </c>
      <c r="C284" s="42">
        <v>80.001800000000003</v>
      </c>
      <c r="D284" s="42">
        <v>81.650000000000006</v>
      </c>
      <c r="E284" s="42">
        <v>5371566</v>
      </c>
      <c r="F284" s="42" t="s">
        <v>285</v>
      </c>
      <c r="G284" s="25">
        <f t="shared" si="3"/>
        <v>-1.6901408450704314E-2</v>
      </c>
    </row>
    <row r="285" spans="1:13">
      <c r="A285" s="42">
        <v>81.62</v>
      </c>
      <c r="B285" s="42">
        <v>81.88</v>
      </c>
      <c r="C285" s="42">
        <v>74.959999999999994</v>
      </c>
      <c r="D285" s="42">
        <v>75.260000000000005</v>
      </c>
      <c r="E285" s="42">
        <v>10696540</v>
      </c>
      <c r="F285" s="42" t="s">
        <v>286</v>
      </c>
      <c r="G285" s="25">
        <f t="shared" si="3"/>
        <v>8.4507042253521014E-2</v>
      </c>
    </row>
    <row r="286" spans="1:13">
      <c r="A286" s="42">
        <v>70.260000000000005</v>
      </c>
      <c r="B286" s="42">
        <v>71.709999999999994</v>
      </c>
      <c r="C286" s="42">
        <v>69.7</v>
      </c>
      <c r="D286" s="42">
        <v>71.38</v>
      </c>
      <c r="E286" s="42">
        <v>6874455</v>
      </c>
      <c r="F286" s="42" t="s">
        <v>287</v>
      </c>
      <c r="G286" s="25">
        <f t="shared" si="3"/>
        <v>-1.5690669655365475E-2</v>
      </c>
    </row>
    <row r="287" spans="1:13">
      <c r="A287" s="42">
        <v>71.38</v>
      </c>
      <c r="B287" s="42">
        <v>71.569999999999993</v>
      </c>
      <c r="C287" s="42">
        <v>69.75</v>
      </c>
      <c r="D287" s="42">
        <v>70.665000000000006</v>
      </c>
      <c r="E287" s="42">
        <v>2859756</v>
      </c>
      <c r="F287" s="42" t="s">
        <v>288</v>
      </c>
      <c r="G287" s="25">
        <f t="shared" si="3"/>
        <v>1.0118163164225313E-2</v>
      </c>
    </row>
    <row r="288" spans="1:13">
      <c r="A288" s="42">
        <v>71.3</v>
      </c>
      <c r="B288" s="42">
        <v>71.459999999999994</v>
      </c>
      <c r="C288" s="42">
        <v>70.290000000000006</v>
      </c>
      <c r="D288" s="42">
        <v>71.275000000000006</v>
      </c>
      <c r="E288" s="42">
        <v>2332053</v>
      </c>
      <c r="F288" s="42" t="s">
        <v>289</v>
      </c>
      <c r="G288" s="25">
        <f t="shared" si="3"/>
        <v>3.5075412136076345E-4</v>
      </c>
    </row>
    <row r="289" spans="1:7">
      <c r="A289" s="42">
        <v>71.180000000000007</v>
      </c>
      <c r="B289" s="42">
        <v>72.599999999999994</v>
      </c>
      <c r="C289" s="42">
        <v>70.573099999999997</v>
      </c>
      <c r="D289" s="42">
        <v>72.27</v>
      </c>
      <c r="E289" s="42">
        <v>2782847</v>
      </c>
      <c r="F289" s="42" t="s">
        <v>290</v>
      </c>
      <c r="G289" s="25">
        <f t="shared" si="3"/>
        <v>-1.5082330150823164E-2</v>
      </c>
    </row>
    <row r="290" spans="1:7">
      <c r="A290" s="42">
        <v>71.66</v>
      </c>
      <c r="B290" s="42">
        <v>72.28</v>
      </c>
      <c r="C290" s="42">
        <v>70.355000000000004</v>
      </c>
      <c r="D290" s="42">
        <v>70.849999999999994</v>
      </c>
      <c r="E290" s="42">
        <v>2857999</v>
      </c>
      <c r="F290" s="42" t="s">
        <v>291</v>
      </c>
      <c r="G290" s="25">
        <f t="shared" si="3"/>
        <v>1.1432604093154497E-2</v>
      </c>
    </row>
    <row r="291" spans="1:7">
      <c r="A291" s="42">
        <v>70.78</v>
      </c>
      <c r="B291" s="42">
        <v>70.98</v>
      </c>
      <c r="C291" s="42">
        <v>67.545000000000002</v>
      </c>
      <c r="D291" s="42">
        <v>67.790000000000006</v>
      </c>
      <c r="E291" s="42">
        <v>3922896</v>
      </c>
      <c r="F291" s="42" t="s">
        <v>292</v>
      </c>
      <c r="G291" s="25">
        <f t="shared" si="3"/>
        <v>4.410680041304027E-2</v>
      </c>
    </row>
    <row r="292" spans="1:7">
      <c r="A292" s="42">
        <v>66.86</v>
      </c>
      <c r="B292" s="42">
        <v>70.209999999999994</v>
      </c>
      <c r="C292" s="42">
        <v>66.8</v>
      </c>
      <c r="D292" s="42">
        <v>68.45</v>
      </c>
      <c r="E292" s="42">
        <v>4522417</v>
      </c>
      <c r="F292" s="42" t="s">
        <v>293</v>
      </c>
      <c r="G292" s="25">
        <f t="shared" si="3"/>
        <v>-2.3228634039444862E-2</v>
      </c>
    </row>
    <row r="293" spans="1:7">
      <c r="A293" s="42">
        <v>66.33</v>
      </c>
      <c r="B293" s="42">
        <v>67.305000000000007</v>
      </c>
      <c r="C293" s="42">
        <v>65.53</v>
      </c>
      <c r="D293" s="42">
        <v>67.09</v>
      </c>
      <c r="E293" s="42">
        <v>4142207</v>
      </c>
      <c r="F293" s="42" t="s">
        <v>294</v>
      </c>
      <c r="G293" s="25">
        <f t="shared" si="3"/>
        <v>-1.1328066775972645E-2</v>
      </c>
    </row>
    <row r="294" spans="1:7">
      <c r="A294" s="42">
        <v>66.11</v>
      </c>
      <c r="B294" s="42">
        <v>68.12</v>
      </c>
      <c r="C294" s="42">
        <v>65.11</v>
      </c>
      <c r="D294" s="42">
        <v>68.069999999999993</v>
      </c>
      <c r="E294" s="42">
        <v>4023310</v>
      </c>
      <c r="F294" s="42" t="s">
        <v>295</v>
      </c>
      <c r="G294" s="25">
        <f t="shared" si="3"/>
        <v>-2.8793888644042753E-2</v>
      </c>
    </row>
    <row r="295" spans="1:7">
      <c r="A295" s="42">
        <v>68.569999999999993</v>
      </c>
      <c r="B295" s="42">
        <v>68.78</v>
      </c>
      <c r="C295" s="42">
        <v>66.53</v>
      </c>
      <c r="D295" s="42">
        <v>67</v>
      </c>
      <c r="E295" s="42">
        <v>3702797</v>
      </c>
      <c r="F295" s="42" t="s">
        <v>296</v>
      </c>
      <c r="G295" s="25">
        <f t="shared" si="3"/>
        <v>2.3432835820895503E-2</v>
      </c>
    </row>
    <row r="296" spans="1:7">
      <c r="A296" s="42">
        <v>68.73</v>
      </c>
      <c r="B296" s="42">
        <v>69.69</v>
      </c>
      <c r="C296" s="42">
        <v>67.75</v>
      </c>
      <c r="D296" s="42">
        <v>68.84</v>
      </c>
      <c r="E296" s="42">
        <v>4273569</v>
      </c>
      <c r="F296" s="42" t="s">
        <v>297</v>
      </c>
      <c r="G296" s="25">
        <f t="shared" si="3"/>
        <v>-1.5979081929110572E-3</v>
      </c>
    </row>
    <row r="297" spans="1:7">
      <c r="A297" s="42">
        <v>69.23</v>
      </c>
      <c r="B297" s="42">
        <v>69.319999999999993</v>
      </c>
      <c r="C297" s="42">
        <v>66.977999999999994</v>
      </c>
      <c r="D297" s="42">
        <v>67.400000000000006</v>
      </c>
      <c r="E297" s="42">
        <v>4615119</v>
      </c>
      <c r="F297" s="42" t="s">
        <v>298</v>
      </c>
      <c r="G297" s="25">
        <f t="shared" si="3"/>
        <v>2.7151335311572655E-2</v>
      </c>
    </row>
    <row r="298" spans="1:7">
      <c r="A298" s="42">
        <v>67.39</v>
      </c>
      <c r="B298" s="42">
        <v>68.069999999999993</v>
      </c>
      <c r="C298" s="42">
        <v>66.4101</v>
      </c>
      <c r="D298" s="42">
        <v>67.28</v>
      </c>
      <c r="E298" s="42">
        <v>3644730</v>
      </c>
      <c r="F298" s="42" t="s">
        <v>299</v>
      </c>
      <c r="G298" s="25">
        <f t="shared" si="3"/>
        <v>1.6349583828774161E-3</v>
      </c>
    </row>
    <row r="299" spans="1:7">
      <c r="A299" s="42">
        <v>66.14</v>
      </c>
      <c r="B299" s="42">
        <v>67.659899999999993</v>
      </c>
      <c r="C299" s="42">
        <v>64.989999999999995</v>
      </c>
      <c r="D299" s="42">
        <v>67.23</v>
      </c>
      <c r="E299" s="42">
        <v>4788611</v>
      </c>
      <c r="F299" s="42" t="s">
        <v>300</v>
      </c>
      <c r="G299" s="25">
        <f t="shared" si="3"/>
        <v>-1.6213000148743162E-2</v>
      </c>
    </row>
    <row r="300" spans="1:7">
      <c r="A300" s="42">
        <v>67.3</v>
      </c>
      <c r="B300" s="42">
        <v>73.5</v>
      </c>
      <c r="C300" s="42">
        <v>66.459999999999994</v>
      </c>
      <c r="D300" s="42">
        <v>72.8</v>
      </c>
      <c r="E300" s="42">
        <v>8912116</v>
      </c>
      <c r="F300" s="42" t="s">
        <v>301</v>
      </c>
      <c r="G300" s="25">
        <f t="shared" si="3"/>
        <v>-7.5549450549450503E-2</v>
      </c>
    </row>
    <row r="301" spans="1:7">
      <c r="A301" s="42">
        <v>66.84</v>
      </c>
      <c r="B301" s="42">
        <v>67.63</v>
      </c>
      <c r="C301" s="42">
        <v>59.62</v>
      </c>
      <c r="D301" s="42">
        <v>60.09</v>
      </c>
      <c r="E301" s="42">
        <v>6697678</v>
      </c>
      <c r="F301" s="42" t="s">
        <v>302</v>
      </c>
      <c r="G301" s="25">
        <f t="shared" si="3"/>
        <v>0.11233150274588111</v>
      </c>
    </row>
    <row r="302" spans="1:7">
      <c r="A302" s="42">
        <v>60.69</v>
      </c>
      <c r="B302" s="42">
        <v>63.89</v>
      </c>
      <c r="C302" s="42">
        <v>59.97</v>
      </c>
      <c r="D302" s="42">
        <v>62.5</v>
      </c>
      <c r="E302" s="42">
        <v>5576407</v>
      </c>
      <c r="F302" s="42" t="s">
        <v>303</v>
      </c>
      <c r="G302" s="25">
        <f t="shared" si="3"/>
        <v>-2.8959999999999986E-2</v>
      </c>
    </row>
    <row r="303" spans="1:7">
      <c r="A303" s="42">
        <v>61.63</v>
      </c>
      <c r="B303" s="42">
        <v>62.9</v>
      </c>
      <c r="C303" s="42">
        <v>58</v>
      </c>
      <c r="D303" s="42">
        <v>58.03</v>
      </c>
      <c r="E303" s="42">
        <v>8396078</v>
      </c>
      <c r="F303" s="42" t="s">
        <v>304</v>
      </c>
      <c r="G303" s="25">
        <f t="shared" si="3"/>
        <v>6.2036877477166907E-2</v>
      </c>
    </row>
    <row r="304" spans="1:7">
      <c r="A304" s="42">
        <v>59.83</v>
      </c>
      <c r="B304" s="42">
        <v>61.05</v>
      </c>
      <c r="C304" s="42">
        <v>57.52</v>
      </c>
      <c r="D304" s="42">
        <v>59.63</v>
      </c>
      <c r="E304" s="42">
        <v>6552482</v>
      </c>
      <c r="F304" s="42" t="s">
        <v>305</v>
      </c>
      <c r="G304" s="25">
        <f t="shared" si="3"/>
        <v>3.3540164346803625E-3</v>
      </c>
    </row>
    <row r="305" spans="1:7">
      <c r="A305" s="42">
        <v>61.8</v>
      </c>
      <c r="B305" s="42">
        <v>65.010000000000005</v>
      </c>
      <c r="C305" s="42">
        <v>61.48</v>
      </c>
      <c r="D305" s="42">
        <v>64.89</v>
      </c>
      <c r="E305" s="42">
        <v>5404473</v>
      </c>
      <c r="F305" s="42" t="s">
        <v>306</v>
      </c>
      <c r="G305" s="25">
        <f t="shared" si="3"/>
        <v>-4.7619047619047672E-2</v>
      </c>
    </row>
    <row r="306" spans="1:7">
      <c r="A306" s="42">
        <v>68.14</v>
      </c>
      <c r="B306" s="42">
        <v>68.52</v>
      </c>
      <c r="C306" s="42">
        <v>66.319999999999993</v>
      </c>
      <c r="D306" s="42">
        <v>66.319999999999993</v>
      </c>
      <c r="E306" s="42">
        <v>2561941</v>
      </c>
      <c r="F306" s="42" t="s">
        <v>307</v>
      </c>
      <c r="G306" s="25">
        <f t="shared" si="3"/>
        <v>2.744270205066357E-2</v>
      </c>
    </row>
    <row r="307" spans="1:7">
      <c r="A307" s="42">
        <v>67.319999999999993</v>
      </c>
      <c r="B307" s="42">
        <v>68.400000000000006</v>
      </c>
      <c r="C307" s="42">
        <v>66.3</v>
      </c>
      <c r="D307" s="42">
        <v>67.849999999999994</v>
      </c>
      <c r="E307" s="42">
        <v>3216548</v>
      </c>
      <c r="F307" s="42" t="s">
        <v>308</v>
      </c>
      <c r="G307" s="25">
        <f t="shared" si="3"/>
        <v>-7.8113485630066926E-3</v>
      </c>
    </row>
    <row r="308" spans="1:7">
      <c r="A308" s="42">
        <v>68.290000000000006</v>
      </c>
      <c r="B308" s="42">
        <v>68.75</v>
      </c>
      <c r="C308" s="42">
        <v>66.25</v>
      </c>
      <c r="D308" s="42">
        <v>67.22</v>
      </c>
      <c r="E308" s="42">
        <v>5617469</v>
      </c>
      <c r="F308" s="42" t="s">
        <v>309</v>
      </c>
      <c r="G308" s="25">
        <f t="shared" si="3"/>
        <v>1.5917881582862448E-2</v>
      </c>
    </row>
    <row r="309" spans="1:7">
      <c r="A309" s="42">
        <v>67.739999999999995</v>
      </c>
      <c r="B309" s="42">
        <v>69.89</v>
      </c>
      <c r="C309" s="42">
        <v>67.37</v>
      </c>
      <c r="D309" s="42">
        <v>69.5</v>
      </c>
      <c r="E309" s="42">
        <v>4681070</v>
      </c>
      <c r="F309" s="42" t="s">
        <v>310</v>
      </c>
      <c r="G309" s="25">
        <f t="shared" si="3"/>
        <v>-2.5323741007194367E-2</v>
      </c>
    </row>
    <row r="310" spans="1:7">
      <c r="A310" s="42">
        <v>69.47</v>
      </c>
      <c r="B310" s="42">
        <v>72.47</v>
      </c>
      <c r="C310" s="42">
        <v>69.41</v>
      </c>
      <c r="D310" s="42">
        <v>71.98</v>
      </c>
      <c r="E310" s="42">
        <v>5524036</v>
      </c>
      <c r="F310" s="42" t="s">
        <v>311</v>
      </c>
      <c r="G310" s="25">
        <f t="shared" si="3"/>
        <v>-3.4870797443734447E-2</v>
      </c>
    </row>
    <row r="311" spans="1:7">
      <c r="A311" s="42">
        <v>72.13</v>
      </c>
      <c r="B311" s="42">
        <v>73.396500000000003</v>
      </c>
      <c r="C311" s="42">
        <v>71.47</v>
      </c>
      <c r="D311" s="42">
        <v>73.25</v>
      </c>
      <c r="E311" s="42">
        <v>3271802</v>
      </c>
      <c r="F311" s="42" t="s">
        <v>312</v>
      </c>
      <c r="G311" s="25">
        <f t="shared" si="3"/>
        <v>-1.5290102389078575E-2</v>
      </c>
    </row>
    <row r="312" spans="1:7">
      <c r="A312" s="42">
        <v>73.55</v>
      </c>
      <c r="B312" s="42">
        <v>76.010000000000005</v>
      </c>
      <c r="C312" s="42">
        <v>72.52</v>
      </c>
      <c r="D312" s="42">
        <v>75.239999999999995</v>
      </c>
      <c r="E312" s="42">
        <v>3240581</v>
      </c>
      <c r="F312" s="42" t="s">
        <v>313</v>
      </c>
      <c r="G312" s="25">
        <f t="shared" si="3"/>
        <v>-2.246145667198296E-2</v>
      </c>
    </row>
    <row r="313" spans="1:7">
      <c r="A313" s="42">
        <v>75.319999999999993</v>
      </c>
      <c r="B313" s="42">
        <v>75.81</v>
      </c>
      <c r="C313" s="42">
        <v>74.599999999999994</v>
      </c>
      <c r="D313" s="42">
        <v>75.045000000000002</v>
      </c>
      <c r="E313" s="42">
        <v>2692800</v>
      </c>
      <c r="F313" s="42" t="s">
        <v>314</v>
      </c>
      <c r="G313" s="25">
        <f t="shared" si="3"/>
        <v>3.6644679858750528E-3</v>
      </c>
    </row>
    <row r="314" spans="1:7">
      <c r="A314" s="42">
        <v>73.8</v>
      </c>
      <c r="B314" s="42">
        <v>74.484999999999999</v>
      </c>
      <c r="C314" s="42">
        <v>72.73</v>
      </c>
      <c r="D314" s="42">
        <v>74.17</v>
      </c>
      <c r="E314" s="42">
        <v>5560929</v>
      </c>
      <c r="F314" s="42" t="s">
        <v>315</v>
      </c>
      <c r="G314" s="25">
        <f t="shared" si="3"/>
        <v>-4.988539840906081E-3</v>
      </c>
    </row>
    <row r="315" spans="1:7">
      <c r="A315" s="42">
        <v>75.11</v>
      </c>
      <c r="B315" s="42">
        <v>76.27</v>
      </c>
      <c r="C315" s="42">
        <v>72.52</v>
      </c>
      <c r="D315" s="42">
        <v>72.900000000000006</v>
      </c>
      <c r="E315" s="42">
        <v>3588379</v>
      </c>
      <c r="F315" s="42" t="s">
        <v>316</v>
      </c>
      <c r="G315" s="25">
        <f t="shared" si="3"/>
        <v>3.0315500685871077E-2</v>
      </c>
    </row>
    <row r="316" spans="1:7">
      <c r="A316" s="42">
        <v>73.38</v>
      </c>
      <c r="B316" s="42">
        <v>74.42</v>
      </c>
      <c r="C316" s="42">
        <v>70.709999999999994</v>
      </c>
      <c r="D316" s="42">
        <v>70.709999999999994</v>
      </c>
      <c r="E316" s="42">
        <v>4303239</v>
      </c>
      <c r="F316" s="42" t="s">
        <v>317</v>
      </c>
      <c r="G316" s="25">
        <f t="shared" si="3"/>
        <v>3.7759864234196083E-2</v>
      </c>
    </row>
    <row r="317" spans="1:7">
      <c r="A317" s="42">
        <v>70.7</v>
      </c>
      <c r="B317" s="42">
        <v>71.349999999999994</v>
      </c>
      <c r="C317" s="42">
        <v>69.92</v>
      </c>
      <c r="D317" s="42">
        <v>71.25</v>
      </c>
      <c r="E317" s="42">
        <v>2604057</v>
      </c>
      <c r="F317" s="42" t="s">
        <v>318</v>
      </c>
      <c r="G317" s="25">
        <f t="shared" si="3"/>
        <v>-7.7192982456140147E-3</v>
      </c>
    </row>
    <row r="318" spans="1:7">
      <c r="A318" s="42">
        <v>71.349999999999994</v>
      </c>
      <c r="B318" s="42">
        <v>72.2</v>
      </c>
      <c r="C318" s="42">
        <v>70.3</v>
      </c>
      <c r="D318" s="42">
        <v>70.33</v>
      </c>
      <c r="E318" s="42">
        <v>3627105</v>
      </c>
      <c r="F318" s="42" t="s">
        <v>319</v>
      </c>
      <c r="G318" s="25">
        <f t="shared" si="3"/>
        <v>1.4503057016920229E-2</v>
      </c>
    </row>
    <row r="319" spans="1:7">
      <c r="A319" s="42">
        <v>70.69</v>
      </c>
      <c r="B319" s="42">
        <v>70.77</v>
      </c>
      <c r="C319" s="42">
        <v>68.59</v>
      </c>
      <c r="D319" s="42">
        <v>68.59</v>
      </c>
      <c r="E319" s="42">
        <v>4902283</v>
      </c>
      <c r="F319" s="42" t="s">
        <v>320</v>
      </c>
      <c r="G319" s="25">
        <f t="shared" si="3"/>
        <v>3.061670797492333E-2</v>
      </c>
    </row>
    <row r="320" spans="1:7">
      <c r="A320" s="42">
        <v>68.48</v>
      </c>
      <c r="B320" s="42">
        <v>70.715000000000003</v>
      </c>
      <c r="C320" s="42">
        <v>68.3</v>
      </c>
      <c r="D320" s="42">
        <v>70.7</v>
      </c>
      <c r="E320" s="42">
        <v>3360485</v>
      </c>
      <c r="F320" s="42" t="s">
        <v>321</v>
      </c>
      <c r="G320" s="25">
        <f t="shared" si="3"/>
        <v>-3.1400282885431396E-2</v>
      </c>
    </row>
    <row r="321" spans="1:7">
      <c r="A321" s="42">
        <v>70.760000000000005</v>
      </c>
      <c r="B321" s="42">
        <v>72.3</v>
      </c>
      <c r="C321" s="42">
        <v>69.86</v>
      </c>
      <c r="D321" s="42">
        <v>71.180000000000007</v>
      </c>
      <c r="E321" s="42">
        <v>5172972</v>
      </c>
      <c r="F321" s="42" t="s">
        <v>322</v>
      </c>
      <c r="G321" s="25">
        <f t="shared" si="3"/>
        <v>-5.9005338578252964E-3</v>
      </c>
    </row>
    <row r="322" spans="1:7">
      <c r="A322" s="42">
        <v>70.260000000000005</v>
      </c>
      <c r="B322" s="42">
        <v>71.45</v>
      </c>
      <c r="C322" s="42">
        <v>69.02</v>
      </c>
      <c r="D322" s="42">
        <v>71.150000000000006</v>
      </c>
      <c r="E322" s="42">
        <v>6059270</v>
      </c>
      <c r="F322" s="42" t="s">
        <v>323</v>
      </c>
      <c r="G322" s="25">
        <f t="shared" si="3"/>
        <v>-1.2508784258608574E-2</v>
      </c>
    </row>
    <row r="323" spans="1:7">
      <c r="A323" s="42">
        <v>70.72</v>
      </c>
      <c r="B323" s="42">
        <v>74.92</v>
      </c>
      <c r="C323" s="42">
        <v>70.47</v>
      </c>
      <c r="D323" s="42">
        <v>74.739999999999995</v>
      </c>
      <c r="E323" s="42">
        <v>8340247</v>
      </c>
      <c r="F323" s="42" t="s">
        <v>324</v>
      </c>
      <c r="G323" s="25">
        <f t="shared" ref="G323:G386" si="4">A323/D323-1</f>
        <v>-5.3786459727053759E-2</v>
      </c>
    </row>
    <row r="324" spans="1:7">
      <c r="A324" s="42">
        <v>77.84</v>
      </c>
      <c r="B324" s="42">
        <v>80.319999999999993</v>
      </c>
      <c r="C324" s="42">
        <v>76.819999999999993</v>
      </c>
      <c r="D324" s="42">
        <v>79.510000000000005</v>
      </c>
      <c r="E324" s="42">
        <v>3882539</v>
      </c>
      <c r="F324" s="42" t="s">
        <v>325</v>
      </c>
      <c r="G324" s="25">
        <f t="shared" si="4"/>
        <v>-2.1003647339957299E-2</v>
      </c>
    </row>
    <row r="325" spans="1:7">
      <c r="A325" s="42">
        <v>79.510000000000005</v>
      </c>
      <c r="B325" s="42">
        <v>81.75</v>
      </c>
      <c r="C325" s="42">
        <v>79.09</v>
      </c>
      <c r="D325" s="42">
        <v>80.44</v>
      </c>
      <c r="E325" s="42">
        <v>5366674</v>
      </c>
      <c r="F325" s="42" t="s">
        <v>326</v>
      </c>
      <c r="G325" s="25">
        <f t="shared" si="4"/>
        <v>-1.1561412232720003E-2</v>
      </c>
    </row>
    <row r="326" spans="1:7">
      <c r="A326" s="42">
        <v>81.96</v>
      </c>
      <c r="B326" s="42">
        <v>83.54</v>
      </c>
      <c r="C326" s="42">
        <v>81.5</v>
      </c>
      <c r="D326" s="42">
        <v>82.61</v>
      </c>
      <c r="E326" s="42">
        <v>3343383</v>
      </c>
      <c r="F326" s="42" t="s">
        <v>327</v>
      </c>
      <c r="G326" s="25">
        <f t="shared" si="4"/>
        <v>-7.8682968163661382E-3</v>
      </c>
    </row>
    <row r="327" spans="1:7">
      <c r="A327" s="42">
        <v>82.42</v>
      </c>
      <c r="B327" s="42">
        <v>86.14</v>
      </c>
      <c r="C327" s="42">
        <v>81.77</v>
      </c>
      <c r="D327" s="42">
        <v>85.76</v>
      </c>
      <c r="E327" s="42">
        <v>5574629</v>
      </c>
      <c r="F327" s="42" t="s">
        <v>328</v>
      </c>
      <c r="G327" s="25">
        <f t="shared" si="4"/>
        <v>-3.8945895522388141E-2</v>
      </c>
    </row>
    <row r="328" spans="1:7">
      <c r="A328" s="42">
        <v>85.99</v>
      </c>
      <c r="B328" s="42">
        <v>88.74</v>
      </c>
      <c r="C328" s="42">
        <v>85.64</v>
      </c>
      <c r="D328" s="42">
        <v>88.67</v>
      </c>
      <c r="E328" s="42">
        <v>3910629</v>
      </c>
      <c r="F328" s="42" t="s">
        <v>329</v>
      </c>
      <c r="G328" s="25">
        <f t="shared" si="4"/>
        <v>-3.0224427653095853E-2</v>
      </c>
    </row>
    <row r="329" spans="1:7">
      <c r="A329" s="42">
        <v>88.37</v>
      </c>
      <c r="B329" s="42">
        <v>88.6</v>
      </c>
      <c r="C329" s="42">
        <v>86.79</v>
      </c>
      <c r="D329" s="42">
        <v>87.84</v>
      </c>
      <c r="E329" s="42">
        <v>4965831</v>
      </c>
      <c r="F329" s="42" t="s">
        <v>330</v>
      </c>
      <c r="G329" s="25">
        <f t="shared" si="4"/>
        <v>6.0336976320582991E-3</v>
      </c>
    </row>
    <row r="330" spans="1:7">
      <c r="A330" s="42">
        <v>87.81</v>
      </c>
      <c r="B330" s="42">
        <v>90</v>
      </c>
      <c r="C330" s="42">
        <v>87.73</v>
      </c>
      <c r="D330" s="42">
        <v>89.44</v>
      </c>
      <c r="E330" s="42">
        <v>2484427</v>
      </c>
      <c r="F330" s="42" t="s">
        <v>331</v>
      </c>
      <c r="G330" s="25">
        <f t="shared" si="4"/>
        <v>-1.822450805008935E-2</v>
      </c>
    </row>
    <row r="331" spans="1:7">
      <c r="A331" s="42">
        <v>89.91</v>
      </c>
      <c r="B331" s="42">
        <v>90.66</v>
      </c>
      <c r="C331" s="42">
        <v>86.41</v>
      </c>
      <c r="D331" s="42">
        <v>87.68</v>
      </c>
      <c r="E331" s="42">
        <v>3052308</v>
      </c>
      <c r="F331" s="42" t="s">
        <v>332</v>
      </c>
      <c r="G331" s="25">
        <f t="shared" si="4"/>
        <v>2.5433394160583767E-2</v>
      </c>
    </row>
    <row r="332" spans="1:7">
      <c r="A332" s="42">
        <v>88.32</v>
      </c>
      <c r="B332" s="42">
        <v>91.87</v>
      </c>
      <c r="C332" s="42">
        <v>87.93</v>
      </c>
      <c r="D332" s="42">
        <v>90.71</v>
      </c>
      <c r="E332" s="42">
        <v>3488404</v>
      </c>
      <c r="F332" s="42" t="s">
        <v>333</v>
      </c>
      <c r="G332" s="25">
        <f t="shared" si="4"/>
        <v>-2.6347701466211015E-2</v>
      </c>
    </row>
    <row r="333" spans="1:7">
      <c r="A333" s="42">
        <v>90.75</v>
      </c>
      <c r="B333" s="42">
        <v>91.22</v>
      </c>
      <c r="C333" s="42">
        <v>88.5</v>
      </c>
      <c r="D333" s="42">
        <v>88.82</v>
      </c>
      <c r="E333" s="42">
        <v>4021266</v>
      </c>
      <c r="F333" s="42" t="s">
        <v>334</v>
      </c>
      <c r="G333" s="25">
        <f t="shared" si="4"/>
        <v>2.1729340238685113E-2</v>
      </c>
    </row>
    <row r="334" spans="1:7">
      <c r="A334" s="42">
        <v>88.78</v>
      </c>
      <c r="B334" s="42">
        <v>89.87</v>
      </c>
      <c r="C334" s="42">
        <v>87.56</v>
      </c>
      <c r="D334" s="42">
        <v>88.6</v>
      </c>
      <c r="E334" s="42">
        <v>3729542</v>
      </c>
      <c r="F334" s="42" t="s">
        <v>335</v>
      </c>
      <c r="G334" s="25">
        <f t="shared" si="4"/>
        <v>2.0316027088036481E-3</v>
      </c>
    </row>
    <row r="335" spans="1:7">
      <c r="A335" s="42">
        <v>89.34</v>
      </c>
      <c r="B335" s="42">
        <v>89.84</v>
      </c>
      <c r="C335" s="42">
        <v>88.36</v>
      </c>
      <c r="D335" s="42">
        <v>89.45</v>
      </c>
      <c r="E335" s="42">
        <v>3340528</v>
      </c>
      <c r="F335" s="42" t="s">
        <v>336</v>
      </c>
      <c r="G335" s="25">
        <f t="shared" si="4"/>
        <v>-1.2297372833985909E-3</v>
      </c>
    </row>
    <row r="336" spans="1:7">
      <c r="A336" s="42">
        <v>89.68</v>
      </c>
      <c r="B336" s="42">
        <v>91.74</v>
      </c>
      <c r="C336" s="42">
        <v>89.114999999999995</v>
      </c>
      <c r="D336" s="42">
        <v>90.77</v>
      </c>
      <c r="E336" s="42">
        <v>3251731</v>
      </c>
      <c r="F336" s="42" t="s">
        <v>337</v>
      </c>
      <c r="G336" s="25">
        <f t="shared" si="4"/>
        <v>-1.2008372810399792E-2</v>
      </c>
    </row>
    <row r="337" spans="1:7">
      <c r="A337" s="42">
        <v>90.53</v>
      </c>
      <c r="B337" s="42">
        <v>93.25</v>
      </c>
      <c r="C337" s="42">
        <v>89.57</v>
      </c>
      <c r="D337" s="42">
        <v>90</v>
      </c>
      <c r="E337" s="42">
        <v>5693476</v>
      </c>
      <c r="F337" s="42" t="s">
        <v>338</v>
      </c>
      <c r="G337" s="25">
        <f t="shared" si="4"/>
        <v>5.8888888888888324E-3</v>
      </c>
    </row>
    <row r="338" spans="1:7">
      <c r="A338" s="42">
        <v>89.07</v>
      </c>
      <c r="B338" s="42">
        <v>89.84</v>
      </c>
      <c r="C338" s="42">
        <v>86</v>
      </c>
      <c r="D338" s="42">
        <v>86.03</v>
      </c>
      <c r="E338" s="42">
        <v>7591954</v>
      </c>
      <c r="F338" s="42" t="s">
        <v>339</v>
      </c>
      <c r="G338" s="25">
        <f t="shared" si="4"/>
        <v>3.5336510519586195E-2</v>
      </c>
    </row>
    <row r="339" spans="1:7">
      <c r="A339" s="42">
        <v>84.09</v>
      </c>
      <c r="B339" s="42">
        <v>84.58</v>
      </c>
      <c r="C339" s="42">
        <v>83.2</v>
      </c>
      <c r="D339" s="42">
        <v>83.96</v>
      </c>
      <c r="E339" s="42">
        <v>6821217</v>
      </c>
      <c r="F339" s="42" t="s">
        <v>340</v>
      </c>
      <c r="G339" s="25">
        <f t="shared" si="4"/>
        <v>1.5483563601716988E-3</v>
      </c>
    </row>
    <row r="340" spans="1:7">
      <c r="A340" s="42">
        <v>83.87</v>
      </c>
      <c r="B340" s="42">
        <v>85.29</v>
      </c>
      <c r="C340" s="42">
        <v>83.78</v>
      </c>
      <c r="D340" s="42">
        <v>85.07</v>
      </c>
      <c r="E340" s="42">
        <v>4111749</v>
      </c>
      <c r="F340" s="42" t="s">
        <v>341</v>
      </c>
      <c r="G340" s="25">
        <f t="shared" si="4"/>
        <v>-1.4106030327965091E-2</v>
      </c>
    </row>
    <row r="341" spans="1:7">
      <c r="A341" s="42">
        <v>86.38</v>
      </c>
      <c r="B341" s="42">
        <v>88.02</v>
      </c>
      <c r="C341" s="42">
        <v>86.28</v>
      </c>
      <c r="D341" s="42">
        <v>87.52</v>
      </c>
      <c r="E341" s="42">
        <v>2586247</v>
      </c>
      <c r="F341" s="42" t="s">
        <v>342</v>
      </c>
      <c r="G341" s="25">
        <f t="shared" si="4"/>
        <v>-1.3025594149908559E-2</v>
      </c>
    </row>
    <row r="342" spans="1:7">
      <c r="A342" s="42">
        <v>88.27</v>
      </c>
      <c r="B342" s="42">
        <v>88.424999999999997</v>
      </c>
      <c r="C342" s="42">
        <v>85.604399999999998</v>
      </c>
      <c r="D342" s="42">
        <v>88.38</v>
      </c>
      <c r="E342" s="42">
        <v>3006767</v>
      </c>
      <c r="F342" s="42" t="s">
        <v>343</v>
      </c>
      <c r="G342" s="25">
        <f t="shared" si="4"/>
        <v>-1.2446254808780033E-3</v>
      </c>
    </row>
    <row r="343" spans="1:7">
      <c r="A343" s="42">
        <v>88.08</v>
      </c>
      <c r="B343" s="42">
        <v>88.72</v>
      </c>
      <c r="C343" s="42">
        <v>87.594999999999999</v>
      </c>
      <c r="D343" s="42">
        <v>88.52</v>
      </c>
      <c r="E343" s="42">
        <v>2928675</v>
      </c>
      <c r="F343" s="42" t="s">
        <v>344</v>
      </c>
      <c r="G343" s="25">
        <f t="shared" si="4"/>
        <v>-4.9706281066425051E-3</v>
      </c>
    </row>
    <row r="344" spans="1:7">
      <c r="A344" s="42">
        <v>88.32</v>
      </c>
      <c r="B344" s="42">
        <v>89.58</v>
      </c>
      <c r="C344" s="42">
        <v>87.66</v>
      </c>
      <c r="D344" s="42">
        <v>88.85</v>
      </c>
      <c r="E344" s="42">
        <v>2472161</v>
      </c>
      <c r="F344" s="42" t="s">
        <v>345</v>
      </c>
      <c r="G344" s="25">
        <f t="shared" si="4"/>
        <v>-5.9651097355093441E-3</v>
      </c>
    </row>
    <row r="345" spans="1:7">
      <c r="A345" s="42">
        <v>88.78</v>
      </c>
      <c r="B345" s="42">
        <v>88.86</v>
      </c>
      <c r="C345" s="42">
        <v>87.01</v>
      </c>
      <c r="D345" s="42">
        <v>87.46</v>
      </c>
      <c r="E345" s="42">
        <v>2011934</v>
      </c>
      <c r="F345" s="42" t="s">
        <v>346</v>
      </c>
      <c r="G345" s="25">
        <f t="shared" si="4"/>
        <v>1.5092613766293228E-2</v>
      </c>
    </row>
    <row r="346" spans="1:7">
      <c r="A346" s="42">
        <v>87.46</v>
      </c>
      <c r="B346" s="42">
        <v>87.95</v>
      </c>
      <c r="C346" s="42">
        <v>85.001999999999995</v>
      </c>
      <c r="D346" s="42">
        <v>85.001999999999995</v>
      </c>
      <c r="E346" s="42">
        <v>2079105</v>
      </c>
      <c r="F346" s="42" t="s">
        <v>347</v>
      </c>
      <c r="G346" s="25">
        <f t="shared" si="4"/>
        <v>2.8916966659608079E-2</v>
      </c>
    </row>
    <row r="347" spans="1:7">
      <c r="A347" s="42">
        <v>87.05</v>
      </c>
      <c r="B347" s="42">
        <v>88.42</v>
      </c>
      <c r="C347" s="42">
        <v>86.79</v>
      </c>
      <c r="D347" s="42">
        <v>88</v>
      </c>
      <c r="E347" s="42">
        <v>2177688</v>
      </c>
      <c r="F347" s="42" t="s">
        <v>348</v>
      </c>
      <c r="G347" s="25">
        <f t="shared" si="4"/>
        <v>-1.0795454545454608E-2</v>
      </c>
    </row>
    <row r="348" spans="1:7">
      <c r="A348" s="42">
        <v>86.83</v>
      </c>
      <c r="B348" s="42">
        <v>88.29</v>
      </c>
      <c r="C348" s="42">
        <v>86.59</v>
      </c>
      <c r="D348" s="42">
        <v>86.87</v>
      </c>
      <c r="E348" s="42">
        <v>2339488</v>
      </c>
      <c r="F348" s="42" t="s">
        <v>349</v>
      </c>
      <c r="G348" s="25">
        <f t="shared" si="4"/>
        <v>-4.6045815586515104E-4</v>
      </c>
    </row>
    <row r="349" spans="1:7">
      <c r="A349" s="42">
        <v>87.62</v>
      </c>
      <c r="B349" s="42">
        <v>88.7</v>
      </c>
      <c r="C349" s="42">
        <v>86.61</v>
      </c>
      <c r="D349" s="42">
        <v>86.61</v>
      </c>
      <c r="E349" s="42">
        <v>2160122</v>
      </c>
      <c r="F349" s="42" t="s">
        <v>350</v>
      </c>
      <c r="G349" s="25">
        <f t="shared" si="4"/>
        <v>1.1661470961782827E-2</v>
      </c>
    </row>
    <row r="350" spans="1:7">
      <c r="A350" s="42">
        <v>86.43</v>
      </c>
      <c r="B350" s="42">
        <v>88.31</v>
      </c>
      <c r="C350" s="42">
        <v>86.04</v>
      </c>
      <c r="D350" s="42">
        <v>88.15</v>
      </c>
      <c r="E350" s="42">
        <v>2639183</v>
      </c>
      <c r="F350" s="42" t="s">
        <v>351</v>
      </c>
      <c r="G350" s="25">
        <f t="shared" si="4"/>
        <v>-1.9512195121951237E-2</v>
      </c>
    </row>
    <row r="351" spans="1:7">
      <c r="A351" s="42">
        <v>88.35</v>
      </c>
      <c r="B351" s="42">
        <v>89</v>
      </c>
      <c r="C351" s="42">
        <v>86.650099999999995</v>
      </c>
      <c r="D351" s="42">
        <v>87.01</v>
      </c>
      <c r="E351" s="42">
        <v>3408263</v>
      </c>
      <c r="F351" s="42" t="s">
        <v>352</v>
      </c>
      <c r="G351" s="25">
        <f t="shared" si="4"/>
        <v>1.5400528674864855E-2</v>
      </c>
    </row>
    <row r="352" spans="1:7">
      <c r="A352" s="42">
        <v>87.53</v>
      </c>
      <c r="B352" s="42">
        <v>89.59</v>
      </c>
      <c r="C352" s="42">
        <v>87.35</v>
      </c>
      <c r="D352" s="42">
        <v>88.58</v>
      </c>
      <c r="E352" s="42">
        <v>3206222</v>
      </c>
      <c r="F352" s="42" t="s">
        <v>353</v>
      </c>
      <c r="G352" s="25">
        <f t="shared" si="4"/>
        <v>-1.1853691578234349E-2</v>
      </c>
    </row>
    <row r="353" spans="1:7">
      <c r="A353" s="42">
        <v>88.75</v>
      </c>
      <c r="B353" s="42">
        <v>88.87</v>
      </c>
      <c r="C353" s="42">
        <v>87.16</v>
      </c>
      <c r="D353" s="42">
        <v>88</v>
      </c>
      <c r="E353" s="42">
        <v>3256231</v>
      </c>
      <c r="F353" s="42" t="s">
        <v>354</v>
      </c>
      <c r="G353" s="25">
        <f t="shared" si="4"/>
        <v>8.5227272727272929E-3</v>
      </c>
    </row>
    <row r="354" spans="1:7">
      <c r="A354" s="42">
        <v>87.7</v>
      </c>
      <c r="B354" s="42">
        <v>87.86</v>
      </c>
      <c r="C354" s="42">
        <v>86.62</v>
      </c>
      <c r="D354" s="42">
        <v>87.02</v>
      </c>
      <c r="E354" s="42">
        <v>3991432</v>
      </c>
      <c r="F354" s="42" t="s">
        <v>355</v>
      </c>
      <c r="G354" s="25">
        <f t="shared" si="4"/>
        <v>7.8142955642381828E-3</v>
      </c>
    </row>
    <row r="355" spans="1:7">
      <c r="A355" s="42">
        <v>87.09</v>
      </c>
      <c r="B355" s="42">
        <v>88.204999999999998</v>
      </c>
      <c r="C355" s="42">
        <v>85.72</v>
      </c>
      <c r="D355" s="42">
        <v>85.85</v>
      </c>
      <c r="E355" s="42">
        <v>3175381</v>
      </c>
      <c r="F355" s="42" t="s">
        <v>356</v>
      </c>
      <c r="G355" s="25">
        <f t="shared" si="4"/>
        <v>1.4443797320908613E-2</v>
      </c>
    </row>
    <row r="356" spans="1:7">
      <c r="A356" s="42">
        <v>86.32</v>
      </c>
      <c r="B356" s="42">
        <v>87.05</v>
      </c>
      <c r="C356" s="42">
        <v>85.07</v>
      </c>
      <c r="D356" s="42">
        <v>86.27</v>
      </c>
      <c r="E356" s="42">
        <v>4057763</v>
      </c>
      <c r="F356" s="42" t="s">
        <v>357</v>
      </c>
      <c r="G356" s="25">
        <f t="shared" si="4"/>
        <v>5.7957575055045396E-4</v>
      </c>
    </row>
    <row r="357" spans="1:7">
      <c r="A357" s="42">
        <v>84.38</v>
      </c>
      <c r="B357" s="42">
        <v>86.33</v>
      </c>
      <c r="C357" s="42">
        <v>83.89</v>
      </c>
      <c r="D357" s="42">
        <v>86.32</v>
      </c>
      <c r="E357" s="42">
        <v>5135596</v>
      </c>
      <c r="F357" s="42" t="s">
        <v>358</v>
      </c>
      <c r="G357" s="25">
        <f t="shared" si="4"/>
        <v>-2.2474513438368815E-2</v>
      </c>
    </row>
    <row r="358" spans="1:7">
      <c r="A358" s="42">
        <v>84.84</v>
      </c>
      <c r="B358" s="42">
        <v>85.484999999999999</v>
      </c>
      <c r="C358" s="42">
        <v>82.44</v>
      </c>
      <c r="D358" s="42">
        <v>83</v>
      </c>
      <c r="E358" s="42">
        <v>6002024</v>
      </c>
      <c r="F358" s="42" t="s">
        <v>359</v>
      </c>
      <c r="G358" s="25">
        <f t="shared" si="4"/>
        <v>2.2168674698795243E-2</v>
      </c>
    </row>
    <row r="359" spans="1:7">
      <c r="A359" s="42">
        <v>80.400000000000006</v>
      </c>
      <c r="B359" s="42">
        <v>82.29</v>
      </c>
      <c r="C359" s="42">
        <v>80.052899999999994</v>
      </c>
      <c r="D359" s="42">
        <v>80.17</v>
      </c>
      <c r="E359" s="42">
        <v>4770866</v>
      </c>
      <c r="F359" s="42" t="s">
        <v>360</v>
      </c>
      <c r="G359" s="25">
        <f t="shared" si="4"/>
        <v>2.8689035798927787E-3</v>
      </c>
    </row>
    <row r="360" spans="1:7">
      <c r="A360" s="42">
        <v>79.17</v>
      </c>
      <c r="B360" s="42">
        <v>80.7</v>
      </c>
      <c r="C360" s="42">
        <v>77.099999999999994</v>
      </c>
      <c r="D360" s="42">
        <v>80.64</v>
      </c>
      <c r="E360" s="42">
        <v>4112953</v>
      </c>
      <c r="F360" s="42" t="s">
        <v>361</v>
      </c>
      <c r="G360" s="25">
        <f t="shared" si="4"/>
        <v>-1.822916666666663E-2</v>
      </c>
    </row>
    <row r="361" spans="1:7">
      <c r="A361" s="42">
        <v>79.84</v>
      </c>
      <c r="B361" s="42">
        <v>82.24</v>
      </c>
      <c r="C361" s="42">
        <v>73.62</v>
      </c>
      <c r="D361" s="42">
        <v>82</v>
      </c>
      <c r="E361" s="42">
        <v>5520252</v>
      </c>
      <c r="F361" s="42" t="s">
        <v>362</v>
      </c>
      <c r="G361" s="25">
        <f t="shared" si="4"/>
        <v>-2.6341463414634059E-2</v>
      </c>
    </row>
    <row r="362" spans="1:7">
      <c r="A362" s="42">
        <v>77.760000000000005</v>
      </c>
      <c r="B362" s="42">
        <v>79.635000000000005</v>
      </c>
      <c r="C362" s="42">
        <v>76.86</v>
      </c>
      <c r="D362" s="42">
        <v>79.5</v>
      </c>
      <c r="E362" s="42">
        <v>4716961</v>
      </c>
      <c r="F362" s="42" t="s">
        <v>363</v>
      </c>
      <c r="G362" s="25">
        <f t="shared" si="4"/>
        <v>-2.1886792452830095E-2</v>
      </c>
    </row>
    <row r="363" spans="1:7">
      <c r="A363" s="42">
        <v>80.09</v>
      </c>
      <c r="B363" s="42">
        <v>80.7</v>
      </c>
      <c r="C363" s="42">
        <v>78.849999999999994</v>
      </c>
      <c r="D363" s="42">
        <v>79.099999999999994</v>
      </c>
      <c r="E363" s="42">
        <v>2423240</v>
      </c>
      <c r="F363" s="42" t="s">
        <v>364</v>
      </c>
      <c r="G363" s="25">
        <f t="shared" si="4"/>
        <v>1.251580278128972E-2</v>
      </c>
    </row>
    <row r="364" spans="1:7">
      <c r="A364" s="42">
        <v>79.349999999999994</v>
      </c>
      <c r="B364" s="42">
        <v>80.95</v>
      </c>
      <c r="C364" s="42">
        <v>79.114999999999995</v>
      </c>
      <c r="D364" s="42">
        <v>80.459999999999994</v>
      </c>
      <c r="E364" s="42">
        <v>2429086</v>
      </c>
      <c r="F364" s="42" t="s">
        <v>365</v>
      </c>
      <c r="G364" s="25">
        <f t="shared" si="4"/>
        <v>-1.3795674869500396E-2</v>
      </c>
    </row>
    <row r="365" spans="1:7">
      <c r="A365" s="42">
        <v>79.88</v>
      </c>
      <c r="B365" s="42">
        <v>82.664000000000001</v>
      </c>
      <c r="C365" s="42">
        <v>79.64</v>
      </c>
      <c r="D365" s="42">
        <v>81.95</v>
      </c>
      <c r="E365" s="42">
        <v>3441450</v>
      </c>
      <c r="F365" s="42" t="s">
        <v>366</v>
      </c>
      <c r="G365" s="25">
        <f t="shared" si="4"/>
        <v>-2.5259304453935427E-2</v>
      </c>
    </row>
    <row r="366" spans="1:7">
      <c r="A366" s="42">
        <v>81.069999999999993</v>
      </c>
      <c r="B366" s="42">
        <v>81.218800000000002</v>
      </c>
      <c r="C366" s="42">
        <v>78.52</v>
      </c>
      <c r="D366" s="42">
        <v>79</v>
      </c>
      <c r="E366" s="42">
        <v>2684639</v>
      </c>
      <c r="F366" s="42" t="s">
        <v>367</v>
      </c>
      <c r="G366" s="25">
        <f t="shared" si="4"/>
        <v>2.6202531645569627E-2</v>
      </c>
    </row>
    <row r="367" spans="1:7">
      <c r="A367" s="42">
        <v>78.5</v>
      </c>
      <c r="B367" s="42">
        <v>79.97</v>
      </c>
      <c r="C367" s="42">
        <v>77.66</v>
      </c>
      <c r="D367" s="42">
        <v>77.87</v>
      </c>
      <c r="E367" s="42">
        <v>2243942</v>
      </c>
      <c r="F367" s="42" t="s">
        <v>368</v>
      </c>
      <c r="G367" s="25">
        <f t="shared" si="4"/>
        <v>8.090407088737539E-3</v>
      </c>
    </row>
    <row r="368" spans="1:7">
      <c r="A368" s="42">
        <v>77.77</v>
      </c>
      <c r="B368" s="42">
        <v>78.78</v>
      </c>
      <c r="C368" s="42">
        <v>77.33</v>
      </c>
      <c r="D368" s="42">
        <v>78.62</v>
      </c>
      <c r="E368" s="42">
        <v>1966385</v>
      </c>
      <c r="F368" s="42" t="s">
        <v>369</v>
      </c>
      <c r="G368" s="25">
        <f t="shared" si="4"/>
        <v>-1.0811498346476878E-2</v>
      </c>
    </row>
    <row r="369" spans="1:7">
      <c r="A369" s="42">
        <v>78</v>
      </c>
      <c r="B369" s="42">
        <v>79.599999999999994</v>
      </c>
      <c r="C369" s="42">
        <v>77.67</v>
      </c>
      <c r="D369" s="42">
        <v>79.28</v>
      </c>
      <c r="E369" s="42">
        <v>2753046</v>
      </c>
      <c r="F369" s="42" t="s">
        <v>370</v>
      </c>
      <c r="G369" s="25">
        <f t="shared" si="4"/>
        <v>-1.6145307769929396E-2</v>
      </c>
    </row>
    <row r="370" spans="1:7">
      <c r="A370" s="42">
        <v>80.239999999999995</v>
      </c>
      <c r="B370" s="42">
        <v>80.5</v>
      </c>
      <c r="C370" s="42">
        <v>79.63</v>
      </c>
      <c r="D370" s="42">
        <v>80.03</v>
      </c>
      <c r="E370" s="42">
        <v>1797810</v>
      </c>
      <c r="F370" s="42" t="s">
        <v>371</v>
      </c>
      <c r="G370" s="25">
        <f t="shared" si="4"/>
        <v>2.6240159940020824E-3</v>
      </c>
    </row>
    <row r="371" spans="1:7">
      <c r="A371" s="42">
        <v>80.569999999999993</v>
      </c>
      <c r="B371" s="42">
        <v>80.67</v>
      </c>
      <c r="C371" s="42">
        <v>79.25</v>
      </c>
      <c r="D371" s="42">
        <v>79.540000000000006</v>
      </c>
      <c r="E371" s="42">
        <v>1350864</v>
      </c>
      <c r="F371" s="42" t="s">
        <v>372</v>
      </c>
      <c r="G371" s="25">
        <f t="shared" si="4"/>
        <v>1.2949459391500939E-2</v>
      </c>
    </row>
    <row r="372" spans="1:7">
      <c r="A372" s="42">
        <v>80.239999999999995</v>
      </c>
      <c r="B372" s="42">
        <v>80.83</v>
      </c>
      <c r="C372" s="42">
        <v>78.59</v>
      </c>
      <c r="D372" s="42">
        <v>79.56</v>
      </c>
      <c r="E372" s="42">
        <v>1153109</v>
      </c>
      <c r="F372" s="42" t="s">
        <v>373</v>
      </c>
      <c r="G372" s="25">
        <f t="shared" si="4"/>
        <v>8.5470085470085166E-3</v>
      </c>
    </row>
    <row r="373" spans="1:7">
      <c r="A373" s="42">
        <v>79.540000000000006</v>
      </c>
      <c r="B373" s="42">
        <v>80.25</v>
      </c>
      <c r="C373" s="42">
        <v>77.798699999999997</v>
      </c>
      <c r="D373" s="42">
        <v>78.900000000000006</v>
      </c>
      <c r="E373" s="42">
        <v>2389520</v>
      </c>
      <c r="F373" s="42" t="s">
        <v>374</v>
      </c>
      <c r="G373" s="25">
        <f t="shared" si="4"/>
        <v>8.1115335868187088E-3</v>
      </c>
    </row>
    <row r="374" spans="1:7">
      <c r="A374" s="42">
        <v>80.040000000000006</v>
      </c>
      <c r="B374" s="42">
        <v>81.510000000000005</v>
      </c>
      <c r="C374" s="42">
        <v>75.47</v>
      </c>
      <c r="D374" s="42">
        <v>75.47</v>
      </c>
      <c r="E374" s="42">
        <v>11578521</v>
      </c>
      <c r="F374" s="42" t="s">
        <v>375</v>
      </c>
      <c r="G374" s="25">
        <f t="shared" si="4"/>
        <v>6.0553862461905528E-2</v>
      </c>
    </row>
    <row r="375" spans="1:7">
      <c r="A375" s="42">
        <v>75.819999999999993</v>
      </c>
      <c r="B375" s="42">
        <v>76.28</v>
      </c>
      <c r="C375" s="42">
        <v>74.5</v>
      </c>
      <c r="D375" s="42">
        <v>75.64</v>
      </c>
      <c r="E375" s="42">
        <v>3815111</v>
      </c>
      <c r="F375" s="42" t="s">
        <v>376</v>
      </c>
      <c r="G375" s="25">
        <f t="shared" si="4"/>
        <v>2.3796932839765805E-3</v>
      </c>
    </row>
    <row r="376" spans="1:7">
      <c r="A376" s="42">
        <v>75.260000000000005</v>
      </c>
      <c r="B376" s="42">
        <v>77.569999999999993</v>
      </c>
      <c r="C376" s="42">
        <v>75.23</v>
      </c>
      <c r="D376" s="42">
        <v>77.260000000000005</v>
      </c>
      <c r="E376" s="42">
        <v>2949352</v>
      </c>
      <c r="F376" s="42" t="s">
        <v>377</v>
      </c>
      <c r="G376" s="25">
        <f t="shared" si="4"/>
        <v>-2.5886616619207881E-2</v>
      </c>
    </row>
    <row r="377" spans="1:7">
      <c r="A377" s="42">
        <v>77.8</v>
      </c>
      <c r="B377" s="42">
        <v>78.38</v>
      </c>
      <c r="C377" s="42">
        <v>76.05</v>
      </c>
      <c r="D377" s="42">
        <v>76.3</v>
      </c>
      <c r="E377" s="42">
        <v>3613816</v>
      </c>
      <c r="F377" s="42" t="s">
        <v>378</v>
      </c>
      <c r="G377" s="25">
        <f t="shared" si="4"/>
        <v>1.9659239842725995E-2</v>
      </c>
    </row>
    <row r="378" spans="1:7">
      <c r="A378" s="42">
        <v>76.41</v>
      </c>
      <c r="B378" s="42">
        <v>77.42</v>
      </c>
      <c r="C378" s="42">
        <v>75.05</v>
      </c>
      <c r="D378" s="42">
        <v>76.87</v>
      </c>
      <c r="E378" s="42">
        <v>4013482</v>
      </c>
      <c r="F378" s="42" t="s">
        <v>379</v>
      </c>
      <c r="G378" s="25">
        <f t="shared" si="4"/>
        <v>-5.9841290490439958E-3</v>
      </c>
    </row>
    <row r="379" spans="1:7">
      <c r="A379" s="42">
        <v>77.19</v>
      </c>
      <c r="B379" s="42">
        <v>78.72</v>
      </c>
      <c r="C379" s="42">
        <v>76.819999999999993</v>
      </c>
      <c r="D379" s="42">
        <v>78.599999999999994</v>
      </c>
      <c r="E379" s="42">
        <v>2956879</v>
      </c>
      <c r="F379" s="42" t="s">
        <v>380</v>
      </c>
      <c r="G379" s="25">
        <f t="shared" si="4"/>
        <v>-1.7938931297709848E-2</v>
      </c>
    </row>
    <row r="380" spans="1:7">
      <c r="A380" s="42">
        <v>78.930000000000007</v>
      </c>
      <c r="B380" s="42">
        <v>80.959999999999994</v>
      </c>
      <c r="C380" s="42">
        <v>77.825000000000003</v>
      </c>
      <c r="D380" s="42">
        <v>80.180000000000007</v>
      </c>
      <c r="E380" s="42">
        <v>3209972</v>
      </c>
      <c r="F380" s="42" t="s">
        <v>381</v>
      </c>
      <c r="G380" s="25">
        <f t="shared" si="4"/>
        <v>-1.5589922673983514E-2</v>
      </c>
    </row>
    <row r="381" spans="1:7">
      <c r="A381" s="42">
        <v>80.47</v>
      </c>
      <c r="B381" s="42">
        <v>81.12</v>
      </c>
      <c r="C381" s="42">
        <v>79.41</v>
      </c>
      <c r="D381" s="42">
        <v>79.825000000000003</v>
      </c>
      <c r="E381" s="42">
        <v>2913125</v>
      </c>
      <c r="F381" s="42" t="s">
        <v>382</v>
      </c>
      <c r="G381" s="25">
        <f t="shared" si="4"/>
        <v>8.0801753836516887E-3</v>
      </c>
    </row>
    <row r="382" spans="1:7">
      <c r="A382" s="42">
        <v>79.41</v>
      </c>
      <c r="B382" s="42">
        <v>80.900000000000006</v>
      </c>
      <c r="C382" s="42">
        <v>77.894999999999996</v>
      </c>
      <c r="D382" s="42">
        <v>78.790000000000006</v>
      </c>
      <c r="E382" s="42">
        <v>2969863</v>
      </c>
      <c r="F382" s="42" t="s">
        <v>383</v>
      </c>
      <c r="G382" s="25">
        <f t="shared" si="4"/>
        <v>7.8690189110290909E-3</v>
      </c>
    </row>
    <row r="383" spans="1:7">
      <c r="A383" s="42">
        <v>78.41</v>
      </c>
      <c r="B383" s="42">
        <v>79.11</v>
      </c>
      <c r="C383" s="42">
        <v>77.55</v>
      </c>
      <c r="D383" s="42">
        <v>78.09</v>
      </c>
      <c r="E383" s="42">
        <v>2288040</v>
      </c>
      <c r="F383" s="42" t="s">
        <v>384</v>
      </c>
      <c r="G383" s="25">
        <f t="shared" si="4"/>
        <v>4.0978358304519791E-3</v>
      </c>
    </row>
    <row r="384" spans="1:7">
      <c r="A384" s="42">
        <v>77.72</v>
      </c>
      <c r="B384" s="42">
        <v>79.5</v>
      </c>
      <c r="C384" s="42">
        <v>77.33</v>
      </c>
      <c r="D384" s="42">
        <v>79.209999999999994</v>
      </c>
      <c r="E384" s="42">
        <v>2645420</v>
      </c>
      <c r="F384" s="42" t="s">
        <v>385</v>
      </c>
      <c r="G384" s="25">
        <f t="shared" si="4"/>
        <v>-1.8810756217649272E-2</v>
      </c>
    </row>
    <row r="385" spans="1:7">
      <c r="A385" s="42">
        <v>78.92</v>
      </c>
      <c r="B385" s="42">
        <v>81</v>
      </c>
      <c r="C385" s="42">
        <v>78.06</v>
      </c>
      <c r="D385" s="42">
        <v>80.91</v>
      </c>
      <c r="E385" s="42">
        <v>3275903</v>
      </c>
      <c r="F385" s="42" t="s">
        <v>386</v>
      </c>
      <c r="G385" s="25">
        <f t="shared" si="4"/>
        <v>-2.4595229267086793E-2</v>
      </c>
    </row>
    <row r="386" spans="1:7">
      <c r="A386" s="42">
        <v>81.010000000000005</v>
      </c>
      <c r="B386" s="42">
        <v>82.26</v>
      </c>
      <c r="C386" s="42">
        <v>80.69</v>
      </c>
      <c r="D386" s="42">
        <v>80.86</v>
      </c>
      <c r="E386" s="42">
        <v>3229957</v>
      </c>
      <c r="F386" s="42" t="s">
        <v>387</v>
      </c>
      <c r="G386" s="25">
        <f t="shared" si="4"/>
        <v>1.8550581251546294E-3</v>
      </c>
    </row>
    <row r="387" spans="1:7">
      <c r="A387" s="42">
        <v>80.91</v>
      </c>
      <c r="B387" s="42">
        <v>81.11</v>
      </c>
      <c r="C387" s="42">
        <v>78.090100000000007</v>
      </c>
      <c r="D387" s="42">
        <v>79</v>
      </c>
      <c r="E387" s="42">
        <v>3609716</v>
      </c>
      <c r="F387" s="42" t="s">
        <v>388</v>
      </c>
      <c r="G387" s="25">
        <f t="shared" ref="G387:G450" si="5">A387/D387-1</f>
        <v>2.4177215189873369E-2</v>
      </c>
    </row>
    <row r="388" spans="1:7">
      <c r="A388" s="42">
        <v>79.31</v>
      </c>
      <c r="B388" s="42">
        <v>80.180000000000007</v>
      </c>
      <c r="C388" s="42">
        <v>77.500100000000003</v>
      </c>
      <c r="D388" s="42">
        <v>78.19</v>
      </c>
      <c r="E388" s="42">
        <v>3277964</v>
      </c>
      <c r="F388" s="42" t="s">
        <v>389</v>
      </c>
      <c r="G388" s="25">
        <f t="shared" si="5"/>
        <v>1.43240823634736E-2</v>
      </c>
    </row>
    <row r="389" spans="1:7">
      <c r="A389" s="42">
        <v>77.989999999999995</v>
      </c>
      <c r="B389" s="42">
        <v>79.37</v>
      </c>
      <c r="C389" s="42">
        <v>77.89</v>
      </c>
      <c r="D389" s="42">
        <v>78.400000000000006</v>
      </c>
      <c r="E389" s="42">
        <v>1510418</v>
      </c>
      <c r="F389" s="42" t="s">
        <v>390</v>
      </c>
      <c r="G389" s="25">
        <f t="shared" si="5"/>
        <v>-5.2295918367348815E-3</v>
      </c>
    </row>
    <row r="390" spans="1:7">
      <c r="A390" s="42">
        <v>78.099999999999994</v>
      </c>
      <c r="B390" s="42">
        <v>78.62</v>
      </c>
      <c r="C390" s="42">
        <v>77.180000000000007</v>
      </c>
      <c r="D390" s="42">
        <v>78.430000000000007</v>
      </c>
      <c r="E390" s="42">
        <v>2003316</v>
      </c>
      <c r="F390" s="42" t="s">
        <v>391</v>
      </c>
      <c r="G390" s="25">
        <f t="shared" si="5"/>
        <v>-4.2075736325387636E-3</v>
      </c>
    </row>
    <row r="391" spans="1:7">
      <c r="A391" s="42">
        <v>77.94</v>
      </c>
      <c r="B391" s="42">
        <v>79.38</v>
      </c>
      <c r="C391" s="42">
        <v>76.940100000000001</v>
      </c>
      <c r="D391" s="42">
        <v>78.650000000000006</v>
      </c>
      <c r="E391" s="42">
        <v>4142028</v>
      </c>
      <c r="F391" s="42" t="s">
        <v>392</v>
      </c>
      <c r="G391" s="25">
        <f t="shared" si="5"/>
        <v>-9.027336300063693E-3</v>
      </c>
    </row>
    <row r="392" spans="1:7">
      <c r="A392" s="42">
        <v>77.83</v>
      </c>
      <c r="B392" s="42">
        <v>78.22</v>
      </c>
      <c r="C392" s="42">
        <v>73.27</v>
      </c>
      <c r="D392" s="42">
        <v>74.2</v>
      </c>
      <c r="E392" s="42">
        <v>6579325</v>
      </c>
      <c r="F392" s="42" t="s">
        <v>393</v>
      </c>
      <c r="G392" s="25">
        <f t="shared" si="5"/>
        <v>4.8921832884097016E-2</v>
      </c>
    </row>
    <row r="393" spans="1:7">
      <c r="A393" s="42">
        <v>72.83</v>
      </c>
      <c r="B393" s="42">
        <v>75.286000000000001</v>
      </c>
      <c r="C393" s="42">
        <v>72.510000000000005</v>
      </c>
      <c r="D393" s="42">
        <v>74.849999999999994</v>
      </c>
      <c r="E393" s="42">
        <v>4562893</v>
      </c>
      <c r="F393" s="42" t="s">
        <v>394</v>
      </c>
      <c r="G393" s="25">
        <f t="shared" si="5"/>
        <v>-2.6987307949231765E-2</v>
      </c>
    </row>
    <row r="394" spans="1:7">
      <c r="A394" s="42">
        <v>74.459999999999994</v>
      </c>
      <c r="B394" s="42">
        <v>75.760000000000005</v>
      </c>
      <c r="C394" s="42">
        <v>74.14</v>
      </c>
      <c r="D394" s="42">
        <v>74.83</v>
      </c>
      <c r="E394" s="42">
        <v>3231191</v>
      </c>
      <c r="F394" s="42" t="s">
        <v>395</v>
      </c>
      <c r="G394" s="25">
        <f t="shared" si="5"/>
        <v>-4.9445409595082479E-3</v>
      </c>
    </row>
    <row r="395" spans="1:7">
      <c r="A395" s="42">
        <v>75.239999999999995</v>
      </c>
      <c r="B395" s="42">
        <v>75.31</v>
      </c>
      <c r="C395" s="42">
        <v>72.94</v>
      </c>
      <c r="D395" s="42">
        <v>74.73</v>
      </c>
      <c r="E395" s="42">
        <v>3077219</v>
      </c>
      <c r="F395" s="42" t="s">
        <v>396</v>
      </c>
      <c r="G395" s="25">
        <f t="shared" si="5"/>
        <v>6.8245684464069978E-3</v>
      </c>
    </row>
    <row r="396" spans="1:7">
      <c r="A396" s="42">
        <v>74.88</v>
      </c>
      <c r="B396" s="42">
        <v>76.61</v>
      </c>
      <c r="C396" s="42">
        <v>74.650000000000006</v>
      </c>
      <c r="D396" s="42">
        <v>75.7</v>
      </c>
      <c r="E396" s="42">
        <v>3351898</v>
      </c>
      <c r="F396" s="42" t="s">
        <v>397</v>
      </c>
      <c r="G396" s="25">
        <f t="shared" si="5"/>
        <v>-1.0832232496697625E-2</v>
      </c>
    </row>
    <row r="397" spans="1:7">
      <c r="A397" s="42">
        <v>76.27</v>
      </c>
      <c r="B397" s="42">
        <v>78.16</v>
      </c>
      <c r="C397" s="42">
        <v>75.69</v>
      </c>
      <c r="D397" s="42">
        <v>75.88</v>
      </c>
      <c r="E397" s="42">
        <v>3898229</v>
      </c>
      <c r="F397" s="42" t="s">
        <v>398</v>
      </c>
      <c r="G397" s="25">
        <f t="shared" si="5"/>
        <v>5.1396942540853363E-3</v>
      </c>
    </row>
    <row r="398" spans="1:7">
      <c r="A398" s="42">
        <v>75.88</v>
      </c>
      <c r="B398" s="42">
        <v>78.11</v>
      </c>
      <c r="C398" s="42">
        <v>75.13</v>
      </c>
      <c r="D398" s="42">
        <v>75.510000000000005</v>
      </c>
      <c r="E398" s="42">
        <v>6879181</v>
      </c>
      <c r="F398" s="42" t="s">
        <v>399</v>
      </c>
      <c r="G398" s="25">
        <f t="shared" si="5"/>
        <v>4.9000132432788224E-3</v>
      </c>
    </row>
    <row r="399" spans="1:7">
      <c r="A399" s="42">
        <v>74.680000000000007</v>
      </c>
      <c r="B399" s="42">
        <v>75.78</v>
      </c>
      <c r="C399" s="42">
        <v>71.75</v>
      </c>
      <c r="D399" s="42">
        <v>72.599999999999994</v>
      </c>
      <c r="E399" s="42">
        <v>4517812</v>
      </c>
      <c r="F399" s="42" t="s">
        <v>400</v>
      </c>
      <c r="G399" s="25">
        <f t="shared" si="5"/>
        <v>2.8650137741047077E-2</v>
      </c>
    </row>
    <row r="400" spans="1:7">
      <c r="A400" s="42">
        <v>72.53</v>
      </c>
      <c r="B400" s="42">
        <v>74.55</v>
      </c>
      <c r="C400" s="42">
        <v>71.84</v>
      </c>
      <c r="D400" s="42">
        <v>74.454999999999998</v>
      </c>
      <c r="E400" s="42">
        <v>4170400</v>
      </c>
      <c r="F400" s="42" t="s">
        <v>401</v>
      </c>
      <c r="G400" s="25">
        <f t="shared" si="5"/>
        <v>-2.5854543012557851E-2</v>
      </c>
    </row>
    <row r="401" spans="1:7">
      <c r="A401" s="42">
        <v>74.34</v>
      </c>
      <c r="B401" s="42">
        <v>75.47</v>
      </c>
      <c r="C401" s="42">
        <v>69.23</v>
      </c>
      <c r="D401" s="42">
        <v>69.459999999999994</v>
      </c>
      <c r="E401" s="42">
        <v>5469099</v>
      </c>
      <c r="F401" s="42" t="s">
        <v>402</v>
      </c>
      <c r="G401" s="25">
        <f t="shared" si="5"/>
        <v>7.0256262597178321E-2</v>
      </c>
    </row>
    <row r="402" spans="1:7">
      <c r="A402" s="42">
        <v>70.31</v>
      </c>
      <c r="B402" s="42">
        <v>72.040000000000006</v>
      </c>
      <c r="C402" s="42">
        <v>69.629800000000003</v>
      </c>
      <c r="D402" s="42">
        <v>70.069999999999993</v>
      </c>
      <c r="E402" s="42">
        <v>4532141</v>
      </c>
      <c r="F402" s="42" t="s">
        <v>403</v>
      </c>
      <c r="G402" s="25">
        <f t="shared" si="5"/>
        <v>3.4251462822891821E-3</v>
      </c>
    </row>
    <row r="403" spans="1:7">
      <c r="A403" s="42">
        <v>69.959999999999994</v>
      </c>
      <c r="B403" s="42">
        <v>70.989999999999995</v>
      </c>
      <c r="C403" s="42">
        <v>68.734999999999999</v>
      </c>
      <c r="D403" s="42">
        <v>69</v>
      </c>
      <c r="E403" s="42">
        <v>3153680</v>
      </c>
      <c r="F403" s="42" t="s">
        <v>404</v>
      </c>
      <c r="G403" s="25">
        <f t="shared" si="5"/>
        <v>1.3913043478260834E-2</v>
      </c>
    </row>
    <row r="404" spans="1:7">
      <c r="A404" s="42">
        <v>68.91</v>
      </c>
      <c r="B404" s="42">
        <v>68.98</v>
      </c>
      <c r="C404" s="42">
        <v>67.694999999999993</v>
      </c>
      <c r="D404" s="42">
        <v>68.790000000000006</v>
      </c>
      <c r="E404" s="42">
        <v>4671422</v>
      </c>
      <c r="F404" s="42" t="s">
        <v>405</v>
      </c>
      <c r="G404" s="25">
        <f t="shared" si="5"/>
        <v>1.7444395987786798E-3</v>
      </c>
    </row>
    <row r="405" spans="1:7">
      <c r="A405" s="42">
        <v>68.61</v>
      </c>
      <c r="B405" s="42">
        <v>70.25</v>
      </c>
      <c r="C405" s="42">
        <v>67.894999999999996</v>
      </c>
      <c r="D405" s="42">
        <v>69.819999999999993</v>
      </c>
      <c r="E405" s="42">
        <v>5193568</v>
      </c>
      <c r="F405" s="42" t="s">
        <v>406</v>
      </c>
      <c r="G405" s="25">
        <f t="shared" si="5"/>
        <v>-1.733027785734742E-2</v>
      </c>
    </row>
    <row r="406" spans="1:7">
      <c r="A406" s="42">
        <v>69</v>
      </c>
      <c r="B406" s="42">
        <v>69.69</v>
      </c>
      <c r="C406" s="42">
        <v>68.37</v>
      </c>
      <c r="D406" s="42">
        <v>69.69</v>
      </c>
      <c r="E406" s="42">
        <v>3408061</v>
      </c>
      <c r="F406" s="42" t="s">
        <v>407</v>
      </c>
      <c r="G406" s="25">
        <f t="shared" si="5"/>
        <v>-9.9009900990099098E-3</v>
      </c>
    </row>
    <row r="407" spans="1:7">
      <c r="A407" s="42">
        <v>69.7</v>
      </c>
      <c r="B407" s="42">
        <v>71.010000000000005</v>
      </c>
      <c r="C407" s="42">
        <v>69.650000000000006</v>
      </c>
      <c r="D407" s="42">
        <v>70.88</v>
      </c>
      <c r="E407" s="42">
        <v>3058490</v>
      </c>
      <c r="F407" s="42" t="s">
        <v>408</v>
      </c>
      <c r="G407" s="25">
        <f t="shared" si="5"/>
        <v>-1.6647855530473987E-2</v>
      </c>
    </row>
    <row r="408" spans="1:7">
      <c r="A408" s="42">
        <v>70.349999999999994</v>
      </c>
      <c r="B408" s="42">
        <v>71.09</v>
      </c>
      <c r="C408" s="42">
        <v>69.88</v>
      </c>
      <c r="D408" s="42">
        <v>70.099999999999994</v>
      </c>
      <c r="E408" s="42">
        <v>2735060</v>
      </c>
      <c r="F408" s="42" t="s">
        <v>409</v>
      </c>
      <c r="G408" s="25">
        <f t="shared" si="5"/>
        <v>3.566333808844524E-3</v>
      </c>
    </row>
    <row r="409" spans="1:7">
      <c r="A409" s="42">
        <v>70.48</v>
      </c>
      <c r="B409" s="42">
        <v>71.61</v>
      </c>
      <c r="C409" s="42">
        <v>69.739999999999995</v>
      </c>
      <c r="D409" s="42">
        <v>71.5</v>
      </c>
      <c r="E409" s="42">
        <v>4043935</v>
      </c>
      <c r="F409" s="42" t="s">
        <v>410</v>
      </c>
      <c r="G409" s="25">
        <f t="shared" si="5"/>
        <v>-1.4265734265734187E-2</v>
      </c>
    </row>
    <row r="410" spans="1:7">
      <c r="A410" s="42">
        <v>71.8</v>
      </c>
      <c r="B410" s="42">
        <v>72.56</v>
      </c>
      <c r="C410" s="42">
        <v>71.09</v>
      </c>
      <c r="D410" s="42">
        <v>72.099999999999994</v>
      </c>
      <c r="E410" s="42">
        <v>3566753</v>
      </c>
      <c r="F410" s="42" t="s">
        <v>411</v>
      </c>
      <c r="G410" s="25">
        <f t="shared" si="5"/>
        <v>-4.1608876560332853E-3</v>
      </c>
    </row>
    <row r="411" spans="1:7">
      <c r="A411" s="42">
        <v>72.239999999999995</v>
      </c>
      <c r="B411" s="42">
        <v>72.58</v>
      </c>
      <c r="C411" s="42">
        <v>70.88</v>
      </c>
      <c r="D411" s="42">
        <v>72.25</v>
      </c>
      <c r="E411" s="42">
        <v>4164505</v>
      </c>
      <c r="F411" s="42" t="s">
        <v>412</v>
      </c>
      <c r="G411" s="25">
        <f t="shared" si="5"/>
        <v>-1.3840830449829422E-4</v>
      </c>
    </row>
    <row r="412" spans="1:7">
      <c r="A412" s="42">
        <v>72.099999999999994</v>
      </c>
      <c r="B412" s="42">
        <v>74.599999999999994</v>
      </c>
      <c r="C412" s="42">
        <v>71.599999999999994</v>
      </c>
      <c r="D412" s="42">
        <v>73.48</v>
      </c>
      <c r="E412" s="42">
        <v>5566362</v>
      </c>
      <c r="F412" s="42" t="s">
        <v>413</v>
      </c>
      <c r="G412" s="25">
        <f t="shared" si="5"/>
        <v>-1.8780620577027896E-2</v>
      </c>
    </row>
    <row r="413" spans="1:7">
      <c r="A413" s="42">
        <v>73.44</v>
      </c>
      <c r="B413" s="42">
        <v>76.06</v>
      </c>
      <c r="C413" s="42">
        <v>70.88</v>
      </c>
      <c r="D413" s="42">
        <v>73.400000000000006</v>
      </c>
      <c r="E413" s="42">
        <v>14562597</v>
      </c>
      <c r="F413" s="42" t="s">
        <v>414</v>
      </c>
      <c r="G413" s="25">
        <f t="shared" si="5"/>
        <v>5.4495912806529212E-4</v>
      </c>
    </row>
    <row r="414" spans="1:7">
      <c r="A414" s="42">
        <v>74.849999999999994</v>
      </c>
      <c r="B414" s="42">
        <v>75.13</v>
      </c>
      <c r="C414" s="42">
        <v>73.03</v>
      </c>
      <c r="D414" s="42">
        <v>73.209999999999994</v>
      </c>
      <c r="E414" s="42">
        <v>9945217</v>
      </c>
      <c r="F414" s="42" t="s">
        <v>415</v>
      </c>
      <c r="G414" s="25">
        <f t="shared" si="5"/>
        <v>2.2401311296271098E-2</v>
      </c>
    </row>
    <row r="415" spans="1:7">
      <c r="A415" s="42">
        <v>72.48</v>
      </c>
      <c r="B415" s="42">
        <v>73.23</v>
      </c>
      <c r="C415" s="42">
        <v>72.2</v>
      </c>
      <c r="D415" s="42">
        <v>72.319999999999993</v>
      </c>
      <c r="E415" s="42">
        <v>4293271</v>
      </c>
      <c r="F415" s="42" t="s">
        <v>416</v>
      </c>
      <c r="G415" s="25">
        <f t="shared" si="5"/>
        <v>2.2123893805310324E-3</v>
      </c>
    </row>
    <row r="416" spans="1:7">
      <c r="A416" s="42">
        <v>73.08</v>
      </c>
      <c r="B416" s="42">
        <v>73.12</v>
      </c>
      <c r="C416" s="42">
        <v>71.84</v>
      </c>
      <c r="D416" s="42">
        <v>72.099999999999994</v>
      </c>
      <c r="E416" s="42">
        <v>2777881</v>
      </c>
      <c r="F416" s="42" t="s">
        <v>417</v>
      </c>
      <c r="G416" s="25">
        <f t="shared" si="5"/>
        <v>1.3592233009708687E-2</v>
      </c>
    </row>
    <row r="417" spans="1:7">
      <c r="A417" s="42">
        <v>72.61</v>
      </c>
      <c r="B417" s="42">
        <v>73.790000000000006</v>
      </c>
      <c r="C417" s="42">
        <v>71.81</v>
      </c>
      <c r="D417" s="42">
        <v>71.87</v>
      </c>
      <c r="E417" s="42">
        <v>3233057</v>
      </c>
      <c r="F417" s="42" t="s">
        <v>418</v>
      </c>
      <c r="G417" s="25">
        <f t="shared" si="5"/>
        <v>1.0296368443021953E-2</v>
      </c>
    </row>
    <row r="418" spans="1:7">
      <c r="A418" s="42">
        <v>72.38</v>
      </c>
      <c r="B418" s="42">
        <v>72.400000000000006</v>
      </c>
      <c r="C418" s="42">
        <v>69.260000000000005</v>
      </c>
      <c r="D418" s="42">
        <v>69.5</v>
      </c>
      <c r="E418" s="42">
        <v>3695232</v>
      </c>
      <c r="F418" s="42" t="s">
        <v>419</v>
      </c>
      <c r="G418" s="25">
        <f t="shared" si="5"/>
        <v>4.1438848920863247E-2</v>
      </c>
    </row>
    <row r="419" spans="1:7">
      <c r="A419" s="42">
        <v>69.55</v>
      </c>
      <c r="B419" s="42">
        <v>70.400000000000006</v>
      </c>
      <c r="C419" s="42">
        <v>69.203299999999999</v>
      </c>
      <c r="D419" s="42">
        <v>69.900000000000006</v>
      </c>
      <c r="E419" s="42">
        <v>3801182</v>
      </c>
      <c r="F419" s="42" t="s">
        <v>420</v>
      </c>
      <c r="G419" s="25">
        <f t="shared" si="5"/>
        <v>-5.0071530758227789E-3</v>
      </c>
    </row>
    <row r="420" spans="1:7">
      <c r="A420" s="42">
        <v>69.900000000000006</v>
      </c>
      <c r="B420" s="42">
        <v>69.959999999999994</v>
      </c>
      <c r="C420" s="42">
        <v>67.584999999999994</v>
      </c>
      <c r="D420" s="42">
        <v>67.59</v>
      </c>
      <c r="E420" s="42">
        <v>4703733</v>
      </c>
      <c r="F420" s="42" t="s">
        <v>421</v>
      </c>
      <c r="G420" s="25">
        <f t="shared" si="5"/>
        <v>3.4176653351087438E-2</v>
      </c>
    </row>
    <row r="421" spans="1:7">
      <c r="A421" s="42">
        <v>67.099999999999994</v>
      </c>
      <c r="B421" s="42">
        <v>69.09</v>
      </c>
      <c r="C421" s="42">
        <v>67.040000000000006</v>
      </c>
      <c r="D421" s="42">
        <v>69</v>
      </c>
      <c r="E421" s="42">
        <v>5620116</v>
      </c>
      <c r="F421" s="42" t="s">
        <v>422</v>
      </c>
      <c r="G421" s="25">
        <f t="shared" si="5"/>
        <v>-2.7536231884058071E-2</v>
      </c>
    </row>
    <row r="422" spans="1:7">
      <c r="A422" s="42">
        <v>69.180000000000007</v>
      </c>
      <c r="B422" s="42">
        <v>69.81</v>
      </c>
      <c r="C422" s="42">
        <v>68.19</v>
      </c>
      <c r="D422" s="42">
        <v>69.81</v>
      </c>
      <c r="E422" s="42">
        <v>3482918</v>
      </c>
      <c r="F422" s="42" t="s">
        <v>423</v>
      </c>
      <c r="G422" s="25">
        <f t="shared" si="5"/>
        <v>-9.0244950580145034E-3</v>
      </c>
    </row>
    <row r="423" spans="1:7">
      <c r="A423" s="42">
        <v>69.209999999999994</v>
      </c>
      <c r="B423" s="42">
        <v>70.02</v>
      </c>
      <c r="C423" s="42">
        <v>69.06</v>
      </c>
      <c r="D423" s="42">
        <v>69.98</v>
      </c>
      <c r="E423" s="42">
        <v>3942344</v>
      </c>
      <c r="F423" s="42" t="s">
        <v>424</v>
      </c>
      <c r="G423" s="25">
        <f t="shared" si="5"/>
        <v>-1.1003143755358824E-2</v>
      </c>
    </row>
    <row r="424" spans="1:7">
      <c r="A424" s="42">
        <v>69.56</v>
      </c>
      <c r="B424" s="42">
        <v>70</v>
      </c>
      <c r="C424" s="42">
        <v>68.569999999999993</v>
      </c>
      <c r="D424" s="42">
        <v>69.16</v>
      </c>
      <c r="E424" s="42">
        <v>4719426</v>
      </c>
      <c r="F424" s="42" t="s">
        <v>425</v>
      </c>
      <c r="G424" s="25">
        <f t="shared" si="5"/>
        <v>5.7836899942163011E-3</v>
      </c>
    </row>
    <row r="425" spans="1:7">
      <c r="A425" s="42">
        <v>69.62</v>
      </c>
      <c r="B425" s="42">
        <v>69.724999999999994</v>
      </c>
      <c r="C425" s="42">
        <v>68.83</v>
      </c>
      <c r="D425" s="42">
        <v>69.17</v>
      </c>
      <c r="E425" s="42">
        <v>2625079</v>
      </c>
      <c r="F425" s="42" t="s">
        <v>426</v>
      </c>
      <c r="G425" s="25">
        <f t="shared" si="5"/>
        <v>6.5057105681654015E-3</v>
      </c>
    </row>
    <row r="426" spans="1:7">
      <c r="A426" s="42">
        <v>69.430000000000007</v>
      </c>
      <c r="B426" s="42">
        <v>69.63</v>
      </c>
      <c r="C426" s="42">
        <v>68.569999999999993</v>
      </c>
      <c r="D426" s="42">
        <v>68.86</v>
      </c>
      <c r="E426" s="42">
        <v>3944442</v>
      </c>
      <c r="F426" s="42" t="s">
        <v>427</v>
      </c>
      <c r="G426" s="25">
        <f t="shared" si="5"/>
        <v>8.2776648271856157E-3</v>
      </c>
    </row>
    <row r="427" spans="1:7">
      <c r="A427" s="42">
        <v>68.62</v>
      </c>
      <c r="B427" s="42">
        <v>69.571700000000007</v>
      </c>
      <c r="C427" s="42">
        <v>67.81</v>
      </c>
      <c r="D427" s="42">
        <v>68.099999999999994</v>
      </c>
      <c r="E427" s="42">
        <v>3605425</v>
      </c>
      <c r="F427" s="42" t="s">
        <v>428</v>
      </c>
      <c r="G427" s="25">
        <f t="shared" si="5"/>
        <v>7.6358296622616173E-3</v>
      </c>
    </row>
    <row r="428" spans="1:7">
      <c r="A428" s="42">
        <v>68.11</v>
      </c>
      <c r="B428" s="42">
        <v>68.989999999999995</v>
      </c>
      <c r="C428" s="42">
        <v>66.22</v>
      </c>
      <c r="D428" s="42">
        <v>66.45</v>
      </c>
      <c r="E428" s="42">
        <v>6336526</v>
      </c>
      <c r="F428" s="42" t="s">
        <v>429</v>
      </c>
      <c r="G428" s="25">
        <f t="shared" si="5"/>
        <v>2.4981188863807402E-2</v>
      </c>
    </row>
    <row r="429" spans="1:7">
      <c r="A429" s="42">
        <v>65.680000000000007</v>
      </c>
      <c r="B429" s="42">
        <v>67.149900000000002</v>
      </c>
      <c r="C429" s="42">
        <v>65.58</v>
      </c>
      <c r="D429" s="42">
        <v>66.819999999999993</v>
      </c>
      <c r="E429" s="42">
        <v>3457495</v>
      </c>
      <c r="F429" s="42" t="s">
        <v>430</v>
      </c>
      <c r="G429" s="25">
        <f t="shared" si="5"/>
        <v>-1.7060760251421558E-2</v>
      </c>
    </row>
    <row r="430" spans="1:7">
      <c r="A430" s="42">
        <v>67.099999999999994</v>
      </c>
      <c r="B430" s="42">
        <v>67.19</v>
      </c>
      <c r="C430" s="42">
        <v>64.760000000000005</v>
      </c>
      <c r="D430" s="42">
        <v>65.7</v>
      </c>
      <c r="E430" s="42">
        <v>3771585</v>
      </c>
      <c r="F430" s="42" t="s">
        <v>431</v>
      </c>
      <c r="G430" s="25">
        <f t="shared" si="5"/>
        <v>2.130898021308969E-2</v>
      </c>
    </row>
    <row r="431" spans="1:7">
      <c r="A431" s="42">
        <v>66</v>
      </c>
      <c r="B431" s="42">
        <v>67.39</v>
      </c>
      <c r="C431" s="42">
        <v>65.290000000000006</v>
      </c>
      <c r="D431" s="42">
        <v>67.39</v>
      </c>
      <c r="E431" s="42">
        <v>3937864</v>
      </c>
      <c r="F431" s="42" t="s">
        <v>432</v>
      </c>
      <c r="G431" s="25">
        <f t="shared" si="5"/>
        <v>-2.0626205668496822E-2</v>
      </c>
    </row>
    <row r="432" spans="1:7">
      <c r="A432" s="42">
        <v>67.040000000000006</v>
      </c>
      <c r="B432" s="42">
        <v>68.27</v>
      </c>
      <c r="C432" s="42">
        <v>66.495000000000005</v>
      </c>
      <c r="D432" s="42">
        <v>67.77</v>
      </c>
      <c r="E432" s="42">
        <v>4106205</v>
      </c>
      <c r="F432" s="42" t="s">
        <v>433</v>
      </c>
      <c r="G432" s="25">
        <f t="shared" si="5"/>
        <v>-1.0771727903201911E-2</v>
      </c>
    </row>
    <row r="433" spans="1:7">
      <c r="A433" s="42">
        <v>67.290000000000006</v>
      </c>
      <c r="B433" s="42">
        <v>68.599999999999994</v>
      </c>
      <c r="C433" s="42">
        <v>67.14</v>
      </c>
      <c r="D433" s="42">
        <v>68.3</v>
      </c>
      <c r="E433" s="42">
        <v>4246993</v>
      </c>
      <c r="F433" s="42" t="s">
        <v>434</v>
      </c>
      <c r="G433" s="25">
        <f t="shared" si="5"/>
        <v>-1.4787701317715785E-2</v>
      </c>
    </row>
    <row r="434" spans="1:7">
      <c r="A434" s="42">
        <v>67.53</v>
      </c>
      <c r="B434" s="42">
        <v>67.709999999999994</v>
      </c>
      <c r="C434" s="42">
        <v>66.33</v>
      </c>
      <c r="D434" s="42">
        <v>67</v>
      </c>
      <c r="E434" s="42">
        <v>3295219</v>
      </c>
      <c r="F434" s="42" t="s">
        <v>435</v>
      </c>
      <c r="G434" s="25">
        <f t="shared" si="5"/>
        <v>7.9104477611939839E-3</v>
      </c>
    </row>
    <row r="435" spans="1:7">
      <c r="A435" s="42">
        <v>66.73</v>
      </c>
      <c r="B435" s="42">
        <v>68.680000000000007</v>
      </c>
      <c r="C435" s="42">
        <v>66.319999999999993</v>
      </c>
      <c r="D435" s="42">
        <v>68.61</v>
      </c>
      <c r="E435" s="42">
        <v>4131292</v>
      </c>
      <c r="F435" s="42" t="s">
        <v>436</v>
      </c>
      <c r="G435" s="25">
        <f t="shared" si="5"/>
        <v>-2.7401253461594499E-2</v>
      </c>
    </row>
    <row r="436" spans="1:7">
      <c r="A436" s="42">
        <v>68.66</v>
      </c>
      <c r="B436" s="42">
        <v>69.999899999999997</v>
      </c>
      <c r="C436" s="42">
        <v>68.554400000000001</v>
      </c>
      <c r="D436" s="42">
        <v>69.86</v>
      </c>
      <c r="E436" s="42">
        <v>3242519</v>
      </c>
      <c r="F436" s="42" t="s">
        <v>437</v>
      </c>
      <c r="G436" s="25">
        <f t="shared" si="5"/>
        <v>-1.717721156598917E-2</v>
      </c>
    </row>
    <row r="437" spans="1:7">
      <c r="A437" s="42">
        <v>69.7</v>
      </c>
      <c r="B437" s="42">
        <v>70.92</v>
      </c>
      <c r="C437" s="42">
        <v>69.61</v>
      </c>
      <c r="D437" s="42">
        <v>70.47</v>
      </c>
      <c r="E437" s="42">
        <v>3301829</v>
      </c>
      <c r="F437" s="42" t="s">
        <v>438</v>
      </c>
      <c r="G437" s="25">
        <f t="shared" si="5"/>
        <v>-1.0926635447708222E-2</v>
      </c>
    </row>
    <row r="438" spans="1:7">
      <c r="A438" s="42">
        <v>70.430000000000007</v>
      </c>
      <c r="B438" s="42">
        <v>71.91</v>
      </c>
      <c r="C438" s="42">
        <v>69.709999999999994</v>
      </c>
      <c r="D438" s="42">
        <v>71.91</v>
      </c>
      <c r="E438" s="42">
        <v>7711855</v>
      </c>
      <c r="F438" s="42" t="s">
        <v>439</v>
      </c>
      <c r="G438" s="25">
        <f t="shared" si="5"/>
        <v>-2.0581282158253278E-2</v>
      </c>
    </row>
    <row r="439" spans="1:7">
      <c r="A439" s="42">
        <v>71.92</v>
      </c>
      <c r="B439" s="42">
        <v>72.34</v>
      </c>
      <c r="C439" s="42">
        <v>70.267099999999999</v>
      </c>
      <c r="D439" s="42">
        <v>70.88</v>
      </c>
      <c r="E439" s="42">
        <v>4184210</v>
      </c>
      <c r="F439" s="42" t="s">
        <v>440</v>
      </c>
      <c r="G439" s="25">
        <f t="shared" si="5"/>
        <v>1.4672686230248422E-2</v>
      </c>
    </row>
    <row r="440" spans="1:7">
      <c r="A440" s="42">
        <v>69.459999999999994</v>
      </c>
      <c r="B440" s="42">
        <v>70.63</v>
      </c>
      <c r="C440" s="42">
        <v>69.08</v>
      </c>
      <c r="D440" s="42">
        <v>69.400000000000006</v>
      </c>
      <c r="E440" s="42">
        <v>3421445</v>
      </c>
      <c r="F440" s="42" t="s">
        <v>441</v>
      </c>
      <c r="G440" s="25">
        <f t="shared" si="5"/>
        <v>8.6455331412094161E-4</v>
      </c>
    </row>
    <row r="441" spans="1:7">
      <c r="A441" s="42">
        <v>68.94</v>
      </c>
      <c r="B441" s="42">
        <v>70.97</v>
      </c>
      <c r="C441" s="42">
        <v>68.59</v>
      </c>
      <c r="D441" s="42">
        <v>69.989999999999995</v>
      </c>
      <c r="E441" s="42">
        <v>5084246</v>
      </c>
      <c r="F441" s="42" t="s">
        <v>442</v>
      </c>
      <c r="G441" s="25">
        <f t="shared" si="5"/>
        <v>-1.5002143163309056E-2</v>
      </c>
    </row>
    <row r="442" spans="1:7">
      <c r="A442" s="42">
        <v>70.09</v>
      </c>
      <c r="B442" s="42">
        <v>71.52</v>
      </c>
      <c r="C442" s="42">
        <v>69.930000000000007</v>
      </c>
      <c r="D442" s="42">
        <v>70.42</v>
      </c>
      <c r="E442" s="42">
        <v>4171770</v>
      </c>
      <c r="F442" s="42" t="s">
        <v>443</v>
      </c>
      <c r="G442" s="25">
        <f t="shared" si="5"/>
        <v>-4.686168702073279E-3</v>
      </c>
    </row>
    <row r="443" spans="1:7">
      <c r="A443" s="42">
        <v>69.510000000000005</v>
      </c>
      <c r="B443" s="42">
        <v>69.900000000000006</v>
      </c>
      <c r="C443" s="42">
        <v>68.14</v>
      </c>
      <c r="D443" s="42">
        <v>68.97</v>
      </c>
      <c r="E443" s="42">
        <v>2615490</v>
      </c>
      <c r="F443" s="42" t="s">
        <v>444</v>
      </c>
      <c r="G443" s="25">
        <f t="shared" si="5"/>
        <v>7.8294910830796205E-3</v>
      </c>
    </row>
    <row r="444" spans="1:7">
      <c r="A444" s="42">
        <v>68.819999999999993</v>
      </c>
      <c r="B444" s="42">
        <v>69.3</v>
      </c>
      <c r="C444" s="42">
        <v>67.344099999999997</v>
      </c>
      <c r="D444" s="42">
        <v>68.47</v>
      </c>
      <c r="E444" s="42">
        <v>3595249</v>
      </c>
      <c r="F444" s="42" t="s">
        <v>445</v>
      </c>
      <c r="G444" s="25">
        <f t="shared" si="5"/>
        <v>5.111727763984053E-3</v>
      </c>
    </row>
    <row r="445" spans="1:7">
      <c r="A445" s="42">
        <v>68.47</v>
      </c>
      <c r="B445" s="42">
        <v>68.56</v>
      </c>
      <c r="C445" s="42">
        <v>66.86</v>
      </c>
      <c r="D445" s="42">
        <v>68.38</v>
      </c>
      <c r="E445" s="42">
        <v>3962477</v>
      </c>
      <c r="F445" s="42" t="s">
        <v>446</v>
      </c>
      <c r="G445" s="25">
        <f t="shared" si="5"/>
        <v>1.3161743199765485E-3</v>
      </c>
    </row>
    <row r="446" spans="1:7">
      <c r="A446" s="42">
        <v>68.55</v>
      </c>
      <c r="B446" s="42">
        <v>70.010000000000005</v>
      </c>
      <c r="C446" s="42">
        <v>68.06</v>
      </c>
      <c r="D446" s="42">
        <v>69.83</v>
      </c>
      <c r="E446" s="42">
        <v>2559305</v>
      </c>
      <c r="F446" s="42" t="s">
        <v>447</v>
      </c>
      <c r="G446" s="25">
        <f t="shared" si="5"/>
        <v>-1.8330230559931326E-2</v>
      </c>
    </row>
    <row r="447" spans="1:7">
      <c r="A447" s="42">
        <v>69.709999999999994</v>
      </c>
      <c r="B447" s="42">
        <v>71.56</v>
      </c>
      <c r="C447" s="42">
        <v>68.739999999999995</v>
      </c>
      <c r="D447" s="42">
        <v>68.87</v>
      </c>
      <c r="E447" s="42">
        <v>3632786</v>
      </c>
      <c r="F447" s="42" t="s">
        <v>448</v>
      </c>
      <c r="G447" s="25">
        <f t="shared" si="5"/>
        <v>1.2196892696384243E-2</v>
      </c>
    </row>
    <row r="448" spans="1:7">
      <c r="A448" s="42">
        <v>68.61</v>
      </c>
      <c r="B448" s="42">
        <v>69.27</v>
      </c>
      <c r="C448" s="42">
        <v>66.95</v>
      </c>
      <c r="D448" s="42">
        <v>69.239999999999995</v>
      </c>
      <c r="E448" s="42">
        <v>3698941</v>
      </c>
      <c r="F448" s="42" t="s">
        <v>449</v>
      </c>
      <c r="G448" s="25">
        <f t="shared" si="5"/>
        <v>-9.0987868284228002E-3</v>
      </c>
    </row>
    <row r="449" spans="1:7">
      <c r="A449" s="42">
        <v>69.05</v>
      </c>
      <c r="B449" s="42">
        <v>69.8</v>
      </c>
      <c r="C449" s="42">
        <v>67.52</v>
      </c>
      <c r="D449" s="42">
        <v>69.655000000000001</v>
      </c>
      <c r="E449" s="42">
        <v>4723197</v>
      </c>
      <c r="F449" s="42" t="s">
        <v>450</v>
      </c>
      <c r="G449" s="25">
        <f t="shared" si="5"/>
        <v>-8.6856650635274146E-3</v>
      </c>
    </row>
    <row r="450" spans="1:7">
      <c r="A450" s="42">
        <v>69.819999999999993</v>
      </c>
      <c r="B450" s="42">
        <v>71.709999999999994</v>
      </c>
      <c r="C450" s="42">
        <v>69.33</v>
      </c>
      <c r="D450" s="42">
        <v>71.45</v>
      </c>
      <c r="E450" s="42">
        <v>4308057</v>
      </c>
      <c r="F450" s="42" t="s">
        <v>451</v>
      </c>
      <c r="G450" s="25">
        <f t="shared" si="5"/>
        <v>-2.2813156053184125E-2</v>
      </c>
    </row>
    <row r="451" spans="1:7">
      <c r="A451" s="42">
        <v>72.36</v>
      </c>
      <c r="B451" s="42">
        <v>73.28</v>
      </c>
      <c r="C451" s="42">
        <v>68.91</v>
      </c>
      <c r="D451" s="42">
        <v>68.91</v>
      </c>
      <c r="E451" s="42">
        <v>5226589</v>
      </c>
      <c r="F451" s="42" t="s">
        <v>452</v>
      </c>
      <c r="G451" s="25">
        <f t="shared" ref="G451:G514" si="6">A451/D451-1</f>
        <v>5.0065302568567782E-2</v>
      </c>
    </row>
    <row r="452" spans="1:7">
      <c r="A452" s="42">
        <v>69.34</v>
      </c>
      <c r="B452" s="42">
        <v>70.430000000000007</v>
      </c>
      <c r="C452" s="42">
        <v>68.989999999999995</v>
      </c>
      <c r="D452" s="42">
        <v>70</v>
      </c>
      <c r="E452" s="42">
        <v>4614225</v>
      </c>
      <c r="F452" s="42" t="s">
        <v>453</v>
      </c>
      <c r="G452" s="25">
        <f t="shared" si="6"/>
        <v>-9.4285714285713418E-3</v>
      </c>
    </row>
    <row r="453" spans="1:7">
      <c r="A453" s="42">
        <v>69.62</v>
      </c>
      <c r="B453" s="42">
        <v>71.5</v>
      </c>
      <c r="C453" s="42">
        <v>69.45</v>
      </c>
      <c r="D453" s="42">
        <v>71.150000000000006</v>
      </c>
      <c r="E453" s="42">
        <v>3876367</v>
      </c>
      <c r="F453" s="42" t="s">
        <v>454</v>
      </c>
      <c r="G453" s="25">
        <f t="shared" si="6"/>
        <v>-2.1503865073787765E-2</v>
      </c>
    </row>
    <row r="454" spans="1:7">
      <c r="A454" s="42">
        <v>70.48</v>
      </c>
      <c r="B454" s="42">
        <v>72.22</v>
      </c>
      <c r="C454" s="42">
        <v>70.31</v>
      </c>
      <c r="D454" s="42">
        <v>72.06</v>
      </c>
      <c r="E454" s="42">
        <v>4090379</v>
      </c>
      <c r="F454" s="42" t="s">
        <v>455</v>
      </c>
      <c r="G454" s="25">
        <f t="shared" si="6"/>
        <v>-2.1926172633916163E-2</v>
      </c>
    </row>
    <row r="455" spans="1:7">
      <c r="A455" s="42">
        <v>72.239999999999995</v>
      </c>
      <c r="B455" s="42">
        <v>74.31</v>
      </c>
      <c r="C455" s="42">
        <v>71.95</v>
      </c>
      <c r="D455" s="42">
        <v>74.14</v>
      </c>
      <c r="E455" s="42">
        <v>3458221</v>
      </c>
      <c r="F455" s="42" t="s">
        <v>456</v>
      </c>
      <c r="G455" s="25">
        <f t="shared" si="6"/>
        <v>-2.5627191799298732E-2</v>
      </c>
    </row>
    <row r="456" spans="1:7">
      <c r="A456" s="42">
        <v>73.67</v>
      </c>
      <c r="B456" s="42">
        <v>75</v>
      </c>
      <c r="C456" s="42">
        <v>73.510000000000005</v>
      </c>
      <c r="D456" s="42">
        <v>73.66</v>
      </c>
      <c r="E456" s="42">
        <v>2570091</v>
      </c>
      <c r="F456" s="42" t="s">
        <v>457</v>
      </c>
      <c r="G456" s="25">
        <f t="shared" si="6"/>
        <v>1.3575889220751591E-4</v>
      </c>
    </row>
    <row r="457" spans="1:7">
      <c r="A457" s="42">
        <v>74.069999999999993</v>
      </c>
      <c r="B457" s="42">
        <v>75.194999999999993</v>
      </c>
      <c r="C457" s="42">
        <v>72.08</v>
      </c>
      <c r="D457" s="42">
        <v>72.349999999999994</v>
      </c>
      <c r="E457" s="42">
        <v>3358127</v>
      </c>
      <c r="F457" s="42" t="s">
        <v>458</v>
      </c>
      <c r="G457" s="25">
        <f t="shared" si="6"/>
        <v>2.3773324118866679E-2</v>
      </c>
    </row>
    <row r="458" spans="1:7">
      <c r="A458" s="42">
        <v>72.28</v>
      </c>
      <c r="B458" s="42">
        <v>74.56</v>
      </c>
      <c r="C458" s="42">
        <v>72.180000000000007</v>
      </c>
      <c r="D458" s="42">
        <v>73.67</v>
      </c>
      <c r="E458" s="42">
        <v>3570087</v>
      </c>
      <c r="F458" s="42" t="s">
        <v>459</v>
      </c>
      <c r="G458" s="25">
        <f t="shared" si="6"/>
        <v>-1.8867924528301883E-2</v>
      </c>
    </row>
    <row r="459" spans="1:7">
      <c r="A459" s="42">
        <v>73.2</v>
      </c>
      <c r="B459" s="42">
        <v>73.75</v>
      </c>
      <c r="C459" s="42">
        <v>72.150000000000006</v>
      </c>
      <c r="D459" s="42">
        <v>73.75</v>
      </c>
      <c r="E459" s="42">
        <v>4152511</v>
      </c>
      <c r="F459" s="42" t="s">
        <v>460</v>
      </c>
      <c r="G459" s="25">
        <f t="shared" si="6"/>
        <v>-7.4576271186440612E-3</v>
      </c>
    </row>
    <row r="460" spans="1:7">
      <c r="A460" s="42">
        <v>72.849999999999994</v>
      </c>
      <c r="B460" s="42">
        <v>77.58</v>
      </c>
      <c r="C460" s="42">
        <v>72.39</v>
      </c>
      <c r="D460" s="42">
        <v>76</v>
      </c>
      <c r="E460" s="42">
        <v>7704715</v>
      </c>
      <c r="F460" s="42" t="s">
        <v>461</v>
      </c>
      <c r="G460" s="25">
        <f t="shared" si="6"/>
        <v>-4.1447368421052677E-2</v>
      </c>
    </row>
    <row r="461" spans="1:7">
      <c r="A461" s="42">
        <v>77.69</v>
      </c>
      <c r="B461" s="42">
        <v>77.77</v>
      </c>
      <c r="C461" s="42">
        <v>74.5</v>
      </c>
      <c r="D461" s="42">
        <v>74.78</v>
      </c>
      <c r="E461" s="42">
        <v>3645990</v>
      </c>
      <c r="F461" s="42" t="s">
        <v>462</v>
      </c>
      <c r="G461" s="25">
        <f t="shared" si="6"/>
        <v>3.891414816795935E-2</v>
      </c>
    </row>
    <row r="462" spans="1:7">
      <c r="A462" s="42">
        <v>74.650000000000006</v>
      </c>
      <c r="B462" s="42">
        <v>74.73</v>
      </c>
      <c r="C462" s="42">
        <v>72.510000000000005</v>
      </c>
      <c r="D462" s="42">
        <v>72.569999999999993</v>
      </c>
      <c r="E462" s="42">
        <v>3122863</v>
      </c>
      <c r="F462" s="42" t="s">
        <v>463</v>
      </c>
      <c r="G462" s="25">
        <f t="shared" si="6"/>
        <v>2.8661981535069714E-2</v>
      </c>
    </row>
    <row r="463" spans="1:7">
      <c r="A463" s="42">
        <v>72.36</v>
      </c>
      <c r="B463" s="42">
        <v>72.459999999999994</v>
      </c>
      <c r="C463" s="42">
        <v>69.900000000000006</v>
      </c>
      <c r="D463" s="42">
        <v>70.97</v>
      </c>
      <c r="E463" s="42">
        <v>4827378</v>
      </c>
      <c r="F463" s="42" t="s">
        <v>464</v>
      </c>
      <c r="G463" s="25">
        <f t="shared" si="6"/>
        <v>1.9585740453712752E-2</v>
      </c>
    </row>
    <row r="464" spans="1:7">
      <c r="A464" s="42">
        <v>70.05</v>
      </c>
      <c r="B464" s="42">
        <v>71.02</v>
      </c>
      <c r="C464" s="42">
        <v>69.655000000000001</v>
      </c>
      <c r="D464" s="42">
        <v>70.400000000000006</v>
      </c>
      <c r="E464" s="42">
        <v>5101958</v>
      </c>
      <c r="F464" s="42" t="s">
        <v>465</v>
      </c>
      <c r="G464" s="25">
        <f t="shared" si="6"/>
        <v>-4.9715909090910504E-3</v>
      </c>
    </row>
    <row r="465" spans="1:7">
      <c r="A465" s="42">
        <v>71.02</v>
      </c>
      <c r="B465" s="42">
        <v>72.150000000000006</v>
      </c>
      <c r="C465" s="42">
        <v>70.37</v>
      </c>
      <c r="D465" s="42">
        <v>71.010000000000005</v>
      </c>
      <c r="E465" s="42">
        <v>5309438</v>
      </c>
      <c r="F465" s="42" t="s">
        <v>466</v>
      </c>
      <c r="G465" s="25">
        <f t="shared" si="6"/>
        <v>1.4082523588210272E-4</v>
      </c>
    </row>
    <row r="466" spans="1:7">
      <c r="A466" s="42">
        <v>71.27</v>
      </c>
      <c r="B466" s="42">
        <v>72.12</v>
      </c>
      <c r="C466" s="42">
        <v>69.010000000000005</v>
      </c>
      <c r="D466" s="42">
        <v>69.760000000000005</v>
      </c>
      <c r="E466" s="42">
        <v>3348449</v>
      </c>
      <c r="F466" s="42" t="s">
        <v>467</v>
      </c>
      <c r="G466" s="25">
        <f t="shared" si="6"/>
        <v>2.1645642201834736E-2</v>
      </c>
    </row>
    <row r="467" spans="1:7">
      <c r="A467" s="42">
        <v>69.760000000000005</v>
      </c>
      <c r="B467" s="42">
        <v>72.34</v>
      </c>
      <c r="C467" s="42">
        <v>69.62</v>
      </c>
      <c r="D467" s="42">
        <v>71.56</v>
      </c>
      <c r="E467" s="42">
        <v>3933835</v>
      </c>
      <c r="F467" s="42" t="s">
        <v>468</v>
      </c>
      <c r="G467" s="25">
        <f t="shared" si="6"/>
        <v>-2.5153717160424804E-2</v>
      </c>
    </row>
    <row r="468" spans="1:7">
      <c r="A468" s="42">
        <v>71.5</v>
      </c>
      <c r="B468" s="42">
        <v>71.760000000000005</v>
      </c>
      <c r="C468" s="42">
        <v>69.795000000000002</v>
      </c>
      <c r="D468" s="42">
        <v>69.8</v>
      </c>
      <c r="E468" s="42">
        <v>5554353</v>
      </c>
      <c r="F468" s="42" t="s">
        <v>469</v>
      </c>
      <c r="G468" s="25">
        <f t="shared" si="6"/>
        <v>2.4355300859598916E-2</v>
      </c>
    </row>
    <row r="469" spans="1:7">
      <c r="A469" s="42">
        <v>69.319999999999993</v>
      </c>
      <c r="B469" s="42">
        <v>73.31</v>
      </c>
      <c r="C469" s="42">
        <v>69.069999999999993</v>
      </c>
      <c r="D469" s="42">
        <v>72.005399999999995</v>
      </c>
      <c r="E469" s="42">
        <v>10012543</v>
      </c>
      <c r="F469" s="42" t="s">
        <v>470</v>
      </c>
      <c r="G469" s="25">
        <f t="shared" si="6"/>
        <v>-3.7294425140336762E-2</v>
      </c>
    </row>
    <row r="470" spans="1:7">
      <c r="A470" s="42">
        <v>75.25</v>
      </c>
      <c r="B470" s="42">
        <v>77.319999999999993</v>
      </c>
      <c r="C470" s="42">
        <v>72.69</v>
      </c>
      <c r="D470" s="42">
        <v>72.92</v>
      </c>
      <c r="E470" s="42">
        <v>9063692</v>
      </c>
      <c r="F470" s="42" t="s">
        <v>471</v>
      </c>
      <c r="G470" s="25">
        <f t="shared" si="6"/>
        <v>3.1952825013713548E-2</v>
      </c>
    </row>
    <row r="471" spans="1:7">
      <c r="A471" s="42">
        <v>72.430000000000007</v>
      </c>
      <c r="B471" s="42">
        <v>75.149799999999999</v>
      </c>
      <c r="C471" s="42">
        <v>68.81</v>
      </c>
      <c r="D471" s="42">
        <v>69.16</v>
      </c>
      <c r="E471" s="42">
        <v>10692291</v>
      </c>
      <c r="F471" s="42" t="s">
        <v>472</v>
      </c>
      <c r="G471" s="25">
        <f t="shared" si="6"/>
        <v>4.7281665702718412E-2</v>
      </c>
    </row>
    <row r="472" spans="1:7">
      <c r="A472" s="42">
        <v>72.3</v>
      </c>
      <c r="B472" s="42">
        <v>72.61</v>
      </c>
      <c r="C472" s="42">
        <v>68.91</v>
      </c>
      <c r="D472" s="42">
        <v>69.45</v>
      </c>
      <c r="E472" s="42">
        <v>7633973</v>
      </c>
      <c r="F472" s="42" t="s">
        <v>473</v>
      </c>
      <c r="G472" s="25">
        <f t="shared" si="6"/>
        <v>4.1036717062634898E-2</v>
      </c>
    </row>
    <row r="473" spans="1:7">
      <c r="A473" s="42">
        <v>70.319999999999993</v>
      </c>
      <c r="B473" s="42">
        <v>71.23</v>
      </c>
      <c r="C473" s="42">
        <v>68.11</v>
      </c>
      <c r="D473" s="42">
        <v>68.150000000000006</v>
      </c>
      <c r="E473" s="42">
        <v>11193750</v>
      </c>
      <c r="F473" s="42" t="s">
        <v>474</v>
      </c>
      <c r="G473" s="25">
        <f t="shared" si="6"/>
        <v>3.1841526045487623E-2</v>
      </c>
    </row>
    <row r="474" spans="1:7">
      <c r="A474" s="42">
        <v>67.819999999999993</v>
      </c>
      <c r="B474" s="42">
        <v>70.88</v>
      </c>
      <c r="C474" s="42">
        <v>67</v>
      </c>
      <c r="D474" s="42">
        <v>69.900000000000006</v>
      </c>
      <c r="E474" s="42">
        <v>11128852</v>
      </c>
      <c r="F474" s="42" t="s">
        <v>475</v>
      </c>
      <c r="G474" s="25">
        <f t="shared" si="6"/>
        <v>-2.975679542203169E-2</v>
      </c>
    </row>
    <row r="475" spans="1:7">
      <c r="A475" s="42">
        <v>69.7</v>
      </c>
      <c r="B475" s="42">
        <v>70.8</v>
      </c>
      <c r="C475" s="42">
        <v>67.819999999999993</v>
      </c>
      <c r="D475" s="42">
        <v>68.540000000000006</v>
      </c>
      <c r="E475" s="42">
        <v>15509806</v>
      </c>
      <c r="F475" s="42" t="s">
        <v>476</v>
      </c>
      <c r="G475" s="25">
        <f t="shared" si="6"/>
        <v>1.6924423694193225E-2</v>
      </c>
    </row>
    <row r="476" spans="1:7">
      <c r="A476" s="42">
        <v>67.48</v>
      </c>
      <c r="B476" s="42">
        <v>68.930000000000007</v>
      </c>
      <c r="C476" s="42">
        <v>64.170100000000005</v>
      </c>
      <c r="D476" s="42">
        <v>65.03</v>
      </c>
      <c r="E476" s="42">
        <v>18397278</v>
      </c>
      <c r="F476" s="42" t="s">
        <v>477</v>
      </c>
      <c r="G476" s="25">
        <f t="shared" si="6"/>
        <v>3.7674919268030127E-2</v>
      </c>
    </row>
    <row r="477" spans="1:7">
      <c r="A477" s="42">
        <v>64</v>
      </c>
      <c r="B477" s="42">
        <v>67.44</v>
      </c>
      <c r="C477" s="42">
        <v>62.34</v>
      </c>
      <c r="D477" s="42">
        <v>66</v>
      </c>
      <c r="E477" s="42">
        <v>53914127</v>
      </c>
      <c r="F477" s="42" t="s">
        <v>478</v>
      </c>
      <c r="G477" s="25">
        <f t="shared" si="6"/>
        <v>-3.0303030303030276E-2</v>
      </c>
    </row>
    <row r="478" spans="1:7">
      <c r="A478" s="42">
        <v>107.85</v>
      </c>
      <c r="B478" s="42">
        <v>112.55</v>
      </c>
      <c r="C478" s="42">
        <v>107.56</v>
      </c>
      <c r="D478" s="42">
        <v>111.17</v>
      </c>
      <c r="E478" s="42">
        <v>11417975</v>
      </c>
      <c r="F478" s="42" t="s">
        <v>479</v>
      </c>
      <c r="G478" s="25">
        <f t="shared" si="6"/>
        <v>-2.9864171988845944E-2</v>
      </c>
    </row>
    <row r="479" spans="1:7">
      <c r="A479" s="42">
        <v>111.94</v>
      </c>
      <c r="B479" s="42">
        <v>113.08</v>
      </c>
      <c r="C479" s="42">
        <v>110</v>
      </c>
      <c r="D479" s="42">
        <v>111.97</v>
      </c>
      <c r="E479" s="42">
        <v>3614773</v>
      </c>
      <c r="F479" s="42" t="s">
        <v>480</v>
      </c>
      <c r="G479" s="25">
        <f t="shared" si="6"/>
        <v>-2.6792890952931359E-4</v>
      </c>
    </row>
    <row r="480" spans="1:7">
      <c r="A480" s="42">
        <v>112.13</v>
      </c>
      <c r="B480" s="42">
        <v>113.28</v>
      </c>
      <c r="C480" s="42">
        <v>110.441</v>
      </c>
      <c r="D480" s="42">
        <v>111.65</v>
      </c>
      <c r="E480" s="42">
        <v>2370361</v>
      </c>
      <c r="F480" s="42" t="s">
        <v>481</v>
      </c>
      <c r="G480" s="25">
        <f t="shared" si="6"/>
        <v>4.2991491267352355E-3</v>
      </c>
    </row>
    <row r="481" spans="1:7">
      <c r="A481" s="42">
        <v>111.65</v>
      </c>
      <c r="B481" s="42">
        <v>113.25</v>
      </c>
      <c r="C481" s="42">
        <v>110.75</v>
      </c>
      <c r="D481" s="42">
        <v>112.76</v>
      </c>
      <c r="E481" s="42">
        <v>1728965</v>
      </c>
      <c r="F481" s="42" t="s">
        <v>482</v>
      </c>
      <c r="G481" s="25">
        <f t="shared" si="6"/>
        <v>-9.8439162823695803E-3</v>
      </c>
    </row>
    <row r="482" spans="1:7">
      <c r="A482" s="42">
        <v>111.66</v>
      </c>
      <c r="B482" s="42">
        <v>112.155</v>
      </c>
      <c r="C482" s="42">
        <v>110.04</v>
      </c>
      <c r="D482" s="42">
        <v>111.73</v>
      </c>
      <c r="E482" s="42">
        <v>2274469</v>
      </c>
      <c r="F482" s="42" t="s">
        <v>483</v>
      </c>
      <c r="G482" s="25">
        <f t="shared" si="6"/>
        <v>-6.2651033742067153E-4</v>
      </c>
    </row>
    <row r="483" spans="1:7">
      <c r="A483" s="42">
        <v>110.7</v>
      </c>
      <c r="B483" s="42">
        <v>116.345</v>
      </c>
      <c r="C483" s="42">
        <v>110.65</v>
      </c>
      <c r="D483" s="42">
        <v>114.49</v>
      </c>
      <c r="E483" s="42">
        <v>2848504</v>
      </c>
      <c r="F483" s="42" t="s">
        <v>484</v>
      </c>
      <c r="G483" s="25">
        <f t="shared" si="6"/>
        <v>-3.3103327801554672E-2</v>
      </c>
    </row>
    <row r="484" spans="1:7">
      <c r="A484" s="42">
        <v>114.61</v>
      </c>
      <c r="B484" s="42">
        <v>117.19</v>
      </c>
      <c r="C484" s="42">
        <v>114.58</v>
      </c>
      <c r="D484" s="42">
        <v>116.04</v>
      </c>
      <c r="E484" s="42">
        <v>2562757</v>
      </c>
      <c r="F484" s="42" t="s">
        <v>485</v>
      </c>
      <c r="G484" s="25">
        <f t="shared" si="6"/>
        <v>-1.2323336780420635E-2</v>
      </c>
    </row>
    <row r="485" spans="1:7">
      <c r="A485" s="42">
        <v>116.06</v>
      </c>
      <c r="B485" s="42">
        <v>116.12</v>
      </c>
      <c r="C485" s="42">
        <v>112.08</v>
      </c>
      <c r="D485" s="42">
        <v>112.93</v>
      </c>
      <c r="E485" s="42">
        <v>2520629</v>
      </c>
      <c r="F485" s="42" t="s">
        <v>486</v>
      </c>
      <c r="G485" s="25">
        <f t="shared" si="6"/>
        <v>2.7716284423979332E-2</v>
      </c>
    </row>
    <row r="486" spans="1:7">
      <c r="A486" s="42">
        <v>113.01</v>
      </c>
      <c r="B486" s="42">
        <v>114.77</v>
      </c>
      <c r="C486" s="42">
        <v>112.05</v>
      </c>
      <c r="D486" s="42">
        <v>113.54</v>
      </c>
      <c r="E486" s="42">
        <v>1922836</v>
      </c>
      <c r="F486" s="42" t="s">
        <v>487</v>
      </c>
      <c r="G486" s="25">
        <f t="shared" si="6"/>
        <v>-4.6679584287475651E-3</v>
      </c>
    </row>
    <row r="487" spans="1:7">
      <c r="A487" s="42">
        <v>114.06</v>
      </c>
      <c r="B487" s="42">
        <v>115.34</v>
      </c>
      <c r="C487" s="42">
        <v>111.67</v>
      </c>
      <c r="D487" s="42">
        <v>112.65</v>
      </c>
      <c r="E487" s="42">
        <v>2300403</v>
      </c>
      <c r="F487" s="42" t="s">
        <v>488</v>
      </c>
      <c r="G487" s="25">
        <f t="shared" si="6"/>
        <v>1.2516644474034555E-2</v>
      </c>
    </row>
    <row r="488" spans="1:7">
      <c r="A488" s="42">
        <v>112.66</v>
      </c>
      <c r="B488" s="42">
        <v>113.79989999999999</v>
      </c>
      <c r="C488" s="42">
        <v>110.8</v>
      </c>
      <c r="D488" s="42">
        <v>111.125</v>
      </c>
      <c r="E488" s="42">
        <v>2013224</v>
      </c>
      <c r="F488" s="42" t="s">
        <v>489</v>
      </c>
      <c r="G488" s="25">
        <f t="shared" si="6"/>
        <v>1.3813273340832266E-2</v>
      </c>
    </row>
    <row r="489" spans="1:7">
      <c r="A489" s="42">
        <v>110.79</v>
      </c>
      <c r="B489" s="42">
        <v>111.29</v>
      </c>
      <c r="C489" s="42">
        <v>109.42</v>
      </c>
      <c r="D489" s="42">
        <v>110.84</v>
      </c>
      <c r="E489" s="42">
        <v>2151162</v>
      </c>
      <c r="F489" s="42" t="s">
        <v>490</v>
      </c>
      <c r="G489" s="25">
        <f t="shared" si="6"/>
        <v>-4.5110068567300043E-4</v>
      </c>
    </row>
    <row r="490" spans="1:7">
      <c r="A490" s="42">
        <v>110.84</v>
      </c>
      <c r="B490" s="42">
        <v>111.5185</v>
      </c>
      <c r="C490" s="42">
        <v>110.44</v>
      </c>
      <c r="D490" s="42">
        <v>111.32</v>
      </c>
      <c r="E490" s="42">
        <v>1291141</v>
      </c>
      <c r="F490" s="42" t="s">
        <v>491</v>
      </c>
      <c r="G490" s="25">
        <f t="shared" si="6"/>
        <v>-4.3118936399567653E-3</v>
      </c>
    </row>
    <row r="491" spans="1:7">
      <c r="A491" s="42">
        <v>110.97</v>
      </c>
      <c r="B491" s="42">
        <v>113.5</v>
      </c>
      <c r="C491" s="42">
        <v>110.63</v>
      </c>
      <c r="D491" s="42">
        <v>113.5</v>
      </c>
      <c r="E491" s="42">
        <v>1648272</v>
      </c>
      <c r="F491" s="42" t="s">
        <v>492</v>
      </c>
      <c r="G491" s="25">
        <f t="shared" si="6"/>
        <v>-2.2290748898678436E-2</v>
      </c>
    </row>
    <row r="492" spans="1:7">
      <c r="A492" s="42">
        <v>113.69</v>
      </c>
      <c r="B492" s="42">
        <v>113.83</v>
      </c>
      <c r="C492" s="42">
        <v>110.03</v>
      </c>
      <c r="D492" s="42">
        <v>111.17</v>
      </c>
      <c r="E492" s="42">
        <v>1347262</v>
      </c>
      <c r="F492" s="42" t="s">
        <v>493</v>
      </c>
      <c r="G492" s="25">
        <f t="shared" si="6"/>
        <v>2.2667985967437243E-2</v>
      </c>
    </row>
    <row r="493" spans="1:7">
      <c r="A493" s="42">
        <v>110.91</v>
      </c>
      <c r="B493" s="42">
        <v>112.49</v>
      </c>
      <c r="C493" s="42">
        <v>109.81</v>
      </c>
      <c r="D493" s="42">
        <v>112.4</v>
      </c>
      <c r="E493" s="42">
        <v>1353061</v>
      </c>
      <c r="F493" s="42" t="s">
        <v>494</v>
      </c>
      <c r="G493" s="25">
        <f t="shared" si="6"/>
        <v>-1.3256227758007166E-2</v>
      </c>
    </row>
    <row r="494" spans="1:7">
      <c r="A494" s="42">
        <v>112.49</v>
      </c>
      <c r="B494" s="42">
        <v>113.08</v>
      </c>
      <c r="C494" s="42">
        <v>111</v>
      </c>
      <c r="D494" s="42">
        <v>112.17</v>
      </c>
      <c r="E494" s="42">
        <v>1778550</v>
      </c>
      <c r="F494" s="42" t="s">
        <v>495</v>
      </c>
      <c r="G494" s="25">
        <f t="shared" si="6"/>
        <v>2.8528126950164712E-3</v>
      </c>
    </row>
    <row r="495" spans="1:7">
      <c r="A495" s="42">
        <v>112.17</v>
      </c>
      <c r="B495" s="42">
        <v>115.295</v>
      </c>
      <c r="C495" s="42">
        <v>111</v>
      </c>
      <c r="D495" s="42">
        <v>113</v>
      </c>
      <c r="E495" s="42">
        <v>2583626</v>
      </c>
      <c r="F495" s="42" t="s">
        <v>496</v>
      </c>
      <c r="G495" s="25">
        <f t="shared" si="6"/>
        <v>-7.3451327433627922E-3</v>
      </c>
    </row>
    <row r="496" spans="1:7">
      <c r="A496" s="42">
        <v>113.38</v>
      </c>
      <c r="B496" s="42">
        <v>114.58</v>
      </c>
      <c r="C496" s="42">
        <v>111.86</v>
      </c>
      <c r="D496" s="42">
        <v>114.29</v>
      </c>
      <c r="E496" s="42">
        <v>5429492</v>
      </c>
      <c r="F496" s="42" t="s">
        <v>497</v>
      </c>
      <c r="G496" s="25">
        <f t="shared" si="6"/>
        <v>-7.962201417446968E-3</v>
      </c>
    </row>
    <row r="497" spans="1:7">
      <c r="A497" s="42">
        <v>114.54</v>
      </c>
      <c r="B497" s="42">
        <v>114.97</v>
      </c>
      <c r="C497" s="42">
        <v>112.49</v>
      </c>
      <c r="D497" s="42">
        <v>112.69</v>
      </c>
      <c r="E497" s="42">
        <v>2473875</v>
      </c>
      <c r="F497" s="42" t="s">
        <v>498</v>
      </c>
      <c r="G497" s="25">
        <f t="shared" si="6"/>
        <v>1.6416718431094157E-2</v>
      </c>
    </row>
    <row r="498" spans="1:7">
      <c r="A498" s="42">
        <v>113.51</v>
      </c>
      <c r="B498" s="42">
        <v>113.83</v>
      </c>
      <c r="C498" s="42">
        <v>110.16</v>
      </c>
      <c r="D498" s="42">
        <v>110.28</v>
      </c>
      <c r="E498" s="42">
        <v>2543965</v>
      </c>
      <c r="F498" s="42" t="s">
        <v>499</v>
      </c>
      <c r="G498" s="25">
        <f t="shared" si="6"/>
        <v>2.9289082335872463E-2</v>
      </c>
    </row>
    <row r="499" spans="1:7">
      <c r="A499" s="42">
        <v>110.31</v>
      </c>
      <c r="B499" s="42">
        <v>111.82</v>
      </c>
      <c r="C499" s="42">
        <v>108.71</v>
      </c>
      <c r="D499" s="42">
        <v>111.36</v>
      </c>
      <c r="E499" s="42">
        <v>4093632</v>
      </c>
      <c r="F499" s="42" t="s">
        <v>500</v>
      </c>
      <c r="G499" s="25">
        <f t="shared" si="6"/>
        <v>-9.428879310344751E-3</v>
      </c>
    </row>
    <row r="500" spans="1:7">
      <c r="A500" s="42">
        <v>110.57</v>
      </c>
      <c r="B500" s="42">
        <v>116.6</v>
      </c>
      <c r="C500" s="42">
        <v>109.7505</v>
      </c>
      <c r="D500" s="42">
        <v>116.41</v>
      </c>
      <c r="E500" s="42">
        <v>4690341</v>
      </c>
      <c r="F500" s="42" t="s">
        <v>501</v>
      </c>
      <c r="G500" s="25">
        <f t="shared" si="6"/>
        <v>-5.0167511382183672E-2</v>
      </c>
    </row>
    <row r="501" spans="1:7">
      <c r="A501" s="42">
        <v>116.64</v>
      </c>
      <c r="B501" s="42">
        <v>117.27</v>
      </c>
      <c r="C501" s="42">
        <v>114.22</v>
      </c>
      <c r="D501" s="42">
        <v>117.18</v>
      </c>
      <c r="E501" s="42">
        <v>7133365</v>
      </c>
      <c r="F501" s="42" t="s">
        <v>502</v>
      </c>
      <c r="G501" s="25">
        <f t="shared" si="6"/>
        <v>-4.6082949308756671E-3</v>
      </c>
    </row>
    <row r="502" spans="1:7">
      <c r="A502" s="42">
        <v>116.07</v>
      </c>
      <c r="B502" s="42">
        <v>117.12</v>
      </c>
      <c r="C502" s="42">
        <v>115.49</v>
      </c>
      <c r="D502" s="42">
        <v>116.94</v>
      </c>
      <c r="E502" s="42">
        <v>1875319</v>
      </c>
      <c r="F502" s="42" t="s">
        <v>503</v>
      </c>
      <c r="G502" s="25">
        <f t="shared" si="6"/>
        <v>-7.4397126731657881E-3</v>
      </c>
    </row>
    <row r="503" spans="1:7">
      <c r="A503" s="42">
        <v>116.64</v>
      </c>
      <c r="B503" s="42">
        <v>117.49</v>
      </c>
      <c r="C503" s="42">
        <v>116.13</v>
      </c>
      <c r="D503" s="42">
        <v>116.53</v>
      </c>
      <c r="E503" s="42">
        <v>2192895</v>
      </c>
      <c r="F503" s="42" t="s">
        <v>504</v>
      </c>
      <c r="G503" s="25">
        <f t="shared" si="6"/>
        <v>9.4396292800147386E-4</v>
      </c>
    </row>
    <row r="504" spans="1:7">
      <c r="A504" s="42">
        <v>116.53</v>
      </c>
      <c r="B504" s="42">
        <v>117.91</v>
      </c>
      <c r="C504" s="42">
        <v>114.65</v>
      </c>
      <c r="D504" s="42">
        <v>115.18</v>
      </c>
      <c r="E504" s="42">
        <v>3379666</v>
      </c>
      <c r="F504" s="42" t="s">
        <v>505</v>
      </c>
      <c r="G504" s="25">
        <f t="shared" si="6"/>
        <v>1.172078485848238E-2</v>
      </c>
    </row>
    <row r="505" spans="1:7">
      <c r="A505" s="42">
        <v>115.95</v>
      </c>
      <c r="B505" s="42">
        <v>116.01</v>
      </c>
      <c r="C505" s="42">
        <v>113.23</v>
      </c>
      <c r="D505" s="42">
        <v>113.55</v>
      </c>
      <c r="E505" s="42">
        <v>1813855</v>
      </c>
      <c r="F505" s="42" t="s">
        <v>506</v>
      </c>
      <c r="G505" s="25">
        <f t="shared" si="6"/>
        <v>2.1136063408190298E-2</v>
      </c>
    </row>
    <row r="506" spans="1:7">
      <c r="A506" s="42">
        <v>113.81</v>
      </c>
      <c r="B506" s="42">
        <v>116.33</v>
      </c>
      <c r="C506" s="42">
        <v>113.67</v>
      </c>
      <c r="D506" s="42">
        <v>115.16</v>
      </c>
      <c r="E506" s="42">
        <v>2064703</v>
      </c>
      <c r="F506" s="42" t="s">
        <v>507</v>
      </c>
      <c r="G506" s="25">
        <f t="shared" si="6"/>
        <v>-1.1722820423758162E-2</v>
      </c>
    </row>
    <row r="507" spans="1:7">
      <c r="A507" s="42">
        <v>117.2</v>
      </c>
      <c r="B507" s="42">
        <v>118.8</v>
      </c>
      <c r="C507" s="42">
        <v>115.96</v>
      </c>
      <c r="D507" s="42">
        <v>116.6</v>
      </c>
      <c r="E507" s="42">
        <v>2385508</v>
      </c>
      <c r="F507" s="42" t="s">
        <v>508</v>
      </c>
      <c r="G507" s="25">
        <f t="shared" si="6"/>
        <v>5.145797598627766E-3</v>
      </c>
    </row>
    <row r="508" spans="1:7">
      <c r="A508" s="42">
        <v>116.9</v>
      </c>
      <c r="B508" s="42">
        <v>118.12</v>
      </c>
      <c r="C508" s="42">
        <v>115.72</v>
      </c>
      <c r="D508" s="42">
        <v>116.92</v>
      </c>
      <c r="E508" s="42">
        <v>2223270</v>
      </c>
      <c r="F508" s="42" t="s">
        <v>509</v>
      </c>
      <c r="G508" s="25">
        <f t="shared" si="6"/>
        <v>-1.7105713308240844E-4</v>
      </c>
    </row>
    <row r="509" spans="1:7">
      <c r="A509" s="42">
        <v>116.57</v>
      </c>
      <c r="B509" s="42">
        <v>116.9599</v>
      </c>
      <c r="C509" s="42">
        <v>114.62</v>
      </c>
      <c r="D509" s="42">
        <v>115.05</v>
      </c>
      <c r="E509" s="42">
        <v>2298436</v>
      </c>
      <c r="F509" s="42" t="s">
        <v>510</v>
      </c>
      <c r="G509" s="25">
        <f t="shared" si="6"/>
        <v>1.3211647109952152E-2</v>
      </c>
    </row>
    <row r="510" spans="1:7">
      <c r="A510" s="42">
        <v>115.79</v>
      </c>
      <c r="B510" s="42">
        <v>116.58</v>
      </c>
      <c r="C510" s="42">
        <v>114.24160000000001</v>
      </c>
      <c r="D510" s="42">
        <v>114.73</v>
      </c>
      <c r="E510" s="42">
        <v>3009534</v>
      </c>
      <c r="F510" s="42" t="s">
        <v>511</v>
      </c>
      <c r="G510" s="25">
        <f t="shared" si="6"/>
        <v>9.2390830645865396E-3</v>
      </c>
    </row>
    <row r="511" spans="1:7">
      <c r="A511" s="42">
        <v>115.3</v>
      </c>
      <c r="B511" s="42">
        <v>118.175</v>
      </c>
      <c r="C511" s="42">
        <v>114.2</v>
      </c>
      <c r="D511" s="42">
        <v>117.5</v>
      </c>
      <c r="E511" s="42">
        <v>3509857</v>
      </c>
      <c r="F511" s="42" t="s">
        <v>512</v>
      </c>
      <c r="G511" s="25">
        <f t="shared" si="6"/>
        <v>-1.8723404255319154E-2</v>
      </c>
    </row>
    <row r="512" spans="1:7">
      <c r="A512" s="42">
        <v>118.08</v>
      </c>
      <c r="B512" s="42">
        <v>120.48</v>
      </c>
      <c r="C512" s="42">
        <v>116.06</v>
      </c>
      <c r="D512" s="42">
        <v>116.77</v>
      </c>
      <c r="E512" s="42">
        <v>3873946</v>
      </c>
      <c r="F512" s="42" t="s">
        <v>513</v>
      </c>
      <c r="G512" s="25">
        <f t="shared" si="6"/>
        <v>1.1218634923353621E-2</v>
      </c>
    </row>
    <row r="513" spans="1:7">
      <c r="A513" s="42">
        <v>116.71</v>
      </c>
      <c r="B513" s="42">
        <v>117.06</v>
      </c>
      <c r="C513" s="42">
        <v>114.68</v>
      </c>
      <c r="D513" s="42">
        <v>115.63</v>
      </c>
      <c r="E513" s="42">
        <v>2904439</v>
      </c>
      <c r="F513" s="42" t="s">
        <v>514</v>
      </c>
      <c r="G513" s="25">
        <f t="shared" si="6"/>
        <v>9.3401366427396937E-3</v>
      </c>
    </row>
    <row r="514" spans="1:7">
      <c r="A514" s="42">
        <v>115.23</v>
      </c>
      <c r="B514" s="42">
        <v>118.38</v>
      </c>
      <c r="C514" s="42">
        <v>114.33</v>
      </c>
      <c r="D514" s="42">
        <v>118.16</v>
      </c>
      <c r="E514" s="42">
        <v>4058266</v>
      </c>
      <c r="F514" s="42" t="s">
        <v>515</v>
      </c>
      <c r="G514" s="25">
        <f t="shared" si="6"/>
        <v>-2.4796885578876049E-2</v>
      </c>
    </row>
    <row r="515" spans="1:7">
      <c r="A515" s="42">
        <v>118.77</v>
      </c>
      <c r="B515" s="42">
        <v>121.4734</v>
      </c>
      <c r="C515" s="42">
        <v>116.26</v>
      </c>
      <c r="D515" s="42">
        <v>120.15</v>
      </c>
      <c r="E515" s="42">
        <v>6065571</v>
      </c>
      <c r="F515" s="42" t="s">
        <v>516</v>
      </c>
      <c r="G515" s="25">
        <f t="shared" ref="G515:G578" si="7">A515/D515-1</f>
        <v>-1.1485642946317154E-2</v>
      </c>
    </row>
    <row r="516" spans="1:7">
      <c r="A516" s="42">
        <v>118.4</v>
      </c>
      <c r="B516" s="42">
        <v>127.61</v>
      </c>
      <c r="C516" s="42">
        <v>117.2</v>
      </c>
      <c r="D516" s="42">
        <v>127.61</v>
      </c>
      <c r="E516" s="42">
        <v>5811458</v>
      </c>
      <c r="F516" s="42" t="s">
        <v>517</v>
      </c>
      <c r="G516" s="25">
        <f t="shared" si="7"/>
        <v>-7.2173027192226291E-2</v>
      </c>
    </row>
    <row r="517" spans="1:7">
      <c r="A517" s="42">
        <v>127.64</v>
      </c>
      <c r="B517" s="42">
        <v>128.63</v>
      </c>
      <c r="C517" s="42">
        <v>126.19</v>
      </c>
      <c r="D517" s="42">
        <v>126.82</v>
      </c>
      <c r="E517" s="42">
        <v>1349723</v>
      </c>
      <c r="F517" s="42" t="s">
        <v>518</v>
      </c>
      <c r="G517" s="25">
        <f t="shared" si="7"/>
        <v>6.4658571203279891E-3</v>
      </c>
    </row>
    <row r="518" spans="1:7">
      <c r="A518" s="42">
        <v>127.38</v>
      </c>
      <c r="B518" s="42">
        <v>128.04</v>
      </c>
      <c r="C518" s="42">
        <v>125.15</v>
      </c>
      <c r="D518" s="42">
        <v>126.7</v>
      </c>
      <c r="E518" s="42">
        <v>1796476</v>
      </c>
      <c r="F518" s="42" t="s">
        <v>519</v>
      </c>
      <c r="G518" s="25">
        <f t="shared" si="7"/>
        <v>5.3670086819257445E-3</v>
      </c>
    </row>
    <row r="519" spans="1:7">
      <c r="A519" s="42">
        <v>127.37</v>
      </c>
      <c r="B519" s="42">
        <v>128.24</v>
      </c>
      <c r="C519" s="42">
        <v>124.54</v>
      </c>
      <c r="D519" s="42">
        <v>125.82</v>
      </c>
      <c r="E519" s="42">
        <v>2275564</v>
      </c>
      <c r="F519" s="42" t="s">
        <v>520</v>
      </c>
      <c r="G519" s="25">
        <f t="shared" si="7"/>
        <v>1.2319186138928684E-2</v>
      </c>
    </row>
    <row r="520" spans="1:7">
      <c r="A520" s="42">
        <v>125.6</v>
      </c>
      <c r="B520" s="42">
        <v>129.97</v>
      </c>
      <c r="C520" s="42">
        <v>125.36499999999999</v>
      </c>
      <c r="D520" s="42">
        <v>129.97</v>
      </c>
      <c r="E520" s="42">
        <v>1986875</v>
      </c>
      <c r="F520" s="42" t="s">
        <v>521</v>
      </c>
      <c r="G520" s="25">
        <f t="shared" si="7"/>
        <v>-3.3623143802415933E-2</v>
      </c>
    </row>
    <row r="521" spans="1:7">
      <c r="A521" s="42">
        <v>130.53</v>
      </c>
      <c r="B521" s="42">
        <v>131.76</v>
      </c>
      <c r="C521" s="42">
        <v>130.1</v>
      </c>
      <c r="D521" s="42">
        <v>130.72999999999999</v>
      </c>
      <c r="E521" s="42">
        <v>2089187</v>
      </c>
      <c r="F521" s="42" t="s">
        <v>522</v>
      </c>
      <c r="G521" s="25">
        <f t="shared" si="7"/>
        <v>-1.5298707259235877E-3</v>
      </c>
    </row>
    <row r="522" spans="1:7">
      <c r="A522" s="42">
        <v>130.84</v>
      </c>
      <c r="B522" s="42">
        <v>131.56</v>
      </c>
      <c r="C522" s="42">
        <v>129.91</v>
      </c>
      <c r="D522" s="42">
        <v>131.1</v>
      </c>
      <c r="E522" s="42">
        <v>1763503</v>
      </c>
      <c r="F522" s="42" t="s">
        <v>523</v>
      </c>
      <c r="G522" s="25">
        <f t="shared" si="7"/>
        <v>-1.9832189168572656E-3</v>
      </c>
    </row>
    <row r="523" spans="1:7">
      <c r="A523" s="42">
        <v>130.69</v>
      </c>
      <c r="B523" s="42">
        <v>132.09</v>
      </c>
      <c r="C523" s="42">
        <v>129.69</v>
      </c>
      <c r="D523" s="42">
        <v>131.69</v>
      </c>
      <c r="E523" s="42">
        <v>2114548</v>
      </c>
      <c r="F523" s="42" t="s">
        <v>524</v>
      </c>
      <c r="G523" s="25">
        <f t="shared" si="7"/>
        <v>-7.5935910091882164E-3</v>
      </c>
    </row>
    <row r="524" spans="1:7">
      <c r="A524" s="42">
        <v>131.36000000000001</v>
      </c>
      <c r="B524" s="42">
        <v>132.26</v>
      </c>
      <c r="C524" s="42">
        <v>130.16</v>
      </c>
      <c r="D524" s="42">
        <v>131.72</v>
      </c>
      <c r="E524" s="42">
        <v>2329399</v>
      </c>
      <c r="F524" s="42" t="s">
        <v>525</v>
      </c>
      <c r="G524" s="25">
        <f t="shared" si="7"/>
        <v>-2.7330701488004205E-3</v>
      </c>
    </row>
    <row r="525" spans="1:7">
      <c r="A525" s="42">
        <v>131.91</v>
      </c>
      <c r="B525" s="42">
        <v>132.19999999999999</v>
      </c>
      <c r="C525" s="42">
        <v>129.28</v>
      </c>
      <c r="D525" s="42">
        <v>129.79</v>
      </c>
      <c r="E525" s="42">
        <v>2018359</v>
      </c>
      <c r="F525" s="42" t="s">
        <v>526</v>
      </c>
      <c r="G525" s="25">
        <f t="shared" si="7"/>
        <v>1.6334078126203799E-2</v>
      </c>
    </row>
    <row r="526" spans="1:7">
      <c r="A526" s="42">
        <v>129.71</v>
      </c>
      <c r="B526" s="42">
        <v>130.22</v>
      </c>
      <c r="C526" s="42">
        <v>126</v>
      </c>
      <c r="D526" s="42">
        <v>126.58</v>
      </c>
      <c r="E526" s="42">
        <v>2306993</v>
      </c>
      <c r="F526" s="42" t="s">
        <v>527</v>
      </c>
      <c r="G526" s="25">
        <f t="shared" si="7"/>
        <v>2.4727445094011813E-2</v>
      </c>
    </row>
    <row r="527" spans="1:7">
      <c r="A527" s="42">
        <v>125.97</v>
      </c>
      <c r="B527" s="42">
        <v>126.5758</v>
      </c>
      <c r="C527" s="42">
        <v>124.25</v>
      </c>
      <c r="D527" s="42">
        <v>125.03</v>
      </c>
      <c r="E527" s="42">
        <v>2202586</v>
      </c>
      <c r="F527" s="42" t="s">
        <v>528</v>
      </c>
      <c r="G527" s="25">
        <f t="shared" si="7"/>
        <v>7.5181956330481192E-3</v>
      </c>
    </row>
    <row r="528" spans="1:7">
      <c r="A528" s="42">
        <v>124.95</v>
      </c>
      <c r="B528" s="42">
        <v>128.22499999999999</v>
      </c>
      <c r="C528" s="42">
        <v>124.745</v>
      </c>
      <c r="D528" s="42">
        <v>128.22499999999999</v>
      </c>
      <c r="E528" s="42">
        <v>2596547</v>
      </c>
      <c r="F528" s="42" t="s">
        <v>529</v>
      </c>
      <c r="G528" s="25">
        <f t="shared" si="7"/>
        <v>-2.5541041138623433E-2</v>
      </c>
    </row>
    <row r="529" spans="1:7">
      <c r="A529" s="42">
        <v>127.05</v>
      </c>
      <c r="B529" s="42">
        <v>129.30000000000001</v>
      </c>
      <c r="C529" s="42">
        <v>126.72</v>
      </c>
      <c r="D529" s="42">
        <v>128.13999999999999</v>
      </c>
      <c r="E529" s="42">
        <v>1689980</v>
      </c>
      <c r="F529" s="42" t="s">
        <v>530</v>
      </c>
      <c r="G529" s="25">
        <f t="shared" si="7"/>
        <v>-8.5063212111752273E-3</v>
      </c>
    </row>
    <row r="530" spans="1:7">
      <c r="A530" s="42">
        <v>128.13999999999999</v>
      </c>
      <c r="B530" s="42">
        <v>130.47999999999999</v>
      </c>
      <c r="C530" s="42">
        <v>127.62</v>
      </c>
      <c r="D530" s="42">
        <v>128.16999999999999</v>
      </c>
      <c r="E530" s="42">
        <v>1464257</v>
      </c>
      <c r="F530" s="42" t="s">
        <v>531</v>
      </c>
      <c r="G530" s="25">
        <f t="shared" si="7"/>
        <v>-2.3406413357263123E-4</v>
      </c>
    </row>
    <row r="531" spans="1:7">
      <c r="A531" s="42">
        <v>127.42</v>
      </c>
      <c r="B531" s="42">
        <v>130.36000000000001</v>
      </c>
      <c r="C531" s="42">
        <v>127.04</v>
      </c>
      <c r="D531" s="42">
        <v>130.18</v>
      </c>
      <c r="E531" s="42">
        <v>1336571</v>
      </c>
      <c r="F531" s="42" t="s">
        <v>532</v>
      </c>
      <c r="G531" s="25">
        <f t="shared" si="7"/>
        <v>-2.1201413427561877E-2</v>
      </c>
    </row>
    <row r="532" spans="1:7">
      <c r="A532" s="42">
        <v>130.1</v>
      </c>
      <c r="B532" s="42">
        <v>130.32</v>
      </c>
      <c r="C532" s="42">
        <v>128.99</v>
      </c>
      <c r="D532" s="42">
        <v>129.6</v>
      </c>
      <c r="E532" s="42">
        <v>1425267</v>
      </c>
      <c r="F532" s="42" t="s">
        <v>533</v>
      </c>
      <c r="G532" s="25">
        <f t="shared" si="7"/>
        <v>3.8580246913579863E-3</v>
      </c>
    </row>
    <row r="533" spans="1:7">
      <c r="A533" s="42">
        <v>129.65</v>
      </c>
      <c r="B533" s="42">
        <v>129.94</v>
      </c>
      <c r="C533" s="42">
        <v>127.79</v>
      </c>
      <c r="D533" s="42">
        <v>128.52000000000001</v>
      </c>
      <c r="E533" s="42">
        <v>1858416</v>
      </c>
      <c r="F533" s="42" t="s">
        <v>534</v>
      </c>
      <c r="G533" s="25">
        <f t="shared" si="7"/>
        <v>8.7924058512294234E-3</v>
      </c>
    </row>
    <row r="534" spans="1:7">
      <c r="A534" s="42">
        <v>128.37</v>
      </c>
      <c r="B534" s="42">
        <v>129.22</v>
      </c>
      <c r="C534" s="42">
        <v>126.91</v>
      </c>
      <c r="D534" s="42">
        <v>127.22</v>
      </c>
      <c r="E534" s="42">
        <v>1778982</v>
      </c>
      <c r="F534" s="42" t="s">
        <v>535</v>
      </c>
      <c r="G534" s="25">
        <f t="shared" si="7"/>
        <v>9.0394592045275335E-3</v>
      </c>
    </row>
    <row r="535" spans="1:7">
      <c r="A535" s="42">
        <v>126.65</v>
      </c>
      <c r="B535" s="42">
        <v>127.88</v>
      </c>
      <c r="C535" s="42">
        <v>124.61</v>
      </c>
      <c r="D535" s="42">
        <v>127.03</v>
      </c>
      <c r="E535" s="42">
        <v>2311410</v>
      </c>
      <c r="F535" s="42" t="s">
        <v>536</v>
      </c>
      <c r="G535" s="25">
        <f t="shared" si="7"/>
        <v>-2.9914193497598829E-3</v>
      </c>
    </row>
    <row r="536" spans="1:7">
      <c r="A536" s="42">
        <v>125.88</v>
      </c>
      <c r="B536" s="42">
        <v>128.74</v>
      </c>
      <c r="C536" s="42">
        <v>123.515</v>
      </c>
      <c r="D536" s="42">
        <v>126.21</v>
      </c>
      <c r="E536" s="42">
        <v>2916511</v>
      </c>
      <c r="F536" s="42" t="s">
        <v>537</v>
      </c>
      <c r="G536" s="25">
        <f t="shared" si="7"/>
        <v>-2.6146898027097354E-3</v>
      </c>
    </row>
    <row r="537" spans="1:7">
      <c r="A537" s="42">
        <v>127.39</v>
      </c>
      <c r="B537" s="42">
        <v>128.65</v>
      </c>
      <c r="C537" s="42">
        <v>125.08</v>
      </c>
      <c r="D537" s="42">
        <v>126.25</v>
      </c>
      <c r="E537" s="42">
        <v>3049287</v>
      </c>
      <c r="F537" s="42" t="s">
        <v>538</v>
      </c>
      <c r="G537" s="25">
        <f t="shared" si="7"/>
        <v>9.0297029702970377E-3</v>
      </c>
    </row>
    <row r="538" spans="1:7">
      <c r="A538" s="42">
        <v>125.81</v>
      </c>
      <c r="B538" s="42">
        <v>128.51</v>
      </c>
      <c r="C538" s="42">
        <v>123.075</v>
      </c>
      <c r="D538" s="42">
        <v>125.15</v>
      </c>
      <c r="E538" s="42">
        <v>3846764</v>
      </c>
      <c r="F538" s="42" t="s">
        <v>539</v>
      </c>
      <c r="G538" s="25">
        <f t="shared" si="7"/>
        <v>5.2736715940870926E-3</v>
      </c>
    </row>
    <row r="539" spans="1:7">
      <c r="A539" s="42">
        <v>124.34</v>
      </c>
      <c r="B539" s="42">
        <v>138.80500000000001</v>
      </c>
      <c r="C539" s="42">
        <v>124.08</v>
      </c>
      <c r="D539" s="42">
        <v>132.5</v>
      </c>
      <c r="E539" s="42">
        <v>8578184</v>
      </c>
      <c r="F539" s="42" t="s">
        <v>540</v>
      </c>
      <c r="G539" s="25">
        <f t="shared" si="7"/>
        <v>-6.1584905660377331E-2</v>
      </c>
    </row>
    <row r="540" spans="1:7">
      <c r="A540" s="42">
        <v>138.01</v>
      </c>
      <c r="B540" s="42">
        <v>139.24</v>
      </c>
      <c r="C540" s="42">
        <v>134.38999999999999</v>
      </c>
      <c r="D540" s="42">
        <v>138.91</v>
      </c>
      <c r="E540" s="42">
        <v>4203199</v>
      </c>
      <c r="F540" s="42" t="s">
        <v>541</v>
      </c>
      <c r="G540" s="25">
        <f t="shared" si="7"/>
        <v>-6.4790151896911841E-3</v>
      </c>
    </row>
    <row r="541" spans="1:7">
      <c r="A541" s="42">
        <v>137.87</v>
      </c>
      <c r="B541" s="42">
        <v>138.5</v>
      </c>
      <c r="C541" s="42">
        <v>132.47</v>
      </c>
      <c r="D541" s="42">
        <v>132.79</v>
      </c>
      <c r="E541" s="42">
        <v>3238221</v>
      </c>
      <c r="F541" s="42" t="s">
        <v>542</v>
      </c>
      <c r="G541" s="25">
        <f t="shared" si="7"/>
        <v>3.8255892763009447E-2</v>
      </c>
    </row>
    <row r="542" spans="1:7">
      <c r="A542" s="42">
        <v>134</v>
      </c>
      <c r="B542" s="42">
        <v>135.31</v>
      </c>
      <c r="C542" s="42">
        <v>131</v>
      </c>
      <c r="D542" s="42">
        <v>131.47</v>
      </c>
      <c r="E542" s="42">
        <v>2014910</v>
      </c>
      <c r="F542" s="42" t="s">
        <v>543</v>
      </c>
      <c r="G542" s="25">
        <f t="shared" si="7"/>
        <v>1.924393397733315E-2</v>
      </c>
    </row>
    <row r="543" spans="1:7">
      <c r="A543" s="42">
        <v>131.52000000000001</v>
      </c>
      <c r="B543" s="42">
        <v>132.36000000000001</v>
      </c>
      <c r="C543" s="42">
        <v>129.74</v>
      </c>
      <c r="D543" s="42">
        <v>131.26</v>
      </c>
      <c r="E543" s="42">
        <v>2110326</v>
      </c>
      <c r="F543" s="42" t="s">
        <v>544</v>
      </c>
      <c r="G543" s="25">
        <f t="shared" si="7"/>
        <v>1.9808014627458181E-3</v>
      </c>
    </row>
    <row r="544" spans="1:7">
      <c r="A544" s="42">
        <v>130.71</v>
      </c>
      <c r="B544" s="42">
        <v>135.06</v>
      </c>
      <c r="C544" s="42">
        <v>129.16999999999999</v>
      </c>
      <c r="D544" s="42">
        <v>134.63999999999999</v>
      </c>
      <c r="E544" s="42">
        <v>2859646</v>
      </c>
      <c r="F544" s="42" t="s">
        <v>545</v>
      </c>
      <c r="G544" s="25">
        <f t="shared" si="7"/>
        <v>-2.9188948306595242E-2</v>
      </c>
    </row>
    <row r="545" spans="1:7">
      <c r="A545" s="42">
        <v>134.30000000000001</v>
      </c>
      <c r="B545" s="42">
        <v>135.99</v>
      </c>
      <c r="C545" s="42">
        <v>133.58000000000001</v>
      </c>
      <c r="D545" s="42">
        <v>134.36000000000001</v>
      </c>
      <c r="E545" s="42">
        <v>2116531</v>
      </c>
      <c r="F545" s="42" t="s">
        <v>546</v>
      </c>
      <c r="G545" s="25">
        <f t="shared" si="7"/>
        <v>-4.4656147662991419E-4</v>
      </c>
    </row>
    <row r="546" spans="1:7">
      <c r="A546" s="42">
        <v>133.86000000000001</v>
      </c>
      <c r="B546" s="42">
        <v>136.63999999999999</v>
      </c>
      <c r="C546" s="42">
        <v>132.875</v>
      </c>
      <c r="D546" s="42">
        <v>136.07</v>
      </c>
      <c r="E546" s="42">
        <v>3222471</v>
      </c>
      <c r="F546" s="42" t="s">
        <v>547</v>
      </c>
      <c r="G546" s="25">
        <f t="shared" si="7"/>
        <v>-1.6241640332181784E-2</v>
      </c>
    </row>
    <row r="547" spans="1:7">
      <c r="A547" s="42">
        <v>136.52000000000001</v>
      </c>
      <c r="B547" s="42">
        <v>137.82499999999999</v>
      </c>
      <c r="C547" s="42">
        <v>133.21</v>
      </c>
      <c r="D547" s="42">
        <v>135.29</v>
      </c>
      <c r="E547" s="42">
        <v>3036409</v>
      </c>
      <c r="F547" s="42" t="s">
        <v>548</v>
      </c>
      <c r="G547" s="25">
        <f t="shared" si="7"/>
        <v>9.091581048118913E-3</v>
      </c>
    </row>
    <row r="548" spans="1:7">
      <c r="A548" s="42">
        <v>134.56</v>
      </c>
      <c r="B548" s="42">
        <v>138.01499999999999</v>
      </c>
      <c r="C548" s="42">
        <v>134.5</v>
      </c>
      <c r="D548" s="42">
        <v>137.81</v>
      </c>
      <c r="E548" s="42">
        <v>2553508</v>
      </c>
      <c r="F548" s="42" t="s">
        <v>549</v>
      </c>
      <c r="G548" s="25">
        <f t="shared" si="7"/>
        <v>-2.3583194252956963E-2</v>
      </c>
    </row>
    <row r="549" spans="1:7">
      <c r="A549" s="42">
        <v>136.13999999999999</v>
      </c>
      <c r="B549" s="42">
        <v>138.77000000000001</v>
      </c>
      <c r="C549" s="42">
        <v>134.28</v>
      </c>
      <c r="D549" s="42">
        <v>138.02000000000001</v>
      </c>
      <c r="E549" s="42">
        <v>2413463</v>
      </c>
      <c r="F549" s="42" t="s">
        <v>550</v>
      </c>
      <c r="G549" s="25">
        <f t="shared" si="7"/>
        <v>-1.3621214316765884E-2</v>
      </c>
    </row>
    <row r="550" spans="1:7">
      <c r="A550" s="42">
        <v>139.62</v>
      </c>
      <c r="B550" s="42">
        <v>141.25</v>
      </c>
      <c r="C550" s="42">
        <v>138.15</v>
      </c>
      <c r="D550" s="42">
        <v>140.1</v>
      </c>
      <c r="E550" s="42">
        <v>2070115</v>
      </c>
      <c r="F550" s="42" t="s">
        <v>551</v>
      </c>
      <c r="G550" s="25">
        <f t="shared" si="7"/>
        <v>-3.4261241970020562E-3</v>
      </c>
    </row>
    <row r="551" spans="1:7">
      <c r="A551" s="42">
        <v>140.32</v>
      </c>
      <c r="B551" s="42">
        <v>140.65</v>
      </c>
      <c r="C551" s="42">
        <v>137.41999999999999</v>
      </c>
      <c r="D551" s="42">
        <v>138.81</v>
      </c>
      <c r="E551" s="42">
        <v>1847147</v>
      </c>
      <c r="F551" s="42" t="s">
        <v>552</v>
      </c>
      <c r="G551" s="25">
        <f t="shared" si="7"/>
        <v>1.0878178805561411E-2</v>
      </c>
    </row>
    <row r="552" spans="1:7">
      <c r="A552" s="42">
        <v>140.44999999999999</v>
      </c>
      <c r="B552" s="42">
        <v>141.99</v>
      </c>
      <c r="C552" s="42">
        <v>138.52500000000001</v>
      </c>
      <c r="D552" s="42">
        <v>140.78</v>
      </c>
      <c r="E552" s="42">
        <v>2777247</v>
      </c>
      <c r="F552" s="42" t="s">
        <v>553</v>
      </c>
      <c r="G552" s="25">
        <f t="shared" si="7"/>
        <v>-2.3440829663304852E-3</v>
      </c>
    </row>
    <row r="553" spans="1:7">
      <c r="A553" s="42">
        <v>139.94</v>
      </c>
      <c r="B553" s="42">
        <v>140.91</v>
      </c>
      <c r="C553" s="42">
        <v>137.47</v>
      </c>
      <c r="D553" s="42">
        <v>139.53</v>
      </c>
      <c r="E553" s="42">
        <v>2285596</v>
      </c>
      <c r="F553" s="42" t="s">
        <v>554</v>
      </c>
      <c r="G553" s="25">
        <f t="shared" si="7"/>
        <v>2.9384361785995683E-3</v>
      </c>
    </row>
    <row r="554" spans="1:7">
      <c r="A554" s="42">
        <v>138.93</v>
      </c>
      <c r="B554" s="42">
        <v>139.11000000000001</v>
      </c>
      <c r="C554" s="42">
        <v>131.74</v>
      </c>
      <c r="D554" s="42">
        <v>133.13</v>
      </c>
      <c r="E554" s="42">
        <v>2427115</v>
      </c>
      <c r="F554" s="42" t="s">
        <v>555</v>
      </c>
      <c r="G554" s="25">
        <f t="shared" si="7"/>
        <v>4.3566438819199416E-2</v>
      </c>
    </row>
    <row r="555" spans="1:7">
      <c r="A555" s="42">
        <v>133.34</v>
      </c>
      <c r="B555" s="42">
        <v>139.71</v>
      </c>
      <c r="C555" s="42">
        <v>133.22999999999999</v>
      </c>
      <c r="D555" s="42">
        <v>139.56</v>
      </c>
      <c r="E555" s="42">
        <v>3034285</v>
      </c>
      <c r="F555" s="42" t="s">
        <v>556</v>
      </c>
      <c r="G555" s="25">
        <f t="shared" si="7"/>
        <v>-4.4568644310690742E-2</v>
      </c>
    </row>
    <row r="556" spans="1:7">
      <c r="A556" s="42">
        <v>138.51</v>
      </c>
      <c r="B556" s="42">
        <v>139.96</v>
      </c>
      <c r="C556" s="42">
        <v>136.58500000000001</v>
      </c>
      <c r="D556" s="42">
        <v>136.72999999999999</v>
      </c>
      <c r="E556" s="42">
        <v>1735012</v>
      </c>
      <c r="F556" s="42" t="s">
        <v>557</v>
      </c>
      <c r="G556" s="25">
        <f t="shared" si="7"/>
        <v>1.3018357346595399E-2</v>
      </c>
    </row>
    <row r="557" spans="1:7">
      <c r="A557" s="42">
        <v>136.65</v>
      </c>
      <c r="B557" s="42">
        <v>137.99</v>
      </c>
      <c r="C557" s="42">
        <v>135.21</v>
      </c>
      <c r="D557" s="42">
        <v>136.33000000000001</v>
      </c>
      <c r="E557" s="42">
        <v>2376530</v>
      </c>
      <c r="F557" s="42" t="s">
        <v>558</v>
      </c>
      <c r="G557" s="25">
        <f t="shared" si="7"/>
        <v>2.3472456539279651E-3</v>
      </c>
    </row>
    <row r="558" spans="1:7">
      <c r="A558" s="42">
        <v>137.94</v>
      </c>
      <c r="B558" s="42">
        <v>139.62</v>
      </c>
      <c r="C558" s="42">
        <v>136.97999999999999</v>
      </c>
      <c r="D558" s="42">
        <v>138.79</v>
      </c>
      <c r="E558" s="42">
        <v>1862427</v>
      </c>
      <c r="F558" s="42" t="s">
        <v>559</v>
      </c>
      <c r="G558" s="25">
        <f t="shared" si="7"/>
        <v>-6.1243605447077742E-3</v>
      </c>
    </row>
    <row r="559" spans="1:7">
      <c r="A559" s="42">
        <v>138.69999999999999</v>
      </c>
      <c r="B559" s="42">
        <v>140.80000000000001</v>
      </c>
      <c r="C559" s="42">
        <v>138.51499999999999</v>
      </c>
      <c r="D559" s="42">
        <v>139.97999999999999</v>
      </c>
      <c r="E559" s="42">
        <v>2519944</v>
      </c>
      <c r="F559" s="42" t="s">
        <v>560</v>
      </c>
      <c r="G559" s="25">
        <f t="shared" si="7"/>
        <v>-9.1441634519217052E-3</v>
      </c>
    </row>
    <row r="560" spans="1:7">
      <c r="A560" s="42">
        <v>139.47999999999999</v>
      </c>
      <c r="B560" s="42">
        <v>141.86500000000001</v>
      </c>
      <c r="C560" s="42">
        <v>138.11500000000001</v>
      </c>
      <c r="D560" s="42">
        <v>141.55000000000001</v>
      </c>
      <c r="E560" s="42">
        <v>2031775</v>
      </c>
      <c r="F560" s="42" t="s">
        <v>561</v>
      </c>
      <c r="G560" s="25">
        <f t="shared" si="7"/>
        <v>-1.4623807841752212E-2</v>
      </c>
    </row>
    <row r="561" spans="1:7">
      <c r="A561" s="42">
        <v>139.93</v>
      </c>
      <c r="B561" s="42">
        <v>142</v>
      </c>
      <c r="C561" s="42">
        <v>138.495</v>
      </c>
      <c r="D561" s="42">
        <v>140.69</v>
      </c>
      <c r="E561" s="42">
        <v>3096190</v>
      </c>
      <c r="F561" s="42" t="s">
        <v>562</v>
      </c>
      <c r="G561" s="25">
        <f t="shared" si="7"/>
        <v>-5.4019475442461662E-3</v>
      </c>
    </row>
    <row r="562" spans="1:7">
      <c r="A562" s="42">
        <v>140.1</v>
      </c>
      <c r="B562" s="42">
        <v>140.88</v>
      </c>
      <c r="C562" s="42">
        <v>133.38999999999999</v>
      </c>
      <c r="D562" s="42">
        <v>133.38999999999999</v>
      </c>
      <c r="E562" s="42">
        <v>3917443</v>
      </c>
      <c r="F562" s="42" t="s">
        <v>563</v>
      </c>
      <c r="G562" s="25">
        <f t="shared" si="7"/>
        <v>5.0303620961091644E-2</v>
      </c>
    </row>
    <row r="563" spans="1:7">
      <c r="A563" s="42">
        <v>133.18</v>
      </c>
      <c r="B563" s="42">
        <v>134.38</v>
      </c>
      <c r="C563" s="42">
        <v>131.36000000000001</v>
      </c>
      <c r="D563" s="42">
        <v>133.54</v>
      </c>
      <c r="E563" s="42">
        <v>1426253</v>
      </c>
      <c r="F563" s="42" t="s">
        <v>564</v>
      </c>
      <c r="G563" s="25">
        <f t="shared" si="7"/>
        <v>-2.6958214767109911E-3</v>
      </c>
    </row>
    <row r="564" spans="1:7">
      <c r="A564" s="42">
        <v>133.41</v>
      </c>
      <c r="B564" s="42">
        <v>136.4494</v>
      </c>
      <c r="C564" s="42">
        <v>133.15</v>
      </c>
      <c r="D564" s="42">
        <v>133.47999999999999</v>
      </c>
      <c r="E564" s="42">
        <v>2185478</v>
      </c>
      <c r="F564" s="42" t="s">
        <v>565</v>
      </c>
      <c r="G564" s="25">
        <f t="shared" si="7"/>
        <v>-5.2442313455192124E-4</v>
      </c>
    </row>
    <row r="565" spans="1:7">
      <c r="A565" s="42">
        <v>132.53</v>
      </c>
      <c r="B565" s="42">
        <v>135.81</v>
      </c>
      <c r="C565" s="42">
        <v>131.31</v>
      </c>
      <c r="D565" s="42">
        <v>134.87</v>
      </c>
      <c r="E565" s="42">
        <v>1921634</v>
      </c>
      <c r="F565" s="42" t="s">
        <v>566</v>
      </c>
      <c r="G565" s="25">
        <f t="shared" si="7"/>
        <v>-1.7350040780010456E-2</v>
      </c>
    </row>
    <row r="566" spans="1:7">
      <c r="A566" s="42">
        <v>134.16999999999999</v>
      </c>
      <c r="B566" s="42">
        <v>134.33000000000001</v>
      </c>
      <c r="C566" s="42">
        <v>131.63499999999999</v>
      </c>
      <c r="D566" s="42">
        <v>133.83000000000001</v>
      </c>
      <c r="E566" s="42">
        <v>2267986</v>
      </c>
      <c r="F566" s="42" t="s">
        <v>567</v>
      </c>
      <c r="G566" s="25">
        <f t="shared" si="7"/>
        <v>2.5405365015316317E-3</v>
      </c>
    </row>
    <row r="567" spans="1:7">
      <c r="A567" s="42">
        <v>134.72</v>
      </c>
      <c r="B567" s="42">
        <v>135.58000000000001</v>
      </c>
      <c r="C567" s="42">
        <v>131.51</v>
      </c>
      <c r="D567" s="42">
        <v>131.68199999999999</v>
      </c>
      <c r="E567" s="42">
        <v>2661607</v>
      </c>
      <c r="F567" s="42" t="s">
        <v>568</v>
      </c>
      <c r="G567" s="25">
        <f t="shared" si="7"/>
        <v>2.3070731003478118E-2</v>
      </c>
    </row>
    <row r="568" spans="1:7">
      <c r="A568" s="42">
        <v>130.46</v>
      </c>
      <c r="B568" s="42">
        <v>131.81880000000001</v>
      </c>
      <c r="C568" s="42">
        <v>128.62</v>
      </c>
      <c r="D568" s="42">
        <v>130.94999999999999</v>
      </c>
      <c r="E568" s="42">
        <v>3965403</v>
      </c>
      <c r="F568" s="42" t="s">
        <v>569</v>
      </c>
      <c r="G568" s="25">
        <f t="shared" si="7"/>
        <v>-3.7418862161128219E-3</v>
      </c>
    </row>
    <row r="569" spans="1:7">
      <c r="A569" s="42">
        <v>129.5</v>
      </c>
      <c r="B569" s="42">
        <v>133</v>
      </c>
      <c r="C569" s="42">
        <v>128.72</v>
      </c>
      <c r="D569" s="42">
        <v>132.44</v>
      </c>
      <c r="E569" s="42">
        <v>2590030</v>
      </c>
      <c r="F569" s="42" t="s">
        <v>570</v>
      </c>
      <c r="G569" s="25">
        <f t="shared" si="7"/>
        <v>-2.2198731501057112E-2</v>
      </c>
    </row>
    <row r="570" spans="1:7">
      <c r="A570" s="42">
        <v>131.68</v>
      </c>
      <c r="B570" s="42">
        <v>137.4599</v>
      </c>
      <c r="C570" s="42">
        <v>131.53</v>
      </c>
      <c r="D570" s="42">
        <v>136.1</v>
      </c>
      <c r="E570" s="42">
        <v>2945537</v>
      </c>
      <c r="F570" s="42" t="s">
        <v>571</v>
      </c>
      <c r="G570" s="25">
        <f t="shared" si="7"/>
        <v>-3.2476120499632555E-2</v>
      </c>
    </row>
    <row r="571" spans="1:7">
      <c r="A571" s="42">
        <v>135.38</v>
      </c>
      <c r="B571" s="42">
        <v>136.72999999999999</v>
      </c>
      <c r="C571" s="42">
        <v>130.74</v>
      </c>
      <c r="D571" s="42">
        <v>133</v>
      </c>
      <c r="E571" s="42">
        <v>3364109</v>
      </c>
      <c r="F571" s="42" t="s">
        <v>572</v>
      </c>
      <c r="G571" s="25">
        <f t="shared" si="7"/>
        <v>1.7894736842105186E-2</v>
      </c>
    </row>
    <row r="572" spans="1:7">
      <c r="A572" s="42">
        <v>133.04</v>
      </c>
      <c r="B572" s="42">
        <v>136.4</v>
      </c>
      <c r="C572" s="42">
        <v>133.01</v>
      </c>
      <c r="D572" s="42">
        <v>134.65</v>
      </c>
      <c r="E572" s="42">
        <v>3227866</v>
      </c>
      <c r="F572" s="42" t="s">
        <v>573</v>
      </c>
      <c r="G572" s="25">
        <f t="shared" si="7"/>
        <v>-1.1956925362049842E-2</v>
      </c>
    </row>
    <row r="573" spans="1:7">
      <c r="A573" s="42">
        <v>135.25</v>
      </c>
      <c r="B573" s="42">
        <v>136.25</v>
      </c>
      <c r="C573" s="42">
        <v>132.33000000000001</v>
      </c>
      <c r="D573" s="42">
        <v>134</v>
      </c>
      <c r="E573" s="42">
        <v>3761934</v>
      </c>
      <c r="F573" s="42" t="s">
        <v>574</v>
      </c>
      <c r="G573" s="25">
        <f t="shared" si="7"/>
        <v>9.3283582089551675E-3</v>
      </c>
    </row>
    <row r="574" spans="1:7">
      <c r="A574" s="42">
        <v>133.24</v>
      </c>
      <c r="B574" s="42">
        <v>137.93</v>
      </c>
      <c r="C574" s="42">
        <v>132.26</v>
      </c>
      <c r="D574" s="42">
        <v>135.6</v>
      </c>
      <c r="E574" s="42">
        <v>5021506</v>
      </c>
      <c r="F574" s="42" t="s">
        <v>575</v>
      </c>
      <c r="G574" s="25">
        <f t="shared" si="7"/>
        <v>-1.7404129793510248E-2</v>
      </c>
    </row>
    <row r="575" spans="1:7">
      <c r="A575" s="42">
        <v>133.72</v>
      </c>
      <c r="B575" s="42">
        <v>133.94</v>
      </c>
      <c r="C575" s="42">
        <v>124.12</v>
      </c>
      <c r="D575" s="42">
        <v>126.1</v>
      </c>
      <c r="E575" s="42">
        <v>9510525</v>
      </c>
      <c r="F575" s="42" t="s">
        <v>576</v>
      </c>
      <c r="G575" s="25">
        <f t="shared" si="7"/>
        <v>6.0428231562252188E-2</v>
      </c>
    </row>
    <row r="576" spans="1:7">
      <c r="A576" s="42">
        <v>121.78</v>
      </c>
      <c r="B576" s="42">
        <v>123.91</v>
      </c>
      <c r="C576" s="42">
        <v>120.9</v>
      </c>
      <c r="D576" s="42">
        <v>123.08</v>
      </c>
      <c r="E576" s="42">
        <v>3543599</v>
      </c>
      <c r="F576" s="42" t="s">
        <v>577</v>
      </c>
      <c r="G576" s="25">
        <f t="shared" si="7"/>
        <v>-1.0562235944101328E-2</v>
      </c>
    </row>
    <row r="577" spans="1:7">
      <c r="A577" s="42">
        <v>122.3</v>
      </c>
      <c r="B577" s="42">
        <v>124.3</v>
      </c>
      <c r="C577" s="42">
        <v>120.51009999999999</v>
      </c>
      <c r="D577" s="42">
        <v>121.76</v>
      </c>
      <c r="E577" s="42">
        <v>3477446</v>
      </c>
      <c r="F577" s="42" t="s">
        <v>578</v>
      </c>
      <c r="G577" s="25">
        <f t="shared" si="7"/>
        <v>4.4349540078842953E-3</v>
      </c>
    </row>
    <row r="578" spans="1:7">
      <c r="A578" s="42">
        <v>121.74</v>
      </c>
      <c r="B578" s="42">
        <v>122.23</v>
      </c>
      <c r="C578" s="42">
        <v>113.69</v>
      </c>
      <c r="D578" s="42">
        <v>114.37</v>
      </c>
      <c r="E578" s="42">
        <v>4530844</v>
      </c>
      <c r="F578" s="42" t="s">
        <v>579</v>
      </c>
      <c r="G578" s="25">
        <f t="shared" si="7"/>
        <v>6.4439975518055359E-2</v>
      </c>
    </row>
    <row r="579" spans="1:7">
      <c r="A579" s="42">
        <v>115.07</v>
      </c>
      <c r="B579" s="42">
        <v>115.56</v>
      </c>
      <c r="C579" s="42">
        <v>114.03</v>
      </c>
      <c r="D579" s="42">
        <v>115.09</v>
      </c>
      <c r="E579" s="42">
        <v>3557097</v>
      </c>
      <c r="F579" s="42" t="s">
        <v>580</v>
      </c>
      <c r="G579" s="25">
        <f t="shared" ref="G579:G642" si="8">A579/D579-1</f>
        <v>-1.7377704405252548E-4</v>
      </c>
    </row>
    <row r="580" spans="1:7">
      <c r="A580" s="42">
        <v>114.22</v>
      </c>
      <c r="B580" s="42">
        <v>115.71</v>
      </c>
      <c r="C580" s="42">
        <v>113.05</v>
      </c>
      <c r="D580" s="42">
        <v>115.61</v>
      </c>
      <c r="E580" s="42">
        <v>2764224</v>
      </c>
      <c r="F580" s="42" t="s">
        <v>581</v>
      </c>
      <c r="G580" s="25">
        <f t="shared" si="8"/>
        <v>-1.2023181385693249E-2</v>
      </c>
    </row>
    <row r="581" spans="1:7">
      <c r="A581" s="42">
        <v>115.32</v>
      </c>
      <c r="B581" s="42">
        <v>116.41500000000001</v>
      </c>
      <c r="C581" s="42">
        <v>114.55</v>
      </c>
      <c r="D581" s="42">
        <v>116.25</v>
      </c>
      <c r="E581" s="42">
        <v>2269287</v>
      </c>
      <c r="F581" s="42" t="s">
        <v>582</v>
      </c>
      <c r="G581" s="25">
        <f t="shared" si="8"/>
        <v>-8.0000000000000071E-3</v>
      </c>
    </row>
    <row r="582" spans="1:7">
      <c r="A582" s="42">
        <v>116.17</v>
      </c>
      <c r="B582" s="42">
        <v>118.19</v>
      </c>
      <c r="C582" s="42">
        <v>115.852</v>
      </c>
      <c r="D582" s="42">
        <v>116.35</v>
      </c>
      <c r="E582" s="42">
        <v>2812732</v>
      </c>
      <c r="F582" s="42" t="s">
        <v>583</v>
      </c>
      <c r="G582" s="25">
        <f t="shared" si="8"/>
        <v>-1.5470562956595435E-3</v>
      </c>
    </row>
    <row r="583" spans="1:7">
      <c r="A583" s="42">
        <v>116.26</v>
      </c>
      <c r="B583" s="42">
        <v>118.49</v>
      </c>
      <c r="C583" s="42">
        <v>116.01</v>
      </c>
      <c r="D583" s="42">
        <v>117.13</v>
      </c>
      <c r="E583" s="42">
        <v>6214003</v>
      </c>
      <c r="F583" s="42" t="s">
        <v>584</v>
      </c>
      <c r="G583" s="25">
        <f t="shared" si="8"/>
        <v>-7.4276444975667211E-3</v>
      </c>
    </row>
    <row r="584" spans="1:7">
      <c r="A584" s="42">
        <v>117.5</v>
      </c>
      <c r="B584" s="42">
        <v>118</v>
      </c>
      <c r="C584" s="42">
        <v>115.36</v>
      </c>
      <c r="D584" s="42">
        <v>117.55</v>
      </c>
      <c r="E584" s="42">
        <v>3037323</v>
      </c>
      <c r="F584" s="42" t="s">
        <v>585</v>
      </c>
      <c r="G584" s="25">
        <f t="shared" si="8"/>
        <v>-4.2535091450446316E-4</v>
      </c>
    </row>
    <row r="585" spans="1:7">
      <c r="A585" s="42">
        <v>116.39</v>
      </c>
      <c r="B585" s="42">
        <v>117.96</v>
      </c>
      <c r="C585" s="42">
        <v>115.3</v>
      </c>
      <c r="D585" s="42">
        <v>117</v>
      </c>
      <c r="E585" s="42">
        <v>2933632</v>
      </c>
      <c r="F585" s="42" t="s">
        <v>586</v>
      </c>
      <c r="G585" s="25">
        <f t="shared" si="8"/>
        <v>-5.2136752136752174E-3</v>
      </c>
    </row>
    <row r="586" spans="1:7">
      <c r="A586" s="42">
        <v>117.87</v>
      </c>
      <c r="B586" s="42">
        <v>119.095</v>
      </c>
      <c r="C586" s="42">
        <v>116.73</v>
      </c>
      <c r="D586" s="42">
        <v>116.73</v>
      </c>
      <c r="E586" s="42">
        <v>3198888</v>
      </c>
      <c r="F586" s="42" t="s">
        <v>587</v>
      </c>
      <c r="G586" s="25">
        <f t="shared" si="8"/>
        <v>9.7661269596505118E-3</v>
      </c>
    </row>
    <row r="587" spans="1:7">
      <c r="A587" s="42">
        <v>117.05</v>
      </c>
      <c r="B587" s="42">
        <v>118.80500000000001</v>
      </c>
      <c r="C587" s="42">
        <v>116.32</v>
      </c>
      <c r="D587" s="42">
        <v>116.83</v>
      </c>
      <c r="E587" s="42">
        <v>3971529</v>
      </c>
      <c r="F587" s="42" t="s">
        <v>588</v>
      </c>
      <c r="G587" s="25">
        <f t="shared" si="8"/>
        <v>1.8830779765470762E-3</v>
      </c>
    </row>
    <row r="588" spans="1:7">
      <c r="A588" s="42">
        <v>117.69</v>
      </c>
      <c r="B588" s="42">
        <v>118.51</v>
      </c>
      <c r="C588" s="42">
        <v>116.05</v>
      </c>
      <c r="D588" s="42">
        <v>117.08</v>
      </c>
      <c r="E588" s="42">
        <v>3125665</v>
      </c>
      <c r="F588" s="42" t="s">
        <v>589</v>
      </c>
      <c r="G588" s="25">
        <f t="shared" si="8"/>
        <v>5.2101127434232009E-3</v>
      </c>
    </row>
    <row r="589" spans="1:7">
      <c r="A589" s="42">
        <v>116.75</v>
      </c>
      <c r="B589" s="42">
        <v>117.7</v>
      </c>
      <c r="C589" s="42">
        <v>114.96</v>
      </c>
      <c r="D589" s="42">
        <v>117.03</v>
      </c>
      <c r="E589" s="42">
        <v>3158222</v>
      </c>
      <c r="F589" s="42" t="s">
        <v>590</v>
      </c>
      <c r="G589" s="25">
        <f t="shared" si="8"/>
        <v>-2.3925489190805838E-3</v>
      </c>
    </row>
    <row r="590" spans="1:7">
      <c r="A590" s="42">
        <v>117.03</v>
      </c>
      <c r="B590" s="42">
        <v>120.24</v>
      </c>
      <c r="C590" s="42">
        <v>116.26</v>
      </c>
      <c r="D590" s="42">
        <v>116.52</v>
      </c>
      <c r="E590" s="42">
        <v>3308294</v>
      </c>
      <c r="F590" s="42" t="s">
        <v>591</v>
      </c>
      <c r="G590" s="25">
        <f t="shared" si="8"/>
        <v>4.3769309989700744E-3</v>
      </c>
    </row>
    <row r="591" spans="1:7">
      <c r="A591" s="42">
        <v>118.42</v>
      </c>
      <c r="B591" s="42">
        <v>120.5</v>
      </c>
      <c r="C591" s="42">
        <v>117.14</v>
      </c>
      <c r="D591" s="42">
        <v>119.53</v>
      </c>
      <c r="E591" s="42">
        <v>5252213</v>
      </c>
      <c r="F591" s="42" t="s">
        <v>592</v>
      </c>
      <c r="G591" s="25">
        <f t="shared" si="8"/>
        <v>-9.2863716221869286E-3</v>
      </c>
    </row>
    <row r="592" spans="1:7">
      <c r="A592" s="42">
        <v>120.47</v>
      </c>
      <c r="B592" s="42">
        <v>124.9871</v>
      </c>
      <c r="C592" s="42">
        <v>120.29</v>
      </c>
      <c r="D592" s="42">
        <v>123</v>
      </c>
      <c r="E592" s="42">
        <v>5639150</v>
      </c>
      <c r="F592" s="42" t="s">
        <v>593</v>
      </c>
      <c r="G592" s="25">
        <f t="shared" si="8"/>
        <v>-2.0569105691056966E-2</v>
      </c>
    </row>
    <row r="593" spans="1:7">
      <c r="A593" s="42">
        <v>127.05</v>
      </c>
      <c r="B593" s="42">
        <v>127.37</v>
      </c>
      <c r="C593" s="42">
        <v>125.21</v>
      </c>
      <c r="D593" s="42">
        <v>127.2</v>
      </c>
      <c r="E593" s="42">
        <v>4298564</v>
      </c>
      <c r="F593" s="42" t="s">
        <v>594</v>
      </c>
      <c r="G593" s="25">
        <f t="shared" si="8"/>
        <v>-1.1792452830189371E-3</v>
      </c>
    </row>
    <row r="594" spans="1:7">
      <c r="A594" s="42">
        <v>126.61</v>
      </c>
      <c r="B594" s="42">
        <v>127.13</v>
      </c>
      <c r="C594" s="42">
        <v>124.27500000000001</v>
      </c>
      <c r="D594" s="42">
        <v>124.92</v>
      </c>
      <c r="E594" s="42">
        <v>2246575</v>
      </c>
      <c r="F594" s="42" t="s">
        <v>595</v>
      </c>
      <c r="G594" s="25">
        <f t="shared" si="8"/>
        <v>1.352865834133854E-2</v>
      </c>
    </row>
    <row r="595" spans="1:7">
      <c r="A595" s="42">
        <v>124.92</v>
      </c>
      <c r="B595" s="42">
        <v>124.98</v>
      </c>
      <c r="C595" s="42">
        <v>120.43</v>
      </c>
      <c r="D595" s="42">
        <v>121.81</v>
      </c>
      <c r="E595" s="42">
        <v>1988440</v>
      </c>
      <c r="F595" s="42" t="s">
        <v>596</v>
      </c>
      <c r="G595" s="25">
        <f t="shared" si="8"/>
        <v>2.5531565552910251E-2</v>
      </c>
    </row>
    <row r="596" spans="1:7">
      <c r="A596" s="42">
        <v>121.23</v>
      </c>
      <c r="B596" s="42">
        <v>121.80200000000001</v>
      </c>
      <c r="C596" s="42">
        <v>119.6</v>
      </c>
      <c r="D596" s="42">
        <v>120.71</v>
      </c>
      <c r="E596" s="42">
        <v>2714769</v>
      </c>
      <c r="F596" s="42" t="s">
        <v>597</v>
      </c>
      <c r="G596" s="25">
        <f t="shared" si="8"/>
        <v>4.3078452489437868E-3</v>
      </c>
    </row>
    <row r="597" spans="1:7">
      <c r="A597" s="42">
        <v>120.96</v>
      </c>
      <c r="B597" s="42">
        <v>122.45</v>
      </c>
      <c r="C597" s="42">
        <v>119.6302</v>
      </c>
      <c r="D597" s="42">
        <v>122.21</v>
      </c>
      <c r="E597" s="42">
        <v>2559747</v>
      </c>
      <c r="F597" s="42" t="s">
        <v>598</v>
      </c>
      <c r="G597" s="25">
        <f t="shared" si="8"/>
        <v>-1.022829555682836E-2</v>
      </c>
    </row>
    <row r="598" spans="1:7">
      <c r="A598" s="42">
        <v>122.6</v>
      </c>
      <c r="B598" s="42">
        <v>123.87</v>
      </c>
      <c r="C598" s="42">
        <v>119.92</v>
      </c>
      <c r="D598" s="42">
        <v>122.15</v>
      </c>
      <c r="E598" s="42">
        <v>2478180</v>
      </c>
      <c r="F598" s="42" t="s">
        <v>599</v>
      </c>
      <c r="G598" s="25">
        <f t="shared" si="8"/>
        <v>3.683995088006542E-3</v>
      </c>
    </row>
    <row r="599" spans="1:7">
      <c r="A599" s="42">
        <v>121.35</v>
      </c>
      <c r="B599" s="42">
        <v>123.06</v>
      </c>
      <c r="C599" s="42">
        <v>120.12</v>
      </c>
      <c r="D599" s="42">
        <v>121.23</v>
      </c>
      <c r="E599" s="42">
        <v>2392795</v>
      </c>
      <c r="F599" s="42" t="s">
        <v>600</v>
      </c>
      <c r="G599" s="25">
        <f t="shared" si="8"/>
        <v>9.8985399653539474E-4</v>
      </c>
    </row>
    <row r="600" spans="1:7">
      <c r="A600" s="42">
        <v>120.79</v>
      </c>
      <c r="B600" s="42">
        <v>123.24</v>
      </c>
      <c r="C600" s="42">
        <v>120.6</v>
      </c>
      <c r="D600" s="42">
        <v>123.14</v>
      </c>
      <c r="E600" s="42">
        <v>2680756</v>
      </c>
      <c r="F600" s="42" t="s">
        <v>601</v>
      </c>
      <c r="G600" s="25">
        <f t="shared" si="8"/>
        <v>-1.9083969465648831E-2</v>
      </c>
    </row>
    <row r="601" spans="1:7">
      <c r="A601" s="42">
        <v>124.25</v>
      </c>
      <c r="B601" s="42">
        <v>124.26</v>
      </c>
      <c r="C601" s="42">
        <v>119.55</v>
      </c>
      <c r="D601" s="42">
        <v>121.88</v>
      </c>
      <c r="E601" s="42">
        <v>2675364</v>
      </c>
      <c r="F601" s="42" t="s">
        <v>602</v>
      </c>
      <c r="G601" s="25">
        <f t="shared" si="8"/>
        <v>1.9445356087955501E-2</v>
      </c>
    </row>
    <row r="602" spans="1:7">
      <c r="A602" s="42">
        <v>121.96</v>
      </c>
      <c r="B602" s="42">
        <v>126.39</v>
      </c>
      <c r="C602" s="42">
        <v>119.71</v>
      </c>
      <c r="D602" s="42">
        <v>126.07</v>
      </c>
      <c r="E602" s="42">
        <v>3851213</v>
      </c>
      <c r="F602" s="42" t="s">
        <v>603</v>
      </c>
      <c r="G602" s="25">
        <f t="shared" si="8"/>
        <v>-3.2600935987943225E-2</v>
      </c>
    </row>
    <row r="603" spans="1:7">
      <c r="A603" s="42">
        <v>126.505</v>
      </c>
      <c r="B603" s="42">
        <v>129.38999999999999</v>
      </c>
      <c r="C603" s="42">
        <v>125.24</v>
      </c>
      <c r="D603" s="42">
        <v>129.13999999999999</v>
      </c>
      <c r="E603" s="42">
        <v>1680134</v>
      </c>
      <c r="F603" s="42" t="s">
        <v>604</v>
      </c>
      <c r="G603" s="25">
        <f t="shared" si="8"/>
        <v>-2.0404212482576956E-2</v>
      </c>
    </row>
    <row r="604" spans="1:7">
      <c r="A604" s="42">
        <v>127.42</v>
      </c>
      <c r="B604" s="42">
        <v>128.56</v>
      </c>
      <c r="C604" s="42">
        <v>125.74</v>
      </c>
      <c r="D604" s="42">
        <v>128.1</v>
      </c>
      <c r="E604" s="42">
        <v>1762073</v>
      </c>
      <c r="F604" s="42" t="s">
        <v>605</v>
      </c>
      <c r="G604" s="25">
        <f t="shared" si="8"/>
        <v>-5.3083528493363952E-3</v>
      </c>
    </row>
    <row r="605" spans="1:7">
      <c r="A605" s="42">
        <v>127.12</v>
      </c>
      <c r="B605" s="42">
        <v>129.3192</v>
      </c>
      <c r="C605" s="42">
        <v>125.3883</v>
      </c>
      <c r="D605" s="42">
        <v>129.15</v>
      </c>
      <c r="E605" s="42">
        <v>1823113</v>
      </c>
      <c r="F605" s="42" t="s">
        <v>606</v>
      </c>
      <c r="G605" s="25">
        <f t="shared" si="8"/>
        <v>-1.5718157181571879E-2</v>
      </c>
    </row>
    <row r="606" spans="1:7">
      <c r="A606" s="42">
        <v>129.29</v>
      </c>
      <c r="B606" s="42">
        <v>130.31</v>
      </c>
      <c r="C606" s="42">
        <v>128.65</v>
      </c>
      <c r="D606" s="42">
        <v>129.19999999999999</v>
      </c>
      <c r="E606" s="42">
        <v>3290126</v>
      </c>
      <c r="F606" s="42" t="s">
        <v>607</v>
      </c>
      <c r="G606" s="25">
        <f t="shared" si="8"/>
        <v>6.9659442724456788E-4</v>
      </c>
    </row>
    <row r="607" spans="1:7">
      <c r="A607" s="42">
        <v>127.29</v>
      </c>
      <c r="B607" s="42">
        <v>127.99</v>
      </c>
      <c r="C607" s="42">
        <v>125.06</v>
      </c>
      <c r="D607" s="42">
        <v>127.12</v>
      </c>
      <c r="E607" s="42">
        <v>2819435</v>
      </c>
      <c r="F607" s="42" t="s">
        <v>608</v>
      </c>
      <c r="G607" s="25">
        <f t="shared" si="8"/>
        <v>1.3373190685965763E-3</v>
      </c>
    </row>
    <row r="608" spans="1:7">
      <c r="A608" s="42">
        <v>127.45</v>
      </c>
      <c r="B608" s="42">
        <v>128</v>
      </c>
      <c r="C608" s="42">
        <v>125.2967</v>
      </c>
      <c r="D608" s="42">
        <v>126.26</v>
      </c>
      <c r="E608" s="42">
        <v>3594834</v>
      </c>
      <c r="F608" s="42" t="s">
        <v>609</v>
      </c>
      <c r="G608" s="25">
        <f t="shared" si="8"/>
        <v>9.4249960399175325E-3</v>
      </c>
    </row>
    <row r="609" spans="1:7">
      <c r="A609" s="42">
        <v>125.45</v>
      </c>
      <c r="B609" s="42">
        <v>125.53</v>
      </c>
      <c r="C609" s="42">
        <v>122.54</v>
      </c>
      <c r="D609" s="42">
        <v>123</v>
      </c>
      <c r="E609" s="42">
        <v>1905712</v>
      </c>
      <c r="F609" s="42" t="s">
        <v>610</v>
      </c>
      <c r="G609" s="25">
        <f t="shared" si="8"/>
        <v>1.9918699186991962E-2</v>
      </c>
    </row>
    <row r="610" spans="1:7">
      <c r="A610" s="42">
        <v>124.46</v>
      </c>
      <c r="B610" s="42">
        <v>124.94</v>
      </c>
      <c r="C610" s="42">
        <v>121.29</v>
      </c>
      <c r="D610" s="42">
        <v>123.59</v>
      </c>
      <c r="E610" s="42">
        <v>3116917</v>
      </c>
      <c r="F610" s="42" t="s">
        <v>611</v>
      </c>
      <c r="G610" s="25">
        <f t="shared" si="8"/>
        <v>7.0394044825632385E-3</v>
      </c>
    </row>
    <row r="611" spans="1:7">
      <c r="A611" s="42">
        <v>125</v>
      </c>
      <c r="B611" s="42">
        <v>130</v>
      </c>
      <c r="C611" s="42">
        <v>124.06</v>
      </c>
      <c r="D611" s="42">
        <v>128.93</v>
      </c>
      <c r="E611" s="42">
        <v>3646326</v>
      </c>
      <c r="F611" s="42" t="s">
        <v>612</v>
      </c>
      <c r="G611" s="25">
        <f t="shared" si="8"/>
        <v>-3.0481656712945115E-2</v>
      </c>
    </row>
    <row r="612" spans="1:7">
      <c r="A612" s="42">
        <v>128.93</v>
      </c>
      <c r="B612" s="42">
        <v>130.30000000000001</v>
      </c>
      <c r="C612" s="42">
        <v>126.72</v>
      </c>
      <c r="D612" s="42">
        <v>127.97</v>
      </c>
      <c r="E612" s="42">
        <v>2507331</v>
      </c>
      <c r="F612" s="42" t="s">
        <v>613</v>
      </c>
      <c r="G612" s="25">
        <f t="shared" si="8"/>
        <v>7.5017582245839876E-3</v>
      </c>
    </row>
    <row r="613" spans="1:7">
      <c r="A613" s="42">
        <v>128</v>
      </c>
      <c r="B613" s="42">
        <v>130.74</v>
      </c>
      <c r="C613" s="42">
        <v>127.97</v>
      </c>
      <c r="D613" s="42">
        <v>130.04</v>
      </c>
      <c r="E613" s="42">
        <v>2350982</v>
      </c>
      <c r="F613" s="42" t="s">
        <v>614</v>
      </c>
      <c r="G613" s="25">
        <f t="shared" si="8"/>
        <v>-1.5687480775146034E-2</v>
      </c>
    </row>
    <row r="614" spans="1:7">
      <c r="A614" s="42">
        <v>129.69999999999999</v>
      </c>
      <c r="B614" s="42">
        <v>132.03</v>
      </c>
      <c r="C614" s="42">
        <v>128.38</v>
      </c>
      <c r="D614" s="42">
        <v>128.81</v>
      </c>
      <c r="E614" s="42">
        <v>2714651</v>
      </c>
      <c r="F614" s="42" t="s">
        <v>615</v>
      </c>
      <c r="G614" s="25">
        <f t="shared" si="8"/>
        <v>6.9094014439872176E-3</v>
      </c>
    </row>
    <row r="615" spans="1:7">
      <c r="A615" s="42">
        <v>129.63</v>
      </c>
      <c r="B615" s="42">
        <v>130.32</v>
      </c>
      <c r="C615" s="42">
        <v>123.67</v>
      </c>
      <c r="D615" s="42">
        <v>125.71</v>
      </c>
      <c r="E615" s="42">
        <v>3725697</v>
      </c>
      <c r="F615" s="42" t="s">
        <v>616</v>
      </c>
      <c r="G615" s="25">
        <f t="shared" si="8"/>
        <v>3.1182881234587567E-2</v>
      </c>
    </row>
    <row r="616" spans="1:7">
      <c r="A616" s="42">
        <v>123.98</v>
      </c>
      <c r="B616" s="42">
        <v>124.99</v>
      </c>
      <c r="C616" s="42">
        <v>120.5</v>
      </c>
      <c r="D616" s="42">
        <v>121.27</v>
      </c>
      <c r="E616" s="42">
        <v>2084883</v>
      </c>
      <c r="F616" s="42" t="s">
        <v>617</v>
      </c>
      <c r="G616" s="25">
        <f t="shared" si="8"/>
        <v>2.2346829388966816E-2</v>
      </c>
    </row>
    <row r="617" spans="1:7">
      <c r="A617" s="42">
        <v>121.83</v>
      </c>
      <c r="B617" s="42">
        <v>122.8</v>
      </c>
      <c r="C617" s="42">
        <v>119.86</v>
      </c>
      <c r="D617" s="42">
        <v>120.03</v>
      </c>
      <c r="E617" s="42">
        <v>1946375</v>
      </c>
      <c r="F617" s="42" t="s">
        <v>618</v>
      </c>
      <c r="G617" s="25">
        <f t="shared" si="8"/>
        <v>1.4996250937265643E-2</v>
      </c>
    </row>
    <row r="618" spans="1:7">
      <c r="A618" s="42">
        <v>120.27</v>
      </c>
      <c r="B618" s="42">
        <v>123.44</v>
      </c>
      <c r="C618" s="42">
        <v>119.645</v>
      </c>
      <c r="D618" s="42">
        <v>123.44</v>
      </c>
      <c r="E618" s="42">
        <v>1895900</v>
      </c>
      <c r="F618" s="42" t="s">
        <v>619</v>
      </c>
      <c r="G618" s="25">
        <f t="shared" si="8"/>
        <v>-2.5680492546986455E-2</v>
      </c>
    </row>
    <row r="619" spans="1:7">
      <c r="A619" s="42">
        <v>123.09</v>
      </c>
      <c r="B619" s="42">
        <v>126.22499999999999</v>
      </c>
      <c r="C619" s="42">
        <v>122.4</v>
      </c>
      <c r="D619" s="42">
        <v>123.15</v>
      </c>
      <c r="E619" s="42">
        <v>2091561</v>
      </c>
      <c r="F619" s="42" t="s">
        <v>620</v>
      </c>
      <c r="G619" s="25">
        <f t="shared" si="8"/>
        <v>-4.872107186357777E-4</v>
      </c>
    </row>
    <row r="620" spans="1:7">
      <c r="A620" s="42">
        <v>124.09</v>
      </c>
      <c r="B620" s="42">
        <v>124.78</v>
      </c>
      <c r="C620" s="42">
        <v>123.65</v>
      </c>
      <c r="D620" s="42">
        <v>123.78</v>
      </c>
      <c r="E620" s="42">
        <v>1301730</v>
      </c>
      <c r="F620" s="42" t="s">
        <v>621</v>
      </c>
      <c r="G620" s="25">
        <f t="shared" si="8"/>
        <v>2.5044433672645194E-3</v>
      </c>
    </row>
    <row r="621" spans="1:7">
      <c r="A621" s="42">
        <v>124.16</v>
      </c>
      <c r="B621" s="42">
        <v>125.72</v>
      </c>
      <c r="C621" s="42">
        <v>123.51</v>
      </c>
      <c r="D621" s="42">
        <v>124.31</v>
      </c>
      <c r="E621" s="42">
        <v>1290397</v>
      </c>
      <c r="F621" s="42" t="s">
        <v>622</v>
      </c>
      <c r="G621" s="25">
        <f t="shared" si="8"/>
        <v>-1.2066607674362517E-3</v>
      </c>
    </row>
    <row r="622" spans="1:7">
      <c r="A622" s="42">
        <v>123.73</v>
      </c>
      <c r="B622" s="42">
        <v>124.25</v>
      </c>
      <c r="C622" s="42">
        <v>122.264</v>
      </c>
      <c r="D622" s="42">
        <v>124.02</v>
      </c>
      <c r="E622" s="42">
        <v>1844433</v>
      </c>
      <c r="F622" s="42" t="s">
        <v>623</v>
      </c>
      <c r="G622" s="25">
        <f t="shared" si="8"/>
        <v>-2.3383325270116551E-3</v>
      </c>
    </row>
    <row r="623" spans="1:7">
      <c r="A623" s="42">
        <v>123.55</v>
      </c>
      <c r="B623" s="42">
        <v>123.86</v>
      </c>
      <c r="C623" s="42">
        <v>121.88</v>
      </c>
      <c r="D623" s="42">
        <v>123.3</v>
      </c>
      <c r="E623" s="42">
        <v>1412776</v>
      </c>
      <c r="F623" s="42" t="s">
        <v>624</v>
      </c>
      <c r="G623" s="25">
        <f t="shared" si="8"/>
        <v>2.0275750202758402E-3</v>
      </c>
    </row>
    <row r="624" spans="1:7">
      <c r="A624" s="42">
        <v>122.17</v>
      </c>
      <c r="B624" s="42">
        <v>122.61</v>
      </c>
      <c r="C624" s="42">
        <v>120.23</v>
      </c>
      <c r="D624" s="42">
        <v>122.38</v>
      </c>
      <c r="E624" s="42">
        <v>1829088</v>
      </c>
      <c r="F624" s="42" t="s">
        <v>625</v>
      </c>
      <c r="G624" s="25">
        <f t="shared" si="8"/>
        <v>-1.7159666612190927E-3</v>
      </c>
    </row>
    <row r="625" spans="1:7">
      <c r="A625" s="42">
        <v>122.8</v>
      </c>
      <c r="B625" s="42">
        <v>122.92</v>
      </c>
      <c r="C625" s="42">
        <v>118.36</v>
      </c>
      <c r="D625" s="42">
        <v>118.59</v>
      </c>
      <c r="E625" s="42">
        <v>2837320</v>
      </c>
      <c r="F625" s="42" t="s">
        <v>626</v>
      </c>
      <c r="G625" s="25">
        <f t="shared" si="8"/>
        <v>3.5500463782780933E-2</v>
      </c>
    </row>
    <row r="626" spans="1:7">
      <c r="A626" s="42">
        <v>116.64</v>
      </c>
      <c r="B626" s="42">
        <v>123.2899</v>
      </c>
      <c r="C626" s="42">
        <v>115.64</v>
      </c>
      <c r="D626" s="42">
        <v>122.48</v>
      </c>
      <c r="E626" s="42">
        <v>5202522</v>
      </c>
      <c r="F626" s="42" t="s">
        <v>627</v>
      </c>
      <c r="G626" s="25">
        <f t="shared" si="8"/>
        <v>-4.7681254082299174E-2</v>
      </c>
    </row>
    <row r="627" spans="1:7">
      <c r="A627" s="42">
        <v>123.29</v>
      </c>
      <c r="B627" s="42">
        <v>124.58</v>
      </c>
      <c r="C627" s="42">
        <v>122.91</v>
      </c>
      <c r="D627" s="42">
        <v>123.63</v>
      </c>
      <c r="E627" s="42">
        <v>2482221</v>
      </c>
      <c r="F627" s="42" t="s">
        <v>628</v>
      </c>
      <c r="G627" s="25">
        <f t="shared" si="8"/>
        <v>-2.7501415514032956E-3</v>
      </c>
    </row>
    <row r="628" spans="1:7">
      <c r="A628" s="42">
        <v>123.35</v>
      </c>
      <c r="B628" s="42">
        <v>124.5</v>
      </c>
      <c r="C628" s="42">
        <v>119.55</v>
      </c>
      <c r="D628" s="42">
        <v>121.85</v>
      </c>
      <c r="E628" s="42">
        <v>2571283</v>
      </c>
      <c r="F628" s="42" t="s">
        <v>629</v>
      </c>
      <c r="G628" s="25">
        <f t="shared" si="8"/>
        <v>1.2310217480508756E-2</v>
      </c>
    </row>
    <row r="629" spans="1:7">
      <c r="A629" s="42">
        <v>122.59</v>
      </c>
      <c r="B629" s="42">
        <v>123.57</v>
      </c>
      <c r="C629" s="42">
        <v>121.08</v>
      </c>
      <c r="D629" s="42">
        <v>123.02</v>
      </c>
      <c r="E629" s="42">
        <v>5084294</v>
      </c>
      <c r="F629" s="42" t="s">
        <v>630</v>
      </c>
      <c r="G629" s="25">
        <f t="shared" si="8"/>
        <v>-3.4953666070557388E-3</v>
      </c>
    </row>
    <row r="630" spans="1:7">
      <c r="A630" s="42">
        <v>123.1</v>
      </c>
      <c r="B630" s="42">
        <v>126.37</v>
      </c>
      <c r="C630" s="42">
        <v>122.33499999999999</v>
      </c>
      <c r="D630" s="42">
        <v>123.42</v>
      </c>
      <c r="E630" s="42">
        <v>3705414</v>
      </c>
      <c r="F630" s="42" t="s">
        <v>631</v>
      </c>
      <c r="G630" s="25">
        <f t="shared" si="8"/>
        <v>-2.5927726462486866E-3</v>
      </c>
    </row>
    <row r="631" spans="1:7">
      <c r="A631" s="42">
        <v>122.29</v>
      </c>
      <c r="B631" s="42">
        <v>122.38</v>
      </c>
      <c r="C631" s="42">
        <v>118.425</v>
      </c>
      <c r="D631" s="42">
        <v>119.14</v>
      </c>
      <c r="E631" s="42">
        <v>2811964</v>
      </c>
      <c r="F631" s="42" t="s">
        <v>632</v>
      </c>
      <c r="G631" s="25">
        <f t="shared" si="8"/>
        <v>2.6439482961222227E-2</v>
      </c>
    </row>
    <row r="632" spans="1:7">
      <c r="A632" s="42">
        <v>119.16</v>
      </c>
      <c r="B632" s="42">
        <v>120.11</v>
      </c>
      <c r="C632" s="42">
        <v>116.81</v>
      </c>
      <c r="D632" s="42">
        <v>118.54</v>
      </c>
      <c r="E632" s="42">
        <v>2564421</v>
      </c>
      <c r="F632" s="42" t="s">
        <v>633</v>
      </c>
      <c r="G632" s="25">
        <f t="shared" si="8"/>
        <v>5.2303020077610896E-3</v>
      </c>
    </row>
    <row r="633" spans="1:7">
      <c r="A633" s="42">
        <v>117.9</v>
      </c>
      <c r="B633" s="42">
        <v>118.69</v>
      </c>
      <c r="C633" s="42">
        <v>115.38</v>
      </c>
      <c r="D633" s="42">
        <v>117.66</v>
      </c>
      <c r="E633" s="42">
        <v>3735643</v>
      </c>
      <c r="F633" s="42" t="s">
        <v>634</v>
      </c>
      <c r="G633" s="25">
        <f t="shared" si="8"/>
        <v>2.0397756246812726E-3</v>
      </c>
    </row>
    <row r="634" spans="1:7">
      <c r="A634" s="42">
        <v>116.97</v>
      </c>
      <c r="B634" s="42">
        <v>119.39</v>
      </c>
      <c r="C634" s="42">
        <v>116.92</v>
      </c>
      <c r="D634" s="42">
        <v>118.48</v>
      </c>
      <c r="E634" s="42">
        <v>2375826</v>
      </c>
      <c r="F634" s="42" t="s">
        <v>635</v>
      </c>
      <c r="G634" s="25">
        <f t="shared" si="8"/>
        <v>-1.2744767049291061E-2</v>
      </c>
    </row>
    <row r="635" spans="1:7">
      <c r="A635" s="42">
        <v>118.89</v>
      </c>
      <c r="B635" s="42">
        <v>119.48</v>
      </c>
      <c r="C635" s="42">
        <v>117.51</v>
      </c>
      <c r="D635" s="42">
        <v>118.3</v>
      </c>
      <c r="E635" s="42">
        <v>2391816</v>
      </c>
      <c r="F635" s="42" t="s">
        <v>636</v>
      </c>
      <c r="G635" s="25">
        <f t="shared" si="8"/>
        <v>4.9873203719357218E-3</v>
      </c>
    </row>
    <row r="636" spans="1:7">
      <c r="A636" s="42">
        <v>117.94</v>
      </c>
      <c r="B636" s="42">
        <v>119.06</v>
      </c>
      <c r="C636" s="42">
        <v>116.38</v>
      </c>
      <c r="D636" s="42">
        <v>117.74</v>
      </c>
      <c r="E636" s="42">
        <v>2494462</v>
      </c>
      <c r="F636" s="42" t="s">
        <v>637</v>
      </c>
      <c r="G636" s="25">
        <f t="shared" si="8"/>
        <v>1.6986580601325851E-3</v>
      </c>
    </row>
    <row r="637" spans="1:7">
      <c r="A637" s="42">
        <v>117.2</v>
      </c>
      <c r="B637" s="42">
        <v>117.82</v>
      </c>
      <c r="C637" s="42">
        <v>115.64</v>
      </c>
      <c r="D637" s="42">
        <v>116.37</v>
      </c>
      <c r="E637" s="42">
        <v>2768267</v>
      </c>
      <c r="F637" s="42" t="s">
        <v>638</v>
      </c>
      <c r="G637" s="25">
        <f t="shared" si="8"/>
        <v>7.1324224456474905E-3</v>
      </c>
    </row>
    <row r="638" spans="1:7">
      <c r="A638" s="42">
        <v>118.24</v>
      </c>
      <c r="B638" s="42">
        <v>118.79</v>
      </c>
      <c r="C638" s="42">
        <v>116.1998</v>
      </c>
      <c r="D638" s="42">
        <v>116.25</v>
      </c>
      <c r="E638" s="42">
        <v>3085082</v>
      </c>
      <c r="F638" s="42" t="s">
        <v>639</v>
      </c>
      <c r="G638" s="25">
        <f t="shared" si="8"/>
        <v>1.7118279569892536E-2</v>
      </c>
    </row>
    <row r="639" spans="1:7">
      <c r="A639" s="42">
        <v>116.62</v>
      </c>
      <c r="B639" s="42">
        <v>117.5</v>
      </c>
      <c r="C639" s="42">
        <v>113.01</v>
      </c>
      <c r="D639" s="42">
        <v>114.24</v>
      </c>
      <c r="E639" s="42">
        <v>3075029</v>
      </c>
      <c r="F639" s="42" t="s">
        <v>640</v>
      </c>
      <c r="G639" s="25">
        <f t="shared" si="8"/>
        <v>2.0833333333333481E-2</v>
      </c>
    </row>
    <row r="640" spans="1:7">
      <c r="A640" s="42">
        <v>115.52</v>
      </c>
      <c r="B640" s="42">
        <v>117.26</v>
      </c>
      <c r="C640" s="42">
        <v>114.86</v>
      </c>
      <c r="D640" s="42">
        <v>116.94</v>
      </c>
      <c r="E640" s="42">
        <v>4537499</v>
      </c>
      <c r="F640" s="42" t="s">
        <v>641</v>
      </c>
      <c r="G640" s="25">
        <f t="shared" si="8"/>
        <v>-1.21429793056268E-2</v>
      </c>
    </row>
    <row r="641" spans="1:7">
      <c r="A641" s="42">
        <v>116.18</v>
      </c>
      <c r="B641" s="42">
        <v>117.44</v>
      </c>
      <c r="C641" s="42">
        <v>113</v>
      </c>
      <c r="D641" s="42">
        <v>113.38</v>
      </c>
      <c r="E641" s="42">
        <v>4734844</v>
      </c>
      <c r="F641" s="42" t="s">
        <v>642</v>
      </c>
      <c r="G641" s="25">
        <f t="shared" si="8"/>
        <v>2.4695713529723218E-2</v>
      </c>
    </row>
    <row r="642" spans="1:7">
      <c r="A642" s="42">
        <v>112.2</v>
      </c>
      <c r="B642" s="42">
        <v>113.77</v>
      </c>
      <c r="C642" s="42">
        <v>111.29</v>
      </c>
      <c r="D642" s="42">
        <v>113.37</v>
      </c>
      <c r="E642" s="42">
        <v>4492399</v>
      </c>
      <c r="F642" s="42" t="s">
        <v>643</v>
      </c>
      <c r="G642" s="25">
        <f t="shared" si="8"/>
        <v>-1.0320190526594386E-2</v>
      </c>
    </row>
    <row r="643" spans="1:7">
      <c r="A643" s="42">
        <v>113.98</v>
      </c>
      <c r="B643" s="42">
        <v>115.09</v>
      </c>
      <c r="C643" s="42">
        <v>112.03</v>
      </c>
      <c r="D643" s="42">
        <v>112.07</v>
      </c>
      <c r="E643" s="42">
        <v>3687258</v>
      </c>
      <c r="F643" s="42" t="s">
        <v>644</v>
      </c>
      <c r="G643" s="25">
        <f t="shared" ref="G643:G706" si="9">A643/D643-1</f>
        <v>1.7042919603819096E-2</v>
      </c>
    </row>
    <row r="644" spans="1:7">
      <c r="A644" s="42">
        <v>112.95</v>
      </c>
      <c r="B644" s="42">
        <v>113.81</v>
      </c>
      <c r="C644" s="42">
        <v>110.44</v>
      </c>
      <c r="D644" s="42">
        <v>110.8</v>
      </c>
      <c r="E644" s="42">
        <v>1902075</v>
      </c>
      <c r="F644" s="42" t="s">
        <v>645</v>
      </c>
      <c r="G644" s="25">
        <f t="shared" si="9"/>
        <v>1.9404332129963953E-2</v>
      </c>
    </row>
    <row r="645" spans="1:7">
      <c r="A645" s="42">
        <v>110.8</v>
      </c>
      <c r="B645" s="42">
        <v>112.045</v>
      </c>
      <c r="C645" s="42">
        <v>109.41500000000001</v>
      </c>
      <c r="D645" s="42">
        <v>110</v>
      </c>
      <c r="E645" s="42">
        <v>2747566</v>
      </c>
      <c r="F645" s="42" t="s">
        <v>646</v>
      </c>
      <c r="G645" s="25">
        <f t="shared" si="9"/>
        <v>7.2727272727273196E-3</v>
      </c>
    </row>
    <row r="646" spans="1:7">
      <c r="A646" s="42">
        <v>108.96</v>
      </c>
      <c r="B646" s="42">
        <v>109.65</v>
      </c>
      <c r="C646" s="42">
        <v>107.81</v>
      </c>
      <c r="D646" s="42">
        <v>108.42</v>
      </c>
      <c r="E646" s="42">
        <v>2778012</v>
      </c>
      <c r="F646" s="42" t="s">
        <v>647</v>
      </c>
      <c r="G646" s="25">
        <f t="shared" si="9"/>
        <v>4.9806308799114074E-3</v>
      </c>
    </row>
    <row r="647" spans="1:7">
      <c r="A647" s="42">
        <v>108.96</v>
      </c>
      <c r="B647" s="42">
        <v>109.2</v>
      </c>
      <c r="C647" s="42">
        <v>104.06</v>
      </c>
      <c r="D647" s="42">
        <v>104.39</v>
      </c>
      <c r="E647" s="42">
        <v>4313257</v>
      </c>
      <c r="F647" s="42" t="s">
        <v>648</v>
      </c>
      <c r="G647" s="25">
        <f t="shared" si="9"/>
        <v>4.3778139668550597E-2</v>
      </c>
    </row>
    <row r="648" spans="1:7">
      <c r="A648" s="42">
        <v>104.97</v>
      </c>
      <c r="B648" s="42">
        <v>106.74</v>
      </c>
      <c r="C648" s="42">
        <v>104.31</v>
      </c>
      <c r="D648" s="42">
        <v>104.93</v>
      </c>
      <c r="E648" s="42">
        <v>5315982</v>
      </c>
      <c r="F648" s="42" t="s">
        <v>649</v>
      </c>
      <c r="G648" s="25">
        <f t="shared" si="9"/>
        <v>3.8120651863149391E-4</v>
      </c>
    </row>
    <row r="649" spans="1:7">
      <c r="A649" s="42">
        <v>104.77</v>
      </c>
      <c r="B649" s="42">
        <v>105.19</v>
      </c>
      <c r="C649" s="42">
        <v>102</v>
      </c>
      <c r="D649" s="42">
        <v>102</v>
      </c>
      <c r="E649" s="42">
        <v>5726929</v>
      </c>
      <c r="F649" s="42" t="s">
        <v>650</v>
      </c>
      <c r="G649" s="25">
        <f t="shared" si="9"/>
        <v>2.7156862745097987E-2</v>
      </c>
    </row>
    <row r="650" spans="1:7">
      <c r="A650" s="42">
        <v>102.11</v>
      </c>
      <c r="B650" s="42">
        <v>104.245</v>
      </c>
      <c r="C650" s="42">
        <v>100.86</v>
      </c>
      <c r="D650" s="42">
        <v>101.38</v>
      </c>
      <c r="E650" s="42">
        <v>4159505</v>
      </c>
      <c r="F650" s="42" t="s">
        <v>651</v>
      </c>
      <c r="G650" s="25">
        <f t="shared" si="9"/>
        <v>7.2006312882224588E-3</v>
      </c>
    </row>
    <row r="651" spans="1:7">
      <c r="A651" s="42">
        <v>101.38</v>
      </c>
      <c r="B651" s="42">
        <v>103.85</v>
      </c>
      <c r="C651" s="42">
        <v>99.26</v>
      </c>
      <c r="D651" s="42">
        <v>100</v>
      </c>
      <c r="E651" s="42">
        <v>5479586</v>
      </c>
      <c r="F651" s="42" t="s">
        <v>652</v>
      </c>
      <c r="G651" s="25">
        <f t="shared" si="9"/>
        <v>1.3800000000000034E-2</v>
      </c>
    </row>
    <row r="652" spans="1:7">
      <c r="A652" s="42">
        <v>98.35</v>
      </c>
      <c r="B652" s="42">
        <v>100.57</v>
      </c>
      <c r="C652" s="42">
        <v>94.5501</v>
      </c>
      <c r="D652" s="42">
        <v>96.8</v>
      </c>
      <c r="E652" s="42">
        <v>5725913</v>
      </c>
      <c r="F652" s="42" t="s">
        <v>653</v>
      </c>
      <c r="G652" s="25">
        <f t="shared" si="9"/>
        <v>1.6012396694214948E-2</v>
      </c>
    </row>
    <row r="653" spans="1:7">
      <c r="A653" s="42">
        <v>94.05</v>
      </c>
      <c r="B653" s="42">
        <v>95.07</v>
      </c>
      <c r="C653" s="42">
        <v>91.59</v>
      </c>
      <c r="D653" s="42">
        <v>93.61</v>
      </c>
      <c r="E653" s="42">
        <v>4185668</v>
      </c>
      <c r="F653" s="42" t="s">
        <v>654</v>
      </c>
      <c r="G653" s="25">
        <f t="shared" si="9"/>
        <v>4.7003525264395218E-3</v>
      </c>
    </row>
    <row r="654" spans="1:7">
      <c r="A654" s="42">
        <v>92.4</v>
      </c>
      <c r="B654" s="42">
        <v>95.29</v>
      </c>
      <c r="C654" s="42">
        <v>91.71</v>
      </c>
      <c r="D654" s="42">
        <v>93.27</v>
      </c>
      <c r="E654" s="42">
        <v>4663643</v>
      </c>
      <c r="F654" s="42" t="s">
        <v>655</v>
      </c>
      <c r="G654" s="25">
        <f t="shared" si="9"/>
        <v>-9.3277581215823746E-3</v>
      </c>
    </row>
    <row r="655" spans="1:7">
      <c r="A655" s="42">
        <v>92.76</v>
      </c>
      <c r="B655" s="42">
        <v>95.57</v>
      </c>
      <c r="C655" s="42">
        <v>91.484999999999999</v>
      </c>
      <c r="D655" s="42">
        <v>95.22</v>
      </c>
      <c r="E655" s="42">
        <v>4631696</v>
      </c>
      <c r="F655" s="42" t="s">
        <v>656</v>
      </c>
      <c r="G655" s="25">
        <f t="shared" si="9"/>
        <v>-2.5834908632640152E-2</v>
      </c>
    </row>
    <row r="656" spans="1:7">
      <c r="A656" s="42">
        <v>95.19</v>
      </c>
      <c r="B656" s="42">
        <v>97.62</v>
      </c>
      <c r="C656" s="42">
        <v>95.09</v>
      </c>
      <c r="D656" s="42">
        <v>95.809700000000007</v>
      </c>
      <c r="E656" s="42">
        <v>3273453</v>
      </c>
      <c r="F656" s="42" t="s">
        <v>657</v>
      </c>
      <c r="G656" s="25">
        <f t="shared" si="9"/>
        <v>-6.468029855014823E-3</v>
      </c>
    </row>
    <row r="657" spans="1:7">
      <c r="A657" s="42">
        <v>94.84</v>
      </c>
      <c r="B657" s="42">
        <v>98.91</v>
      </c>
      <c r="C657" s="42">
        <v>94.34</v>
      </c>
      <c r="D657" s="42">
        <v>97.78</v>
      </c>
      <c r="E657" s="42">
        <v>4019706</v>
      </c>
      <c r="F657" s="42" t="s">
        <v>658</v>
      </c>
      <c r="G657" s="25">
        <f t="shared" si="9"/>
        <v>-3.006749846594392E-2</v>
      </c>
    </row>
    <row r="658" spans="1:7">
      <c r="A658" s="42">
        <v>97.46</v>
      </c>
      <c r="B658" s="42">
        <v>99.01</v>
      </c>
      <c r="C658" s="42">
        <v>96.07</v>
      </c>
      <c r="D658" s="42">
        <v>96.57</v>
      </c>
      <c r="E658" s="42">
        <v>5092341</v>
      </c>
      <c r="F658" s="42" t="s">
        <v>659</v>
      </c>
      <c r="G658" s="25">
        <f t="shared" si="9"/>
        <v>9.2161126643885982E-3</v>
      </c>
    </row>
    <row r="659" spans="1:7">
      <c r="A659" s="42">
        <v>93.67</v>
      </c>
      <c r="B659" s="42">
        <v>95.829899999999995</v>
      </c>
      <c r="C659" s="42">
        <v>92.07</v>
      </c>
      <c r="D659" s="42">
        <v>94.84</v>
      </c>
      <c r="E659" s="42">
        <v>4425684</v>
      </c>
      <c r="F659" s="42" t="s">
        <v>660</v>
      </c>
      <c r="G659" s="25">
        <f t="shared" si="9"/>
        <v>-1.233656684943063E-2</v>
      </c>
    </row>
    <row r="660" spans="1:7">
      <c r="A660" s="42">
        <v>94.13</v>
      </c>
      <c r="B660" s="42">
        <v>94.405000000000001</v>
      </c>
      <c r="C660" s="42">
        <v>87.810100000000006</v>
      </c>
      <c r="D660" s="42">
        <v>88.26</v>
      </c>
      <c r="E660" s="42">
        <v>6016837</v>
      </c>
      <c r="F660" s="42" t="s">
        <v>661</v>
      </c>
      <c r="G660" s="25">
        <f t="shared" si="9"/>
        <v>6.6508044414230527E-2</v>
      </c>
    </row>
    <row r="661" spans="1:7">
      <c r="A661" s="42">
        <v>88.83</v>
      </c>
      <c r="B661" s="42">
        <v>89.47</v>
      </c>
      <c r="C661" s="42">
        <v>85.41</v>
      </c>
      <c r="D661" s="42">
        <v>85.73</v>
      </c>
      <c r="E661" s="42">
        <v>5391891</v>
      </c>
      <c r="F661" s="42" t="s">
        <v>662</v>
      </c>
      <c r="G661" s="25">
        <f t="shared" si="9"/>
        <v>3.6160037326490091E-2</v>
      </c>
    </row>
    <row r="662" spans="1:7">
      <c r="A662" s="42">
        <v>84.91</v>
      </c>
      <c r="B662" s="42">
        <v>90.59</v>
      </c>
      <c r="C662" s="42">
        <v>84.71</v>
      </c>
      <c r="D662" s="42">
        <v>90.16</v>
      </c>
      <c r="E662" s="42">
        <v>7038390</v>
      </c>
      <c r="F662" s="42" t="s">
        <v>663</v>
      </c>
      <c r="G662" s="25">
        <f t="shared" si="9"/>
        <v>-5.8229813664596231E-2</v>
      </c>
    </row>
    <row r="663" spans="1:7">
      <c r="A663" s="42">
        <v>89.29</v>
      </c>
      <c r="B663" s="42">
        <v>92.988</v>
      </c>
      <c r="C663" s="42">
        <v>86.27</v>
      </c>
      <c r="D663" s="42">
        <v>92.73</v>
      </c>
      <c r="E663" s="42">
        <v>14954605</v>
      </c>
      <c r="F663" s="42" t="s">
        <v>664</v>
      </c>
      <c r="G663" s="25">
        <f t="shared" si="9"/>
        <v>-3.709694812897657E-2</v>
      </c>
    </row>
    <row r="664" spans="1:7">
      <c r="A664" s="42">
        <v>81.09</v>
      </c>
      <c r="B664" s="42">
        <v>84.23</v>
      </c>
      <c r="C664" s="42">
        <v>80.924999999999997</v>
      </c>
      <c r="D664" s="42">
        <v>84.18</v>
      </c>
      <c r="E664" s="42">
        <v>6707774</v>
      </c>
      <c r="F664" s="42" t="s">
        <v>665</v>
      </c>
      <c r="G664" s="25">
        <f t="shared" si="9"/>
        <v>-3.6707056307911601E-2</v>
      </c>
    </row>
    <row r="665" spans="1:7">
      <c r="A665" s="42">
        <v>84.35</v>
      </c>
      <c r="B665" s="42">
        <v>86.37</v>
      </c>
      <c r="C665" s="42">
        <v>83.06</v>
      </c>
      <c r="D665" s="42">
        <v>85.85</v>
      </c>
      <c r="E665" s="42">
        <v>4112462</v>
      </c>
      <c r="F665" s="42" t="s">
        <v>666</v>
      </c>
      <c r="G665" s="25">
        <f t="shared" si="9"/>
        <v>-1.7472335468840972E-2</v>
      </c>
    </row>
    <row r="666" spans="1:7">
      <c r="A666" s="42">
        <v>86.35</v>
      </c>
      <c r="B666" s="42">
        <v>86.84</v>
      </c>
      <c r="C666" s="42">
        <v>85.26</v>
      </c>
      <c r="D666" s="42">
        <v>85.4</v>
      </c>
      <c r="E666" s="42">
        <v>4375201</v>
      </c>
      <c r="F666" s="42" t="s">
        <v>667</v>
      </c>
      <c r="G666" s="25">
        <f t="shared" si="9"/>
        <v>1.1124121779859442E-2</v>
      </c>
    </row>
    <row r="667" spans="1:7">
      <c r="A667" s="42">
        <v>86.02</v>
      </c>
      <c r="B667" s="42">
        <v>87.98</v>
      </c>
      <c r="C667" s="42">
        <v>85.6</v>
      </c>
      <c r="D667" s="42">
        <v>85.75</v>
      </c>
      <c r="E667" s="42">
        <v>4042385</v>
      </c>
      <c r="F667" s="42" t="s">
        <v>668</v>
      </c>
      <c r="G667" s="25">
        <f t="shared" si="9"/>
        <v>3.1486880466471412E-3</v>
      </c>
    </row>
    <row r="668" spans="1:7">
      <c r="A668" s="42">
        <v>85.97</v>
      </c>
      <c r="B668" s="42">
        <v>87.35</v>
      </c>
      <c r="C668" s="42">
        <v>85.48</v>
      </c>
      <c r="D668" s="42">
        <v>86.02</v>
      </c>
      <c r="E668" s="42">
        <v>4652443</v>
      </c>
      <c r="F668" s="42" t="s">
        <v>669</v>
      </c>
      <c r="G668" s="25">
        <f t="shared" si="9"/>
        <v>-5.8126017205295533E-4</v>
      </c>
    </row>
    <row r="669" spans="1:7">
      <c r="A669" s="42">
        <v>86.04</v>
      </c>
      <c r="B669" s="42">
        <v>87.48</v>
      </c>
      <c r="C669" s="42">
        <v>83.61</v>
      </c>
      <c r="D669" s="42">
        <v>83.69</v>
      </c>
      <c r="E669" s="42">
        <v>6634187</v>
      </c>
      <c r="F669" s="42" t="s">
        <v>670</v>
      </c>
      <c r="G669" s="25">
        <f t="shared" si="9"/>
        <v>2.8079818377344967E-2</v>
      </c>
    </row>
    <row r="670" spans="1:7">
      <c r="A670" s="42">
        <v>84.12</v>
      </c>
      <c r="B670" s="42">
        <v>85.27</v>
      </c>
      <c r="C670" s="42">
        <v>81.465000000000003</v>
      </c>
      <c r="D670" s="42">
        <v>81.489999999999995</v>
      </c>
      <c r="E670" s="42">
        <v>7717036</v>
      </c>
      <c r="F670" s="42" t="s">
        <v>671</v>
      </c>
      <c r="G670" s="25">
        <f t="shared" si="9"/>
        <v>3.2273898637869891E-2</v>
      </c>
    </row>
    <row r="671" spans="1:7">
      <c r="A671" s="42">
        <v>80.489999999999995</v>
      </c>
      <c r="B671" s="42">
        <v>82.56</v>
      </c>
      <c r="C671" s="42">
        <v>76.81</v>
      </c>
      <c r="D671" s="42">
        <v>77.38</v>
      </c>
      <c r="E671" s="42">
        <v>5476119</v>
      </c>
      <c r="F671" s="42" t="s">
        <v>672</v>
      </c>
      <c r="G671" s="25">
        <f t="shared" si="9"/>
        <v>4.0191263892478624E-2</v>
      </c>
    </row>
    <row r="672" spans="1:7">
      <c r="A672" s="42">
        <v>78.95</v>
      </c>
      <c r="B672" s="42">
        <v>80.19</v>
      </c>
      <c r="C672" s="42">
        <v>76.17</v>
      </c>
      <c r="D672" s="42">
        <v>77.58</v>
      </c>
      <c r="E672" s="42">
        <v>5271468</v>
      </c>
      <c r="F672" s="42" t="s">
        <v>673</v>
      </c>
      <c r="G672" s="25">
        <f t="shared" si="9"/>
        <v>1.7659190513018785E-2</v>
      </c>
    </row>
    <row r="673" spans="1:7">
      <c r="A673" s="42">
        <v>76.19</v>
      </c>
      <c r="B673" s="42">
        <v>76.435000000000002</v>
      </c>
      <c r="C673" s="42">
        <v>74.75</v>
      </c>
      <c r="D673" s="42">
        <v>75</v>
      </c>
      <c r="E673" s="42">
        <v>5124584</v>
      </c>
      <c r="F673" s="42" t="s">
        <v>674</v>
      </c>
      <c r="G673" s="25">
        <f t="shared" si="9"/>
        <v>1.5866666666666696E-2</v>
      </c>
    </row>
    <row r="674" spans="1:7">
      <c r="A674" s="42">
        <v>75.489999999999995</v>
      </c>
      <c r="B674" s="42">
        <v>80.14</v>
      </c>
      <c r="C674" s="42">
        <v>75.040000000000006</v>
      </c>
      <c r="D674" s="42">
        <v>79.69</v>
      </c>
      <c r="E674" s="42">
        <v>9338951</v>
      </c>
      <c r="F674" s="42" t="s">
        <v>675</v>
      </c>
      <c r="G674" s="25">
        <f t="shared" si="9"/>
        <v>-5.2704228886936932E-2</v>
      </c>
    </row>
    <row r="675" spans="1:7">
      <c r="A675" s="42">
        <v>78.97</v>
      </c>
      <c r="B675" s="42">
        <v>85.02</v>
      </c>
      <c r="C675" s="42">
        <v>77.91</v>
      </c>
      <c r="D675" s="42">
        <v>84.31</v>
      </c>
      <c r="E675" s="42">
        <v>8706833</v>
      </c>
      <c r="F675" s="42" t="s">
        <v>676</v>
      </c>
      <c r="G675" s="25">
        <f t="shared" si="9"/>
        <v>-6.3337682362709091E-2</v>
      </c>
    </row>
    <row r="676" spans="1:7">
      <c r="A676" s="42">
        <v>85.21</v>
      </c>
      <c r="B676" s="42">
        <v>86.4</v>
      </c>
      <c r="C676" s="42">
        <v>81.114999999999995</v>
      </c>
      <c r="D676" s="42">
        <v>82.91</v>
      </c>
      <c r="E676" s="42">
        <v>5266928</v>
      </c>
      <c r="F676" s="42" t="s">
        <v>677</v>
      </c>
      <c r="G676" s="25">
        <f t="shared" si="9"/>
        <v>2.7740923893378344E-2</v>
      </c>
    </row>
    <row r="677" spans="1:7">
      <c r="A677" s="42">
        <v>83.09</v>
      </c>
      <c r="B677" s="42">
        <v>83.32</v>
      </c>
      <c r="C677" s="42">
        <v>80.8</v>
      </c>
      <c r="D677" s="42">
        <v>82.49</v>
      </c>
      <c r="E677" s="42">
        <v>3165061</v>
      </c>
      <c r="F677" s="42" t="s">
        <v>678</v>
      </c>
      <c r="G677" s="25">
        <f t="shared" si="9"/>
        <v>7.2736089222937839E-3</v>
      </c>
    </row>
    <row r="678" spans="1:7">
      <c r="A678" s="42">
        <v>83.22</v>
      </c>
      <c r="B678" s="42">
        <v>83.690200000000004</v>
      </c>
      <c r="C678" s="42">
        <v>81.069999999999993</v>
      </c>
      <c r="D678" s="42">
        <v>82.55</v>
      </c>
      <c r="E678" s="42">
        <v>6761720</v>
      </c>
      <c r="F678" s="42" t="s">
        <v>679</v>
      </c>
      <c r="G678" s="25">
        <f t="shared" si="9"/>
        <v>8.1162931556633122E-3</v>
      </c>
    </row>
    <row r="679" spans="1:7">
      <c r="A679" s="42">
        <v>84</v>
      </c>
      <c r="B679" s="42">
        <v>88.1</v>
      </c>
      <c r="C679" s="42">
        <v>80.8</v>
      </c>
      <c r="D679" s="42">
        <v>88.1</v>
      </c>
      <c r="E679" s="42">
        <v>9019418</v>
      </c>
      <c r="F679" s="42" t="s">
        <v>680</v>
      </c>
      <c r="G679" s="25">
        <f t="shared" si="9"/>
        <v>-4.6538024971623071E-2</v>
      </c>
    </row>
    <row r="680" spans="1:7">
      <c r="A680" s="42">
        <v>87.7</v>
      </c>
      <c r="B680" s="42">
        <v>91.39</v>
      </c>
      <c r="C680" s="42">
        <v>85.54</v>
      </c>
      <c r="D680" s="42">
        <v>91.16</v>
      </c>
      <c r="E680" s="42">
        <v>5793376</v>
      </c>
      <c r="F680" s="42" t="s">
        <v>681</v>
      </c>
      <c r="G680" s="25">
        <f t="shared" si="9"/>
        <v>-3.7955243527863058E-2</v>
      </c>
    </row>
    <row r="681" spans="1:7">
      <c r="A681" s="42">
        <v>90.94</v>
      </c>
      <c r="B681" s="42">
        <v>94.36</v>
      </c>
      <c r="C681" s="42">
        <v>90.24</v>
      </c>
      <c r="D681" s="42">
        <v>93.67</v>
      </c>
      <c r="E681" s="42">
        <v>3026831</v>
      </c>
      <c r="F681" s="42" t="s">
        <v>682</v>
      </c>
      <c r="G681" s="25">
        <f t="shared" si="9"/>
        <v>-2.9144870289313562E-2</v>
      </c>
    </row>
    <row r="682" spans="1:7">
      <c r="A682" s="42">
        <v>94.55</v>
      </c>
      <c r="B682" s="42">
        <v>96.18</v>
      </c>
      <c r="C682" s="42">
        <v>91.801500000000004</v>
      </c>
      <c r="D682" s="42">
        <v>92.86</v>
      </c>
      <c r="E682" s="42">
        <v>3244917</v>
      </c>
      <c r="F682" s="42" t="s">
        <v>683</v>
      </c>
      <c r="G682" s="25">
        <f t="shared" si="9"/>
        <v>1.8199440017230284E-2</v>
      </c>
    </row>
    <row r="683" spans="1:7">
      <c r="A683" s="42">
        <v>93.3</v>
      </c>
      <c r="B683" s="42">
        <v>97.58</v>
      </c>
      <c r="C683" s="42">
        <v>93.13</v>
      </c>
      <c r="D683" s="42">
        <v>97.37</v>
      </c>
      <c r="E683" s="42">
        <v>5417039</v>
      </c>
      <c r="F683" s="42" t="s">
        <v>684</v>
      </c>
      <c r="G683" s="25">
        <f t="shared" si="9"/>
        <v>-4.1799322173154074E-2</v>
      </c>
    </row>
    <row r="684" spans="1:7">
      <c r="A684" s="42">
        <v>95.46</v>
      </c>
      <c r="B684" s="42">
        <v>96.17</v>
      </c>
      <c r="C684" s="42">
        <v>91.63</v>
      </c>
      <c r="D684" s="42">
        <v>92.09</v>
      </c>
      <c r="E684" s="42">
        <v>7205193</v>
      </c>
      <c r="F684" s="42" t="s">
        <v>685</v>
      </c>
      <c r="G684" s="25">
        <f t="shared" si="9"/>
        <v>3.6594635682484444E-2</v>
      </c>
    </row>
    <row r="685" spans="1:7">
      <c r="A685" s="42">
        <v>92.09</v>
      </c>
      <c r="B685" s="42">
        <v>92.94</v>
      </c>
      <c r="C685" s="42">
        <v>89.56</v>
      </c>
      <c r="D685" s="42">
        <v>89.56</v>
      </c>
      <c r="E685" s="42">
        <v>6709225</v>
      </c>
      <c r="F685" s="42" t="s">
        <v>686</v>
      </c>
      <c r="G685" s="25">
        <f t="shared" si="9"/>
        <v>2.8249218401071863E-2</v>
      </c>
    </row>
    <row r="686" spans="1:7">
      <c r="A686" s="42">
        <v>88.62</v>
      </c>
      <c r="B686" s="42">
        <v>88.74</v>
      </c>
      <c r="C686" s="42">
        <v>85.34</v>
      </c>
      <c r="D686" s="42">
        <v>85.62</v>
      </c>
      <c r="E686" s="42">
        <v>4819173</v>
      </c>
      <c r="F686" s="42" t="s">
        <v>687</v>
      </c>
      <c r="G686" s="25">
        <f t="shared" si="9"/>
        <v>3.5038542396636396E-2</v>
      </c>
    </row>
    <row r="687" spans="1:7">
      <c r="A687" s="42">
        <v>86.06</v>
      </c>
      <c r="B687" s="42">
        <v>87.22</v>
      </c>
      <c r="C687" s="42">
        <v>85.31</v>
      </c>
      <c r="D687" s="42">
        <v>87.13</v>
      </c>
      <c r="E687" s="42">
        <v>3667641</v>
      </c>
      <c r="F687" s="42" t="s">
        <v>688</v>
      </c>
      <c r="G687" s="25">
        <f t="shared" si="9"/>
        <v>-1.228050040169848E-2</v>
      </c>
    </row>
    <row r="688" spans="1:7">
      <c r="A688" s="42">
        <v>87.5</v>
      </c>
      <c r="B688" s="42">
        <v>89</v>
      </c>
      <c r="C688" s="42">
        <v>87.14</v>
      </c>
      <c r="D688" s="42">
        <v>88.4</v>
      </c>
      <c r="E688" s="42">
        <v>4556379</v>
      </c>
      <c r="F688" s="42" t="s">
        <v>689</v>
      </c>
      <c r="G688" s="25">
        <f t="shared" si="9"/>
        <v>-1.0180995475113197E-2</v>
      </c>
    </row>
    <row r="689" spans="1:7">
      <c r="A689" s="42">
        <v>89.08</v>
      </c>
      <c r="B689" s="42">
        <v>92.38</v>
      </c>
      <c r="C689" s="42">
        <v>88.85</v>
      </c>
      <c r="D689" s="42">
        <v>92.34</v>
      </c>
      <c r="E689" s="42">
        <v>5326901</v>
      </c>
      <c r="F689" s="42" t="s">
        <v>690</v>
      </c>
      <c r="G689" s="25">
        <f t="shared" si="9"/>
        <v>-3.5304310158111418E-2</v>
      </c>
    </row>
    <row r="690" spans="1:7">
      <c r="A690" s="42">
        <v>92.63</v>
      </c>
      <c r="B690" s="42">
        <v>95.81</v>
      </c>
      <c r="C690" s="42">
        <v>92.36</v>
      </c>
      <c r="D690" s="42">
        <v>95.37</v>
      </c>
      <c r="E690" s="42">
        <v>3092472</v>
      </c>
      <c r="F690" s="42" t="s">
        <v>691</v>
      </c>
      <c r="G690" s="25">
        <f t="shared" si="9"/>
        <v>-2.8730208661004619E-2</v>
      </c>
    </row>
    <row r="691" spans="1:7">
      <c r="A691" s="42">
        <v>94.16</v>
      </c>
      <c r="B691" s="42">
        <v>95.31</v>
      </c>
      <c r="C691" s="42">
        <v>92.77</v>
      </c>
      <c r="D691" s="42">
        <v>95.29</v>
      </c>
      <c r="E691" s="42">
        <v>3644661</v>
      </c>
      <c r="F691" s="42" t="s">
        <v>692</v>
      </c>
      <c r="G691" s="25">
        <f t="shared" si="9"/>
        <v>-1.1858537097282129E-2</v>
      </c>
    </row>
    <row r="692" spans="1:7">
      <c r="A692" s="42">
        <v>95.295000000000002</v>
      </c>
      <c r="B692" s="42">
        <v>96.64</v>
      </c>
      <c r="C692" s="42">
        <v>94.85</v>
      </c>
      <c r="D692" s="42">
        <v>95.69</v>
      </c>
      <c r="E692" s="42">
        <v>3176536</v>
      </c>
      <c r="F692" s="42" t="s">
        <v>693</v>
      </c>
      <c r="G692" s="25">
        <f t="shared" si="9"/>
        <v>-4.1279130525655461E-3</v>
      </c>
    </row>
    <row r="693" spans="1:7">
      <c r="A693" s="42">
        <v>96.35</v>
      </c>
      <c r="B693" s="42">
        <v>102.33</v>
      </c>
      <c r="C693" s="42">
        <v>95.855000000000004</v>
      </c>
      <c r="D693" s="42">
        <v>101.85</v>
      </c>
      <c r="E693" s="42">
        <v>9075967</v>
      </c>
      <c r="F693" s="42" t="s">
        <v>694</v>
      </c>
      <c r="G693" s="25">
        <f t="shared" si="9"/>
        <v>-5.4000981836033413E-2</v>
      </c>
    </row>
    <row r="694" spans="1:7">
      <c r="A694" s="42">
        <v>101.55</v>
      </c>
      <c r="B694" s="42">
        <v>106.6</v>
      </c>
      <c r="C694" s="42">
        <v>100.93</v>
      </c>
      <c r="D694" s="42">
        <v>106.23</v>
      </c>
      <c r="E694" s="42">
        <v>6447867</v>
      </c>
      <c r="F694" s="42" t="s">
        <v>695</v>
      </c>
      <c r="G694" s="25">
        <f t="shared" si="9"/>
        <v>-4.4055351595594483E-2</v>
      </c>
    </row>
    <row r="695" spans="1:7">
      <c r="A695" s="42">
        <v>105.22</v>
      </c>
      <c r="B695" s="42">
        <v>106.96</v>
      </c>
      <c r="C695" s="42">
        <v>104.78</v>
      </c>
      <c r="D695" s="42">
        <v>104.99</v>
      </c>
      <c r="E695" s="42">
        <v>2997691</v>
      </c>
      <c r="F695" s="42" t="s">
        <v>696</v>
      </c>
      <c r="G695" s="25">
        <f t="shared" si="9"/>
        <v>2.1906848271264767E-3</v>
      </c>
    </row>
    <row r="696" spans="1:7">
      <c r="A696" s="42">
        <v>104.86</v>
      </c>
      <c r="B696" s="42">
        <v>107.34</v>
      </c>
      <c r="C696" s="42">
        <v>103.4</v>
      </c>
      <c r="D696" s="42">
        <v>106.56</v>
      </c>
      <c r="E696" s="42">
        <v>4416324</v>
      </c>
      <c r="F696" s="42" t="s">
        <v>697</v>
      </c>
      <c r="G696" s="25">
        <f t="shared" si="9"/>
        <v>-1.5953453453453448E-2</v>
      </c>
    </row>
    <row r="697" spans="1:7">
      <c r="A697" s="42">
        <v>107.29</v>
      </c>
      <c r="B697" s="42">
        <v>108.09</v>
      </c>
      <c r="C697" s="42">
        <v>103.95</v>
      </c>
      <c r="D697" s="42">
        <v>104.35</v>
      </c>
      <c r="E697" s="42">
        <v>3496342</v>
      </c>
      <c r="F697" s="42" t="s">
        <v>698</v>
      </c>
      <c r="G697" s="25">
        <f t="shared" si="9"/>
        <v>2.8174413033061896E-2</v>
      </c>
    </row>
    <row r="698" spans="1:7">
      <c r="A698" s="42">
        <v>104.35</v>
      </c>
      <c r="B698" s="42">
        <v>107.14</v>
      </c>
      <c r="C698" s="42">
        <v>104.175</v>
      </c>
      <c r="D698" s="42">
        <v>104.92</v>
      </c>
      <c r="E698" s="42">
        <v>3575720</v>
      </c>
      <c r="F698" s="42" t="s">
        <v>699</v>
      </c>
      <c r="G698" s="25">
        <f t="shared" si="9"/>
        <v>-5.4327106366756084E-3</v>
      </c>
    </row>
    <row r="699" spans="1:7">
      <c r="A699" s="42">
        <v>104.91</v>
      </c>
      <c r="B699" s="42">
        <v>107.59</v>
      </c>
      <c r="C699" s="42">
        <v>100.76</v>
      </c>
      <c r="D699" s="42">
        <v>106.75</v>
      </c>
      <c r="E699" s="42">
        <v>5294961</v>
      </c>
      <c r="F699" s="42" t="s">
        <v>700</v>
      </c>
      <c r="G699" s="25">
        <f t="shared" si="9"/>
        <v>-1.7236533957845412E-2</v>
      </c>
    </row>
    <row r="700" spans="1:7">
      <c r="A700" s="42">
        <v>106.88</v>
      </c>
      <c r="B700" s="42">
        <v>108.28</v>
      </c>
      <c r="C700" s="42">
        <v>104.22</v>
      </c>
      <c r="D700" s="42">
        <v>105.446</v>
      </c>
      <c r="E700" s="42">
        <v>6645067</v>
      </c>
      <c r="F700" s="42" t="s">
        <v>701</v>
      </c>
      <c r="G700" s="25">
        <f t="shared" si="9"/>
        <v>1.3599377880621377E-2</v>
      </c>
    </row>
    <row r="701" spans="1:7">
      <c r="A701" s="42">
        <v>100.33</v>
      </c>
      <c r="B701" s="42">
        <v>102.97</v>
      </c>
      <c r="C701" s="42">
        <v>99.93</v>
      </c>
      <c r="D701" s="42">
        <v>101.94</v>
      </c>
      <c r="E701" s="42">
        <v>3173829</v>
      </c>
      <c r="F701" s="42" t="s">
        <v>702</v>
      </c>
      <c r="G701" s="25">
        <f t="shared" si="9"/>
        <v>-1.5793604080831858E-2</v>
      </c>
    </row>
    <row r="702" spans="1:7">
      <c r="A702" s="42">
        <v>101.895</v>
      </c>
      <c r="B702" s="42">
        <v>102.69499999999999</v>
      </c>
      <c r="C702" s="42">
        <v>100.51</v>
      </c>
      <c r="D702" s="42">
        <v>102.32</v>
      </c>
      <c r="E702" s="42">
        <v>2524566</v>
      </c>
      <c r="F702" s="42" t="s">
        <v>703</v>
      </c>
      <c r="G702" s="25">
        <f t="shared" si="9"/>
        <v>-4.1536356528537599E-3</v>
      </c>
    </row>
    <row r="703" spans="1:7">
      <c r="A703" s="42">
        <v>100.98</v>
      </c>
      <c r="B703" s="42">
        <v>105.06</v>
      </c>
      <c r="C703" s="42">
        <v>100.9</v>
      </c>
      <c r="D703" s="42">
        <v>103.53</v>
      </c>
      <c r="E703" s="42">
        <v>3707435</v>
      </c>
      <c r="F703" s="42" t="s">
        <v>704</v>
      </c>
      <c r="G703" s="25">
        <f t="shared" si="9"/>
        <v>-2.4630541871921152E-2</v>
      </c>
    </row>
    <row r="704" spans="1:7">
      <c r="A704" s="42">
        <v>103.42</v>
      </c>
      <c r="B704" s="42">
        <v>106.95</v>
      </c>
      <c r="C704" s="42">
        <v>100.75</v>
      </c>
      <c r="D704" s="42">
        <v>101.03</v>
      </c>
      <c r="E704" s="42">
        <v>5806376</v>
      </c>
      <c r="F704" s="42" t="s">
        <v>705</v>
      </c>
      <c r="G704" s="25">
        <f t="shared" si="9"/>
        <v>2.3656339701078943E-2</v>
      </c>
    </row>
    <row r="705" spans="1:7">
      <c r="A705" s="42">
        <v>100.58</v>
      </c>
      <c r="B705" s="42">
        <v>101.65</v>
      </c>
      <c r="C705" s="42">
        <v>98.02</v>
      </c>
      <c r="D705" s="42">
        <v>99.3</v>
      </c>
      <c r="E705" s="42">
        <v>7650584</v>
      </c>
      <c r="F705" s="42" t="s">
        <v>706</v>
      </c>
      <c r="G705" s="25">
        <f t="shared" si="9"/>
        <v>1.2890231621349502E-2</v>
      </c>
    </row>
    <row r="706" spans="1:7">
      <c r="A706" s="42">
        <v>99.29</v>
      </c>
      <c r="B706" s="42">
        <v>103.29</v>
      </c>
      <c r="C706" s="42">
        <v>98.75</v>
      </c>
      <c r="D706" s="42">
        <v>102.07</v>
      </c>
      <c r="E706" s="42">
        <v>4197992</v>
      </c>
      <c r="F706" s="42" t="s">
        <v>707</v>
      </c>
      <c r="G706" s="25">
        <f t="shared" si="9"/>
        <v>-2.7236210443812969E-2</v>
      </c>
    </row>
    <row r="707" spans="1:7">
      <c r="A707" s="42">
        <v>100.76</v>
      </c>
      <c r="B707" s="42">
        <v>102.11</v>
      </c>
      <c r="C707" s="42">
        <v>99.015000000000001</v>
      </c>
      <c r="D707" s="42">
        <v>100.92</v>
      </c>
      <c r="E707" s="42">
        <v>4428357</v>
      </c>
      <c r="F707" s="42" t="s">
        <v>708</v>
      </c>
      <c r="G707" s="25">
        <f t="shared" ref="G707:G770" si="10">A707/D707-1</f>
        <v>-1.5854141894570128E-3</v>
      </c>
    </row>
    <row r="708" spans="1:7">
      <c r="A708" s="42">
        <v>100.98</v>
      </c>
      <c r="B708" s="42">
        <v>105.01</v>
      </c>
      <c r="C708" s="42">
        <v>100.78</v>
      </c>
      <c r="D708" s="42">
        <v>104.99</v>
      </c>
      <c r="E708" s="42">
        <v>4648725</v>
      </c>
      <c r="F708" s="42" t="s">
        <v>709</v>
      </c>
      <c r="G708" s="25">
        <f t="shared" si="10"/>
        <v>-3.8194113725116607E-2</v>
      </c>
    </row>
    <row r="709" spans="1:7">
      <c r="A709" s="42">
        <v>104.38</v>
      </c>
      <c r="B709" s="42">
        <v>107.68</v>
      </c>
      <c r="C709" s="42">
        <v>103.99</v>
      </c>
      <c r="D709" s="42">
        <v>107.15</v>
      </c>
      <c r="E709" s="42">
        <v>3821598</v>
      </c>
      <c r="F709" s="42" t="s">
        <v>710</v>
      </c>
      <c r="G709" s="25">
        <f t="shared" si="10"/>
        <v>-2.5851609892673877E-2</v>
      </c>
    </row>
    <row r="710" spans="1:7">
      <c r="A710" s="42">
        <v>106.98</v>
      </c>
      <c r="B710" s="42">
        <v>107.4599</v>
      </c>
      <c r="C710" s="42">
        <v>104.14</v>
      </c>
      <c r="D710" s="42">
        <v>104.38</v>
      </c>
      <c r="E710" s="42">
        <v>3200723</v>
      </c>
      <c r="F710" s="42" t="s">
        <v>711</v>
      </c>
      <c r="G710" s="25">
        <f t="shared" si="10"/>
        <v>2.4908986395861366E-2</v>
      </c>
    </row>
    <row r="711" spans="1:7">
      <c r="A711" s="42">
        <v>104.68</v>
      </c>
      <c r="B711" s="42">
        <v>106.5</v>
      </c>
      <c r="C711" s="42">
        <v>104.45</v>
      </c>
      <c r="D711" s="42">
        <v>106</v>
      </c>
      <c r="E711" s="42">
        <v>3425109</v>
      </c>
      <c r="F711" s="42" t="s">
        <v>712</v>
      </c>
      <c r="G711" s="25">
        <f t="shared" si="10"/>
        <v>-1.2452830188679154E-2</v>
      </c>
    </row>
    <row r="712" spans="1:7">
      <c r="A712" s="42">
        <v>106.05</v>
      </c>
      <c r="B712" s="42">
        <v>107.79</v>
      </c>
      <c r="C712" s="42">
        <v>105.75</v>
      </c>
      <c r="D712" s="42">
        <v>107.41</v>
      </c>
      <c r="E712" s="42">
        <v>3729187</v>
      </c>
      <c r="F712" s="42" t="s">
        <v>713</v>
      </c>
      <c r="G712" s="25">
        <f t="shared" si="10"/>
        <v>-1.2661763336747067E-2</v>
      </c>
    </row>
    <row r="713" spans="1:7">
      <c r="A713" s="42">
        <v>107.81</v>
      </c>
      <c r="B713" s="42">
        <v>111.5</v>
      </c>
      <c r="C713" s="42">
        <v>107.625</v>
      </c>
      <c r="D713" s="42">
        <v>111.1</v>
      </c>
      <c r="E713" s="42">
        <v>3967226</v>
      </c>
      <c r="F713" s="42" t="s">
        <v>714</v>
      </c>
      <c r="G713" s="25">
        <f t="shared" si="10"/>
        <v>-2.9612961296129559E-2</v>
      </c>
    </row>
    <row r="714" spans="1:7">
      <c r="A714" s="42">
        <v>111.16</v>
      </c>
      <c r="B714" s="42">
        <v>115.42</v>
      </c>
      <c r="C714" s="42">
        <v>110.99</v>
      </c>
      <c r="D714" s="42">
        <v>114.84</v>
      </c>
      <c r="E714" s="42">
        <v>2809652</v>
      </c>
      <c r="F714" s="42" t="s">
        <v>715</v>
      </c>
      <c r="G714" s="25">
        <f t="shared" si="10"/>
        <v>-3.2044583768721768E-2</v>
      </c>
    </row>
    <row r="715" spans="1:7">
      <c r="A715" s="42">
        <v>114.51</v>
      </c>
      <c r="B715" s="42">
        <v>117.25</v>
      </c>
      <c r="C715" s="42">
        <v>114.26</v>
      </c>
      <c r="D715" s="42">
        <v>115</v>
      </c>
      <c r="E715" s="42">
        <v>2598242</v>
      </c>
      <c r="F715" s="42" t="s">
        <v>716</v>
      </c>
      <c r="G715" s="25">
        <f t="shared" si="10"/>
        <v>-4.2608695652173179E-3</v>
      </c>
    </row>
    <row r="716" spans="1:7">
      <c r="A716" s="42">
        <v>115.76</v>
      </c>
      <c r="B716" s="42">
        <v>116.01</v>
      </c>
      <c r="C716" s="42">
        <v>111.54</v>
      </c>
      <c r="D716" s="42">
        <v>111.82</v>
      </c>
      <c r="E716" s="42">
        <v>3141921</v>
      </c>
      <c r="F716" s="42" t="s">
        <v>717</v>
      </c>
      <c r="G716" s="25">
        <f t="shared" si="10"/>
        <v>3.5235199427651631E-2</v>
      </c>
    </row>
    <row r="717" spans="1:7">
      <c r="A717" s="42">
        <v>111.69</v>
      </c>
      <c r="B717" s="42">
        <v>112.7</v>
      </c>
      <c r="C717" s="42">
        <v>110.55</v>
      </c>
      <c r="D717" s="42">
        <v>112.35</v>
      </c>
      <c r="E717" s="42">
        <v>3250379</v>
      </c>
      <c r="F717" s="42" t="s">
        <v>718</v>
      </c>
      <c r="G717" s="25">
        <f t="shared" si="10"/>
        <v>-5.8744993324432171E-3</v>
      </c>
    </row>
    <row r="718" spans="1:7">
      <c r="A718" s="42">
        <v>113.27</v>
      </c>
      <c r="B718" s="42">
        <v>115.94</v>
      </c>
      <c r="C718" s="42">
        <v>112.15</v>
      </c>
      <c r="D718" s="42">
        <v>112.25</v>
      </c>
      <c r="E718" s="42">
        <v>3391864</v>
      </c>
      <c r="F718" s="42" t="s">
        <v>719</v>
      </c>
      <c r="G718" s="25">
        <f t="shared" si="10"/>
        <v>9.0868596881958918E-3</v>
      </c>
    </row>
    <row r="719" spans="1:7">
      <c r="A719" s="42">
        <v>110.96</v>
      </c>
      <c r="B719" s="42">
        <v>114.66</v>
      </c>
      <c r="C719" s="42">
        <v>109.8</v>
      </c>
      <c r="D719" s="42">
        <v>110.71</v>
      </c>
      <c r="E719" s="42">
        <v>4580817</v>
      </c>
      <c r="F719" s="42" t="s">
        <v>720</v>
      </c>
      <c r="G719" s="25">
        <f t="shared" si="10"/>
        <v>2.2581519284616824E-3</v>
      </c>
    </row>
    <row r="720" spans="1:7">
      <c r="A720" s="42">
        <v>110.19</v>
      </c>
      <c r="B720" s="42">
        <v>120.3</v>
      </c>
      <c r="C720" s="42">
        <v>107.07</v>
      </c>
      <c r="D720" s="42">
        <v>120.3</v>
      </c>
      <c r="E720" s="42">
        <v>8884549</v>
      </c>
      <c r="F720" s="42" t="s">
        <v>721</v>
      </c>
      <c r="G720" s="25">
        <f t="shared" si="10"/>
        <v>-8.4039900249376576E-2</v>
      </c>
    </row>
    <row r="721" spans="1:7">
      <c r="A721" s="42">
        <v>120.97</v>
      </c>
      <c r="B721" s="42">
        <v>122.1</v>
      </c>
      <c r="C721" s="42">
        <v>120.13500000000001</v>
      </c>
      <c r="D721" s="42">
        <v>121</v>
      </c>
      <c r="E721" s="42">
        <v>1697356</v>
      </c>
      <c r="F721" s="42" t="s">
        <v>722</v>
      </c>
      <c r="G721" s="25">
        <f t="shared" si="10"/>
        <v>-2.4793388429755758E-4</v>
      </c>
    </row>
    <row r="722" spans="1:7">
      <c r="A722" s="42">
        <v>120.33</v>
      </c>
      <c r="B722" s="42">
        <v>122.83</v>
      </c>
      <c r="C722" s="42">
        <v>119.89</v>
      </c>
      <c r="D722" s="42">
        <v>122.14</v>
      </c>
      <c r="E722" s="42">
        <v>2228200</v>
      </c>
      <c r="F722" s="42" t="s">
        <v>723</v>
      </c>
      <c r="G722" s="25">
        <f t="shared" si="10"/>
        <v>-1.4819060094973024E-2</v>
      </c>
    </row>
    <row r="723" spans="1:7">
      <c r="A723" s="42">
        <v>122.07</v>
      </c>
      <c r="B723" s="42">
        <v>124.88</v>
      </c>
      <c r="C723" s="42">
        <v>120.6</v>
      </c>
      <c r="D723" s="42">
        <v>123.8</v>
      </c>
      <c r="E723" s="42">
        <v>2021115</v>
      </c>
      <c r="F723" s="42" t="s">
        <v>724</v>
      </c>
      <c r="G723" s="25">
        <f t="shared" si="10"/>
        <v>-1.3974151857835238E-2</v>
      </c>
    </row>
    <row r="724" spans="1:7">
      <c r="A724" s="42">
        <v>123.81</v>
      </c>
      <c r="B724" s="42">
        <v>124.25</v>
      </c>
      <c r="C724" s="42">
        <v>120.46</v>
      </c>
      <c r="D724" s="42">
        <v>120.83</v>
      </c>
      <c r="E724" s="42">
        <v>3295930</v>
      </c>
      <c r="F724" s="42" t="s">
        <v>725</v>
      </c>
      <c r="G724" s="25">
        <f t="shared" si="10"/>
        <v>2.4662749317222676E-2</v>
      </c>
    </row>
    <row r="725" spans="1:7">
      <c r="A725" s="42">
        <v>122</v>
      </c>
      <c r="B725" s="42">
        <v>125.95</v>
      </c>
      <c r="C725" s="42">
        <v>121.85</v>
      </c>
      <c r="D725" s="42">
        <v>124.45</v>
      </c>
      <c r="E725" s="42">
        <v>3987345</v>
      </c>
      <c r="F725" s="42" t="s">
        <v>726</v>
      </c>
      <c r="G725" s="25">
        <f t="shared" si="10"/>
        <v>-1.9686621132985138E-2</v>
      </c>
    </row>
    <row r="726" spans="1:7">
      <c r="A726" s="42">
        <v>124.56</v>
      </c>
      <c r="B726" s="42">
        <v>133.4</v>
      </c>
      <c r="C726" s="42">
        <v>124.03</v>
      </c>
      <c r="D726" s="42">
        <v>133.13999999999999</v>
      </c>
      <c r="E726" s="42">
        <v>5596420</v>
      </c>
      <c r="F726" s="42" t="s">
        <v>727</v>
      </c>
      <c r="G726" s="25">
        <f t="shared" si="10"/>
        <v>-6.4443442992338729E-2</v>
      </c>
    </row>
    <row r="727" spans="1:7">
      <c r="A727" s="42">
        <v>132.38</v>
      </c>
      <c r="B727" s="42">
        <v>139.55000000000001</v>
      </c>
      <c r="C727" s="42">
        <v>132.1</v>
      </c>
      <c r="D727" s="42">
        <v>134.4</v>
      </c>
      <c r="E727" s="42">
        <v>5006774</v>
      </c>
      <c r="F727" s="42" t="s">
        <v>728</v>
      </c>
      <c r="G727" s="25">
        <f t="shared" si="10"/>
        <v>-1.5029761904762018E-2</v>
      </c>
    </row>
    <row r="728" spans="1:7">
      <c r="A728" s="42">
        <v>129.36000000000001</v>
      </c>
      <c r="B728" s="42">
        <v>131.49</v>
      </c>
      <c r="C728" s="42">
        <v>128.77000000000001</v>
      </c>
      <c r="D728" s="42">
        <v>131.11000000000001</v>
      </c>
      <c r="E728" s="42">
        <v>3378983</v>
      </c>
      <c r="F728" s="42" t="s">
        <v>729</v>
      </c>
      <c r="G728" s="25">
        <f t="shared" si="10"/>
        <v>-1.3347570742124892E-2</v>
      </c>
    </row>
    <row r="729" spans="1:7">
      <c r="A729" s="42">
        <v>130.69</v>
      </c>
      <c r="B729" s="42">
        <v>131.26</v>
      </c>
      <c r="C729" s="42">
        <v>129.09</v>
      </c>
      <c r="D729" s="42">
        <v>129.19999999999999</v>
      </c>
      <c r="E729" s="42">
        <v>1653581</v>
      </c>
      <c r="F729" s="42" t="s">
        <v>730</v>
      </c>
      <c r="G729" s="25">
        <f t="shared" si="10"/>
        <v>1.1532507739938191E-2</v>
      </c>
    </row>
    <row r="730" spans="1:7">
      <c r="A730" s="42">
        <v>129.96</v>
      </c>
      <c r="B730" s="42">
        <v>131.11000000000001</v>
      </c>
      <c r="C730" s="42">
        <v>126.81</v>
      </c>
      <c r="D730" s="42">
        <v>126.9</v>
      </c>
      <c r="E730" s="42">
        <v>2056210</v>
      </c>
      <c r="F730" s="42" t="s">
        <v>731</v>
      </c>
      <c r="G730" s="25">
        <f t="shared" si="10"/>
        <v>2.4113475177304888E-2</v>
      </c>
    </row>
    <row r="731" spans="1:7">
      <c r="A731" s="42">
        <v>127.72</v>
      </c>
      <c r="B731" s="42">
        <v>131.74</v>
      </c>
      <c r="C731" s="42">
        <v>127.44</v>
      </c>
      <c r="D731" s="42">
        <v>130.58000000000001</v>
      </c>
      <c r="E731" s="42">
        <v>2935595</v>
      </c>
      <c r="F731" s="42" t="s">
        <v>732</v>
      </c>
      <c r="G731" s="25">
        <f t="shared" si="10"/>
        <v>-2.1902282125899952E-2</v>
      </c>
    </row>
    <row r="732" spans="1:7">
      <c r="A732" s="42">
        <v>130.6</v>
      </c>
      <c r="B732" s="42">
        <v>132.565</v>
      </c>
      <c r="C732" s="42">
        <v>130.06</v>
      </c>
      <c r="D732" s="42">
        <v>130.97999999999999</v>
      </c>
      <c r="E732" s="42">
        <v>7299371</v>
      </c>
      <c r="F732" s="42" t="s">
        <v>733</v>
      </c>
      <c r="G732" s="25">
        <f t="shared" si="10"/>
        <v>-2.9012062910367398E-3</v>
      </c>
    </row>
    <row r="733" spans="1:7">
      <c r="A733" s="42">
        <v>130.65</v>
      </c>
      <c r="B733" s="42">
        <v>134.35</v>
      </c>
      <c r="C733" s="42">
        <v>130.41999999999999</v>
      </c>
      <c r="D733" s="42">
        <v>134.06</v>
      </c>
      <c r="E733" s="42">
        <v>3287696</v>
      </c>
      <c r="F733" s="42" t="s">
        <v>734</v>
      </c>
      <c r="G733" s="25">
        <f t="shared" si="10"/>
        <v>-2.5436371773832622E-2</v>
      </c>
    </row>
    <row r="734" spans="1:7">
      <c r="A734" s="42">
        <v>133.63</v>
      </c>
      <c r="B734" s="42">
        <v>138.91999999999999</v>
      </c>
      <c r="C734" s="42">
        <v>131.88</v>
      </c>
      <c r="D734" s="42">
        <v>137.34</v>
      </c>
      <c r="E734" s="42">
        <v>2969252</v>
      </c>
      <c r="F734" s="42" t="s">
        <v>735</v>
      </c>
      <c r="G734" s="25">
        <f t="shared" si="10"/>
        <v>-2.7013251783894021E-2</v>
      </c>
    </row>
    <row r="735" spans="1:7">
      <c r="A735" s="42">
        <v>137.93</v>
      </c>
      <c r="B735" s="42">
        <v>138.16999999999999</v>
      </c>
      <c r="C735" s="42">
        <v>135.51</v>
      </c>
      <c r="D735" s="42">
        <v>137.07</v>
      </c>
      <c r="E735" s="42">
        <v>2073499</v>
      </c>
      <c r="F735" s="42" t="s">
        <v>736</v>
      </c>
      <c r="G735" s="25">
        <f t="shared" si="10"/>
        <v>6.2741664842782541E-3</v>
      </c>
    </row>
    <row r="736" spans="1:7">
      <c r="A736" s="42">
        <v>137.44999999999999</v>
      </c>
      <c r="B736" s="42">
        <v>138.4</v>
      </c>
      <c r="C736" s="42">
        <v>136.36500000000001</v>
      </c>
      <c r="D736" s="42">
        <v>136.69999999999999</v>
      </c>
      <c r="E736" s="42">
        <v>2290545</v>
      </c>
      <c r="F736" s="42" t="s">
        <v>737</v>
      </c>
      <c r="G736" s="25">
        <f t="shared" si="10"/>
        <v>5.4864667154352897E-3</v>
      </c>
    </row>
    <row r="737" spans="1:7">
      <c r="A737" s="42">
        <v>137.32</v>
      </c>
      <c r="B737" s="42">
        <v>137.62</v>
      </c>
      <c r="C737" s="42">
        <v>133.98429999999999</v>
      </c>
      <c r="D737" s="42">
        <v>134.5</v>
      </c>
      <c r="E737" s="42">
        <v>3087500</v>
      </c>
      <c r="F737" s="42" t="s">
        <v>738</v>
      </c>
      <c r="G737" s="25">
        <f t="shared" si="10"/>
        <v>2.0966542750929351E-2</v>
      </c>
    </row>
    <row r="738" spans="1:7">
      <c r="A738" s="42">
        <v>133.97999999999999</v>
      </c>
      <c r="B738" s="42">
        <v>134.91999999999999</v>
      </c>
      <c r="C738" s="42">
        <v>133.01</v>
      </c>
      <c r="D738" s="42">
        <v>134.56</v>
      </c>
      <c r="E738" s="42">
        <v>1763833</v>
      </c>
      <c r="F738" s="42" t="s">
        <v>739</v>
      </c>
      <c r="G738" s="25">
        <f t="shared" si="10"/>
        <v>-4.3103448275862988E-3</v>
      </c>
    </row>
    <row r="739" spans="1:7">
      <c r="A739" s="42">
        <v>133.66999999999999</v>
      </c>
      <c r="B739" s="42">
        <v>133.905</v>
      </c>
      <c r="C739" s="42">
        <v>131.26</v>
      </c>
      <c r="D739" s="42">
        <v>131.38999999999999</v>
      </c>
      <c r="E739" s="42">
        <v>2294374</v>
      </c>
      <c r="F739" s="42" t="s">
        <v>740</v>
      </c>
      <c r="G739" s="25">
        <f t="shared" si="10"/>
        <v>1.7352918791384342E-2</v>
      </c>
    </row>
    <row r="740" spans="1:7">
      <c r="A740" s="42">
        <v>131.22999999999999</v>
      </c>
      <c r="B740" s="42">
        <v>132.11000000000001</v>
      </c>
      <c r="C740" s="42">
        <v>130.095</v>
      </c>
      <c r="D740" s="42">
        <v>130.77000000000001</v>
      </c>
      <c r="E740" s="42">
        <v>1706523</v>
      </c>
      <c r="F740" s="42" t="s">
        <v>741</v>
      </c>
      <c r="G740" s="25">
        <f t="shared" si="10"/>
        <v>3.51762636690367E-3</v>
      </c>
    </row>
    <row r="741" spans="1:7">
      <c r="A741" s="42">
        <v>130.62</v>
      </c>
      <c r="B741" s="42">
        <v>131.03</v>
      </c>
      <c r="C741" s="42">
        <v>128</v>
      </c>
      <c r="D741" s="42">
        <v>128.05000000000001</v>
      </c>
      <c r="E741" s="42">
        <v>2345819</v>
      </c>
      <c r="F741" s="42" t="s">
        <v>742</v>
      </c>
      <c r="G741" s="25">
        <f t="shared" si="10"/>
        <v>2.0070285044904379E-2</v>
      </c>
    </row>
    <row r="742" spans="1:7">
      <c r="A742" s="42">
        <v>126.71</v>
      </c>
      <c r="B742" s="42">
        <v>128.59</v>
      </c>
      <c r="C742" s="42">
        <v>125.78</v>
      </c>
      <c r="D742" s="42">
        <v>126.8</v>
      </c>
      <c r="E742" s="42">
        <v>2173065</v>
      </c>
      <c r="F742" s="42" t="s">
        <v>743</v>
      </c>
      <c r="G742" s="25">
        <f t="shared" si="10"/>
        <v>-7.0977917981074334E-4</v>
      </c>
    </row>
    <row r="743" spans="1:7">
      <c r="A743" s="42">
        <v>127.7</v>
      </c>
      <c r="B743" s="42">
        <v>128.16999999999999</v>
      </c>
      <c r="C743" s="42">
        <v>125.86</v>
      </c>
      <c r="D743" s="42">
        <v>126.64</v>
      </c>
      <c r="E743" s="42">
        <v>1722892</v>
      </c>
      <c r="F743" s="42" t="s">
        <v>744</v>
      </c>
      <c r="G743" s="25">
        <f t="shared" si="10"/>
        <v>8.3701831964624329E-3</v>
      </c>
    </row>
    <row r="744" spans="1:7">
      <c r="A744" s="42">
        <v>128.07</v>
      </c>
      <c r="B744" s="42">
        <v>128.47999999999999</v>
      </c>
      <c r="C744" s="42">
        <v>125.69</v>
      </c>
      <c r="D744" s="42">
        <v>126.58</v>
      </c>
      <c r="E744" s="42">
        <v>1933395</v>
      </c>
      <c r="F744" s="42" t="s">
        <v>745</v>
      </c>
      <c r="G744" s="25">
        <f t="shared" si="10"/>
        <v>1.1771211881813848E-2</v>
      </c>
    </row>
    <row r="745" spans="1:7">
      <c r="A745" s="42">
        <v>127.02</v>
      </c>
      <c r="B745" s="42">
        <v>127.42</v>
      </c>
      <c r="C745" s="42">
        <v>124.76</v>
      </c>
      <c r="D745" s="42">
        <v>127.23</v>
      </c>
      <c r="E745" s="42">
        <v>1237881</v>
      </c>
      <c r="F745" s="42" t="s">
        <v>746</v>
      </c>
      <c r="G745" s="25">
        <f t="shared" si="10"/>
        <v>-1.6505541145956926E-3</v>
      </c>
    </row>
    <row r="746" spans="1:7">
      <c r="A746" s="42">
        <v>128.51</v>
      </c>
      <c r="B746" s="42">
        <v>131.76</v>
      </c>
      <c r="C746" s="42">
        <v>128.20249999999999</v>
      </c>
      <c r="D746" s="42">
        <v>129.76</v>
      </c>
      <c r="E746" s="42">
        <v>2378142</v>
      </c>
      <c r="F746" s="42" t="s">
        <v>747</v>
      </c>
      <c r="G746" s="25">
        <f t="shared" si="10"/>
        <v>-9.6331689272503018E-3</v>
      </c>
    </row>
    <row r="747" spans="1:7">
      <c r="A747" s="42">
        <v>127.94</v>
      </c>
      <c r="B747" s="42">
        <v>128.9</v>
      </c>
      <c r="C747" s="42">
        <v>125.82</v>
      </c>
      <c r="D747" s="42">
        <v>126.57</v>
      </c>
      <c r="E747" s="42">
        <v>2584651</v>
      </c>
      <c r="F747" s="42" t="s">
        <v>748</v>
      </c>
      <c r="G747" s="25">
        <f t="shared" si="10"/>
        <v>1.0824049932843582E-2</v>
      </c>
    </row>
    <row r="748" spans="1:7">
      <c r="A748" s="42">
        <v>126.42</v>
      </c>
      <c r="B748" s="42">
        <v>127.86</v>
      </c>
      <c r="C748" s="42">
        <v>123.8301</v>
      </c>
      <c r="D748" s="42">
        <v>124.01</v>
      </c>
      <c r="E748" s="42">
        <v>2360545</v>
      </c>
      <c r="F748" s="42" t="s">
        <v>749</v>
      </c>
      <c r="G748" s="25">
        <f t="shared" si="10"/>
        <v>1.9433916619627345E-2</v>
      </c>
    </row>
    <row r="749" spans="1:7">
      <c r="A749" s="42">
        <v>123.5</v>
      </c>
      <c r="B749" s="42">
        <v>125.48</v>
      </c>
      <c r="C749" s="42">
        <v>121.79</v>
      </c>
      <c r="D749" s="42">
        <v>124.62</v>
      </c>
      <c r="E749" s="42">
        <v>2634232</v>
      </c>
      <c r="F749" s="42" t="s">
        <v>750</v>
      </c>
      <c r="G749" s="25">
        <f t="shared" si="10"/>
        <v>-8.9873214572300242E-3</v>
      </c>
    </row>
    <row r="750" spans="1:7">
      <c r="A750" s="42">
        <v>124.62</v>
      </c>
      <c r="B750" s="42">
        <v>126.15</v>
      </c>
      <c r="C750" s="42">
        <v>123.1514</v>
      </c>
      <c r="D750" s="42">
        <v>126</v>
      </c>
      <c r="E750" s="42">
        <v>2523187</v>
      </c>
      <c r="F750" s="42" t="s">
        <v>751</v>
      </c>
      <c r="G750" s="25">
        <f t="shared" si="10"/>
        <v>-1.0952380952380936E-2</v>
      </c>
    </row>
    <row r="751" spans="1:7">
      <c r="A751" s="42">
        <v>126.75</v>
      </c>
      <c r="B751" s="42">
        <v>127.5</v>
      </c>
      <c r="C751" s="42">
        <v>124.83</v>
      </c>
      <c r="D751" s="42">
        <v>125.92</v>
      </c>
      <c r="E751" s="42">
        <v>3264769</v>
      </c>
      <c r="F751" s="42" t="s">
        <v>752</v>
      </c>
      <c r="G751" s="25">
        <f t="shared" si="10"/>
        <v>6.5914866581957554E-3</v>
      </c>
    </row>
    <row r="752" spans="1:7">
      <c r="A752" s="42">
        <v>126.52</v>
      </c>
      <c r="B752" s="42">
        <v>128.08000000000001</v>
      </c>
      <c r="C752" s="42">
        <v>125.89</v>
      </c>
      <c r="D752" s="42">
        <v>127.61</v>
      </c>
      <c r="E752" s="42">
        <v>2510604</v>
      </c>
      <c r="F752" s="42" t="s">
        <v>753</v>
      </c>
      <c r="G752" s="25">
        <f t="shared" si="10"/>
        <v>-8.5416503408823896E-3</v>
      </c>
    </row>
    <row r="753" spans="1:7">
      <c r="A753" s="42">
        <v>127.86</v>
      </c>
      <c r="B753" s="42">
        <v>130.26499999999999</v>
      </c>
      <c r="C753" s="42">
        <v>126.545</v>
      </c>
      <c r="D753" s="42">
        <v>130.13</v>
      </c>
      <c r="E753" s="42">
        <v>2759666</v>
      </c>
      <c r="F753" s="42" t="s">
        <v>754</v>
      </c>
      <c r="G753" s="25">
        <f t="shared" si="10"/>
        <v>-1.7444094367171314E-2</v>
      </c>
    </row>
    <row r="754" spans="1:7">
      <c r="A754" s="42">
        <v>129.97</v>
      </c>
      <c r="B754" s="42">
        <v>130.80000000000001</v>
      </c>
      <c r="C754" s="42">
        <v>127.64</v>
      </c>
      <c r="D754" s="42">
        <v>129.72999999999999</v>
      </c>
      <c r="E754" s="42">
        <v>2599363</v>
      </c>
      <c r="F754" s="42" t="s">
        <v>755</v>
      </c>
      <c r="G754" s="25">
        <f t="shared" si="10"/>
        <v>1.8499961458413594E-3</v>
      </c>
    </row>
    <row r="755" spans="1:7">
      <c r="A755" s="42">
        <v>130.1</v>
      </c>
      <c r="B755" s="42">
        <v>134.13999999999999</v>
      </c>
      <c r="C755" s="42">
        <v>129.99</v>
      </c>
      <c r="D755" s="42">
        <v>132</v>
      </c>
      <c r="E755" s="42">
        <v>4310131</v>
      </c>
      <c r="F755" s="42" t="s">
        <v>756</v>
      </c>
      <c r="G755" s="25">
        <f t="shared" si="10"/>
        <v>-1.4393939393939403E-2</v>
      </c>
    </row>
    <row r="756" spans="1:7">
      <c r="A756" s="42">
        <v>130.97999999999999</v>
      </c>
      <c r="B756" s="42">
        <v>131.24</v>
      </c>
      <c r="C756" s="42">
        <v>128.1</v>
      </c>
      <c r="D756" s="42">
        <v>128.32</v>
      </c>
      <c r="E756" s="42">
        <v>4232063</v>
      </c>
      <c r="F756" s="42" t="s">
        <v>757</v>
      </c>
      <c r="G756" s="25">
        <f t="shared" si="10"/>
        <v>2.0729426433915288E-2</v>
      </c>
    </row>
    <row r="757" spans="1:7">
      <c r="A757" s="42">
        <v>127.06</v>
      </c>
      <c r="B757" s="42">
        <v>129.19999999999999</v>
      </c>
      <c r="C757" s="42">
        <v>125.96</v>
      </c>
      <c r="D757" s="42">
        <v>126.26</v>
      </c>
      <c r="E757" s="42">
        <v>3325214</v>
      </c>
      <c r="F757" s="42" t="s">
        <v>758</v>
      </c>
      <c r="G757" s="25">
        <f t="shared" si="10"/>
        <v>6.336131791541133E-3</v>
      </c>
    </row>
    <row r="758" spans="1:7">
      <c r="A758" s="42">
        <v>125.95</v>
      </c>
      <c r="B758" s="42">
        <v>128.02000000000001</v>
      </c>
      <c r="C758" s="42">
        <v>124.68</v>
      </c>
      <c r="D758" s="42">
        <v>126.98</v>
      </c>
      <c r="E758" s="42">
        <v>2166055</v>
      </c>
      <c r="F758" s="42" t="s">
        <v>759</v>
      </c>
      <c r="G758" s="25">
        <f t="shared" si="10"/>
        <v>-8.1115136241928232E-3</v>
      </c>
    </row>
    <row r="759" spans="1:7">
      <c r="A759" s="42">
        <v>126.91</v>
      </c>
      <c r="B759" s="42">
        <v>127.22</v>
      </c>
      <c r="C759" s="42">
        <v>123.52</v>
      </c>
      <c r="D759" s="42">
        <v>124.8</v>
      </c>
      <c r="E759" s="42">
        <v>2598875</v>
      </c>
      <c r="F759" s="42" t="s">
        <v>760</v>
      </c>
      <c r="G759" s="25">
        <f t="shared" si="10"/>
        <v>1.6907051282051277E-2</v>
      </c>
    </row>
    <row r="760" spans="1:7">
      <c r="A760" s="42">
        <v>124.34</v>
      </c>
      <c r="B760" s="42">
        <v>124.55</v>
      </c>
      <c r="C760" s="42">
        <v>120.2</v>
      </c>
      <c r="D760" s="42">
        <v>121.31</v>
      </c>
      <c r="E760" s="42">
        <v>2121096</v>
      </c>
      <c r="F760" s="42" t="s">
        <v>761</v>
      </c>
      <c r="G760" s="25">
        <f t="shared" si="10"/>
        <v>2.4977330805374676E-2</v>
      </c>
    </row>
    <row r="761" spans="1:7">
      <c r="A761" s="42">
        <v>121.13</v>
      </c>
      <c r="B761" s="42">
        <v>121.28</v>
      </c>
      <c r="C761" s="42">
        <v>118.31</v>
      </c>
      <c r="D761" s="42">
        <v>119.52</v>
      </c>
      <c r="E761" s="42">
        <v>1851172</v>
      </c>
      <c r="F761" s="42" t="s">
        <v>762</v>
      </c>
      <c r="G761" s="25">
        <f t="shared" si="10"/>
        <v>1.3470548862115184E-2</v>
      </c>
    </row>
    <row r="762" spans="1:7">
      <c r="A762" s="42">
        <v>119.71</v>
      </c>
      <c r="B762" s="42">
        <v>126.19</v>
      </c>
      <c r="C762" s="42">
        <v>117.74</v>
      </c>
      <c r="D762" s="42">
        <v>125.76</v>
      </c>
      <c r="E762" s="42">
        <v>3099561</v>
      </c>
      <c r="F762" s="42" t="s">
        <v>763</v>
      </c>
      <c r="G762" s="25">
        <f t="shared" si="10"/>
        <v>-4.8107506361323216E-2</v>
      </c>
    </row>
    <row r="763" spans="1:7">
      <c r="A763" s="42">
        <v>125.38</v>
      </c>
      <c r="B763" s="42">
        <v>126.59</v>
      </c>
      <c r="C763" s="42">
        <v>124.36</v>
      </c>
      <c r="D763" s="42">
        <v>125.49</v>
      </c>
      <c r="E763" s="42">
        <v>3304151</v>
      </c>
      <c r="F763" s="42" t="s">
        <v>764</v>
      </c>
      <c r="G763" s="25">
        <f t="shared" si="10"/>
        <v>-8.7656386963108623E-4</v>
      </c>
    </row>
    <row r="764" spans="1:7">
      <c r="A764" s="42">
        <v>124.66</v>
      </c>
      <c r="B764" s="42">
        <v>126.30500000000001</v>
      </c>
      <c r="C764" s="42">
        <v>122.22</v>
      </c>
      <c r="D764" s="42">
        <v>123</v>
      </c>
      <c r="E764" s="42">
        <v>3347226</v>
      </c>
      <c r="F764" s="42" t="s">
        <v>765</v>
      </c>
      <c r="G764" s="25">
        <f t="shared" si="10"/>
        <v>1.3495934959349531E-2</v>
      </c>
    </row>
    <row r="765" spans="1:7">
      <c r="A765" s="42">
        <v>122.57</v>
      </c>
      <c r="B765" s="42">
        <v>122.84</v>
      </c>
      <c r="C765" s="42">
        <v>118.68</v>
      </c>
      <c r="D765" s="42">
        <v>120</v>
      </c>
      <c r="E765" s="42">
        <v>2676431</v>
      </c>
      <c r="F765" s="42" t="s">
        <v>766</v>
      </c>
      <c r="G765" s="25">
        <f t="shared" si="10"/>
        <v>2.1416666666666639E-2</v>
      </c>
    </row>
    <row r="766" spans="1:7">
      <c r="A766" s="42">
        <v>119.58</v>
      </c>
      <c r="B766" s="42">
        <v>119.63</v>
      </c>
      <c r="C766" s="42">
        <v>116.30500000000001</v>
      </c>
      <c r="D766" s="42">
        <v>117.48</v>
      </c>
      <c r="E766" s="42">
        <v>1993286</v>
      </c>
      <c r="F766" s="42" t="s">
        <v>767</v>
      </c>
      <c r="G766" s="25">
        <f t="shared" si="10"/>
        <v>1.7875383043922222E-2</v>
      </c>
    </row>
    <row r="767" spans="1:7">
      <c r="A767" s="42">
        <v>117.26</v>
      </c>
      <c r="B767" s="42">
        <v>117.8481</v>
      </c>
      <c r="C767" s="42">
        <v>113.61</v>
      </c>
      <c r="D767" s="42">
        <v>113.78</v>
      </c>
      <c r="E767" s="42">
        <v>5453663</v>
      </c>
      <c r="F767" s="42" t="s">
        <v>768</v>
      </c>
      <c r="G767" s="25">
        <f t="shared" si="10"/>
        <v>3.0585340130075522E-2</v>
      </c>
    </row>
    <row r="768" spans="1:7">
      <c r="A768" s="42">
        <v>113.56</v>
      </c>
      <c r="B768" s="42">
        <v>116.67</v>
      </c>
      <c r="C768" s="42">
        <v>113.01</v>
      </c>
      <c r="D768" s="42">
        <v>115.23</v>
      </c>
      <c r="E768" s="42">
        <v>8040117</v>
      </c>
      <c r="F768" s="42" t="s">
        <v>769</v>
      </c>
      <c r="G768" s="25">
        <f t="shared" si="10"/>
        <v>-1.449275362318847E-2</v>
      </c>
    </row>
    <row r="769" spans="1:7">
      <c r="A769" s="42">
        <v>115.05</v>
      </c>
      <c r="B769" s="42">
        <v>115.56</v>
      </c>
      <c r="C769" s="42">
        <v>113.55</v>
      </c>
      <c r="D769" s="42">
        <v>114.32</v>
      </c>
      <c r="E769" s="42">
        <v>1688420</v>
      </c>
      <c r="F769" s="42" t="s">
        <v>770</v>
      </c>
      <c r="G769" s="25">
        <f t="shared" si="10"/>
        <v>6.3855843247027089E-3</v>
      </c>
    </row>
    <row r="770" spans="1:7">
      <c r="A770" s="42">
        <v>114.61</v>
      </c>
      <c r="B770" s="42">
        <v>116.66</v>
      </c>
      <c r="C770" s="42">
        <v>112.27</v>
      </c>
      <c r="D770" s="42">
        <v>116.66</v>
      </c>
      <c r="E770" s="42">
        <v>2473910</v>
      </c>
      <c r="F770" s="42" t="s">
        <v>771</v>
      </c>
      <c r="G770" s="25">
        <f t="shared" si="10"/>
        <v>-1.7572432710440622E-2</v>
      </c>
    </row>
    <row r="771" spans="1:7">
      <c r="A771" s="42">
        <v>116.73</v>
      </c>
      <c r="B771" s="42">
        <v>117.07</v>
      </c>
      <c r="C771" s="42">
        <v>114.31</v>
      </c>
      <c r="D771" s="42">
        <v>114.89</v>
      </c>
      <c r="E771" s="42">
        <v>1705289</v>
      </c>
      <c r="F771" s="42" t="s">
        <v>772</v>
      </c>
      <c r="G771" s="25">
        <f t="shared" ref="G771:G834" si="11">A771/D771-1</f>
        <v>1.6015319000783457E-2</v>
      </c>
    </row>
    <row r="772" spans="1:7">
      <c r="A772" s="42">
        <v>115.69</v>
      </c>
      <c r="B772" s="42">
        <v>119.14</v>
      </c>
      <c r="C772" s="42">
        <v>114.55</v>
      </c>
      <c r="D772" s="42">
        <v>118.45</v>
      </c>
      <c r="E772" s="42">
        <v>2282927</v>
      </c>
      <c r="F772" s="42" t="s">
        <v>773</v>
      </c>
      <c r="G772" s="25">
        <f t="shared" si="11"/>
        <v>-2.3300970873786464E-2</v>
      </c>
    </row>
    <row r="773" spans="1:7">
      <c r="A773" s="42">
        <v>119.29</v>
      </c>
      <c r="B773" s="42">
        <v>120.99</v>
      </c>
      <c r="C773" s="42">
        <v>116.12</v>
      </c>
      <c r="D773" s="42">
        <v>117.58</v>
      </c>
      <c r="E773" s="42">
        <v>2391367</v>
      </c>
      <c r="F773" s="42" t="s">
        <v>774</v>
      </c>
      <c r="G773" s="25">
        <f t="shared" si="11"/>
        <v>1.4543289675114979E-2</v>
      </c>
    </row>
    <row r="774" spans="1:7">
      <c r="A774" s="42">
        <v>117.13</v>
      </c>
      <c r="B774" s="42">
        <v>120.5299</v>
      </c>
      <c r="C774" s="42">
        <v>116.97</v>
      </c>
      <c r="D774" s="42">
        <v>118.81</v>
      </c>
      <c r="E774" s="42">
        <v>2079990</v>
      </c>
      <c r="F774" s="42" t="s">
        <v>775</v>
      </c>
      <c r="G774" s="25">
        <f t="shared" si="11"/>
        <v>-1.41402238868783E-2</v>
      </c>
    </row>
    <row r="775" spans="1:7">
      <c r="A775" s="42">
        <v>119.03</v>
      </c>
      <c r="B775" s="42">
        <v>119.277</v>
      </c>
      <c r="C775" s="42">
        <v>116.95</v>
      </c>
      <c r="D775" s="42">
        <v>118.26</v>
      </c>
      <c r="E775" s="42">
        <v>1598042</v>
      </c>
      <c r="F775" s="42" t="s">
        <v>776</v>
      </c>
      <c r="G775" s="25">
        <f t="shared" si="11"/>
        <v>6.5110772873329115E-3</v>
      </c>
    </row>
    <row r="776" spans="1:7">
      <c r="A776" s="42">
        <v>118.59</v>
      </c>
      <c r="B776" s="42">
        <v>119.77</v>
      </c>
      <c r="C776" s="42">
        <v>116.6</v>
      </c>
      <c r="D776" s="42">
        <v>118.58</v>
      </c>
      <c r="E776" s="42">
        <v>1690396</v>
      </c>
      <c r="F776" s="42" t="s">
        <v>777</v>
      </c>
      <c r="G776" s="25">
        <f t="shared" si="11"/>
        <v>8.433125316242851E-5</v>
      </c>
    </row>
    <row r="777" spans="1:7">
      <c r="A777" s="42">
        <v>118.61</v>
      </c>
      <c r="B777" s="42">
        <v>119.54</v>
      </c>
      <c r="C777" s="42">
        <v>117.87</v>
      </c>
      <c r="D777" s="42">
        <v>119.54</v>
      </c>
      <c r="E777" s="42">
        <v>1331784</v>
      </c>
      <c r="F777" s="42" t="s">
        <v>778</v>
      </c>
      <c r="G777" s="25">
        <f t="shared" si="11"/>
        <v>-7.7798226535051862E-3</v>
      </c>
    </row>
    <row r="778" spans="1:7">
      <c r="A778" s="42">
        <v>119.61</v>
      </c>
      <c r="B778" s="42">
        <v>122.62</v>
      </c>
      <c r="C778" s="42">
        <v>119.3</v>
      </c>
      <c r="D778" s="42">
        <v>121.75</v>
      </c>
      <c r="E778" s="42">
        <v>1565764</v>
      </c>
      <c r="F778" s="42" t="s">
        <v>779</v>
      </c>
      <c r="G778" s="25">
        <f t="shared" si="11"/>
        <v>-1.757700205338808E-2</v>
      </c>
    </row>
    <row r="779" spans="1:7">
      <c r="A779" s="42">
        <v>121.7</v>
      </c>
      <c r="B779" s="42">
        <v>122.47</v>
      </c>
      <c r="C779" s="42">
        <v>120.8</v>
      </c>
      <c r="D779" s="42">
        <v>121.39</v>
      </c>
      <c r="E779" s="42">
        <v>1409984</v>
      </c>
      <c r="F779" s="42" t="s">
        <v>780</v>
      </c>
      <c r="G779" s="25">
        <f t="shared" si="11"/>
        <v>2.5537523683993868E-3</v>
      </c>
    </row>
    <row r="780" spans="1:7">
      <c r="A780" s="42">
        <v>121.07</v>
      </c>
      <c r="B780" s="42">
        <v>123.43</v>
      </c>
      <c r="C780" s="42">
        <v>119.76</v>
      </c>
      <c r="D780" s="42">
        <v>122.89</v>
      </c>
      <c r="E780" s="42">
        <v>1730122</v>
      </c>
      <c r="F780" s="42" t="s">
        <v>781</v>
      </c>
      <c r="G780" s="25">
        <f t="shared" si="11"/>
        <v>-1.4809992676377282E-2</v>
      </c>
    </row>
    <row r="781" spans="1:7">
      <c r="A781" s="42">
        <v>122.57</v>
      </c>
      <c r="B781" s="42">
        <v>123.13</v>
      </c>
      <c r="C781" s="42">
        <v>119.85</v>
      </c>
      <c r="D781" s="42">
        <v>120.8</v>
      </c>
      <c r="E781" s="42">
        <v>1821356</v>
      </c>
      <c r="F781" s="42" t="s">
        <v>782</v>
      </c>
      <c r="G781" s="25">
        <f t="shared" si="11"/>
        <v>1.4652317880794685E-2</v>
      </c>
    </row>
    <row r="782" spans="1:7">
      <c r="A782" s="42">
        <v>119.65</v>
      </c>
      <c r="B782" s="42">
        <v>120.44</v>
      </c>
      <c r="C782" s="42">
        <v>118.69</v>
      </c>
      <c r="D782" s="42">
        <v>120.19</v>
      </c>
      <c r="E782" s="42">
        <v>1301009</v>
      </c>
      <c r="F782" s="42" t="s">
        <v>783</v>
      </c>
      <c r="G782" s="25">
        <f t="shared" si="11"/>
        <v>-4.4928862634161515E-3</v>
      </c>
    </row>
    <row r="783" spans="1:7">
      <c r="A783" s="42">
        <v>120.18</v>
      </c>
      <c r="B783" s="42">
        <v>120.92</v>
      </c>
      <c r="C783" s="42">
        <v>118.67</v>
      </c>
      <c r="D783" s="42">
        <v>120.15</v>
      </c>
      <c r="E783" s="42">
        <v>1733527</v>
      </c>
      <c r="F783" s="42" t="s">
        <v>784</v>
      </c>
      <c r="G783" s="25">
        <f t="shared" si="11"/>
        <v>2.4968789013724013E-4</v>
      </c>
    </row>
    <row r="784" spans="1:7">
      <c r="A784" s="42">
        <v>120.82</v>
      </c>
      <c r="B784" s="42">
        <v>121.59</v>
      </c>
      <c r="C784" s="42">
        <v>117.28</v>
      </c>
      <c r="D784" s="42">
        <v>117.71</v>
      </c>
      <c r="E784" s="42">
        <v>2170190</v>
      </c>
      <c r="F784" s="42" t="s">
        <v>785</v>
      </c>
      <c r="G784" s="25">
        <f t="shared" si="11"/>
        <v>2.6420864837312097E-2</v>
      </c>
    </row>
    <row r="785" spans="1:7">
      <c r="A785" s="42">
        <v>117.42</v>
      </c>
      <c r="B785" s="42">
        <v>117.87</v>
      </c>
      <c r="C785" s="42">
        <v>116.03</v>
      </c>
      <c r="D785" s="42">
        <v>116.5</v>
      </c>
      <c r="E785" s="42">
        <v>1765812</v>
      </c>
      <c r="F785" s="42" t="s">
        <v>786</v>
      </c>
      <c r="G785" s="25">
        <f t="shared" si="11"/>
        <v>7.8969957081544973E-3</v>
      </c>
    </row>
    <row r="786" spans="1:7">
      <c r="A786" s="42">
        <v>117.32</v>
      </c>
      <c r="B786" s="42">
        <v>119.88</v>
      </c>
      <c r="C786" s="42">
        <v>116.79</v>
      </c>
      <c r="D786" s="42">
        <v>119.2</v>
      </c>
      <c r="E786" s="42">
        <v>6887641</v>
      </c>
      <c r="F786" s="42" t="s">
        <v>787</v>
      </c>
      <c r="G786" s="25">
        <f t="shared" si="11"/>
        <v>-1.5771812080537018E-2</v>
      </c>
    </row>
    <row r="787" spans="1:7">
      <c r="A787" s="42">
        <v>118.12</v>
      </c>
      <c r="B787" s="42">
        <v>118.27</v>
      </c>
      <c r="C787" s="42">
        <v>115.01</v>
      </c>
      <c r="D787" s="42">
        <v>117</v>
      </c>
      <c r="E787" s="42">
        <v>2662506</v>
      </c>
      <c r="F787" s="42" t="s">
        <v>788</v>
      </c>
      <c r="G787" s="25">
        <f t="shared" si="11"/>
        <v>9.572649572649583E-3</v>
      </c>
    </row>
    <row r="788" spans="1:7">
      <c r="A788" s="42">
        <v>118.44</v>
      </c>
      <c r="B788" s="42">
        <v>121.47</v>
      </c>
      <c r="C788" s="42">
        <v>117.21</v>
      </c>
      <c r="D788" s="42">
        <v>121.34</v>
      </c>
      <c r="E788" s="42">
        <v>2447212</v>
      </c>
      <c r="F788" s="42" t="s">
        <v>789</v>
      </c>
      <c r="G788" s="25">
        <f t="shared" si="11"/>
        <v>-2.3899785726059108E-2</v>
      </c>
    </row>
    <row r="789" spans="1:7">
      <c r="A789" s="42">
        <v>121.34</v>
      </c>
      <c r="B789" s="42">
        <v>122.28</v>
      </c>
      <c r="C789" s="42">
        <v>117.6</v>
      </c>
      <c r="D789" s="42">
        <v>119.255</v>
      </c>
      <c r="E789" s="42">
        <v>3901531</v>
      </c>
      <c r="F789" s="42" t="s">
        <v>790</v>
      </c>
      <c r="G789" s="25">
        <f t="shared" si="11"/>
        <v>1.7483543666932277E-2</v>
      </c>
    </row>
    <row r="790" spans="1:7">
      <c r="A790" s="42">
        <v>123.58</v>
      </c>
      <c r="B790" s="42">
        <v>126.44</v>
      </c>
      <c r="C790" s="42">
        <v>121.22</v>
      </c>
      <c r="D790" s="42">
        <v>125.575</v>
      </c>
      <c r="E790" s="42">
        <v>4074986</v>
      </c>
      <c r="F790" s="42" t="s">
        <v>791</v>
      </c>
      <c r="G790" s="25">
        <f t="shared" si="11"/>
        <v>-1.5886920167230811E-2</v>
      </c>
    </row>
    <row r="791" spans="1:7">
      <c r="A791" s="42">
        <v>124.93</v>
      </c>
      <c r="B791" s="42">
        <v>125.18</v>
      </c>
      <c r="C791" s="42">
        <v>122.9186</v>
      </c>
      <c r="D791" s="42">
        <v>123</v>
      </c>
      <c r="E791" s="42">
        <v>2333269</v>
      </c>
      <c r="F791" s="42" t="s">
        <v>792</v>
      </c>
      <c r="G791" s="25">
        <f t="shared" si="11"/>
        <v>1.5691056910569268E-2</v>
      </c>
    </row>
    <row r="792" spans="1:7">
      <c r="A792" s="42">
        <v>123.96</v>
      </c>
      <c r="B792" s="42">
        <v>125.0984</v>
      </c>
      <c r="C792" s="42">
        <v>123</v>
      </c>
      <c r="D792" s="42">
        <v>123</v>
      </c>
      <c r="E792" s="42">
        <v>2263414</v>
      </c>
      <c r="F792" s="42" t="s">
        <v>793</v>
      </c>
      <c r="G792" s="25">
        <f t="shared" si="11"/>
        <v>7.8048780487804947E-3</v>
      </c>
    </row>
    <row r="793" spans="1:7">
      <c r="A793" s="42">
        <v>123.83</v>
      </c>
      <c r="B793" s="42">
        <v>125.01</v>
      </c>
      <c r="C793" s="42">
        <v>123.5</v>
      </c>
      <c r="D793" s="42">
        <v>124.68</v>
      </c>
      <c r="E793" s="42">
        <v>1829061</v>
      </c>
      <c r="F793" s="42" t="s">
        <v>794</v>
      </c>
      <c r="G793" s="25">
        <f t="shared" si="11"/>
        <v>-6.8174526788579159E-3</v>
      </c>
    </row>
    <row r="794" spans="1:7">
      <c r="A794" s="42">
        <v>123.73</v>
      </c>
      <c r="B794" s="42">
        <v>125.4</v>
      </c>
      <c r="C794" s="42">
        <v>122.33</v>
      </c>
      <c r="D794" s="42">
        <v>123.35</v>
      </c>
      <c r="E794" s="42">
        <v>2129627</v>
      </c>
      <c r="F794" s="42" t="s">
        <v>795</v>
      </c>
      <c r="G794" s="25">
        <f t="shared" si="11"/>
        <v>3.0806647750305505E-3</v>
      </c>
    </row>
    <row r="795" spans="1:7">
      <c r="A795" s="42">
        <v>122.19</v>
      </c>
      <c r="B795" s="42">
        <v>125.315</v>
      </c>
      <c r="C795" s="42">
        <v>121.95</v>
      </c>
      <c r="D795" s="42">
        <v>123.59</v>
      </c>
      <c r="E795" s="42">
        <v>2248022</v>
      </c>
      <c r="F795" s="42" t="s">
        <v>796</v>
      </c>
      <c r="G795" s="25">
        <f t="shared" si="11"/>
        <v>-1.1327777328262845E-2</v>
      </c>
    </row>
    <row r="796" spans="1:7">
      <c r="A796" s="42">
        <v>124.12</v>
      </c>
      <c r="B796" s="42">
        <v>124.2</v>
      </c>
      <c r="C796" s="42">
        <v>118.67</v>
      </c>
      <c r="D796" s="42">
        <v>118.77</v>
      </c>
      <c r="E796" s="42">
        <v>2410286</v>
      </c>
      <c r="F796" s="42" t="s">
        <v>797</v>
      </c>
      <c r="G796" s="25">
        <f t="shared" si="11"/>
        <v>4.5045045045045029E-2</v>
      </c>
    </row>
    <row r="797" spans="1:7">
      <c r="A797" s="42">
        <v>118.93</v>
      </c>
      <c r="B797" s="42">
        <v>119.84</v>
      </c>
      <c r="C797" s="42">
        <v>117.93</v>
      </c>
      <c r="D797" s="42">
        <v>119.84</v>
      </c>
      <c r="E797" s="42">
        <v>1653929</v>
      </c>
      <c r="F797" s="42" t="s">
        <v>798</v>
      </c>
      <c r="G797" s="25">
        <f t="shared" si="11"/>
        <v>-7.5934579439251859E-3</v>
      </c>
    </row>
    <row r="798" spans="1:7">
      <c r="A798" s="42">
        <v>118.65</v>
      </c>
      <c r="B798" s="42">
        <v>120.215</v>
      </c>
      <c r="C798" s="42">
        <v>117.69</v>
      </c>
      <c r="D798" s="42">
        <v>117.91</v>
      </c>
      <c r="E798" s="42">
        <v>2180505</v>
      </c>
      <c r="F798" s="42" t="s">
        <v>799</v>
      </c>
      <c r="G798" s="25">
        <f t="shared" si="11"/>
        <v>6.2759731998982549E-3</v>
      </c>
    </row>
    <row r="799" spans="1:7">
      <c r="A799" s="42">
        <v>115.7</v>
      </c>
      <c r="B799" s="42">
        <v>116.46</v>
      </c>
      <c r="C799" s="42">
        <v>114.13</v>
      </c>
      <c r="D799" s="42">
        <v>115.68</v>
      </c>
      <c r="E799" s="42">
        <v>1150067</v>
      </c>
      <c r="F799" s="42" t="s">
        <v>800</v>
      </c>
      <c r="G799" s="25">
        <f t="shared" si="11"/>
        <v>1.7289073305670755E-4</v>
      </c>
    </row>
    <row r="800" spans="1:7">
      <c r="A800" s="42">
        <v>116.28</v>
      </c>
      <c r="B800" s="42">
        <v>116.6</v>
      </c>
      <c r="C800" s="42">
        <v>115.05</v>
      </c>
      <c r="D800" s="42">
        <v>115.17</v>
      </c>
      <c r="E800" s="42">
        <v>1093634</v>
      </c>
      <c r="F800" s="42" t="s">
        <v>801</v>
      </c>
      <c r="G800" s="25">
        <f t="shared" si="11"/>
        <v>9.6379265433705896E-3</v>
      </c>
    </row>
    <row r="801" spans="1:7">
      <c r="A801" s="42">
        <v>114.82</v>
      </c>
      <c r="B801" s="42">
        <v>116.68</v>
      </c>
      <c r="C801" s="42">
        <v>114.57</v>
      </c>
      <c r="D801" s="42">
        <v>116.1344</v>
      </c>
      <c r="E801" s="42">
        <v>1534627</v>
      </c>
      <c r="F801" s="42" t="s">
        <v>802</v>
      </c>
      <c r="G801" s="25">
        <f t="shared" si="11"/>
        <v>-1.131792130497089E-2</v>
      </c>
    </row>
    <row r="802" spans="1:7">
      <c r="A802" s="42">
        <v>115.04</v>
      </c>
      <c r="B802" s="42">
        <v>115.12</v>
      </c>
      <c r="C802" s="42">
        <v>111.97</v>
      </c>
      <c r="D802" s="42">
        <v>112</v>
      </c>
      <c r="E802" s="42">
        <v>1826003</v>
      </c>
      <c r="F802" s="42" t="s">
        <v>803</v>
      </c>
      <c r="G802" s="25">
        <f t="shared" si="11"/>
        <v>2.7142857142857135E-2</v>
      </c>
    </row>
    <row r="803" spans="1:7">
      <c r="A803" s="42">
        <v>112.53</v>
      </c>
      <c r="B803" s="42">
        <v>113.07</v>
      </c>
      <c r="C803" s="42">
        <v>110.9</v>
      </c>
      <c r="D803" s="42">
        <v>112.52</v>
      </c>
      <c r="E803" s="42">
        <v>1871285</v>
      </c>
      <c r="F803" s="42" t="s">
        <v>804</v>
      </c>
      <c r="G803" s="25">
        <f t="shared" si="11"/>
        <v>8.88730892285583E-5</v>
      </c>
    </row>
    <row r="804" spans="1:7">
      <c r="A804" s="42">
        <v>112.47</v>
      </c>
      <c r="B804" s="42">
        <v>112.94</v>
      </c>
      <c r="C804" s="42">
        <v>111.43</v>
      </c>
      <c r="D804" s="42">
        <v>112.94</v>
      </c>
      <c r="E804" s="42">
        <v>1835194</v>
      </c>
      <c r="F804" s="42" t="s">
        <v>805</v>
      </c>
      <c r="G804" s="25">
        <f t="shared" si="11"/>
        <v>-4.161501682309221E-3</v>
      </c>
    </row>
    <row r="805" spans="1:7">
      <c r="A805" s="42">
        <v>112.82</v>
      </c>
      <c r="B805" s="42">
        <v>115.7393</v>
      </c>
      <c r="C805" s="42">
        <v>112.42</v>
      </c>
      <c r="D805" s="42">
        <v>115.69</v>
      </c>
      <c r="E805" s="42">
        <v>1489599</v>
      </c>
      <c r="F805" s="42" t="s">
        <v>806</v>
      </c>
      <c r="G805" s="25">
        <f t="shared" si="11"/>
        <v>-2.4807675685020403E-2</v>
      </c>
    </row>
    <row r="806" spans="1:7">
      <c r="A806" s="42">
        <v>115.64</v>
      </c>
      <c r="B806" s="42">
        <v>116.18</v>
      </c>
      <c r="C806" s="42">
        <v>114.3</v>
      </c>
      <c r="D806" s="42">
        <v>115.44</v>
      </c>
      <c r="E806" s="42">
        <v>1467276</v>
      </c>
      <c r="F806" s="42" t="s">
        <v>807</v>
      </c>
      <c r="G806" s="25">
        <f t="shared" si="11"/>
        <v>1.7325017325018344E-3</v>
      </c>
    </row>
    <row r="807" spans="1:7">
      <c r="A807" s="42">
        <v>115.24</v>
      </c>
      <c r="B807" s="42">
        <v>116.03</v>
      </c>
      <c r="C807" s="42">
        <v>113.25</v>
      </c>
      <c r="D807" s="42">
        <v>116.03</v>
      </c>
      <c r="E807" s="42">
        <v>1743393</v>
      </c>
      <c r="F807" s="42" t="s">
        <v>808</v>
      </c>
      <c r="G807" s="25">
        <f t="shared" si="11"/>
        <v>-6.8085839868999853E-3</v>
      </c>
    </row>
    <row r="808" spans="1:7">
      <c r="A808" s="42">
        <v>116.18</v>
      </c>
      <c r="B808" s="42">
        <v>116.87</v>
      </c>
      <c r="C808" s="42">
        <v>114.52</v>
      </c>
      <c r="D808" s="42">
        <v>115.02</v>
      </c>
      <c r="E808" s="42">
        <v>2118213</v>
      </c>
      <c r="F808" s="42" t="s">
        <v>809</v>
      </c>
      <c r="G808" s="25">
        <f t="shared" si="11"/>
        <v>1.0085202573465679E-2</v>
      </c>
    </row>
    <row r="809" spans="1:7">
      <c r="A809" s="42">
        <v>114.4</v>
      </c>
      <c r="B809" s="42">
        <v>115</v>
      </c>
      <c r="C809" s="42">
        <v>112.62</v>
      </c>
      <c r="D809" s="42">
        <v>114.27</v>
      </c>
      <c r="E809" s="42">
        <v>1547827</v>
      </c>
      <c r="F809" s="42" t="s">
        <v>810</v>
      </c>
      <c r="G809" s="25">
        <f t="shared" si="11"/>
        <v>1.1376564277589818E-3</v>
      </c>
    </row>
    <row r="810" spans="1:7">
      <c r="A810" s="42">
        <v>113.96</v>
      </c>
      <c r="B810" s="42">
        <v>115.75</v>
      </c>
      <c r="C810" s="42">
        <v>113.07</v>
      </c>
      <c r="D810" s="42">
        <v>114.83</v>
      </c>
      <c r="E810" s="42">
        <v>1559896</v>
      </c>
      <c r="F810" s="42" t="s">
        <v>811</v>
      </c>
      <c r="G810" s="25">
        <f t="shared" si="11"/>
        <v>-7.5764173125489886E-3</v>
      </c>
    </row>
    <row r="811" spans="1:7">
      <c r="A811" s="42">
        <v>113.815</v>
      </c>
      <c r="B811" s="42">
        <v>117.99</v>
      </c>
      <c r="C811" s="42">
        <v>113.14100000000001</v>
      </c>
      <c r="D811" s="42">
        <v>117.32</v>
      </c>
      <c r="E811" s="42">
        <v>1335680</v>
      </c>
      <c r="F811" s="42" t="s">
        <v>812</v>
      </c>
      <c r="G811" s="25">
        <f t="shared" si="11"/>
        <v>-2.9875554040231789E-2</v>
      </c>
    </row>
    <row r="812" spans="1:7">
      <c r="A812" s="42">
        <v>116.07</v>
      </c>
      <c r="B812" s="42">
        <v>117.95</v>
      </c>
      <c r="C812" s="42">
        <v>115.04</v>
      </c>
      <c r="D812" s="42">
        <v>115.75</v>
      </c>
      <c r="E812" s="42">
        <v>1571478</v>
      </c>
      <c r="F812" s="42" t="s">
        <v>813</v>
      </c>
      <c r="G812" s="25">
        <f t="shared" si="11"/>
        <v>2.7645788336931876E-3</v>
      </c>
    </row>
    <row r="813" spans="1:7">
      <c r="A813" s="42">
        <v>114.09</v>
      </c>
      <c r="B813" s="42">
        <v>115.21</v>
      </c>
      <c r="C813" s="42">
        <v>112.79</v>
      </c>
      <c r="D813" s="42">
        <v>114.26</v>
      </c>
      <c r="E813" s="42">
        <v>1360748</v>
      </c>
      <c r="F813" s="42" t="s">
        <v>814</v>
      </c>
      <c r="G813" s="25">
        <f t="shared" si="11"/>
        <v>-1.4878347628216604E-3</v>
      </c>
    </row>
    <row r="814" spans="1:7">
      <c r="A814" s="42">
        <v>114.5</v>
      </c>
      <c r="B814" s="42">
        <v>116.87</v>
      </c>
      <c r="C814" s="42">
        <v>113.32</v>
      </c>
      <c r="D814" s="42">
        <v>116.26</v>
      </c>
      <c r="E814" s="42">
        <v>1918673</v>
      </c>
      <c r="F814" s="42" t="s">
        <v>815</v>
      </c>
      <c r="G814" s="25">
        <f t="shared" si="11"/>
        <v>-1.5138482711164691E-2</v>
      </c>
    </row>
    <row r="815" spans="1:7">
      <c r="A815" s="42">
        <v>115</v>
      </c>
      <c r="B815" s="42">
        <v>119.235</v>
      </c>
      <c r="C815" s="42">
        <v>114.92</v>
      </c>
      <c r="D815" s="42">
        <v>118.93</v>
      </c>
      <c r="E815" s="42">
        <v>1452638</v>
      </c>
      <c r="F815" s="42" t="s">
        <v>816</v>
      </c>
      <c r="G815" s="25">
        <f t="shared" si="11"/>
        <v>-3.3044648112335095E-2</v>
      </c>
    </row>
    <row r="816" spans="1:7">
      <c r="A816" s="42">
        <v>118.98</v>
      </c>
      <c r="B816" s="42">
        <v>119.29</v>
      </c>
      <c r="C816" s="42">
        <v>116.7401</v>
      </c>
      <c r="D816" s="42">
        <v>117.6</v>
      </c>
      <c r="E816" s="42">
        <v>1706318</v>
      </c>
      <c r="F816" s="42" t="s">
        <v>817</v>
      </c>
      <c r="G816" s="25">
        <f t="shared" si="11"/>
        <v>1.1734693877551106E-2</v>
      </c>
    </row>
    <row r="817" spans="1:7">
      <c r="A817" s="42">
        <v>117.21</v>
      </c>
      <c r="B817" s="42">
        <v>117.43</v>
      </c>
      <c r="C817" s="42">
        <v>113.95</v>
      </c>
      <c r="D817" s="42">
        <v>113.95</v>
      </c>
      <c r="E817" s="42">
        <v>1704139</v>
      </c>
      <c r="F817" s="42" t="s">
        <v>818</v>
      </c>
      <c r="G817" s="25">
        <f t="shared" si="11"/>
        <v>2.860903905221579E-2</v>
      </c>
    </row>
    <row r="818" spans="1:7">
      <c r="A818" s="42">
        <v>113.93</v>
      </c>
      <c r="B818" s="42">
        <v>115.45</v>
      </c>
      <c r="C818" s="42">
        <v>113.05500000000001</v>
      </c>
      <c r="D818" s="42">
        <v>114.5</v>
      </c>
      <c r="E818" s="42">
        <v>2623893</v>
      </c>
      <c r="F818" s="42" t="s">
        <v>819</v>
      </c>
      <c r="G818" s="25">
        <f t="shared" si="11"/>
        <v>-4.978165938864576E-3</v>
      </c>
    </row>
    <row r="819" spans="1:7">
      <c r="A819" s="42">
        <v>114.56</v>
      </c>
      <c r="B819" s="42">
        <v>115.36</v>
      </c>
      <c r="C819" s="42">
        <v>112.39</v>
      </c>
      <c r="D819" s="42">
        <v>113.06</v>
      </c>
      <c r="E819" s="42">
        <v>2658451</v>
      </c>
      <c r="F819" s="42" t="s">
        <v>820</v>
      </c>
      <c r="G819" s="25">
        <f t="shared" si="11"/>
        <v>1.3267291703520145E-2</v>
      </c>
    </row>
    <row r="820" spans="1:7">
      <c r="A820" s="42">
        <v>113.72</v>
      </c>
      <c r="B820" s="42">
        <v>114.33</v>
      </c>
      <c r="C820" s="42">
        <v>111.185</v>
      </c>
      <c r="D820" s="42">
        <v>112.08</v>
      </c>
      <c r="E820" s="42">
        <v>1967373</v>
      </c>
      <c r="F820" s="42" t="s">
        <v>821</v>
      </c>
      <c r="G820" s="25">
        <f t="shared" si="11"/>
        <v>1.4632405424696682E-2</v>
      </c>
    </row>
    <row r="821" spans="1:7">
      <c r="A821" s="42">
        <v>113.16</v>
      </c>
      <c r="B821" s="42">
        <v>113.71</v>
      </c>
      <c r="C821" s="42">
        <v>111.3</v>
      </c>
      <c r="D821" s="42">
        <v>111.86</v>
      </c>
      <c r="E821" s="42">
        <v>2077367</v>
      </c>
      <c r="F821" s="42" t="s">
        <v>822</v>
      </c>
      <c r="G821" s="25">
        <f t="shared" si="11"/>
        <v>1.1621669944573476E-2</v>
      </c>
    </row>
    <row r="822" spans="1:7">
      <c r="A822" s="42">
        <v>110.66</v>
      </c>
      <c r="B822" s="42">
        <v>112.94</v>
      </c>
      <c r="C822" s="42">
        <v>106.16</v>
      </c>
      <c r="D822" s="42">
        <v>106.27</v>
      </c>
      <c r="E822" s="42">
        <v>1971468</v>
      </c>
      <c r="F822" s="42" t="s">
        <v>823</v>
      </c>
      <c r="G822" s="25">
        <f t="shared" si="11"/>
        <v>4.1309871083090144E-2</v>
      </c>
    </row>
    <row r="823" spans="1:7">
      <c r="A823" s="42">
        <v>107.77</v>
      </c>
      <c r="B823" s="42">
        <v>112.28</v>
      </c>
      <c r="C823" s="42">
        <v>107.28</v>
      </c>
      <c r="D823" s="42">
        <v>112.28</v>
      </c>
      <c r="E823" s="42">
        <v>3014495</v>
      </c>
      <c r="F823" s="42" t="s">
        <v>824</v>
      </c>
      <c r="G823" s="25">
        <f t="shared" si="11"/>
        <v>-4.0167438546490963E-2</v>
      </c>
    </row>
    <row r="824" spans="1:7">
      <c r="A824" s="42">
        <v>112.08</v>
      </c>
      <c r="B824" s="42">
        <v>116.65</v>
      </c>
      <c r="C824" s="42">
        <v>111.87</v>
      </c>
      <c r="D824" s="42">
        <v>113.26</v>
      </c>
      <c r="E824" s="42">
        <v>3223265</v>
      </c>
      <c r="F824" s="42" t="s">
        <v>825</v>
      </c>
      <c r="G824" s="25">
        <f t="shared" si="11"/>
        <v>-1.0418506092177315E-2</v>
      </c>
    </row>
    <row r="825" spans="1:7">
      <c r="A825" s="42">
        <v>112.74</v>
      </c>
      <c r="B825" s="42">
        <v>114.015</v>
      </c>
      <c r="C825" s="42">
        <v>111.86</v>
      </c>
      <c r="D825" s="42">
        <v>113.51</v>
      </c>
      <c r="E825" s="42">
        <v>1394816</v>
      </c>
      <c r="F825" s="42" t="s">
        <v>826</v>
      </c>
      <c r="G825" s="25">
        <f t="shared" si="11"/>
        <v>-6.7835433001498524E-3</v>
      </c>
    </row>
    <row r="826" spans="1:7">
      <c r="A826" s="42">
        <v>113.81</v>
      </c>
      <c r="B826" s="42">
        <v>115.375</v>
      </c>
      <c r="C826" s="42">
        <v>112.12</v>
      </c>
      <c r="D826" s="42">
        <v>113.24</v>
      </c>
      <c r="E826" s="42">
        <v>2304855</v>
      </c>
      <c r="F826" s="42" t="s">
        <v>827</v>
      </c>
      <c r="G826" s="25">
        <f t="shared" si="11"/>
        <v>5.0335570469799418E-3</v>
      </c>
    </row>
    <row r="827" spans="1:7">
      <c r="A827" s="42">
        <v>113.25</v>
      </c>
      <c r="B827" s="42">
        <v>116.07859999999999</v>
      </c>
      <c r="C827" s="42">
        <v>112.44</v>
      </c>
      <c r="D827" s="42">
        <v>114.1</v>
      </c>
      <c r="E827" s="42">
        <v>5556435</v>
      </c>
      <c r="F827" s="42" t="s">
        <v>828</v>
      </c>
      <c r="G827" s="25">
        <f t="shared" si="11"/>
        <v>-7.4496056091147844E-3</v>
      </c>
    </row>
    <row r="828" spans="1:7">
      <c r="A828" s="42">
        <v>122.92</v>
      </c>
      <c r="B828" s="42">
        <v>123.14</v>
      </c>
      <c r="C828" s="42">
        <v>119.89</v>
      </c>
      <c r="D828" s="42">
        <v>120.52500000000001</v>
      </c>
      <c r="E828" s="42">
        <v>2771082</v>
      </c>
      <c r="F828" s="42" t="s">
        <v>829</v>
      </c>
      <c r="G828" s="25">
        <f t="shared" si="11"/>
        <v>1.9871395975938677E-2</v>
      </c>
    </row>
    <row r="829" spans="1:7">
      <c r="A829" s="42">
        <v>121.24</v>
      </c>
      <c r="B829" s="42">
        <v>121.37</v>
      </c>
      <c r="C829" s="42">
        <v>112.38</v>
      </c>
      <c r="D829" s="42">
        <v>112.51</v>
      </c>
      <c r="E829" s="42">
        <v>4461887</v>
      </c>
      <c r="F829" s="42" t="s">
        <v>830</v>
      </c>
      <c r="G829" s="25">
        <f t="shared" si="11"/>
        <v>7.7593102835303407E-2</v>
      </c>
    </row>
    <row r="830" spans="1:7">
      <c r="A830" s="42">
        <v>110.76</v>
      </c>
      <c r="B830" s="42">
        <v>111.31</v>
      </c>
      <c r="C830" s="42">
        <v>109.32</v>
      </c>
      <c r="D830" s="42">
        <v>110.51</v>
      </c>
      <c r="E830" s="42">
        <v>1856077</v>
      </c>
      <c r="F830" s="42" t="s">
        <v>831</v>
      </c>
      <c r="G830" s="25">
        <f t="shared" si="11"/>
        <v>2.2622387114288323E-3</v>
      </c>
    </row>
    <row r="831" spans="1:7">
      <c r="A831" s="42">
        <v>111.01</v>
      </c>
      <c r="B831" s="42">
        <v>112.52</v>
      </c>
      <c r="C831" s="42">
        <v>109.88</v>
      </c>
      <c r="D831" s="42">
        <v>111.694</v>
      </c>
      <c r="E831" s="42">
        <v>1714560</v>
      </c>
      <c r="F831" s="42" t="s">
        <v>832</v>
      </c>
      <c r="G831" s="25">
        <f t="shared" si="11"/>
        <v>-6.1238741561766563E-3</v>
      </c>
    </row>
    <row r="832" spans="1:7">
      <c r="A832" s="42">
        <v>110.58</v>
      </c>
      <c r="B832" s="42">
        <v>111.68</v>
      </c>
      <c r="C832" s="42">
        <v>109.02</v>
      </c>
      <c r="D832" s="42">
        <v>110.98</v>
      </c>
      <c r="E832" s="42">
        <v>1528694</v>
      </c>
      <c r="F832" s="42" t="s">
        <v>833</v>
      </c>
      <c r="G832" s="25">
        <f t="shared" si="11"/>
        <v>-3.6042530185619315E-3</v>
      </c>
    </row>
    <row r="833" spans="1:7">
      <c r="A833" s="42">
        <v>110.09</v>
      </c>
      <c r="B833" s="42">
        <v>111.48</v>
      </c>
      <c r="C833" s="42">
        <v>109.35</v>
      </c>
      <c r="D833" s="42">
        <v>110.42</v>
      </c>
      <c r="E833" s="42">
        <v>1540217</v>
      </c>
      <c r="F833" s="42" t="s">
        <v>834</v>
      </c>
      <c r="G833" s="25">
        <f t="shared" si="11"/>
        <v>-2.9885890237275614E-3</v>
      </c>
    </row>
    <row r="834" spans="1:7">
      <c r="A834" s="42">
        <v>111.87</v>
      </c>
      <c r="B834" s="42">
        <v>112.1</v>
      </c>
      <c r="C834" s="42">
        <v>109.35</v>
      </c>
      <c r="D834" s="42">
        <v>111.61</v>
      </c>
      <c r="E834" s="42">
        <v>2627058</v>
      </c>
      <c r="F834" s="42" t="s">
        <v>835</v>
      </c>
      <c r="G834" s="25">
        <f t="shared" si="11"/>
        <v>2.3295403637666467E-3</v>
      </c>
    </row>
    <row r="835" spans="1:7">
      <c r="A835" s="42">
        <v>111.65</v>
      </c>
      <c r="B835" s="42">
        <v>114.98</v>
      </c>
      <c r="C835" s="42">
        <v>104.2</v>
      </c>
      <c r="D835" s="42">
        <v>114.54</v>
      </c>
      <c r="E835" s="42">
        <v>6377812</v>
      </c>
      <c r="F835" s="42" t="s">
        <v>836</v>
      </c>
      <c r="G835" s="25">
        <f t="shared" ref="G835:G898" si="12">A835/D835-1</f>
        <v>-2.5231360223502697E-2</v>
      </c>
    </row>
    <row r="836" spans="1:7">
      <c r="A836" s="42">
        <v>114.01</v>
      </c>
      <c r="B836" s="42">
        <v>114.79</v>
      </c>
      <c r="C836" s="42">
        <v>112.79</v>
      </c>
      <c r="D836" s="42">
        <v>113.59</v>
      </c>
      <c r="E836" s="42">
        <v>2393075</v>
      </c>
      <c r="F836" s="42" t="s">
        <v>837</v>
      </c>
      <c r="G836" s="25">
        <f t="shared" si="12"/>
        <v>3.6975085835020405E-3</v>
      </c>
    </row>
    <row r="837" spans="1:7">
      <c r="A837" s="42">
        <v>114.76</v>
      </c>
      <c r="B837" s="42">
        <v>117.03</v>
      </c>
      <c r="C837" s="42">
        <v>113.4</v>
      </c>
      <c r="D837" s="42">
        <v>116.39</v>
      </c>
      <c r="E837" s="42">
        <v>1810253</v>
      </c>
      <c r="F837" s="42" t="s">
        <v>838</v>
      </c>
      <c r="G837" s="25">
        <f t="shared" si="12"/>
        <v>-1.4004639573846456E-2</v>
      </c>
    </row>
    <row r="838" spans="1:7">
      <c r="A838" s="42">
        <v>117.26</v>
      </c>
      <c r="B838" s="42">
        <v>119.39</v>
      </c>
      <c r="C838" s="42">
        <v>117.08</v>
      </c>
      <c r="D838" s="42">
        <v>118.49</v>
      </c>
      <c r="E838" s="42">
        <v>1580655</v>
      </c>
      <c r="F838" s="42" t="s">
        <v>839</v>
      </c>
      <c r="G838" s="25">
        <f t="shared" si="12"/>
        <v>-1.0380622837370179E-2</v>
      </c>
    </row>
    <row r="839" spans="1:7">
      <c r="A839" s="42">
        <v>120.17</v>
      </c>
      <c r="B839" s="42">
        <v>120.28</v>
      </c>
      <c r="C839" s="42">
        <v>118</v>
      </c>
      <c r="D839" s="42">
        <v>118.66</v>
      </c>
      <c r="E839" s="42">
        <v>1562267</v>
      </c>
      <c r="F839" s="42" t="s">
        <v>840</v>
      </c>
      <c r="G839" s="25">
        <f t="shared" si="12"/>
        <v>1.2725434013146852E-2</v>
      </c>
    </row>
    <row r="840" spans="1:7">
      <c r="A840" s="42">
        <v>118.55</v>
      </c>
      <c r="B840" s="42">
        <v>119.79</v>
      </c>
      <c r="C840" s="42">
        <v>116.62</v>
      </c>
      <c r="D840" s="42">
        <v>117.5</v>
      </c>
      <c r="E840" s="42">
        <v>1995957</v>
      </c>
      <c r="F840" s="42" t="s">
        <v>841</v>
      </c>
      <c r="G840" s="25">
        <f t="shared" si="12"/>
        <v>8.936170212765937E-3</v>
      </c>
    </row>
    <row r="841" spans="1:7">
      <c r="A841" s="42">
        <v>118.28</v>
      </c>
      <c r="B841" s="42">
        <v>121.11</v>
      </c>
      <c r="C841" s="42">
        <v>118.01</v>
      </c>
      <c r="D841" s="42">
        <v>119.69</v>
      </c>
      <c r="E841" s="42">
        <v>2944199</v>
      </c>
      <c r="F841" s="42" t="s">
        <v>842</v>
      </c>
      <c r="G841" s="25">
        <f t="shared" si="12"/>
        <v>-1.1780432784693762E-2</v>
      </c>
    </row>
    <row r="842" spans="1:7">
      <c r="A842" s="42">
        <v>117.89</v>
      </c>
      <c r="B842" s="42">
        <v>120</v>
      </c>
      <c r="C842" s="42">
        <v>111.21</v>
      </c>
      <c r="D842" s="42">
        <v>112.65</v>
      </c>
      <c r="E842" s="42">
        <v>6381640</v>
      </c>
      <c r="F842" s="42" t="s">
        <v>843</v>
      </c>
      <c r="G842" s="25">
        <f t="shared" si="12"/>
        <v>4.6515756768752636E-2</v>
      </c>
    </row>
    <row r="843" spans="1:7">
      <c r="A843" s="42">
        <v>107.24</v>
      </c>
      <c r="B843" s="42">
        <v>110.71</v>
      </c>
      <c r="C843" s="42">
        <v>106.82</v>
      </c>
      <c r="D843" s="42">
        <v>110.02</v>
      </c>
      <c r="E843" s="42">
        <v>4270790</v>
      </c>
      <c r="F843" s="42" t="s">
        <v>844</v>
      </c>
      <c r="G843" s="25">
        <f t="shared" si="12"/>
        <v>-2.5268133066715159E-2</v>
      </c>
    </row>
    <row r="844" spans="1:7">
      <c r="A844" s="42">
        <v>109.84</v>
      </c>
      <c r="B844" s="42">
        <v>110.9</v>
      </c>
      <c r="C844" s="42">
        <v>108.74</v>
      </c>
      <c r="D844" s="42">
        <v>109.5</v>
      </c>
      <c r="E844" s="42">
        <v>1917782</v>
      </c>
      <c r="F844" s="42" t="s">
        <v>845</v>
      </c>
      <c r="G844" s="25">
        <f t="shared" si="12"/>
        <v>3.105022831050297E-3</v>
      </c>
    </row>
    <row r="845" spans="1:7">
      <c r="A845" s="42">
        <v>109.5</v>
      </c>
      <c r="B845" s="42">
        <v>109.75</v>
      </c>
      <c r="C845" s="42">
        <v>104.66</v>
      </c>
      <c r="D845" s="42">
        <v>105.71</v>
      </c>
      <c r="E845" s="42">
        <v>2189185</v>
      </c>
      <c r="F845" s="42" t="s">
        <v>846</v>
      </c>
      <c r="G845" s="25">
        <f t="shared" si="12"/>
        <v>3.5852804843439667E-2</v>
      </c>
    </row>
    <row r="846" spans="1:7">
      <c r="A846" s="42">
        <v>106.73</v>
      </c>
      <c r="B846" s="42">
        <v>109.065</v>
      </c>
      <c r="C846" s="42">
        <v>106.44</v>
      </c>
      <c r="D846" s="42">
        <v>108.09</v>
      </c>
      <c r="E846" s="42">
        <v>1793944</v>
      </c>
      <c r="F846" s="42" t="s">
        <v>847</v>
      </c>
      <c r="G846" s="25">
        <f t="shared" si="12"/>
        <v>-1.2582107503006701E-2</v>
      </c>
    </row>
    <row r="847" spans="1:7">
      <c r="A847" s="42">
        <v>108.43</v>
      </c>
      <c r="B847" s="42">
        <v>109.98</v>
      </c>
      <c r="C847" s="42">
        <v>106.21</v>
      </c>
      <c r="D847" s="42">
        <v>107.18</v>
      </c>
      <c r="E847" s="42">
        <v>2969339</v>
      </c>
      <c r="F847" s="42" t="s">
        <v>848</v>
      </c>
      <c r="G847" s="25">
        <f t="shared" si="12"/>
        <v>1.1662623623810431E-2</v>
      </c>
    </row>
    <row r="848" spans="1:7">
      <c r="A848" s="42">
        <v>108.03</v>
      </c>
      <c r="B848" s="42">
        <v>110.5</v>
      </c>
      <c r="C848" s="42">
        <v>106.59</v>
      </c>
      <c r="D848" s="42">
        <v>109.17</v>
      </c>
      <c r="E848" s="42">
        <v>3316371</v>
      </c>
      <c r="F848" s="42" t="s">
        <v>849</v>
      </c>
      <c r="G848" s="25">
        <f t="shared" si="12"/>
        <v>-1.0442429238801898E-2</v>
      </c>
    </row>
    <row r="849" spans="1:7">
      <c r="A849" s="42">
        <v>107.71</v>
      </c>
      <c r="B849" s="42">
        <v>108.57</v>
      </c>
      <c r="C849" s="42">
        <v>104.44</v>
      </c>
      <c r="D849" s="42">
        <v>107.16</v>
      </c>
      <c r="E849" s="42">
        <v>2894559</v>
      </c>
      <c r="F849" s="42" t="s">
        <v>850</v>
      </c>
      <c r="G849" s="25">
        <f t="shared" si="12"/>
        <v>5.1325121313923194E-3</v>
      </c>
    </row>
    <row r="850" spans="1:7">
      <c r="A850" s="42">
        <v>107.09</v>
      </c>
      <c r="B850" s="42">
        <v>107.56</v>
      </c>
      <c r="C850" s="42">
        <v>105.74</v>
      </c>
      <c r="D850" s="42">
        <v>106.06</v>
      </c>
      <c r="E850" s="42">
        <v>2091063</v>
      </c>
      <c r="F850" s="42" t="s">
        <v>851</v>
      </c>
      <c r="G850" s="25">
        <f t="shared" si="12"/>
        <v>9.711484065623166E-3</v>
      </c>
    </row>
    <row r="851" spans="1:7">
      <c r="A851" s="42">
        <v>105.49</v>
      </c>
      <c r="B851" s="42">
        <v>106.94</v>
      </c>
      <c r="C851" s="42">
        <v>105.08</v>
      </c>
      <c r="D851" s="42">
        <v>106.12</v>
      </c>
      <c r="E851" s="42">
        <v>1687666</v>
      </c>
      <c r="F851" s="42" t="s">
        <v>852</v>
      </c>
      <c r="G851" s="25">
        <f t="shared" si="12"/>
        <v>-5.9366754617414808E-3</v>
      </c>
    </row>
    <row r="852" spans="1:7">
      <c r="A852" s="42">
        <v>106.72</v>
      </c>
      <c r="B852" s="42">
        <v>107.742</v>
      </c>
      <c r="C852" s="42">
        <v>105.04</v>
      </c>
      <c r="D852" s="42">
        <v>106.36</v>
      </c>
      <c r="E852" s="42">
        <v>1428199</v>
      </c>
      <c r="F852" s="42" t="s">
        <v>853</v>
      </c>
      <c r="G852" s="25">
        <f t="shared" si="12"/>
        <v>3.3847311019179482E-3</v>
      </c>
    </row>
    <row r="853" spans="1:7">
      <c r="A853" s="42">
        <v>106.65</v>
      </c>
      <c r="B853" s="42">
        <v>107.03</v>
      </c>
      <c r="C853" s="42">
        <v>104.13</v>
      </c>
      <c r="D853" s="42">
        <v>105.44</v>
      </c>
      <c r="E853" s="42">
        <v>2266924</v>
      </c>
      <c r="F853" s="42" t="s">
        <v>854</v>
      </c>
      <c r="G853" s="25">
        <f t="shared" si="12"/>
        <v>1.1475720789074328E-2</v>
      </c>
    </row>
    <row r="854" spans="1:7">
      <c r="A854" s="42">
        <v>104</v>
      </c>
      <c r="B854" s="42">
        <v>105.05</v>
      </c>
      <c r="C854" s="42">
        <v>102.5</v>
      </c>
      <c r="D854" s="42">
        <v>103.75</v>
      </c>
      <c r="E854" s="42">
        <v>3803584</v>
      </c>
      <c r="F854" s="42" t="s">
        <v>855</v>
      </c>
      <c r="G854" s="25">
        <f t="shared" si="12"/>
        <v>2.4096385542169418E-3</v>
      </c>
    </row>
    <row r="855" spans="1:7">
      <c r="A855" s="42">
        <v>106.03</v>
      </c>
      <c r="B855" s="42">
        <v>106.51</v>
      </c>
      <c r="C855" s="42">
        <v>103.72</v>
      </c>
      <c r="D855" s="42">
        <v>105.24</v>
      </c>
      <c r="E855" s="42">
        <v>1685609</v>
      </c>
      <c r="F855" s="42" t="s">
        <v>856</v>
      </c>
      <c r="G855" s="25">
        <f t="shared" si="12"/>
        <v>7.5066514633219672E-3</v>
      </c>
    </row>
    <row r="856" spans="1:7">
      <c r="A856" s="42">
        <v>106.4</v>
      </c>
      <c r="B856" s="42">
        <v>108.86</v>
      </c>
      <c r="C856" s="42">
        <v>106</v>
      </c>
      <c r="D856" s="42">
        <v>107.86</v>
      </c>
      <c r="E856" s="42">
        <v>2818419</v>
      </c>
      <c r="F856" s="42" t="s">
        <v>857</v>
      </c>
      <c r="G856" s="25">
        <f t="shared" si="12"/>
        <v>-1.3536065269794118E-2</v>
      </c>
    </row>
    <row r="857" spans="1:7">
      <c r="A857" s="42">
        <v>107.86</v>
      </c>
      <c r="B857" s="42">
        <v>108</v>
      </c>
      <c r="C857" s="42">
        <v>104.99</v>
      </c>
      <c r="D857" s="42">
        <v>106.2</v>
      </c>
      <c r="E857" s="42">
        <v>2389854</v>
      </c>
      <c r="F857" s="42" t="s">
        <v>858</v>
      </c>
      <c r="G857" s="25">
        <f t="shared" si="12"/>
        <v>1.5630885122410509E-2</v>
      </c>
    </row>
    <row r="858" spans="1:7">
      <c r="A858" s="42">
        <v>106.2</v>
      </c>
      <c r="B858" s="42">
        <v>107.67</v>
      </c>
      <c r="C858" s="42">
        <v>105.96</v>
      </c>
      <c r="D858" s="42">
        <v>106</v>
      </c>
      <c r="E858" s="42">
        <v>2728270</v>
      </c>
      <c r="F858" s="42" t="s">
        <v>859</v>
      </c>
      <c r="G858" s="25">
        <f t="shared" si="12"/>
        <v>1.8867924528302993E-3</v>
      </c>
    </row>
    <row r="859" spans="1:7">
      <c r="A859" s="42">
        <v>106.63</v>
      </c>
      <c r="B859" s="42">
        <v>110.26</v>
      </c>
      <c r="C859" s="42">
        <v>106.54</v>
      </c>
      <c r="D859" s="42">
        <v>109.95</v>
      </c>
      <c r="E859" s="42">
        <v>2006487</v>
      </c>
      <c r="F859" s="42" t="s">
        <v>860</v>
      </c>
      <c r="G859" s="25">
        <f t="shared" si="12"/>
        <v>-3.0195543428831351E-2</v>
      </c>
    </row>
    <row r="860" spans="1:7">
      <c r="A860" s="42">
        <v>109.51</v>
      </c>
      <c r="B860" s="42">
        <v>109.63</v>
      </c>
      <c r="C860" s="42">
        <v>106.05</v>
      </c>
      <c r="D860" s="42">
        <v>107.17</v>
      </c>
      <c r="E860" s="42">
        <v>1590737</v>
      </c>
      <c r="F860" s="42" t="s">
        <v>861</v>
      </c>
      <c r="G860" s="25">
        <f t="shared" si="12"/>
        <v>2.1834468601287682E-2</v>
      </c>
    </row>
    <row r="861" spans="1:7">
      <c r="A861" s="42">
        <v>108.47</v>
      </c>
      <c r="B861" s="42">
        <v>108.6</v>
      </c>
      <c r="C861" s="42">
        <v>105.19</v>
      </c>
      <c r="D861" s="42">
        <v>106.16</v>
      </c>
      <c r="E861" s="42">
        <v>2328047</v>
      </c>
      <c r="F861" s="42" t="s">
        <v>862</v>
      </c>
      <c r="G861" s="25">
        <f t="shared" si="12"/>
        <v>2.1759608138658626E-2</v>
      </c>
    </row>
    <row r="862" spans="1:7">
      <c r="A862" s="42">
        <v>107.14</v>
      </c>
      <c r="B862" s="42">
        <v>108.48</v>
      </c>
      <c r="C862" s="42">
        <v>103.67010000000001</v>
      </c>
      <c r="D862" s="42">
        <v>105.44</v>
      </c>
      <c r="E862" s="42">
        <v>2878573</v>
      </c>
      <c r="F862" s="42" t="s">
        <v>863</v>
      </c>
      <c r="G862" s="25">
        <f t="shared" si="12"/>
        <v>1.6122913505311143E-2</v>
      </c>
    </row>
    <row r="863" spans="1:7">
      <c r="A863" s="42">
        <v>106.16</v>
      </c>
      <c r="B863" s="42">
        <v>112.69</v>
      </c>
      <c r="C863" s="42">
        <v>105.04</v>
      </c>
      <c r="D863" s="42">
        <v>112.41</v>
      </c>
      <c r="E863" s="42">
        <v>4429412</v>
      </c>
      <c r="F863" s="42" t="s">
        <v>864</v>
      </c>
      <c r="G863" s="25">
        <f t="shared" si="12"/>
        <v>-5.5600035584022822E-2</v>
      </c>
    </row>
    <row r="864" spans="1:7">
      <c r="A864" s="42">
        <v>110.88</v>
      </c>
      <c r="B864" s="42">
        <v>111.94</v>
      </c>
      <c r="C864" s="42">
        <v>107.84</v>
      </c>
      <c r="D864" s="42">
        <v>108.79</v>
      </c>
      <c r="E864" s="42">
        <v>2380996</v>
      </c>
      <c r="F864" s="42" t="s">
        <v>865</v>
      </c>
      <c r="G864" s="25">
        <f t="shared" si="12"/>
        <v>1.921132457027297E-2</v>
      </c>
    </row>
    <row r="865" spans="1:7">
      <c r="A865" s="42">
        <v>110.06</v>
      </c>
      <c r="B865" s="42">
        <v>113.69</v>
      </c>
      <c r="C865" s="42">
        <v>107.4601</v>
      </c>
      <c r="D865" s="42">
        <v>112.46</v>
      </c>
      <c r="E865" s="42">
        <v>4995370</v>
      </c>
      <c r="F865" s="42" t="s">
        <v>866</v>
      </c>
      <c r="G865" s="25">
        <f t="shared" si="12"/>
        <v>-2.1340921216432385E-2</v>
      </c>
    </row>
    <row r="866" spans="1:7">
      <c r="A866" s="42">
        <v>115.82</v>
      </c>
      <c r="B866" s="42">
        <v>117.01</v>
      </c>
      <c r="C866" s="42">
        <v>110.78</v>
      </c>
      <c r="D866" s="42">
        <v>113.03</v>
      </c>
      <c r="E866" s="42">
        <v>2411377</v>
      </c>
      <c r="F866" s="42" t="s">
        <v>867</v>
      </c>
      <c r="G866" s="25">
        <f t="shared" si="12"/>
        <v>2.4683712288772863E-2</v>
      </c>
    </row>
    <row r="867" spans="1:7">
      <c r="A867" s="42">
        <v>111.69</v>
      </c>
      <c r="B867" s="42">
        <v>114.28</v>
      </c>
      <c r="C867" s="42">
        <v>110.87</v>
      </c>
      <c r="D867" s="42">
        <v>113.26</v>
      </c>
      <c r="E867" s="42">
        <v>2348230</v>
      </c>
      <c r="F867" s="42" t="s">
        <v>868</v>
      </c>
      <c r="G867" s="25">
        <f t="shared" si="12"/>
        <v>-1.3861910648066411E-2</v>
      </c>
    </row>
    <row r="868" spans="1:7">
      <c r="A868" s="42">
        <v>114.33</v>
      </c>
      <c r="B868" s="42">
        <v>117.54</v>
      </c>
      <c r="C868" s="42">
        <v>113.39</v>
      </c>
      <c r="D868" s="42">
        <v>116.79</v>
      </c>
      <c r="E868" s="42">
        <v>2188618</v>
      </c>
      <c r="F868" s="42" t="s">
        <v>869</v>
      </c>
      <c r="G868" s="25">
        <f t="shared" si="12"/>
        <v>-2.1063447212946396E-2</v>
      </c>
    </row>
    <row r="869" spans="1:7">
      <c r="A869" s="42">
        <v>114.73</v>
      </c>
      <c r="B869" s="42">
        <v>116.16</v>
      </c>
      <c r="C869" s="42">
        <v>112.61</v>
      </c>
      <c r="D869" s="42">
        <v>114.3</v>
      </c>
      <c r="E869" s="42">
        <v>2061888</v>
      </c>
      <c r="F869" s="42" t="s">
        <v>870</v>
      </c>
      <c r="G869" s="25">
        <f t="shared" si="12"/>
        <v>3.7620297462817032E-3</v>
      </c>
    </row>
    <row r="870" spans="1:7">
      <c r="A870" s="42">
        <v>113.24</v>
      </c>
      <c r="B870" s="42">
        <v>113.33</v>
      </c>
      <c r="C870" s="42">
        <v>109.4556</v>
      </c>
      <c r="D870" s="42">
        <v>110.93</v>
      </c>
      <c r="E870" s="42">
        <v>1395652</v>
      </c>
      <c r="F870" s="42" t="s">
        <v>871</v>
      </c>
      <c r="G870" s="25">
        <f t="shared" si="12"/>
        <v>2.0823943027134195E-2</v>
      </c>
    </row>
    <row r="871" spans="1:7">
      <c r="A871" s="42">
        <v>112.07</v>
      </c>
      <c r="B871" s="42">
        <v>113.355</v>
      </c>
      <c r="C871" s="42">
        <v>109.72</v>
      </c>
      <c r="D871" s="42">
        <v>110.92</v>
      </c>
      <c r="E871" s="42">
        <v>1285974</v>
      </c>
      <c r="F871" s="42" t="s">
        <v>872</v>
      </c>
      <c r="G871" s="25">
        <f t="shared" si="12"/>
        <v>1.0367832672196098E-2</v>
      </c>
    </row>
    <row r="872" spans="1:7">
      <c r="A872" s="42">
        <v>109.77</v>
      </c>
      <c r="B872" s="42">
        <v>111.96</v>
      </c>
      <c r="C872" s="42">
        <v>109.46</v>
      </c>
      <c r="D872" s="42">
        <v>110.48</v>
      </c>
      <c r="E872" s="42">
        <v>1187866</v>
      </c>
      <c r="F872" s="42" t="s">
        <v>873</v>
      </c>
      <c r="G872" s="25">
        <f t="shared" si="12"/>
        <v>-6.4265025343954729E-3</v>
      </c>
    </row>
    <row r="873" spans="1:7">
      <c r="A873" s="42">
        <v>109.88</v>
      </c>
      <c r="B873" s="42">
        <v>111.6</v>
      </c>
      <c r="C873" s="42">
        <v>108.68</v>
      </c>
      <c r="D873" s="42">
        <v>111.45</v>
      </c>
      <c r="E873" s="42">
        <v>1746657</v>
      </c>
      <c r="F873" s="42" t="s">
        <v>874</v>
      </c>
      <c r="G873" s="25">
        <f t="shared" si="12"/>
        <v>-1.4087034544638888E-2</v>
      </c>
    </row>
    <row r="874" spans="1:7">
      <c r="A874" s="42">
        <v>111.44</v>
      </c>
      <c r="B874" s="42">
        <v>114.47</v>
      </c>
      <c r="C874" s="42">
        <v>111.041</v>
      </c>
      <c r="D874" s="42">
        <v>114.47</v>
      </c>
      <c r="E874" s="42">
        <v>1078972</v>
      </c>
      <c r="F874" s="42" t="s">
        <v>875</v>
      </c>
      <c r="G874" s="25">
        <f t="shared" si="12"/>
        <v>-2.6469817419411235E-2</v>
      </c>
    </row>
    <row r="875" spans="1:7">
      <c r="A875" s="42">
        <v>113.68</v>
      </c>
      <c r="B875" s="42">
        <v>114.76</v>
      </c>
      <c r="C875" s="42">
        <v>111.6</v>
      </c>
      <c r="D875" s="42">
        <v>113.78</v>
      </c>
      <c r="E875" s="42">
        <v>1742344</v>
      </c>
      <c r="F875" s="42" t="s">
        <v>876</v>
      </c>
      <c r="G875" s="25">
        <f t="shared" si="12"/>
        <v>-8.7888908419753164E-4</v>
      </c>
    </row>
    <row r="876" spans="1:7">
      <c r="A876" s="42">
        <v>114.76</v>
      </c>
      <c r="B876" s="42">
        <v>116.13</v>
      </c>
      <c r="C876" s="42">
        <v>112.06</v>
      </c>
      <c r="D876" s="42">
        <v>113.87</v>
      </c>
      <c r="E876" s="42">
        <v>1948501</v>
      </c>
      <c r="F876" s="42" t="s">
        <v>877</v>
      </c>
      <c r="G876" s="25">
        <f t="shared" si="12"/>
        <v>7.8159304470009072E-3</v>
      </c>
    </row>
    <row r="877" spans="1:7">
      <c r="A877" s="42">
        <v>113.15</v>
      </c>
      <c r="B877" s="42">
        <v>114.43</v>
      </c>
      <c r="C877" s="42">
        <v>110.21</v>
      </c>
      <c r="D877" s="42">
        <v>111.99</v>
      </c>
      <c r="E877" s="42">
        <v>2247323</v>
      </c>
      <c r="F877" s="42" t="s">
        <v>878</v>
      </c>
      <c r="G877" s="25">
        <f t="shared" si="12"/>
        <v>1.0358067684614891E-2</v>
      </c>
    </row>
    <row r="878" spans="1:7">
      <c r="A878" s="42">
        <v>112.23</v>
      </c>
      <c r="B878" s="42">
        <v>114.29</v>
      </c>
      <c r="C878" s="42">
        <v>110.63</v>
      </c>
      <c r="D878" s="42">
        <v>114.14</v>
      </c>
      <c r="E878" s="42">
        <v>2093632</v>
      </c>
      <c r="F878" s="42" t="s">
        <v>879</v>
      </c>
      <c r="G878" s="25">
        <f t="shared" si="12"/>
        <v>-1.6733835640441508E-2</v>
      </c>
    </row>
    <row r="879" spans="1:7">
      <c r="A879" s="42">
        <v>114.63</v>
      </c>
      <c r="B879" s="42">
        <v>115.41</v>
      </c>
      <c r="C879" s="42">
        <v>113.4</v>
      </c>
      <c r="D879" s="42">
        <v>114.11</v>
      </c>
      <c r="E879" s="42">
        <v>6255831</v>
      </c>
      <c r="F879" s="42" t="s">
        <v>880</v>
      </c>
      <c r="G879" s="25">
        <f t="shared" si="12"/>
        <v>4.5570063973359165E-3</v>
      </c>
    </row>
    <row r="880" spans="1:7">
      <c r="A880" s="42">
        <v>116.24</v>
      </c>
      <c r="B880" s="42">
        <v>119.9</v>
      </c>
      <c r="C880" s="42">
        <v>115.77500000000001</v>
      </c>
      <c r="D880" s="42">
        <v>119.57</v>
      </c>
      <c r="E880" s="42">
        <v>2651379</v>
      </c>
      <c r="F880" s="42" t="s">
        <v>881</v>
      </c>
      <c r="G880" s="25">
        <f t="shared" si="12"/>
        <v>-2.7849795099105124E-2</v>
      </c>
    </row>
    <row r="881" spans="1:7">
      <c r="A881" s="42">
        <v>121.49</v>
      </c>
      <c r="B881" s="42">
        <v>124.11</v>
      </c>
      <c r="C881" s="42">
        <v>118.85</v>
      </c>
      <c r="D881" s="42">
        <v>119.72</v>
      </c>
      <c r="E881" s="42">
        <v>3270061</v>
      </c>
      <c r="F881" s="42" t="s">
        <v>882</v>
      </c>
      <c r="G881" s="25">
        <f t="shared" si="12"/>
        <v>1.4784497160040155E-2</v>
      </c>
    </row>
    <row r="882" spans="1:7">
      <c r="A882" s="42">
        <v>119.56</v>
      </c>
      <c r="B882" s="42">
        <v>121.54</v>
      </c>
      <c r="C882" s="42">
        <v>118.81</v>
      </c>
      <c r="D882" s="42">
        <v>120.5</v>
      </c>
      <c r="E882" s="42">
        <v>2935385</v>
      </c>
      <c r="F882" s="42" t="s">
        <v>883</v>
      </c>
      <c r="G882" s="25">
        <f t="shared" si="12"/>
        <v>-7.8008298755186667E-3</v>
      </c>
    </row>
    <row r="883" spans="1:7">
      <c r="A883" s="42">
        <v>116.78</v>
      </c>
      <c r="B883" s="42">
        <v>118.38</v>
      </c>
      <c r="C883" s="42">
        <v>115.17</v>
      </c>
      <c r="D883" s="42">
        <v>118</v>
      </c>
      <c r="E883" s="42">
        <v>2609401</v>
      </c>
      <c r="F883" s="42" t="s">
        <v>884</v>
      </c>
      <c r="G883" s="25">
        <f t="shared" si="12"/>
        <v>-1.0338983050847461E-2</v>
      </c>
    </row>
    <row r="884" spans="1:7">
      <c r="A884" s="42">
        <v>116.46</v>
      </c>
      <c r="B884" s="42">
        <v>122.33</v>
      </c>
      <c r="C884" s="42">
        <v>116.01</v>
      </c>
      <c r="D884" s="42">
        <v>121.65</v>
      </c>
      <c r="E884" s="42">
        <v>3274317</v>
      </c>
      <c r="F884" s="42" t="s">
        <v>885</v>
      </c>
      <c r="G884" s="25">
        <f t="shared" si="12"/>
        <v>-4.2663378545006236E-2</v>
      </c>
    </row>
    <row r="885" spans="1:7">
      <c r="A885" s="42">
        <v>122.67</v>
      </c>
      <c r="B885" s="42">
        <v>125.55</v>
      </c>
      <c r="C885" s="42">
        <v>119.16</v>
      </c>
      <c r="D885" s="42">
        <v>123.7</v>
      </c>
      <c r="E885" s="42">
        <v>5622846</v>
      </c>
      <c r="F885" s="42" t="s">
        <v>886</v>
      </c>
      <c r="G885" s="25">
        <f t="shared" si="12"/>
        <v>-8.3265966046888185E-3</v>
      </c>
    </row>
    <row r="886" spans="1:7">
      <c r="A886" s="42">
        <v>117.91</v>
      </c>
      <c r="B886" s="42">
        <v>119.19</v>
      </c>
      <c r="C886" s="42">
        <v>116.31</v>
      </c>
      <c r="D886" s="42">
        <v>116.31</v>
      </c>
      <c r="E886" s="42">
        <v>2169900</v>
      </c>
      <c r="F886" s="42" t="s">
        <v>887</v>
      </c>
      <c r="G886" s="25">
        <f t="shared" si="12"/>
        <v>1.3756340813343648E-2</v>
      </c>
    </row>
    <row r="887" spans="1:7">
      <c r="A887" s="42">
        <v>116.83</v>
      </c>
      <c r="B887" s="42">
        <v>119.13</v>
      </c>
      <c r="C887" s="42">
        <v>115.08</v>
      </c>
      <c r="D887" s="42">
        <v>115.82</v>
      </c>
      <c r="E887" s="42">
        <v>2454057</v>
      </c>
      <c r="F887" s="42" t="s">
        <v>888</v>
      </c>
      <c r="G887" s="25">
        <f t="shared" si="12"/>
        <v>8.7204282507340469E-3</v>
      </c>
    </row>
    <row r="888" spans="1:7">
      <c r="A888" s="42">
        <v>116.56</v>
      </c>
      <c r="B888" s="42">
        <v>119.88</v>
      </c>
      <c r="C888" s="42">
        <v>115.5</v>
      </c>
      <c r="D888" s="42">
        <v>117.6</v>
      </c>
      <c r="E888" s="42">
        <v>2387507</v>
      </c>
      <c r="F888" s="42" t="s">
        <v>889</v>
      </c>
      <c r="G888" s="25">
        <f t="shared" si="12"/>
        <v>-8.8435374149659074E-3</v>
      </c>
    </row>
    <row r="889" spans="1:7">
      <c r="A889" s="42">
        <v>118.11</v>
      </c>
      <c r="B889" s="42">
        <v>118.51</v>
      </c>
      <c r="C889" s="42">
        <v>115.30500000000001</v>
      </c>
      <c r="D889" s="42">
        <v>116.28</v>
      </c>
      <c r="E889" s="42">
        <v>1883653</v>
      </c>
      <c r="F889" s="42" t="s">
        <v>890</v>
      </c>
      <c r="G889" s="25">
        <f t="shared" si="12"/>
        <v>1.573787409700711E-2</v>
      </c>
    </row>
    <row r="890" spans="1:7">
      <c r="A890" s="42">
        <v>118.03</v>
      </c>
      <c r="B890" s="42">
        <v>119.98</v>
      </c>
      <c r="C890" s="42">
        <v>116.25</v>
      </c>
      <c r="D890" s="42">
        <v>116.39</v>
      </c>
      <c r="E890" s="42">
        <v>2055590</v>
      </c>
      <c r="F890" s="42" t="s">
        <v>891</v>
      </c>
      <c r="G890" s="25">
        <f t="shared" si="12"/>
        <v>1.4090557608041898E-2</v>
      </c>
    </row>
    <row r="891" spans="1:7">
      <c r="A891" s="42">
        <v>116.28</v>
      </c>
      <c r="B891" s="42">
        <v>116.36</v>
      </c>
      <c r="C891" s="42">
        <v>110.285</v>
      </c>
      <c r="D891" s="42">
        <v>110.67</v>
      </c>
      <c r="E891" s="42">
        <v>4117909</v>
      </c>
      <c r="F891" s="42" t="s">
        <v>892</v>
      </c>
      <c r="G891" s="25">
        <f t="shared" si="12"/>
        <v>5.0691244239631228E-2</v>
      </c>
    </row>
    <row r="892" spans="1:7">
      <c r="A892" s="42">
        <v>110.39</v>
      </c>
      <c r="B892" s="42">
        <v>113.71</v>
      </c>
      <c r="C892" s="42">
        <v>110.134</v>
      </c>
      <c r="D892" s="42">
        <v>112.3</v>
      </c>
      <c r="E892" s="42">
        <v>2659030</v>
      </c>
      <c r="F892" s="42" t="s">
        <v>893</v>
      </c>
      <c r="G892" s="25">
        <f t="shared" si="12"/>
        <v>-1.7008014247551162E-2</v>
      </c>
    </row>
    <row r="893" spans="1:7">
      <c r="A893" s="42">
        <v>112.57</v>
      </c>
      <c r="B893" s="42">
        <v>114.75</v>
      </c>
      <c r="C893" s="42">
        <v>111.62</v>
      </c>
      <c r="D893" s="42">
        <v>111.62</v>
      </c>
      <c r="E893" s="42">
        <v>3268887</v>
      </c>
      <c r="F893" s="42" t="s">
        <v>894</v>
      </c>
      <c r="G893" s="25">
        <f t="shared" si="12"/>
        <v>8.5110195305500014E-3</v>
      </c>
    </row>
    <row r="894" spans="1:7">
      <c r="A894" s="42">
        <v>112</v>
      </c>
      <c r="B894" s="42">
        <v>113.02</v>
      </c>
      <c r="C894" s="42">
        <v>110.65</v>
      </c>
      <c r="D894" s="42">
        <v>112.91</v>
      </c>
      <c r="E894" s="42">
        <v>1182919</v>
      </c>
      <c r="F894" s="42" t="s">
        <v>895</v>
      </c>
      <c r="G894" s="25">
        <f t="shared" si="12"/>
        <v>-8.0595164290142574E-3</v>
      </c>
    </row>
    <row r="895" spans="1:7">
      <c r="A895" s="42">
        <v>112.92</v>
      </c>
      <c r="B895" s="42">
        <v>113.33499999999999</v>
      </c>
      <c r="C895" s="42">
        <v>110.6</v>
      </c>
      <c r="D895" s="42">
        <v>111.67</v>
      </c>
      <c r="E895" s="42">
        <v>3529182</v>
      </c>
      <c r="F895" s="42" t="s">
        <v>896</v>
      </c>
      <c r="G895" s="25">
        <f t="shared" si="12"/>
        <v>1.1193695710575824E-2</v>
      </c>
    </row>
    <row r="896" spans="1:7">
      <c r="A896" s="42">
        <v>111.01</v>
      </c>
      <c r="B896" s="42">
        <v>113.88</v>
      </c>
      <c r="C896" s="42">
        <v>110.31</v>
      </c>
      <c r="D896" s="42">
        <v>113.67</v>
      </c>
      <c r="E896" s="42">
        <v>2654332</v>
      </c>
      <c r="F896" s="42" t="s">
        <v>897</v>
      </c>
      <c r="G896" s="25">
        <f t="shared" si="12"/>
        <v>-2.3401073282308449E-2</v>
      </c>
    </row>
    <row r="897" spans="1:7">
      <c r="A897" s="42">
        <v>112.66</v>
      </c>
      <c r="B897" s="42">
        <v>113.55</v>
      </c>
      <c r="C897" s="42">
        <v>112.12</v>
      </c>
      <c r="D897" s="42">
        <v>112.62</v>
      </c>
      <c r="E897" s="42">
        <v>1893740</v>
      </c>
      <c r="F897" s="42" t="s">
        <v>898</v>
      </c>
      <c r="G897" s="25">
        <f t="shared" si="12"/>
        <v>3.5517670040841054E-4</v>
      </c>
    </row>
    <row r="898" spans="1:7">
      <c r="A898" s="42">
        <v>113.72</v>
      </c>
      <c r="B898" s="42">
        <v>115.36</v>
      </c>
      <c r="C898" s="42">
        <v>112.61499999999999</v>
      </c>
      <c r="D898" s="42">
        <v>114.6</v>
      </c>
      <c r="E898" s="42">
        <v>1809818</v>
      </c>
      <c r="F898" s="42" t="s">
        <v>899</v>
      </c>
      <c r="G898" s="25">
        <f t="shared" si="12"/>
        <v>-7.6788830715531775E-3</v>
      </c>
    </row>
    <row r="899" spans="1:7">
      <c r="A899" s="42">
        <v>112.64</v>
      </c>
      <c r="B899" s="42">
        <v>114.76</v>
      </c>
      <c r="C899" s="42">
        <v>111.73</v>
      </c>
      <c r="D899" s="42">
        <v>112.67</v>
      </c>
      <c r="E899" s="42">
        <v>2162568</v>
      </c>
      <c r="F899" s="42" t="s">
        <v>900</v>
      </c>
      <c r="G899" s="25">
        <f t="shared" ref="G899:G962" si="13">A899/D899-1</f>
        <v>-2.6626431170673204E-4</v>
      </c>
    </row>
    <row r="900" spans="1:7">
      <c r="A900" s="42">
        <v>114.89</v>
      </c>
      <c r="B900" s="42">
        <v>117</v>
      </c>
      <c r="C900" s="42">
        <v>114.43</v>
      </c>
      <c r="D900" s="42">
        <v>116.84</v>
      </c>
      <c r="E900" s="42">
        <v>1536145</v>
      </c>
      <c r="F900" s="42" t="s">
        <v>901</v>
      </c>
      <c r="G900" s="25">
        <f t="shared" si="13"/>
        <v>-1.6689489900718946E-2</v>
      </c>
    </row>
    <row r="901" spans="1:7">
      <c r="A901" s="42">
        <v>116.31</v>
      </c>
      <c r="B901" s="42">
        <v>116.99</v>
      </c>
      <c r="C901" s="42">
        <v>113.7</v>
      </c>
      <c r="D901" s="42">
        <v>115.1</v>
      </c>
      <c r="E901" s="42">
        <v>2330996</v>
      </c>
      <c r="F901" s="42" t="s">
        <v>902</v>
      </c>
      <c r="G901" s="25">
        <f t="shared" si="13"/>
        <v>1.0512597741094698E-2</v>
      </c>
    </row>
    <row r="902" spans="1:7">
      <c r="A902" s="42">
        <v>112.99</v>
      </c>
      <c r="B902" s="42">
        <v>115.75</v>
      </c>
      <c r="C902" s="42">
        <v>112.47</v>
      </c>
      <c r="D902" s="42">
        <v>115.75</v>
      </c>
      <c r="E902" s="42">
        <v>3395828</v>
      </c>
      <c r="F902" s="42" t="s">
        <v>903</v>
      </c>
      <c r="G902" s="25">
        <f t="shared" si="13"/>
        <v>-2.3844492440604825E-2</v>
      </c>
    </row>
    <row r="903" spans="1:7">
      <c r="A903" s="42">
        <v>115.96</v>
      </c>
      <c r="B903" s="42">
        <v>122.28</v>
      </c>
      <c r="C903" s="42">
        <v>114.59</v>
      </c>
      <c r="D903" s="42">
        <v>119.12</v>
      </c>
      <c r="E903" s="42">
        <v>3461462</v>
      </c>
      <c r="F903" s="42" t="s">
        <v>904</v>
      </c>
      <c r="G903" s="25">
        <f t="shared" si="13"/>
        <v>-2.6527871054399021E-2</v>
      </c>
    </row>
    <row r="904" spans="1:7">
      <c r="A904" s="42">
        <v>119.84</v>
      </c>
      <c r="B904" s="42">
        <v>120.75</v>
      </c>
      <c r="C904" s="42">
        <v>117.04</v>
      </c>
      <c r="D904" s="42">
        <v>118.99</v>
      </c>
      <c r="E904" s="42">
        <v>3473351</v>
      </c>
      <c r="F904" s="42" t="s">
        <v>905</v>
      </c>
      <c r="G904" s="25">
        <f t="shared" si="13"/>
        <v>7.1434574333977263E-3</v>
      </c>
    </row>
    <row r="905" spans="1:7">
      <c r="A905" s="42">
        <v>113.15</v>
      </c>
      <c r="B905" s="42">
        <v>115.4</v>
      </c>
      <c r="C905" s="42">
        <v>112.51</v>
      </c>
      <c r="D905" s="42">
        <v>114.12</v>
      </c>
      <c r="E905" s="42">
        <v>1711843</v>
      </c>
      <c r="F905" s="42" t="s">
        <v>906</v>
      </c>
      <c r="G905" s="25">
        <f t="shared" si="13"/>
        <v>-8.4998247458815124E-3</v>
      </c>
    </row>
    <row r="906" spans="1:7">
      <c r="A906" s="42">
        <v>115.35</v>
      </c>
      <c r="B906" s="42">
        <v>117.76</v>
      </c>
      <c r="C906" s="42">
        <v>112.22</v>
      </c>
      <c r="D906" s="42">
        <v>115.33</v>
      </c>
      <c r="E906" s="42">
        <v>1678476</v>
      </c>
      <c r="F906" s="42" t="s">
        <v>907</v>
      </c>
      <c r="G906" s="25">
        <f t="shared" si="13"/>
        <v>1.7341541663040694E-4</v>
      </c>
    </row>
    <row r="907" spans="1:7">
      <c r="A907" s="42">
        <v>115.33</v>
      </c>
      <c r="B907" s="42">
        <v>116.63</v>
      </c>
      <c r="C907" s="42">
        <v>113.41</v>
      </c>
      <c r="D907" s="42">
        <v>115.94</v>
      </c>
      <c r="E907" s="42">
        <v>1927298</v>
      </c>
      <c r="F907" s="42" t="s">
        <v>908</v>
      </c>
      <c r="G907" s="25">
        <f t="shared" si="13"/>
        <v>-5.2613420734862748E-3</v>
      </c>
    </row>
    <row r="908" spans="1:7">
      <c r="A908" s="42">
        <v>114.88</v>
      </c>
      <c r="B908" s="42">
        <v>116</v>
      </c>
      <c r="C908" s="42">
        <v>111.59</v>
      </c>
      <c r="D908" s="42">
        <v>114</v>
      </c>
      <c r="E908" s="42">
        <v>3208876</v>
      </c>
      <c r="F908" s="42" t="s">
        <v>909</v>
      </c>
      <c r="G908" s="25">
        <f t="shared" si="13"/>
        <v>7.7192982456140147E-3</v>
      </c>
    </row>
    <row r="909" spans="1:7">
      <c r="A909" s="42">
        <v>112.6</v>
      </c>
      <c r="B909" s="42">
        <v>117.33</v>
      </c>
      <c r="C909" s="42">
        <v>112.41</v>
      </c>
      <c r="D909" s="42">
        <v>114.79</v>
      </c>
      <c r="E909" s="42">
        <v>3183409</v>
      </c>
      <c r="F909" s="42" t="s">
        <v>910</v>
      </c>
      <c r="G909" s="25">
        <f t="shared" si="13"/>
        <v>-1.90783169265617E-2</v>
      </c>
    </row>
    <row r="910" spans="1:7">
      <c r="A910" s="42">
        <v>115.95</v>
      </c>
      <c r="B910" s="42">
        <v>121.41</v>
      </c>
      <c r="C910" s="42">
        <v>115.48</v>
      </c>
      <c r="D910" s="42">
        <v>118.33</v>
      </c>
      <c r="E910" s="42">
        <v>3223401</v>
      </c>
      <c r="F910" s="42" t="s">
        <v>911</v>
      </c>
      <c r="G910" s="25">
        <f t="shared" si="13"/>
        <v>-2.0113242626552785E-2</v>
      </c>
    </row>
    <row r="911" spans="1:7">
      <c r="A911" s="42">
        <v>119.04</v>
      </c>
      <c r="B911" s="42">
        <v>123.3604</v>
      </c>
      <c r="C911" s="42">
        <v>118.45</v>
      </c>
      <c r="D911" s="42">
        <v>121.58</v>
      </c>
      <c r="E911" s="42">
        <v>2945353</v>
      </c>
      <c r="F911" s="42" t="s">
        <v>912</v>
      </c>
      <c r="G911" s="25">
        <f t="shared" si="13"/>
        <v>-2.0891594012172998E-2</v>
      </c>
    </row>
    <row r="912" spans="1:7">
      <c r="A912" s="42">
        <v>120.78</v>
      </c>
      <c r="B912" s="42">
        <v>122.02</v>
      </c>
      <c r="C912" s="42">
        <v>116.41030000000001</v>
      </c>
      <c r="D912" s="42">
        <v>120</v>
      </c>
      <c r="E912" s="42">
        <v>4048945</v>
      </c>
      <c r="F912" s="42" t="s">
        <v>913</v>
      </c>
      <c r="G912" s="25">
        <f t="shared" si="13"/>
        <v>6.4999999999999503E-3</v>
      </c>
    </row>
    <row r="913" spans="1:7">
      <c r="A913" s="42">
        <v>120.87</v>
      </c>
      <c r="B913" s="42">
        <v>121.88</v>
      </c>
      <c r="C913" s="42">
        <v>109.89</v>
      </c>
      <c r="D913" s="42">
        <v>113.72</v>
      </c>
      <c r="E913" s="42">
        <v>9279797</v>
      </c>
      <c r="F913" s="42" t="s">
        <v>914</v>
      </c>
      <c r="G913" s="25">
        <f t="shared" si="13"/>
        <v>6.2873724938445452E-2</v>
      </c>
    </row>
    <row r="914" spans="1:7">
      <c r="A914" s="42">
        <v>101.25</v>
      </c>
      <c r="B914" s="42">
        <v>103.25</v>
      </c>
      <c r="C914" s="42">
        <v>99.33</v>
      </c>
      <c r="D914" s="42">
        <v>102.18</v>
      </c>
      <c r="E914" s="42">
        <v>3774137</v>
      </c>
      <c r="F914" s="42" t="s">
        <v>915</v>
      </c>
      <c r="G914" s="25">
        <f t="shared" si="13"/>
        <v>-9.1015854374633109E-3</v>
      </c>
    </row>
    <row r="915" spans="1:7">
      <c r="A915" s="42">
        <v>102.61</v>
      </c>
      <c r="B915" s="42">
        <v>104.7961</v>
      </c>
      <c r="C915" s="42">
        <v>101.255</v>
      </c>
      <c r="D915" s="42">
        <v>101.54</v>
      </c>
      <c r="E915" s="42">
        <v>2545787</v>
      </c>
      <c r="F915" s="42" t="s">
        <v>916</v>
      </c>
      <c r="G915" s="25">
        <f t="shared" si="13"/>
        <v>1.0537719125467637E-2</v>
      </c>
    </row>
    <row r="916" spans="1:7">
      <c r="A916" s="42">
        <v>100.95</v>
      </c>
      <c r="B916" s="42">
        <v>102.77</v>
      </c>
      <c r="C916" s="42">
        <v>99.305000000000007</v>
      </c>
      <c r="D916" s="42">
        <v>99.305000000000007</v>
      </c>
      <c r="E916" s="42">
        <v>2197321</v>
      </c>
      <c r="F916" s="42" t="s">
        <v>917</v>
      </c>
      <c r="G916" s="25">
        <f t="shared" si="13"/>
        <v>1.6565127637077737E-2</v>
      </c>
    </row>
    <row r="917" spans="1:7">
      <c r="A917" s="42">
        <v>98.97</v>
      </c>
      <c r="B917" s="42">
        <v>99.27</v>
      </c>
      <c r="C917" s="42">
        <v>94.85</v>
      </c>
      <c r="D917" s="42">
        <v>96.325000000000003</v>
      </c>
      <c r="E917" s="42">
        <v>1892826</v>
      </c>
      <c r="F917" s="42" t="s">
        <v>918</v>
      </c>
      <c r="G917" s="25">
        <f t="shared" si="13"/>
        <v>2.7459122761484434E-2</v>
      </c>
    </row>
    <row r="918" spans="1:7">
      <c r="A918" s="42">
        <v>95.68</v>
      </c>
      <c r="B918" s="42">
        <v>96.74</v>
      </c>
      <c r="C918" s="42">
        <v>91.62</v>
      </c>
      <c r="D918" s="42">
        <v>94.18</v>
      </c>
      <c r="E918" s="42">
        <v>4012621</v>
      </c>
      <c r="F918" s="42" t="s">
        <v>919</v>
      </c>
      <c r="G918" s="25">
        <f t="shared" si="13"/>
        <v>1.592694839668729E-2</v>
      </c>
    </row>
    <row r="919" spans="1:7">
      <c r="A919" s="42">
        <v>94.36</v>
      </c>
      <c r="B919" s="42">
        <v>97.45</v>
      </c>
      <c r="C919" s="42">
        <v>93.79</v>
      </c>
      <c r="D919" s="42">
        <v>95.93</v>
      </c>
      <c r="E919" s="42">
        <v>2688362</v>
      </c>
      <c r="F919" s="42" t="s">
        <v>920</v>
      </c>
      <c r="G919" s="25">
        <f t="shared" si="13"/>
        <v>-1.6366100281455354E-2</v>
      </c>
    </row>
    <row r="920" spans="1:7">
      <c r="A920" s="42">
        <v>96.84</v>
      </c>
      <c r="B920" s="42">
        <v>97.1</v>
      </c>
      <c r="C920" s="42">
        <v>94.59</v>
      </c>
      <c r="D920" s="42">
        <v>95.69</v>
      </c>
      <c r="E920" s="42">
        <v>2480946</v>
      </c>
      <c r="F920" s="42" t="s">
        <v>921</v>
      </c>
      <c r="G920" s="25">
        <f t="shared" si="13"/>
        <v>1.20179747100011E-2</v>
      </c>
    </row>
    <row r="921" spans="1:7">
      <c r="A921" s="42">
        <v>96.93</v>
      </c>
      <c r="B921" s="42">
        <v>103.13</v>
      </c>
      <c r="C921" s="42">
        <v>96.06</v>
      </c>
      <c r="D921" s="42">
        <v>102.31</v>
      </c>
      <c r="E921" s="42">
        <v>3681489</v>
      </c>
      <c r="F921" s="42" t="s">
        <v>922</v>
      </c>
      <c r="G921" s="25">
        <f t="shared" si="13"/>
        <v>-5.2585280031277493E-2</v>
      </c>
    </row>
    <row r="922" spans="1:7">
      <c r="A922" s="42">
        <v>99.73</v>
      </c>
      <c r="B922" s="42">
        <v>101.6</v>
      </c>
      <c r="C922" s="42">
        <v>98.24</v>
      </c>
      <c r="D922" s="42">
        <v>99.41</v>
      </c>
      <c r="E922" s="42">
        <v>2192973</v>
      </c>
      <c r="F922" s="42" t="s">
        <v>923</v>
      </c>
      <c r="G922" s="25">
        <f t="shared" si="13"/>
        <v>3.2189920531133787E-3</v>
      </c>
    </row>
    <row r="923" spans="1:7">
      <c r="A923" s="42">
        <v>97.41</v>
      </c>
      <c r="B923" s="42">
        <v>103.97</v>
      </c>
      <c r="C923" s="42">
        <v>97.26</v>
      </c>
      <c r="D923" s="42">
        <v>102.81</v>
      </c>
      <c r="E923" s="42">
        <v>2119798</v>
      </c>
      <c r="F923" s="42" t="s">
        <v>924</v>
      </c>
      <c r="G923" s="25">
        <f t="shared" si="13"/>
        <v>-5.2524073533703031E-2</v>
      </c>
    </row>
    <row r="924" spans="1:7">
      <c r="A924" s="42">
        <v>101.72</v>
      </c>
      <c r="B924" s="42">
        <v>103.41</v>
      </c>
      <c r="C924" s="42">
        <v>94.65</v>
      </c>
      <c r="D924" s="42">
        <v>95.41</v>
      </c>
      <c r="E924" s="42">
        <v>3077047</v>
      </c>
      <c r="F924" s="42" t="s">
        <v>925</v>
      </c>
      <c r="G924" s="25">
        <f t="shared" si="13"/>
        <v>6.6135625196520387E-2</v>
      </c>
    </row>
    <row r="925" spans="1:7">
      <c r="A925" s="42">
        <v>98.32</v>
      </c>
      <c r="B925" s="42">
        <v>100.92</v>
      </c>
      <c r="C925" s="42">
        <v>97.54</v>
      </c>
      <c r="D925" s="42">
        <v>100.68</v>
      </c>
      <c r="E925" s="42">
        <v>2083528</v>
      </c>
      <c r="F925" s="42" t="s">
        <v>926</v>
      </c>
      <c r="G925" s="25">
        <f t="shared" si="13"/>
        <v>-2.3440603893524203E-2</v>
      </c>
    </row>
    <row r="926" spans="1:7">
      <c r="A926" s="42">
        <v>99.68</v>
      </c>
      <c r="B926" s="42">
        <v>101.73</v>
      </c>
      <c r="C926" s="42">
        <v>97.33</v>
      </c>
      <c r="D926" s="42">
        <v>100.45</v>
      </c>
      <c r="E926" s="42">
        <v>2704419</v>
      </c>
      <c r="F926" s="42" t="s">
        <v>927</v>
      </c>
      <c r="G926" s="25">
        <f t="shared" si="13"/>
        <v>-7.6655052264807955E-3</v>
      </c>
    </row>
    <row r="927" spans="1:7">
      <c r="A927" s="42">
        <v>100.22</v>
      </c>
      <c r="B927" s="42">
        <v>102.77</v>
      </c>
      <c r="C927" s="42">
        <v>99.66</v>
      </c>
      <c r="D927" s="42">
        <v>101.905</v>
      </c>
      <c r="E927" s="42">
        <v>3158805</v>
      </c>
      <c r="F927" s="42" t="s">
        <v>928</v>
      </c>
      <c r="G927" s="25">
        <f t="shared" si="13"/>
        <v>-1.6535008095775461E-2</v>
      </c>
    </row>
    <row r="928" spans="1:7">
      <c r="A928" s="42">
        <v>102.14</v>
      </c>
      <c r="B928" s="42">
        <v>105.33</v>
      </c>
      <c r="C928" s="42">
        <v>100.11</v>
      </c>
      <c r="D928" s="42">
        <v>103.63</v>
      </c>
      <c r="E928" s="42">
        <v>9426003</v>
      </c>
      <c r="F928" s="42" t="s">
        <v>929</v>
      </c>
      <c r="G928" s="25">
        <f t="shared" si="13"/>
        <v>-1.4378075846762428E-2</v>
      </c>
    </row>
    <row r="929" spans="1:7">
      <c r="A929" s="42">
        <v>95.21</v>
      </c>
      <c r="B929" s="42">
        <v>95.31</v>
      </c>
      <c r="C929" s="42">
        <v>90.38</v>
      </c>
      <c r="D929" s="42">
        <v>91.18</v>
      </c>
      <c r="E929" s="42">
        <v>4233943</v>
      </c>
      <c r="F929" s="42" t="s">
        <v>930</v>
      </c>
      <c r="G929" s="25">
        <f t="shared" si="13"/>
        <v>4.4198289098486443E-2</v>
      </c>
    </row>
    <row r="930" spans="1:7">
      <c r="A930" s="42">
        <v>91.08</v>
      </c>
      <c r="B930" s="42">
        <v>92.13</v>
      </c>
      <c r="C930" s="42">
        <v>89.31</v>
      </c>
      <c r="D930" s="42">
        <v>89.31</v>
      </c>
      <c r="E930" s="42">
        <v>2334004</v>
      </c>
      <c r="F930" s="42" t="s">
        <v>931</v>
      </c>
      <c r="G930" s="25">
        <f t="shared" si="13"/>
        <v>1.9818609338259963E-2</v>
      </c>
    </row>
    <row r="931" spans="1:7">
      <c r="A931" s="42">
        <v>90.97</v>
      </c>
      <c r="B931" s="42">
        <v>91.57</v>
      </c>
      <c r="C931" s="42">
        <v>87.63</v>
      </c>
      <c r="D931" s="42">
        <v>87.64</v>
      </c>
      <c r="E931" s="42">
        <v>3054854</v>
      </c>
      <c r="F931" s="42" t="s">
        <v>932</v>
      </c>
      <c r="G931" s="25">
        <f t="shared" si="13"/>
        <v>3.7996348699224081E-2</v>
      </c>
    </row>
    <row r="932" spans="1:7">
      <c r="A932" s="42">
        <v>84.98</v>
      </c>
      <c r="B932" s="42">
        <v>85.54</v>
      </c>
      <c r="C932" s="42">
        <v>81.06</v>
      </c>
      <c r="D932" s="42">
        <v>81.47</v>
      </c>
      <c r="E932" s="42">
        <v>2589325</v>
      </c>
      <c r="F932" s="42" t="s">
        <v>933</v>
      </c>
      <c r="G932" s="25">
        <f t="shared" si="13"/>
        <v>4.308334356204746E-2</v>
      </c>
    </row>
    <row r="933" spans="1:7">
      <c r="A933" s="42">
        <v>80.540000000000006</v>
      </c>
      <c r="B933" s="42">
        <v>83.98</v>
      </c>
      <c r="C933" s="42">
        <v>80.36</v>
      </c>
      <c r="D933" s="42">
        <v>81.790000000000006</v>
      </c>
      <c r="E933" s="42">
        <v>2032106</v>
      </c>
      <c r="F933" s="42" t="s">
        <v>934</v>
      </c>
      <c r="G933" s="25">
        <f t="shared" si="13"/>
        <v>-1.5283041936667074E-2</v>
      </c>
    </row>
    <row r="934" spans="1:7">
      <c r="A934" s="42">
        <v>82.1</v>
      </c>
      <c r="B934" s="42">
        <v>82.9</v>
      </c>
      <c r="C934" s="42">
        <v>80.61</v>
      </c>
      <c r="D934" s="42">
        <v>82.31</v>
      </c>
      <c r="E934" s="42">
        <v>1773277</v>
      </c>
      <c r="F934" s="42" t="s">
        <v>935</v>
      </c>
      <c r="G934" s="25">
        <f t="shared" si="13"/>
        <v>-2.5513303365327644E-3</v>
      </c>
    </row>
    <row r="935" spans="1:7">
      <c r="A935" s="42">
        <v>83.33</v>
      </c>
      <c r="B935" s="42">
        <v>83.94</v>
      </c>
      <c r="C935" s="42">
        <v>80.400000000000006</v>
      </c>
      <c r="D935" s="42">
        <v>80.66</v>
      </c>
      <c r="E935" s="42">
        <v>2800773</v>
      </c>
      <c r="F935" s="42" t="s">
        <v>936</v>
      </c>
      <c r="G935" s="25">
        <f t="shared" si="13"/>
        <v>3.3101909248698158E-2</v>
      </c>
    </row>
    <row r="936" spans="1:7">
      <c r="A936" s="42">
        <v>79.64</v>
      </c>
      <c r="B936" s="42">
        <v>81.739999999999995</v>
      </c>
      <c r="C936" s="42">
        <v>78.94</v>
      </c>
      <c r="D936" s="42">
        <v>81.540000000000006</v>
      </c>
      <c r="E936" s="42">
        <v>2782603</v>
      </c>
      <c r="F936" s="42" t="s">
        <v>937</v>
      </c>
      <c r="G936" s="25">
        <f t="shared" si="13"/>
        <v>-2.3301447142506815E-2</v>
      </c>
    </row>
    <row r="937" spans="1:7">
      <c r="A937" s="42">
        <v>80.349999999999994</v>
      </c>
      <c r="B937" s="42">
        <v>81.739999999999995</v>
      </c>
      <c r="C937" s="42">
        <v>79.12</v>
      </c>
      <c r="D937" s="42">
        <v>80.64</v>
      </c>
      <c r="E937" s="42">
        <v>1994961</v>
      </c>
      <c r="F937" s="42" t="s">
        <v>938</v>
      </c>
      <c r="G937" s="25">
        <f t="shared" si="13"/>
        <v>-3.5962301587302292E-3</v>
      </c>
    </row>
    <row r="938" spans="1:7">
      <c r="A938" s="42">
        <v>80.66</v>
      </c>
      <c r="B938" s="42">
        <v>80.78</v>
      </c>
      <c r="C938" s="42">
        <v>79.03</v>
      </c>
      <c r="D938" s="42">
        <v>80.39</v>
      </c>
      <c r="E938" s="42">
        <v>2062514</v>
      </c>
      <c r="F938" s="42" t="s">
        <v>939</v>
      </c>
      <c r="G938" s="25">
        <f t="shared" si="13"/>
        <v>3.358626694862421E-3</v>
      </c>
    </row>
    <row r="939" spans="1:7">
      <c r="A939" s="42">
        <v>80.959999999999994</v>
      </c>
      <c r="B939" s="42">
        <v>83.85</v>
      </c>
      <c r="C939" s="42">
        <v>79.709999999999994</v>
      </c>
      <c r="D939" s="42">
        <v>83.64</v>
      </c>
      <c r="E939" s="42">
        <v>2708678</v>
      </c>
      <c r="F939" s="42" t="s">
        <v>940</v>
      </c>
      <c r="G939" s="25">
        <f t="shared" si="13"/>
        <v>-3.2042085126733677E-2</v>
      </c>
    </row>
    <row r="940" spans="1:7">
      <c r="A940" s="42">
        <v>84.46</v>
      </c>
      <c r="B940" s="42">
        <v>88.64</v>
      </c>
      <c r="C940" s="42">
        <v>84.42</v>
      </c>
      <c r="D940" s="42">
        <v>87.834999999999994</v>
      </c>
      <c r="E940" s="42">
        <v>2264397</v>
      </c>
      <c r="F940" s="42" t="s">
        <v>941</v>
      </c>
      <c r="G940" s="25">
        <f t="shared" si="13"/>
        <v>-3.8424318324130513E-2</v>
      </c>
    </row>
    <row r="941" spans="1:7">
      <c r="A941" s="42">
        <v>87.37</v>
      </c>
      <c r="B941" s="42">
        <v>88.424999999999997</v>
      </c>
      <c r="C941" s="42">
        <v>85.62</v>
      </c>
      <c r="D941" s="42">
        <v>87.28</v>
      </c>
      <c r="E941" s="42">
        <v>2069191</v>
      </c>
      <c r="F941" s="42" t="s">
        <v>942</v>
      </c>
      <c r="G941" s="25">
        <f t="shared" si="13"/>
        <v>1.0311640696609725E-3</v>
      </c>
    </row>
    <row r="942" spans="1:7">
      <c r="A942" s="42">
        <v>87.94</v>
      </c>
      <c r="B942" s="42">
        <v>89.14</v>
      </c>
      <c r="C942" s="42">
        <v>85.42</v>
      </c>
      <c r="D942" s="42">
        <v>88.62</v>
      </c>
      <c r="E942" s="42">
        <v>2048670</v>
      </c>
      <c r="F942" s="42" t="s">
        <v>943</v>
      </c>
      <c r="G942" s="25">
        <f t="shared" si="13"/>
        <v>-7.6732114646806959E-3</v>
      </c>
    </row>
    <row r="943" spans="1:7">
      <c r="A943" s="42">
        <v>90.09</v>
      </c>
      <c r="B943" s="42">
        <v>90.45</v>
      </c>
      <c r="C943" s="42">
        <v>88.03</v>
      </c>
      <c r="D943" s="42">
        <v>89.79</v>
      </c>
      <c r="E943" s="42">
        <v>2981949</v>
      </c>
      <c r="F943" s="42" t="s">
        <v>944</v>
      </c>
      <c r="G943" s="25">
        <f t="shared" si="13"/>
        <v>3.3411293017040489E-3</v>
      </c>
    </row>
    <row r="944" spans="1:7">
      <c r="A944" s="42">
        <v>90.98</v>
      </c>
      <c r="B944" s="42">
        <v>93.02</v>
      </c>
      <c r="C944" s="42">
        <v>90.31</v>
      </c>
      <c r="D944" s="42">
        <v>90.62</v>
      </c>
      <c r="E944" s="42">
        <v>1808739</v>
      </c>
      <c r="F944" s="42" t="s">
        <v>945</v>
      </c>
      <c r="G944" s="25">
        <f t="shared" si="13"/>
        <v>3.9726329728537735E-3</v>
      </c>
    </row>
    <row r="945" spans="1:7">
      <c r="A945" s="42">
        <v>90.57</v>
      </c>
      <c r="B945" s="42">
        <v>90.94</v>
      </c>
      <c r="C945" s="42">
        <v>87.29</v>
      </c>
      <c r="D945" s="42">
        <v>89.43</v>
      </c>
      <c r="E945" s="42">
        <v>1512759</v>
      </c>
      <c r="F945" s="42" t="s">
        <v>946</v>
      </c>
      <c r="G945" s="25">
        <f t="shared" si="13"/>
        <v>1.2747400201274628E-2</v>
      </c>
    </row>
    <row r="946" spans="1:7">
      <c r="A946" s="42">
        <v>89.17</v>
      </c>
      <c r="B946" s="42">
        <v>90.653199999999998</v>
      </c>
      <c r="C946" s="42">
        <v>88.56</v>
      </c>
      <c r="D946" s="42">
        <v>89.92</v>
      </c>
      <c r="E946" s="42">
        <v>2868249</v>
      </c>
      <c r="F946" s="42" t="s">
        <v>947</v>
      </c>
      <c r="G946" s="25">
        <f t="shared" si="13"/>
        <v>-8.340747330960907E-3</v>
      </c>
    </row>
    <row r="947" spans="1:7">
      <c r="A947" s="42">
        <v>94.18</v>
      </c>
      <c r="B947" s="42">
        <v>94.3</v>
      </c>
      <c r="C947" s="42">
        <v>92.68</v>
      </c>
      <c r="D947" s="42">
        <v>92.99</v>
      </c>
      <c r="E947" s="42">
        <v>1651058</v>
      </c>
      <c r="F947" s="42" t="s">
        <v>948</v>
      </c>
      <c r="G947" s="25">
        <f t="shared" si="13"/>
        <v>1.2797074954296273E-2</v>
      </c>
    </row>
    <row r="948" spans="1:7">
      <c r="A948" s="42">
        <v>92.89</v>
      </c>
      <c r="B948" s="42">
        <v>93.24</v>
      </c>
      <c r="C948" s="42">
        <v>91.6</v>
      </c>
      <c r="D948" s="42">
        <v>91.6</v>
      </c>
      <c r="E948" s="42">
        <v>2642950</v>
      </c>
      <c r="F948" s="42" t="s">
        <v>949</v>
      </c>
      <c r="G948" s="25">
        <f t="shared" si="13"/>
        <v>1.4082969432314574E-2</v>
      </c>
    </row>
    <row r="949" spans="1:7">
      <c r="A949" s="42">
        <v>91.59</v>
      </c>
      <c r="B949" s="42">
        <v>91.64</v>
      </c>
      <c r="C949" s="42">
        <v>87.21</v>
      </c>
      <c r="D949" s="42">
        <v>87.32</v>
      </c>
      <c r="E949" s="42">
        <v>2639230</v>
      </c>
      <c r="F949" s="42" t="s">
        <v>950</v>
      </c>
      <c r="G949" s="25">
        <f t="shared" si="13"/>
        <v>4.8900595510765088E-2</v>
      </c>
    </row>
    <row r="950" spans="1:7">
      <c r="A950" s="42">
        <v>88.37</v>
      </c>
      <c r="B950" s="42">
        <v>88.599900000000005</v>
      </c>
      <c r="C950" s="42">
        <v>82.105000000000004</v>
      </c>
      <c r="D950" s="42">
        <v>82.56</v>
      </c>
      <c r="E950" s="42">
        <v>2821151</v>
      </c>
      <c r="F950" s="42" t="s">
        <v>951</v>
      </c>
      <c r="G950" s="25">
        <f t="shared" si="13"/>
        <v>7.0373062015503862E-2</v>
      </c>
    </row>
    <row r="951" spans="1:7">
      <c r="A951" s="42">
        <v>82.03</v>
      </c>
      <c r="B951" s="42">
        <v>83.13</v>
      </c>
      <c r="C951" s="42">
        <v>81.2</v>
      </c>
      <c r="D951" s="42">
        <v>82.04</v>
      </c>
      <c r="E951" s="42">
        <v>1668990</v>
      </c>
      <c r="F951" s="42" t="s">
        <v>952</v>
      </c>
      <c r="G951" s="25">
        <f t="shared" si="13"/>
        <v>-1.21891760117121E-4</v>
      </c>
    </row>
    <row r="952" spans="1:7">
      <c r="A952" s="42">
        <v>82</v>
      </c>
      <c r="B952" s="42">
        <v>85.46</v>
      </c>
      <c r="C952" s="42">
        <v>81.28</v>
      </c>
      <c r="D952" s="42">
        <v>84.47</v>
      </c>
      <c r="E952" s="42">
        <v>2014126</v>
      </c>
      <c r="F952" s="42" t="s">
        <v>953</v>
      </c>
      <c r="G952" s="25">
        <f t="shared" si="13"/>
        <v>-2.9241150704392038E-2</v>
      </c>
    </row>
    <row r="953" spans="1:7">
      <c r="A953" s="42">
        <v>83.08</v>
      </c>
      <c r="B953" s="42">
        <v>83.15</v>
      </c>
      <c r="C953" s="42">
        <v>79.37</v>
      </c>
      <c r="D953" s="42">
        <v>81.685000000000002</v>
      </c>
      <c r="E953" s="42">
        <v>3928002</v>
      </c>
      <c r="F953" s="42" t="s">
        <v>954</v>
      </c>
      <c r="G953" s="25">
        <f t="shared" si="13"/>
        <v>1.7077798861480087E-2</v>
      </c>
    </row>
    <row r="954" spans="1:7">
      <c r="A954" s="42">
        <v>82.21</v>
      </c>
      <c r="B954" s="42">
        <v>84.19</v>
      </c>
      <c r="C954" s="42">
        <v>81.761399999999995</v>
      </c>
      <c r="D954" s="42">
        <v>83.5</v>
      </c>
      <c r="E954" s="42">
        <v>2161153</v>
      </c>
      <c r="F954" s="42" t="s">
        <v>955</v>
      </c>
      <c r="G954" s="25">
        <f t="shared" si="13"/>
        <v>-1.5449101796407239E-2</v>
      </c>
    </row>
    <row r="955" spans="1:7">
      <c r="A955" s="42">
        <v>82.74</v>
      </c>
      <c r="B955" s="42">
        <v>85.275000000000006</v>
      </c>
      <c r="C955" s="42">
        <v>82.16</v>
      </c>
      <c r="D955" s="42">
        <v>83.515000000000001</v>
      </c>
      <c r="E955" s="42">
        <v>2378051</v>
      </c>
      <c r="F955" s="42" t="s">
        <v>956</v>
      </c>
      <c r="G955" s="25">
        <f t="shared" si="13"/>
        <v>-9.2797701011795297E-3</v>
      </c>
    </row>
    <row r="956" spans="1:7">
      <c r="A956" s="42">
        <v>83.38</v>
      </c>
      <c r="B956" s="42">
        <v>84.62</v>
      </c>
      <c r="C956" s="42">
        <v>83.2</v>
      </c>
      <c r="D956" s="42">
        <v>83.5</v>
      </c>
      <c r="E956" s="42">
        <v>2107894</v>
      </c>
      <c r="F956" s="42" t="s">
        <v>957</v>
      </c>
      <c r="G956" s="25">
        <f t="shared" si="13"/>
        <v>-1.4371257485030764E-3</v>
      </c>
    </row>
    <row r="957" spans="1:7">
      <c r="A957" s="42">
        <v>84.49</v>
      </c>
      <c r="B957" s="42">
        <v>88.88</v>
      </c>
      <c r="C957" s="42">
        <v>84.23</v>
      </c>
      <c r="D957" s="42">
        <v>87.73</v>
      </c>
      <c r="E957" s="42">
        <v>3014803</v>
      </c>
      <c r="F957" s="42" t="s">
        <v>958</v>
      </c>
      <c r="G957" s="25">
        <f t="shared" si="13"/>
        <v>-3.6931494357688499E-2</v>
      </c>
    </row>
    <row r="958" spans="1:7">
      <c r="A958" s="42">
        <v>88.37</v>
      </c>
      <c r="B958" s="42">
        <v>88.43</v>
      </c>
      <c r="C958" s="42">
        <v>86.11</v>
      </c>
      <c r="D958" s="42">
        <v>86.99</v>
      </c>
      <c r="E958" s="42">
        <v>2331049</v>
      </c>
      <c r="F958" s="42" t="s">
        <v>959</v>
      </c>
      <c r="G958" s="25">
        <f t="shared" si="13"/>
        <v>1.5863892401425606E-2</v>
      </c>
    </row>
    <row r="959" spans="1:7">
      <c r="A959" s="42">
        <v>85.92</v>
      </c>
      <c r="B959" s="42">
        <v>87.23</v>
      </c>
      <c r="C959" s="42">
        <v>84.07</v>
      </c>
      <c r="D959" s="42">
        <v>84.11</v>
      </c>
      <c r="E959" s="42">
        <v>2476636</v>
      </c>
      <c r="F959" s="42" t="s">
        <v>960</v>
      </c>
      <c r="G959" s="25">
        <f t="shared" si="13"/>
        <v>2.1519438830103432E-2</v>
      </c>
    </row>
    <row r="960" spans="1:7">
      <c r="A960" s="42">
        <v>83.63</v>
      </c>
      <c r="B960" s="42">
        <v>84.6</v>
      </c>
      <c r="C960" s="42">
        <v>82.210099999999997</v>
      </c>
      <c r="D960" s="42">
        <v>84.21</v>
      </c>
      <c r="E960" s="42">
        <v>2008089</v>
      </c>
      <c r="F960" s="42" t="s">
        <v>961</v>
      </c>
      <c r="G960" s="25">
        <f t="shared" si="13"/>
        <v>-6.8875430471440069E-3</v>
      </c>
    </row>
    <row r="961" spans="1:7">
      <c r="A961" s="42">
        <v>84.3</v>
      </c>
      <c r="B961" s="42">
        <v>85.8</v>
      </c>
      <c r="C961" s="42">
        <v>83.23</v>
      </c>
      <c r="D961" s="42">
        <v>83.23</v>
      </c>
      <c r="E961" s="42">
        <v>2594104</v>
      </c>
      <c r="F961" s="42" t="s">
        <v>962</v>
      </c>
      <c r="G961" s="25">
        <f t="shared" si="13"/>
        <v>1.2855941367295287E-2</v>
      </c>
    </row>
    <row r="962" spans="1:7">
      <c r="A962" s="42">
        <v>85.11</v>
      </c>
      <c r="B962" s="42">
        <v>87.72</v>
      </c>
      <c r="C962" s="42">
        <v>84.12</v>
      </c>
      <c r="D962" s="42">
        <v>86.67</v>
      </c>
      <c r="E962" s="42">
        <v>2222642</v>
      </c>
      <c r="F962" s="42" t="s">
        <v>963</v>
      </c>
      <c r="G962" s="25">
        <f t="shared" si="13"/>
        <v>-1.7999307718933877E-2</v>
      </c>
    </row>
    <row r="963" spans="1:7">
      <c r="A963" s="42">
        <v>87.53</v>
      </c>
      <c r="B963" s="42">
        <v>88.53</v>
      </c>
      <c r="C963" s="42">
        <v>86.77</v>
      </c>
      <c r="D963" s="42">
        <v>88.22</v>
      </c>
      <c r="E963" s="42">
        <v>2636064</v>
      </c>
      <c r="F963" s="42" t="s">
        <v>964</v>
      </c>
      <c r="G963" s="25">
        <f t="shared" ref="G963:G1026" si="14">A963/D963-1</f>
        <v>-7.8213557016548751E-3</v>
      </c>
    </row>
    <row r="964" spans="1:7">
      <c r="A964" s="42">
        <v>88.14</v>
      </c>
      <c r="B964" s="42">
        <v>89.88</v>
      </c>
      <c r="C964" s="42">
        <v>87.65</v>
      </c>
      <c r="D964" s="42">
        <v>89.4</v>
      </c>
      <c r="E964" s="42">
        <v>1979412</v>
      </c>
      <c r="F964" s="42" t="s">
        <v>965</v>
      </c>
      <c r="G964" s="25">
        <f t="shared" si="14"/>
        <v>-1.4093959731543704E-2</v>
      </c>
    </row>
    <row r="965" spans="1:7">
      <c r="A965" s="42">
        <v>90.79</v>
      </c>
      <c r="B965" s="42">
        <v>91.89</v>
      </c>
      <c r="C965" s="42">
        <v>88.875</v>
      </c>
      <c r="D965" s="42">
        <v>91.38</v>
      </c>
      <c r="E965" s="42">
        <v>2433669</v>
      </c>
      <c r="F965" s="42" t="s">
        <v>966</v>
      </c>
      <c r="G965" s="25">
        <f t="shared" si="14"/>
        <v>-6.456555044867418E-3</v>
      </c>
    </row>
    <row r="966" spans="1:7">
      <c r="A966" s="42">
        <v>92.295000000000002</v>
      </c>
      <c r="B966" s="42">
        <v>92.74</v>
      </c>
      <c r="C966" s="42">
        <v>89.71</v>
      </c>
      <c r="D966" s="42">
        <v>89.91</v>
      </c>
      <c r="E966" s="42">
        <v>1920770</v>
      </c>
      <c r="F966" s="42" t="s">
        <v>967</v>
      </c>
      <c r="G966" s="25">
        <f t="shared" si="14"/>
        <v>2.652652652652665E-2</v>
      </c>
    </row>
    <row r="967" spans="1:7">
      <c r="A967" s="42">
        <v>89.83</v>
      </c>
      <c r="B967" s="42">
        <v>89.9</v>
      </c>
      <c r="C967" s="42">
        <v>87.6</v>
      </c>
      <c r="D967" s="42">
        <v>88.62</v>
      </c>
      <c r="E967" s="42">
        <v>1914913</v>
      </c>
      <c r="F967" s="42" t="s">
        <v>968</v>
      </c>
      <c r="G967" s="25">
        <f t="shared" si="14"/>
        <v>1.3653802753328836E-2</v>
      </c>
    </row>
    <row r="968" spans="1:7">
      <c r="A968" s="42">
        <v>88.24</v>
      </c>
      <c r="B968" s="42">
        <v>91.95</v>
      </c>
      <c r="C968" s="42">
        <v>87.84</v>
      </c>
      <c r="D968" s="42">
        <v>89.84</v>
      </c>
      <c r="E968" s="42">
        <v>2584998</v>
      </c>
      <c r="F968" s="42" t="s">
        <v>969</v>
      </c>
      <c r="G968" s="25">
        <f t="shared" si="14"/>
        <v>-1.7809439002671512E-2</v>
      </c>
    </row>
    <row r="969" spans="1:7">
      <c r="A969" s="42">
        <v>89.73</v>
      </c>
      <c r="B969" s="42">
        <v>90.1</v>
      </c>
      <c r="C969" s="42">
        <v>87.58</v>
      </c>
      <c r="D969" s="42">
        <v>88</v>
      </c>
      <c r="E969" s="42">
        <v>3512136</v>
      </c>
      <c r="F969" s="42" t="s">
        <v>970</v>
      </c>
      <c r="G969" s="25">
        <f t="shared" si="14"/>
        <v>1.9659090909091015E-2</v>
      </c>
    </row>
    <row r="970" spans="1:7">
      <c r="A970" s="42">
        <v>85.12</v>
      </c>
      <c r="B970" s="42">
        <v>91.236999999999995</v>
      </c>
      <c r="C970" s="42">
        <v>85.02</v>
      </c>
      <c r="D970" s="42">
        <v>90.67</v>
      </c>
      <c r="E970" s="42">
        <v>4794427</v>
      </c>
      <c r="F970" s="42" t="s">
        <v>971</v>
      </c>
      <c r="G970" s="25">
        <f t="shared" si="14"/>
        <v>-6.1210984890261333E-2</v>
      </c>
    </row>
    <row r="971" spans="1:7">
      <c r="A971" s="42">
        <v>91.4</v>
      </c>
      <c r="B971" s="42">
        <v>94.6</v>
      </c>
      <c r="C971" s="42">
        <v>89.5</v>
      </c>
      <c r="D971" s="42">
        <v>89.56</v>
      </c>
      <c r="E971" s="42">
        <v>3110212</v>
      </c>
      <c r="F971" s="42" t="s">
        <v>972</v>
      </c>
      <c r="G971" s="25">
        <f t="shared" si="14"/>
        <v>2.0544886109870486E-2</v>
      </c>
    </row>
    <row r="972" spans="1:7">
      <c r="A972" s="42">
        <v>89.09</v>
      </c>
      <c r="B972" s="42">
        <v>90.42</v>
      </c>
      <c r="C972" s="42">
        <v>87.25</v>
      </c>
      <c r="D972" s="42">
        <v>87.4</v>
      </c>
      <c r="E972" s="42">
        <v>2220084</v>
      </c>
      <c r="F972" s="42" t="s">
        <v>973</v>
      </c>
      <c r="G972" s="25">
        <f t="shared" si="14"/>
        <v>1.9336384439359255E-2</v>
      </c>
    </row>
    <row r="973" spans="1:7">
      <c r="A973" s="42">
        <v>89.54</v>
      </c>
      <c r="B973" s="42">
        <v>90.78</v>
      </c>
      <c r="C973" s="42">
        <v>87.875</v>
      </c>
      <c r="D973" s="42">
        <v>90.24</v>
      </c>
      <c r="E973" s="42">
        <v>2259352</v>
      </c>
      <c r="F973" s="42" t="s">
        <v>974</v>
      </c>
      <c r="G973" s="25">
        <f t="shared" si="14"/>
        <v>-7.75709219858145E-3</v>
      </c>
    </row>
    <row r="974" spans="1:7">
      <c r="A974" s="42">
        <v>90.39</v>
      </c>
      <c r="B974" s="42">
        <v>91.23</v>
      </c>
      <c r="C974" s="42">
        <v>86.84</v>
      </c>
      <c r="D974" s="42">
        <v>88.29</v>
      </c>
      <c r="E974" s="42">
        <v>3510356</v>
      </c>
      <c r="F974" s="42" t="s">
        <v>975</v>
      </c>
      <c r="G974" s="25">
        <f t="shared" si="14"/>
        <v>2.3785253143051133E-2</v>
      </c>
    </row>
    <row r="975" spans="1:7">
      <c r="A975" s="42">
        <v>88.3</v>
      </c>
      <c r="B975" s="42">
        <v>90.23</v>
      </c>
      <c r="C975" s="42">
        <v>83.73</v>
      </c>
      <c r="D975" s="42">
        <v>84.03</v>
      </c>
      <c r="E975" s="42">
        <v>4298548</v>
      </c>
      <c r="F975" s="42" t="s">
        <v>976</v>
      </c>
      <c r="G975" s="25">
        <f t="shared" si="14"/>
        <v>5.0815185052957235E-2</v>
      </c>
    </row>
    <row r="976" spans="1:7">
      <c r="A976" s="42">
        <v>83.83</v>
      </c>
      <c r="B976" s="42">
        <v>86.21</v>
      </c>
      <c r="C976" s="42">
        <v>82.45</v>
      </c>
      <c r="D976" s="42">
        <v>82.61</v>
      </c>
      <c r="E976" s="42">
        <v>3162609</v>
      </c>
      <c r="F976" s="42" t="s">
        <v>977</v>
      </c>
      <c r="G976" s="25">
        <f t="shared" si="14"/>
        <v>1.4768187870717764E-2</v>
      </c>
    </row>
    <row r="977" spans="1:7">
      <c r="A977" s="42">
        <v>82.08</v>
      </c>
      <c r="B977" s="42">
        <v>85.86</v>
      </c>
      <c r="C977" s="42">
        <v>77.510000000000005</v>
      </c>
      <c r="D977" s="42">
        <v>78.25</v>
      </c>
      <c r="E977" s="42">
        <v>9906715</v>
      </c>
      <c r="F977" s="42" t="s">
        <v>978</v>
      </c>
      <c r="G977" s="25">
        <f t="shared" si="14"/>
        <v>4.8945686900958352E-2</v>
      </c>
    </row>
    <row r="978" spans="1:7">
      <c r="A978" s="42">
        <v>86.99</v>
      </c>
      <c r="B978" s="42">
        <v>87.28</v>
      </c>
      <c r="C978" s="42">
        <v>84.11</v>
      </c>
      <c r="D978" s="42">
        <v>86.06</v>
      </c>
      <c r="E978" s="42">
        <v>4316899</v>
      </c>
      <c r="F978" s="42" t="s">
        <v>979</v>
      </c>
      <c r="G978" s="25">
        <f t="shared" si="14"/>
        <v>1.0806414129676867E-2</v>
      </c>
    </row>
    <row r="979" spans="1:7">
      <c r="A979" s="42">
        <v>85.8</v>
      </c>
      <c r="B979" s="42">
        <v>85.83</v>
      </c>
      <c r="C979" s="42">
        <v>82.78</v>
      </c>
      <c r="D979" s="42">
        <v>82.78</v>
      </c>
      <c r="E979" s="42">
        <v>2325680</v>
      </c>
      <c r="F979" s="42" t="s">
        <v>980</v>
      </c>
      <c r="G979" s="25">
        <f t="shared" si="14"/>
        <v>3.6482242087460648E-2</v>
      </c>
    </row>
    <row r="980" spans="1:7">
      <c r="A980" s="42">
        <v>82.7</v>
      </c>
      <c r="B980" s="42">
        <v>83.498400000000004</v>
      </c>
      <c r="C980" s="42">
        <v>80.78</v>
      </c>
      <c r="D980" s="42">
        <v>82.82</v>
      </c>
      <c r="E980" s="42">
        <v>2569799</v>
      </c>
      <c r="F980" s="42" t="s">
        <v>981</v>
      </c>
      <c r="G980" s="25">
        <f t="shared" si="14"/>
        <v>-1.4489253803428026E-3</v>
      </c>
    </row>
    <row r="981" spans="1:7">
      <c r="A981" s="42">
        <v>82.6</v>
      </c>
      <c r="B981" s="42">
        <v>83.72</v>
      </c>
      <c r="C981" s="42">
        <v>81.305000000000007</v>
      </c>
      <c r="D981" s="42">
        <v>83.07</v>
      </c>
      <c r="E981" s="42">
        <v>1750624</v>
      </c>
      <c r="F981" s="42" t="s">
        <v>982</v>
      </c>
      <c r="G981" s="25">
        <f t="shared" si="14"/>
        <v>-5.6578788973155048E-3</v>
      </c>
    </row>
    <row r="982" spans="1:7">
      <c r="A982" s="42">
        <v>83.78</v>
      </c>
      <c r="B982" s="42">
        <v>86.06</v>
      </c>
      <c r="C982" s="42">
        <v>82.55</v>
      </c>
      <c r="D982" s="42">
        <v>83.85</v>
      </c>
      <c r="E982" s="42">
        <v>2089930</v>
      </c>
      <c r="F982" s="42" t="s">
        <v>983</v>
      </c>
      <c r="G982" s="25">
        <f t="shared" si="14"/>
        <v>-8.3482409063795338E-4</v>
      </c>
    </row>
    <row r="983" spans="1:7">
      <c r="A983" s="42">
        <v>83.99</v>
      </c>
      <c r="B983" s="42">
        <v>84.275899999999993</v>
      </c>
      <c r="C983" s="42">
        <v>81.8</v>
      </c>
      <c r="D983" s="42">
        <v>82.43</v>
      </c>
      <c r="E983" s="42">
        <v>1983037</v>
      </c>
      <c r="F983" s="42" t="s">
        <v>984</v>
      </c>
      <c r="G983" s="25">
        <f t="shared" si="14"/>
        <v>1.8925148610942522E-2</v>
      </c>
    </row>
    <row r="984" spans="1:7">
      <c r="A984" s="42">
        <v>82.185000000000002</v>
      </c>
      <c r="B984" s="42">
        <v>83.24</v>
      </c>
      <c r="C984" s="42">
        <v>79.935000000000002</v>
      </c>
      <c r="D984" s="42">
        <v>80.77</v>
      </c>
      <c r="E984" s="42">
        <v>2119128</v>
      </c>
      <c r="F984" s="42" t="s">
        <v>985</v>
      </c>
      <c r="G984" s="25">
        <f t="shared" si="14"/>
        <v>1.7518880772564138E-2</v>
      </c>
    </row>
    <row r="985" spans="1:7">
      <c r="A985" s="42">
        <v>80.64</v>
      </c>
      <c r="B985" s="42">
        <v>80.77</v>
      </c>
      <c r="C985" s="42">
        <v>76.609700000000004</v>
      </c>
      <c r="D985" s="42">
        <v>78.27</v>
      </c>
      <c r="E985" s="42">
        <v>2131284</v>
      </c>
      <c r="F985" s="42" t="s">
        <v>986</v>
      </c>
      <c r="G985" s="25">
        <f t="shared" si="14"/>
        <v>3.0279800689919645E-2</v>
      </c>
    </row>
    <row r="986" spans="1:7">
      <c r="A986" s="42">
        <v>76.989999999999995</v>
      </c>
      <c r="B986" s="42">
        <v>79.91</v>
      </c>
      <c r="C986" s="42">
        <v>76.2</v>
      </c>
      <c r="D986" s="42">
        <v>79.290000000000006</v>
      </c>
      <c r="E986" s="42">
        <v>2248306</v>
      </c>
      <c r="F986" s="42" t="s">
        <v>987</v>
      </c>
      <c r="G986" s="25">
        <f t="shared" si="14"/>
        <v>-2.9007441039223258E-2</v>
      </c>
    </row>
    <row r="987" spans="1:7">
      <c r="A987" s="42">
        <v>79.14</v>
      </c>
      <c r="B987" s="42">
        <v>79.575000000000003</v>
      </c>
      <c r="C987" s="42">
        <v>77.319999999999993</v>
      </c>
      <c r="D987" s="42">
        <v>77.95</v>
      </c>
      <c r="E987" s="42">
        <v>2146874</v>
      </c>
      <c r="F987" s="42" t="s">
        <v>988</v>
      </c>
      <c r="G987" s="25">
        <f t="shared" si="14"/>
        <v>1.5266196279666522E-2</v>
      </c>
    </row>
    <row r="988" spans="1:7">
      <c r="A988" s="42">
        <v>76.5</v>
      </c>
      <c r="B988" s="42">
        <v>77.03</v>
      </c>
      <c r="C988" s="42">
        <v>73.930000000000007</v>
      </c>
      <c r="D988" s="42">
        <v>75.81</v>
      </c>
      <c r="E988" s="42">
        <v>1584075</v>
      </c>
      <c r="F988" s="42" t="s">
        <v>989</v>
      </c>
      <c r="G988" s="25">
        <f t="shared" si="14"/>
        <v>9.101701622477254E-3</v>
      </c>
    </row>
    <row r="989" spans="1:7">
      <c r="A989" s="42">
        <v>76.349999999999994</v>
      </c>
      <c r="B989" s="42">
        <v>78.44</v>
      </c>
      <c r="C989" s="42">
        <v>75.040000000000006</v>
      </c>
      <c r="D989" s="42">
        <v>76.260000000000005</v>
      </c>
      <c r="E989" s="42">
        <v>1742943</v>
      </c>
      <c r="F989" s="42" t="s">
        <v>990</v>
      </c>
      <c r="G989" s="25">
        <f t="shared" si="14"/>
        <v>1.180173092053316E-3</v>
      </c>
    </row>
    <row r="990" spans="1:7">
      <c r="A990" s="42">
        <v>78.05</v>
      </c>
      <c r="B990" s="42">
        <v>80.67</v>
      </c>
      <c r="C990" s="42">
        <v>77.38</v>
      </c>
      <c r="D990" s="42">
        <v>78.930000000000007</v>
      </c>
      <c r="E990" s="42">
        <v>1536430</v>
      </c>
      <c r="F990" s="42" t="s">
        <v>991</v>
      </c>
      <c r="G990" s="25">
        <f t="shared" si="14"/>
        <v>-1.114911947295083E-2</v>
      </c>
    </row>
    <row r="991" spans="1:7">
      <c r="A991" s="42">
        <v>78.430000000000007</v>
      </c>
      <c r="B991" s="42">
        <v>80.465000000000003</v>
      </c>
      <c r="C991" s="42">
        <v>77.650000000000006</v>
      </c>
      <c r="D991" s="42">
        <v>80.099999999999994</v>
      </c>
      <c r="E991" s="42">
        <v>1758753</v>
      </c>
      <c r="F991" s="42" t="s">
        <v>992</v>
      </c>
      <c r="G991" s="25">
        <f t="shared" si="14"/>
        <v>-2.0848938826466767E-2</v>
      </c>
    </row>
    <row r="992" spans="1:7">
      <c r="A992" s="42">
        <v>81.239999999999995</v>
      </c>
      <c r="B992" s="42">
        <v>82.85</v>
      </c>
      <c r="C992" s="42">
        <v>79.11</v>
      </c>
      <c r="D992" s="42">
        <v>80.209999999999994</v>
      </c>
      <c r="E992" s="42">
        <v>1658576</v>
      </c>
      <c r="F992" s="42" t="s">
        <v>993</v>
      </c>
      <c r="G992" s="25">
        <f t="shared" si="14"/>
        <v>1.2841291609525074E-2</v>
      </c>
    </row>
    <row r="993" spans="1:7">
      <c r="A993" s="42">
        <v>81.92</v>
      </c>
      <c r="B993" s="42">
        <v>82.06</v>
      </c>
      <c r="C993" s="42">
        <v>77.52</v>
      </c>
      <c r="D993" s="42">
        <v>78.010000000000005</v>
      </c>
      <c r="E993" s="42">
        <v>3239494</v>
      </c>
      <c r="F993" s="42" t="s">
        <v>994</v>
      </c>
      <c r="G993" s="25">
        <f t="shared" si="14"/>
        <v>5.0121779259069354E-2</v>
      </c>
    </row>
    <row r="994" spans="1:7">
      <c r="A994" s="42">
        <v>78.349999999999994</v>
      </c>
      <c r="B994" s="42">
        <v>79.88</v>
      </c>
      <c r="C994" s="42">
        <v>77.400000000000006</v>
      </c>
      <c r="D994" s="42">
        <v>78.959999999999994</v>
      </c>
      <c r="E994" s="42">
        <v>2813989</v>
      </c>
      <c r="F994" s="42" t="s">
        <v>995</v>
      </c>
      <c r="G994" s="25">
        <f t="shared" si="14"/>
        <v>-7.725430597770977E-3</v>
      </c>
    </row>
    <row r="995" spans="1:7">
      <c r="A995" s="42">
        <v>78.459999999999994</v>
      </c>
      <c r="B995" s="42">
        <v>78.89</v>
      </c>
      <c r="C995" s="42">
        <v>74.75</v>
      </c>
      <c r="D995" s="42">
        <v>77.25</v>
      </c>
      <c r="E995" s="42">
        <v>2086508</v>
      </c>
      <c r="F995" s="42" t="s">
        <v>996</v>
      </c>
      <c r="G995" s="25">
        <f t="shared" si="14"/>
        <v>1.5663430420711943E-2</v>
      </c>
    </row>
    <row r="996" spans="1:7">
      <c r="A996" s="42">
        <v>77.63</v>
      </c>
      <c r="B996" s="42">
        <v>78.03</v>
      </c>
      <c r="C996" s="42">
        <v>74.23</v>
      </c>
      <c r="D996" s="42">
        <v>74.260000000000005</v>
      </c>
      <c r="E996" s="42">
        <v>1981990</v>
      </c>
      <c r="F996" s="42" t="s">
        <v>997</v>
      </c>
      <c r="G996" s="25">
        <f t="shared" si="14"/>
        <v>4.5381093455426846E-2</v>
      </c>
    </row>
    <row r="997" spans="1:7">
      <c r="A997" s="42">
        <v>74.53</v>
      </c>
      <c r="B997" s="42">
        <v>75.47</v>
      </c>
      <c r="C997" s="42">
        <v>73.709999999999994</v>
      </c>
      <c r="D997" s="42">
        <v>74.930000000000007</v>
      </c>
      <c r="E997" s="42">
        <v>3616595</v>
      </c>
      <c r="F997" s="42" t="s">
        <v>998</v>
      </c>
      <c r="G997" s="25">
        <f t="shared" si="14"/>
        <v>-5.3383157613773324E-3</v>
      </c>
    </row>
    <row r="998" spans="1:7">
      <c r="A998" s="42">
        <v>75.45</v>
      </c>
      <c r="B998" s="42">
        <v>75.680000000000007</v>
      </c>
      <c r="C998" s="42">
        <v>72.41</v>
      </c>
      <c r="D998" s="42">
        <v>74.739999999999995</v>
      </c>
      <c r="E998" s="42">
        <v>2306851</v>
      </c>
      <c r="F998" s="42" t="s">
        <v>999</v>
      </c>
      <c r="G998" s="25">
        <f t="shared" si="14"/>
        <v>9.499598608509574E-3</v>
      </c>
    </row>
    <row r="999" spans="1:7">
      <c r="A999" s="42">
        <v>74.7</v>
      </c>
      <c r="B999" s="42">
        <v>78.72</v>
      </c>
      <c r="C999" s="42">
        <v>74.48</v>
      </c>
      <c r="D999" s="42">
        <v>77.150000000000006</v>
      </c>
      <c r="E999" s="42">
        <v>2226626</v>
      </c>
      <c r="F999" s="42" t="s">
        <v>1000</v>
      </c>
      <c r="G999" s="25">
        <f t="shared" si="14"/>
        <v>-3.1756318859364918E-2</v>
      </c>
    </row>
    <row r="1000" spans="1:7">
      <c r="A1000" s="42">
        <v>76.599999999999994</v>
      </c>
      <c r="B1000" s="42">
        <v>77.89</v>
      </c>
      <c r="C1000" s="42">
        <v>75.569999999999993</v>
      </c>
      <c r="D1000" s="42">
        <v>77.44</v>
      </c>
      <c r="E1000" s="42">
        <v>2664768</v>
      </c>
      <c r="F1000" s="42" t="s">
        <v>1001</v>
      </c>
      <c r="G1000" s="25">
        <f t="shared" si="14"/>
        <v>-1.0847107438016534E-2</v>
      </c>
    </row>
    <row r="1001" spans="1:7">
      <c r="A1001" s="42">
        <v>77.67</v>
      </c>
      <c r="B1001" s="42">
        <v>77.73</v>
      </c>
      <c r="C1001" s="42">
        <v>75.14</v>
      </c>
      <c r="D1001" s="42">
        <v>76.319999999999993</v>
      </c>
      <c r="E1001" s="42">
        <v>3563784</v>
      </c>
      <c r="F1001" s="42" t="s">
        <v>1002</v>
      </c>
      <c r="G1001" s="25">
        <f t="shared" si="14"/>
        <v>1.7688679245283057E-2</v>
      </c>
    </row>
    <row r="1002" spans="1:7">
      <c r="A1002" s="42">
        <v>75.209999999999994</v>
      </c>
      <c r="B1002" s="42">
        <v>75.58</v>
      </c>
      <c r="C1002" s="42">
        <v>71.87</v>
      </c>
      <c r="D1002" s="42">
        <v>72.55</v>
      </c>
      <c r="E1002" s="42">
        <v>2312177</v>
      </c>
      <c r="F1002" s="42" t="s">
        <v>1003</v>
      </c>
      <c r="G1002" s="25">
        <f t="shared" si="14"/>
        <v>3.6664369400413399E-2</v>
      </c>
    </row>
    <row r="1003" spans="1:7">
      <c r="A1003" s="42">
        <v>71.52</v>
      </c>
      <c r="B1003" s="42">
        <v>72.66</v>
      </c>
      <c r="C1003" s="42">
        <v>69.62</v>
      </c>
      <c r="D1003" s="42">
        <v>69.95</v>
      </c>
      <c r="E1003" s="42">
        <v>2363834</v>
      </c>
      <c r="F1003" s="42" t="s">
        <v>1004</v>
      </c>
      <c r="G1003" s="25">
        <f t="shared" si="14"/>
        <v>2.2444603288062748E-2</v>
      </c>
    </row>
    <row r="1004" spans="1:7">
      <c r="A1004" s="42">
        <v>70.459999999999994</v>
      </c>
      <c r="B1004" s="42">
        <v>71.8</v>
      </c>
      <c r="C1004" s="42">
        <v>69.56</v>
      </c>
      <c r="D1004" s="42">
        <v>70.05</v>
      </c>
      <c r="E1004" s="42">
        <v>3145881</v>
      </c>
      <c r="F1004" s="42" t="s">
        <v>1005</v>
      </c>
      <c r="G1004" s="25">
        <f t="shared" si="14"/>
        <v>5.8529621698786283E-3</v>
      </c>
    </row>
    <row r="1005" spans="1:7">
      <c r="A1005" s="42">
        <v>68.81</v>
      </c>
      <c r="B1005" s="42">
        <v>70.3</v>
      </c>
      <c r="C1005" s="42">
        <v>67.739999999999995</v>
      </c>
      <c r="D1005" s="42">
        <v>67.8</v>
      </c>
      <c r="E1005" s="42">
        <v>6242565</v>
      </c>
      <c r="F1005" s="42" t="s">
        <v>1006</v>
      </c>
      <c r="G1005" s="25">
        <f t="shared" si="14"/>
        <v>1.489675516224187E-2</v>
      </c>
    </row>
    <row r="1006" spans="1:7">
      <c r="A1006" s="42">
        <v>67.989999999999995</v>
      </c>
      <c r="B1006" s="42">
        <v>70.17</v>
      </c>
      <c r="C1006" s="42">
        <v>67.11</v>
      </c>
      <c r="D1006" s="42">
        <v>69.23</v>
      </c>
      <c r="E1006" s="42">
        <v>4180404</v>
      </c>
      <c r="F1006" s="42" t="s">
        <v>1007</v>
      </c>
      <c r="G1006" s="25">
        <f t="shared" si="14"/>
        <v>-1.7911310125668156E-2</v>
      </c>
    </row>
    <row r="1007" spans="1:7">
      <c r="A1007" s="42">
        <v>71.510000000000005</v>
      </c>
      <c r="B1007" s="42">
        <v>73.33</v>
      </c>
      <c r="C1007" s="42">
        <v>69.643600000000006</v>
      </c>
      <c r="D1007" s="42">
        <v>70.37</v>
      </c>
      <c r="E1007" s="42">
        <v>2988637</v>
      </c>
      <c r="F1007" s="42" t="s">
        <v>1008</v>
      </c>
      <c r="G1007" s="25">
        <f t="shared" si="14"/>
        <v>1.6200085263606612E-2</v>
      </c>
    </row>
    <row r="1008" spans="1:7">
      <c r="A1008" s="42">
        <v>69.31</v>
      </c>
      <c r="B1008" s="42">
        <v>70.02</v>
      </c>
      <c r="C1008" s="42">
        <v>67.155000000000001</v>
      </c>
      <c r="D1008" s="42">
        <v>68.97</v>
      </c>
      <c r="E1008" s="42">
        <v>3292089</v>
      </c>
      <c r="F1008" s="42" t="s">
        <v>1009</v>
      </c>
      <c r="G1008" s="25">
        <f t="shared" si="14"/>
        <v>4.9296795708280161E-3</v>
      </c>
    </row>
    <row r="1009" spans="1:7">
      <c r="A1009" s="42">
        <v>68.06</v>
      </c>
      <c r="B1009" s="42">
        <v>71.819999999999993</v>
      </c>
      <c r="C1009" s="42">
        <v>67.64</v>
      </c>
      <c r="D1009" s="42">
        <v>70.83</v>
      </c>
      <c r="E1009" s="42">
        <v>3286916</v>
      </c>
      <c r="F1009" s="42" t="s">
        <v>1010</v>
      </c>
      <c r="G1009" s="25">
        <f t="shared" si="14"/>
        <v>-3.9107722716363091E-2</v>
      </c>
    </row>
    <row r="1010" spans="1:7">
      <c r="A1010" s="42">
        <v>73.462500000000006</v>
      </c>
      <c r="B1010" s="42">
        <v>73.685000000000002</v>
      </c>
      <c r="C1010" s="42">
        <v>72.290000000000006</v>
      </c>
      <c r="D1010" s="42">
        <v>73.042500000000004</v>
      </c>
      <c r="E1010" s="42">
        <v>3880372</v>
      </c>
      <c r="F1010" s="42" t="s">
        <v>1011</v>
      </c>
      <c r="G1010" s="25">
        <f t="shared" si="14"/>
        <v>5.7500770099598864E-3</v>
      </c>
    </row>
    <row r="1011" spans="1:7">
      <c r="A1011" s="42">
        <v>74.112499999999997</v>
      </c>
      <c r="B1011" s="42">
        <v>76.212500000000006</v>
      </c>
      <c r="C1011" s="42">
        <v>74.05</v>
      </c>
      <c r="D1011" s="42">
        <v>75.504999999999995</v>
      </c>
      <c r="E1011" s="42">
        <v>2623160</v>
      </c>
      <c r="F1011" s="42" t="s">
        <v>1012</v>
      </c>
      <c r="G1011" s="25">
        <f t="shared" si="14"/>
        <v>-1.8442487252499862E-2</v>
      </c>
    </row>
    <row r="1012" spans="1:7">
      <c r="A1012" s="42">
        <v>76.472499999999997</v>
      </c>
      <c r="B1012" s="42">
        <v>77.712474999999998</v>
      </c>
      <c r="C1012" s="42">
        <v>76.127499999999998</v>
      </c>
      <c r="D1012" s="42">
        <v>76.9375</v>
      </c>
      <c r="E1012" s="42">
        <v>3147380</v>
      </c>
      <c r="F1012" s="42" t="s">
        <v>1013</v>
      </c>
      <c r="G1012" s="25">
        <f t="shared" si="14"/>
        <v>-6.0438667749797004E-3</v>
      </c>
    </row>
    <row r="1013" spans="1:7">
      <c r="A1013" s="42">
        <v>77.099999999999994</v>
      </c>
      <c r="B1013" s="42">
        <v>77.424999999999997</v>
      </c>
      <c r="C1013" s="42">
        <v>73.217500000000001</v>
      </c>
      <c r="D1013" s="42">
        <v>73.217500000000001</v>
      </c>
      <c r="E1013" s="42">
        <v>3253980</v>
      </c>
      <c r="F1013" s="42" t="s">
        <v>1014</v>
      </c>
      <c r="G1013" s="25">
        <f t="shared" si="14"/>
        <v>5.3026940280670454E-2</v>
      </c>
    </row>
    <row r="1014" spans="1:7">
      <c r="A1014" s="42">
        <v>74.08</v>
      </c>
      <c r="B1014" s="42">
        <v>75.801249999999996</v>
      </c>
      <c r="C1014" s="42">
        <v>72.512500000000003</v>
      </c>
      <c r="D1014" s="42">
        <v>75.392499999999998</v>
      </c>
      <c r="E1014" s="42">
        <v>3909668</v>
      </c>
      <c r="F1014" s="42" t="s">
        <v>1015</v>
      </c>
      <c r="G1014" s="25">
        <f t="shared" si="14"/>
        <v>-1.7408893457572017E-2</v>
      </c>
    </row>
    <row r="1015" spans="1:7">
      <c r="A1015" s="42">
        <v>73.197500000000005</v>
      </c>
      <c r="B1015" s="42">
        <v>77.004999999999995</v>
      </c>
      <c r="C1015" s="42">
        <v>72.95</v>
      </c>
      <c r="D1015" s="42">
        <v>77.004999999999995</v>
      </c>
      <c r="E1015" s="42">
        <v>3868336</v>
      </c>
      <c r="F1015" s="42" t="s">
        <v>1016</v>
      </c>
      <c r="G1015" s="25">
        <f t="shared" si="14"/>
        <v>-4.9444841244074889E-2</v>
      </c>
    </row>
    <row r="1016" spans="1:7">
      <c r="A1016" s="42">
        <v>77.957499999999996</v>
      </c>
      <c r="B1016" s="42">
        <v>78.242500000000007</v>
      </c>
      <c r="C1016" s="42">
        <v>70.252499999999998</v>
      </c>
      <c r="D1016" s="42">
        <v>71.25</v>
      </c>
      <c r="E1016" s="42">
        <v>4857508</v>
      </c>
      <c r="F1016" s="42" t="s">
        <v>1017</v>
      </c>
      <c r="G1016" s="25">
        <f t="shared" si="14"/>
        <v>9.4140350877192969E-2</v>
      </c>
    </row>
    <row r="1017" spans="1:7">
      <c r="A1017" s="42">
        <v>70.962500000000006</v>
      </c>
      <c r="B1017" s="42">
        <v>75.432500000000005</v>
      </c>
      <c r="C1017" s="42">
        <v>69.724999999999994</v>
      </c>
      <c r="D1017" s="42">
        <v>74.78</v>
      </c>
      <c r="E1017" s="42">
        <v>3843592</v>
      </c>
      <c r="F1017" s="42" t="s">
        <v>1018</v>
      </c>
      <c r="G1017" s="25">
        <f t="shared" si="14"/>
        <v>-5.1049745921369238E-2</v>
      </c>
    </row>
    <row r="1018" spans="1:7">
      <c r="A1018" s="42">
        <v>74.484999999999999</v>
      </c>
      <c r="B1018" s="42">
        <v>81.234999999999999</v>
      </c>
      <c r="C1018" s="42">
        <v>73.94</v>
      </c>
      <c r="D1018" s="42">
        <v>76.417500000000004</v>
      </c>
      <c r="E1018" s="42">
        <v>10882116</v>
      </c>
      <c r="F1018" s="42" t="s">
        <v>1019</v>
      </c>
      <c r="G1018" s="25">
        <f t="shared" si="14"/>
        <v>-2.528871004678257E-2</v>
      </c>
    </row>
    <row r="1019" spans="1:7">
      <c r="A1019" s="42">
        <v>72.27</v>
      </c>
      <c r="B1019" s="42">
        <v>72.430000000000007</v>
      </c>
      <c r="C1019" s="42">
        <v>69.585025000000002</v>
      </c>
      <c r="D1019" s="42">
        <v>71.407499999999999</v>
      </c>
      <c r="E1019" s="42">
        <v>5984776</v>
      </c>
      <c r="F1019" s="42" t="s">
        <v>1020</v>
      </c>
      <c r="G1019" s="25">
        <f t="shared" si="14"/>
        <v>1.2078563176136869E-2</v>
      </c>
    </row>
    <row r="1020" spans="1:7">
      <c r="A1020" s="42">
        <v>70.157499999999999</v>
      </c>
      <c r="B1020" s="42">
        <v>71.132499999999993</v>
      </c>
      <c r="C1020" s="42">
        <v>68.144999999999996</v>
      </c>
      <c r="D1020" s="42">
        <v>71.132499999999993</v>
      </c>
      <c r="E1020" s="42">
        <v>6690420</v>
      </c>
      <c r="F1020" s="42" t="s">
        <v>1021</v>
      </c>
      <c r="G1020" s="25">
        <f t="shared" si="14"/>
        <v>-1.3706814747126761E-2</v>
      </c>
    </row>
    <row r="1021" spans="1:7">
      <c r="A1021" s="42">
        <v>70.33</v>
      </c>
      <c r="B1021" s="42">
        <v>75.797499999999999</v>
      </c>
      <c r="C1021" s="42">
        <v>66.892499999999998</v>
      </c>
      <c r="D1021" s="42">
        <v>71.951250000000002</v>
      </c>
      <c r="E1021" s="42">
        <v>11797268</v>
      </c>
      <c r="F1021" s="42" t="s">
        <v>1022</v>
      </c>
      <c r="G1021" s="25">
        <f t="shared" si="14"/>
        <v>-2.253261757092484E-2</v>
      </c>
    </row>
    <row r="1022" spans="1:7">
      <c r="A1022" s="42">
        <v>72.032499999999999</v>
      </c>
      <c r="B1022" s="42">
        <v>76.62</v>
      </c>
      <c r="C1022" s="42">
        <v>70.732500000000002</v>
      </c>
      <c r="D1022" s="42">
        <v>74.082499999999996</v>
      </c>
      <c r="E1022" s="42">
        <v>8485068</v>
      </c>
      <c r="F1022" s="42" t="s">
        <v>1023</v>
      </c>
      <c r="G1022" s="25">
        <f t="shared" si="14"/>
        <v>-2.7671852326797808E-2</v>
      </c>
    </row>
    <row r="1023" spans="1:7">
      <c r="A1023" s="42">
        <v>80.98</v>
      </c>
      <c r="B1023" s="42">
        <v>81.405000000000001</v>
      </c>
      <c r="C1023" s="42">
        <v>77.91</v>
      </c>
      <c r="D1023" s="42">
        <v>80.692499999999995</v>
      </c>
      <c r="E1023" s="42">
        <v>2403432</v>
      </c>
      <c r="F1023" s="42" t="s">
        <v>1024</v>
      </c>
      <c r="G1023" s="25">
        <f t="shared" si="14"/>
        <v>3.5629085726680554E-3</v>
      </c>
    </row>
    <row r="1024" spans="1:7">
      <c r="A1024" s="42">
        <v>80.307500000000005</v>
      </c>
      <c r="B1024" s="42">
        <v>81.463750000000005</v>
      </c>
      <c r="C1024" s="42">
        <v>77.307500000000005</v>
      </c>
      <c r="D1024" s="42">
        <v>81.174999999999997</v>
      </c>
      <c r="E1024" s="42">
        <v>3301184</v>
      </c>
      <c r="F1024" s="42" t="s">
        <v>1025</v>
      </c>
      <c r="G1024" s="25">
        <f t="shared" si="14"/>
        <v>-1.0686787804126796E-2</v>
      </c>
    </row>
    <row r="1025" spans="1:7">
      <c r="A1025" s="42">
        <v>79.03</v>
      </c>
      <c r="B1025" s="42">
        <v>80.363749999999996</v>
      </c>
      <c r="C1025" s="42">
        <v>76.252499999999998</v>
      </c>
      <c r="D1025" s="42">
        <v>77.75</v>
      </c>
      <c r="E1025" s="42">
        <v>3669304</v>
      </c>
      <c r="F1025" s="42" t="s">
        <v>1026</v>
      </c>
      <c r="G1025" s="25">
        <f t="shared" si="14"/>
        <v>1.6463022508038661E-2</v>
      </c>
    </row>
    <row r="1026" spans="1:7">
      <c r="A1026" s="42">
        <v>77.122500000000002</v>
      </c>
      <c r="B1026" s="42">
        <v>82.275000000000006</v>
      </c>
      <c r="C1026" s="42">
        <v>76.722499999999997</v>
      </c>
      <c r="D1026" s="42">
        <v>81.765000000000001</v>
      </c>
      <c r="E1026" s="42">
        <v>4139508</v>
      </c>
      <c r="F1026" s="42" t="s">
        <v>1027</v>
      </c>
      <c r="G1026" s="25">
        <f t="shared" si="14"/>
        <v>-5.6778572738946931E-2</v>
      </c>
    </row>
    <row r="1027" spans="1:7">
      <c r="A1027" s="42">
        <v>83.04</v>
      </c>
      <c r="B1027" s="42">
        <v>84.537499999999994</v>
      </c>
      <c r="C1027" s="42">
        <v>80.347499999999997</v>
      </c>
      <c r="D1027" s="42">
        <v>83.422499999999999</v>
      </c>
      <c r="E1027" s="42">
        <v>2229580</v>
      </c>
      <c r="F1027" s="42" t="s">
        <v>1028</v>
      </c>
      <c r="G1027" s="25">
        <f t="shared" ref="G1027:G1090" si="15">A1027/D1027-1</f>
        <v>-4.5850939494739285E-3</v>
      </c>
    </row>
    <row r="1028" spans="1:7">
      <c r="A1028" s="42">
        <v>81.150000000000006</v>
      </c>
      <c r="B1028" s="42">
        <v>84.797499999999999</v>
      </c>
      <c r="C1028" s="42">
        <v>80.772499999999994</v>
      </c>
      <c r="D1028" s="42">
        <v>83.694999999999993</v>
      </c>
      <c r="E1028" s="42">
        <v>2742756</v>
      </c>
      <c r="F1028" s="42" t="s">
        <v>1029</v>
      </c>
      <c r="G1028" s="25">
        <f t="shared" si="15"/>
        <v>-3.0408029153473737E-2</v>
      </c>
    </row>
    <row r="1029" spans="1:7">
      <c r="A1029" s="42">
        <v>83.685000000000002</v>
      </c>
      <c r="B1029" s="42">
        <v>84.420124999999999</v>
      </c>
      <c r="C1029" s="42">
        <v>79.12</v>
      </c>
      <c r="D1029" s="42">
        <v>79.125</v>
      </c>
      <c r="E1029" s="42">
        <v>4758036</v>
      </c>
      <c r="F1029" s="42" t="s">
        <v>1030</v>
      </c>
      <c r="G1029" s="25">
        <f t="shared" si="15"/>
        <v>5.7630331753554476E-2</v>
      </c>
    </row>
    <row r="1030" spans="1:7">
      <c r="A1030" s="42">
        <v>77.88</v>
      </c>
      <c r="B1030" s="42">
        <v>80.196299999999994</v>
      </c>
      <c r="C1030" s="42">
        <v>75.652500000000003</v>
      </c>
      <c r="D1030" s="42">
        <v>77.400000000000006</v>
      </c>
      <c r="E1030" s="42">
        <v>4437932</v>
      </c>
      <c r="F1030" s="42" t="s">
        <v>1031</v>
      </c>
      <c r="G1030" s="25">
        <f t="shared" si="15"/>
        <v>6.2015503875967326E-3</v>
      </c>
    </row>
    <row r="1031" spans="1:7">
      <c r="A1031" s="42">
        <v>78.734999999999999</v>
      </c>
      <c r="B1031" s="42">
        <v>84.487499999999997</v>
      </c>
      <c r="C1031" s="42">
        <v>78.344999999999999</v>
      </c>
      <c r="D1031" s="42">
        <v>81.8</v>
      </c>
      <c r="E1031" s="42">
        <v>3912368</v>
      </c>
      <c r="F1031" s="42" t="s">
        <v>1032</v>
      </c>
      <c r="G1031" s="25">
        <f t="shared" si="15"/>
        <v>-3.7469437652811743E-2</v>
      </c>
    </row>
    <row r="1032" spans="1:7">
      <c r="A1032" s="42">
        <v>81.857500000000002</v>
      </c>
      <c r="B1032" s="42">
        <v>86.436250000000001</v>
      </c>
      <c r="C1032" s="42">
        <v>79.682500000000005</v>
      </c>
      <c r="D1032" s="42">
        <v>85.155000000000001</v>
      </c>
      <c r="E1032" s="42">
        <v>3253092</v>
      </c>
      <c r="F1032" s="42" t="s">
        <v>1033</v>
      </c>
      <c r="G1032" s="25">
        <f t="shared" si="15"/>
        <v>-3.8723504198226788E-2</v>
      </c>
    </row>
    <row r="1033" spans="1:7">
      <c r="A1033" s="42">
        <v>82.504999999999995</v>
      </c>
      <c r="B1033" s="42">
        <v>87.137500000000003</v>
      </c>
      <c r="C1033" s="42">
        <v>80.5</v>
      </c>
      <c r="D1033" s="42">
        <v>85.692499999999995</v>
      </c>
      <c r="E1033" s="42">
        <v>6014616</v>
      </c>
      <c r="F1033" s="42" t="s">
        <v>1034</v>
      </c>
      <c r="G1033" s="25">
        <f t="shared" si="15"/>
        <v>-3.7196954225865775E-2</v>
      </c>
    </row>
    <row r="1034" spans="1:7">
      <c r="A1034" s="42">
        <v>87.972499999999997</v>
      </c>
      <c r="B1034" s="42">
        <v>93.449375000000003</v>
      </c>
      <c r="C1034" s="42">
        <v>86.92</v>
      </c>
      <c r="D1034" s="42">
        <v>93.052499999999995</v>
      </c>
      <c r="E1034" s="42">
        <v>5272240</v>
      </c>
      <c r="F1034" s="42" t="s">
        <v>1035</v>
      </c>
      <c r="G1034" s="25">
        <f t="shared" si="15"/>
        <v>-5.4592837376749692E-2</v>
      </c>
    </row>
    <row r="1035" spans="1:7">
      <c r="A1035" s="42">
        <v>94.822500000000005</v>
      </c>
      <c r="B1035" s="42">
        <v>102.20874999999999</v>
      </c>
      <c r="C1035" s="42">
        <v>93.075000000000003</v>
      </c>
      <c r="D1035" s="42">
        <v>100.2475</v>
      </c>
      <c r="E1035" s="42">
        <v>2923836</v>
      </c>
      <c r="F1035" s="42" t="s">
        <v>1036</v>
      </c>
      <c r="G1035" s="25">
        <f t="shared" si="15"/>
        <v>-5.4116062744706817E-2</v>
      </c>
    </row>
    <row r="1036" spans="1:7">
      <c r="A1036" s="42">
        <v>101.50749999999999</v>
      </c>
      <c r="B1036" s="42">
        <v>102.4325</v>
      </c>
      <c r="C1036" s="42">
        <v>94.49</v>
      </c>
      <c r="D1036" s="42">
        <v>99.337500000000006</v>
      </c>
      <c r="E1036" s="42">
        <v>3529436</v>
      </c>
      <c r="F1036" s="42" t="s">
        <v>1037</v>
      </c>
      <c r="G1036" s="25">
        <f t="shared" si="15"/>
        <v>2.1844721278469814E-2</v>
      </c>
    </row>
    <row r="1037" spans="1:7">
      <c r="A1037" s="42">
        <v>98.85</v>
      </c>
      <c r="B1037" s="42">
        <v>101.88249999999999</v>
      </c>
      <c r="C1037" s="42">
        <v>98.257499999999993</v>
      </c>
      <c r="D1037" s="42">
        <v>101.355</v>
      </c>
      <c r="E1037" s="42">
        <v>2788648</v>
      </c>
      <c r="F1037" s="42" t="s">
        <v>1038</v>
      </c>
      <c r="G1037" s="25">
        <f t="shared" si="15"/>
        <v>-2.4715110256030903E-2</v>
      </c>
    </row>
    <row r="1038" spans="1:7">
      <c r="A1038" s="42">
        <v>101.785</v>
      </c>
      <c r="B1038" s="42">
        <v>103.44750000000001</v>
      </c>
      <c r="C1038" s="42">
        <v>99.38</v>
      </c>
      <c r="D1038" s="42">
        <v>102.24</v>
      </c>
      <c r="E1038" s="42">
        <v>2750276</v>
      </c>
      <c r="F1038" s="42" t="s">
        <v>1039</v>
      </c>
      <c r="G1038" s="25">
        <f t="shared" si="15"/>
        <v>-4.4503129890454129E-3</v>
      </c>
    </row>
    <row r="1039" spans="1:7">
      <c r="A1039" s="42">
        <v>102.145</v>
      </c>
      <c r="B1039" s="42">
        <v>107.87</v>
      </c>
      <c r="C1039" s="42">
        <v>101.30500000000001</v>
      </c>
      <c r="D1039" s="42">
        <v>103.095</v>
      </c>
      <c r="E1039" s="42">
        <v>5434512</v>
      </c>
      <c r="F1039" s="42" t="s">
        <v>1040</v>
      </c>
      <c r="G1039" s="25">
        <f t="shared" si="15"/>
        <v>-9.2148018817596045E-3</v>
      </c>
    </row>
    <row r="1040" spans="1:7">
      <c r="A1040" s="42">
        <v>103.3075</v>
      </c>
      <c r="B1040" s="42">
        <v>104.4175</v>
      </c>
      <c r="C1040" s="42">
        <v>99.567499999999995</v>
      </c>
      <c r="D1040" s="42">
        <v>103.75</v>
      </c>
      <c r="E1040" s="42">
        <v>4605556</v>
      </c>
      <c r="F1040" s="42" t="s">
        <v>1041</v>
      </c>
      <c r="G1040" s="25">
        <f t="shared" si="15"/>
        <v>-4.2650602409638472E-3</v>
      </c>
    </row>
    <row r="1041" spans="1:7">
      <c r="A1041" s="42">
        <v>103.255</v>
      </c>
      <c r="B1041" s="42">
        <v>107.655</v>
      </c>
      <c r="C1041" s="42">
        <v>102.755</v>
      </c>
      <c r="D1041" s="42">
        <v>106.36</v>
      </c>
      <c r="E1041" s="42">
        <v>2857744</v>
      </c>
      <c r="F1041" s="42" t="s">
        <v>1042</v>
      </c>
      <c r="G1041" s="25">
        <f t="shared" si="15"/>
        <v>-2.9193305754042886E-2</v>
      </c>
    </row>
    <row r="1042" spans="1:7">
      <c r="A1042" s="42">
        <v>105.875</v>
      </c>
      <c r="B1042" s="42">
        <v>109.45</v>
      </c>
      <c r="C1042" s="42">
        <v>104.93625</v>
      </c>
      <c r="D1042" s="42">
        <v>109.07</v>
      </c>
      <c r="E1042" s="42">
        <v>2624968</v>
      </c>
      <c r="F1042" s="42" t="s">
        <v>1043</v>
      </c>
      <c r="G1042" s="25">
        <f t="shared" si="15"/>
        <v>-2.9293114513615048E-2</v>
      </c>
    </row>
    <row r="1043" spans="1:7">
      <c r="A1043" s="42">
        <v>110.6225</v>
      </c>
      <c r="B1043" s="42">
        <v>112.52875</v>
      </c>
      <c r="C1043" s="42">
        <v>108.83750000000001</v>
      </c>
      <c r="D1043" s="42">
        <v>109.985</v>
      </c>
      <c r="E1043" s="42">
        <v>2461316</v>
      </c>
      <c r="F1043" s="42" t="s">
        <v>1044</v>
      </c>
      <c r="G1043" s="25">
        <f t="shared" si="15"/>
        <v>5.7962449424922013E-3</v>
      </c>
    </row>
    <row r="1044" spans="1:7">
      <c r="A1044" s="42">
        <v>110.16249999999999</v>
      </c>
      <c r="B1044" s="42">
        <v>116.9575</v>
      </c>
      <c r="C1044" s="42">
        <v>109.86375</v>
      </c>
      <c r="D1044" s="42">
        <v>116.72499999999999</v>
      </c>
      <c r="E1044" s="42">
        <v>2460528</v>
      </c>
      <c r="F1044" s="42" t="s">
        <v>1045</v>
      </c>
      <c r="G1044" s="25">
        <f t="shared" si="15"/>
        <v>-5.6221889055472318E-2</v>
      </c>
    </row>
    <row r="1045" spans="1:7">
      <c r="A1045" s="42">
        <v>118.10250000000001</v>
      </c>
      <c r="B1045" s="42">
        <v>125.94499999999999</v>
      </c>
      <c r="C1045" s="42">
        <v>117.55249999999999</v>
      </c>
      <c r="D1045" s="42">
        <v>124.78</v>
      </c>
      <c r="E1045" s="42">
        <v>1900756</v>
      </c>
      <c r="F1045" s="42" t="s">
        <v>1046</v>
      </c>
      <c r="G1045" s="25">
        <f t="shared" si="15"/>
        <v>-5.351418496553928E-2</v>
      </c>
    </row>
    <row r="1046" spans="1:7">
      <c r="A1046" s="42">
        <v>124.0975</v>
      </c>
      <c r="B1046" s="42">
        <v>125.63249999999999</v>
      </c>
      <c r="C1046" s="42">
        <v>120.7475</v>
      </c>
      <c r="D1046" s="42">
        <v>122.935</v>
      </c>
      <c r="E1046" s="42">
        <v>2166332</v>
      </c>
      <c r="F1046" s="42" t="s">
        <v>1047</v>
      </c>
      <c r="G1046" s="25">
        <f t="shared" si="15"/>
        <v>9.4562166998819475E-3</v>
      </c>
    </row>
    <row r="1047" spans="1:7">
      <c r="A1047" s="42">
        <v>122.94750000000001</v>
      </c>
      <c r="B1047" s="42">
        <v>123.9975</v>
      </c>
      <c r="C1047" s="42">
        <v>119.4725</v>
      </c>
      <c r="D1047" s="42">
        <v>119.4725</v>
      </c>
      <c r="E1047" s="42">
        <v>1992200</v>
      </c>
      <c r="F1047" s="42" t="s">
        <v>1048</v>
      </c>
      <c r="G1047" s="25">
        <f t="shared" si="15"/>
        <v>2.9086191382954318E-2</v>
      </c>
    </row>
    <row r="1048" spans="1:7">
      <c r="A1048" s="42">
        <v>120.1575</v>
      </c>
      <c r="B1048" s="42">
        <v>122.9975</v>
      </c>
      <c r="C1048" s="42">
        <v>119.0275</v>
      </c>
      <c r="D1048" s="42">
        <v>122.47</v>
      </c>
      <c r="E1048" s="42">
        <v>1343864</v>
      </c>
      <c r="F1048" s="42" t="s">
        <v>1049</v>
      </c>
      <c r="G1048" s="25">
        <f t="shared" si="15"/>
        <v>-1.8882175226586084E-2</v>
      </c>
    </row>
    <row r="1049" spans="1:7">
      <c r="A1049" s="42">
        <v>123.0275</v>
      </c>
      <c r="B1049" s="42">
        <v>125</v>
      </c>
      <c r="C1049" s="42">
        <v>121.88</v>
      </c>
      <c r="D1049" s="42">
        <v>124.85</v>
      </c>
      <c r="E1049" s="42">
        <v>1640980</v>
      </c>
      <c r="F1049" s="42" t="s">
        <v>1050</v>
      </c>
      <c r="G1049" s="25">
        <f t="shared" si="15"/>
        <v>-1.4597517020424444E-2</v>
      </c>
    </row>
    <row r="1050" spans="1:7">
      <c r="A1050" s="42">
        <v>124.7</v>
      </c>
      <c r="B1050" s="42">
        <v>125.72750000000001</v>
      </c>
      <c r="C1050" s="42">
        <v>123.37</v>
      </c>
      <c r="D1050" s="42">
        <v>123.39749999999999</v>
      </c>
      <c r="E1050" s="42">
        <v>1986592</v>
      </c>
      <c r="F1050" s="42" t="s">
        <v>1051</v>
      </c>
      <c r="G1050" s="25">
        <f t="shared" si="15"/>
        <v>1.0555319192042001E-2</v>
      </c>
    </row>
    <row r="1051" spans="1:7">
      <c r="A1051" s="42">
        <v>122.6075</v>
      </c>
      <c r="B1051" s="42">
        <v>127.19499999999999</v>
      </c>
      <c r="C1051" s="42">
        <v>122.1275</v>
      </c>
      <c r="D1051" s="42">
        <v>125.2925</v>
      </c>
      <c r="E1051" s="42">
        <v>2509576</v>
      </c>
      <c r="F1051" s="42" t="s">
        <v>1052</v>
      </c>
      <c r="G1051" s="25">
        <f t="shared" si="15"/>
        <v>-2.1429854141309379E-2</v>
      </c>
    </row>
    <row r="1052" spans="1:7">
      <c r="A1052" s="42">
        <v>123.1225</v>
      </c>
      <c r="B1052" s="42">
        <v>125.455</v>
      </c>
      <c r="C1052" s="42">
        <v>122.5025</v>
      </c>
      <c r="D1052" s="42">
        <v>124.6875</v>
      </c>
      <c r="E1052" s="42">
        <v>1979832</v>
      </c>
      <c r="F1052" s="42" t="s">
        <v>1053</v>
      </c>
      <c r="G1052" s="25">
        <f t="shared" si="15"/>
        <v>-1.2551378446115313E-2</v>
      </c>
    </row>
    <row r="1053" spans="1:7">
      <c r="A1053" s="42">
        <v>126.4975</v>
      </c>
      <c r="B1053" s="42">
        <v>128.70249999999999</v>
      </c>
      <c r="C1053" s="42">
        <v>125.4725</v>
      </c>
      <c r="D1053" s="42">
        <v>127.5025</v>
      </c>
      <c r="E1053" s="42">
        <v>1496192</v>
      </c>
      <c r="F1053" s="42" t="s">
        <v>1054</v>
      </c>
      <c r="G1053" s="25">
        <f t="shared" si="15"/>
        <v>-7.88219838826687E-3</v>
      </c>
    </row>
    <row r="1054" spans="1:7">
      <c r="A1054" s="42">
        <v>128.13</v>
      </c>
      <c r="B1054" s="42">
        <v>130.17750000000001</v>
      </c>
      <c r="C1054" s="42">
        <v>125.59125</v>
      </c>
      <c r="D1054" s="42">
        <v>126.07</v>
      </c>
      <c r="E1054" s="42">
        <v>2117516</v>
      </c>
      <c r="F1054" s="42" t="s">
        <v>1055</v>
      </c>
      <c r="G1054" s="25">
        <f t="shared" si="15"/>
        <v>1.6340128500039741E-2</v>
      </c>
    </row>
    <row r="1055" spans="1:7">
      <c r="A1055" s="42">
        <v>127.38500000000001</v>
      </c>
      <c r="B1055" s="42">
        <v>127.9725</v>
      </c>
      <c r="C1055" s="42">
        <v>125.205</v>
      </c>
      <c r="D1055" s="42">
        <v>127.155</v>
      </c>
      <c r="E1055" s="42">
        <v>2479420</v>
      </c>
      <c r="F1055" s="42" t="s">
        <v>1056</v>
      </c>
      <c r="G1055" s="25">
        <f t="shared" si="15"/>
        <v>1.8088160119540397E-3</v>
      </c>
    </row>
    <row r="1056" spans="1:7">
      <c r="A1056" s="42">
        <v>129.10499999999999</v>
      </c>
      <c r="B1056" s="42">
        <v>130.86000000000001</v>
      </c>
      <c r="C1056" s="42">
        <v>126.565</v>
      </c>
      <c r="D1056" s="42">
        <v>130.45500000000001</v>
      </c>
      <c r="E1056" s="42">
        <v>4176908</v>
      </c>
      <c r="F1056" s="42" t="s">
        <v>1057</v>
      </c>
      <c r="G1056" s="25">
        <f t="shared" si="15"/>
        <v>-1.0348395998620363E-2</v>
      </c>
    </row>
    <row r="1057" spans="1:7">
      <c r="A1057" s="42">
        <v>130.55000000000001</v>
      </c>
      <c r="B1057" s="42">
        <v>134.76499999999999</v>
      </c>
      <c r="C1057" s="42">
        <v>130.2225</v>
      </c>
      <c r="D1057" s="42">
        <v>132.6225</v>
      </c>
      <c r="E1057" s="42">
        <v>3286468</v>
      </c>
      <c r="F1057" s="42" t="s">
        <v>1058</v>
      </c>
      <c r="G1057" s="25">
        <f t="shared" si="15"/>
        <v>-1.56270617730776E-2</v>
      </c>
    </row>
    <row r="1058" spans="1:7">
      <c r="A1058" s="42">
        <v>132.89250000000001</v>
      </c>
      <c r="B1058" s="42">
        <v>134.13499999999999</v>
      </c>
      <c r="C1058" s="42">
        <v>129.33500000000001</v>
      </c>
      <c r="D1058" s="42">
        <v>130.625</v>
      </c>
      <c r="E1058" s="42">
        <v>3613464</v>
      </c>
      <c r="F1058" s="42" t="s">
        <v>1059</v>
      </c>
      <c r="G1058" s="25">
        <f t="shared" si="15"/>
        <v>1.735885167464124E-2</v>
      </c>
    </row>
    <row r="1059" spans="1:7">
      <c r="A1059" s="42">
        <v>127.9</v>
      </c>
      <c r="B1059" s="42">
        <v>130.19</v>
      </c>
      <c r="C1059" s="42">
        <v>127.08</v>
      </c>
      <c r="D1059" s="42">
        <v>129.99250000000001</v>
      </c>
      <c r="E1059" s="42">
        <v>3658356</v>
      </c>
      <c r="F1059" s="42" t="s">
        <v>1060</v>
      </c>
      <c r="G1059" s="25">
        <f t="shared" si="15"/>
        <v>-1.6097082523991779E-2</v>
      </c>
    </row>
    <row r="1060" spans="1:7">
      <c r="A1060" s="42">
        <v>129.755</v>
      </c>
      <c r="B1060" s="42">
        <v>130.60749999999999</v>
      </c>
      <c r="C1060" s="42">
        <v>126.7</v>
      </c>
      <c r="D1060" s="42">
        <v>128.38749999999999</v>
      </c>
      <c r="E1060" s="42">
        <v>2854992</v>
      </c>
      <c r="F1060" s="42" t="s">
        <v>1061</v>
      </c>
      <c r="G1060" s="25">
        <f t="shared" si="15"/>
        <v>1.0651348456820253E-2</v>
      </c>
    </row>
    <row r="1061" spans="1:7">
      <c r="A1061" s="42">
        <v>128.82249999999999</v>
      </c>
      <c r="B1061" s="42">
        <v>129</v>
      </c>
      <c r="C1061" s="42">
        <v>124.57</v>
      </c>
      <c r="D1061" s="42">
        <v>125</v>
      </c>
      <c r="E1061" s="42">
        <v>3346580</v>
      </c>
      <c r="F1061" s="42" t="s">
        <v>1062</v>
      </c>
      <c r="G1061" s="25">
        <f t="shared" si="15"/>
        <v>3.057999999999983E-2</v>
      </c>
    </row>
    <row r="1062" spans="1:7">
      <c r="A1062" s="42">
        <v>123.77</v>
      </c>
      <c r="B1062" s="42">
        <v>123.83625000000001</v>
      </c>
      <c r="C1062" s="42">
        <v>119.69499999999999</v>
      </c>
      <c r="D1062" s="42">
        <v>119.69499999999999</v>
      </c>
      <c r="E1062" s="42">
        <v>2570948</v>
      </c>
      <c r="F1062" s="42" t="s">
        <v>1063</v>
      </c>
      <c r="G1062" s="25">
        <f t="shared" si="15"/>
        <v>3.4044864029408206E-2</v>
      </c>
    </row>
    <row r="1063" spans="1:7">
      <c r="A1063" s="42">
        <v>120.24250000000001</v>
      </c>
      <c r="B1063" s="42">
        <v>121.66374999999999</v>
      </c>
      <c r="C1063" s="42">
        <v>118.9325</v>
      </c>
      <c r="D1063" s="42">
        <v>120.38</v>
      </c>
      <c r="E1063" s="42">
        <v>3864484</v>
      </c>
      <c r="F1063" s="42" t="s">
        <v>1064</v>
      </c>
      <c r="G1063" s="25">
        <f t="shared" si="15"/>
        <v>-1.1422163150024423E-3</v>
      </c>
    </row>
    <row r="1064" spans="1:7">
      <c r="A1064" s="42">
        <v>117.0975</v>
      </c>
      <c r="B1064" s="42">
        <v>117.49</v>
      </c>
      <c r="C1064" s="42">
        <v>110.52334999999999</v>
      </c>
      <c r="D1064" s="42">
        <v>113.2825</v>
      </c>
      <c r="E1064" s="42">
        <v>2718920</v>
      </c>
      <c r="F1064" s="42" t="s">
        <v>1065</v>
      </c>
      <c r="G1064" s="25">
        <f t="shared" si="15"/>
        <v>3.3676869772471418E-2</v>
      </c>
    </row>
    <row r="1065" spans="1:7">
      <c r="A1065" s="42">
        <v>112.3275</v>
      </c>
      <c r="B1065" s="42">
        <v>114.995</v>
      </c>
      <c r="C1065" s="42">
        <v>111.21</v>
      </c>
      <c r="D1065" s="42">
        <v>114.995</v>
      </c>
      <c r="E1065" s="42">
        <v>2992296</v>
      </c>
      <c r="F1065" s="42" t="s">
        <v>1066</v>
      </c>
      <c r="G1065" s="25">
        <f t="shared" si="15"/>
        <v>-2.3196660724379314E-2</v>
      </c>
    </row>
    <row r="1066" spans="1:7">
      <c r="A1066" s="42">
        <v>116.17749999999999</v>
      </c>
      <c r="B1066" s="42">
        <v>117.11875000000001</v>
      </c>
      <c r="C1066" s="42">
        <v>113.6675</v>
      </c>
      <c r="D1066" s="42">
        <v>113.80249999999999</v>
      </c>
      <c r="E1066" s="42">
        <v>1822392</v>
      </c>
      <c r="F1066" s="42" t="s">
        <v>1067</v>
      </c>
      <c r="G1066" s="25">
        <f t="shared" si="15"/>
        <v>2.0869488807363723E-2</v>
      </c>
    </row>
    <row r="1067" spans="1:7">
      <c r="A1067" s="42">
        <v>115.08499999999999</v>
      </c>
      <c r="B1067" s="42">
        <v>116.77</v>
      </c>
      <c r="C1067" s="42">
        <v>111.91500000000001</v>
      </c>
      <c r="D1067" s="42">
        <v>116.255</v>
      </c>
      <c r="E1067" s="42">
        <v>2404548</v>
      </c>
      <c r="F1067" s="42" t="s">
        <v>1068</v>
      </c>
      <c r="G1067" s="25">
        <f t="shared" si="15"/>
        <v>-1.006408326523589E-2</v>
      </c>
    </row>
    <row r="1068" spans="1:7">
      <c r="A1068" s="42">
        <v>117.0125</v>
      </c>
      <c r="B1068" s="42">
        <v>117.3575</v>
      </c>
      <c r="C1068" s="42">
        <v>112.5</v>
      </c>
      <c r="D1068" s="42">
        <v>113.82250000000001</v>
      </c>
      <c r="E1068" s="42">
        <v>4040664</v>
      </c>
      <c r="F1068" s="42" t="s">
        <v>1069</v>
      </c>
      <c r="G1068" s="25">
        <f t="shared" si="15"/>
        <v>2.8026093259241325E-2</v>
      </c>
    </row>
    <row r="1069" spans="1:7">
      <c r="A1069" s="42">
        <v>113.6825</v>
      </c>
      <c r="B1069" s="42">
        <v>114.16625000000001</v>
      </c>
      <c r="C1069" s="42">
        <v>108.64375</v>
      </c>
      <c r="D1069" s="42">
        <v>108.855</v>
      </c>
      <c r="E1069" s="42">
        <v>3247804</v>
      </c>
      <c r="F1069" s="42" t="s">
        <v>1070</v>
      </c>
      <c r="G1069" s="25">
        <f t="shared" si="15"/>
        <v>4.4347985852739802E-2</v>
      </c>
    </row>
    <row r="1070" spans="1:7">
      <c r="A1070" s="42">
        <v>109.33</v>
      </c>
      <c r="B1070" s="42">
        <v>109.76875</v>
      </c>
      <c r="C1070" s="42">
        <v>105.09</v>
      </c>
      <c r="D1070" s="42">
        <v>105.5025</v>
      </c>
      <c r="E1070" s="42">
        <v>3523876</v>
      </c>
      <c r="F1070" s="42" t="s">
        <v>1071</v>
      </c>
      <c r="G1070" s="25">
        <f t="shared" si="15"/>
        <v>3.6278761166796958E-2</v>
      </c>
    </row>
    <row r="1071" spans="1:7">
      <c r="A1071" s="42">
        <v>104.02</v>
      </c>
      <c r="B1071" s="42">
        <v>104.55</v>
      </c>
      <c r="C1071" s="42">
        <v>100.82250000000001</v>
      </c>
      <c r="D1071" s="42">
        <v>103.10250000000001</v>
      </c>
      <c r="E1071" s="42">
        <v>3428760</v>
      </c>
      <c r="F1071" s="42" t="s">
        <v>1072</v>
      </c>
      <c r="G1071" s="25">
        <f t="shared" si="15"/>
        <v>8.8989112776118873E-3</v>
      </c>
    </row>
    <row r="1072" spans="1:7">
      <c r="A1072" s="42">
        <v>101.82250000000001</v>
      </c>
      <c r="B1072" s="42">
        <v>104.25</v>
      </c>
      <c r="C1072" s="42">
        <v>97.092500000000001</v>
      </c>
      <c r="D1072" s="42">
        <v>97.1</v>
      </c>
      <c r="E1072" s="42">
        <v>4262632</v>
      </c>
      <c r="F1072" s="42" t="s">
        <v>1073</v>
      </c>
      <c r="G1072" s="25">
        <f t="shared" si="15"/>
        <v>4.8635427394438935E-2</v>
      </c>
    </row>
    <row r="1073" spans="1:7">
      <c r="A1073" s="42">
        <v>97.564999999999998</v>
      </c>
      <c r="B1073" s="42">
        <v>103.7375</v>
      </c>
      <c r="C1073" s="42">
        <v>97.515000000000001</v>
      </c>
      <c r="D1073" s="42">
        <v>103.4225</v>
      </c>
      <c r="E1073" s="42">
        <v>2430188</v>
      </c>
      <c r="F1073" s="42" t="s">
        <v>1074</v>
      </c>
      <c r="G1073" s="25">
        <f t="shared" si="15"/>
        <v>-5.6636611955812377E-2</v>
      </c>
    </row>
    <row r="1074" spans="1:7">
      <c r="A1074" s="42">
        <v>101.395</v>
      </c>
      <c r="B1074" s="42">
        <v>102.495</v>
      </c>
      <c r="C1074" s="42">
        <v>100.30249999999999</v>
      </c>
      <c r="D1074" s="42">
        <v>100.3175</v>
      </c>
      <c r="E1074" s="42">
        <v>2539100</v>
      </c>
      <c r="F1074" s="42" t="s">
        <v>1075</v>
      </c>
      <c r="G1074" s="25">
        <f t="shared" si="15"/>
        <v>1.0740897649961445E-2</v>
      </c>
    </row>
    <row r="1075" spans="1:7">
      <c r="A1075" s="42">
        <v>103.06</v>
      </c>
      <c r="B1075" s="42">
        <v>103.07</v>
      </c>
      <c r="C1075" s="42">
        <v>100.0025</v>
      </c>
      <c r="D1075" s="42">
        <v>101.0325</v>
      </c>
      <c r="E1075" s="42">
        <v>4221224</v>
      </c>
      <c r="F1075" s="42" t="s">
        <v>1076</v>
      </c>
      <c r="G1075" s="25">
        <f t="shared" si="15"/>
        <v>2.0067799965357791E-2</v>
      </c>
    </row>
    <row r="1076" spans="1:7">
      <c r="A1076" s="42">
        <v>100.2</v>
      </c>
      <c r="B1076" s="42">
        <v>104.10124999999999</v>
      </c>
      <c r="C1076" s="42">
        <v>98.25</v>
      </c>
      <c r="D1076" s="42">
        <v>102.91500000000001</v>
      </c>
      <c r="E1076" s="42">
        <v>4589464</v>
      </c>
      <c r="F1076" s="42" t="s">
        <v>1077</v>
      </c>
      <c r="G1076" s="25">
        <f t="shared" si="15"/>
        <v>-2.6380994024194804E-2</v>
      </c>
    </row>
    <row r="1077" spans="1:7">
      <c r="A1077" s="42">
        <v>105.2025</v>
      </c>
      <c r="B1077" s="42">
        <v>109.942475</v>
      </c>
      <c r="C1077" s="42">
        <v>104.67</v>
      </c>
      <c r="D1077" s="42">
        <v>109.1725</v>
      </c>
      <c r="E1077" s="42">
        <v>4663576</v>
      </c>
      <c r="F1077" s="42" t="s">
        <v>1078</v>
      </c>
      <c r="G1077" s="25">
        <f t="shared" si="15"/>
        <v>-3.6364469074171568E-2</v>
      </c>
    </row>
    <row r="1078" spans="1:7">
      <c r="A1078" s="42">
        <v>108.015</v>
      </c>
      <c r="B1078" s="42">
        <v>108.7475</v>
      </c>
      <c r="C1078" s="42">
        <v>105.2625</v>
      </c>
      <c r="D1078" s="42">
        <v>105.735</v>
      </c>
      <c r="E1078" s="42">
        <v>4670936</v>
      </c>
      <c r="F1078" s="42" t="s">
        <v>1079</v>
      </c>
      <c r="G1078" s="25">
        <f t="shared" si="15"/>
        <v>2.1563342318059231E-2</v>
      </c>
    </row>
    <row r="1079" spans="1:7">
      <c r="A1079" s="42">
        <v>105.9875</v>
      </c>
      <c r="B1079" s="42">
        <v>108.3</v>
      </c>
      <c r="C1079" s="42">
        <v>105.205</v>
      </c>
      <c r="D1079" s="42">
        <v>106.5</v>
      </c>
      <c r="E1079" s="42">
        <v>2935820</v>
      </c>
      <c r="F1079" s="42" t="s">
        <v>1080</v>
      </c>
      <c r="G1079" s="25">
        <f t="shared" si="15"/>
        <v>-4.8122065727699281E-3</v>
      </c>
    </row>
    <row r="1080" spans="1:7">
      <c r="A1080" s="42">
        <v>105.02</v>
      </c>
      <c r="B1080" s="42">
        <v>106</v>
      </c>
      <c r="C1080" s="42">
        <v>102.60375000000001</v>
      </c>
      <c r="D1080" s="42">
        <v>103.685</v>
      </c>
      <c r="E1080" s="42">
        <v>2445836</v>
      </c>
      <c r="F1080" s="42" t="s">
        <v>1081</v>
      </c>
      <c r="G1080" s="25">
        <f t="shared" si="15"/>
        <v>1.2875536480686733E-2</v>
      </c>
    </row>
    <row r="1081" spans="1:7">
      <c r="A1081" s="42">
        <v>102.10250000000001</v>
      </c>
      <c r="B1081" s="42">
        <v>107.50624999999999</v>
      </c>
      <c r="C1081" s="42">
        <v>100.97499999999999</v>
      </c>
      <c r="D1081" s="42">
        <v>103.745</v>
      </c>
      <c r="E1081" s="42">
        <v>2847736</v>
      </c>
      <c r="F1081" s="42" t="s">
        <v>1082</v>
      </c>
      <c r="G1081" s="25">
        <f t="shared" si="15"/>
        <v>-1.5832088293411761E-2</v>
      </c>
    </row>
    <row r="1082" spans="1:7">
      <c r="A1082" s="42">
        <v>103.47750000000001</v>
      </c>
      <c r="B1082" s="42">
        <v>103.62</v>
      </c>
      <c r="C1082" s="42">
        <v>100.8175</v>
      </c>
      <c r="D1082" s="42">
        <v>102.33750000000001</v>
      </c>
      <c r="E1082" s="42">
        <v>3374408</v>
      </c>
      <c r="F1082" s="42" t="s">
        <v>1083</v>
      </c>
      <c r="G1082" s="25">
        <f t="shared" si="15"/>
        <v>1.1139611579333186E-2</v>
      </c>
    </row>
    <row r="1083" spans="1:7">
      <c r="A1083" s="42">
        <v>102.83499999999999</v>
      </c>
      <c r="B1083" s="42">
        <v>103.10124999999999</v>
      </c>
      <c r="C1083" s="42">
        <v>99.542500000000004</v>
      </c>
      <c r="D1083" s="42">
        <v>102.18</v>
      </c>
      <c r="E1083" s="42">
        <v>2756916</v>
      </c>
      <c r="F1083" s="42" t="s">
        <v>1084</v>
      </c>
      <c r="G1083" s="25">
        <f t="shared" si="15"/>
        <v>6.4102564102563875E-3</v>
      </c>
    </row>
    <row r="1084" spans="1:7">
      <c r="A1084" s="42">
        <v>102.18</v>
      </c>
      <c r="B1084" s="42">
        <v>102.71625</v>
      </c>
      <c r="C1084" s="42">
        <v>91.432500000000005</v>
      </c>
      <c r="D1084" s="42">
        <v>92.222499999999997</v>
      </c>
      <c r="E1084" s="42">
        <v>5588972</v>
      </c>
      <c r="F1084" s="42" t="s">
        <v>1085</v>
      </c>
      <c r="G1084" s="25">
        <f t="shared" si="15"/>
        <v>0.10797256634769181</v>
      </c>
    </row>
    <row r="1085" spans="1:7">
      <c r="A1085" s="42">
        <v>94.077500000000001</v>
      </c>
      <c r="B1085" s="42">
        <v>99.682500000000005</v>
      </c>
      <c r="C1085" s="42">
        <v>93.847499999999997</v>
      </c>
      <c r="D1085" s="42">
        <v>99.424999999999997</v>
      </c>
      <c r="E1085" s="42">
        <v>2924460</v>
      </c>
      <c r="F1085" s="42" t="s">
        <v>1086</v>
      </c>
      <c r="G1085" s="25">
        <f t="shared" si="15"/>
        <v>-5.3784259492079434E-2</v>
      </c>
    </row>
    <row r="1086" spans="1:7">
      <c r="A1086" s="42">
        <v>97.74</v>
      </c>
      <c r="B1086" s="42">
        <v>100.13500000000001</v>
      </c>
      <c r="C1086" s="42">
        <v>95.144999999999996</v>
      </c>
      <c r="D1086" s="42">
        <v>96.165000000000006</v>
      </c>
      <c r="E1086" s="42">
        <v>2828412</v>
      </c>
      <c r="F1086" s="42" t="s">
        <v>1087</v>
      </c>
      <c r="G1086" s="25">
        <f t="shared" si="15"/>
        <v>1.6378100140383545E-2</v>
      </c>
    </row>
    <row r="1087" spans="1:7">
      <c r="A1087" s="42">
        <v>95.31</v>
      </c>
      <c r="B1087" s="42">
        <v>97.992500000000007</v>
      </c>
      <c r="C1087" s="42">
        <v>94.75</v>
      </c>
      <c r="D1087" s="42">
        <v>96.75</v>
      </c>
      <c r="E1087" s="42">
        <v>4455332</v>
      </c>
      <c r="F1087" s="42" t="s">
        <v>1088</v>
      </c>
      <c r="G1087" s="25">
        <f t="shared" si="15"/>
        <v>-1.4883720930232491E-2</v>
      </c>
    </row>
    <row r="1088" spans="1:7">
      <c r="A1088" s="42">
        <v>96.8125</v>
      </c>
      <c r="B1088" s="42">
        <v>103.3925</v>
      </c>
      <c r="C1088" s="42">
        <v>96.727500000000006</v>
      </c>
      <c r="D1088" s="42">
        <v>102.66</v>
      </c>
      <c r="E1088" s="42">
        <v>4331764</v>
      </c>
      <c r="F1088" s="42" t="s">
        <v>1089</v>
      </c>
      <c r="G1088" s="25">
        <f t="shared" si="15"/>
        <v>-5.6959867523865171E-2</v>
      </c>
    </row>
    <row r="1089" spans="1:7">
      <c r="A1089" s="42">
        <v>103.4075</v>
      </c>
      <c r="B1089" s="42">
        <v>104.13</v>
      </c>
      <c r="C1089" s="42">
        <v>100.75</v>
      </c>
      <c r="D1089" s="42">
        <v>104.13</v>
      </c>
      <c r="E1089" s="42">
        <v>2134704</v>
      </c>
      <c r="F1089" s="42" t="s">
        <v>1090</v>
      </c>
      <c r="G1089" s="25">
        <f t="shared" si="15"/>
        <v>-6.9384423317007116E-3</v>
      </c>
    </row>
    <row r="1090" spans="1:7">
      <c r="A1090" s="42">
        <v>104.3775</v>
      </c>
      <c r="B1090" s="42">
        <v>105.47</v>
      </c>
      <c r="C1090" s="42">
        <v>102.72499999999999</v>
      </c>
      <c r="D1090" s="42">
        <v>103.8</v>
      </c>
      <c r="E1090" s="42">
        <v>2982152</v>
      </c>
      <c r="F1090" s="42" t="s">
        <v>1091</v>
      </c>
      <c r="G1090" s="25">
        <f t="shared" si="15"/>
        <v>5.5635838150289718E-3</v>
      </c>
    </row>
    <row r="1091" spans="1:7">
      <c r="A1091" s="42">
        <v>101.75</v>
      </c>
      <c r="B1091" s="42">
        <v>105.88375000000001</v>
      </c>
      <c r="C1091" s="42">
        <v>100.98</v>
      </c>
      <c r="D1091" s="42">
        <v>104.51</v>
      </c>
      <c r="E1091" s="42">
        <v>3262700</v>
      </c>
      <c r="F1091" s="42" t="s">
        <v>1092</v>
      </c>
      <c r="G1091" s="25">
        <f t="shared" ref="G1091:G1154" si="16">A1091/D1091-1</f>
        <v>-2.6408956080757884E-2</v>
      </c>
    </row>
    <row r="1092" spans="1:7">
      <c r="A1092" s="42">
        <v>105.14</v>
      </c>
      <c r="B1092" s="42">
        <v>111.755</v>
      </c>
      <c r="C1092" s="42">
        <v>104.4025</v>
      </c>
      <c r="D1092" s="42">
        <v>106.52</v>
      </c>
      <c r="E1092" s="42">
        <v>4631960</v>
      </c>
      <c r="F1092" s="42" t="s">
        <v>1093</v>
      </c>
      <c r="G1092" s="25">
        <f t="shared" si="16"/>
        <v>-1.2955313556139658E-2</v>
      </c>
    </row>
    <row r="1093" spans="1:7">
      <c r="A1093" s="42">
        <v>110.5675</v>
      </c>
      <c r="B1093" s="42">
        <v>113.8075</v>
      </c>
      <c r="C1093" s="42">
        <v>106.80500000000001</v>
      </c>
      <c r="D1093" s="42">
        <v>108.57</v>
      </c>
      <c r="E1093" s="42">
        <v>4499756</v>
      </c>
      <c r="F1093" s="42" t="s">
        <v>1094</v>
      </c>
      <c r="G1093" s="25">
        <f t="shared" si="16"/>
        <v>1.8398268398268414E-2</v>
      </c>
    </row>
    <row r="1094" spans="1:7">
      <c r="A1094" s="42">
        <v>111.97</v>
      </c>
      <c r="B1094" s="42">
        <v>112.57625</v>
      </c>
      <c r="C1094" s="42">
        <v>107.6925</v>
      </c>
      <c r="D1094" s="42">
        <v>107.6925</v>
      </c>
      <c r="E1094" s="42">
        <v>3723932</v>
      </c>
      <c r="F1094" s="42" t="s">
        <v>1095</v>
      </c>
      <c r="G1094" s="25">
        <f t="shared" si="16"/>
        <v>3.9719571929335951E-2</v>
      </c>
    </row>
    <row r="1095" spans="1:7">
      <c r="A1095" s="42">
        <v>106.38249999999999</v>
      </c>
      <c r="B1095" s="42">
        <v>106.69750000000001</v>
      </c>
      <c r="C1095" s="42">
        <v>103.29</v>
      </c>
      <c r="D1095" s="42">
        <v>104.5</v>
      </c>
      <c r="E1095" s="42">
        <v>1935860</v>
      </c>
      <c r="F1095" s="42" t="s">
        <v>1096</v>
      </c>
      <c r="G1095" s="25">
        <f t="shared" si="16"/>
        <v>1.8014354066985483E-2</v>
      </c>
    </row>
    <row r="1096" spans="1:7">
      <c r="A1096" s="42">
        <v>105.215</v>
      </c>
      <c r="B1096" s="42">
        <v>108.11</v>
      </c>
      <c r="C1096" s="42">
        <v>104.0925</v>
      </c>
      <c r="D1096" s="42">
        <v>104.8475</v>
      </c>
      <c r="E1096" s="42">
        <v>2379316</v>
      </c>
      <c r="F1096" s="42" t="s">
        <v>1097</v>
      </c>
      <c r="G1096" s="25">
        <f t="shared" si="16"/>
        <v>3.5050907270084419E-3</v>
      </c>
    </row>
    <row r="1097" spans="1:7">
      <c r="A1097" s="42">
        <v>105.08750000000001</v>
      </c>
      <c r="B1097" s="42">
        <v>106.21125000000001</v>
      </c>
      <c r="C1097" s="42">
        <v>103.1275</v>
      </c>
      <c r="D1097" s="42">
        <v>103.5325</v>
      </c>
      <c r="E1097" s="42">
        <v>3285172</v>
      </c>
      <c r="F1097" s="42" t="s">
        <v>1098</v>
      </c>
      <c r="G1097" s="25">
        <f t="shared" si="16"/>
        <v>1.5019438340617697E-2</v>
      </c>
    </row>
    <row r="1098" spans="1:7">
      <c r="A1098" s="42">
        <v>104.6825</v>
      </c>
      <c r="B1098" s="42">
        <v>109.52249999999999</v>
      </c>
      <c r="C1098" s="42">
        <v>104.12</v>
      </c>
      <c r="D1098" s="42">
        <v>107.855</v>
      </c>
      <c r="E1098" s="42">
        <v>2791156</v>
      </c>
      <c r="F1098" s="42" t="s">
        <v>1099</v>
      </c>
      <c r="G1098" s="25">
        <f t="shared" si="16"/>
        <v>-2.9414491678642629E-2</v>
      </c>
    </row>
    <row r="1099" spans="1:7">
      <c r="A1099" s="42">
        <v>108.9175</v>
      </c>
      <c r="B1099" s="42">
        <v>110.41249999999999</v>
      </c>
      <c r="C1099" s="42">
        <v>106.46</v>
      </c>
      <c r="D1099" s="42">
        <v>109.75</v>
      </c>
      <c r="E1099" s="42">
        <v>2623740</v>
      </c>
      <c r="F1099" s="42" t="s">
        <v>1100</v>
      </c>
      <c r="G1099" s="25">
        <f t="shared" si="16"/>
        <v>-7.5854214123006747E-3</v>
      </c>
    </row>
    <row r="1100" spans="1:7">
      <c r="A1100" s="42">
        <v>108.76</v>
      </c>
      <c r="B1100" s="42">
        <v>109.677875</v>
      </c>
      <c r="C1100" s="42">
        <v>106.1725</v>
      </c>
      <c r="D1100" s="42">
        <v>108.52500000000001</v>
      </c>
      <c r="E1100" s="42">
        <v>3302580</v>
      </c>
      <c r="F1100" s="42" t="s">
        <v>1101</v>
      </c>
      <c r="G1100" s="25">
        <f t="shared" si="16"/>
        <v>2.1653996774937401E-3</v>
      </c>
    </row>
    <row r="1101" spans="1:7">
      <c r="A1101" s="42">
        <v>107.62</v>
      </c>
      <c r="B1101" s="42">
        <v>108.06247500000001</v>
      </c>
      <c r="C1101" s="42">
        <v>103.75</v>
      </c>
      <c r="D1101" s="42">
        <v>103.75</v>
      </c>
      <c r="E1101" s="42">
        <v>3643872</v>
      </c>
      <c r="F1101" s="42" t="s">
        <v>1102</v>
      </c>
      <c r="G1101" s="25">
        <f t="shared" si="16"/>
        <v>3.7301204819277123E-2</v>
      </c>
    </row>
    <row r="1102" spans="1:7">
      <c r="A1102" s="42">
        <v>103.3475</v>
      </c>
      <c r="B1102" s="42">
        <v>103.5</v>
      </c>
      <c r="C1102" s="42">
        <v>95.51</v>
      </c>
      <c r="D1102" s="42">
        <v>96.74</v>
      </c>
      <c r="E1102" s="42">
        <v>5807836</v>
      </c>
      <c r="F1102" s="42" t="s">
        <v>1103</v>
      </c>
      <c r="G1102" s="25">
        <f t="shared" si="16"/>
        <v>6.8301633243746052E-2</v>
      </c>
    </row>
    <row r="1103" spans="1:7">
      <c r="A1103" s="42">
        <v>95.88</v>
      </c>
      <c r="B1103" s="42">
        <v>100.47</v>
      </c>
      <c r="C1103" s="42">
        <v>95.504999999999995</v>
      </c>
      <c r="D1103" s="42">
        <v>100.03749999999999</v>
      </c>
      <c r="E1103" s="42">
        <v>3963572</v>
      </c>
      <c r="F1103" s="42" t="s">
        <v>1104</v>
      </c>
      <c r="G1103" s="25">
        <f t="shared" si="16"/>
        <v>-4.1559415219292739E-2</v>
      </c>
    </row>
    <row r="1104" spans="1:7">
      <c r="A1104" s="42">
        <v>98.957499999999996</v>
      </c>
      <c r="B1104" s="42">
        <v>104.4</v>
      </c>
      <c r="C1104" s="42">
        <v>97.502499999999998</v>
      </c>
      <c r="D1104" s="42">
        <v>103.33499999999999</v>
      </c>
      <c r="E1104" s="42">
        <v>3733120</v>
      </c>
      <c r="F1104" s="42" t="s">
        <v>1105</v>
      </c>
      <c r="G1104" s="25">
        <f t="shared" si="16"/>
        <v>-4.2362219964194092E-2</v>
      </c>
    </row>
    <row r="1105" spans="1:7">
      <c r="A1105" s="42">
        <v>101.5575</v>
      </c>
      <c r="B1105" s="42">
        <v>104.68</v>
      </c>
      <c r="C1105" s="42">
        <v>99.79</v>
      </c>
      <c r="D1105" s="42">
        <v>104</v>
      </c>
      <c r="E1105" s="42">
        <v>4021616</v>
      </c>
      <c r="F1105" s="42" t="s">
        <v>1106</v>
      </c>
      <c r="G1105" s="25">
        <f t="shared" si="16"/>
        <v>-2.3485576923076845E-2</v>
      </c>
    </row>
    <row r="1106" spans="1:7">
      <c r="A1106" s="42">
        <v>106.7075</v>
      </c>
      <c r="B1106" s="42">
        <v>106.8875</v>
      </c>
      <c r="C1106" s="42">
        <v>100.64749999999999</v>
      </c>
      <c r="D1106" s="42">
        <v>103.84875</v>
      </c>
      <c r="E1106" s="42">
        <v>4809620</v>
      </c>
      <c r="F1106" s="42" t="s">
        <v>1107</v>
      </c>
      <c r="G1106" s="25">
        <f t="shared" si="16"/>
        <v>2.7528015503316183E-2</v>
      </c>
    </row>
    <row r="1107" spans="1:7">
      <c r="A1107" s="42">
        <v>105.52500000000001</v>
      </c>
      <c r="B1107" s="42">
        <v>108.61</v>
      </c>
      <c r="C1107" s="42">
        <v>105.295</v>
      </c>
      <c r="D1107" s="42">
        <v>108.61</v>
      </c>
      <c r="E1107" s="42">
        <v>3606992</v>
      </c>
      <c r="F1107" s="42" t="s">
        <v>1108</v>
      </c>
      <c r="G1107" s="25">
        <f t="shared" si="16"/>
        <v>-2.8404382653530957E-2</v>
      </c>
    </row>
    <row r="1108" spans="1:7">
      <c r="A1108" s="42">
        <v>108.66</v>
      </c>
      <c r="B1108" s="42">
        <v>113.7375</v>
      </c>
      <c r="C1108" s="42">
        <v>108.4875</v>
      </c>
      <c r="D1108" s="42">
        <v>109.5025</v>
      </c>
      <c r="E1108" s="42">
        <v>3406644</v>
      </c>
      <c r="F1108" s="42" t="s">
        <v>1109</v>
      </c>
      <c r="G1108" s="25">
        <f t="shared" si="16"/>
        <v>-7.6938882673911468E-3</v>
      </c>
    </row>
    <row r="1109" spans="1:7">
      <c r="A1109" s="42">
        <v>108.8075</v>
      </c>
      <c r="B1109" s="42">
        <v>112.10997500000001</v>
      </c>
      <c r="C1109" s="42">
        <v>108.5575</v>
      </c>
      <c r="D1109" s="42">
        <v>108.765</v>
      </c>
      <c r="E1109" s="42">
        <v>3368044</v>
      </c>
      <c r="F1109" s="42" t="s">
        <v>1110</v>
      </c>
      <c r="G1109" s="25">
        <f t="shared" si="16"/>
        <v>3.9075070105276666E-4</v>
      </c>
    </row>
    <row r="1110" spans="1:7">
      <c r="A1110" s="42">
        <v>107.4675</v>
      </c>
      <c r="B1110" s="42">
        <v>110.74</v>
      </c>
      <c r="C1110" s="42">
        <v>107.1375</v>
      </c>
      <c r="D1110" s="42">
        <v>109.7025</v>
      </c>
      <c r="E1110" s="42">
        <v>3698220</v>
      </c>
      <c r="F1110" s="42" t="s">
        <v>1111</v>
      </c>
      <c r="G1110" s="25">
        <f t="shared" si="16"/>
        <v>-2.037328228618307E-2</v>
      </c>
    </row>
    <row r="1111" spans="1:7">
      <c r="A1111" s="42">
        <v>111.83499999999999</v>
      </c>
      <c r="B1111" s="42">
        <v>116.4425</v>
      </c>
      <c r="C1111" s="42">
        <v>109.49250000000001</v>
      </c>
      <c r="D1111" s="42">
        <v>113.28</v>
      </c>
      <c r="E1111" s="42">
        <v>3527520</v>
      </c>
      <c r="F1111" s="42" t="s">
        <v>1112</v>
      </c>
      <c r="G1111" s="25">
        <f t="shared" si="16"/>
        <v>-1.2756002824858781E-2</v>
      </c>
    </row>
    <row r="1112" spans="1:7">
      <c r="A1112" s="42">
        <v>113.94499999999999</v>
      </c>
      <c r="B1112" s="42">
        <v>122.29</v>
      </c>
      <c r="C1112" s="42">
        <v>113.8075</v>
      </c>
      <c r="D1112" s="42">
        <v>122.29</v>
      </c>
      <c r="E1112" s="42">
        <v>4412404</v>
      </c>
      <c r="F1112" s="42" t="s">
        <v>1113</v>
      </c>
      <c r="G1112" s="25">
        <f t="shared" si="16"/>
        <v>-6.8239430861068096E-2</v>
      </c>
    </row>
    <row r="1113" spans="1:7">
      <c r="A1113" s="42">
        <v>122.595</v>
      </c>
      <c r="B1113" s="42">
        <v>125.34875</v>
      </c>
      <c r="C1113" s="42">
        <v>120.91249999999999</v>
      </c>
      <c r="D1113" s="42">
        <v>121.61499999999999</v>
      </c>
      <c r="E1113" s="42">
        <v>4423848</v>
      </c>
      <c r="F1113" s="42" t="s">
        <v>1114</v>
      </c>
      <c r="G1113" s="25">
        <f t="shared" si="16"/>
        <v>8.0582165028986186E-3</v>
      </c>
    </row>
    <row r="1114" spans="1:7">
      <c r="A1114" s="42">
        <v>120.2925</v>
      </c>
      <c r="B1114" s="42">
        <v>120.675</v>
      </c>
      <c r="C1114" s="42">
        <v>115.57250000000001</v>
      </c>
      <c r="D1114" s="42">
        <v>116.0175</v>
      </c>
      <c r="E1114" s="42">
        <v>4856524</v>
      </c>
      <c r="F1114" s="42" t="s">
        <v>1115</v>
      </c>
      <c r="G1114" s="25">
        <f t="shared" si="16"/>
        <v>3.6847889327041194E-2</v>
      </c>
    </row>
    <row r="1115" spans="1:7">
      <c r="A1115" s="42">
        <v>115.58499999999999</v>
      </c>
      <c r="B1115" s="42">
        <v>115.7475</v>
      </c>
      <c r="C1115" s="42">
        <v>108.86750000000001</v>
      </c>
      <c r="D1115" s="42">
        <v>111.0425</v>
      </c>
      <c r="E1115" s="42">
        <v>5629540</v>
      </c>
      <c r="F1115" s="42" t="s">
        <v>1116</v>
      </c>
      <c r="G1115" s="25">
        <f t="shared" si="16"/>
        <v>4.090776054213463E-2</v>
      </c>
    </row>
    <row r="1116" spans="1:7">
      <c r="A1116" s="42">
        <v>117.8725</v>
      </c>
      <c r="B1116" s="42">
        <v>123</v>
      </c>
      <c r="C1116" s="42">
        <v>117.78749999999999</v>
      </c>
      <c r="D1116" s="42">
        <v>120.75</v>
      </c>
      <c r="E1116" s="42">
        <v>4933524</v>
      </c>
      <c r="F1116" s="42" t="s">
        <v>1117</v>
      </c>
      <c r="G1116" s="25">
        <f t="shared" si="16"/>
        <v>-2.3830227743271148E-2</v>
      </c>
    </row>
    <row r="1117" spans="1:7">
      <c r="A1117" s="42">
        <v>120.75</v>
      </c>
      <c r="B1117" s="42">
        <v>123.60875</v>
      </c>
      <c r="C1117" s="42">
        <v>120.1</v>
      </c>
      <c r="D1117" s="42">
        <v>121.5325</v>
      </c>
      <c r="E1117" s="42">
        <v>2994932</v>
      </c>
      <c r="F1117" s="42" t="s">
        <v>1118</v>
      </c>
      <c r="G1117" s="25">
        <f t="shared" si="16"/>
        <v>-6.4386069569868365E-3</v>
      </c>
    </row>
    <row r="1118" spans="1:7">
      <c r="A1118" s="42">
        <v>121.9525</v>
      </c>
      <c r="B1118" s="42">
        <v>128.58250000000001</v>
      </c>
      <c r="C1118" s="42">
        <v>121.91500000000001</v>
      </c>
      <c r="D1118" s="42">
        <v>126.83499999999999</v>
      </c>
      <c r="E1118" s="42">
        <v>2819460</v>
      </c>
      <c r="F1118" s="42" t="s">
        <v>1119</v>
      </c>
      <c r="G1118" s="25">
        <f t="shared" si="16"/>
        <v>-3.8494894942247782E-2</v>
      </c>
    </row>
    <row r="1119" spans="1:7">
      <c r="A1119" s="42">
        <v>128.0675</v>
      </c>
      <c r="B1119" s="42">
        <v>129.94999999999999</v>
      </c>
      <c r="C1119" s="42">
        <v>125.7375</v>
      </c>
      <c r="D1119" s="42">
        <v>129.2747</v>
      </c>
      <c r="E1119" s="42">
        <v>3028848</v>
      </c>
      <c r="F1119" s="42" t="s">
        <v>1120</v>
      </c>
      <c r="G1119" s="25">
        <f t="shared" si="16"/>
        <v>-9.3382541208759662E-3</v>
      </c>
    </row>
    <row r="1120" spans="1:7">
      <c r="A1120" s="42">
        <v>130.19749999999999</v>
      </c>
      <c r="B1120" s="42">
        <v>133.19749999999999</v>
      </c>
      <c r="C1120" s="42">
        <v>128.25</v>
      </c>
      <c r="D1120" s="42">
        <v>132.94999999999999</v>
      </c>
      <c r="E1120" s="42">
        <v>3694372</v>
      </c>
      <c r="F1120" s="42" t="s">
        <v>1121</v>
      </c>
      <c r="G1120" s="25">
        <f t="shared" si="16"/>
        <v>-2.0703271906731824E-2</v>
      </c>
    </row>
    <row r="1121" spans="1:7">
      <c r="A1121" s="42">
        <v>134.23750000000001</v>
      </c>
      <c r="B1121" s="42">
        <v>136.80375000000001</v>
      </c>
      <c r="C1121" s="42">
        <v>134.095</v>
      </c>
      <c r="D1121" s="42">
        <v>136.03749999999999</v>
      </c>
      <c r="E1121" s="42">
        <v>1286468</v>
      </c>
      <c r="F1121" s="42" t="s">
        <v>1122</v>
      </c>
      <c r="G1121" s="25">
        <f t="shared" si="16"/>
        <v>-1.3231645685932047E-2</v>
      </c>
    </row>
    <row r="1122" spans="1:7">
      <c r="A1122" s="42">
        <v>135.32749999999999</v>
      </c>
      <c r="B1122" s="42">
        <v>136.9375</v>
      </c>
      <c r="C1122" s="42">
        <v>132.97499999999999</v>
      </c>
      <c r="D1122" s="42">
        <v>133.17500000000001</v>
      </c>
      <c r="E1122" s="42">
        <v>1424524</v>
      </c>
      <c r="F1122" s="42" t="s">
        <v>1123</v>
      </c>
      <c r="G1122" s="25">
        <f t="shared" si="16"/>
        <v>1.6162943495400706E-2</v>
      </c>
    </row>
    <row r="1123" spans="1:7">
      <c r="A1123" s="42">
        <v>133.85</v>
      </c>
      <c r="B1123" s="42">
        <v>133.995</v>
      </c>
      <c r="C1123" s="42">
        <v>131.68875</v>
      </c>
      <c r="D1123" s="42">
        <v>133.995</v>
      </c>
      <c r="E1123" s="42">
        <v>2115408</v>
      </c>
      <c r="F1123" s="42" t="s">
        <v>1124</v>
      </c>
      <c r="G1123" s="25">
        <f t="shared" si="16"/>
        <v>-1.0821299302213871E-3</v>
      </c>
    </row>
    <row r="1124" spans="1:7">
      <c r="A1124" s="42">
        <v>132.375</v>
      </c>
      <c r="B1124" s="42">
        <v>143.0675</v>
      </c>
      <c r="C1124" s="42">
        <v>132.19999999999999</v>
      </c>
      <c r="D1124" s="42">
        <v>142.75</v>
      </c>
      <c r="E1124" s="42">
        <v>3051116</v>
      </c>
      <c r="F1124" s="42" t="s">
        <v>1125</v>
      </c>
      <c r="G1124" s="25">
        <f t="shared" si="16"/>
        <v>-7.2679509632224137E-2</v>
      </c>
    </row>
    <row r="1125" spans="1:7">
      <c r="A1125" s="42">
        <v>142.47</v>
      </c>
      <c r="B1125" s="42">
        <v>143.7825</v>
      </c>
      <c r="C1125" s="42">
        <v>141.43</v>
      </c>
      <c r="D1125" s="42">
        <v>143.57249999999999</v>
      </c>
      <c r="E1125" s="42">
        <v>1544460</v>
      </c>
      <c r="F1125" s="42" t="s">
        <v>1126</v>
      </c>
      <c r="G1125" s="25">
        <f t="shared" si="16"/>
        <v>-7.6790471712897546E-3</v>
      </c>
    </row>
    <row r="1126" spans="1:7">
      <c r="A1126" s="42">
        <v>143.0025</v>
      </c>
      <c r="B1126" s="42">
        <v>144.96250000000001</v>
      </c>
      <c r="C1126" s="42">
        <v>143.0025</v>
      </c>
      <c r="D1126" s="42">
        <v>143.75</v>
      </c>
      <c r="E1126" s="42">
        <v>1565944</v>
      </c>
      <c r="F1126" s="42" t="s">
        <v>1127</v>
      </c>
      <c r="G1126" s="25">
        <f t="shared" si="16"/>
        <v>-5.1999999999999824E-3</v>
      </c>
    </row>
    <row r="1127" spans="1:7">
      <c r="A1127" s="42">
        <v>143.19749999999999</v>
      </c>
      <c r="B1127" s="42">
        <v>143.32249999999999</v>
      </c>
      <c r="C1127" s="42">
        <v>140.9375</v>
      </c>
      <c r="D1127" s="42">
        <v>140.9375</v>
      </c>
      <c r="E1127" s="42">
        <v>1250724</v>
      </c>
      <c r="F1127" s="42" t="s">
        <v>1128</v>
      </c>
      <c r="G1127" s="25">
        <f t="shared" si="16"/>
        <v>1.6035476718403441E-2</v>
      </c>
    </row>
    <row r="1128" spans="1:7">
      <c r="A1128" s="42">
        <v>141.47499999999999</v>
      </c>
      <c r="B1128" s="42">
        <v>141.57499999999999</v>
      </c>
      <c r="C1128" s="42">
        <v>136.91999999999999</v>
      </c>
      <c r="D1128" s="42">
        <v>137.42250000000001</v>
      </c>
      <c r="E1128" s="42">
        <v>2331100</v>
      </c>
      <c r="F1128" s="42" t="s">
        <v>1129</v>
      </c>
      <c r="G1128" s="25">
        <f t="shared" si="16"/>
        <v>2.9489348541905214E-2</v>
      </c>
    </row>
    <row r="1129" spans="1:7">
      <c r="A1129" s="42">
        <v>136.2225</v>
      </c>
      <c r="B1129" s="42">
        <v>138.08250000000001</v>
      </c>
      <c r="C1129" s="42">
        <v>133.86252500000001</v>
      </c>
      <c r="D1129" s="42">
        <v>137.59</v>
      </c>
      <c r="E1129" s="42">
        <v>2485204</v>
      </c>
      <c r="F1129" s="42" t="s">
        <v>1130</v>
      </c>
      <c r="G1129" s="25">
        <f t="shared" si="16"/>
        <v>-9.9389490515299217E-3</v>
      </c>
    </row>
    <row r="1130" spans="1:7">
      <c r="A1130" s="42">
        <v>138.83500000000001</v>
      </c>
      <c r="B1130" s="42">
        <v>140.345</v>
      </c>
      <c r="C1130" s="42">
        <v>131.96250000000001</v>
      </c>
      <c r="D1130" s="42">
        <v>132.815</v>
      </c>
      <c r="E1130" s="42">
        <v>5200440</v>
      </c>
      <c r="F1130" s="42" t="s">
        <v>1131</v>
      </c>
      <c r="G1130" s="25">
        <f t="shared" si="16"/>
        <v>4.5326205624364846E-2</v>
      </c>
    </row>
    <row r="1131" spans="1:7">
      <c r="A1131" s="42">
        <v>132.34</v>
      </c>
      <c r="B1131" s="42">
        <v>136.1225</v>
      </c>
      <c r="C1131" s="42">
        <v>131.74250000000001</v>
      </c>
      <c r="D1131" s="42">
        <v>135.0575</v>
      </c>
      <c r="E1131" s="42">
        <v>3510228</v>
      </c>
      <c r="F1131" s="42" t="s">
        <v>1132</v>
      </c>
      <c r="G1131" s="25">
        <f t="shared" si="16"/>
        <v>-2.0121059548710796E-2</v>
      </c>
    </row>
    <row r="1132" spans="1:7">
      <c r="A1132" s="42">
        <v>135.32249999999999</v>
      </c>
      <c r="B1132" s="42">
        <v>136.32249999999999</v>
      </c>
      <c r="C1132" s="42">
        <v>131.94</v>
      </c>
      <c r="D1132" s="42">
        <v>134.595</v>
      </c>
      <c r="E1132" s="42">
        <v>8296856</v>
      </c>
      <c r="F1132" s="42" t="s">
        <v>1133</v>
      </c>
      <c r="G1132" s="25">
        <f t="shared" si="16"/>
        <v>5.4051042014933159E-3</v>
      </c>
    </row>
    <row r="1133" spans="1:7">
      <c r="A1133" s="42">
        <v>133.83500000000001</v>
      </c>
      <c r="B1133" s="42">
        <v>138.30250000000001</v>
      </c>
      <c r="C1133" s="42">
        <v>132.43125000000001</v>
      </c>
      <c r="D1133" s="42">
        <v>136.78749999999999</v>
      </c>
      <c r="E1133" s="42">
        <v>5462180</v>
      </c>
      <c r="F1133" s="42" t="s">
        <v>1134</v>
      </c>
      <c r="G1133" s="25">
        <f t="shared" si="16"/>
        <v>-2.1584574613908281E-2</v>
      </c>
    </row>
    <row r="1134" spans="1:7">
      <c r="A1134" s="42">
        <v>137.4025</v>
      </c>
      <c r="B1134" s="42">
        <v>143.147075</v>
      </c>
      <c r="C1134" s="42">
        <v>137.32124999999999</v>
      </c>
      <c r="D1134" s="42">
        <v>140.98249999999999</v>
      </c>
      <c r="E1134" s="42">
        <v>4450688</v>
      </c>
      <c r="F1134" s="42" t="s">
        <v>1135</v>
      </c>
      <c r="G1134" s="25">
        <f t="shared" si="16"/>
        <v>-2.5393222563083961E-2</v>
      </c>
    </row>
    <row r="1135" spans="1:7">
      <c r="A1135" s="42">
        <v>141.625</v>
      </c>
      <c r="B1135" s="42">
        <v>142.13747499999999</v>
      </c>
      <c r="C1135" s="42">
        <v>139.42500000000001</v>
      </c>
      <c r="D1135" s="42">
        <v>140.2175</v>
      </c>
      <c r="E1135" s="42">
        <v>2078844</v>
      </c>
      <c r="F1135" s="42" t="s">
        <v>1136</v>
      </c>
      <c r="G1135" s="25">
        <f t="shared" si="16"/>
        <v>1.003797671474671E-2</v>
      </c>
    </row>
    <row r="1136" spans="1:7">
      <c r="A1136" s="42">
        <v>140.03749999999999</v>
      </c>
      <c r="B1136" s="42">
        <v>143.7525</v>
      </c>
      <c r="C1136" s="42">
        <v>140</v>
      </c>
      <c r="D1136" s="42">
        <v>141.17750000000001</v>
      </c>
      <c r="E1136" s="42">
        <v>2760624</v>
      </c>
      <c r="F1136" s="42" t="s">
        <v>1137</v>
      </c>
      <c r="G1136" s="25">
        <f t="shared" si="16"/>
        <v>-8.074941120221113E-3</v>
      </c>
    </row>
    <row r="1137" spans="1:7">
      <c r="A1137" s="42">
        <v>141.21250000000001</v>
      </c>
      <c r="B1137" s="42">
        <v>143.1875</v>
      </c>
      <c r="C1137" s="42">
        <v>138.99250000000001</v>
      </c>
      <c r="D1137" s="42">
        <v>140</v>
      </c>
      <c r="E1137" s="42">
        <v>2560352</v>
      </c>
      <c r="F1137" s="42" t="s">
        <v>1138</v>
      </c>
      <c r="G1137" s="25">
        <f t="shared" si="16"/>
        <v>8.6607142857142438E-3</v>
      </c>
    </row>
    <row r="1138" spans="1:7">
      <c r="A1138" s="42">
        <v>139.6</v>
      </c>
      <c r="B1138" s="42">
        <v>139.9025</v>
      </c>
      <c r="C1138" s="42">
        <v>133.84</v>
      </c>
      <c r="D1138" s="42">
        <v>134.5675</v>
      </c>
      <c r="E1138" s="42">
        <v>4663768</v>
      </c>
      <c r="F1138" s="42" t="s">
        <v>1139</v>
      </c>
      <c r="G1138" s="25">
        <f t="shared" si="16"/>
        <v>3.7397588570791562E-2</v>
      </c>
    </row>
    <row r="1139" spans="1:7">
      <c r="A1139" s="42">
        <v>131.10749999999999</v>
      </c>
      <c r="B1139" s="42">
        <v>132.83000000000001</v>
      </c>
      <c r="C1139" s="42">
        <v>127.6225</v>
      </c>
      <c r="D1139" s="42">
        <v>129.39750000000001</v>
      </c>
      <c r="E1139" s="42">
        <v>4261988</v>
      </c>
      <c r="F1139" s="42" t="s">
        <v>1140</v>
      </c>
      <c r="G1139" s="25">
        <f t="shared" si="16"/>
        <v>1.3215093027299396E-2</v>
      </c>
    </row>
    <row r="1140" spans="1:7">
      <c r="A1140" s="42">
        <v>129.8725</v>
      </c>
      <c r="B1140" s="42">
        <v>140.26750000000001</v>
      </c>
      <c r="C1140" s="42">
        <v>128.63249999999999</v>
      </c>
      <c r="D1140" s="42">
        <v>140.26750000000001</v>
      </c>
      <c r="E1140" s="42">
        <v>5745044</v>
      </c>
      <c r="F1140" s="42" t="s">
        <v>1141</v>
      </c>
      <c r="G1140" s="25">
        <f t="shared" si="16"/>
        <v>-7.4108400021387744E-2</v>
      </c>
    </row>
    <row r="1141" spans="1:7">
      <c r="A1141" s="42">
        <v>140.05500000000001</v>
      </c>
      <c r="B1141" s="42">
        <v>140.42124999999999</v>
      </c>
      <c r="C1141" s="42">
        <v>136.26625000000001</v>
      </c>
      <c r="D1141" s="42">
        <v>137.08000000000001</v>
      </c>
      <c r="E1141" s="42">
        <v>3264544</v>
      </c>
      <c r="F1141" s="42" t="s">
        <v>1142</v>
      </c>
      <c r="G1141" s="25">
        <f t="shared" si="16"/>
        <v>2.1702655383717406E-2</v>
      </c>
    </row>
    <row r="1142" spans="1:7">
      <c r="A1142" s="42">
        <v>137.08750000000001</v>
      </c>
      <c r="B1142" s="42">
        <v>142.61750000000001</v>
      </c>
      <c r="C1142" s="42">
        <v>136.69999999999999</v>
      </c>
      <c r="D1142" s="42">
        <v>141.85249999999999</v>
      </c>
      <c r="E1142" s="42">
        <v>3599084</v>
      </c>
      <c r="F1142" s="42" t="s">
        <v>1143</v>
      </c>
      <c r="G1142" s="25">
        <f t="shared" si="16"/>
        <v>-3.3591230327276511E-2</v>
      </c>
    </row>
    <row r="1143" spans="1:7">
      <c r="A1143" s="42">
        <v>140.64750000000001</v>
      </c>
      <c r="B1143" s="42">
        <v>145.08750000000001</v>
      </c>
      <c r="C1143" s="42">
        <v>140.1575</v>
      </c>
      <c r="D1143" s="42">
        <v>143</v>
      </c>
      <c r="E1143" s="42">
        <v>5761620</v>
      </c>
      <c r="F1143" s="42" t="s">
        <v>1144</v>
      </c>
      <c r="G1143" s="25">
        <f t="shared" si="16"/>
        <v>-1.6451048951048874E-2</v>
      </c>
    </row>
    <row r="1144" spans="1:7">
      <c r="A1144" s="42">
        <v>142.7525</v>
      </c>
      <c r="B1144" s="42">
        <v>149.51499999999999</v>
      </c>
      <c r="C1144" s="42">
        <v>142.23500000000001</v>
      </c>
      <c r="D1144" s="42">
        <v>147.98750000000001</v>
      </c>
      <c r="E1144" s="42">
        <v>5260376</v>
      </c>
      <c r="F1144" s="42" t="s">
        <v>1145</v>
      </c>
      <c r="G1144" s="25">
        <f t="shared" si="16"/>
        <v>-3.5374609342005314E-2</v>
      </c>
    </row>
    <row r="1145" spans="1:7">
      <c r="A1145" s="42">
        <v>147.99</v>
      </c>
      <c r="B1145" s="42">
        <v>152.61500000000001</v>
      </c>
      <c r="C1145" s="42">
        <v>147.36250000000001</v>
      </c>
      <c r="D1145" s="42">
        <v>149.23249999999999</v>
      </c>
      <c r="E1145" s="42">
        <v>1464412</v>
      </c>
      <c r="F1145" s="42" t="s">
        <v>1146</v>
      </c>
      <c r="G1145" s="25">
        <f t="shared" si="16"/>
        <v>-8.3259343641631789E-3</v>
      </c>
    </row>
    <row r="1146" spans="1:7">
      <c r="A1146" s="42">
        <v>149.64500000000001</v>
      </c>
      <c r="B1146" s="42">
        <v>150.20249999999999</v>
      </c>
      <c r="C1146" s="42">
        <v>145.0025</v>
      </c>
      <c r="D1146" s="42">
        <v>147.4975</v>
      </c>
      <c r="E1146" s="42">
        <v>2916404</v>
      </c>
      <c r="F1146" s="42" t="s">
        <v>1147</v>
      </c>
      <c r="G1146" s="25">
        <f t="shared" si="16"/>
        <v>1.4559568806250978E-2</v>
      </c>
    </row>
    <row r="1147" spans="1:7">
      <c r="A1147" s="42">
        <v>147.5</v>
      </c>
      <c r="B1147" s="42">
        <v>154.51499999999999</v>
      </c>
      <c r="C1147" s="42">
        <v>146.25</v>
      </c>
      <c r="D1147" s="42">
        <v>153.065</v>
      </c>
      <c r="E1147" s="42">
        <v>4164876</v>
      </c>
      <c r="F1147" s="42" t="s">
        <v>1148</v>
      </c>
      <c r="G1147" s="25">
        <f t="shared" si="16"/>
        <v>-3.6357103191454576E-2</v>
      </c>
    </row>
    <row r="1148" spans="1:7">
      <c r="A1148" s="42">
        <v>154.51499999999999</v>
      </c>
      <c r="B1148" s="42">
        <v>160.89497499999999</v>
      </c>
      <c r="C1148" s="42">
        <v>154.5</v>
      </c>
      <c r="D1148" s="42">
        <v>159.66249999999999</v>
      </c>
      <c r="E1148" s="42">
        <v>3353512</v>
      </c>
      <c r="F1148" s="42" t="s">
        <v>1149</v>
      </c>
      <c r="G1148" s="25">
        <f t="shared" si="16"/>
        <v>-3.2239880998982229E-2</v>
      </c>
    </row>
    <row r="1149" spans="1:7">
      <c r="A1149" s="42">
        <v>160.29499999999999</v>
      </c>
      <c r="B1149" s="42">
        <v>163.51</v>
      </c>
      <c r="C1149" s="42">
        <v>158.48500000000001</v>
      </c>
      <c r="D1149" s="42">
        <v>163.39500000000001</v>
      </c>
      <c r="E1149" s="42">
        <v>2267912</v>
      </c>
      <c r="F1149" s="42" t="s">
        <v>1150</v>
      </c>
      <c r="G1149" s="25">
        <f t="shared" si="16"/>
        <v>-1.8972428776890538E-2</v>
      </c>
    </row>
    <row r="1150" spans="1:7">
      <c r="A1150" s="42">
        <v>162.10249999999999</v>
      </c>
      <c r="B1150" s="42">
        <v>164.86295000000001</v>
      </c>
      <c r="C1150" s="42">
        <v>161.63</v>
      </c>
      <c r="D1150" s="42">
        <v>164.25749999999999</v>
      </c>
      <c r="E1150" s="42">
        <v>2017912</v>
      </c>
      <c r="F1150" s="42" t="s">
        <v>1151</v>
      </c>
      <c r="G1150" s="25">
        <f t="shared" si="16"/>
        <v>-1.3119644460679147E-2</v>
      </c>
    </row>
    <row r="1151" spans="1:7">
      <c r="A1151" s="42">
        <v>162.815</v>
      </c>
      <c r="B1151" s="42">
        <v>163.76</v>
      </c>
      <c r="C1151" s="42">
        <v>158.7525</v>
      </c>
      <c r="D1151" s="42">
        <v>161.82249999999999</v>
      </c>
      <c r="E1151" s="42">
        <v>3759456</v>
      </c>
      <c r="F1151" s="42" t="s">
        <v>1152</v>
      </c>
      <c r="G1151" s="25">
        <f t="shared" si="16"/>
        <v>6.1332632977491031E-3</v>
      </c>
    </row>
    <row r="1152" spans="1:7">
      <c r="A1152" s="42">
        <v>162.00749999999999</v>
      </c>
      <c r="B1152" s="42">
        <v>163.86250000000001</v>
      </c>
      <c r="C1152" s="42">
        <v>160.11250000000001</v>
      </c>
      <c r="D1152" s="42">
        <v>160.99250000000001</v>
      </c>
      <c r="E1152" s="42">
        <v>1772612</v>
      </c>
      <c r="F1152" s="42" t="s">
        <v>1153</v>
      </c>
      <c r="G1152" s="25">
        <f t="shared" si="16"/>
        <v>6.3046415205676443E-3</v>
      </c>
    </row>
    <row r="1153" spans="1:7">
      <c r="A1153" s="42">
        <v>160.48750000000001</v>
      </c>
      <c r="B1153" s="42">
        <v>163.4975</v>
      </c>
      <c r="C1153" s="42">
        <v>158.79002500000001</v>
      </c>
      <c r="D1153" s="42">
        <v>162.5</v>
      </c>
      <c r="E1153" s="42">
        <v>1145308</v>
      </c>
      <c r="F1153" s="42" t="s">
        <v>1154</v>
      </c>
      <c r="G1153" s="25">
        <f t="shared" si="16"/>
        <v>-1.2384615384615327E-2</v>
      </c>
    </row>
    <row r="1154" spans="1:7">
      <c r="A1154" s="42">
        <v>161.63999999999999</v>
      </c>
      <c r="B1154" s="42">
        <v>162.1525</v>
      </c>
      <c r="C1154" s="42">
        <v>158.61250000000001</v>
      </c>
      <c r="D1154" s="42">
        <v>159.99</v>
      </c>
      <c r="E1154" s="42">
        <v>1636316</v>
      </c>
      <c r="F1154" s="42" t="s">
        <v>1155</v>
      </c>
      <c r="G1154" s="25">
        <f t="shared" si="16"/>
        <v>1.0313144571535648E-2</v>
      </c>
    </row>
    <row r="1155" spans="1:7">
      <c r="A1155" s="42">
        <v>159.3475</v>
      </c>
      <c r="B1155" s="42">
        <v>159.76249999999999</v>
      </c>
      <c r="C1155" s="42">
        <v>155.1575</v>
      </c>
      <c r="D1155" s="42">
        <v>155.61500000000001</v>
      </c>
      <c r="E1155" s="42">
        <v>1970300</v>
      </c>
      <c r="F1155" s="42" t="s">
        <v>1156</v>
      </c>
      <c r="G1155" s="25">
        <f t="shared" ref="G1155:G1218" si="17">A1155/D1155-1</f>
        <v>2.3985476978440223E-2</v>
      </c>
    </row>
    <row r="1156" spans="1:7">
      <c r="A1156" s="42">
        <v>155.10499999999999</v>
      </c>
      <c r="B1156" s="42">
        <v>159.46</v>
      </c>
      <c r="C1156" s="42">
        <v>154.73249999999999</v>
      </c>
      <c r="D1156" s="42">
        <v>157.97999999999999</v>
      </c>
      <c r="E1156" s="42">
        <v>2019820</v>
      </c>
      <c r="F1156" s="42" t="s">
        <v>1157</v>
      </c>
      <c r="G1156" s="25">
        <f t="shared" si="17"/>
        <v>-1.8198506140017723E-2</v>
      </c>
    </row>
    <row r="1157" spans="1:7">
      <c r="A1157" s="42">
        <v>159.26249999999999</v>
      </c>
      <c r="B1157" s="42">
        <v>161.9975</v>
      </c>
      <c r="C1157" s="42">
        <v>158</v>
      </c>
      <c r="D1157" s="42">
        <v>158.53</v>
      </c>
      <c r="E1157" s="42">
        <v>1589240</v>
      </c>
      <c r="F1157" s="42" t="s">
        <v>1158</v>
      </c>
      <c r="G1157" s="25">
        <f t="shared" si="17"/>
        <v>4.6205765470257454E-3</v>
      </c>
    </row>
    <row r="1158" spans="1:7">
      <c r="A1158" s="42">
        <v>159.27250000000001</v>
      </c>
      <c r="B1158" s="42">
        <v>160.74</v>
      </c>
      <c r="C1158" s="42">
        <v>157.36750000000001</v>
      </c>
      <c r="D1158" s="42">
        <v>159.35249999999999</v>
      </c>
      <c r="E1158" s="42">
        <v>1554276</v>
      </c>
      <c r="F1158" s="42" t="s">
        <v>1159</v>
      </c>
      <c r="G1158" s="25">
        <f t="shared" si="17"/>
        <v>-5.0203165937146021E-4</v>
      </c>
    </row>
    <row r="1159" spans="1:7">
      <c r="A1159" s="42">
        <v>158.86500000000001</v>
      </c>
      <c r="B1159" s="42">
        <v>160.6</v>
      </c>
      <c r="C1159" s="42">
        <v>156.86875000000001</v>
      </c>
      <c r="D1159" s="42">
        <v>158.26499999999999</v>
      </c>
      <c r="E1159" s="42">
        <v>1779876</v>
      </c>
      <c r="F1159" s="42" t="s">
        <v>1160</v>
      </c>
      <c r="G1159" s="25">
        <f t="shared" si="17"/>
        <v>3.7911098474079363E-3</v>
      </c>
    </row>
    <row r="1160" spans="1:7">
      <c r="A1160" s="42">
        <v>157.45500000000001</v>
      </c>
      <c r="B1160" s="42">
        <v>158.22999999999999</v>
      </c>
      <c r="C1160" s="42">
        <v>154.04750000000001</v>
      </c>
      <c r="D1160" s="42">
        <v>154.89109999999999</v>
      </c>
      <c r="E1160" s="42">
        <v>2272524</v>
      </c>
      <c r="F1160" s="42" t="s">
        <v>1161</v>
      </c>
      <c r="G1160" s="25">
        <f t="shared" si="17"/>
        <v>1.6552920083852563E-2</v>
      </c>
    </row>
    <row r="1161" spans="1:7">
      <c r="A1161" s="42">
        <v>154.935</v>
      </c>
      <c r="B1161" s="42">
        <v>162.38499999999999</v>
      </c>
      <c r="C1161" s="42">
        <v>153.8125</v>
      </c>
      <c r="D1161" s="42">
        <v>161.76249999999999</v>
      </c>
      <c r="E1161" s="42">
        <v>3042228</v>
      </c>
      <c r="F1161" s="42" t="s">
        <v>1162</v>
      </c>
      <c r="G1161" s="25">
        <f t="shared" si="17"/>
        <v>-4.2206939185534309E-2</v>
      </c>
    </row>
    <row r="1162" spans="1:7">
      <c r="A1162" s="42">
        <v>159.91</v>
      </c>
      <c r="B1162" s="42">
        <v>160.39500000000001</v>
      </c>
      <c r="C1162" s="42">
        <v>155.11000000000001</v>
      </c>
      <c r="D1162" s="42">
        <v>157.66249999999999</v>
      </c>
      <c r="E1162" s="42">
        <v>3514572</v>
      </c>
      <c r="F1162" s="42" t="s">
        <v>1163</v>
      </c>
      <c r="G1162" s="25">
        <f t="shared" si="17"/>
        <v>1.4255133592325331E-2</v>
      </c>
    </row>
    <row r="1163" spans="1:7">
      <c r="A1163" s="42">
        <v>156.8175</v>
      </c>
      <c r="B1163" s="42">
        <v>158.625</v>
      </c>
      <c r="C1163" s="42">
        <v>153.13</v>
      </c>
      <c r="D1163" s="42">
        <v>156.8175</v>
      </c>
      <c r="E1163" s="42">
        <v>2920324</v>
      </c>
      <c r="F1163" s="42" t="s">
        <v>1164</v>
      </c>
      <c r="G1163" s="25">
        <f t="shared" si="17"/>
        <v>0</v>
      </c>
    </row>
    <row r="1164" spans="1:7">
      <c r="A1164" s="42">
        <v>155.80250000000001</v>
      </c>
      <c r="B1164" s="42">
        <v>156.99</v>
      </c>
      <c r="C1164" s="42">
        <v>138.0975</v>
      </c>
      <c r="D1164" s="42">
        <v>145</v>
      </c>
      <c r="E1164" s="42">
        <v>5215124</v>
      </c>
      <c r="F1164" s="42" t="s">
        <v>1165</v>
      </c>
      <c r="G1164" s="25">
        <f t="shared" si="17"/>
        <v>7.4500000000000011E-2</v>
      </c>
    </row>
    <row r="1165" spans="1:7">
      <c r="A1165" s="42">
        <v>142.58000000000001</v>
      </c>
      <c r="B1165" s="42">
        <v>142.80250000000001</v>
      </c>
      <c r="C1165" s="42">
        <v>139.11625000000001</v>
      </c>
      <c r="D1165" s="42">
        <v>140.42500000000001</v>
      </c>
      <c r="E1165" s="42">
        <v>2025956</v>
      </c>
      <c r="F1165" s="42" t="s">
        <v>1166</v>
      </c>
      <c r="G1165" s="25">
        <f t="shared" si="17"/>
        <v>1.5346270251023642E-2</v>
      </c>
    </row>
    <row r="1166" spans="1:7">
      <c r="A1166" s="42">
        <v>139.63499999999999</v>
      </c>
      <c r="B1166" s="42">
        <v>141.88249999999999</v>
      </c>
      <c r="C1166" s="42">
        <v>138.38749999999999</v>
      </c>
      <c r="D1166" s="42">
        <v>140.9325</v>
      </c>
      <c r="E1166" s="42">
        <v>1436100</v>
      </c>
      <c r="F1166" s="42" t="s">
        <v>1167</v>
      </c>
      <c r="G1166" s="25">
        <f t="shared" si="17"/>
        <v>-9.2065350433718773E-3</v>
      </c>
    </row>
    <row r="1167" spans="1:7">
      <c r="A1167" s="42">
        <v>141.41</v>
      </c>
      <c r="B1167" s="42">
        <v>142.72</v>
      </c>
      <c r="C1167" s="42">
        <v>140.308775</v>
      </c>
      <c r="D1167" s="42">
        <v>141.94</v>
      </c>
      <c r="E1167" s="42">
        <v>1691544</v>
      </c>
      <c r="F1167" s="42" t="s">
        <v>1168</v>
      </c>
      <c r="G1167" s="25">
        <f t="shared" si="17"/>
        <v>-3.7339721008876614E-3</v>
      </c>
    </row>
    <row r="1168" spans="1:7">
      <c r="A1168" s="42">
        <v>142.08500000000001</v>
      </c>
      <c r="B1168" s="42">
        <v>143.41249999999999</v>
      </c>
      <c r="C1168" s="42">
        <v>140.23252500000001</v>
      </c>
      <c r="D1168" s="42">
        <v>141.75</v>
      </c>
      <c r="E1168" s="42">
        <v>1166576</v>
      </c>
      <c r="F1168" s="42" t="s">
        <v>1169</v>
      </c>
      <c r="G1168" s="25">
        <f t="shared" si="17"/>
        <v>2.3633156966491597E-3</v>
      </c>
    </row>
    <row r="1169" spans="1:7">
      <c r="A1169" s="42">
        <v>141.64250000000001</v>
      </c>
      <c r="B1169" s="42">
        <v>142.5</v>
      </c>
      <c r="C1169" s="42">
        <v>140.3075</v>
      </c>
      <c r="D1169" s="42">
        <v>142.5</v>
      </c>
      <c r="E1169" s="42">
        <v>1336400</v>
      </c>
      <c r="F1169" s="42" t="s">
        <v>1170</v>
      </c>
      <c r="G1169" s="25">
        <f t="shared" si="17"/>
        <v>-6.0175438596490327E-3</v>
      </c>
    </row>
    <row r="1170" spans="1:7">
      <c r="A1170" s="42">
        <v>142.02500000000001</v>
      </c>
      <c r="B1170" s="42">
        <v>142.28749999999999</v>
      </c>
      <c r="C1170" s="42">
        <v>137.5</v>
      </c>
      <c r="D1170" s="42">
        <v>138.44499999999999</v>
      </c>
      <c r="E1170" s="42">
        <v>1381884</v>
      </c>
      <c r="F1170" s="42" t="s">
        <v>1171</v>
      </c>
      <c r="G1170" s="25">
        <f t="shared" si="17"/>
        <v>2.5858644226949501E-2</v>
      </c>
    </row>
    <row r="1171" spans="1:7">
      <c r="A1171" s="42">
        <v>139.13499999999999</v>
      </c>
      <c r="B1171" s="42">
        <v>140.0675</v>
      </c>
      <c r="C1171" s="42">
        <v>137.285</v>
      </c>
      <c r="D1171" s="42">
        <v>138.65</v>
      </c>
      <c r="E1171" s="42">
        <v>1222460</v>
      </c>
      <c r="F1171" s="42" t="s">
        <v>1172</v>
      </c>
      <c r="G1171" s="25">
        <f t="shared" si="17"/>
        <v>3.4980165885321046E-3</v>
      </c>
    </row>
    <row r="1172" spans="1:7">
      <c r="A1172" s="42">
        <v>137.51249999999999</v>
      </c>
      <c r="B1172" s="42">
        <v>138.19624999999999</v>
      </c>
      <c r="C1172" s="42">
        <v>135.75749999999999</v>
      </c>
      <c r="D1172" s="42">
        <v>136.26</v>
      </c>
      <c r="E1172" s="42">
        <v>2685184</v>
      </c>
      <c r="F1172" s="42" t="s">
        <v>1173</v>
      </c>
      <c r="G1172" s="25">
        <f t="shared" si="17"/>
        <v>9.191985909291045E-3</v>
      </c>
    </row>
    <row r="1173" spans="1:7">
      <c r="A1173" s="42">
        <v>135.32</v>
      </c>
      <c r="B1173" s="42">
        <v>135.51</v>
      </c>
      <c r="C1173" s="42">
        <v>132.995</v>
      </c>
      <c r="D1173" s="42">
        <v>134.215</v>
      </c>
      <c r="E1173" s="42">
        <v>2824504</v>
      </c>
      <c r="F1173" s="42" t="s">
        <v>1174</v>
      </c>
      <c r="G1173" s="25">
        <f t="shared" si="17"/>
        <v>8.2330588980366048E-3</v>
      </c>
    </row>
    <row r="1174" spans="1:7">
      <c r="A1174" s="42">
        <v>136.11750000000001</v>
      </c>
      <c r="B1174" s="42">
        <v>139.02875</v>
      </c>
      <c r="C1174" s="42">
        <v>135.78</v>
      </c>
      <c r="D1174" s="42">
        <v>138.91999999999999</v>
      </c>
      <c r="E1174" s="42">
        <v>1860832</v>
      </c>
      <c r="F1174" s="42" t="s">
        <v>1175</v>
      </c>
      <c r="G1174" s="25">
        <f t="shared" si="17"/>
        <v>-2.0173481140224436E-2</v>
      </c>
    </row>
    <row r="1175" spans="1:7">
      <c r="A1175" s="42">
        <v>138.6275</v>
      </c>
      <c r="B1175" s="42">
        <v>140.29124999999999</v>
      </c>
      <c r="C1175" s="42">
        <v>137.77250000000001</v>
      </c>
      <c r="D1175" s="42">
        <v>138.08750000000001</v>
      </c>
      <c r="E1175" s="42">
        <v>1909968</v>
      </c>
      <c r="F1175" s="42" t="s">
        <v>1176</v>
      </c>
      <c r="G1175" s="25">
        <f t="shared" si="17"/>
        <v>3.9105639540146786E-3</v>
      </c>
    </row>
    <row r="1176" spans="1:7">
      <c r="A1176" s="42">
        <v>137.01249999999999</v>
      </c>
      <c r="B1176" s="42">
        <v>137.88249999999999</v>
      </c>
      <c r="C1176" s="42">
        <v>135.44374999999999</v>
      </c>
      <c r="D1176" s="42">
        <v>136.38499999999999</v>
      </c>
      <c r="E1176" s="42">
        <v>2139980</v>
      </c>
      <c r="F1176" s="42" t="s">
        <v>1177</v>
      </c>
      <c r="G1176" s="25">
        <f t="shared" si="17"/>
        <v>4.6009458518165847E-3</v>
      </c>
    </row>
    <row r="1177" spans="1:7">
      <c r="A1177" s="42">
        <v>134.61500000000001</v>
      </c>
      <c r="B1177" s="42">
        <v>136.4375</v>
      </c>
      <c r="C1177" s="42">
        <v>133.1825</v>
      </c>
      <c r="D1177" s="42">
        <v>134.6575</v>
      </c>
      <c r="E1177" s="42">
        <v>1592412</v>
      </c>
      <c r="F1177" s="42" t="s">
        <v>1178</v>
      </c>
      <c r="G1177" s="25">
        <f t="shared" si="17"/>
        <v>-3.156155431371932E-4</v>
      </c>
    </row>
    <row r="1178" spans="1:7">
      <c r="A1178" s="42">
        <v>132.19499999999999</v>
      </c>
      <c r="B1178" s="42">
        <v>134.3175</v>
      </c>
      <c r="C1178" s="42">
        <v>130.2696</v>
      </c>
      <c r="D1178" s="42">
        <v>131.10249999999999</v>
      </c>
      <c r="E1178" s="42">
        <v>1255056</v>
      </c>
      <c r="F1178" s="42" t="s">
        <v>1179</v>
      </c>
      <c r="G1178" s="25">
        <f t="shared" si="17"/>
        <v>8.3331744245913608E-3</v>
      </c>
    </row>
    <row r="1179" spans="1:7">
      <c r="A1179" s="42">
        <v>132.27500000000001</v>
      </c>
      <c r="B1179" s="42">
        <v>136.1225</v>
      </c>
      <c r="C1179" s="42">
        <v>132.13657499999999</v>
      </c>
      <c r="D1179" s="42">
        <v>135</v>
      </c>
      <c r="E1179" s="42">
        <v>1289036</v>
      </c>
      <c r="F1179" s="42" t="s">
        <v>1180</v>
      </c>
      <c r="G1179" s="25">
        <f t="shared" si="17"/>
        <v>-2.0185185185185195E-2</v>
      </c>
    </row>
    <row r="1180" spans="1:7">
      <c r="A1180" s="42">
        <v>134.79750000000001</v>
      </c>
      <c r="B1180" s="42">
        <v>137.54</v>
      </c>
      <c r="C1180" s="42">
        <v>134.18375</v>
      </c>
      <c r="D1180" s="42">
        <v>136.25</v>
      </c>
      <c r="E1180" s="42">
        <v>1973032</v>
      </c>
      <c r="F1180" s="42" t="s">
        <v>1181</v>
      </c>
      <c r="G1180" s="25">
        <f t="shared" si="17"/>
        <v>-1.0660550458715501E-2</v>
      </c>
    </row>
    <row r="1181" spans="1:7">
      <c r="A1181" s="42">
        <v>135.45750000000001</v>
      </c>
      <c r="B1181" s="42">
        <v>136.38</v>
      </c>
      <c r="C1181" s="42">
        <v>133.13</v>
      </c>
      <c r="D1181" s="42">
        <v>134.3075</v>
      </c>
      <c r="E1181" s="42">
        <v>1932384</v>
      </c>
      <c r="F1181" s="42" t="s">
        <v>1182</v>
      </c>
      <c r="G1181" s="25">
        <f t="shared" si="17"/>
        <v>8.5624406678703746E-3</v>
      </c>
    </row>
    <row r="1182" spans="1:7">
      <c r="A1182" s="42">
        <v>135.0975</v>
      </c>
      <c r="B1182" s="42">
        <v>136.30625000000001</v>
      </c>
      <c r="C1182" s="42">
        <v>132.05500000000001</v>
      </c>
      <c r="D1182" s="42">
        <v>132.05500000000001</v>
      </c>
      <c r="E1182" s="42">
        <v>2370268</v>
      </c>
      <c r="F1182" s="42" t="s">
        <v>1183</v>
      </c>
      <c r="G1182" s="25">
        <f t="shared" si="17"/>
        <v>2.303964257317026E-2</v>
      </c>
    </row>
    <row r="1183" spans="1:7">
      <c r="A1183" s="42">
        <v>131.60749999999999</v>
      </c>
      <c r="B1183" s="42">
        <v>136.3775</v>
      </c>
      <c r="C1183" s="42">
        <v>130.2525</v>
      </c>
      <c r="D1183" s="42">
        <v>136.25</v>
      </c>
      <c r="E1183" s="42">
        <v>2207572</v>
      </c>
      <c r="F1183" s="42" t="s">
        <v>1184</v>
      </c>
      <c r="G1183" s="25">
        <f t="shared" si="17"/>
        <v>-3.4073394495412912E-2</v>
      </c>
    </row>
    <row r="1184" spans="1:7">
      <c r="A1184" s="42">
        <v>137.47999999999999</v>
      </c>
      <c r="B1184" s="42">
        <v>138.08750000000001</v>
      </c>
      <c r="C1184" s="42">
        <v>134.23500000000001</v>
      </c>
      <c r="D1184" s="42">
        <v>137.89500000000001</v>
      </c>
      <c r="E1184" s="42">
        <v>1772288</v>
      </c>
      <c r="F1184" s="42" t="s">
        <v>1185</v>
      </c>
      <c r="G1184" s="25">
        <f t="shared" si="17"/>
        <v>-3.009536241343147E-3</v>
      </c>
    </row>
    <row r="1185" spans="1:7">
      <c r="A1185" s="42">
        <v>136.715</v>
      </c>
      <c r="B1185" s="42">
        <v>138.065</v>
      </c>
      <c r="C1185" s="42">
        <v>135.6875</v>
      </c>
      <c r="D1185" s="42">
        <v>136.2525</v>
      </c>
      <c r="E1185" s="42">
        <v>2284488</v>
      </c>
      <c r="F1185" s="42" t="s">
        <v>1186</v>
      </c>
      <c r="G1185" s="25">
        <f t="shared" si="17"/>
        <v>3.3944331296673624E-3</v>
      </c>
    </row>
    <row r="1186" spans="1:7">
      <c r="A1186" s="42">
        <v>136.39500000000001</v>
      </c>
      <c r="B1186" s="42">
        <v>138.5</v>
      </c>
      <c r="C1186" s="42">
        <v>134.69999999999999</v>
      </c>
      <c r="D1186" s="42">
        <v>134.995</v>
      </c>
      <c r="E1186" s="42">
        <v>2243940</v>
      </c>
      <c r="F1186" s="42" t="s">
        <v>1187</v>
      </c>
      <c r="G1186" s="25">
        <f t="shared" si="17"/>
        <v>1.0370754472387889E-2</v>
      </c>
    </row>
    <row r="1187" spans="1:7">
      <c r="A1187" s="42">
        <v>134.23500000000001</v>
      </c>
      <c r="B1187" s="42">
        <v>135.6275</v>
      </c>
      <c r="C1187" s="42">
        <v>130.72999999999999</v>
      </c>
      <c r="D1187" s="42">
        <v>135.23500000000001</v>
      </c>
      <c r="E1187" s="42">
        <v>2231352</v>
      </c>
      <c r="F1187" s="42" t="s">
        <v>1188</v>
      </c>
      <c r="G1187" s="25">
        <f t="shared" si="17"/>
        <v>-7.394535438311034E-3</v>
      </c>
    </row>
    <row r="1188" spans="1:7">
      <c r="A1188" s="42">
        <v>137.26750000000001</v>
      </c>
      <c r="B1188" s="42">
        <v>139.61000000000001</v>
      </c>
      <c r="C1188" s="42">
        <v>135.26</v>
      </c>
      <c r="D1188" s="42">
        <v>139.28749999999999</v>
      </c>
      <c r="E1188" s="42">
        <v>2739652</v>
      </c>
      <c r="F1188" s="42" t="s">
        <v>1189</v>
      </c>
      <c r="G1188" s="25">
        <f t="shared" si="17"/>
        <v>-1.4502378174638619E-2</v>
      </c>
    </row>
    <row r="1189" spans="1:7">
      <c r="A1189" s="42">
        <v>140.185</v>
      </c>
      <c r="B1189" s="42">
        <v>143.01</v>
      </c>
      <c r="C1189" s="42">
        <v>139.5</v>
      </c>
      <c r="D1189" s="42">
        <v>142.72749999999999</v>
      </c>
      <c r="E1189" s="42">
        <v>1753372</v>
      </c>
      <c r="F1189" s="42" t="s">
        <v>1190</v>
      </c>
      <c r="G1189" s="25">
        <f t="shared" si="17"/>
        <v>-1.7813665901805775E-2</v>
      </c>
    </row>
    <row r="1190" spans="1:7">
      <c r="A1190" s="42">
        <v>143.1825</v>
      </c>
      <c r="B1190" s="42">
        <v>144.75</v>
      </c>
      <c r="C1190" s="42">
        <v>142.0025</v>
      </c>
      <c r="D1190" s="42">
        <v>143.32</v>
      </c>
      <c r="E1190" s="42">
        <v>1869916</v>
      </c>
      <c r="F1190" s="42" t="s">
        <v>1191</v>
      </c>
      <c r="G1190" s="25">
        <f t="shared" si="17"/>
        <v>-9.5939157130886521E-4</v>
      </c>
    </row>
    <row r="1191" spans="1:7">
      <c r="A1191" s="42">
        <v>142.60499999999999</v>
      </c>
      <c r="B1191" s="42">
        <v>144.3125</v>
      </c>
      <c r="C1191" s="42">
        <v>138</v>
      </c>
      <c r="D1191" s="42">
        <v>141.03749999999999</v>
      </c>
      <c r="E1191" s="42">
        <v>2089756</v>
      </c>
      <c r="F1191" s="42" t="s">
        <v>1192</v>
      </c>
      <c r="G1191" s="25">
        <f t="shared" si="17"/>
        <v>1.1114065408136087E-2</v>
      </c>
    </row>
    <row r="1192" spans="1:7">
      <c r="A1192" s="42">
        <v>138.44749999999999</v>
      </c>
      <c r="B1192" s="42">
        <v>140.8775</v>
      </c>
      <c r="C1192" s="42">
        <v>138.33500000000001</v>
      </c>
      <c r="D1192" s="42">
        <v>140.39250000000001</v>
      </c>
      <c r="E1192" s="42">
        <v>1766624</v>
      </c>
      <c r="F1192" s="42" t="s">
        <v>1193</v>
      </c>
      <c r="G1192" s="25">
        <f t="shared" si="17"/>
        <v>-1.3854016418256121E-2</v>
      </c>
    </row>
    <row r="1193" spans="1:7">
      <c r="A1193" s="42">
        <v>139.44</v>
      </c>
      <c r="B1193" s="42">
        <v>141.55500000000001</v>
      </c>
      <c r="C1193" s="42">
        <v>136.78</v>
      </c>
      <c r="D1193" s="42">
        <v>140.11250000000001</v>
      </c>
      <c r="E1193" s="42">
        <v>3132012</v>
      </c>
      <c r="F1193" s="42" t="s">
        <v>1194</v>
      </c>
      <c r="G1193" s="25">
        <f t="shared" si="17"/>
        <v>-4.7997145151218445E-3</v>
      </c>
    </row>
    <row r="1194" spans="1:7">
      <c r="A1194" s="42">
        <v>140.785</v>
      </c>
      <c r="B1194" s="42">
        <v>141.19999999999999</v>
      </c>
      <c r="C1194" s="42">
        <v>138.95249999999999</v>
      </c>
      <c r="D1194" s="42">
        <v>140</v>
      </c>
      <c r="E1194" s="42">
        <v>3365532</v>
      </c>
      <c r="F1194" s="42" t="s">
        <v>1195</v>
      </c>
      <c r="G1194" s="25">
        <f t="shared" si="17"/>
        <v>5.6071428571429216E-3</v>
      </c>
    </row>
    <row r="1195" spans="1:7">
      <c r="A1195" s="42">
        <v>141.2825</v>
      </c>
      <c r="B1195" s="42">
        <v>141.95247499999999</v>
      </c>
      <c r="C1195" s="42">
        <v>138.94999999999999</v>
      </c>
      <c r="D1195" s="42">
        <v>139</v>
      </c>
      <c r="E1195" s="42">
        <v>2194364</v>
      </c>
      <c r="F1195" s="42" t="s">
        <v>1196</v>
      </c>
      <c r="G1195" s="25">
        <f t="shared" si="17"/>
        <v>1.6420863309352551E-2</v>
      </c>
    </row>
    <row r="1196" spans="1:7">
      <c r="A1196" s="42">
        <v>137.91749999999999</v>
      </c>
      <c r="B1196" s="42">
        <v>138.44749999999999</v>
      </c>
      <c r="C1196" s="42">
        <v>134.0325</v>
      </c>
      <c r="D1196" s="42">
        <v>136.1636</v>
      </c>
      <c r="E1196" s="42">
        <v>1438244</v>
      </c>
      <c r="F1196" s="42" t="s">
        <v>1197</v>
      </c>
      <c r="G1196" s="25">
        <f t="shared" si="17"/>
        <v>1.2880828650241316E-2</v>
      </c>
    </row>
    <row r="1197" spans="1:7">
      <c r="A1197" s="42">
        <v>135.5575</v>
      </c>
      <c r="B1197" s="42">
        <v>137.43</v>
      </c>
      <c r="C1197" s="42">
        <v>135.0325</v>
      </c>
      <c r="D1197" s="42">
        <v>135.64250000000001</v>
      </c>
      <c r="E1197" s="42">
        <v>1506656</v>
      </c>
      <c r="F1197" s="42" t="s">
        <v>1198</v>
      </c>
      <c r="G1197" s="25">
        <f t="shared" si="17"/>
        <v>-6.2664725288907874E-4</v>
      </c>
    </row>
    <row r="1198" spans="1:7">
      <c r="A1198" s="42">
        <v>135.10749999999999</v>
      </c>
      <c r="B1198" s="42">
        <v>135.71250000000001</v>
      </c>
      <c r="C1198" s="42">
        <v>131.79249999999999</v>
      </c>
      <c r="D1198" s="42">
        <v>135.36750000000001</v>
      </c>
      <c r="E1198" s="42">
        <v>2741704</v>
      </c>
      <c r="F1198" s="42" t="s">
        <v>1199</v>
      </c>
      <c r="G1198" s="25">
        <f t="shared" si="17"/>
        <v>-1.9206973608880684E-3</v>
      </c>
    </row>
    <row r="1199" spans="1:7">
      <c r="A1199" s="42">
        <v>137.345</v>
      </c>
      <c r="B1199" s="42">
        <v>139.9375</v>
      </c>
      <c r="C1199" s="42">
        <v>137.27000000000001</v>
      </c>
      <c r="D1199" s="42">
        <v>139.58250000000001</v>
      </c>
      <c r="E1199" s="42">
        <v>1508372</v>
      </c>
      <c r="F1199" s="42" t="s">
        <v>1200</v>
      </c>
      <c r="G1199" s="25">
        <f t="shared" si="17"/>
        <v>-1.6029946447441601E-2</v>
      </c>
    </row>
    <row r="1200" spans="1:7">
      <c r="A1200" s="42">
        <v>138.16499999999999</v>
      </c>
      <c r="B1200" s="42">
        <v>139.60749999999999</v>
      </c>
      <c r="C1200" s="42">
        <v>134.565</v>
      </c>
      <c r="D1200" s="42">
        <v>135.34</v>
      </c>
      <c r="E1200" s="42">
        <v>2346144</v>
      </c>
      <c r="F1200" s="42" t="s">
        <v>1201</v>
      </c>
      <c r="G1200" s="25">
        <f t="shared" si="17"/>
        <v>2.0873355992315545E-2</v>
      </c>
    </row>
    <row r="1201" spans="1:7">
      <c r="A1201" s="42">
        <v>137.63749999999999</v>
      </c>
      <c r="B1201" s="42">
        <v>139.58000000000001</v>
      </c>
      <c r="C1201" s="42">
        <v>136.25</v>
      </c>
      <c r="D1201" s="42">
        <v>136.4675</v>
      </c>
      <c r="E1201" s="42">
        <v>1637276</v>
      </c>
      <c r="F1201" s="42" t="s">
        <v>1202</v>
      </c>
      <c r="G1201" s="25">
        <f t="shared" si="17"/>
        <v>8.5734698737793824E-3</v>
      </c>
    </row>
    <row r="1202" spans="1:7">
      <c r="A1202" s="42">
        <v>137.91499999999999</v>
      </c>
      <c r="B1202" s="42">
        <v>138.74</v>
      </c>
      <c r="C1202" s="42">
        <v>135.6875</v>
      </c>
      <c r="D1202" s="42">
        <v>136.35249999999999</v>
      </c>
      <c r="E1202" s="42">
        <v>1838304</v>
      </c>
      <c r="F1202" s="42" t="s">
        <v>1203</v>
      </c>
      <c r="G1202" s="25">
        <f t="shared" si="17"/>
        <v>1.1459269173649256E-2</v>
      </c>
    </row>
    <row r="1203" spans="1:7">
      <c r="A1203" s="42">
        <v>135.60749999999999</v>
      </c>
      <c r="B1203" s="42">
        <v>136.09375</v>
      </c>
      <c r="C1203" s="42">
        <v>133.0325</v>
      </c>
      <c r="D1203" s="42">
        <v>134.03</v>
      </c>
      <c r="E1203" s="42">
        <v>1573276</v>
      </c>
      <c r="F1203" s="42" t="s">
        <v>1204</v>
      </c>
      <c r="G1203" s="25">
        <f t="shared" si="17"/>
        <v>1.1769753040363984E-2</v>
      </c>
    </row>
    <row r="1204" spans="1:7">
      <c r="A1204" s="42">
        <v>134.92750000000001</v>
      </c>
      <c r="B1204" s="42">
        <v>138.75</v>
      </c>
      <c r="C1204" s="42">
        <v>134.46250000000001</v>
      </c>
      <c r="D1204" s="42">
        <v>136.45249999999999</v>
      </c>
      <c r="E1204" s="42">
        <v>2143500</v>
      </c>
      <c r="F1204" s="42" t="s">
        <v>1205</v>
      </c>
      <c r="G1204" s="25">
        <f t="shared" si="17"/>
        <v>-1.117605027390467E-2</v>
      </c>
    </row>
    <row r="1205" spans="1:7">
      <c r="A1205" s="42">
        <v>136.22999999999999</v>
      </c>
      <c r="B1205" s="42">
        <v>136.88249999999999</v>
      </c>
      <c r="C1205" s="42">
        <v>131.73500000000001</v>
      </c>
      <c r="D1205" s="42">
        <v>132.97499999999999</v>
      </c>
      <c r="E1205" s="42">
        <v>3350192</v>
      </c>
      <c r="F1205" s="42" t="s">
        <v>1206</v>
      </c>
      <c r="G1205" s="25">
        <f t="shared" si="17"/>
        <v>2.4478285391990928E-2</v>
      </c>
    </row>
    <row r="1206" spans="1:7">
      <c r="A1206" s="42">
        <v>132.35499999999999</v>
      </c>
      <c r="B1206" s="42">
        <v>132.61000000000001</v>
      </c>
      <c r="C1206" s="42">
        <v>129.50749999999999</v>
      </c>
      <c r="D1206" s="42">
        <v>130.88749999999999</v>
      </c>
      <c r="E1206" s="42">
        <v>2320876</v>
      </c>
      <c r="F1206" s="42" t="s">
        <v>1207</v>
      </c>
      <c r="G1206" s="25">
        <f t="shared" si="17"/>
        <v>1.1211918632413331E-2</v>
      </c>
    </row>
    <row r="1207" spans="1:7">
      <c r="A1207" s="42">
        <v>130.38499999999999</v>
      </c>
      <c r="B1207" s="42">
        <v>131.73750000000001</v>
      </c>
      <c r="C1207" s="42">
        <v>129.42500000000001</v>
      </c>
      <c r="D1207" s="42">
        <v>130.39750000000001</v>
      </c>
      <c r="E1207" s="42">
        <v>2114712</v>
      </c>
      <c r="F1207" s="42" t="s">
        <v>1208</v>
      </c>
      <c r="G1207" s="25">
        <f t="shared" si="17"/>
        <v>-9.5860733526409447E-5</v>
      </c>
    </row>
    <row r="1208" spans="1:7">
      <c r="A1208" s="42">
        <v>130.17750000000001</v>
      </c>
      <c r="B1208" s="42">
        <v>131.19749999999999</v>
      </c>
      <c r="C1208" s="42">
        <v>128.60749999999999</v>
      </c>
      <c r="D1208" s="42">
        <v>129.6525</v>
      </c>
      <c r="E1208" s="42">
        <v>1548756</v>
      </c>
      <c r="F1208" s="42" t="s">
        <v>1209</v>
      </c>
      <c r="G1208" s="25">
        <f t="shared" si="17"/>
        <v>4.0492855903280223E-3</v>
      </c>
    </row>
    <row r="1209" spans="1:7">
      <c r="A1209" s="42">
        <v>129.26499999999999</v>
      </c>
      <c r="B1209" s="42">
        <v>132.07499999999999</v>
      </c>
      <c r="C1209" s="42">
        <v>128.60252500000001</v>
      </c>
      <c r="D1209" s="42">
        <v>129.31</v>
      </c>
      <c r="E1209" s="42">
        <v>2251892</v>
      </c>
      <c r="F1209" s="42" t="s">
        <v>1210</v>
      </c>
      <c r="G1209" s="25">
        <f t="shared" si="17"/>
        <v>-3.4800092800257865E-4</v>
      </c>
    </row>
    <row r="1210" spans="1:7">
      <c r="A1210" s="42">
        <v>129.38999999999999</v>
      </c>
      <c r="B1210" s="42">
        <v>129.79750000000001</v>
      </c>
      <c r="C1210" s="42">
        <v>127.925</v>
      </c>
      <c r="D1210" s="42">
        <v>128.6</v>
      </c>
      <c r="E1210" s="42">
        <v>961976</v>
      </c>
      <c r="F1210" s="42" t="s">
        <v>1211</v>
      </c>
      <c r="G1210" s="25">
        <f t="shared" si="17"/>
        <v>6.1430793157075669E-3</v>
      </c>
    </row>
    <row r="1211" spans="1:7">
      <c r="A1211" s="42">
        <v>128.82499999999999</v>
      </c>
      <c r="B1211" s="42">
        <v>130.61500000000001</v>
      </c>
      <c r="C1211" s="42">
        <v>127</v>
      </c>
      <c r="D1211" s="42">
        <v>127</v>
      </c>
      <c r="E1211" s="42">
        <v>1563812</v>
      </c>
      <c r="F1211" s="42" t="s">
        <v>1212</v>
      </c>
      <c r="G1211" s="25">
        <f t="shared" si="17"/>
        <v>1.4370078740157499E-2</v>
      </c>
    </row>
    <row r="1212" spans="1:7">
      <c r="A1212" s="42">
        <v>128.18</v>
      </c>
      <c r="B1212" s="42">
        <v>129.49</v>
      </c>
      <c r="C1212" s="42">
        <v>127.2775</v>
      </c>
      <c r="D1212" s="42">
        <v>129.49</v>
      </c>
      <c r="E1212" s="42">
        <v>1883472</v>
      </c>
      <c r="F1212" s="42" t="s">
        <v>1213</v>
      </c>
      <c r="G1212" s="25">
        <f t="shared" si="17"/>
        <v>-1.0116611321337565E-2</v>
      </c>
    </row>
    <row r="1213" spans="1:7">
      <c r="A1213" s="42">
        <v>129.7475</v>
      </c>
      <c r="B1213" s="42">
        <v>130.710925</v>
      </c>
      <c r="C1213" s="42">
        <v>125.75749999999999</v>
      </c>
      <c r="D1213" s="42">
        <v>126.27500000000001</v>
      </c>
      <c r="E1213" s="42">
        <v>1946668</v>
      </c>
      <c r="F1213" s="42" t="s">
        <v>1214</v>
      </c>
      <c r="G1213" s="25">
        <f t="shared" si="17"/>
        <v>2.749950504850518E-2</v>
      </c>
    </row>
    <row r="1214" spans="1:7">
      <c r="A1214" s="42">
        <v>126.3875</v>
      </c>
      <c r="B1214" s="42">
        <v>128.11250000000001</v>
      </c>
      <c r="C1214" s="42">
        <v>126.005</v>
      </c>
      <c r="D1214" s="42">
        <v>126.53749999999999</v>
      </c>
      <c r="E1214" s="42">
        <v>2241476</v>
      </c>
      <c r="F1214" s="42" t="s">
        <v>1215</v>
      </c>
      <c r="G1214" s="25">
        <f t="shared" si="17"/>
        <v>-1.1854193420921533E-3</v>
      </c>
    </row>
    <row r="1215" spans="1:7">
      <c r="A1215" s="42">
        <v>127.38500000000001</v>
      </c>
      <c r="B1215" s="42">
        <v>128.537475</v>
      </c>
      <c r="C1215" s="42">
        <v>127.13</v>
      </c>
      <c r="D1215" s="42">
        <v>127.2</v>
      </c>
      <c r="E1215" s="42">
        <v>2157780</v>
      </c>
      <c r="F1215" s="42" t="s">
        <v>1216</v>
      </c>
      <c r="G1215" s="25">
        <f t="shared" si="17"/>
        <v>1.4544025157232632E-3</v>
      </c>
    </row>
    <row r="1216" spans="1:7">
      <c r="A1216" s="42">
        <v>127.56</v>
      </c>
      <c r="B1216" s="42">
        <v>127.89</v>
      </c>
      <c r="C1216" s="42">
        <v>125.49250000000001</v>
      </c>
      <c r="D1216" s="42">
        <v>126.09</v>
      </c>
      <c r="E1216" s="42">
        <v>1352028</v>
      </c>
      <c r="F1216" s="42" t="s">
        <v>1217</v>
      </c>
      <c r="G1216" s="25">
        <f t="shared" si="17"/>
        <v>1.1658339281465535E-2</v>
      </c>
    </row>
    <row r="1217" spans="1:7">
      <c r="A1217" s="42">
        <v>126.545</v>
      </c>
      <c r="B1217" s="42">
        <v>126.8175</v>
      </c>
      <c r="C1217" s="42">
        <v>122.21250000000001</v>
      </c>
      <c r="D1217" s="42">
        <v>123.0425</v>
      </c>
      <c r="E1217" s="42">
        <v>1872780</v>
      </c>
      <c r="F1217" s="42" t="s">
        <v>1218</v>
      </c>
      <c r="G1217" s="25">
        <f t="shared" si="17"/>
        <v>2.8465774021171564E-2</v>
      </c>
    </row>
    <row r="1218" spans="1:7">
      <c r="A1218" s="42">
        <v>122.85250000000001</v>
      </c>
      <c r="B1218" s="42">
        <v>123.85</v>
      </c>
      <c r="C1218" s="42">
        <v>121.75</v>
      </c>
      <c r="D1218" s="42">
        <v>122.815</v>
      </c>
      <c r="E1218" s="42">
        <v>1347532</v>
      </c>
      <c r="F1218" s="42" t="s">
        <v>1219</v>
      </c>
      <c r="G1218" s="25">
        <f t="shared" si="17"/>
        <v>3.0533729593296144E-4</v>
      </c>
    </row>
    <row r="1219" spans="1:7">
      <c r="A1219" s="42">
        <v>123.21250000000001</v>
      </c>
      <c r="B1219" s="42">
        <v>124.832475</v>
      </c>
      <c r="C1219" s="42">
        <v>122.565</v>
      </c>
      <c r="D1219" s="42">
        <v>123.065</v>
      </c>
      <c r="E1219" s="42">
        <v>1787240</v>
      </c>
      <c r="F1219" s="42" t="s">
        <v>1220</v>
      </c>
      <c r="G1219" s="25">
        <f t="shared" ref="G1219:G1282" si="18">A1219/D1219-1</f>
        <v>1.1985536098810812E-3</v>
      </c>
    </row>
    <row r="1220" spans="1:7">
      <c r="A1220" s="42">
        <v>122.565</v>
      </c>
      <c r="B1220" s="42">
        <v>126.00557499999999</v>
      </c>
      <c r="C1220" s="42">
        <v>122.13500000000001</v>
      </c>
      <c r="D1220" s="42">
        <v>125.505</v>
      </c>
      <c r="E1220" s="42">
        <v>4074688</v>
      </c>
      <c r="F1220" s="42" t="s">
        <v>1221</v>
      </c>
      <c r="G1220" s="25">
        <f t="shared" si="18"/>
        <v>-2.3425361539380907E-2</v>
      </c>
    </row>
    <row r="1221" spans="1:7">
      <c r="A1221" s="42">
        <v>124.985</v>
      </c>
      <c r="B1221" s="42">
        <v>129.56375</v>
      </c>
      <c r="C1221" s="42">
        <v>124.7625</v>
      </c>
      <c r="D1221" s="42">
        <v>129.245</v>
      </c>
      <c r="E1221" s="42">
        <v>3065388</v>
      </c>
      <c r="F1221" s="42" t="s">
        <v>1222</v>
      </c>
      <c r="G1221" s="25">
        <f t="shared" si="18"/>
        <v>-3.2960656118225073E-2</v>
      </c>
    </row>
    <row r="1222" spans="1:7">
      <c r="A1222" s="42">
        <v>129.39500000000001</v>
      </c>
      <c r="B1222" s="42">
        <v>130.96250000000001</v>
      </c>
      <c r="C1222" s="42">
        <v>128.18067500000001</v>
      </c>
      <c r="D1222" s="42">
        <v>129.46</v>
      </c>
      <c r="E1222" s="42">
        <v>4002192</v>
      </c>
      <c r="F1222" s="42" t="s">
        <v>1223</v>
      </c>
      <c r="G1222" s="25">
        <f t="shared" si="18"/>
        <v>-5.0208558628150879E-4</v>
      </c>
    </row>
    <row r="1223" spans="1:7">
      <c r="A1223" s="42">
        <v>129.16</v>
      </c>
      <c r="B1223" s="42">
        <v>130.5275</v>
      </c>
      <c r="C1223" s="42">
        <v>126.5</v>
      </c>
      <c r="D1223" s="42">
        <v>129.8125</v>
      </c>
      <c r="E1223" s="42">
        <v>2202088</v>
      </c>
      <c r="F1223" s="42" t="s">
        <v>1224</v>
      </c>
      <c r="G1223" s="25">
        <f t="shared" si="18"/>
        <v>-5.0264805007221858E-3</v>
      </c>
    </row>
    <row r="1224" spans="1:7">
      <c r="A1224" s="42">
        <v>130.98249999999999</v>
      </c>
      <c r="B1224" s="42">
        <v>131.3425</v>
      </c>
      <c r="C1224" s="42">
        <v>127.065</v>
      </c>
      <c r="D1224" s="42">
        <v>128.35249999999999</v>
      </c>
      <c r="E1224" s="42">
        <v>1796136</v>
      </c>
      <c r="F1224" s="42" t="s">
        <v>1225</v>
      </c>
      <c r="G1224" s="25">
        <f t="shared" si="18"/>
        <v>2.0490446232056314E-2</v>
      </c>
    </row>
    <row r="1225" spans="1:7">
      <c r="A1225" s="42">
        <v>128.63249999999999</v>
      </c>
      <c r="B1225" s="42">
        <v>131.77500000000001</v>
      </c>
      <c r="C1225" s="42">
        <v>128.28749999999999</v>
      </c>
      <c r="D1225" s="42">
        <v>130.19999999999999</v>
      </c>
      <c r="E1225" s="42">
        <v>4629444</v>
      </c>
      <c r="F1225" s="42" t="s">
        <v>1226</v>
      </c>
      <c r="G1225" s="25">
        <f t="shared" si="18"/>
        <v>-1.2039170506912389E-2</v>
      </c>
    </row>
    <row r="1226" spans="1:7">
      <c r="A1226" s="42">
        <v>130.30500000000001</v>
      </c>
      <c r="B1226" s="42">
        <v>130.70249999999999</v>
      </c>
      <c r="C1226" s="42">
        <v>127.8075</v>
      </c>
      <c r="D1226" s="42">
        <v>128.09</v>
      </c>
      <c r="E1226" s="42">
        <v>2144324</v>
      </c>
      <c r="F1226" s="42" t="s">
        <v>1227</v>
      </c>
      <c r="G1226" s="25">
        <f t="shared" si="18"/>
        <v>1.7292528690764364E-2</v>
      </c>
    </row>
    <row r="1227" spans="1:7">
      <c r="A1227" s="42">
        <v>127.83750000000001</v>
      </c>
      <c r="B1227" s="42">
        <v>129.30500000000001</v>
      </c>
      <c r="C1227" s="42">
        <v>124.37535</v>
      </c>
      <c r="D1227" s="42">
        <v>129.29750000000001</v>
      </c>
      <c r="E1227" s="42">
        <v>2853888</v>
      </c>
      <c r="F1227" s="42" t="s">
        <v>1228</v>
      </c>
      <c r="G1227" s="25">
        <f t="shared" si="18"/>
        <v>-1.1291788317639662E-2</v>
      </c>
    </row>
    <row r="1228" spans="1:7">
      <c r="A1228" s="42">
        <v>128.8775</v>
      </c>
      <c r="B1228" s="42">
        <v>131.07749999999999</v>
      </c>
      <c r="C1228" s="42">
        <v>118.31</v>
      </c>
      <c r="D1228" s="42">
        <v>119.175</v>
      </c>
      <c r="E1228" s="42">
        <v>9673624</v>
      </c>
      <c r="F1228" s="42" t="s">
        <v>1229</v>
      </c>
      <c r="G1228" s="25">
        <f t="shared" si="18"/>
        <v>8.1413887140759478E-2</v>
      </c>
    </row>
    <row r="1229" spans="1:7">
      <c r="A1229" s="42">
        <v>114.0125</v>
      </c>
      <c r="B1229" s="42">
        <v>116.55125</v>
      </c>
      <c r="C1229" s="42">
        <v>113.85250000000001</v>
      </c>
      <c r="D1229" s="42">
        <v>114.91</v>
      </c>
      <c r="E1229" s="42">
        <v>2992492</v>
      </c>
      <c r="F1229" s="42" t="s">
        <v>1230</v>
      </c>
      <c r="G1229" s="25">
        <f t="shared" si="18"/>
        <v>-7.810460360281879E-3</v>
      </c>
    </row>
    <row r="1230" spans="1:7">
      <c r="A1230" s="42">
        <v>114.98</v>
      </c>
      <c r="B1230" s="42">
        <v>115.25</v>
      </c>
      <c r="C1230" s="42">
        <v>111.9</v>
      </c>
      <c r="D1230" s="42">
        <v>112.14</v>
      </c>
      <c r="E1230" s="42">
        <v>1762192</v>
      </c>
      <c r="F1230" s="42" t="s">
        <v>1231</v>
      </c>
      <c r="G1230" s="25">
        <f t="shared" si="18"/>
        <v>2.5325485999643238E-2</v>
      </c>
    </row>
    <row r="1231" spans="1:7">
      <c r="A1231" s="42">
        <v>112.145</v>
      </c>
      <c r="B1231" s="42">
        <v>113.645875</v>
      </c>
      <c r="C1231" s="42">
        <v>111.3175</v>
      </c>
      <c r="D1231" s="42">
        <v>113.07250000000001</v>
      </c>
      <c r="E1231" s="42">
        <v>1916856</v>
      </c>
      <c r="F1231" s="42" t="s">
        <v>1232</v>
      </c>
      <c r="G1231" s="25">
        <f t="shared" si="18"/>
        <v>-8.2027018063632884E-3</v>
      </c>
    </row>
    <row r="1232" spans="1:7">
      <c r="A1232" s="42">
        <v>113.145</v>
      </c>
      <c r="B1232" s="42">
        <v>114.69750000000001</v>
      </c>
      <c r="C1232" s="42">
        <v>112.68375</v>
      </c>
      <c r="D1232" s="42">
        <v>114.69750000000001</v>
      </c>
      <c r="E1232" s="42">
        <v>1547072</v>
      </c>
      <c r="F1232" s="42" t="s">
        <v>1233</v>
      </c>
      <c r="G1232" s="25">
        <f t="shared" si="18"/>
        <v>-1.3535604524946176E-2</v>
      </c>
    </row>
    <row r="1233" spans="1:7">
      <c r="A1233" s="42">
        <v>115.18</v>
      </c>
      <c r="B1233" s="42">
        <v>115.80500000000001</v>
      </c>
      <c r="C1233" s="42">
        <v>112.5925</v>
      </c>
      <c r="D1233" s="42">
        <v>113.16249999999999</v>
      </c>
      <c r="E1233" s="42">
        <v>2437864</v>
      </c>
      <c r="F1233" s="42" t="s">
        <v>1234</v>
      </c>
      <c r="G1233" s="25">
        <f t="shared" si="18"/>
        <v>1.7828344195294443E-2</v>
      </c>
    </row>
    <row r="1234" spans="1:7">
      <c r="A1234" s="42">
        <v>112.7225</v>
      </c>
      <c r="B1234" s="42">
        <v>113.18927499999999</v>
      </c>
      <c r="C1234" s="42">
        <v>111.535</v>
      </c>
      <c r="D1234" s="42">
        <v>112.19</v>
      </c>
      <c r="E1234" s="42">
        <v>1380484</v>
      </c>
      <c r="F1234" s="42" t="s">
        <v>1235</v>
      </c>
      <c r="G1234" s="25">
        <f t="shared" si="18"/>
        <v>4.746412336215311E-3</v>
      </c>
    </row>
    <row r="1235" spans="1:7">
      <c r="A1235" s="42">
        <v>111.745</v>
      </c>
      <c r="B1235" s="42">
        <v>112.45</v>
      </c>
      <c r="C1235" s="42">
        <v>109.25</v>
      </c>
      <c r="D1235" s="42">
        <v>112.3725</v>
      </c>
      <c r="E1235" s="42">
        <v>1723856</v>
      </c>
      <c r="F1235" s="42" t="s">
        <v>1236</v>
      </c>
      <c r="G1235" s="25">
        <f t="shared" si="18"/>
        <v>-5.5841064317336819E-3</v>
      </c>
    </row>
    <row r="1236" spans="1:7">
      <c r="A1236" s="42">
        <v>111.925</v>
      </c>
      <c r="B1236" s="42">
        <v>112.8325</v>
      </c>
      <c r="C1236" s="42">
        <v>107.78749999999999</v>
      </c>
      <c r="D1236" s="42">
        <v>108.72</v>
      </c>
      <c r="E1236" s="42">
        <v>3154508</v>
      </c>
      <c r="F1236" s="42" t="s">
        <v>1237</v>
      </c>
      <c r="G1236" s="25">
        <f t="shared" si="18"/>
        <v>2.9479396615158082E-2</v>
      </c>
    </row>
    <row r="1237" spans="1:7">
      <c r="A1237" s="42">
        <v>108.7625</v>
      </c>
      <c r="B1237" s="42">
        <v>112.867475</v>
      </c>
      <c r="C1237" s="42">
        <v>107.99</v>
      </c>
      <c r="D1237" s="42">
        <v>111.03</v>
      </c>
      <c r="E1237" s="42">
        <v>3145488</v>
      </c>
      <c r="F1237" s="42" t="s">
        <v>1238</v>
      </c>
      <c r="G1237" s="25">
        <f t="shared" si="18"/>
        <v>-2.0422408358101385E-2</v>
      </c>
    </row>
    <row r="1238" spans="1:7">
      <c r="A1238" s="42">
        <v>112.1725</v>
      </c>
      <c r="B1238" s="42">
        <v>112.8575</v>
      </c>
      <c r="C1238" s="42">
        <v>110.24250000000001</v>
      </c>
      <c r="D1238" s="42">
        <v>110.6375</v>
      </c>
      <c r="E1238" s="42">
        <v>2731160</v>
      </c>
      <c r="F1238" s="42" t="s">
        <v>1239</v>
      </c>
      <c r="G1238" s="25">
        <f t="shared" si="18"/>
        <v>1.3874138515421963E-2</v>
      </c>
    </row>
    <row r="1239" spans="1:7">
      <c r="A1239" s="42">
        <v>110.355</v>
      </c>
      <c r="B1239" s="42">
        <v>110.5425</v>
      </c>
      <c r="C1239" s="42">
        <v>108.47750000000001</v>
      </c>
      <c r="D1239" s="42">
        <v>109.735</v>
      </c>
      <c r="E1239" s="42">
        <v>2180988</v>
      </c>
      <c r="F1239" s="42" t="s">
        <v>1240</v>
      </c>
      <c r="G1239" s="25">
        <f t="shared" si="18"/>
        <v>5.6499749396272669E-3</v>
      </c>
    </row>
    <row r="1240" spans="1:7">
      <c r="A1240" s="42">
        <v>110.1225</v>
      </c>
      <c r="B1240" s="42">
        <v>112.435</v>
      </c>
      <c r="C1240" s="42">
        <v>109.711225</v>
      </c>
      <c r="D1240" s="42">
        <v>112.1225</v>
      </c>
      <c r="E1240" s="42">
        <v>2082312</v>
      </c>
      <c r="F1240" s="42" t="s">
        <v>1241</v>
      </c>
      <c r="G1240" s="25">
        <f t="shared" si="18"/>
        <v>-1.7837632946108073E-2</v>
      </c>
    </row>
    <row r="1241" spans="1:7">
      <c r="A1241" s="42">
        <v>111.5975</v>
      </c>
      <c r="B1241" s="42">
        <v>112.455</v>
      </c>
      <c r="C1241" s="42">
        <v>110.50749999999999</v>
      </c>
      <c r="D1241" s="42">
        <v>111.345</v>
      </c>
      <c r="E1241" s="42">
        <v>1971328</v>
      </c>
      <c r="F1241" s="42" t="s">
        <v>1242</v>
      </c>
      <c r="G1241" s="25">
        <f t="shared" si="18"/>
        <v>2.2677264358526017E-3</v>
      </c>
    </row>
    <row r="1242" spans="1:7">
      <c r="A1242" s="42">
        <v>111.4425</v>
      </c>
      <c r="B1242" s="42">
        <v>112.215</v>
      </c>
      <c r="C1242" s="42">
        <v>110.38249999999999</v>
      </c>
      <c r="D1242" s="42">
        <v>111.355</v>
      </c>
      <c r="E1242" s="42">
        <v>1502016</v>
      </c>
      <c r="F1242" s="42" t="s">
        <v>1243</v>
      </c>
      <c r="G1242" s="25">
        <f t="shared" si="18"/>
        <v>7.8577522338463268E-4</v>
      </c>
    </row>
    <row r="1243" spans="1:7">
      <c r="A1243" s="42">
        <v>110.1825</v>
      </c>
      <c r="B1243" s="42">
        <v>111.3725</v>
      </c>
      <c r="C1243" s="42">
        <v>109.07250000000001</v>
      </c>
      <c r="D1243" s="42">
        <v>111.28</v>
      </c>
      <c r="E1243" s="42">
        <v>2040896</v>
      </c>
      <c r="F1243" s="42" t="s">
        <v>1244</v>
      </c>
      <c r="G1243" s="25">
        <f t="shared" si="18"/>
        <v>-9.8625089863407789E-3</v>
      </c>
    </row>
    <row r="1244" spans="1:7">
      <c r="A1244" s="42">
        <v>111.74250000000001</v>
      </c>
      <c r="B1244" s="42">
        <v>111.8325</v>
      </c>
      <c r="C1244" s="42">
        <v>108.855</v>
      </c>
      <c r="D1244" s="42">
        <v>110.1575</v>
      </c>
      <c r="E1244" s="42">
        <v>2524676</v>
      </c>
      <c r="F1244" s="42" t="s">
        <v>1245</v>
      </c>
      <c r="G1244" s="25">
        <f t="shared" si="18"/>
        <v>1.4388489208633226E-2</v>
      </c>
    </row>
    <row r="1245" spans="1:7">
      <c r="A1245" s="42">
        <v>111.88</v>
      </c>
      <c r="B1245" s="42">
        <v>112.28625</v>
      </c>
      <c r="C1245" s="42">
        <v>109.2825</v>
      </c>
      <c r="D1245" s="42">
        <v>111.12</v>
      </c>
      <c r="E1245" s="42">
        <v>3762920</v>
      </c>
      <c r="F1245" s="42" t="s">
        <v>1246</v>
      </c>
      <c r="G1245" s="25">
        <f t="shared" si="18"/>
        <v>6.8394528437725199E-3</v>
      </c>
    </row>
    <row r="1246" spans="1:7">
      <c r="A1246" s="42">
        <v>110.16249999999999</v>
      </c>
      <c r="B1246" s="42">
        <v>110.65</v>
      </c>
      <c r="C1246" s="42">
        <v>107.03125</v>
      </c>
      <c r="D1246" s="42">
        <v>108.0125</v>
      </c>
      <c r="E1246" s="42">
        <v>2187592</v>
      </c>
      <c r="F1246" s="42" t="s">
        <v>1247</v>
      </c>
      <c r="G1246" s="25">
        <f t="shared" si="18"/>
        <v>1.9905103575974969E-2</v>
      </c>
    </row>
    <row r="1247" spans="1:7">
      <c r="A1247" s="42">
        <v>107.89749999999999</v>
      </c>
      <c r="B1247" s="42">
        <v>108.25</v>
      </c>
      <c r="C1247" s="42">
        <v>106.55</v>
      </c>
      <c r="D1247" s="42">
        <v>107.11499999999999</v>
      </c>
      <c r="E1247" s="42">
        <v>1468208</v>
      </c>
      <c r="F1247" s="42" t="s">
        <v>1248</v>
      </c>
      <c r="G1247" s="25">
        <f t="shared" si="18"/>
        <v>7.305232693833652E-3</v>
      </c>
    </row>
    <row r="1248" spans="1:7">
      <c r="A1248" s="42">
        <v>106.71</v>
      </c>
      <c r="B1248" s="42">
        <v>107.005</v>
      </c>
      <c r="C1248" s="42">
        <v>105.185</v>
      </c>
      <c r="D1248" s="42">
        <v>106.2475</v>
      </c>
      <c r="E1248" s="42">
        <v>2195708</v>
      </c>
      <c r="F1248" s="42" t="s">
        <v>1249</v>
      </c>
      <c r="G1248" s="25">
        <f t="shared" si="18"/>
        <v>4.3530436010257301E-3</v>
      </c>
    </row>
    <row r="1249" spans="1:7">
      <c r="A1249" s="42">
        <v>106.75</v>
      </c>
      <c r="B1249" s="42">
        <v>106.97125</v>
      </c>
      <c r="C1249" s="42">
        <v>105.61750000000001</v>
      </c>
      <c r="D1249" s="42">
        <v>106.13500000000001</v>
      </c>
      <c r="E1249" s="42">
        <v>2819120</v>
      </c>
      <c r="F1249" s="42" t="s">
        <v>1250</v>
      </c>
      <c r="G1249" s="25">
        <f t="shared" si="18"/>
        <v>5.7945069958071915E-3</v>
      </c>
    </row>
    <row r="1250" spans="1:7">
      <c r="A1250" s="42">
        <v>106.7</v>
      </c>
      <c r="B1250" s="42">
        <v>106.8425</v>
      </c>
      <c r="C1250" s="42">
        <v>104.65</v>
      </c>
      <c r="D1250" s="42">
        <v>106.4375</v>
      </c>
      <c r="E1250" s="42">
        <v>2748912</v>
      </c>
      <c r="F1250" s="42" t="s">
        <v>1251</v>
      </c>
      <c r="G1250" s="25">
        <f t="shared" si="18"/>
        <v>2.4662360540224082E-3</v>
      </c>
    </row>
    <row r="1251" spans="1:7">
      <c r="A1251" s="42">
        <v>106.79</v>
      </c>
      <c r="B1251" s="42">
        <v>107.895</v>
      </c>
      <c r="C1251" s="42">
        <v>105.6125</v>
      </c>
      <c r="D1251" s="42">
        <v>107.8725</v>
      </c>
      <c r="E1251" s="42">
        <v>4731572</v>
      </c>
      <c r="F1251" s="42" t="s">
        <v>1252</v>
      </c>
      <c r="G1251" s="25">
        <f t="shared" si="18"/>
        <v>-1.003499501726568E-2</v>
      </c>
    </row>
    <row r="1252" spans="1:7">
      <c r="A1252" s="42">
        <v>107.59</v>
      </c>
      <c r="B1252" s="42">
        <v>107.62</v>
      </c>
      <c r="C1252" s="42">
        <v>104.90625</v>
      </c>
      <c r="D1252" s="42">
        <v>106.4</v>
      </c>
      <c r="E1252" s="42">
        <v>13446496</v>
      </c>
      <c r="F1252" s="42" t="s">
        <v>1253</v>
      </c>
      <c r="G1252" s="25">
        <f t="shared" si="18"/>
        <v>1.1184210526315796E-2</v>
      </c>
    </row>
    <row r="1253" spans="1:7">
      <c r="A1253" s="42">
        <v>106.25</v>
      </c>
      <c r="B1253" s="42">
        <v>109.905</v>
      </c>
      <c r="C1253" s="42">
        <v>106.1225</v>
      </c>
      <c r="D1253" s="42">
        <v>108.3</v>
      </c>
      <c r="E1253" s="42">
        <v>4763428</v>
      </c>
      <c r="F1253" s="42" t="s">
        <v>1254</v>
      </c>
      <c r="G1253" s="25">
        <f t="shared" si="18"/>
        <v>-1.8928901200369275E-2</v>
      </c>
    </row>
    <row r="1254" spans="1:7">
      <c r="A1254" s="42">
        <v>107.93</v>
      </c>
      <c r="B1254" s="42">
        <v>108.27500000000001</v>
      </c>
      <c r="C1254" s="42">
        <v>105.815</v>
      </c>
      <c r="D1254" s="42">
        <v>106.96250000000001</v>
      </c>
      <c r="E1254" s="42">
        <v>2382640</v>
      </c>
      <c r="F1254" s="42" t="s">
        <v>1255</v>
      </c>
      <c r="G1254" s="25">
        <f t="shared" si="18"/>
        <v>9.0452261306532833E-3</v>
      </c>
    </row>
    <row r="1255" spans="1:7">
      <c r="A1255" s="42">
        <v>106.8775</v>
      </c>
      <c r="B1255" s="42">
        <v>106.89749999999999</v>
      </c>
      <c r="C1255" s="42">
        <v>104.38500000000001</v>
      </c>
      <c r="D1255" s="42">
        <v>105.22</v>
      </c>
      <c r="E1255" s="42">
        <v>2357064</v>
      </c>
      <c r="F1255" s="42" t="s">
        <v>1256</v>
      </c>
      <c r="G1255" s="25">
        <f t="shared" si="18"/>
        <v>1.5752708610530242E-2</v>
      </c>
    </row>
    <row r="1256" spans="1:7">
      <c r="A1256" s="42">
        <v>105.75749999999999</v>
      </c>
      <c r="B1256" s="42">
        <v>106.07</v>
      </c>
      <c r="C1256" s="42">
        <v>101.905075</v>
      </c>
      <c r="D1256" s="42">
        <v>104.57250000000001</v>
      </c>
      <c r="E1256" s="42">
        <v>2565836</v>
      </c>
      <c r="F1256" s="42" t="s">
        <v>1257</v>
      </c>
      <c r="G1256" s="25">
        <f t="shared" si="18"/>
        <v>1.133185110808288E-2</v>
      </c>
    </row>
    <row r="1257" spans="1:7">
      <c r="A1257" s="42">
        <v>104.57250000000001</v>
      </c>
      <c r="B1257" s="42">
        <v>104.7975</v>
      </c>
      <c r="C1257" s="42">
        <v>102.78042499999999</v>
      </c>
      <c r="D1257" s="42">
        <v>102.97750000000001</v>
      </c>
      <c r="E1257" s="42">
        <v>4016332</v>
      </c>
      <c r="F1257" s="42" t="s">
        <v>1258</v>
      </c>
      <c r="G1257" s="25">
        <f t="shared" si="18"/>
        <v>1.5488820373382506E-2</v>
      </c>
    </row>
    <row r="1258" spans="1:7">
      <c r="A1258" s="42">
        <v>103.1125</v>
      </c>
      <c r="B1258" s="42">
        <v>104.355</v>
      </c>
      <c r="C1258" s="42">
        <v>100.02</v>
      </c>
      <c r="D1258" s="42">
        <v>100.705</v>
      </c>
      <c r="E1258" s="42">
        <v>3024684</v>
      </c>
      <c r="F1258" s="42" t="s">
        <v>1259</v>
      </c>
      <c r="G1258" s="25">
        <f t="shared" si="18"/>
        <v>2.3906459460801388E-2</v>
      </c>
    </row>
    <row r="1259" spans="1:7">
      <c r="A1259" s="42">
        <v>100.9375</v>
      </c>
      <c r="B1259" s="42">
        <v>102.18</v>
      </c>
      <c r="C1259" s="42">
        <v>99.467500000000001</v>
      </c>
      <c r="D1259" s="42">
        <v>101.45</v>
      </c>
      <c r="E1259" s="42">
        <v>3069712</v>
      </c>
      <c r="F1259" s="42" t="s">
        <v>1260</v>
      </c>
      <c r="G1259" s="25">
        <f t="shared" si="18"/>
        <v>-5.0517496303598142E-3</v>
      </c>
    </row>
    <row r="1260" spans="1:7">
      <c r="A1260" s="42">
        <v>101.27500000000001</v>
      </c>
      <c r="B1260" s="42">
        <v>103.9025</v>
      </c>
      <c r="C1260" s="42">
        <v>101</v>
      </c>
      <c r="D1260" s="42">
        <v>102.5</v>
      </c>
      <c r="E1260" s="42">
        <v>2483748</v>
      </c>
      <c r="F1260" s="42" t="s">
        <v>1261</v>
      </c>
      <c r="G1260" s="25">
        <f t="shared" si="18"/>
        <v>-1.1951219512195022E-2</v>
      </c>
    </row>
    <row r="1261" spans="1:7">
      <c r="A1261" s="42">
        <v>102.27249999999999</v>
      </c>
      <c r="B1261" s="42">
        <v>102.43</v>
      </c>
      <c r="C1261" s="42">
        <v>99.797499999999999</v>
      </c>
      <c r="D1261" s="42">
        <v>100.078275</v>
      </c>
      <c r="E1261" s="42">
        <v>3144124</v>
      </c>
      <c r="F1261" s="42" t="s">
        <v>1262</v>
      </c>
      <c r="G1261" s="25">
        <f t="shared" si="18"/>
        <v>2.1925088137260351E-2</v>
      </c>
    </row>
    <row r="1262" spans="1:7">
      <c r="A1262" s="42">
        <v>100.0475</v>
      </c>
      <c r="B1262" s="42">
        <v>100.47750000000001</v>
      </c>
      <c r="C1262" s="42">
        <v>99.13</v>
      </c>
      <c r="D1262" s="42">
        <v>100.27249999999999</v>
      </c>
      <c r="E1262" s="42">
        <v>2441652</v>
      </c>
      <c r="F1262" s="42" t="s">
        <v>1263</v>
      </c>
      <c r="G1262" s="25">
        <f t="shared" si="18"/>
        <v>-2.2438854122515117E-3</v>
      </c>
    </row>
    <row r="1263" spans="1:7">
      <c r="A1263" s="42">
        <v>99.745000000000005</v>
      </c>
      <c r="B1263" s="42">
        <v>99.92</v>
      </c>
      <c r="C1263" s="42">
        <v>96.624574999999993</v>
      </c>
      <c r="D1263" s="42">
        <v>97.6</v>
      </c>
      <c r="E1263" s="42">
        <v>4040516</v>
      </c>
      <c r="F1263" s="42" t="s">
        <v>1264</v>
      </c>
      <c r="G1263" s="25">
        <f t="shared" si="18"/>
        <v>2.1977459016393475E-2</v>
      </c>
    </row>
    <row r="1264" spans="1:7">
      <c r="A1264" s="42">
        <v>97.507499999999993</v>
      </c>
      <c r="B1264" s="42">
        <v>99.537499999999994</v>
      </c>
      <c r="C1264" s="42">
        <v>97.391249999999999</v>
      </c>
      <c r="D1264" s="42">
        <v>98.75</v>
      </c>
      <c r="E1264" s="42">
        <v>1712984</v>
      </c>
      <c r="F1264" s="42" t="s">
        <v>1265</v>
      </c>
      <c r="G1264" s="25">
        <f t="shared" si="18"/>
        <v>-1.2582278481012676E-2</v>
      </c>
    </row>
    <row r="1265" spans="1:7">
      <c r="A1265" s="42">
        <v>97.487499999999997</v>
      </c>
      <c r="B1265" s="42">
        <v>98.327500000000001</v>
      </c>
      <c r="C1265" s="42">
        <v>96.155000000000001</v>
      </c>
      <c r="D1265" s="42">
        <v>97.072500000000005</v>
      </c>
      <c r="E1265" s="42">
        <v>3216332</v>
      </c>
      <c r="F1265" s="42" t="s">
        <v>1266</v>
      </c>
      <c r="G1265" s="25">
        <f t="shared" si="18"/>
        <v>4.2751551675292987E-3</v>
      </c>
    </row>
    <row r="1266" spans="1:7">
      <c r="A1266" s="42">
        <v>96.745000000000005</v>
      </c>
      <c r="B1266" s="42">
        <v>98.052499999999995</v>
      </c>
      <c r="C1266" s="42">
        <v>95.19</v>
      </c>
      <c r="D1266" s="42">
        <v>96.002499999999998</v>
      </c>
      <c r="E1266" s="42">
        <v>1868932</v>
      </c>
      <c r="F1266" s="42" t="s">
        <v>1267</v>
      </c>
      <c r="G1266" s="25">
        <f t="shared" si="18"/>
        <v>7.7341735892295649E-3</v>
      </c>
    </row>
    <row r="1267" spans="1:7">
      <c r="A1267" s="42">
        <v>95.727500000000006</v>
      </c>
      <c r="B1267" s="42">
        <v>96.987499999999997</v>
      </c>
      <c r="C1267" s="42">
        <v>93.75</v>
      </c>
      <c r="D1267" s="42">
        <v>94.88</v>
      </c>
      <c r="E1267" s="42">
        <v>2414636</v>
      </c>
      <c r="F1267" s="42" t="s">
        <v>1268</v>
      </c>
      <c r="G1267" s="25">
        <f t="shared" si="18"/>
        <v>8.9323355817876315E-3</v>
      </c>
    </row>
    <row r="1268" spans="1:7">
      <c r="A1268" s="42">
        <v>94.185000000000002</v>
      </c>
      <c r="B1268" s="42">
        <v>94.717500000000001</v>
      </c>
      <c r="C1268" s="42">
        <v>91.747500000000002</v>
      </c>
      <c r="D1268" s="42">
        <v>91.747500000000002</v>
      </c>
      <c r="E1268" s="42">
        <v>2808368</v>
      </c>
      <c r="F1268" s="42" t="s">
        <v>1269</v>
      </c>
      <c r="G1268" s="25">
        <f t="shared" si="18"/>
        <v>2.6567481402762994E-2</v>
      </c>
    </row>
    <row r="1269" spans="1:7">
      <c r="A1269" s="42">
        <v>92.747500000000002</v>
      </c>
      <c r="B1269" s="42">
        <v>93.102500000000006</v>
      </c>
      <c r="C1269" s="42">
        <v>90.747500000000002</v>
      </c>
      <c r="D1269" s="42">
        <v>91.327500000000001</v>
      </c>
      <c r="E1269" s="42">
        <v>2687184</v>
      </c>
      <c r="F1269" s="42" t="s">
        <v>1270</v>
      </c>
      <c r="G1269" s="25">
        <f t="shared" si="18"/>
        <v>1.5548438312666057E-2</v>
      </c>
    </row>
    <row r="1270" spans="1:7">
      <c r="A1270" s="42">
        <v>91.417500000000004</v>
      </c>
      <c r="B1270" s="42">
        <v>93.581249999999997</v>
      </c>
      <c r="C1270" s="42">
        <v>90.394999999999996</v>
      </c>
      <c r="D1270" s="42">
        <v>92.8</v>
      </c>
      <c r="E1270" s="42">
        <v>2646264</v>
      </c>
      <c r="F1270" s="42" t="s">
        <v>1271</v>
      </c>
      <c r="G1270" s="25">
        <f t="shared" si="18"/>
        <v>-1.4897629310344773E-2</v>
      </c>
    </row>
    <row r="1271" spans="1:7">
      <c r="A1271" s="42">
        <v>92.347499999999997</v>
      </c>
      <c r="B1271" s="42">
        <v>94.61</v>
      </c>
      <c r="C1271" s="42">
        <v>92.006249999999994</v>
      </c>
      <c r="D1271" s="42">
        <v>93.75</v>
      </c>
      <c r="E1271" s="42">
        <v>3473276</v>
      </c>
      <c r="F1271" s="42" t="s">
        <v>1272</v>
      </c>
      <c r="G1271" s="25">
        <f t="shared" si="18"/>
        <v>-1.4960000000000084E-2</v>
      </c>
    </row>
    <row r="1272" spans="1:7">
      <c r="A1272" s="42">
        <v>90.477500000000006</v>
      </c>
      <c r="B1272" s="42">
        <v>90.75</v>
      </c>
      <c r="C1272" s="42">
        <v>87.020025000000004</v>
      </c>
      <c r="D1272" s="42">
        <v>88.405000000000001</v>
      </c>
      <c r="E1272" s="42">
        <v>3370544</v>
      </c>
      <c r="F1272" s="42" t="s">
        <v>1273</v>
      </c>
      <c r="G1272" s="25">
        <f t="shared" si="18"/>
        <v>2.3443244160398224E-2</v>
      </c>
    </row>
    <row r="1273" spans="1:7">
      <c r="A1273" s="42">
        <v>88.672499999999999</v>
      </c>
      <c r="B1273" s="42">
        <v>89.495000000000005</v>
      </c>
      <c r="C1273" s="42">
        <v>87.23</v>
      </c>
      <c r="D1273" s="42">
        <v>87.397499999999994</v>
      </c>
      <c r="E1273" s="42">
        <v>3724704</v>
      </c>
      <c r="F1273" s="42" t="s">
        <v>1274</v>
      </c>
      <c r="G1273" s="25">
        <f t="shared" si="18"/>
        <v>1.4588517978203042E-2</v>
      </c>
    </row>
    <row r="1274" spans="1:7">
      <c r="A1274" s="42">
        <v>88.3125</v>
      </c>
      <c r="B1274" s="42">
        <v>89.805000000000007</v>
      </c>
      <c r="C1274" s="42">
        <v>88.207499999999996</v>
      </c>
      <c r="D1274" s="42">
        <v>88.697500000000005</v>
      </c>
      <c r="E1274" s="42">
        <v>2459016</v>
      </c>
      <c r="F1274" s="42" t="s">
        <v>1275</v>
      </c>
      <c r="G1274" s="25">
        <f t="shared" si="18"/>
        <v>-4.3405958454297844E-3</v>
      </c>
    </row>
    <row r="1275" spans="1:7">
      <c r="A1275" s="42">
        <v>88.847499999999997</v>
      </c>
      <c r="B1275" s="42">
        <v>90.752499999999998</v>
      </c>
      <c r="C1275" s="42">
        <v>85.935000000000002</v>
      </c>
      <c r="D1275" s="42">
        <v>86.685000000000002</v>
      </c>
      <c r="E1275" s="42">
        <v>5541904</v>
      </c>
      <c r="F1275" s="42" t="s">
        <v>1276</v>
      </c>
      <c r="G1275" s="25">
        <f t="shared" si="18"/>
        <v>2.4946645901828379E-2</v>
      </c>
    </row>
    <row r="1276" spans="1:7">
      <c r="A1276" s="42">
        <v>85.522499999999994</v>
      </c>
      <c r="B1276" s="42">
        <v>87.875</v>
      </c>
      <c r="C1276" s="42">
        <v>85.39</v>
      </c>
      <c r="D1276" s="42">
        <v>86.147499999999994</v>
      </c>
      <c r="E1276" s="42">
        <v>2522124</v>
      </c>
      <c r="F1276" s="42" t="s">
        <v>1277</v>
      </c>
      <c r="G1276" s="25">
        <f t="shared" si="18"/>
        <v>-7.2549986941002897E-3</v>
      </c>
    </row>
    <row r="1277" spans="1:7">
      <c r="A1277" s="42">
        <v>86.075000000000003</v>
      </c>
      <c r="B1277" s="42">
        <v>86.44</v>
      </c>
      <c r="C1277" s="42">
        <v>83.424999999999997</v>
      </c>
      <c r="D1277" s="42">
        <v>84.02</v>
      </c>
      <c r="E1277" s="42">
        <v>2067832</v>
      </c>
      <c r="F1277" s="42" t="s">
        <v>1278</v>
      </c>
      <c r="G1277" s="25">
        <f t="shared" si="18"/>
        <v>2.4458462270887882E-2</v>
      </c>
    </row>
    <row r="1278" spans="1:7">
      <c r="A1278" s="42">
        <v>83.072500000000005</v>
      </c>
      <c r="B1278" s="42">
        <v>83.224999999999994</v>
      </c>
      <c r="C1278" s="42">
        <v>80.75</v>
      </c>
      <c r="D1278" s="42">
        <v>80.867500000000007</v>
      </c>
      <c r="E1278" s="42">
        <v>2201124</v>
      </c>
      <c r="F1278" s="42" t="s">
        <v>1279</v>
      </c>
      <c r="G1278" s="25">
        <f t="shared" si="18"/>
        <v>2.7266825362475711E-2</v>
      </c>
    </row>
    <row r="1279" spans="1:7">
      <c r="A1279" s="42">
        <v>82.527500000000003</v>
      </c>
      <c r="B1279" s="42">
        <v>84.37</v>
      </c>
      <c r="C1279" s="42">
        <v>82.217500000000001</v>
      </c>
      <c r="D1279" s="42">
        <v>82.496525000000005</v>
      </c>
      <c r="E1279" s="42">
        <v>3340144</v>
      </c>
      <c r="F1279" s="42" t="s">
        <v>1280</v>
      </c>
      <c r="G1279" s="25">
        <f t="shared" si="18"/>
        <v>3.7547036072127504E-4</v>
      </c>
    </row>
    <row r="1280" spans="1:7">
      <c r="A1280" s="42">
        <v>81.349999999999994</v>
      </c>
      <c r="B1280" s="42">
        <v>83.42</v>
      </c>
      <c r="C1280" s="42">
        <v>80.482500000000002</v>
      </c>
      <c r="D1280" s="42">
        <v>82.8</v>
      </c>
      <c r="E1280" s="42">
        <v>3251972</v>
      </c>
      <c r="F1280" s="42" t="s">
        <v>1281</v>
      </c>
      <c r="G1280" s="25">
        <f t="shared" si="18"/>
        <v>-1.7512077294686068E-2</v>
      </c>
    </row>
    <row r="1281" spans="1:7">
      <c r="A1281" s="42">
        <v>83.3125</v>
      </c>
      <c r="B1281" s="42">
        <v>84.094999999999999</v>
      </c>
      <c r="C1281" s="42">
        <v>81.147499999999994</v>
      </c>
      <c r="D1281" s="42">
        <v>81.674999999999997</v>
      </c>
      <c r="E1281" s="42">
        <v>3219196</v>
      </c>
      <c r="F1281" s="42" t="s">
        <v>1282</v>
      </c>
      <c r="G1281" s="25">
        <f t="shared" si="18"/>
        <v>2.0048974594429225E-2</v>
      </c>
    </row>
    <row r="1282" spans="1:7">
      <c r="A1282" s="42">
        <v>80.989999999999995</v>
      </c>
      <c r="B1282" s="42">
        <v>84.5</v>
      </c>
      <c r="C1282" s="42">
        <v>79.612499999999997</v>
      </c>
      <c r="D1282" s="42">
        <v>84.084999999999994</v>
      </c>
      <c r="E1282" s="42">
        <v>5070964</v>
      </c>
      <c r="F1282" s="42" t="s">
        <v>1283</v>
      </c>
      <c r="G1282" s="25">
        <f t="shared" si="18"/>
        <v>-3.6807991912945259E-2</v>
      </c>
    </row>
    <row r="1283" spans="1:7">
      <c r="A1283" s="42">
        <v>83.37</v>
      </c>
      <c r="B1283" s="42">
        <v>86</v>
      </c>
      <c r="C1283" s="42">
        <v>82.39</v>
      </c>
      <c r="D1283" s="42">
        <v>86</v>
      </c>
      <c r="E1283" s="42">
        <v>4522472</v>
      </c>
      <c r="F1283" s="42" t="s">
        <v>1284</v>
      </c>
      <c r="G1283" s="25">
        <f t="shared" ref="G1283:G1346" si="19">A1283/D1283-1</f>
        <v>-3.0581395348837193E-2</v>
      </c>
    </row>
    <row r="1284" spans="1:7">
      <c r="A1284" s="42">
        <v>87</v>
      </c>
      <c r="B1284" s="42">
        <v>88.745000000000005</v>
      </c>
      <c r="C1284" s="42">
        <v>84.045000000000002</v>
      </c>
      <c r="D1284" s="42">
        <v>84.38</v>
      </c>
      <c r="E1284" s="42">
        <v>6265352</v>
      </c>
      <c r="F1284" s="42" t="s">
        <v>1285</v>
      </c>
      <c r="G1284" s="25">
        <f t="shared" si="19"/>
        <v>3.1050011851149639E-2</v>
      </c>
    </row>
    <row r="1285" spans="1:7">
      <c r="A1285" s="42">
        <v>85.672499999999999</v>
      </c>
      <c r="B1285" s="42">
        <v>89.817499999999995</v>
      </c>
      <c r="C1285" s="42">
        <v>85.605000000000004</v>
      </c>
      <c r="D1285" s="42">
        <v>89.817499999999995</v>
      </c>
      <c r="E1285" s="42">
        <v>3306212</v>
      </c>
      <c r="F1285" s="42" t="s">
        <v>1286</v>
      </c>
      <c r="G1285" s="25">
        <f t="shared" si="19"/>
        <v>-4.6149135747487913E-2</v>
      </c>
    </row>
    <row r="1286" spans="1:7">
      <c r="A1286" s="42">
        <v>89.685000000000002</v>
      </c>
      <c r="B1286" s="42">
        <v>92.594999999999999</v>
      </c>
      <c r="C1286" s="42">
        <v>89.625</v>
      </c>
      <c r="D1286" s="42">
        <v>90.642499999999998</v>
      </c>
      <c r="E1286" s="42">
        <v>2849536</v>
      </c>
      <c r="F1286" s="42" t="s">
        <v>1287</v>
      </c>
      <c r="G1286" s="25">
        <f t="shared" si="19"/>
        <v>-1.0563477397467991E-2</v>
      </c>
    </row>
    <row r="1287" spans="1:7">
      <c r="A1287" s="42">
        <v>89.334999999999994</v>
      </c>
      <c r="B1287" s="42">
        <v>90.72</v>
      </c>
      <c r="C1287" s="42">
        <v>87.661249999999995</v>
      </c>
      <c r="D1287" s="42">
        <v>90.1875</v>
      </c>
      <c r="E1287" s="42">
        <v>3480916</v>
      </c>
      <c r="F1287" s="42" t="s">
        <v>1288</v>
      </c>
      <c r="G1287" s="25">
        <f t="shared" si="19"/>
        <v>-9.4525294525295012E-3</v>
      </c>
    </row>
    <row r="1288" spans="1:7">
      <c r="A1288" s="42">
        <v>91.484999999999999</v>
      </c>
      <c r="B1288" s="42">
        <v>93.533749999999998</v>
      </c>
      <c r="C1288" s="42">
        <v>90.1875</v>
      </c>
      <c r="D1288" s="42">
        <v>92.997500000000002</v>
      </c>
      <c r="E1288" s="42">
        <v>3365260</v>
      </c>
      <c r="F1288" s="42" t="s">
        <v>1289</v>
      </c>
      <c r="G1288" s="25">
        <f t="shared" si="19"/>
        <v>-1.6263878061238191E-2</v>
      </c>
    </row>
    <row r="1289" spans="1:7">
      <c r="A1289" s="42">
        <v>92.855000000000004</v>
      </c>
      <c r="B1289" s="42">
        <v>94.742500000000007</v>
      </c>
      <c r="C1289" s="42">
        <v>91.556250000000006</v>
      </c>
      <c r="D1289" s="42">
        <v>94.657499999999999</v>
      </c>
      <c r="E1289" s="42">
        <v>3737896</v>
      </c>
      <c r="F1289" s="42" t="s">
        <v>1290</v>
      </c>
      <c r="G1289" s="25">
        <f t="shared" si="19"/>
        <v>-1.9042336845997321E-2</v>
      </c>
    </row>
    <row r="1290" spans="1:7">
      <c r="A1290" s="42">
        <v>95.142499999999998</v>
      </c>
      <c r="B1290" s="42">
        <v>96.636250000000004</v>
      </c>
      <c r="C1290" s="42">
        <v>93.875</v>
      </c>
      <c r="D1290" s="42">
        <v>96.525000000000006</v>
      </c>
      <c r="E1290" s="42">
        <v>3723420</v>
      </c>
      <c r="F1290" s="42" t="s">
        <v>1291</v>
      </c>
      <c r="G1290" s="25">
        <f t="shared" si="19"/>
        <v>-1.4322714322714369E-2</v>
      </c>
    </row>
    <row r="1291" spans="1:7">
      <c r="A1291" s="42">
        <v>96.525000000000006</v>
      </c>
      <c r="B1291" s="42">
        <v>100.79</v>
      </c>
      <c r="C1291" s="42">
        <v>96.204999999999998</v>
      </c>
      <c r="D1291" s="42">
        <v>100</v>
      </c>
      <c r="E1291" s="42">
        <v>10977756</v>
      </c>
      <c r="F1291" s="42" t="s">
        <v>1292</v>
      </c>
      <c r="G1291" s="25">
        <f t="shared" si="19"/>
        <v>-3.4749999999999948E-2</v>
      </c>
    </row>
    <row r="1292" spans="1:7">
      <c r="A1292" s="42">
        <v>105.425</v>
      </c>
      <c r="B1292" s="42">
        <v>107.235</v>
      </c>
      <c r="C1292" s="42">
        <v>104.66249999999999</v>
      </c>
      <c r="D1292" s="42">
        <v>107</v>
      </c>
      <c r="E1292" s="42">
        <v>2930340</v>
      </c>
      <c r="F1292" s="42" t="s">
        <v>1293</v>
      </c>
      <c r="G1292" s="25">
        <f t="shared" si="19"/>
        <v>-1.4719626168224309E-2</v>
      </c>
    </row>
    <row r="1293" spans="1:7">
      <c r="A1293" s="42">
        <v>106.4425</v>
      </c>
      <c r="B1293" s="42">
        <v>106.655</v>
      </c>
      <c r="C1293" s="42">
        <v>104.2925</v>
      </c>
      <c r="D1293" s="42">
        <v>104.5675</v>
      </c>
      <c r="E1293" s="42">
        <v>2047116</v>
      </c>
      <c r="F1293" s="42" t="s">
        <v>1294</v>
      </c>
      <c r="G1293" s="25">
        <f t="shared" si="19"/>
        <v>1.7931001506204192E-2</v>
      </c>
    </row>
    <row r="1294" spans="1:7">
      <c r="A1294" s="42">
        <v>105.425</v>
      </c>
      <c r="B1294" s="42">
        <v>105.74997500000001</v>
      </c>
      <c r="C1294" s="42">
        <v>104.21</v>
      </c>
      <c r="D1294" s="42">
        <v>104.21</v>
      </c>
      <c r="E1294" s="42">
        <v>3025640</v>
      </c>
      <c r="F1294" s="42" t="s">
        <v>1295</v>
      </c>
      <c r="G1294" s="25">
        <f t="shared" si="19"/>
        <v>1.1659149793685764E-2</v>
      </c>
    </row>
    <row r="1295" spans="1:7">
      <c r="A1295" s="42">
        <v>104.6925</v>
      </c>
      <c r="B1295" s="42">
        <v>104.75</v>
      </c>
      <c r="C1295" s="42">
        <v>102.60375000000001</v>
      </c>
      <c r="D1295" s="42">
        <v>103.9575</v>
      </c>
      <c r="E1295" s="42">
        <v>2087244</v>
      </c>
      <c r="F1295" s="42" t="s">
        <v>1296</v>
      </c>
      <c r="G1295" s="25">
        <f t="shared" si="19"/>
        <v>7.0701969554867183E-3</v>
      </c>
    </row>
    <row r="1296" spans="1:7">
      <c r="A1296" s="42">
        <v>103.75</v>
      </c>
      <c r="B1296" s="42">
        <v>104.14749999999999</v>
      </c>
      <c r="C1296" s="42">
        <v>102</v>
      </c>
      <c r="D1296" s="42">
        <v>102.1375</v>
      </c>
      <c r="E1296" s="42">
        <v>1636816</v>
      </c>
      <c r="F1296" s="42" t="s">
        <v>1297</v>
      </c>
      <c r="G1296" s="25">
        <f t="shared" si="19"/>
        <v>1.5787541304613795E-2</v>
      </c>
    </row>
    <row r="1297" spans="1:7">
      <c r="A1297" s="42">
        <v>102.595</v>
      </c>
      <c r="B1297" s="42">
        <v>103.405</v>
      </c>
      <c r="C1297" s="42">
        <v>100.785</v>
      </c>
      <c r="D1297" s="42">
        <v>100.785</v>
      </c>
      <c r="E1297" s="42">
        <v>3198624</v>
      </c>
      <c r="F1297" s="42" t="s">
        <v>1298</v>
      </c>
      <c r="G1297" s="25">
        <f t="shared" si="19"/>
        <v>1.7959021679813558E-2</v>
      </c>
    </row>
    <row r="1298" spans="1:7">
      <c r="A1298" s="42">
        <v>100.405</v>
      </c>
      <c r="B1298" s="42">
        <v>100.9</v>
      </c>
      <c r="C1298" s="42">
        <v>97.1875</v>
      </c>
      <c r="D1298" s="42">
        <v>97.832499999999996</v>
      </c>
      <c r="E1298" s="42">
        <v>2273952</v>
      </c>
      <c r="F1298" s="42" t="s">
        <v>1299</v>
      </c>
      <c r="G1298" s="25">
        <f t="shared" si="19"/>
        <v>2.6294942887077566E-2</v>
      </c>
    </row>
    <row r="1299" spans="1:7">
      <c r="A1299" s="42">
        <v>97.227500000000006</v>
      </c>
      <c r="B1299" s="42">
        <v>98.894999999999996</v>
      </c>
      <c r="C1299" s="42">
        <v>95.816249999999997</v>
      </c>
      <c r="D1299" s="42">
        <v>97.452500000000001</v>
      </c>
      <c r="E1299" s="42">
        <v>2902792</v>
      </c>
      <c r="F1299" s="42" t="s">
        <v>1300</v>
      </c>
      <c r="G1299" s="25">
        <f t="shared" si="19"/>
        <v>-2.3088171160308146E-3</v>
      </c>
    </row>
    <row r="1300" spans="1:7">
      <c r="A1300" s="42">
        <v>98.26</v>
      </c>
      <c r="B1300" s="42">
        <v>99.752499999999998</v>
      </c>
      <c r="C1300" s="42">
        <v>97.911249999999995</v>
      </c>
      <c r="D1300" s="42">
        <v>99.15</v>
      </c>
      <c r="E1300" s="42">
        <v>1558968</v>
      </c>
      <c r="F1300" s="42" t="s">
        <v>1301</v>
      </c>
      <c r="G1300" s="25">
        <f t="shared" si="19"/>
        <v>-8.9762985375693161E-3</v>
      </c>
    </row>
    <row r="1301" spans="1:7">
      <c r="A1301" s="42">
        <v>100.01</v>
      </c>
      <c r="B1301" s="42">
        <v>100.41249999999999</v>
      </c>
      <c r="C1301" s="42">
        <v>98.41</v>
      </c>
      <c r="D1301" s="42">
        <v>100.1425</v>
      </c>
      <c r="E1301" s="42">
        <v>2200200</v>
      </c>
      <c r="F1301" s="42" t="s">
        <v>1302</v>
      </c>
      <c r="G1301" s="25">
        <f t="shared" si="19"/>
        <v>-1.3231145617493834E-3</v>
      </c>
    </row>
    <row r="1302" spans="1:7">
      <c r="A1302" s="42">
        <v>99.872500000000002</v>
      </c>
      <c r="B1302" s="42">
        <v>100.265</v>
      </c>
      <c r="C1302" s="42">
        <v>98.232500000000002</v>
      </c>
      <c r="D1302" s="42">
        <v>98.577500000000001</v>
      </c>
      <c r="E1302" s="42">
        <v>2102140</v>
      </c>
      <c r="F1302" s="42" t="s">
        <v>1303</v>
      </c>
      <c r="G1302" s="25">
        <f t="shared" si="19"/>
        <v>1.3136872004260614E-2</v>
      </c>
    </row>
    <row r="1303" spans="1:7">
      <c r="A1303" s="42">
        <v>97.775000000000006</v>
      </c>
      <c r="B1303" s="42">
        <v>98.37</v>
      </c>
      <c r="C1303" s="42">
        <v>96.495000000000005</v>
      </c>
      <c r="D1303" s="42">
        <v>97.26</v>
      </c>
      <c r="E1303" s="42">
        <v>2041188</v>
      </c>
      <c r="F1303" s="42" t="s">
        <v>1304</v>
      </c>
      <c r="G1303" s="25">
        <f t="shared" si="19"/>
        <v>5.2950853382685015E-3</v>
      </c>
    </row>
    <row r="1304" spans="1:7">
      <c r="A1304" s="42">
        <v>97.025000000000006</v>
      </c>
      <c r="B1304" s="42">
        <v>97.547499999999999</v>
      </c>
      <c r="C1304" s="42">
        <v>95.685000000000002</v>
      </c>
      <c r="D1304" s="42">
        <v>96.075000000000003</v>
      </c>
      <c r="E1304" s="42">
        <v>1898908</v>
      </c>
      <c r="F1304" s="42" t="s">
        <v>1305</v>
      </c>
      <c r="G1304" s="25">
        <f t="shared" si="19"/>
        <v>9.8881082487640715E-3</v>
      </c>
    </row>
    <row r="1305" spans="1:7">
      <c r="A1305" s="42">
        <v>96.787499999999994</v>
      </c>
      <c r="B1305" s="42">
        <v>97.16</v>
      </c>
      <c r="C1305" s="42">
        <v>94.21875</v>
      </c>
      <c r="D1305" s="42">
        <v>95.067499999999995</v>
      </c>
      <c r="E1305" s="42">
        <v>2360780</v>
      </c>
      <c r="F1305" s="42" t="s">
        <v>1306</v>
      </c>
      <c r="G1305" s="25">
        <f t="shared" si="19"/>
        <v>1.8092408025876416E-2</v>
      </c>
    </row>
    <row r="1306" spans="1:7">
      <c r="A1306" s="42">
        <v>95.722499999999997</v>
      </c>
      <c r="B1306" s="42">
        <v>95.792500000000004</v>
      </c>
      <c r="C1306" s="42">
        <v>93.275000000000006</v>
      </c>
      <c r="D1306" s="42">
        <v>94.6</v>
      </c>
      <c r="E1306" s="42">
        <v>1725400</v>
      </c>
      <c r="F1306" s="42" t="s">
        <v>1307</v>
      </c>
      <c r="G1306" s="25">
        <f t="shared" si="19"/>
        <v>1.186575052854133E-2</v>
      </c>
    </row>
    <row r="1307" spans="1:7">
      <c r="A1307" s="42">
        <v>94.594999999999999</v>
      </c>
      <c r="B1307" s="42">
        <v>95.567499999999995</v>
      </c>
      <c r="C1307" s="42">
        <v>93.045000000000002</v>
      </c>
      <c r="D1307" s="42">
        <v>94.33</v>
      </c>
      <c r="E1307" s="42">
        <v>1727972</v>
      </c>
      <c r="F1307" s="42" t="s">
        <v>1308</v>
      </c>
      <c r="G1307" s="25">
        <f t="shared" si="19"/>
        <v>2.809286547227785E-3</v>
      </c>
    </row>
    <row r="1308" spans="1:7">
      <c r="A1308" s="42">
        <v>92.35</v>
      </c>
      <c r="B1308" s="42">
        <v>93.421250000000001</v>
      </c>
      <c r="C1308" s="42">
        <v>91.647499999999994</v>
      </c>
      <c r="D1308" s="42">
        <v>93.392499999999998</v>
      </c>
      <c r="E1308" s="42">
        <v>1802520</v>
      </c>
      <c r="F1308" s="42" t="s">
        <v>1309</v>
      </c>
      <c r="G1308" s="25">
        <f t="shared" si="19"/>
        <v>-1.1162566587252787E-2</v>
      </c>
    </row>
    <row r="1309" spans="1:7">
      <c r="A1309" s="42">
        <v>93.25</v>
      </c>
      <c r="B1309" s="42">
        <v>94.674999999999997</v>
      </c>
      <c r="C1309" s="42">
        <v>90.872500000000002</v>
      </c>
      <c r="D1309" s="42">
        <v>90.872500000000002</v>
      </c>
      <c r="E1309" s="42">
        <v>3251720</v>
      </c>
      <c r="F1309" s="42" t="s">
        <v>1310</v>
      </c>
      <c r="G1309" s="25">
        <f t="shared" si="19"/>
        <v>2.616303061982439E-2</v>
      </c>
    </row>
    <row r="1310" spans="1:7">
      <c r="A1310" s="42">
        <v>92.04</v>
      </c>
      <c r="B1310" s="42">
        <v>92.292500000000004</v>
      </c>
      <c r="C1310" s="42">
        <v>90.385000000000005</v>
      </c>
      <c r="D1310" s="42">
        <v>91.875</v>
      </c>
      <c r="E1310" s="42">
        <v>1834788</v>
      </c>
      <c r="F1310" s="42" t="s">
        <v>1311</v>
      </c>
      <c r="G1310" s="25">
        <f t="shared" si="19"/>
        <v>1.7959183673470491E-3</v>
      </c>
    </row>
    <row r="1311" spans="1:7">
      <c r="A1311" s="42">
        <v>91.375</v>
      </c>
      <c r="B1311" s="42">
        <v>92.661474999999996</v>
      </c>
      <c r="C1311" s="42">
        <v>90.252499999999998</v>
      </c>
      <c r="D1311" s="42">
        <v>90.602500000000006</v>
      </c>
      <c r="E1311" s="42">
        <v>2214656</v>
      </c>
      <c r="F1311" s="42" t="s">
        <v>1312</v>
      </c>
      <c r="G1311" s="25">
        <f t="shared" si="19"/>
        <v>8.5262547942936973E-3</v>
      </c>
    </row>
    <row r="1312" spans="1:7">
      <c r="A1312" s="42">
        <v>89.847499999999997</v>
      </c>
      <c r="B1312" s="42">
        <v>90.875</v>
      </c>
      <c r="C1312" s="42">
        <v>87</v>
      </c>
      <c r="D1312" s="42">
        <v>87.5</v>
      </c>
      <c r="E1312" s="42">
        <v>2905048</v>
      </c>
      <c r="F1312" s="42" t="s">
        <v>1313</v>
      </c>
      <c r="G1312" s="25">
        <f t="shared" si="19"/>
        <v>2.6828571428571424E-2</v>
      </c>
    </row>
    <row r="1313" spans="1:7">
      <c r="A1313" s="42">
        <v>86.8</v>
      </c>
      <c r="B1313" s="42">
        <v>87.603750000000005</v>
      </c>
      <c r="C1313" s="42">
        <v>85.317499999999995</v>
      </c>
      <c r="D1313" s="42">
        <v>86.644999999999996</v>
      </c>
      <c r="E1313" s="42">
        <v>2626400</v>
      </c>
      <c r="F1313" s="42" t="s">
        <v>1314</v>
      </c>
      <c r="G1313" s="25">
        <f t="shared" si="19"/>
        <v>1.7889087656530744E-3</v>
      </c>
    </row>
    <row r="1314" spans="1:7">
      <c r="A1314" s="42">
        <v>87.342500000000001</v>
      </c>
      <c r="B1314" s="42">
        <v>88.712500000000006</v>
      </c>
      <c r="C1314" s="42">
        <v>86.325000000000003</v>
      </c>
      <c r="D1314" s="42">
        <v>88.22</v>
      </c>
      <c r="E1314" s="42">
        <v>2506348</v>
      </c>
      <c r="F1314" s="42" t="s">
        <v>1315</v>
      </c>
      <c r="G1314" s="25">
        <f t="shared" si="19"/>
        <v>-9.9467240988437844E-3</v>
      </c>
    </row>
    <row r="1315" spans="1:7">
      <c r="A1315" s="42">
        <v>88.182500000000005</v>
      </c>
      <c r="B1315" s="42">
        <v>88.362499999999997</v>
      </c>
      <c r="C1315" s="42">
        <v>85.111249999999998</v>
      </c>
      <c r="D1315" s="42">
        <v>86.732500000000002</v>
      </c>
      <c r="E1315" s="42">
        <v>2802128</v>
      </c>
      <c r="F1315" s="42" t="s">
        <v>1316</v>
      </c>
      <c r="G1315" s="25">
        <f t="shared" si="19"/>
        <v>1.6718069927651236E-2</v>
      </c>
    </row>
    <row r="1316" spans="1:7">
      <c r="A1316" s="42">
        <v>87.047499999999999</v>
      </c>
      <c r="B1316" s="42">
        <v>89.352500000000006</v>
      </c>
      <c r="C1316" s="42">
        <v>85.083749999999995</v>
      </c>
      <c r="D1316" s="42">
        <v>88.947500000000005</v>
      </c>
      <c r="E1316" s="42">
        <v>3526984</v>
      </c>
      <c r="F1316" s="42" t="s">
        <v>1317</v>
      </c>
      <c r="G1316" s="25">
        <f t="shared" si="19"/>
        <v>-2.1360915146575343E-2</v>
      </c>
    </row>
    <row r="1317" spans="1:7">
      <c r="A1317" s="42">
        <v>88.932500000000005</v>
      </c>
      <c r="B1317" s="42">
        <v>90.667500000000004</v>
      </c>
      <c r="C1317" s="42">
        <v>88.612499999999997</v>
      </c>
      <c r="D1317" s="42">
        <v>90.667500000000004</v>
      </c>
      <c r="E1317" s="42">
        <v>3529848</v>
      </c>
      <c r="F1317" s="42" t="s">
        <v>1318</v>
      </c>
      <c r="G1317" s="25">
        <f t="shared" si="19"/>
        <v>-1.9135853530757974E-2</v>
      </c>
    </row>
    <row r="1318" spans="1:7">
      <c r="A1318" s="42">
        <v>91.042500000000004</v>
      </c>
      <c r="B1318" s="42">
        <v>91.674999999999997</v>
      </c>
      <c r="C1318" s="42">
        <v>88.22</v>
      </c>
      <c r="D1318" s="42">
        <v>88.22</v>
      </c>
      <c r="E1318" s="42">
        <v>3465324</v>
      </c>
      <c r="F1318" s="42" t="s">
        <v>1319</v>
      </c>
      <c r="G1318" s="25">
        <f t="shared" si="19"/>
        <v>3.1993878939016174E-2</v>
      </c>
    </row>
    <row r="1319" spans="1:7">
      <c r="A1319" s="42">
        <v>89.954999999999998</v>
      </c>
      <c r="B1319" s="42">
        <v>90.53</v>
      </c>
      <c r="C1319" s="42">
        <v>85.706850000000003</v>
      </c>
      <c r="D1319" s="42">
        <v>85.88</v>
      </c>
      <c r="E1319" s="42">
        <v>4216848</v>
      </c>
      <c r="F1319" s="42" t="s">
        <v>1320</v>
      </c>
      <c r="G1319" s="25">
        <f t="shared" si="19"/>
        <v>4.7449930135072149E-2</v>
      </c>
    </row>
    <row r="1320" spans="1:7">
      <c r="A1320" s="42">
        <v>86.157499999999999</v>
      </c>
      <c r="B1320" s="42">
        <v>86.93</v>
      </c>
      <c r="C1320" s="42">
        <v>84.47</v>
      </c>
      <c r="D1320" s="42">
        <v>84.922499999999999</v>
      </c>
      <c r="E1320" s="42">
        <v>3724072</v>
      </c>
      <c r="F1320" s="42" t="s">
        <v>1321</v>
      </c>
      <c r="G1320" s="25">
        <f t="shared" si="19"/>
        <v>1.4542671259089257E-2</v>
      </c>
    </row>
    <row r="1321" spans="1:7">
      <c r="A1321" s="42">
        <v>84.787499999999994</v>
      </c>
      <c r="B1321" s="42">
        <v>87.29</v>
      </c>
      <c r="C1321" s="42">
        <v>84.284999999999997</v>
      </c>
      <c r="D1321" s="42">
        <v>87</v>
      </c>
      <c r="E1321" s="42">
        <v>4789176</v>
      </c>
      <c r="F1321" s="42" t="s">
        <v>1322</v>
      </c>
      <c r="G1321" s="25">
        <f t="shared" si="19"/>
        <v>-2.5431034482758741E-2</v>
      </c>
    </row>
    <row r="1322" spans="1:7">
      <c r="A1322" s="42">
        <v>87.924999999999997</v>
      </c>
      <c r="B1322" s="42">
        <v>88.39</v>
      </c>
      <c r="C1322" s="42">
        <v>85.29</v>
      </c>
      <c r="D1322" s="42">
        <v>88.39</v>
      </c>
      <c r="E1322" s="42">
        <v>4123084</v>
      </c>
      <c r="F1322" s="42" t="s">
        <v>1323</v>
      </c>
      <c r="G1322" s="25">
        <f t="shared" si="19"/>
        <v>-5.2607761058943714E-3</v>
      </c>
    </row>
    <row r="1323" spans="1:7">
      <c r="A1323" s="42">
        <v>88.662499999999994</v>
      </c>
      <c r="B1323" s="42">
        <v>91.885000000000005</v>
      </c>
      <c r="C1323" s="42">
        <v>88.25</v>
      </c>
      <c r="D1323" s="42">
        <v>91.742500000000007</v>
      </c>
      <c r="E1323" s="42">
        <v>3118388</v>
      </c>
      <c r="F1323" s="42" t="s">
        <v>1324</v>
      </c>
      <c r="G1323" s="25">
        <f t="shared" si="19"/>
        <v>-3.3572226612529787E-2</v>
      </c>
    </row>
    <row r="1324" spans="1:7">
      <c r="A1324" s="42">
        <v>90.482500000000002</v>
      </c>
      <c r="B1324" s="42">
        <v>90.745000000000005</v>
      </c>
      <c r="C1324" s="42">
        <v>87.76</v>
      </c>
      <c r="D1324" s="42">
        <v>88.44</v>
      </c>
      <c r="E1324" s="42">
        <v>3287272</v>
      </c>
      <c r="F1324" s="42" t="s">
        <v>1325</v>
      </c>
      <c r="G1324" s="25">
        <f t="shared" si="19"/>
        <v>2.3094753505201293E-2</v>
      </c>
    </row>
    <row r="1325" spans="1:7">
      <c r="A1325" s="42">
        <v>89.432500000000005</v>
      </c>
      <c r="B1325" s="42">
        <v>90.141000000000005</v>
      </c>
      <c r="C1325" s="42">
        <v>88.147499999999994</v>
      </c>
      <c r="D1325" s="42">
        <v>89.807500000000005</v>
      </c>
      <c r="E1325" s="42">
        <v>3695900</v>
      </c>
      <c r="F1325" s="42" t="s">
        <v>1326</v>
      </c>
      <c r="G1325" s="25">
        <f t="shared" si="19"/>
        <v>-4.1755978064192956E-3</v>
      </c>
    </row>
    <row r="1326" spans="1:7">
      <c r="A1326" s="42">
        <v>91.694999999999993</v>
      </c>
      <c r="B1326" s="42">
        <v>91.776250000000005</v>
      </c>
      <c r="C1326" s="42">
        <v>88.742500000000007</v>
      </c>
      <c r="D1326" s="42">
        <v>88.965000000000003</v>
      </c>
      <c r="E1326" s="42">
        <v>2452832</v>
      </c>
      <c r="F1326" s="42" t="s">
        <v>1327</v>
      </c>
      <c r="G1326" s="25">
        <f t="shared" si="19"/>
        <v>3.0686224919912242E-2</v>
      </c>
    </row>
    <row r="1327" spans="1:7">
      <c r="A1327" s="42">
        <v>89.097499999999997</v>
      </c>
      <c r="B1327" s="42">
        <v>92.97</v>
      </c>
      <c r="C1327" s="42">
        <v>89.094999999999999</v>
      </c>
      <c r="D1327" s="42">
        <v>92.44</v>
      </c>
      <c r="E1327" s="42">
        <v>4384732</v>
      </c>
      <c r="F1327" s="42" t="s">
        <v>1328</v>
      </c>
      <c r="G1327" s="25">
        <f t="shared" si="19"/>
        <v>-3.6158589355257509E-2</v>
      </c>
    </row>
    <row r="1328" spans="1:7">
      <c r="A1328" s="42">
        <v>90.734999999999999</v>
      </c>
      <c r="B1328" s="42">
        <v>91.347499999999997</v>
      </c>
      <c r="C1328" s="42">
        <v>89.234999999999999</v>
      </c>
      <c r="D1328" s="42">
        <v>89.234999999999999</v>
      </c>
      <c r="E1328" s="42">
        <v>3337968</v>
      </c>
      <c r="F1328" s="42" t="s">
        <v>1329</v>
      </c>
      <c r="G1328" s="25">
        <f t="shared" si="19"/>
        <v>1.6809547823163573E-2</v>
      </c>
    </row>
    <row r="1329" spans="1:7">
      <c r="A1329" s="42">
        <v>88.015000000000001</v>
      </c>
      <c r="B1329" s="42">
        <v>91.74</v>
      </c>
      <c r="C1329" s="42">
        <v>87.192499999999995</v>
      </c>
      <c r="D1329" s="42">
        <v>90.407499999999999</v>
      </c>
      <c r="E1329" s="42">
        <v>3461344</v>
      </c>
      <c r="F1329" s="42" t="s">
        <v>1330</v>
      </c>
      <c r="G1329" s="25">
        <f t="shared" si="19"/>
        <v>-2.6463512429831582E-2</v>
      </c>
    </row>
    <row r="1330" spans="1:7">
      <c r="A1330" s="42">
        <v>91.022499999999994</v>
      </c>
      <c r="B1330" s="42">
        <v>91.862499999999997</v>
      </c>
      <c r="C1330" s="42">
        <v>86.807500000000005</v>
      </c>
      <c r="D1330" s="42">
        <v>90.377499999999998</v>
      </c>
      <c r="E1330" s="42">
        <v>3169508</v>
      </c>
      <c r="F1330" s="42" t="s">
        <v>1331</v>
      </c>
      <c r="G1330" s="25">
        <f t="shared" si="19"/>
        <v>7.1367320406074963E-3</v>
      </c>
    </row>
    <row r="1331" spans="1:7">
      <c r="A1331" s="42">
        <v>89.067499999999995</v>
      </c>
      <c r="B1331" s="42">
        <v>92.944999999999993</v>
      </c>
      <c r="C1331" s="42">
        <v>88.034999999999997</v>
      </c>
      <c r="D1331" s="42">
        <v>91.97</v>
      </c>
      <c r="E1331" s="42">
        <v>4117652</v>
      </c>
      <c r="F1331" s="42" t="s">
        <v>1332</v>
      </c>
      <c r="G1331" s="25">
        <f t="shared" si="19"/>
        <v>-3.1559204088289716E-2</v>
      </c>
    </row>
    <row r="1332" spans="1:7">
      <c r="A1332" s="42">
        <v>92.174999999999997</v>
      </c>
      <c r="B1332" s="42">
        <v>96.697500000000005</v>
      </c>
      <c r="C1332" s="42">
        <v>91.15</v>
      </c>
      <c r="D1332" s="42">
        <v>96.697500000000005</v>
      </c>
      <c r="E1332" s="42">
        <v>5245296</v>
      </c>
      <c r="F1332" s="42" t="s">
        <v>1333</v>
      </c>
      <c r="G1332" s="25">
        <f t="shared" si="19"/>
        <v>-4.6769564880167591E-2</v>
      </c>
    </row>
    <row r="1333" spans="1:7">
      <c r="A1333" s="42">
        <v>97.977500000000006</v>
      </c>
      <c r="B1333" s="42">
        <v>99.614999999999995</v>
      </c>
      <c r="C1333" s="42">
        <v>96.79</v>
      </c>
      <c r="D1333" s="42">
        <v>99</v>
      </c>
      <c r="E1333" s="42">
        <v>2661860</v>
      </c>
      <c r="F1333" s="42" t="s">
        <v>1334</v>
      </c>
      <c r="G1333" s="25">
        <f t="shared" si="19"/>
        <v>-1.0328282828282798E-2</v>
      </c>
    </row>
    <row r="1334" spans="1:7">
      <c r="A1334" s="42">
        <v>99.167500000000004</v>
      </c>
      <c r="B1334" s="42">
        <v>100.4975</v>
      </c>
      <c r="C1334" s="42">
        <v>98.246250000000003</v>
      </c>
      <c r="D1334" s="42">
        <v>100.1</v>
      </c>
      <c r="E1334" s="42">
        <v>2867844</v>
      </c>
      <c r="F1334" s="42" t="s">
        <v>1335</v>
      </c>
      <c r="G1334" s="25">
        <f t="shared" si="19"/>
        <v>-9.3156843156841918E-3</v>
      </c>
    </row>
    <row r="1335" spans="1:7">
      <c r="A1335" s="42">
        <v>99.444999999999993</v>
      </c>
      <c r="B1335" s="42">
        <v>100.6225</v>
      </c>
      <c r="C1335" s="42">
        <v>96.53</v>
      </c>
      <c r="D1335" s="42">
        <v>99.197500000000005</v>
      </c>
      <c r="E1335" s="42">
        <v>2733004</v>
      </c>
      <c r="F1335" s="42" t="s">
        <v>1336</v>
      </c>
      <c r="G1335" s="25">
        <f t="shared" si="19"/>
        <v>2.4950225560118611E-3</v>
      </c>
    </row>
    <row r="1336" spans="1:7">
      <c r="A1336" s="42">
        <v>98.867500000000007</v>
      </c>
      <c r="B1336" s="42">
        <v>101.45375</v>
      </c>
      <c r="C1336" s="42">
        <v>97.667500000000004</v>
      </c>
      <c r="D1336" s="42">
        <v>101.41</v>
      </c>
      <c r="E1336" s="42">
        <v>2497460</v>
      </c>
      <c r="F1336" s="42" t="s">
        <v>1337</v>
      </c>
      <c r="G1336" s="25">
        <f t="shared" si="19"/>
        <v>-2.507149196331715E-2</v>
      </c>
    </row>
    <row r="1337" spans="1:7">
      <c r="A1337" s="42">
        <v>101.41</v>
      </c>
      <c r="B1337" s="42">
        <v>101.83125</v>
      </c>
      <c r="C1337" s="42">
        <v>99.932500000000005</v>
      </c>
      <c r="D1337" s="42">
        <v>100.795</v>
      </c>
      <c r="E1337" s="42">
        <v>2356300</v>
      </c>
      <c r="F1337" s="42" t="s">
        <v>1338</v>
      </c>
      <c r="G1337" s="25">
        <f t="shared" si="19"/>
        <v>6.1014931296194952E-3</v>
      </c>
    </row>
    <row r="1338" spans="1:7">
      <c r="A1338" s="42">
        <v>101.69499999999999</v>
      </c>
      <c r="B1338" s="42">
        <v>102.9325</v>
      </c>
      <c r="C1338" s="42">
        <v>99.122500000000002</v>
      </c>
      <c r="D1338" s="42">
        <v>101.745</v>
      </c>
      <c r="E1338" s="42">
        <v>3146400</v>
      </c>
      <c r="F1338" s="42" t="s">
        <v>1339</v>
      </c>
      <c r="G1338" s="25">
        <f t="shared" si="19"/>
        <v>-4.9142464003160136E-4</v>
      </c>
    </row>
    <row r="1339" spans="1:7">
      <c r="A1339" s="42">
        <v>103.015</v>
      </c>
      <c r="B1339" s="42">
        <v>105.565</v>
      </c>
      <c r="C1339" s="42">
        <v>102.2</v>
      </c>
      <c r="D1339" s="42">
        <v>104.1875</v>
      </c>
      <c r="E1339" s="42">
        <v>2588432</v>
      </c>
      <c r="F1339" s="42" t="s">
        <v>1340</v>
      </c>
      <c r="G1339" s="25">
        <f t="shared" si="19"/>
        <v>-1.1253749250149991E-2</v>
      </c>
    </row>
    <row r="1340" spans="1:7">
      <c r="A1340" s="42">
        <v>104.735</v>
      </c>
      <c r="B1340" s="42">
        <v>105.85</v>
      </c>
      <c r="C1340" s="42">
        <v>101.63500000000001</v>
      </c>
      <c r="D1340" s="42">
        <v>102.965</v>
      </c>
      <c r="E1340" s="42">
        <v>3828688</v>
      </c>
      <c r="F1340" s="42" t="s">
        <v>1341</v>
      </c>
      <c r="G1340" s="25">
        <f t="shared" si="19"/>
        <v>1.719030738600491E-2</v>
      </c>
    </row>
    <row r="1341" spans="1:7">
      <c r="A1341" s="42">
        <v>102.71</v>
      </c>
      <c r="B1341" s="42">
        <v>103.355</v>
      </c>
      <c r="C1341" s="42">
        <v>100.66</v>
      </c>
      <c r="D1341" s="42">
        <v>103.105</v>
      </c>
      <c r="E1341" s="42">
        <v>2414152</v>
      </c>
      <c r="F1341" s="42" t="s">
        <v>1342</v>
      </c>
      <c r="G1341" s="25">
        <f t="shared" si="19"/>
        <v>-3.831046021046558E-3</v>
      </c>
    </row>
    <row r="1342" spans="1:7">
      <c r="A1342" s="42">
        <v>103.53</v>
      </c>
      <c r="B1342" s="42">
        <v>104.32250000000001</v>
      </c>
      <c r="C1342" s="42">
        <v>100.0475</v>
      </c>
      <c r="D1342" s="42">
        <v>101.57</v>
      </c>
      <c r="E1342" s="42">
        <v>2606644</v>
      </c>
      <c r="F1342" s="42" t="s">
        <v>1343</v>
      </c>
      <c r="G1342" s="25">
        <f t="shared" si="19"/>
        <v>1.9297036526533473E-2</v>
      </c>
    </row>
    <row r="1343" spans="1:7">
      <c r="A1343" s="42">
        <v>101.095</v>
      </c>
      <c r="B1343" s="42">
        <v>103.15</v>
      </c>
      <c r="C1343" s="42">
        <v>100.0775</v>
      </c>
      <c r="D1343" s="42">
        <v>102.75</v>
      </c>
      <c r="E1343" s="42">
        <v>3509120</v>
      </c>
      <c r="F1343" s="42" t="s">
        <v>1344</v>
      </c>
      <c r="G1343" s="25">
        <f t="shared" si="19"/>
        <v>-1.6107055961070538E-2</v>
      </c>
    </row>
    <row r="1344" spans="1:7">
      <c r="A1344" s="42">
        <v>103.14</v>
      </c>
      <c r="B1344" s="42">
        <v>103.58499999999999</v>
      </c>
      <c r="C1344" s="42">
        <v>95.262500000000003</v>
      </c>
      <c r="D1344" s="42">
        <v>96.995000000000005</v>
      </c>
      <c r="E1344" s="42">
        <v>7701036</v>
      </c>
      <c r="F1344" s="42" t="s">
        <v>1345</v>
      </c>
      <c r="G1344" s="25">
        <f t="shared" si="19"/>
        <v>6.3353781122738262E-2</v>
      </c>
    </row>
    <row r="1345" spans="1:7">
      <c r="A1345" s="42">
        <v>102.55</v>
      </c>
      <c r="B1345" s="42">
        <v>102.765</v>
      </c>
      <c r="C1345" s="42">
        <v>99.787499999999994</v>
      </c>
      <c r="D1345" s="42">
        <v>101.155</v>
      </c>
      <c r="E1345" s="42">
        <v>2747296</v>
      </c>
      <c r="F1345" s="42" t="s">
        <v>1346</v>
      </c>
      <c r="G1345" s="25">
        <f t="shared" si="19"/>
        <v>1.3790717216153325E-2</v>
      </c>
    </row>
    <row r="1346" spans="1:7">
      <c r="A1346" s="42">
        <v>99.86</v>
      </c>
      <c r="B1346" s="42">
        <v>101.6075</v>
      </c>
      <c r="C1346" s="42">
        <v>99.045000000000002</v>
      </c>
      <c r="D1346" s="42">
        <v>101.6075</v>
      </c>
      <c r="E1346" s="42">
        <v>2784232</v>
      </c>
      <c r="F1346" s="42" t="s">
        <v>1347</v>
      </c>
      <c r="G1346" s="25">
        <f t="shared" si="19"/>
        <v>-1.7198533572816976E-2</v>
      </c>
    </row>
    <row r="1347" spans="1:7">
      <c r="A1347" s="42">
        <v>100.25749999999999</v>
      </c>
      <c r="B1347" s="42">
        <v>102</v>
      </c>
      <c r="C1347" s="42">
        <v>99.452500000000001</v>
      </c>
      <c r="D1347" s="42">
        <v>101.4375</v>
      </c>
      <c r="E1347" s="42">
        <v>3064456</v>
      </c>
      <c r="F1347" s="42" t="s">
        <v>1348</v>
      </c>
      <c r="G1347" s="25">
        <f t="shared" ref="G1347:G1410" si="20">A1347/D1347-1</f>
        <v>-1.163277880468272E-2</v>
      </c>
    </row>
    <row r="1348" spans="1:7">
      <c r="A1348" s="42">
        <v>100.825</v>
      </c>
      <c r="B1348" s="42">
        <v>103.75</v>
      </c>
      <c r="C1348" s="42">
        <v>100.65375</v>
      </c>
      <c r="D1348" s="42">
        <v>103.69499999999999</v>
      </c>
      <c r="E1348" s="42">
        <v>3482000</v>
      </c>
      <c r="F1348" s="42" t="s">
        <v>1349</v>
      </c>
      <c r="G1348" s="25">
        <f t="shared" si="20"/>
        <v>-2.7677322918173375E-2</v>
      </c>
    </row>
    <row r="1349" spans="1:7">
      <c r="A1349" s="42">
        <v>102.75749999999999</v>
      </c>
      <c r="B1349" s="42">
        <v>103.06</v>
      </c>
      <c r="C1349" s="42">
        <v>101</v>
      </c>
      <c r="D1349" s="42">
        <v>102.005</v>
      </c>
      <c r="E1349" s="42">
        <v>2238420</v>
      </c>
      <c r="F1349" s="42" t="s">
        <v>1350</v>
      </c>
      <c r="G1349" s="25">
        <f t="shared" si="20"/>
        <v>7.3770893583646746E-3</v>
      </c>
    </row>
    <row r="1350" spans="1:7">
      <c r="A1350" s="42">
        <v>100.8125</v>
      </c>
      <c r="B1350" s="42">
        <v>102.02485</v>
      </c>
      <c r="C1350" s="42">
        <v>98.21</v>
      </c>
      <c r="D1350" s="42">
        <v>98.87</v>
      </c>
      <c r="E1350" s="42">
        <v>3154288</v>
      </c>
      <c r="F1350" s="42" t="s">
        <v>1351</v>
      </c>
      <c r="G1350" s="25">
        <f t="shared" si="20"/>
        <v>1.9647011226863409E-2</v>
      </c>
    </row>
    <row r="1351" spans="1:7">
      <c r="A1351" s="42">
        <v>97.922499999999999</v>
      </c>
      <c r="B1351" s="42">
        <v>98.75</v>
      </c>
      <c r="C1351" s="42">
        <v>95.764750000000006</v>
      </c>
      <c r="D1351" s="42">
        <v>98.117500000000007</v>
      </c>
      <c r="E1351" s="42">
        <v>2952132</v>
      </c>
      <c r="F1351" s="42" t="s">
        <v>1352</v>
      </c>
      <c r="G1351" s="25">
        <f t="shared" si="20"/>
        <v>-1.9874130506790655E-3</v>
      </c>
    </row>
    <row r="1352" spans="1:7">
      <c r="A1352" s="42">
        <v>98.657499999999999</v>
      </c>
      <c r="B1352" s="42">
        <v>100.41249999999999</v>
      </c>
      <c r="C1352" s="42">
        <v>96.3</v>
      </c>
      <c r="D1352" s="42">
        <v>96.807500000000005</v>
      </c>
      <c r="E1352" s="42">
        <v>3459920</v>
      </c>
      <c r="F1352" s="42" t="s">
        <v>1353</v>
      </c>
      <c r="G1352" s="25">
        <f t="shared" si="20"/>
        <v>1.9110089610825609E-2</v>
      </c>
    </row>
    <row r="1353" spans="1:7">
      <c r="A1353" s="42">
        <v>95.655000000000001</v>
      </c>
      <c r="B1353" s="42">
        <v>96.647499999999994</v>
      </c>
      <c r="C1353" s="42">
        <v>93.25</v>
      </c>
      <c r="D1353" s="42">
        <v>94.087500000000006</v>
      </c>
      <c r="E1353" s="42">
        <v>2893816</v>
      </c>
      <c r="F1353" s="42" t="s">
        <v>1354</v>
      </c>
      <c r="G1353" s="25">
        <f t="shared" si="20"/>
        <v>1.666002391390986E-2</v>
      </c>
    </row>
    <row r="1354" spans="1:7">
      <c r="A1354" s="42">
        <v>93.712500000000006</v>
      </c>
      <c r="B1354" s="42">
        <v>94.765000000000001</v>
      </c>
      <c r="C1354" s="42">
        <v>89.95</v>
      </c>
      <c r="D1354" s="42">
        <v>90.642499999999998</v>
      </c>
      <c r="E1354" s="42">
        <v>4383140</v>
      </c>
      <c r="F1354" s="42" t="s">
        <v>1355</v>
      </c>
      <c r="G1354" s="25">
        <f t="shared" si="20"/>
        <v>3.3869321786137885E-2</v>
      </c>
    </row>
    <row r="1355" spans="1:7">
      <c r="A1355" s="42">
        <v>91.722499999999997</v>
      </c>
      <c r="B1355" s="42">
        <v>92.242500000000007</v>
      </c>
      <c r="C1355" s="42">
        <v>87.625</v>
      </c>
      <c r="D1355" s="42">
        <v>88.322500000000005</v>
      </c>
      <c r="E1355" s="42">
        <v>3906112</v>
      </c>
      <c r="F1355" s="42" t="s">
        <v>1356</v>
      </c>
      <c r="G1355" s="25">
        <f t="shared" si="20"/>
        <v>3.8495287157858993E-2</v>
      </c>
    </row>
    <row r="1356" spans="1:7">
      <c r="A1356" s="42">
        <v>87.41</v>
      </c>
      <c r="B1356" s="42">
        <v>90.302499999999995</v>
      </c>
      <c r="C1356" s="42">
        <v>87.25</v>
      </c>
      <c r="D1356" s="42">
        <v>89.924999999999997</v>
      </c>
      <c r="E1356" s="42">
        <v>4143284</v>
      </c>
      <c r="F1356" s="42" t="s">
        <v>1357</v>
      </c>
      <c r="G1356" s="25">
        <f t="shared" si="20"/>
        <v>-2.7967750903530764E-2</v>
      </c>
    </row>
    <row r="1357" spans="1:7">
      <c r="A1357" s="42">
        <v>90.355000000000004</v>
      </c>
      <c r="B1357" s="42">
        <v>94.46</v>
      </c>
      <c r="C1357" s="42">
        <v>90.064999999999998</v>
      </c>
      <c r="D1357" s="42">
        <v>94.422499999999999</v>
      </c>
      <c r="E1357" s="42">
        <v>3574160</v>
      </c>
      <c r="F1357" s="42" t="s">
        <v>1358</v>
      </c>
      <c r="G1357" s="25">
        <f t="shared" si="20"/>
        <v>-4.3077656278958876E-2</v>
      </c>
    </row>
    <row r="1358" spans="1:7">
      <c r="A1358" s="42">
        <v>94.097499999999997</v>
      </c>
      <c r="B1358" s="42">
        <v>94.5</v>
      </c>
      <c r="C1358" s="42">
        <v>91.114999999999995</v>
      </c>
      <c r="D1358" s="42">
        <v>93.387500000000003</v>
      </c>
      <c r="E1358" s="42">
        <v>2271548</v>
      </c>
      <c r="F1358" s="42" t="s">
        <v>1359</v>
      </c>
      <c r="G1358" s="25">
        <f t="shared" si="20"/>
        <v>7.6027305581580773E-3</v>
      </c>
    </row>
    <row r="1359" spans="1:7">
      <c r="A1359" s="42">
        <v>92.53</v>
      </c>
      <c r="B1359" s="42">
        <v>93.497500000000002</v>
      </c>
      <c r="C1359" s="42">
        <v>91.32</v>
      </c>
      <c r="D1359" s="42">
        <v>91.907499999999999</v>
      </c>
      <c r="E1359" s="42">
        <v>1697092</v>
      </c>
      <c r="F1359" s="42" t="s">
        <v>1360</v>
      </c>
      <c r="G1359" s="25">
        <f t="shared" si="20"/>
        <v>6.7731142725022675E-3</v>
      </c>
    </row>
    <row r="1360" spans="1:7">
      <c r="A1360" s="42">
        <v>91.875</v>
      </c>
      <c r="B1360" s="42">
        <v>92.697500000000005</v>
      </c>
      <c r="C1360" s="42">
        <v>90.424999999999997</v>
      </c>
      <c r="D1360" s="42">
        <v>91.674999999999997</v>
      </c>
      <c r="E1360" s="42">
        <v>2757388</v>
      </c>
      <c r="F1360" s="42" t="s">
        <v>1361</v>
      </c>
      <c r="G1360" s="25">
        <f t="shared" si="20"/>
        <v>2.1816198527406794E-3</v>
      </c>
    </row>
    <row r="1361" spans="1:7">
      <c r="A1361" s="42">
        <v>91.03</v>
      </c>
      <c r="B1361" s="42">
        <v>91.822500000000005</v>
      </c>
      <c r="C1361" s="42">
        <v>89.49</v>
      </c>
      <c r="D1361" s="42">
        <v>89.857500000000002</v>
      </c>
      <c r="E1361" s="42">
        <v>4673720</v>
      </c>
      <c r="F1361" s="42" t="s">
        <v>1362</v>
      </c>
      <c r="G1361" s="25">
        <f t="shared" si="20"/>
        <v>1.3048437804301205E-2</v>
      </c>
    </row>
    <row r="1362" spans="1:7">
      <c r="A1362" s="42">
        <v>89.41</v>
      </c>
      <c r="B1362" s="42">
        <v>90.012500000000003</v>
      </c>
      <c r="C1362" s="42">
        <v>87.006249999999994</v>
      </c>
      <c r="D1362" s="42">
        <v>89.622500000000002</v>
      </c>
      <c r="E1362" s="42">
        <v>3178192</v>
      </c>
      <c r="F1362" s="42" t="s">
        <v>1363</v>
      </c>
      <c r="G1362" s="25">
        <f t="shared" si="20"/>
        <v>-2.3710563753522873E-3</v>
      </c>
    </row>
    <row r="1363" spans="1:7">
      <c r="A1363" s="42">
        <v>88.55</v>
      </c>
      <c r="B1363" s="42">
        <v>89.1875</v>
      </c>
      <c r="C1363" s="42">
        <v>86.897499999999994</v>
      </c>
      <c r="D1363" s="42">
        <v>88.057500000000005</v>
      </c>
      <c r="E1363" s="42">
        <v>3011808</v>
      </c>
      <c r="F1363" s="42" t="s">
        <v>1364</v>
      </c>
      <c r="G1363" s="25">
        <f t="shared" si="20"/>
        <v>5.5929364335802756E-3</v>
      </c>
    </row>
    <row r="1364" spans="1:7">
      <c r="A1364" s="42">
        <v>88.02</v>
      </c>
      <c r="B1364" s="42">
        <v>91.068475000000007</v>
      </c>
      <c r="C1364" s="42">
        <v>87.509900000000002</v>
      </c>
      <c r="D1364" s="42">
        <v>90.545000000000002</v>
      </c>
      <c r="E1364" s="42">
        <v>3562476</v>
      </c>
      <c r="F1364" s="42" t="s">
        <v>1365</v>
      </c>
      <c r="G1364" s="25">
        <f t="shared" si="20"/>
        <v>-2.7886686178143494E-2</v>
      </c>
    </row>
    <row r="1365" spans="1:7">
      <c r="A1365" s="42">
        <v>90.637500000000003</v>
      </c>
      <c r="B1365" s="42">
        <v>91.11</v>
      </c>
      <c r="C1365" s="42">
        <v>86.969975000000005</v>
      </c>
      <c r="D1365" s="42">
        <v>89.98</v>
      </c>
      <c r="E1365" s="42">
        <v>3947300</v>
      </c>
      <c r="F1365" s="42" t="s">
        <v>1366</v>
      </c>
      <c r="G1365" s="25">
        <f t="shared" si="20"/>
        <v>7.3071793731940282E-3</v>
      </c>
    </row>
    <row r="1366" spans="1:7">
      <c r="A1366" s="42">
        <v>90.042500000000004</v>
      </c>
      <c r="B1366" s="42">
        <v>92.877499999999998</v>
      </c>
      <c r="C1366" s="42">
        <v>89.064999999999998</v>
      </c>
      <c r="D1366" s="42">
        <v>92.842500000000001</v>
      </c>
      <c r="E1366" s="42">
        <v>4542316</v>
      </c>
      <c r="F1366" s="42" t="s">
        <v>1367</v>
      </c>
      <c r="G1366" s="25">
        <f t="shared" si="20"/>
        <v>-3.0158601933381823E-2</v>
      </c>
    </row>
    <row r="1367" spans="1:7">
      <c r="A1367" s="42">
        <v>92.66</v>
      </c>
      <c r="B1367" s="42">
        <v>93.875</v>
      </c>
      <c r="C1367" s="42">
        <v>90.792500000000004</v>
      </c>
      <c r="D1367" s="42">
        <v>93.497500000000002</v>
      </c>
      <c r="E1367" s="42">
        <v>5777408</v>
      </c>
      <c r="F1367" s="42" t="s">
        <v>1368</v>
      </c>
      <c r="G1367" s="25">
        <f t="shared" si="20"/>
        <v>-8.9574587555817375E-3</v>
      </c>
    </row>
    <row r="1368" spans="1:7">
      <c r="A1368" s="42">
        <v>97.022499999999994</v>
      </c>
      <c r="B1368" s="42">
        <v>99.245000000000005</v>
      </c>
      <c r="C1368" s="42">
        <v>95.317499999999995</v>
      </c>
      <c r="D1368" s="42">
        <v>97.317499999999995</v>
      </c>
      <c r="E1368" s="42">
        <v>5110672</v>
      </c>
      <c r="F1368" s="42" t="s">
        <v>1369</v>
      </c>
      <c r="G1368" s="25">
        <f t="shared" si="20"/>
        <v>-3.0313150255606436E-3</v>
      </c>
    </row>
    <row r="1369" spans="1:7">
      <c r="A1369" s="42">
        <v>96.79</v>
      </c>
      <c r="B1369" s="42">
        <v>97.4</v>
      </c>
      <c r="C1369" s="42">
        <v>94.174999999999997</v>
      </c>
      <c r="D1369" s="42">
        <v>94.174999999999997</v>
      </c>
      <c r="E1369" s="42">
        <v>4798928</v>
      </c>
      <c r="F1369" s="42" t="s">
        <v>1370</v>
      </c>
      <c r="G1369" s="25">
        <f t="shared" si="20"/>
        <v>2.7767454207592301E-2</v>
      </c>
    </row>
    <row r="1370" spans="1:7">
      <c r="A1370" s="42">
        <v>93.98</v>
      </c>
      <c r="B1370" s="42">
        <v>96.127499999999998</v>
      </c>
      <c r="C1370" s="42">
        <v>91.672499999999999</v>
      </c>
      <c r="D1370" s="42">
        <v>92.742500000000007</v>
      </c>
      <c r="E1370" s="42">
        <v>7632840</v>
      </c>
      <c r="F1370" s="42" t="s">
        <v>1371</v>
      </c>
      <c r="G1370" s="25">
        <f t="shared" si="20"/>
        <v>1.334339704019194E-2</v>
      </c>
    </row>
    <row r="1371" spans="1:7">
      <c r="A1371" s="42">
        <v>92.1875</v>
      </c>
      <c r="B1371" s="42">
        <v>92.647499999999994</v>
      </c>
      <c r="C1371" s="42">
        <v>88.805000000000007</v>
      </c>
      <c r="D1371" s="42">
        <v>89.51</v>
      </c>
      <c r="E1371" s="42">
        <v>2850776</v>
      </c>
      <c r="F1371" s="42" t="s">
        <v>1372</v>
      </c>
      <c r="G1371" s="25">
        <f t="shared" si="20"/>
        <v>2.991285889844697E-2</v>
      </c>
    </row>
    <row r="1372" spans="1:7">
      <c r="A1372" s="42">
        <v>89.435000000000002</v>
      </c>
      <c r="B1372" s="42">
        <v>92.367500000000007</v>
      </c>
      <c r="C1372" s="42">
        <v>87.96</v>
      </c>
      <c r="D1372" s="42">
        <v>91.517499999999998</v>
      </c>
      <c r="E1372" s="42">
        <v>4080004</v>
      </c>
      <c r="F1372" s="42" t="s">
        <v>1373</v>
      </c>
      <c r="G1372" s="25">
        <f t="shared" si="20"/>
        <v>-2.2755210752041899E-2</v>
      </c>
    </row>
    <row r="1373" spans="1:7">
      <c r="A1373" s="42">
        <v>92.43</v>
      </c>
      <c r="B1373" s="42">
        <v>92.66</v>
      </c>
      <c r="C1373" s="42">
        <v>90.386825000000002</v>
      </c>
      <c r="D1373" s="42">
        <v>91.237499999999997</v>
      </c>
      <c r="E1373" s="42">
        <v>3233492</v>
      </c>
      <c r="F1373" s="42" t="s">
        <v>1374</v>
      </c>
      <c r="G1373" s="25">
        <f t="shared" si="20"/>
        <v>1.3070283600493227E-2</v>
      </c>
    </row>
    <row r="1374" spans="1:7">
      <c r="A1374" s="42">
        <v>90.692499999999995</v>
      </c>
      <c r="B1374" s="42">
        <v>90.787499999999994</v>
      </c>
      <c r="C1374" s="42">
        <v>88.51</v>
      </c>
      <c r="D1374" s="42">
        <v>89.94</v>
      </c>
      <c r="E1374" s="42">
        <v>2493752</v>
      </c>
      <c r="F1374" s="42" t="s">
        <v>1375</v>
      </c>
      <c r="G1374" s="25">
        <f t="shared" si="20"/>
        <v>8.3666889037135039E-3</v>
      </c>
    </row>
    <row r="1375" spans="1:7">
      <c r="A1375" s="42">
        <v>89.224999999999994</v>
      </c>
      <c r="B1375" s="42">
        <v>92.172499999999999</v>
      </c>
      <c r="C1375" s="42">
        <v>88.137500000000003</v>
      </c>
      <c r="D1375" s="42">
        <v>91.916250000000005</v>
      </c>
      <c r="E1375" s="42">
        <v>1973648</v>
      </c>
      <c r="F1375" s="42" t="s">
        <v>1376</v>
      </c>
      <c r="G1375" s="25">
        <f t="shared" si="20"/>
        <v>-2.9279371166687218E-2</v>
      </c>
    </row>
    <row r="1376" spans="1:7">
      <c r="A1376" s="42">
        <v>90.577500000000001</v>
      </c>
      <c r="B1376" s="42">
        <v>91.344999999999999</v>
      </c>
      <c r="C1376" s="42">
        <v>88.092500000000001</v>
      </c>
      <c r="D1376" s="42">
        <v>88.847499999999997</v>
      </c>
      <c r="E1376" s="42">
        <v>4018196</v>
      </c>
      <c r="F1376" s="42" t="s">
        <v>1377</v>
      </c>
      <c r="G1376" s="25">
        <f t="shared" si="20"/>
        <v>1.9471566448127531E-2</v>
      </c>
    </row>
    <row r="1377" spans="1:7">
      <c r="A1377" s="42">
        <v>88.754999999999995</v>
      </c>
      <c r="B1377" s="42">
        <v>89.569749999999999</v>
      </c>
      <c r="C1377" s="42">
        <v>87.93</v>
      </c>
      <c r="D1377" s="42">
        <v>89.135000000000005</v>
      </c>
      <c r="E1377" s="42">
        <v>1129804</v>
      </c>
      <c r="F1377" s="42" t="s">
        <v>1378</v>
      </c>
      <c r="G1377" s="25">
        <f t="shared" si="20"/>
        <v>-4.2631962753127972E-3</v>
      </c>
    </row>
    <row r="1378" spans="1:7">
      <c r="A1378" s="42">
        <v>88.997500000000002</v>
      </c>
      <c r="B1378" s="42">
        <v>91.247500000000002</v>
      </c>
      <c r="C1378" s="42">
        <v>88.995000000000005</v>
      </c>
      <c r="D1378" s="42">
        <v>89.292500000000004</v>
      </c>
      <c r="E1378" s="42">
        <v>2450328</v>
      </c>
      <c r="F1378" s="42" t="s">
        <v>1379</v>
      </c>
      <c r="G1378" s="25">
        <f t="shared" si="20"/>
        <v>-3.3037489150824495E-3</v>
      </c>
    </row>
    <row r="1379" spans="1:7">
      <c r="A1379" s="42">
        <v>88.557500000000005</v>
      </c>
      <c r="B1379" s="42">
        <v>88.5625</v>
      </c>
      <c r="C1379" s="42">
        <v>86.357500000000002</v>
      </c>
      <c r="D1379" s="42">
        <v>87.237499999999997</v>
      </c>
      <c r="E1379" s="42">
        <v>2807872</v>
      </c>
      <c r="F1379" s="42" t="s">
        <v>1380</v>
      </c>
      <c r="G1379" s="25">
        <f t="shared" si="20"/>
        <v>1.5131107608540084E-2</v>
      </c>
    </row>
    <row r="1380" spans="1:7">
      <c r="A1380" s="42">
        <v>87.212500000000006</v>
      </c>
      <c r="B1380" s="42">
        <v>88.732500000000002</v>
      </c>
      <c r="C1380" s="42">
        <v>86.66</v>
      </c>
      <c r="D1380" s="42">
        <v>88.167500000000004</v>
      </c>
      <c r="E1380" s="42">
        <v>3480540</v>
      </c>
      <c r="F1380" s="42" t="s">
        <v>1381</v>
      </c>
      <c r="G1380" s="25">
        <f t="shared" si="20"/>
        <v>-1.083165565542854E-2</v>
      </c>
    </row>
    <row r="1381" spans="1:7">
      <c r="A1381" s="42">
        <v>89.642499999999998</v>
      </c>
      <c r="B1381" s="42">
        <v>91.375</v>
      </c>
      <c r="C1381" s="42">
        <v>88.37</v>
      </c>
      <c r="D1381" s="42">
        <v>90.363950000000003</v>
      </c>
      <c r="E1381" s="42">
        <v>4991924</v>
      </c>
      <c r="F1381" s="42" t="s">
        <v>1382</v>
      </c>
      <c r="G1381" s="25">
        <f t="shared" si="20"/>
        <v>-7.9838254082519322E-3</v>
      </c>
    </row>
    <row r="1382" spans="1:7">
      <c r="A1382" s="42">
        <v>89.477500000000006</v>
      </c>
      <c r="B1382" s="42">
        <v>89.887500000000003</v>
      </c>
      <c r="C1382" s="42">
        <v>88.135000000000005</v>
      </c>
      <c r="D1382" s="42">
        <v>88.842500000000001</v>
      </c>
      <c r="E1382" s="42">
        <v>2645936</v>
      </c>
      <c r="F1382" s="42" t="s">
        <v>1383</v>
      </c>
      <c r="G1382" s="25">
        <f t="shared" si="20"/>
        <v>7.1474800911726089E-3</v>
      </c>
    </row>
    <row r="1383" spans="1:7">
      <c r="A1383" s="42">
        <v>88.087500000000006</v>
      </c>
      <c r="B1383" s="42">
        <v>89.204999999999998</v>
      </c>
      <c r="C1383" s="42">
        <v>87.22</v>
      </c>
      <c r="D1383" s="42">
        <v>88.05</v>
      </c>
      <c r="E1383" s="42">
        <v>3284432</v>
      </c>
      <c r="F1383" s="42" t="s">
        <v>1384</v>
      </c>
      <c r="G1383" s="25">
        <f t="shared" si="20"/>
        <v>4.2589437819429143E-4</v>
      </c>
    </row>
    <row r="1384" spans="1:7">
      <c r="A1384" s="42">
        <v>88.552499999999995</v>
      </c>
      <c r="B1384" s="42">
        <v>89.344999999999999</v>
      </c>
      <c r="C1384" s="42">
        <v>86.25</v>
      </c>
      <c r="D1384" s="42">
        <v>89.162499999999994</v>
      </c>
      <c r="E1384" s="42">
        <v>5116060</v>
      </c>
      <c r="F1384" s="42" t="s">
        <v>1385</v>
      </c>
      <c r="G1384" s="25">
        <f t="shared" si="20"/>
        <v>-6.841441188840558E-3</v>
      </c>
    </row>
    <row r="1385" spans="1:7">
      <c r="A1385" s="42">
        <v>88.397499999999994</v>
      </c>
      <c r="B1385" s="42">
        <v>89.734999999999999</v>
      </c>
      <c r="C1385" s="42">
        <v>87.008750000000006</v>
      </c>
      <c r="D1385" s="42">
        <v>87.287499999999994</v>
      </c>
      <c r="E1385" s="42">
        <v>6190368</v>
      </c>
      <c r="F1385" s="42" t="s">
        <v>1386</v>
      </c>
      <c r="G1385" s="25">
        <f t="shared" si="20"/>
        <v>1.2716597450952216E-2</v>
      </c>
    </row>
    <row r="1386" spans="1:7">
      <c r="A1386" s="42">
        <v>86.927499999999995</v>
      </c>
      <c r="B1386" s="42">
        <v>87.875</v>
      </c>
      <c r="C1386" s="42">
        <v>85.433750000000003</v>
      </c>
      <c r="D1386" s="42">
        <v>85.612499999999997</v>
      </c>
      <c r="E1386" s="42">
        <v>4313176</v>
      </c>
      <c r="F1386" s="42" t="s">
        <v>1387</v>
      </c>
      <c r="G1386" s="25">
        <f t="shared" si="20"/>
        <v>1.5359906555701519E-2</v>
      </c>
    </row>
    <row r="1387" spans="1:7">
      <c r="A1387" s="42">
        <v>86.797499999999999</v>
      </c>
      <c r="B1387" s="42">
        <v>87.357349999999997</v>
      </c>
      <c r="C1387" s="42">
        <v>82.522499999999994</v>
      </c>
      <c r="D1387" s="42">
        <v>83</v>
      </c>
      <c r="E1387" s="42">
        <v>5680948</v>
      </c>
      <c r="F1387" s="42" t="s">
        <v>1388</v>
      </c>
      <c r="G1387" s="25">
        <f t="shared" si="20"/>
        <v>4.575301204819282E-2</v>
      </c>
    </row>
    <row r="1388" spans="1:7">
      <c r="A1388" s="42">
        <v>83.347499999999997</v>
      </c>
      <c r="B1388" s="42">
        <v>87.375</v>
      </c>
      <c r="C1388" s="42">
        <v>82.4</v>
      </c>
      <c r="D1388" s="42">
        <v>86.952500000000001</v>
      </c>
      <c r="E1388" s="42">
        <v>6437836</v>
      </c>
      <c r="F1388" s="42" t="s">
        <v>1389</v>
      </c>
      <c r="G1388" s="25">
        <f t="shared" si="20"/>
        <v>-4.145941749805937E-2</v>
      </c>
    </row>
    <row r="1389" spans="1:7">
      <c r="A1389" s="42">
        <v>87.04</v>
      </c>
      <c r="B1389" s="42">
        <v>87.07</v>
      </c>
      <c r="C1389" s="42">
        <v>83.332499999999996</v>
      </c>
      <c r="D1389" s="42">
        <v>84.612499999999997</v>
      </c>
      <c r="E1389" s="42">
        <v>3515768</v>
      </c>
      <c r="F1389" s="42" t="s">
        <v>1390</v>
      </c>
      <c r="G1389" s="25">
        <f t="shared" si="20"/>
        <v>2.8689614418673459E-2</v>
      </c>
    </row>
    <row r="1390" spans="1:7">
      <c r="A1390" s="42">
        <v>84.35</v>
      </c>
      <c r="B1390" s="42">
        <v>88.45675</v>
      </c>
      <c r="C1390" s="42">
        <v>83.983750000000001</v>
      </c>
      <c r="D1390" s="42">
        <v>87.685000000000002</v>
      </c>
      <c r="E1390" s="42">
        <v>3526632</v>
      </c>
      <c r="F1390" s="42" t="s">
        <v>1391</v>
      </c>
      <c r="G1390" s="25">
        <f t="shared" si="20"/>
        <v>-3.8033871243656314E-2</v>
      </c>
    </row>
    <row r="1391" spans="1:7">
      <c r="A1391" s="42">
        <v>87.007499999999993</v>
      </c>
      <c r="B1391" s="42">
        <v>87.49</v>
      </c>
      <c r="C1391" s="42">
        <v>84.54</v>
      </c>
      <c r="D1391" s="42">
        <v>85.88</v>
      </c>
      <c r="E1391" s="42">
        <v>4669376</v>
      </c>
      <c r="F1391" s="42" t="s">
        <v>1392</v>
      </c>
      <c r="G1391" s="25">
        <f t="shared" si="20"/>
        <v>1.3128784350256106E-2</v>
      </c>
    </row>
    <row r="1392" spans="1:7">
      <c r="A1392" s="42">
        <v>86.157499999999999</v>
      </c>
      <c r="B1392" s="42">
        <v>87.267499999999998</v>
      </c>
      <c r="C1392" s="42">
        <v>82.814724999999996</v>
      </c>
      <c r="D1392" s="42">
        <v>83.35</v>
      </c>
      <c r="E1392" s="42">
        <v>6918660</v>
      </c>
      <c r="F1392" s="42" t="s">
        <v>1393</v>
      </c>
      <c r="G1392" s="25">
        <f t="shared" si="20"/>
        <v>3.3683263347330517E-2</v>
      </c>
    </row>
    <row r="1393" spans="1:7">
      <c r="A1393" s="42">
        <v>83.3</v>
      </c>
      <c r="B1393" s="42">
        <v>83.464500000000001</v>
      </c>
      <c r="C1393" s="42">
        <v>80.655000000000001</v>
      </c>
      <c r="D1393" s="42">
        <v>81.67</v>
      </c>
      <c r="E1393" s="42">
        <v>4467572</v>
      </c>
      <c r="F1393" s="42" t="s">
        <v>1394</v>
      </c>
      <c r="G1393" s="25">
        <f t="shared" si="20"/>
        <v>1.9958369046161328E-2</v>
      </c>
    </row>
    <row r="1394" spans="1:7">
      <c r="A1394" s="42">
        <v>81.93</v>
      </c>
      <c r="B1394" s="42">
        <v>82.277500000000003</v>
      </c>
      <c r="C1394" s="42">
        <v>79.792500000000004</v>
      </c>
      <c r="D1394" s="42">
        <v>80.337500000000006</v>
      </c>
      <c r="E1394" s="42">
        <v>6228952</v>
      </c>
      <c r="F1394" s="42" t="s">
        <v>1395</v>
      </c>
      <c r="G1394" s="25">
        <f t="shared" si="20"/>
        <v>1.9822623307919729E-2</v>
      </c>
    </row>
    <row r="1395" spans="1:7">
      <c r="A1395" s="42">
        <v>79.92</v>
      </c>
      <c r="B1395" s="42">
        <v>80.482500000000002</v>
      </c>
      <c r="C1395" s="42">
        <v>78.345124999999996</v>
      </c>
      <c r="D1395" s="42">
        <v>79.392499999999998</v>
      </c>
      <c r="E1395" s="42">
        <v>8849296</v>
      </c>
      <c r="F1395" s="42" t="s">
        <v>1396</v>
      </c>
      <c r="G1395" s="25">
        <f t="shared" si="20"/>
        <v>6.6442044273704592E-3</v>
      </c>
    </row>
    <row r="1396" spans="1:7">
      <c r="A1396" s="42">
        <v>79.552499999999995</v>
      </c>
      <c r="B1396" s="42">
        <v>79.915000000000006</v>
      </c>
      <c r="C1396" s="42">
        <v>78.002499999999998</v>
      </c>
      <c r="D1396" s="42">
        <v>79.407499999999999</v>
      </c>
      <c r="E1396" s="42">
        <v>2344492</v>
      </c>
      <c r="F1396" s="42" t="s">
        <v>1397</v>
      </c>
      <c r="G1396" s="25">
        <f t="shared" si="20"/>
        <v>1.8260239901772835E-3</v>
      </c>
    </row>
    <row r="1397" spans="1:7">
      <c r="A1397" s="42">
        <v>78.137500000000003</v>
      </c>
      <c r="B1397" s="42">
        <v>80.034999999999997</v>
      </c>
      <c r="C1397" s="42">
        <v>77.752674999999996</v>
      </c>
      <c r="D1397" s="42">
        <v>78.77</v>
      </c>
      <c r="E1397" s="42">
        <v>3271348</v>
      </c>
      <c r="F1397" s="42" t="s">
        <v>1398</v>
      </c>
      <c r="G1397" s="25">
        <f t="shared" si="20"/>
        <v>-8.029706741145004E-3</v>
      </c>
    </row>
    <row r="1398" spans="1:7">
      <c r="A1398" s="42">
        <v>78.33</v>
      </c>
      <c r="B1398" s="42">
        <v>80.749125000000006</v>
      </c>
      <c r="C1398" s="42">
        <v>78.13</v>
      </c>
      <c r="D1398" s="42">
        <v>80.749125000000006</v>
      </c>
      <c r="E1398" s="42">
        <v>3915304</v>
      </c>
      <c r="F1398" s="42" t="s">
        <v>1399</v>
      </c>
      <c r="G1398" s="25">
        <f t="shared" si="20"/>
        <v>-2.9958528962388264E-2</v>
      </c>
    </row>
    <row r="1399" spans="1:7">
      <c r="A1399" s="42">
        <v>80.272499999999994</v>
      </c>
      <c r="B1399" s="42">
        <v>81.25</v>
      </c>
      <c r="C1399" s="42">
        <v>78.656525000000002</v>
      </c>
      <c r="D1399" s="42">
        <v>79.747500000000002</v>
      </c>
      <c r="E1399" s="42">
        <v>5198704</v>
      </c>
      <c r="F1399" s="42" t="s">
        <v>1400</v>
      </c>
      <c r="G1399" s="25">
        <f t="shared" si="20"/>
        <v>6.5832784726793658E-3</v>
      </c>
    </row>
    <row r="1400" spans="1:7">
      <c r="A1400" s="42">
        <v>78.967500000000001</v>
      </c>
      <c r="B1400" s="42">
        <v>83.069699999999997</v>
      </c>
      <c r="C1400" s="42">
        <v>78.885000000000005</v>
      </c>
      <c r="D1400" s="42">
        <v>82.787499999999994</v>
      </c>
      <c r="E1400" s="42">
        <v>6636200</v>
      </c>
      <c r="F1400" s="42" t="s">
        <v>1401</v>
      </c>
      <c r="G1400" s="25">
        <f t="shared" si="20"/>
        <v>-4.6142231617091856E-2</v>
      </c>
    </row>
    <row r="1401" spans="1:7">
      <c r="A1401" s="42">
        <v>82.66</v>
      </c>
      <c r="B1401" s="42">
        <v>83.6</v>
      </c>
      <c r="C1401" s="42">
        <v>81.067499999999995</v>
      </c>
      <c r="D1401" s="42">
        <v>81.724999999999994</v>
      </c>
      <c r="E1401" s="42">
        <v>3407256</v>
      </c>
      <c r="F1401" s="42" t="s">
        <v>1402</v>
      </c>
      <c r="G1401" s="25">
        <f t="shared" si="20"/>
        <v>1.1440807586417856E-2</v>
      </c>
    </row>
    <row r="1402" spans="1:7">
      <c r="A1402" s="42">
        <v>82.302499999999995</v>
      </c>
      <c r="B1402" s="42">
        <v>83.956275000000005</v>
      </c>
      <c r="C1402" s="42">
        <v>81.892499999999998</v>
      </c>
      <c r="D1402" s="42">
        <v>83.811250000000001</v>
      </c>
      <c r="E1402" s="42">
        <v>3338372</v>
      </c>
      <c r="F1402" s="42" t="s">
        <v>1403</v>
      </c>
      <c r="G1402" s="25">
        <f t="shared" si="20"/>
        <v>-1.8001759906933756E-2</v>
      </c>
    </row>
    <row r="1403" spans="1:7">
      <c r="A1403" s="42">
        <v>83.587500000000006</v>
      </c>
      <c r="B1403" s="42">
        <v>84.662499999999994</v>
      </c>
      <c r="C1403" s="42">
        <v>83.31</v>
      </c>
      <c r="D1403" s="42">
        <v>84.212500000000006</v>
      </c>
      <c r="E1403" s="42">
        <v>3374404</v>
      </c>
      <c r="F1403" s="42" t="s">
        <v>1404</v>
      </c>
      <c r="G1403" s="25">
        <f t="shared" si="20"/>
        <v>-7.4217010538815131E-3</v>
      </c>
    </row>
    <row r="1404" spans="1:7">
      <c r="A1404" s="42">
        <v>85.007499999999993</v>
      </c>
      <c r="B1404" s="42">
        <v>86.114999999999995</v>
      </c>
      <c r="C1404" s="42">
        <v>83.237499999999997</v>
      </c>
      <c r="D1404" s="42">
        <v>84.1</v>
      </c>
      <c r="E1404" s="42">
        <v>3214024</v>
      </c>
      <c r="F1404" s="42" t="s">
        <v>1405</v>
      </c>
      <c r="G1404" s="25">
        <f t="shared" si="20"/>
        <v>1.0790725326991657E-2</v>
      </c>
    </row>
    <row r="1405" spans="1:7">
      <c r="A1405" s="42">
        <v>84.1</v>
      </c>
      <c r="B1405" s="42">
        <v>86.647499999999994</v>
      </c>
      <c r="C1405" s="42">
        <v>83.667500000000004</v>
      </c>
      <c r="D1405" s="42">
        <v>85.704999999999998</v>
      </c>
      <c r="E1405" s="42">
        <v>2561612</v>
      </c>
      <c r="F1405" s="42" t="s">
        <v>1406</v>
      </c>
      <c r="G1405" s="25">
        <f t="shared" si="20"/>
        <v>-1.872702876144916E-2</v>
      </c>
    </row>
    <row r="1406" spans="1:7">
      <c r="A1406" s="42">
        <v>84.174999999999997</v>
      </c>
      <c r="B1406" s="42">
        <v>89.82</v>
      </c>
      <c r="C1406" s="42">
        <v>83.504999999999995</v>
      </c>
      <c r="D1406" s="42">
        <v>87.117500000000007</v>
      </c>
      <c r="E1406" s="42">
        <v>5052280</v>
      </c>
      <c r="F1406" s="42" t="s">
        <v>1407</v>
      </c>
      <c r="G1406" s="25">
        <f t="shared" si="20"/>
        <v>-3.3776221769449388E-2</v>
      </c>
    </row>
    <row r="1407" spans="1:7">
      <c r="A1407" s="42">
        <v>86.875</v>
      </c>
      <c r="B1407" s="42">
        <v>88.12</v>
      </c>
      <c r="C1407" s="42">
        <v>85.125</v>
      </c>
      <c r="D1407" s="42">
        <v>85.712500000000006</v>
      </c>
      <c r="E1407" s="42">
        <v>3633488</v>
      </c>
      <c r="F1407" s="42" t="s">
        <v>1408</v>
      </c>
      <c r="G1407" s="25">
        <f t="shared" si="20"/>
        <v>1.3562782557969832E-2</v>
      </c>
    </row>
    <row r="1408" spans="1:7">
      <c r="A1408" s="42">
        <v>84.882499999999993</v>
      </c>
      <c r="B1408" s="42">
        <v>85.314999999999998</v>
      </c>
      <c r="C1408" s="42">
        <v>81.715000000000003</v>
      </c>
      <c r="D1408" s="42">
        <v>84.052499999999995</v>
      </c>
      <c r="E1408" s="42">
        <v>4222836</v>
      </c>
      <c r="F1408" s="42" t="s">
        <v>1409</v>
      </c>
      <c r="G1408" s="25">
        <f t="shared" si="20"/>
        <v>9.8747806430503626E-3</v>
      </c>
    </row>
    <row r="1409" spans="1:7">
      <c r="A1409" s="42">
        <v>85.96</v>
      </c>
      <c r="B1409" s="42">
        <v>91.51</v>
      </c>
      <c r="C1409" s="42">
        <v>85.775000000000006</v>
      </c>
      <c r="D1409" s="42">
        <v>90.332499999999996</v>
      </c>
      <c r="E1409" s="42">
        <v>4772216</v>
      </c>
      <c r="F1409" s="42" t="s">
        <v>1410</v>
      </c>
      <c r="G1409" s="25">
        <f t="shared" si="20"/>
        <v>-4.8404505576619683E-2</v>
      </c>
    </row>
    <row r="1410" spans="1:7">
      <c r="A1410" s="42">
        <v>90.33</v>
      </c>
      <c r="B1410" s="42">
        <v>91.265000000000001</v>
      </c>
      <c r="C1410" s="42">
        <v>87.275649999999999</v>
      </c>
      <c r="D1410" s="42">
        <v>89.094999999999999</v>
      </c>
      <c r="E1410" s="42">
        <v>3709256</v>
      </c>
      <c r="F1410" s="42" t="s">
        <v>1411</v>
      </c>
      <c r="G1410" s="25">
        <f t="shared" si="20"/>
        <v>1.3861608395532743E-2</v>
      </c>
    </row>
    <row r="1411" spans="1:7">
      <c r="A1411" s="42">
        <v>88.777500000000003</v>
      </c>
      <c r="B1411" s="42">
        <v>91.561250000000001</v>
      </c>
      <c r="C1411" s="42">
        <v>87.452500000000001</v>
      </c>
      <c r="D1411" s="42">
        <v>88.454999999999998</v>
      </c>
      <c r="E1411" s="42">
        <v>5623036</v>
      </c>
      <c r="F1411" s="42" t="s">
        <v>1412</v>
      </c>
      <c r="G1411" s="25">
        <f t="shared" ref="G1411:G1449" si="21">A1411/D1411-1</f>
        <v>3.6459216550788209E-3</v>
      </c>
    </row>
    <row r="1412" spans="1:7">
      <c r="A1412" s="42">
        <v>86.125</v>
      </c>
      <c r="B1412" s="42">
        <v>87.59</v>
      </c>
      <c r="C1412" s="42">
        <v>83.825000000000003</v>
      </c>
      <c r="D1412" s="42">
        <v>86.502499999999998</v>
      </c>
      <c r="E1412" s="42">
        <v>5573552</v>
      </c>
      <c r="F1412" s="42" t="s">
        <v>1413</v>
      </c>
      <c r="G1412" s="25">
        <f t="shared" si="21"/>
        <v>-4.3640357215108949E-3</v>
      </c>
    </row>
    <row r="1413" spans="1:7">
      <c r="A1413" s="42">
        <v>82.942499999999995</v>
      </c>
      <c r="B1413" s="42">
        <v>83.375</v>
      </c>
      <c r="C1413" s="42">
        <v>78.752499999999998</v>
      </c>
      <c r="D1413" s="42">
        <v>78.752499999999998</v>
      </c>
      <c r="E1413" s="42">
        <v>4890956</v>
      </c>
      <c r="F1413" s="42" t="s">
        <v>1414</v>
      </c>
      <c r="G1413" s="25">
        <f t="shared" si="21"/>
        <v>5.3204660169518414E-2</v>
      </c>
    </row>
    <row r="1414" spans="1:7">
      <c r="A1414" s="42">
        <v>78</v>
      </c>
      <c r="B1414" s="42">
        <v>82.135000000000005</v>
      </c>
      <c r="C1414" s="42">
        <v>76.407499999999999</v>
      </c>
      <c r="D1414" s="42">
        <v>82.135000000000005</v>
      </c>
      <c r="E1414" s="42">
        <v>7264896</v>
      </c>
      <c r="F1414" s="42" t="s">
        <v>1415</v>
      </c>
      <c r="G1414" s="25">
        <f t="shared" si="21"/>
        <v>-5.0343945942655455E-2</v>
      </c>
    </row>
    <row r="1415" spans="1:7">
      <c r="A1415" s="42">
        <v>79.894999999999996</v>
      </c>
      <c r="B1415" s="42">
        <v>84.5</v>
      </c>
      <c r="C1415" s="42">
        <v>79.375</v>
      </c>
      <c r="D1415" s="42">
        <v>84.185000000000002</v>
      </c>
      <c r="E1415" s="42">
        <v>8897044</v>
      </c>
      <c r="F1415" s="42" t="s">
        <v>1416</v>
      </c>
      <c r="G1415" s="25">
        <f t="shared" si="21"/>
        <v>-5.0959197006592682E-2</v>
      </c>
    </row>
    <row r="1416" spans="1:7">
      <c r="A1416" s="42">
        <v>83.822500000000005</v>
      </c>
      <c r="B1416" s="42">
        <v>88.597499999999997</v>
      </c>
      <c r="C1416" s="42">
        <v>83.092500000000001</v>
      </c>
      <c r="D1416" s="42">
        <v>88.19</v>
      </c>
      <c r="E1416" s="42">
        <v>9402028</v>
      </c>
      <c r="F1416" s="42" t="s">
        <v>1417</v>
      </c>
      <c r="G1416" s="25">
        <f t="shared" si="21"/>
        <v>-4.9523755527837499E-2</v>
      </c>
    </row>
    <row r="1417" spans="1:7">
      <c r="A1417" s="42">
        <v>87.28</v>
      </c>
      <c r="B1417" s="42">
        <v>92</v>
      </c>
      <c r="C1417" s="42">
        <v>82.655000000000001</v>
      </c>
      <c r="D1417" s="42">
        <v>91.584999999999994</v>
      </c>
      <c r="E1417" s="42">
        <v>22844272</v>
      </c>
      <c r="F1417" s="42" t="s">
        <v>1418</v>
      </c>
      <c r="G1417" s="25">
        <f t="shared" si="21"/>
        <v>-4.7005514003384707E-2</v>
      </c>
    </row>
    <row r="1418" spans="1:7">
      <c r="A1418" s="42">
        <v>95.157499999999999</v>
      </c>
      <c r="B1418" s="42">
        <v>99.5</v>
      </c>
      <c r="C1418" s="42">
        <v>95.027500000000003</v>
      </c>
      <c r="D1418" s="42">
        <v>98.807500000000005</v>
      </c>
      <c r="E1418" s="42">
        <v>11525748</v>
      </c>
      <c r="F1418" s="42" t="s">
        <v>1419</v>
      </c>
      <c r="G1418" s="25">
        <f t="shared" si="21"/>
        <v>-3.6940515649115713E-2</v>
      </c>
    </row>
    <row r="1419" spans="1:7">
      <c r="A1419" s="42">
        <v>104.5</v>
      </c>
      <c r="B1419" s="42">
        <v>104.7475</v>
      </c>
      <c r="C1419" s="42">
        <v>100.875</v>
      </c>
      <c r="D1419" s="42">
        <v>101.41500000000001</v>
      </c>
      <c r="E1419" s="42">
        <v>3588976</v>
      </c>
      <c r="F1419" s="42" t="s">
        <v>1420</v>
      </c>
      <c r="G1419" s="25">
        <f t="shared" si="21"/>
        <v>3.0419563180988929E-2</v>
      </c>
    </row>
    <row r="1420" spans="1:7">
      <c r="A1420" s="42">
        <v>102.75</v>
      </c>
      <c r="B1420" s="42">
        <v>102.80249999999999</v>
      </c>
      <c r="C1420" s="42">
        <v>99.241249999999994</v>
      </c>
      <c r="D1420" s="42">
        <v>99.5</v>
      </c>
      <c r="E1420" s="42">
        <v>2192968</v>
      </c>
      <c r="F1420" s="42" t="s">
        <v>1421</v>
      </c>
      <c r="G1420" s="25">
        <f t="shared" si="21"/>
        <v>3.2663316582914659E-2</v>
      </c>
    </row>
    <row r="1421" spans="1:7">
      <c r="A1421" s="42">
        <v>98.948750000000004</v>
      </c>
      <c r="B1421" s="42">
        <v>99.5625</v>
      </c>
      <c r="C1421" s="42">
        <v>96.465000000000003</v>
      </c>
      <c r="D1421" s="42">
        <v>96.625</v>
      </c>
      <c r="E1421" s="42">
        <v>1857980</v>
      </c>
      <c r="F1421" s="42" t="s">
        <v>1422</v>
      </c>
      <c r="G1421" s="25">
        <f t="shared" si="21"/>
        <v>2.404915912031047E-2</v>
      </c>
    </row>
    <row r="1422" spans="1:7">
      <c r="A1422" s="42">
        <v>96.96</v>
      </c>
      <c r="B1422" s="42">
        <v>99.198750000000004</v>
      </c>
      <c r="C1422" s="42">
        <v>96.272499999999994</v>
      </c>
      <c r="D1422" s="42">
        <v>98.472499999999997</v>
      </c>
      <c r="E1422" s="42">
        <v>3056032</v>
      </c>
      <c r="F1422" s="42" t="s">
        <v>1423</v>
      </c>
      <c r="G1422" s="25">
        <f t="shared" si="21"/>
        <v>-1.5359618167508748E-2</v>
      </c>
    </row>
    <row r="1423" spans="1:7">
      <c r="A1423" s="42">
        <v>98.107500000000002</v>
      </c>
      <c r="B1423" s="42">
        <v>101.05</v>
      </c>
      <c r="C1423" s="42">
        <v>97.407499999999999</v>
      </c>
      <c r="D1423" s="42">
        <v>99.36</v>
      </c>
      <c r="E1423" s="42">
        <v>3259016</v>
      </c>
      <c r="F1423" s="42" t="s">
        <v>1424</v>
      </c>
      <c r="G1423" s="25">
        <f t="shared" si="21"/>
        <v>-1.2605676328502402E-2</v>
      </c>
    </row>
    <row r="1424" spans="1:7">
      <c r="A1424" s="42">
        <v>99.375</v>
      </c>
      <c r="B1424" s="42">
        <v>102.5</v>
      </c>
      <c r="C1424" s="42">
        <v>98.754999999999995</v>
      </c>
      <c r="D1424" s="42">
        <v>100.9025</v>
      </c>
      <c r="E1424" s="42">
        <v>3773768</v>
      </c>
      <c r="F1424" s="42" t="s">
        <v>1425</v>
      </c>
      <c r="G1424" s="25">
        <f t="shared" si="21"/>
        <v>-1.5138376155199307E-2</v>
      </c>
    </row>
    <row r="1425" spans="1:7">
      <c r="A1425" s="42">
        <v>101.25</v>
      </c>
      <c r="B1425" s="42">
        <v>104.4975</v>
      </c>
      <c r="C1425" s="42">
        <v>99.734999999999999</v>
      </c>
      <c r="D1425" s="42">
        <v>100.8</v>
      </c>
      <c r="E1425" s="42">
        <v>3354160</v>
      </c>
      <c r="F1425" s="42" t="s">
        <v>1426</v>
      </c>
      <c r="G1425" s="25">
        <f t="shared" si="21"/>
        <v>4.4642857142858094E-3</v>
      </c>
    </row>
    <row r="1426" spans="1:7">
      <c r="A1426" s="42">
        <v>99.894999999999996</v>
      </c>
      <c r="B1426" s="42">
        <v>100.11499999999999</v>
      </c>
      <c r="C1426" s="42">
        <v>97.132774999999995</v>
      </c>
      <c r="D1426" s="42">
        <v>97.767499999999998</v>
      </c>
      <c r="E1426" s="42">
        <v>4233460</v>
      </c>
      <c r="F1426" s="42" t="s">
        <v>1427</v>
      </c>
      <c r="G1426" s="25">
        <f t="shared" si="21"/>
        <v>2.1760810085150961E-2</v>
      </c>
    </row>
    <row r="1427" spans="1:7">
      <c r="A1427" s="42">
        <v>98.502499999999998</v>
      </c>
      <c r="B1427" s="42">
        <v>100.8175</v>
      </c>
      <c r="C1427" s="42">
        <v>97.584999999999994</v>
      </c>
      <c r="D1427" s="42">
        <v>100.08499999999999</v>
      </c>
      <c r="E1427" s="42">
        <v>2228260</v>
      </c>
      <c r="F1427" s="42" t="s">
        <v>1428</v>
      </c>
      <c r="G1427" s="25">
        <f t="shared" si="21"/>
        <v>-1.5811560173852213E-2</v>
      </c>
    </row>
    <row r="1428" spans="1:7">
      <c r="A1428" s="42">
        <v>100.235</v>
      </c>
      <c r="B1428" s="42">
        <v>100.72499999999999</v>
      </c>
      <c r="C1428" s="42">
        <v>98.625</v>
      </c>
      <c r="D1428" s="42">
        <v>99.625</v>
      </c>
      <c r="E1428" s="42">
        <v>2457000</v>
      </c>
      <c r="F1428" s="42" t="s">
        <v>1429</v>
      </c>
      <c r="G1428" s="25">
        <f t="shared" si="21"/>
        <v>6.1229611041404564E-3</v>
      </c>
    </row>
    <row r="1429" spans="1:7">
      <c r="A1429" s="42">
        <v>98.545000000000002</v>
      </c>
      <c r="B1429" s="42">
        <v>100.4575</v>
      </c>
      <c r="C1429" s="42">
        <v>97.004999999999995</v>
      </c>
      <c r="D1429" s="42">
        <v>98.13</v>
      </c>
      <c r="E1429" s="42">
        <v>3730888</v>
      </c>
      <c r="F1429" s="42" t="s">
        <v>1430</v>
      </c>
      <c r="G1429" s="25">
        <f t="shared" si="21"/>
        <v>4.2290838683380905E-3</v>
      </c>
    </row>
    <row r="1430" spans="1:7">
      <c r="A1430" s="42">
        <v>96.5</v>
      </c>
      <c r="B1430" s="42">
        <v>99.245000000000005</v>
      </c>
      <c r="C1430" s="42">
        <v>96.3</v>
      </c>
      <c r="D1430" s="42">
        <v>98.382499999999993</v>
      </c>
      <c r="E1430" s="42">
        <v>2635008</v>
      </c>
      <c r="F1430" s="42" t="s">
        <v>1431</v>
      </c>
      <c r="G1430" s="25">
        <f t="shared" si="21"/>
        <v>-1.9134500546336919E-2</v>
      </c>
    </row>
    <row r="1431" spans="1:7">
      <c r="A1431" s="42">
        <v>96.875</v>
      </c>
      <c r="B1431" s="42">
        <v>99.95</v>
      </c>
      <c r="C1431" s="42">
        <v>96.792500000000004</v>
      </c>
      <c r="D1431" s="42">
        <v>99.165000000000006</v>
      </c>
      <c r="E1431" s="42">
        <v>2159684</v>
      </c>
      <c r="F1431" s="42" t="s">
        <v>1432</v>
      </c>
      <c r="G1431" s="25">
        <f t="shared" si="21"/>
        <v>-2.3092825089497393E-2</v>
      </c>
    </row>
    <row r="1432" spans="1:7">
      <c r="A1432" s="42">
        <v>98.454999999999998</v>
      </c>
      <c r="B1432" s="42">
        <v>98.607500000000002</v>
      </c>
      <c r="C1432" s="42">
        <v>94.1875</v>
      </c>
      <c r="D1432" s="42">
        <v>94.1875</v>
      </c>
      <c r="E1432" s="42">
        <v>4076924</v>
      </c>
      <c r="F1432" s="42" t="s">
        <v>1433</v>
      </c>
      <c r="G1432" s="25">
        <f t="shared" si="21"/>
        <v>4.5308560053085589E-2</v>
      </c>
    </row>
    <row r="1433" spans="1:7">
      <c r="A1433" s="42">
        <v>93.722499999999997</v>
      </c>
      <c r="B1433" s="42">
        <v>97.337500000000006</v>
      </c>
      <c r="C1433" s="42">
        <v>93.352500000000006</v>
      </c>
      <c r="D1433" s="42">
        <v>94.917500000000004</v>
      </c>
      <c r="E1433" s="42">
        <v>3647416</v>
      </c>
      <c r="F1433" s="42" t="s">
        <v>1434</v>
      </c>
      <c r="G1433" s="25">
        <f t="shared" si="21"/>
        <v>-1.2589880685858867E-2</v>
      </c>
    </row>
    <row r="1434" spans="1:7">
      <c r="A1434" s="42">
        <v>95.627499999999998</v>
      </c>
      <c r="B1434" s="42">
        <v>97.438749999999999</v>
      </c>
      <c r="C1434" s="42">
        <v>94.683750000000003</v>
      </c>
      <c r="D1434" s="42">
        <v>97</v>
      </c>
      <c r="E1434" s="42">
        <v>3311728</v>
      </c>
      <c r="F1434" s="42" t="s">
        <v>1435</v>
      </c>
      <c r="G1434" s="25">
        <f t="shared" si="21"/>
        <v>-1.4149484536082446E-2</v>
      </c>
    </row>
    <row r="1435" spans="1:7">
      <c r="A1435" s="42">
        <v>96.13</v>
      </c>
      <c r="B1435" s="42">
        <v>100.4</v>
      </c>
      <c r="C1435" s="42">
        <v>94.777500000000003</v>
      </c>
      <c r="D1435" s="42">
        <v>99.247500000000002</v>
      </c>
      <c r="E1435" s="42">
        <v>5284708</v>
      </c>
      <c r="F1435" s="42" t="s">
        <v>1436</v>
      </c>
      <c r="G1435" s="25">
        <f t="shared" si="21"/>
        <v>-3.1411370563490304E-2</v>
      </c>
    </row>
    <row r="1436" spans="1:7">
      <c r="A1436" s="42">
        <v>103.46</v>
      </c>
      <c r="B1436" s="42">
        <v>105</v>
      </c>
      <c r="C1436" s="42">
        <v>102.4575</v>
      </c>
      <c r="D1436" s="42">
        <v>104.27</v>
      </c>
      <c r="E1436" s="42">
        <v>1986872</v>
      </c>
      <c r="F1436" s="42" t="s">
        <v>1437</v>
      </c>
      <c r="G1436" s="25">
        <f t="shared" si="21"/>
        <v>-7.7682938524983314E-3</v>
      </c>
    </row>
    <row r="1437" spans="1:7">
      <c r="A1437" s="42">
        <v>103.0575</v>
      </c>
      <c r="B1437" s="42">
        <v>103.9075</v>
      </c>
      <c r="C1437" s="42">
        <v>99.377499999999998</v>
      </c>
      <c r="D1437" s="42">
        <v>100.60250000000001</v>
      </c>
      <c r="E1437" s="42">
        <v>2511820</v>
      </c>
      <c r="F1437" s="42" t="s">
        <v>1438</v>
      </c>
      <c r="G1437" s="25">
        <f t="shared" si="21"/>
        <v>2.4402972093138908E-2</v>
      </c>
    </row>
    <row r="1438" spans="1:7">
      <c r="A1438" s="42">
        <v>100.545</v>
      </c>
      <c r="B1438" s="42">
        <v>102.38875</v>
      </c>
      <c r="C1438" s="42">
        <v>99.487499999999997</v>
      </c>
      <c r="D1438" s="42">
        <v>99.947500000000005</v>
      </c>
      <c r="E1438" s="42">
        <v>2238364</v>
      </c>
      <c r="F1438" s="42" t="s">
        <v>1439</v>
      </c>
      <c r="G1438" s="25">
        <f t="shared" si="21"/>
        <v>5.978138522724441E-3</v>
      </c>
    </row>
    <row r="1439" spans="1:7">
      <c r="A1439" s="42">
        <v>100.0475</v>
      </c>
      <c r="B1439" s="42">
        <v>100.375</v>
      </c>
      <c r="C1439" s="42">
        <v>96.752499999999998</v>
      </c>
      <c r="D1439" s="42">
        <v>99.75</v>
      </c>
      <c r="E1439" s="42">
        <v>4324604</v>
      </c>
      <c r="F1439" s="42" t="s">
        <v>1440</v>
      </c>
      <c r="G1439" s="25">
        <f t="shared" si="21"/>
        <v>2.9824561403508643E-3</v>
      </c>
    </row>
    <row r="1440" spans="1:7">
      <c r="A1440" s="42">
        <v>100.59</v>
      </c>
      <c r="B1440" s="42">
        <v>100.63249999999999</v>
      </c>
      <c r="C1440" s="42">
        <v>94.192499999999995</v>
      </c>
      <c r="D1440" s="42">
        <v>94.945899999999995</v>
      </c>
      <c r="E1440" s="42">
        <v>2830680</v>
      </c>
      <c r="F1440" s="42" t="s">
        <v>1441</v>
      </c>
      <c r="G1440" s="25">
        <f t="shared" si="21"/>
        <v>5.9445431556286454E-2</v>
      </c>
    </row>
    <row r="1441" spans="1:7">
      <c r="A1441" s="42">
        <v>95.507499999999993</v>
      </c>
      <c r="B1441" s="42">
        <v>96.947249999999997</v>
      </c>
      <c r="C1441" s="42">
        <v>94.202500000000001</v>
      </c>
      <c r="D1441" s="42">
        <v>95.25</v>
      </c>
      <c r="E1441" s="42">
        <v>1695836</v>
      </c>
      <c r="F1441" s="42" t="s">
        <v>1442</v>
      </c>
      <c r="G1441" s="25">
        <f t="shared" si="21"/>
        <v>2.7034120734907852E-3</v>
      </c>
    </row>
    <row r="1442" spans="1:7">
      <c r="A1442" s="42">
        <v>96.517499999999998</v>
      </c>
      <c r="B1442" s="42">
        <v>99.627499999999998</v>
      </c>
      <c r="C1442" s="42">
        <v>95.655000000000001</v>
      </c>
      <c r="D1442" s="42">
        <v>98.777500000000003</v>
      </c>
      <c r="E1442" s="42">
        <v>2174268</v>
      </c>
      <c r="F1442" s="42" t="s">
        <v>1443</v>
      </c>
      <c r="G1442" s="25">
        <f t="shared" si="21"/>
        <v>-2.2879704386120414E-2</v>
      </c>
    </row>
    <row r="1443" spans="1:7">
      <c r="A1443" s="42">
        <v>99.532499999999999</v>
      </c>
      <c r="B1443" s="42">
        <v>99.657499999999999</v>
      </c>
      <c r="C1443" s="42">
        <v>95.430025000000001</v>
      </c>
      <c r="D1443" s="42">
        <v>98.045000000000002</v>
      </c>
      <c r="E1443" s="42">
        <v>2636316</v>
      </c>
      <c r="F1443" s="42" t="s">
        <v>1444</v>
      </c>
      <c r="G1443" s="25">
        <f t="shared" si="21"/>
        <v>1.5171604875312328E-2</v>
      </c>
    </row>
    <row r="1444" spans="1:7">
      <c r="A1444" s="42">
        <v>97.922499999999999</v>
      </c>
      <c r="B1444" s="42">
        <v>98.302499999999995</v>
      </c>
      <c r="C1444" s="42">
        <v>95.413749999999993</v>
      </c>
      <c r="D1444" s="42">
        <v>96.25</v>
      </c>
      <c r="E1444" s="42">
        <v>2671392</v>
      </c>
      <c r="F1444" s="42" t="s">
        <v>1445</v>
      </c>
      <c r="G1444" s="25">
        <f t="shared" si="21"/>
        <v>1.7376623376623268E-2</v>
      </c>
    </row>
    <row r="1445" spans="1:7">
      <c r="A1445" s="42">
        <v>97.327500000000001</v>
      </c>
      <c r="B1445" s="42">
        <v>100.265</v>
      </c>
      <c r="C1445" s="42">
        <v>95.252499999999998</v>
      </c>
      <c r="D1445" s="42">
        <v>97.704999999999998</v>
      </c>
      <c r="E1445" s="42">
        <v>6378520</v>
      </c>
      <c r="F1445" s="42" t="s">
        <v>1446</v>
      </c>
      <c r="G1445" s="25">
        <f t="shared" si="21"/>
        <v>-3.8636712553092867E-3</v>
      </c>
    </row>
    <row r="1446" spans="1:7">
      <c r="A1446" s="42">
        <v>96.552499999999995</v>
      </c>
      <c r="B1446" s="42">
        <v>97.4</v>
      </c>
      <c r="C1446" s="42">
        <v>93.905000000000001</v>
      </c>
      <c r="D1446" s="42">
        <v>95.655000000000001</v>
      </c>
      <c r="E1446" s="42">
        <v>4666028</v>
      </c>
      <c r="F1446" s="42" t="s">
        <v>1447</v>
      </c>
      <c r="G1446" s="25">
        <f t="shared" si="21"/>
        <v>9.3826773299878763E-3</v>
      </c>
    </row>
    <row r="1447" spans="1:7">
      <c r="A1447" s="42">
        <v>98.48</v>
      </c>
      <c r="B1447" s="42">
        <v>100.99250000000001</v>
      </c>
      <c r="C1447" s="42">
        <v>97.88</v>
      </c>
      <c r="D1447" s="42">
        <v>99.957499999999996</v>
      </c>
      <c r="E1447" s="42">
        <v>2566532</v>
      </c>
      <c r="F1447" s="42" t="s">
        <v>1448</v>
      </c>
      <c r="G1447" s="25">
        <f t="shared" si="21"/>
        <v>-1.4781282044868949E-2</v>
      </c>
    </row>
    <row r="1448" spans="1:7">
      <c r="A1448" s="42">
        <v>99.492500000000007</v>
      </c>
      <c r="B1448" s="42">
        <v>100.12125</v>
      </c>
      <c r="C1448" s="42">
        <v>97.995824999999996</v>
      </c>
      <c r="D1448" s="42">
        <v>99.644999999999996</v>
      </c>
      <c r="E1448" s="42">
        <v>1778628</v>
      </c>
      <c r="F1448" s="42" t="s">
        <v>1449</v>
      </c>
      <c r="G1448" s="25">
        <f t="shared" si="21"/>
        <v>-1.5304330372822861E-3</v>
      </c>
    </row>
    <row r="1449" spans="1:7">
      <c r="A1449" s="42">
        <v>98.402500000000003</v>
      </c>
      <c r="B1449" s="42">
        <v>99.932500000000005</v>
      </c>
      <c r="C1449" s="42">
        <v>96.525000000000006</v>
      </c>
      <c r="D1449" s="42">
        <v>96.552499999999995</v>
      </c>
      <c r="E1449" s="42">
        <v>2465116</v>
      </c>
      <c r="F1449" s="42" t="s">
        <v>1450</v>
      </c>
      <c r="G1449" s="25">
        <f t="shared" si="21"/>
        <v>1.9160560316926034E-2</v>
      </c>
    </row>
    <row r="1450" spans="1:7">
      <c r="G1450" s="25"/>
    </row>
    <row r="1451" spans="1:7">
      <c r="G1451" s="25"/>
    </row>
    <row r="1452" spans="1:7">
      <c r="G1452" s="25"/>
    </row>
    <row r="1453" spans="1:7">
      <c r="G1453" s="25"/>
    </row>
    <row r="1454" spans="1:7">
      <c r="G1454" s="25"/>
    </row>
    <row r="1455" spans="1:7">
      <c r="G1455" s="25"/>
    </row>
    <row r="1456" spans="1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  <row r="1561" spans="7:7">
      <c r="G1561" s="25"/>
    </row>
    <row r="1562" spans="7:7">
      <c r="G1562" s="25"/>
    </row>
    <row r="1563" spans="7:7">
      <c r="G1563" s="25"/>
    </row>
    <row r="1564" spans="7:7">
      <c r="G1564" s="25"/>
    </row>
  </sheetData>
  <sortState xmlns:xlrd2="http://schemas.microsoft.com/office/spreadsheetml/2017/richdata2" ref="I218:I274">
    <sortCondition ref="I21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2026-10-22T21:03:04Z</dcterms:modified>
</cp:coreProperties>
</file>