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User\OneDrive\Desktop\Equity Research\Models\Financials\"/>
    </mc:Choice>
  </mc:AlternateContent>
  <xr:revisionPtr revIDLastSave="0" documentId="13_ncr:1_{40E7593A-CC3F-47BD-9EE3-D71D70A61EC6}" xr6:coauthVersionLast="47" xr6:coauthVersionMax="47" xr10:uidLastSave="{00000000-0000-0000-0000-000000000000}"/>
  <bookViews>
    <workbookView xWindow="28680" yWindow="-120" windowWidth="29040" windowHeight="15720"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externalReferences>
    <externalReference r:id="rId7"/>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52" i="3" l="1"/>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BR8" i="2" l="1"/>
  <c r="BQ8" i="2"/>
  <c r="BP8" i="2"/>
  <c r="BO8" i="2"/>
  <c r="BN8" i="2"/>
  <c r="BM8" i="2"/>
  <c r="BL8" i="2"/>
  <c r="BK8" i="2"/>
  <c r="BJ8" i="2"/>
  <c r="BI8" i="2"/>
  <c r="BH8" i="2"/>
  <c r="BG8" i="2"/>
  <c r="BF8" i="2"/>
  <c r="BE8" i="2"/>
  <c r="BD8" i="2"/>
  <c r="BC8" i="2"/>
  <c r="BB8" i="2"/>
  <c r="BA8" i="2"/>
  <c r="AZ8" i="2"/>
  <c r="AY8" i="2"/>
  <c r="BS8" i="2"/>
  <c r="G1455" i="3"/>
  <c r="G1454" i="3"/>
  <c r="G1453" i="3"/>
  <c r="G1452" i="3"/>
  <c r="G1451" i="3"/>
  <c r="G1450" i="3"/>
  <c r="G1449" i="3"/>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CI35" i="2"/>
  <c r="CJ35" i="2"/>
  <c r="CK35" i="2"/>
  <c r="CL35" i="2"/>
  <c r="CM35" i="2"/>
  <c r="CN35" i="2"/>
  <c r="CO35" i="2"/>
  <c r="CP35" i="2"/>
  <c r="CQ35" i="2"/>
  <c r="CR35" i="2"/>
  <c r="CS35" i="2"/>
  <c r="CT35" i="2"/>
  <c r="CU35" i="2"/>
  <c r="CV35" i="2"/>
  <c r="CW35" i="2"/>
  <c r="CX35" i="2"/>
  <c r="CY35" i="2"/>
  <c r="CY21" i="2"/>
  <c r="CX21" i="2"/>
  <c r="CW21" i="2"/>
  <c r="CV21" i="2"/>
  <c r="CU21" i="2"/>
  <c r="CT21" i="2"/>
  <c r="CS21" i="2"/>
  <c r="CR21" i="2"/>
  <c r="CQ21" i="2"/>
  <c r="CP21" i="2"/>
  <c r="CO21" i="2"/>
  <c r="CN21" i="2"/>
  <c r="CM21" i="2"/>
  <c r="CL21" i="2"/>
  <c r="CK21" i="2"/>
  <c r="CJ21" i="2"/>
  <c r="CI21" i="2"/>
  <c r="CY7" i="2"/>
  <c r="CX7" i="2"/>
  <c r="CW7" i="2"/>
  <c r="CV7" i="2"/>
  <c r="CU7" i="2"/>
  <c r="CT7" i="2"/>
  <c r="CS7" i="2"/>
  <c r="CR7" i="2"/>
  <c r="CQ7" i="2"/>
  <c r="CP7" i="2"/>
  <c r="CO7" i="2"/>
  <c r="CN7" i="2"/>
  <c r="CM7" i="2"/>
  <c r="CL7" i="2"/>
  <c r="CK7" i="2"/>
  <c r="CJ7" i="2"/>
  <c r="CI7" i="2"/>
  <c r="CY6" i="2"/>
  <c r="CX6" i="2"/>
  <c r="CW6" i="2"/>
  <c r="CV6" i="2"/>
  <c r="CU6" i="2"/>
  <c r="CT6" i="2"/>
  <c r="CS6" i="2"/>
  <c r="CR6" i="2"/>
  <c r="CQ6" i="2"/>
  <c r="CP6" i="2"/>
  <c r="CO6" i="2"/>
  <c r="CN6" i="2"/>
  <c r="CM6" i="2"/>
  <c r="CL6" i="2"/>
  <c r="CK6" i="2"/>
  <c r="CJ6" i="2"/>
  <c r="CI6" i="2"/>
  <c r="CY5" i="2"/>
  <c r="CX5" i="2"/>
  <c r="CW5" i="2"/>
  <c r="CV5" i="2"/>
  <c r="CU5" i="2"/>
  <c r="CT5" i="2"/>
  <c r="CS5" i="2"/>
  <c r="CR5" i="2"/>
  <c r="CQ5" i="2"/>
  <c r="CP5" i="2"/>
  <c r="CO5" i="2"/>
  <c r="CN5" i="2"/>
  <c r="CM5" i="2"/>
  <c r="CL5" i="2"/>
  <c r="CK5" i="2"/>
  <c r="CJ5" i="2"/>
  <c r="CI5" i="2"/>
  <c r="CV4" i="2"/>
  <c r="CX4" i="2"/>
  <c r="CY4" i="2"/>
  <c r="CW4" i="2"/>
  <c r="CU4" i="2"/>
  <c r="CT4" i="2"/>
  <c r="CS4" i="2"/>
  <c r="CR4" i="2"/>
  <c r="CR8" i="2" s="1"/>
  <c r="CQ4" i="2"/>
  <c r="CP4" i="2"/>
  <c r="CO4" i="2"/>
  <c r="CN4" i="2"/>
  <c r="CM4" i="2"/>
  <c r="CL4" i="2"/>
  <c r="CK4" i="2"/>
  <c r="CJ4" i="2"/>
  <c r="CJ8" i="2" s="1"/>
  <c r="CI4" i="2"/>
  <c r="CJ3" i="2"/>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EW3" i="2" s="1"/>
  <c r="EX3" i="2" s="1"/>
  <c r="EY3" i="2" s="1"/>
  <c r="EZ3" i="2" s="1"/>
  <c r="FA3" i="2" s="1"/>
  <c r="FB3" i="2" s="1"/>
  <c r="FC3" i="2" s="1"/>
  <c r="FD3" i="2" s="1"/>
  <c r="FE3" i="2" s="1"/>
  <c r="FF3" i="2" s="1"/>
  <c r="FG3" i="2" s="1"/>
  <c r="G201" i="3"/>
  <c r="C7" i="1"/>
  <c r="C10" i="1" s="1"/>
  <c r="CI8" i="2" l="1"/>
  <c r="CY8" i="2"/>
  <c r="CX8" i="2"/>
  <c r="CQ8" i="2"/>
  <c r="CS8" i="2"/>
  <c r="CT8" i="2"/>
  <c r="CL8" i="2"/>
  <c r="CV8" i="2"/>
  <c r="CW8" i="2"/>
  <c r="CO8" i="2"/>
  <c r="CN8" i="2"/>
  <c r="CP8" i="2"/>
  <c r="CK8" i="2"/>
  <c r="CM8" i="2"/>
  <c r="CU8" i="2"/>
  <c r="K204" i="3"/>
  <c r="K205" i="3" s="1"/>
  <c r="K200" i="3"/>
  <c r="K201" i="3"/>
  <c r="K202" i="3"/>
  <c r="K203" i="3"/>
  <c r="P223" i="3" l="1"/>
  <c r="P213" i="3"/>
  <c r="P212" i="3"/>
  <c r="P215" i="3"/>
  <c r="P222" i="3"/>
  <c r="P214" i="3"/>
  <c r="P225" i="3"/>
  <c r="P221" i="3"/>
  <c r="P217" i="3"/>
  <c r="P220" i="3"/>
  <c r="P224" i="3"/>
  <c r="P219" i="3"/>
  <c r="P216" i="3"/>
  <c r="P218" i="3"/>
</calcChain>
</file>

<file path=xl/sharedStrings.xml><?xml version="1.0" encoding="utf-8"?>
<sst xmlns="http://schemas.openxmlformats.org/spreadsheetml/2006/main" count="1524" uniqueCount="1487">
  <si>
    <t>Master</t>
  </si>
  <si>
    <t xml:space="preserve">Price </t>
  </si>
  <si>
    <t>SO</t>
  </si>
  <si>
    <t>MC</t>
  </si>
  <si>
    <t>Cash</t>
  </si>
  <si>
    <t>Debt</t>
  </si>
  <si>
    <t>EV</t>
  </si>
  <si>
    <t>Investor Relations Contact:</t>
  </si>
  <si>
    <t>SEC filings</t>
  </si>
  <si>
    <t>Godel Terminal</t>
  </si>
  <si>
    <t>Company Overview:</t>
  </si>
  <si>
    <t>[Bold Title]</t>
  </si>
  <si>
    <t>Line Titles</t>
  </si>
  <si>
    <t>&lt;-- General</t>
  </si>
  <si>
    <t>&lt;-- Info</t>
  </si>
  <si>
    <t>Revenue Breakdown by Segment (Build graph for this section if applicable…. See example below)</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</si>
  <si>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</si>
  <si>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</si>
  <si>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</si>
  <si>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</si>
  <si>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</si>
  <si>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</si>
  <si>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</si>
  <si>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</si>
  <si>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</si>
  <si>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</si>
  <si>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</si>
  <si>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</si>
  <si>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</si>
  <si>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</si>
  <si>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</si>
  <si>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</si>
  <si>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</si>
  <si>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</si>
  <si>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</si>
  <si>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</si>
  <si>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</si>
  <si>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</si>
  <si>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</si>
  <si>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</si>
  <si>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</si>
  <si>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</si>
  <si>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</si>
  <si>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</si>
  <si>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</si>
  <si>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Q2 2008</t>
  </si>
  <si>
    <t>Q3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</si>
  <si>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</si>
  <si>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</si>
  <si>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</si>
  <si>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</si>
  <si>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</si>
  <si>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</si>
  <si>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</si>
  <si>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</si>
  <si>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</si>
  <si>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</si>
  <si>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</si>
  <si>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</si>
  <si>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</si>
  <si>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</si>
  <si>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</si>
  <si>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</si>
  <si>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</si>
  <si>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</si>
  <si>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</si>
  <si>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</si>
  <si>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</si>
  <si>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</si>
  <si>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</si>
  <si>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</si>
  <si>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</si>
  <si>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</si>
  <si>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</si>
  <si>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</si>
  <si>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</si>
  <si>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</si>
  <si>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</si>
  <si>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</si>
  <si>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</si>
  <si>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</si>
  <si>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</si>
  <si>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</si>
  <si>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</si>
  <si>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</si>
  <si>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</si>
  <si>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</si>
  <si>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</si>
  <si>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</si>
  <si>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</si>
  <si>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</si>
  <si>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</si>
  <si>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</si>
  <si>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</si>
  <si>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</si>
  <si>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</si>
  <si>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</si>
  <si>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</si>
  <si>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</si>
  <si>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</si>
  <si>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</si>
  <si>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</si>
  <si>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</si>
  <si>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</si>
  <si>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</si>
  <si>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</si>
  <si>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</si>
  <si>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</si>
  <si>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</si>
  <si>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</si>
  <si>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</si>
  <si>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</si>
  <si>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</si>
  <si>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</si>
  <si>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</si>
  <si>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</si>
  <si>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</si>
  <si>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</si>
  <si>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</si>
  <si>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Quarterly</t>
  </si>
  <si>
    <t>Revenues</t>
  </si>
  <si>
    <t>Ttl Revenues</t>
  </si>
  <si>
    <t>Q1 2008</t>
  </si>
  <si>
    <t>Q4 2008</t>
  </si>
  <si>
    <t>Operating Profit Margin</t>
  </si>
  <si>
    <t>Effective Tax Rate</t>
  </si>
  <si>
    <t>Net Profit Margin</t>
  </si>
  <si>
    <t xml:space="preserve">Cash &amp; CEs </t>
  </si>
  <si>
    <t>ST Investments</t>
  </si>
  <si>
    <t>Marketable Securities</t>
  </si>
  <si>
    <t>Current Ratio</t>
  </si>
  <si>
    <t>Quick Ratio</t>
  </si>
  <si>
    <t>Cash Ratio</t>
  </si>
  <si>
    <t>Ttl Asset Turnover</t>
  </si>
  <si>
    <t>Inventory Turnover Ratio</t>
  </si>
  <si>
    <t>Return on Assets</t>
  </si>
  <si>
    <t>Return on Equity</t>
  </si>
  <si>
    <t>Net Income</t>
  </si>
  <si>
    <t>CFFO</t>
  </si>
  <si>
    <t>CapEx, net</t>
  </si>
  <si>
    <t>FCF</t>
  </si>
  <si>
    <t>SC</t>
  </si>
  <si>
    <t>FCF per Share</t>
  </si>
  <si>
    <t>General Notes/Observations (Updated Q1'25)</t>
  </si>
  <si>
    <t>Financial Stmts. Notes/Observations (Updated Q1'25)</t>
  </si>
  <si>
    <t>Revenues:</t>
  </si>
  <si>
    <t>[Godel Snapshot of projected sales]</t>
  </si>
  <si>
    <t>Earnings Scope:</t>
  </si>
  <si>
    <t>[Godel Snapshot of projected earnings/EPS]</t>
  </si>
  <si>
    <t>Balance Sheet Scope:</t>
  </si>
  <si>
    <t>[Godel Snapshot of projected balances (assets, liabilities, equity)]</t>
  </si>
  <si>
    <t>[Equity Preformance Compared to Peers]</t>
  </si>
  <si>
    <t>Use Godel CMS command</t>
  </si>
  <si>
    <t>Mean</t>
  </si>
  <si>
    <t>-3σ</t>
  </si>
  <si>
    <t>-2σ</t>
  </si>
  <si>
    <t>-1σ</t>
  </si>
  <si>
    <t>1σ</t>
  </si>
  <si>
    <t>2σ</t>
  </si>
  <si>
    <t>3σ</t>
  </si>
  <si>
    <t>Phone:</t>
  </si>
  <si>
    <t xml:space="preserve">Email: </t>
  </si>
  <si>
    <t>EPS Growth</t>
  </si>
  <si>
    <t>&lt;- Sharpe Ratio (Risk Adjusted Return)</t>
  </si>
  <si>
    <t>Earnings Calls</t>
  </si>
  <si>
    <t>Equity Analysis</t>
  </si>
  <si>
    <t>https://app.godelterminal.com/</t>
  </si>
  <si>
    <t>Investors Relation Department</t>
  </si>
  <si>
    <t>Business Segments and Geographical Info:</t>
  </si>
  <si>
    <t xml:space="preserve">[Begin researching fundamentals / core business … begin with SEC filings, but expand and use all public resources available] </t>
  </si>
  <si>
    <t>Employee Scope:</t>
  </si>
  <si>
    <t>Resources:</t>
  </si>
  <si>
    <t>Capital Structure Snapshot:</t>
  </si>
  <si>
    <t>Y/y Total Revenues, Net Income, FCF</t>
  </si>
  <si>
    <t>Q/q Total Revenues, Net Income, FCF</t>
  </si>
  <si>
    <t>AXP</t>
  </si>
  <si>
    <t xml:space="preserve">American Express Co. </t>
  </si>
  <si>
    <t>Current CEO: Stephen Squeri</t>
  </si>
  <si>
    <t>Employees: 75,100</t>
  </si>
  <si>
    <t>Industry: Credit Services</t>
  </si>
  <si>
    <t>Sector: Financials</t>
  </si>
  <si>
    <t>Founded: 1850</t>
  </si>
  <si>
    <t>Headquarters: New York, NY</t>
  </si>
  <si>
    <t>(212) 640-2000</t>
  </si>
  <si>
    <t>American Express Page</t>
  </si>
  <si>
    <t>American Express IR Page</t>
  </si>
  <si>
    <t>https://www.americanexpress.com/</t>
  </si>
  <si>
    <t>https://www.sec.gov/edgar/browse/?CIK=4962&amp;owner=exclude</t>
  </si>
  <si>
    <t>https://ir.americanexpress.com/investor-relations/default.aspx</t>
  </si>
  <si>
    <t>ROIC / WACC</t>
  </si>
  <si>
    <t>MacroTrends</t>
  </si>
  <si>
    <t>https://www.macrotrends.net/stocks/charts/AXP/american-express/income-statement?freq=Q</t>
  </si>
  <si>
    <t>https://www.gurufocus.com/term/wacc/AXP</t>
  </si>
  <si>
    <t>https://stockanalysis.com/stocks/axp/company/</t>
  </si>
  <si>
    <t>https://seekingalpha.com/symbol/AXP/earnings/transcripts</t>
  </si>
  <si>
    <t>Founder(s): Henry Wells, William G. Fargo, &amp; John W. Butterfield</t>
  </si>
  <si>
    <t xml:space="preserve">IPO: </t>
  </si>
  <si>
    <t>American Express Company, together with its subsidiaries, operates as integrated payments company in the United States, Europe, the Middle East and Africa, the Asia Pacific, Australia, New Zealand, Latin America, Canada, the Caribbean, and Internationally</t>
  </si>
  <si>
    <t>It operates through four segments: U.S. Consumer Services, Commercial Services, International Card Services, and Global Merchant and Network Services</t>
  </si>
  <si>
    <t>The company’s products and services include credit card, charge card, banking, and other payment and financing products; network services</t>
  </si>
  <si>
    <t>expense management products and services; and travel and lifestyle services</t>
  </si>
  <si>
    <t>It also provides merchant acquisition and processing, servicing and settlement, point-of-sale marketing, and information products and services for merchants</t>
  </si>
  <si>
    <t>fraud prevention services, as well as the design and operation of customer loyalty programs</t>
  </si>
  <si>
    <t>In addition, the company leases and operates lounges at airports. Further, it designs and develops a software to manage company expenses</t>
  </si>
  <si>
    <t>The company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telephone, and direct response advertising</t>
  </si>
  <si>
    <t>Registered Exchange: NYSE</t>
  </si>
  <si>
    <t>Address: 200 Vesey Street New York, NY 10285, US</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</si>
  <si>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</si>
  <si>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</si>
  <si>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</si>
  <si>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</si>
  <si>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</si>
  <si>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</si>
  <si>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</si>
  <si>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</si>
  <si>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</si>
  <si>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</si>
  <si>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</si>
  <si>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</si>
  <si>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</si>
  <si>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</si>
  <si>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</si>
  <si>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</si>
  <si>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</si>
  <si>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</si>
  <si>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</si>
  <si>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</si>
  <si>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</si>
  <si>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</si>
  <si>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</si>
  <si>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</si>
  <si>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</si>
  <si>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</si>
  <si>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</si>
  <si>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</si>
  <si>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</si>
  <si>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</si>
  <si>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</si>
  <si>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</si>
  <si>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</si>
  <si>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</si>
  <si>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</si>
  <si>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</si>
  <si>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</si>
  <si>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</si>
  <si>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</si>
  <si>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</si>
  <si>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</si>
  <si>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</si>
  <si>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</si>
  <si>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</si>
  <si>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</si>
  <si>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</si>
  <si>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</si>
  <si>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</si>
  <si>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</si>
  <si>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</si>
  <si>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</si>
  <si>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</si>
  <si>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</si>
  <si>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</si>
  <si>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</si>
  <si>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</si>
  <si>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</si>
  <si>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</si>
  <si>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</si>
  <si>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</si>
  <si>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</si>
  <si>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</si>
  <si>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</si>
  <si>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</si>
  <si>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</si>
  <si>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</si>
  <si>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</si>
  <si>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</si>
  <si>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</si>
  <si>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</si>
  <si>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</si>
  <si>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</si>
  <si>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</si>
  <si>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</si>
  <si>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</si>
  <si>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</si>
  <si>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</si>
  <si>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</si>
  <si>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</si>
  <si>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</si>
  <si>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</si>
  <si>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</si>
  <si>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</si>
  <si>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</si>
  <si>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</si>
  <si>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</si>
  <si>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</si>
  <si>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</si>
  <si>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</si>
  <si>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</si>
  <si>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</si>
  <si>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</si>
  <si>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</si>
  <si>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</si>
  <si>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</si>
  <si>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</si>
  <si>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</si>
  <si>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</si>
  <si>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</si>
  <si>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</si>
  <si>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</si>
  <si>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</si>
  <si>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</si>
  <si>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</si>
  <si>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</si>
  <si>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</si>
  <si>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</si>
  <si>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</si>
  <si>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</si>
  <si>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</si>
  <si>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</si>
  <si>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</si>
  <si>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</si>
  <si>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</si>
  <si>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</si>
  <si>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</si>
  <si>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</si>
  <si>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</si>
  <si>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</si>
  <si>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</si>
  <si>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</si>
  <si>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</si>
  <si>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</si>
  <si>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</si>
  <si>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</si>
  <si>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</si>
  <si>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</si>
  <si>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</si>
  <si>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</si>
  <si>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</si>
  <si>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</si>
  <si>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</si>
  <si>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</si>
  <si>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</si>
  <si>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</si>
  <si>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</si>
  <si>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</si>
  <si>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</si>
  <si>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</si>
  <si>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</si>
  <si>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</si>
  <si>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</si>
  <si>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</si>
  <si>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</si>
  <si>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</si>
  <si>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</si>
  <si>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</si>
  <si>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</si>
  <si>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</si>
  <si>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</si>
  <si>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</si>
  <si>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</si>
  <si>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</si>
  <si>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</si>
  <si>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</si>
  <si>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</si>
  <si>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</si>
  <si>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</si>
  <si>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</si>
  <si>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</si>
  <si>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</si>
  <si>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</si>
  <si>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</si>
  <si>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</si>
  <si>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</si>
  <si>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</si>
  <si>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</si>
  <si>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</si>
  <si>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</si>
  <si>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</si>
  <si>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</si>
  <si>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</si>
  <si>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</si>
  <si>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</si>
  <si>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</si>
  <si>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</si>
  <si>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</si>
  <si>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</si>
  <si>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</si>
  <si>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</si>
  <si>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</si>
  <si>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</si>
  <si>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</si>
  <si>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</si>
  <si>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</si>
  <si>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</si>
  <si>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</si>
  <si>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</si>
  <si>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</si>
  <si>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</si>
  <si>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</si>
  <si>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</si>
  <si>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</si>
  <si>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</si>
  <si>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</si>
  <si>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</si>
  <si>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</si>
  <si>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</si>
  <si>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</si>
  <si>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</si>
  <si>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</si>
  <si>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</si>
  <si>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</si>
  <si>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</si>
  <si>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</si>
  <si>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</si>
  <si>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</si>
  <si>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</si>
  <si>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</si>
  <si>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</si>
  <si>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</si>
  <si>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</si>
  <si>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</si>
  <si>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</si>
  <si>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</si>
  <si>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</si>
  <si>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</si>
  <si>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</si>
  <si>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</si>
  <si>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</si>
  <si>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</si>
  <si>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</si>
  <si>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</si>
  <si>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</si>
  <si>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</si>
  <si>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</si>
  <si>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</si>
  <si>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</si>
  <si>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</si>
  <si>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</si>
  <si>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</si>
  <si>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</si>
  <si>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</si>
  <si>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</si>
  <si>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</si>
  <si>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</si>
  <si>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</si>
  <si>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</si>
  <si>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</si>
  <si>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</si>
  <si>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</si>
  <si>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</si>
  <si>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</si>
  <si>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</si>
  <si>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</si>
  <si>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</si>
  <si>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</si>
  <si>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</si>
  <si>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</si>
  <si>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</si>
  <si>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</si>
  <si>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</si>
  <si>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</si>
  <si>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</si>
  <si>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</si>
  <si>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</si>
  <si>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</si>
  <si>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</si>
  <si>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</si>
  <si>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</si>
  <si>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</si>
  <si>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</si>
  <si>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</si>
  <si>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</si>
  <si>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</si>
  <si>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</si>
  <si>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</si>
  <si>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</si>
  <si>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</si>
  <si>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</si>
  <si>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</si>
  <si>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</si>
  <si>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</si>
  <si>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</si>
  <si>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</si>
  <si>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</si>
  <si>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</si>
  <si>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</si>
  <si>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</si>
  <si>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</si>
  <si>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</si>
  <si>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</si>
  <si>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</si>
  <si>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</si>
  <si>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</si>
  <si>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</si>
  <si>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</si>
  <si>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</si>
  <si>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</si>
  <si>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</si>
  <si>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</si>
  <si>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</si>
  <si>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</si>
  <si>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</si>
  <si>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</si>
  <si>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</si>
  <si>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</si>
  <si>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</si>
  <si>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</si>
  <si>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</si>
  <si>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</si>
  <si>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</si>
  <si>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</si>
  <si>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</si>
  <si>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</si>
  <si>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</si>
  <si>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</si>
  <si>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</si>
  <si>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</si>
  <si>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</si>
  <si>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</si>
  <si>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</si>
  <si>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</si>
  <si>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</si>
  <si>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</si>
  <si>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</si>
  <si>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</si>
  <si>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</si>
  <si>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</si>
  <si>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</si>
  <si>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</si>
  <si>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</si>
  <si>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</si>
  <si>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</si>
  <si>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</si>
  <si>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</si>
  <si>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</si>
  <si>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</si>
  <si>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</si>
  <si>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</si>
  <si>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</si>
  <si>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</si>
  <si>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</si>
  <si>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</si>
  <si>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</si>
  <si>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</si>
  <si>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</si>
  <si>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</si>
  <si>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</si>
  <si>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</si>
  <si>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</si>
  <si>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</si>
  <si>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</si>
  <si>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</si>
  <si>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</si>
  <si>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</si>
  <si>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</si>
  <si>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</si>
  <si>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</si>
  <si>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</si>
  <si>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</si>
  <si>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</si>
  <si>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</si>
  <si>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</si>
  <si>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</si>
  <si>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</si>
  <si>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</si>
  <si>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</si>
  <si>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</si>
  <si>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</si>
  <si>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</si>
  <si>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</si>
  <si>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</si>
  <si>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</si>
  <si>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</si>
  <si>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</si>
  <si>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</si>
  <si>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</si>
  <si>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</si>
  <si>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</si>
  <si>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</si>
  <si>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</si>
  <si>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</si>
  <si>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</si>
  <si>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</si>
  <si>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</si>
  <si>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</si>
  <si>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</si>
  <si>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</si>
  <si>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</si>
  <si>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</si>
  <si>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</si>
  <si>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</si>
  <si>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</si>
  <si>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</si>
  <si>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</si>
  <si>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</si>
  <si>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</si>
  <si>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</si>
  <si>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</si>
  <si>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</si>
  <si>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</si>
  <si>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</si>
  <si>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</si>
  <si>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</si>
  <si>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</si>
  <si>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</si>
  <si>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</si>
  <si>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</si>
  <si>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</si>
  <si>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</si>
  <si>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</si>
  <si>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</si>
  <si>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</si>
  <si>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</si>
  <si>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</si>
  <si>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</si>
  <si>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</si>
  <si>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</si>
  <si>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</si>
  <si>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</si>
  <si>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</si>
  <si>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</si>
  <si>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</si>
  <si>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</si>
  <si>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</si>
  <si>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</si>
  <si>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</si>
  <si>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</si>
  <si>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</si>
  <si>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</si>
  <si>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</si>
  <si>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</si>
  <si>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</si>
  <si>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</si>
  <si>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</si>
  <si>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</si>
  <si>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</si>
  <si>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</si>
  <si>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</si>
  <si>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</si>
  <si>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</si>
  <si>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</si>
  <si>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</si>
  <si>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</si>
  <si>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</si>
  <si>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</si>
  <si>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</si>
  <si>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</si>
  <si>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</si>
  <si>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</si>
  <si>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</si>
  <si>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</si>
  <si>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</si>
  <si>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</si>
  <si>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</si>
  <si>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</si>
  <si>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</si>
  <si>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</si>
  <si>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</si>
  <si>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</si>
  <si>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</si>
  <si>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</si>
  <si>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</si>
  <si>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</si>
  <si>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</si>
  <si>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</si>
  <si>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</si>
  <si>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</si>
  <si>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</si>
  <si>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</si>
  <si>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</si>
  <si>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</si>
  <si>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</si>
  <si>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</si>
  <si>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</si>
  <si>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</si>
  <si>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</si>
  <si>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</si>
  <si>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</si>
  <si>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</si>
  <si>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</si>
  <si>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</si>
  <si>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</si>
  <si>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</si>
  <si>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</si>
  <si>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</si>
  <si>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</si>
  <si>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</si>
  <si>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</si>
  <si>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</si>
  <si>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</si>
  <si>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</si>
  <si>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</si>
  <si>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</si>
  <si>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</si>
  <si>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</si>
  <si>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</si>
  <si>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</si>
  <si>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</si>
  <si>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</si>
  <si>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</si>
  <si>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</si>
  <si>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</si>
  <si>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</si>
  <si>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</si>
  <si>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</si>
  <si>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</si>
  <si>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</si>
  <si>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</si>
  <si>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</si>
  <si>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</si>
  <si>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</si>
  <si>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</si>
  <si>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</si>
  <si>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</si>
  <si>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</si>
  <si>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</si>
  <si>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</si>
  <si>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</si>
  <si>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</si>
  <si>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</si>
  <si>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</si>
  <si>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</si>
  <si>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</si>
  <si>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</si>
  <si>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</si>
  <si>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</si>
  <si>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</si>
  <si>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</si>
  <si>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</si>
  <si>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</si>
  <si>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</si>
  <si>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</si>
  <si>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</si>
  <si>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</si>
  <si>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</si>
  <si>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</si>
  <si>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</si>
  <si>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</si>
  <si>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</si>
  <si>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</si>
  <si>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</si>
  <si>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</si>
  <si>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</si>
  <si>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</si>
  <si>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</si>
  <si>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</si>
  <si>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</si>
  <si>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</si>
  <si>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</si>
  <si>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</si>
  <si>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</si>
  <si>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</si>
  <si>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</si>
  <si>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</si>
  <si>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</si>
  <si>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</si>
  <si>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</si>
  <si>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</si>
  <si>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</si>
  <si>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</si>
  <si>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</si>
  <si>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</si>
  <si>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</si>
  <si>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</si>
  <si>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</si>
  <si>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</si>
  <si>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</si>
  <si>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</si>
  <si>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</si>
  <si>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</si>
  <si>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</si>
  <si>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</si>
  <si>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</si>
  <si>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</si>
  <si>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</si>
  <si>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</si>
  <si>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</si>
  <si>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</si>
  <si>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</si>
  <si>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</si>
  <si>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</si>
  <si>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</si>
  <si>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</si>
  <si>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</si>
  <si>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</si>
  <si>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</si>
  <si>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</si>
  <si>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</si>
  <si>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</si>
  <si>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</si>
  <si>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</si>
  <si>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</si>
  <si>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</si>
  <si>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</si>
  <si>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</si>
  <si>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</si>
  <si>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</si>
  <si>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</si>
  <si>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</si>
  <si>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</si>
  <si>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</si>
  <si>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</si>
  <si>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</si>
  <si>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</si>
  <si>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</si>
  <si>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</si>
  <si>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</si>
  <si>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</si>
  <si>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</si>
  <si>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</si>
  <si>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</si>
  <si>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</si>
  <si>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</si>
  <si>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</si>
  <si>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</si>
  <si>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</si>
  <si>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</si>
  <si>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</si>
  <si>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</si>
  <si>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</si>
  <si>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</si>
  <si>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</si>
  <si>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</si>
  <si>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</si>
  <si>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</si>
  <si>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</si>
  <si>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</si>
  <si>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</si>
  <si>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</si>
  <si>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</si>
  <si>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</si>
  <si>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</si>
  <si>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</si>
  <si>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</si>
  <si>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</si>
  <si>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</si>
  <si>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</si>
  <si>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</si>
  <si>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</si>
  <si>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</si>
  <si>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</si>
  <si>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</si>
  <si>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</si>
  <si>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</si>
  <si>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</si>
  <si>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</si>
  <si>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</si>
  <si>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</si>
  <si>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</si>
  <si>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</si>
  <si>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</si>
  <si>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</si>
  <si>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</si>
  <si>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</si>
  <si>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</si>
  <si>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</si>
  <si>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</si>
  <si>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</si>
  <si>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</si>
  <si>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</si>
  <si>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</si>
  <si>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</si>
  <si>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</si>
  <si>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</si>
  <si>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</si>
  <si>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</si>
  <si>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</si>
  <si>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</si>
  <si>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</si>
  <si>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</si>
  <si>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</si>
  <si>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</si>
  <si>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</si>
  <si>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</si>
  <si>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</si>
  <si>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</si>
  <si>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</si>
  <si>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</si>
  <si>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</si>
  <si>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</si>
  <si>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</si>
  <si>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</si>
  <si>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</si>
  <si>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</si>
  <si>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</si>
  <si>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</si>
  <si>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</si>
  <si>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</si>
  <si>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</si>
  <si>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</si>
  <si>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</si>
  <si>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</si>
  <si>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</si>
  <si>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</si>
  <si>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</si>
  <si>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</si>
  <si>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</si>
  <si>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</si>
  <si>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</si>
  <si>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</si>
  <si>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</si>
  <si>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</si>
  <si>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</si>
  <si>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</si>
  <si>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</si>
  <si>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</si>
  <si>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</si>
  <si>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</si>
  <si>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</si>
  <si>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</si>
  <si>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</si>
  <si>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</si>
  <si>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</si>
  <si>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</si>
  <si>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</si>
  <si>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</si>
  <si>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</si>
  <si>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</si>
  <si>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</si>
  <si>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</si>
  <si>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</si>
  <si>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</si>
  <si>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</si>
  <si>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</si>
  <si>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</si>
  <si>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</si>
  <si>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</si>
  <si>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</si>
  <si>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</si>
  <si>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</si>
  <si>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</si>
  <si>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</si>
  <si>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</si>
  <si>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</si>
  <si>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</si>
  <si>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</si>
  <si>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</si>
  <si>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</si>
  <si>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</si>
  <si>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</si>
  <si>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</si>
  <si>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</si>
  <si>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</si>
  <si>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</si>
  <si>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</si>
  <si>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</si>
  <si>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</si>
  <si>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</si>
  <si>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</si>
  <si>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</si>
  <si>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</si>
  <si>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</si>
  <si>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</si>
  <si>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</si>
  <si>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</si>
  <si>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</si>
  <si>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</si>
  <si>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</si>
  <si>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</si>
  <si>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</si>
  <si>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</si>
  <si>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</si>
  <si>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</si>
  <si>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</si>
  <si>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</si>
  <si>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</si>
  <si>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</si>
  <si>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</si>
  <si>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</si>
  <si>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</si>
  <si>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</si>
  <si>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</si>
  <si>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</si>
  <si>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</si>
  <si>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</si>
  <si>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</si>
  <si>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</si>
  <si>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</si>
  <si>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</si>
  <si>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</si>
  <si>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</si>
  <si>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</si>
  <si>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</si>
  <si>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</si>
  <si>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</si>
  <si>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</si>
  <si>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</si>
  <si>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</si>
  <si>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</si>
  <si>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</si>
  <si>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</si>
  <si>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</si>
  <si>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</si>
  <si>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</si>
  <si>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</si>
  <si>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</si>
  <si>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</si>
  <si>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</si>
  <si>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</si>
  <si>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</si>
  <si>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</si>
  <si>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</si>
  <si>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</si>
  <si>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</si>
  <si>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</si>
  <si>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</si>
  <si>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</si>
  <si>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</si>
  <si>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</si>
  <si>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</si>
  <si>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</si>
  <si>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</si>
  <si>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</si>
  <si>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</si>
  <si>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</si>
  <si>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</si>
  <si>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</si>
  <si>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</si>
  <si>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</si>
  <si>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</si>
  <si>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</si>
  <si>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</si>
  <si>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</si>
  <si>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</si>
  <si>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</si>
  <si>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</si>
  <si>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</si>
  <si>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</si>
  <si>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</si>
  <si>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</si>
  <si>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</si>
  <si>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</si>
  <si>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</si>
  <si>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</si>
  <si>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</si>
  <si>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</si>
  <si>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</si>
  <si>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</si>
  <si>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</si>
  <si>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</si>
  <si>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</si>
  <si>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</si>
  <si>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</si>
  <si>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</si>
  <si>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</si>
  <si>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</si>
  <si>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</si>
  <si>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</si>
  <si>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</si>
  <si>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</si>
  <si>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</si>
  <si>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</si>
  <si>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</si>
  <si>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</si>
  <si>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</si>
  <si>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</si>
  <si>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</si>
  <si>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</si>
  <si>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</si>
  <si>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</si>
  <si>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</si>
  <si>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</si>
  <si>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</si>
  <si>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</si>
  <si>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</si>
  <si>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</si>
  <si>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</si>
  <si>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</si>
  <si>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</si>
  <si>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</si>
  <si>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</si>
  <si>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</si>
  <si>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</si>
  <si>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</si>
  <si>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</si>
  <si>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</si>
  <si>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</si>
  <si>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</si>
  <si>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</si>
  <si>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</si>
  <si>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</si>
  <si>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</si>
  <si>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</si>
  <si>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</si>
  <si>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</si>
  <si>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</si>
  <si>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</si>
  <si>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</si>
  <si>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</si>
  <si>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</si>
  <si>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</si>
  <si>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</si>
  <si>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</si>
  <si>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</si>
  <si>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</si>
  <si>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</si>
  <si>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</si>
  <si>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</si>
  <si>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</si>
  <si>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</si>
  <si>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</si>
  <si>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</si>
  <si>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</si>
  <si>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</si>
  <si>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</si>
  <si>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</si>
  <si>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</si>
  <si>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</si>
  <si>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</si>
  <si>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</si>
  <si>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</si>
  <si>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</si>
  <si>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</si>
  <si>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</si>
  <si>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</si>
  <si>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</si>
  <si>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</si>
  <si>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</si>
  <si>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</si>
  <si>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</si>
  <si>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</si>
  <si>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</si>
  <si>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</si>
  <si>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</si>
  <si>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</si>
  <si>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</si>
  <si>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</si>
  <si>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</si>
  <si>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</si>
  <si>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</si>
  <si>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</si>
  <si>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</si>
  <si>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</si>
  <si>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</si>
  <si>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</si>
  <si>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</si>
  <si>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</si>
  <si>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</si>
  <si>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</si>
  <si>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</si>
  <si>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</si>
  <si>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</si>
  <si>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</si>
  <si>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</si>
  <si>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</si>
  <si>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</si>
  <si>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</si>
  <si>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</si>
  <si>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</si>
  <si>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</si>
  <si>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</si>
  <si>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</si>
  <si>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</si>
  <si>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</si>
  <si>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</si>
  <si>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</si>
  <si>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</si>
  <si>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</si>
  <si>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</si>
  <si>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</si>
  <si>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</si>
  <si>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</si>
  <si>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</si>
  <si>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</si>
  <si>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</si>
  <si>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</si>
  <si>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</si>
  <si>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</si>
  <si>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</si>
  <si>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</si>
  <si>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</si>
  <si>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</si>
  <si>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</si>
  <si>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</si>
  <si>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</si>
  <si>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</si>
  <si>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</si>
  <si>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</si>
  <si>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</si>
  <si>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</si>
  <si>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</si>
  <si>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</si>
  <si>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</si>
  <si>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</si>
  <si>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</si>
  <si>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</si>
  <si>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</si>
  <si>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</si>
  <si>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</si>
  <si>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</si>
  <si>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</si>
  <si>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</si>
  <si>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</si>
  <si>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</si>
  <si>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</si>
  <si>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</si>
  <si>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</si>
  <si>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</si>
  <si>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</si>
  <si>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</si>
  <si>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</si>
  <si>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</si>
  <si>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</si>
  <si>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</si>
  <si>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</si>
  <si>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</si>
  <si>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</si>
  <si>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</si>
  <si>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</si>
  <si>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</si>
  <si>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</si>
  <si>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</si>
  <si>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</si>
  <si>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</si>
  <si>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</si>
  <si>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</si>
  <si>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</si>
  <si>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</si>
  <si>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</si>
  <si>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</si>
  <si>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</si>
  <si>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</si>
  <si>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</si>
  <si>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</si>
  <si>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</si>
  <si>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</si>
  <si>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</si>
  <si>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</si>
  <si>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</si>
  <si>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</si>
  <si>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</si>
  <si>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</si>
  <si>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</si>
  <si>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</si>
  <si>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</si>
  <si>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</si>
  <si>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</si>
  <si>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</si>
  <si>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</si>
  <si>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</si>
  <si>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</si>
  <si>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</si>
  <si>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</si>
  <si>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</si>
  <si>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</si>
  <si>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</si>
  <si>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</si>
  <si>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</si>
  <si>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</si>
  <si>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</si>
  <si>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</si>
  <si>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</si>
  <si>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</si>
  <si>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</si>
  <si>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</si>
  <si>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</si>
  <si>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</si>
  <si>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</si>
  <si>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</si>
  <si>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</si>
  <si>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</si>
  <si>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</si>
  <si>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</si>
  <si>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</si>
  <si>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</si>
  <si>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</si>
  <si>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</si>
  <si>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</si>
  <si>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</si>
  <si>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</si>
  <si>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</si>
  <si>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</si>
  <si>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</si>
  <si>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</si>
  <si>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</si>
  <si>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</si>
  <si>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</si>
  <si>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</si>
  <si>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</si>
  <si>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</si>
  <si>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</si>
  <si>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</si>
  <si>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</si>
  <si>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</si>
  <si>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</si>
  <si>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</si>
  <si>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</si>
  <si>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</si>
  <si>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</si>
  <si>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</si>
  <si>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</si>
  <si>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</si>
  <si>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</si>
  <si>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</si>
  <si>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</si>
  <si>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</si>
  <si>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</si>
  <si>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</si>
  <si>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</si>
  <si>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</si>
  <si>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</si>
  <si>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</si>
  <si>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</si>
  <si>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</si>
  <si>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</si>
  <si>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</si>
  <si>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</si>
  <si>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</si>
  <si>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</si>
  <si>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</si>
  <si>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</si>
  <si>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</si>
  <si>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</si>
  <si>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</si>
  <si>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</si>
  <si>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</si>
  <si>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</si>
  <si>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</si>
  <si>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</si>
  <si>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</si>
  <si>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</si>
  <si>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</si>
  <si>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</si>
  <si>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</si>
  <si>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</si>
  <si>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</si>
  <si>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</si>
  <si>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</si>
  <si>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</si>
  <si>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</si>
  <si>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</si>
  <si>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</si>
  <si>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</si>
  <si>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</si>
  <si>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</si>
  <si>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</si>
  <si>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</si>
  <si>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</si>
  <si>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</si>
  <si>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</si>
  <si>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</si>
  <si>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</si>
  <si>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</si>
  <si>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</si>
  <si>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</si>
  <si>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</si>
  <si>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</si>
  <si>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</si>
  <si>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</si>
  <si>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</si>
  <si>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</si>
  <si>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</si>
  <si>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</si>
  <si>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</si>
  <si>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</si>
  <si>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</si>
  <si>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</si>
  <si>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</si>
  <si>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</si>
  <si>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</si>
  <si>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</si>
  <si>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</si>
  <si>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</si>
  <si>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</si>
  <si>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</si>
  <si>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</si>
  <si>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</si>
  <si>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</si>
  <si>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</si>
  <si>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</si>
  <si>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</si>
  <si>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</si>
  <si>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</si>
  <si>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</si>
  <si>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</si>
  <si>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</si>
  <si>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</si>
  <si>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</si>
  <si>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</si>
  <si>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</si>
  <si>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</si>
  <si>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t>Fri, 30 Oct 2020 00:00:00 GMT</t>
  </si>
  <si>
    <t>Thu, 29 Oct 2020 00:00:00 GMT</t>
  </si>
  <si>
    <t>Wed, 28 Oct 2020 00:00:00 GMT</t>
  </si>
  <si>
    <t>Tue, 27 Oct 2020 00:00:00 GMT</t>
  </si>
  <si>
    <t>Mon, 26 Oct 2020 00:00:00 GMT</t>
  </si>
  <si>
    <t>Fri, 23 Oct 2020 00:00:00 GMT</t>
  </si>
  <si>
    <t>Thu, 22 Oct 2020 00:00:00 GMT</t>
  </si>
  <si>
    <t>Wed, 21 Oct 2020 00:00:00 GMT</t>
  </si>
  <si>
    <t>Tue, 20 Oct 2020 00:00:00 GMT</t>
  </si>
  <si>
    <t>Mon, 19 Oct 2020 00:00:00 GMT</t>
  </si>
  <si>
    <t>Fri, 16 Oct 2020 00:00:00 GMT</t>
  </si>
  <si>
    <t>Thu, 15 Oct 2020 00:00:00 GMT</t>
  </si>
  <si>
    <t>Wed, 14 Oct 2020 00:00:00 GMT</t>
  </si>
  <si>
    <t>Tue, 13 Oct 2020 00:00:00 GMT</t>
  </si>
  <si>
    <t>Mon, 12 Oct 2020 00:00:00 GMT</t>
  </si>
  <si>
    <t>Fri, 09 Oct 2020 00:00:00 GMT</t>
  </si>
  <si>
    <t>Thu, 08 Oct 2020 00:00:00 GMT</t>
  </si>
  <si>
    <t>Wed, 07 Oct 2020 00:00:00 GMT</t>
  </si>
  <si>
    <t>Tue, 06 Oct 2020 00:00:00 GMT</t>
  </si>
  <si>
    <t>Mon, 05 Oct 2020 00:00:00 GMT</t>
  </si>
  <si>
    <t>Fri, 02 Oct 2020 00:00:00 GMT</t>
  </si>
  <si>
    <t>Thu, 01 Oct 2020 00:00:00 GMT</t>
  </si>
  <si>
    <t>Wed, 30 Sep 2020 00:00:00 GMT</t>
  </si>
  <si>
    <t>Tue, 29 Sep 2020 00:00:00 GMT</t>
  </si>
  <si>
    <t>Mon, 28 Sep 2020 00:00:00 GMT</t>
  </si>
  <si>
    <t>Fri, 25 Sep 2020 00:00:00 GMT</t>
  </si>
  <si>
    <t>Thu, 24 Sep 2020 00:00:00 GMT</t>
  </si>
  <si>
    <t>Wed, 23 Sep 2020 00:00:00 GMT</t>
  </si>
  <si>
    <t>Tue, 22 Sep 2020 00:00:00 GMT</t>
  </si>
  <si>
    <t>Mon, 21 Sep 2020 00:00:00 GMT</t>
  </si>
  <si>
    <t>Fri, 18 Sep 2020 00:00:00 GMT</t>
  </si>
  <si>
    <t>Thu, 17 Sep 2020 00:00:00 GMT</t>
  </si>
  <si>
    <t>Wed, 16 Sep 2020 00:00:00 GMT</t>
  </si>
  <si>
    <t>Tue, 15 Sep 2020 00:00:00 GMT</t>
  </si>
  <si>
    <t>Mon, 14 Sep 2020 00:00:00 GMT</t>
  </si>
  <si>
    <t>Fri, 11 Sep 2020 00:00:00 GMT</t>
  </si>
  <si>
    <t>Thu, 10 Sep 2020 00:00:00 GMT</t>
  </si>
  <si>
    <t>Wed, 09 Sep 2020 00:00:00 GMT</t>
  </si>
  <si>
    <t>Tue, 08 Sep 2020 00:00:00 GMT</t>
  </si>
  <si>
    <t>Fri, 04 Sep 2020 00:00:00 GMT</t>
  </si>
  <si>
    <t>Thu, 03 Sep 2020 00:00:00 GMT</t>
  </si>
  <si>
    <t>Wed, 02 Sep 2020 00:00:00 GMT</t>
  </si>
  <si>
    <t>Tue, 01 Sep 2020 00:00:00 GMT</t>
  </si>
  <si>
    <t>Mon, 31 Aug 2020 00:00:00 GMT</t>
  </si>
  <si>
    <t>Fri, 28 Aug 2020 00:00:00 GMT</t>
  </si>
  <si>
    <t>Thu, 27 Aug 2020 00:00:00 GMT</t>
  </si>
  <si>
    <t>Wed, 26 Aug 2020 00:00:00 GMT</t>
  </si>
  <si>
    <t>Tue, 25 Aug 2020 00:00:00 GMT</t>
  </si>
  <si>
    <t>Mon, 24 Aug 2020 00:00:00 GMT</t>
  </si>
  <si>
    <t>Fri, 21 Aug 2020 00:00:00 GMT</t>
  </si>
  <si>
    <t>Thu, 20 Aug 2020 00:00:00 GMT</t>
  </si>
  <si>
    <t>Wed, 19 Aug 2020 00:00:00 GMT</t>
  </si>
  <si>
    <t>Tue, 18 Aug 2020 00:00:00 GMT</t>
  </si>
  <si>
    <t>Mon, 17 Aug 2020 00:00:00 GMT</t>
  </si>
  <si>
    <t>Fri, 14 Aug 2020 00:00:00 GMT</t>
  </si>
  <si>
    <t>Thu, 13 Aug 2020 00:00:00 GMT</t>
  </si>
  <si>
    <t>Wed, 12 Aug 2020 00:00:00 GMT</t>
  </si>
  <si>
    <t>Tue, 11 Aug 2020 00:00:00 GMT</t>
  </si>
  <si>
    <t>Mon, 10 Aug 2020 00:00:00 GMT</t>
  </si>
  <si>
    <t>Fri, 07 Aug 2020 00:00:00 GMT</t>
  </si>
  <si>
    <t>Thu, 06 Aug 2020 00:00:00 GMT</t>
  </si>
  <si>
    <t>Wed, 05 Aug 2020 00:00:00 GMT</t>
  </si>
  <si>
    <t>Tue, 04 Aug 2020 00:00:00 GMT</t>
  </si>
  <si>
    <t>Mon, 03 Aug 2020 00:00:00 GMT</t>
  </si>
  <si>
    <t>Fri, 31 Jul 2020 00:00:00 GMT</t>
  </si>
  <si>
    <t>Thu, 30 Jul 2020 00:00:00 GMT</t>
  </si>
  <si>
    <t>Wed, 29 Jul 2020 00:00:00 GMT</t>
  </si>
  <si>
    <t>Tue, 28 Jul 2020 00:00:00 GMT</t>
  </si>
  <si>
    <t>Mon, 27 Jul 2020 00:00:00 GMT</t>
  </si>
  <si>
    <t>Fri, 24 Jul 2020 00:00:00 GMT</t>
  </si>
  <si>
    <t>Thu, 23 Jul 2020 00:00:00 GMT</t>
  </si>
  <si>
    <t>Wed, 22 Jul 2020 00:00:00 GMT</t>
  </si>
  <si>
    <t>Tue, 21 Jul 2020 00:00:00 GMT</t>
  </si>
  <si>
    <t>Mon, 20 Jul 2020 00:00:00 GMT</t>
  </si>
  <si>
    <t>Fri, 17 Jul 2020 00:00:00 GMT</t>
  </si>
  <si>
    <t>Thu, 16 Jul 2020 00:00:00 GMT</t>
  </si>
  <si>
    <t>Wed, 15 Jul 2020 00:00:00 GMT</t>
  </si>
  <si>
    <t>Tue, 14 Jul 2020 00:00:00 GMT</t>
  </si>
  <si>
    <t>Mon, 13 Jul 2020 00:00:00 GMT</t>
  </si>
  <si>
    <t>Fri, 10 Jul 2020 00:00:00 GMT</t>
  </si>
  <si>
    <t>Thu, 09 Jul 2020 00:00:00 GMT</t>
  </si>
  <si>
    <t>Wed, 08 Jul 2020 00:00:00 GMT</t>
  </si>
  <si>
    <r>
      <rPr>
        <i/>
        <sz val="11"/>
        <color theme="1"/>
        <rFont val="Calibre"/>
      </rPr>
      <t>1255</t>
    </r>
    <r>
      <rPr>
        <sz val="11"/>
        <color theme="1"/>
        <rFont val="Calibre"/>
      </rPr>
      <t xml:space="preserve"> Trading Days? (From: 6/7/2020 - 6/7/2025)</t>
    </r>
  </si>
  <si>
    <t>January - December</t>
  </si>
  <si>
    <t>Discount Revenues</t>
  </si>
  <si>
    <t>Net Card Fees</t>
  </si>
  <si>
    <t>Other Fees &amp; Commissions</t>
  </si>
  <si>
    <t>Other</t>
  </si>
  <si>
    <t>Discount Revenue Growth Y/y</t>
  </si>
  <si>
    <t>Net Card Fee Growth Y/y</t>
  </si>
  <si>
    <t>Other Fee &amp; Comm. Growth Y/y</t>
  </si>
  <si>
    <t>Other Revenue Growth Y/y</t>
  </si>
  <si>
    <t>Ttl Revenue Growth Y/y</t>
  </si>
  <si>
    <t>Other % of Ttl Revenues</t>
  </si>
  <si>
    <t>Other Fees &amp; Comm. % of Ttl Revenues</t>
  </si>
  <si>
    <t>Net Card Fee % of Ttl Revenues</t>
  </si>
  <si>
    <t>Discount Revenue % of Ttl Revenues</t>
  </si>
  <si>
    <t>Ttl Revenues net of Interest Expense</t>
  </si>
  <si>
    <t>Provisions for Credit Losses</t>
  </si>
  <si>
    <t>Expenses</t>
  </si>
  <si>
    <t>Pretax Income</t>
  </si>
  <si>
    <t>Taxes</t>
  </si>
  <si>
    <t>EPS</t>
  </si>
  <si>
    <t>More</t>
  </si>
  <si>
    <t>Institutional Ownership Snapshot (7/10/2025)</t>
  </si>
  <si>
    <t>7/9/2025</t>
  </si>
  <si>
    <t>Q1'25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</si>
</sst>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0.0"/>
    <numFmt numFmtId="166" formatCode="_(&quot;$&quot;* #,##0.0_);_(&quot;$&quot;* \(#,##0.0\);_(&quot;$&quot;* &quot;-&quot;??_);_(@_)"/>
  </numFmts>
  <fonts count="18">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name val="Arial"/>
      <family val="2"/>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15" fillId="0" borderId="0" applyNumberFormat="0" applyFill="0" applyBorder="0" applyAlignment="0" applyProtection="0"/>
  </cellStyleXfs>
  <cellXfs count="53">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44" fontId="2" fillId="0" borderId="0" xfId="0" applyNumberFormat="1" applyFont="1" applyAlignment="1">
      <alignment horizontal="right" indent="1"/>
    </xf>
    <xf numFmtId="164" fontId="2" fillId="0" borderId="0" xfId="0" applyNumberFormat="1" applyFont="1" applyAlignment="1">
      <alignment horizontal="right" indent="1"/>
    </xf>
    <xf numFmtId="0" fontId="16" fillId="0" borderId="0" xfId="3" applyFont="1"/>
    <xf numFmtId="165" fontId="2" fillId="0" borderId="0" xfId="0" applyNumberFormat="1" applyFont="1" applyAlignment="1">
      <alignment horizontal="left" indent="4"/>
    </xf>
    <xf numFmtId="164" fontId="2" fillId="0" borderId="0" xfId="2" applyNumberFormat="1" applyFont="1" applyAlignment="1">
      <alignment horizontal="right"/>
    </xf>
    <xf numFmtId="164" fontId="2" fillId="0" borderId="0" xfId="0" applyNumberFormat="1" applyFont="1" applyAlignment="1">
      <alignment horizontal="right"/>
    </xf>
    <xf numFmtId="166" fontId="2" fillId="0" borderId="0" xfId="0" applyNumberFormat="1" applyFont="1" applyAlignment="1">
      <alignment horizontal="right" indent="1"/>
    </xf>
    <xf numFmtId="0" fontId="17" fillId="0" borderId="0" xfId="0" applyFont="1"/>
    <xf numFmtId="0" fontId="0" fillId="0" borderId="18" xfId="0" applyBorder="1"/>
    <xf numFmtId="0" fontId="9" fillId="0" borderId="17" xfId="0" applyFont="1" applyBorder="1" applyAlignment="1">
      <alignment horizontal="center"/>
    </xf>
  </cellXfs>
  <cellStyles count="4">
    <cellStyle name="Currency" xfId="2" builtinId="4"/>
    <cellStyle name="Hyperlink" xfId="3"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(AXP)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0"/>
          <c:order val="0"/>
          <c:tx>
            <c:strRef>
              <c:f>[1]Model!$B$6</c:f>
              <c:strCache>
                <c:ptCount val="1"/>
                <c:pt idx="0">
                  <c:v>Medical</c:v>
                </c:pt>
              </c:strCache>
            </c:strRef>
          </c:tx>
          <c:spPr>
            <a:solidFill>
              <a:schemeClr val="accent5">
                <a:lumMod val="50000"/>
              </a:schemeClr>
            </a:solidFill>
            <a:ln>
              <a:noFill/>
            </a:ln>
            <a:effectLst/>
          </c:spPr>
          <c:invertIfNegative val="0"/>
          <c:cat>
            <c:strRef>
              <c:f>[1]Model!$AW$1:$BQ$1</c:f>
              <c:strCache>
                <c:ptCount val="21"/>
                <c:pt idx="0">
                  <c:v>Q1 2020</c:v>
                </c:pt>
                <c:pt idx="2">
                  <c:v>Q1 2021</c:v>
                </c:pt>
                <c:pt idx="4">
                  <c:v>Q1 2021</c:v>
                </c:pt>
                <c:pt idx="6">
                  <c:v>Q1 2022</c:v>
                </c:pt>
                <c:pt idx="8">
                  <c:v>Q1 2022</c:v>
                </c:pt>
                <c:pt idx="10">
                  <c:v>Q1 2023</c:v>
                </c:pt>
                <c:pt idx="12">
                  <c:v>Q1 2023</c:v>
                </c:pt>
                <c:pt idx="14">
                  <c:v>Q1 2024</c:v>
                </c:pt>
                <c:pt idx="16">
                  <c:v>Q1 2024</c:v>
                </c:pt>
                <c:pt idx="18">
                  <c:v>Q1 2025</c:v>
                </c:pt>
                <c:pt idx="20">
                  <c:v>Q1 2025</c:v>
                </c:pt>
              </c:strCache>
            </c:strRef>
          </c:cat>
          <c:val>
            <c:numRef>
              <c:f>[1]Model!$AW$6:$BQ$6</c:f>
              <c:numCache>
                <c:formatCode>General</c:formatCode>
                <c:ptCount val="21"/>
                <c:pt idx="0">
                  <c:v>600</c:v>
                </c:pt>
                <c:pt idx="1">
                  <c:v>705</c:v>
                </c:pt>
                <c:pt idx="2">
                  <c:v>622</c:v>
                </c:pt>
                <c:pt idx="3">
                  <c:v>640</c:v>
                </c:pt>
                <c:pt idx="4">
                  <c:v>636</c:v>
                </c:pt>
                <c:pt idx="5">
                  <c:v>709</c:v>
                </c:pt>
                <c:pt idx="6">
                  <c:v>664</c:v>
                </c:pt>
                <c:pt idx="7">
                  <c:v>666</c:v>
                </c:pt>
                <c:pt idx="8">
                  <c:v>765</c:v>
                </c:pt>
                <c:pt idx="9">
                  <c:v>936</c:v>
                </c:pt>
                <c:pt idx="10">
                  <c:v>778</c:v>
                </c:pt>
                <c:pt idx="11">
                  <c:v>841</c:v>
                </c:pt>
                <c:pt idx="12">
                  <c:v>798</c:v>
                </c:pt>
                <c:pt idx="13">
                  <c:v>1042</c:v>
                </c:pt>
                <c:pt idx="14">
                  <c:v>864</c:v>
                </c:pt>
                <c:pt idx="15">
                  <c:v>908</c:v>
                </c:pt>
                <c:pt idx="16">
                  <c:v>938</c:v>
                </c:pt>
                <c:pt idx="17">
                  <c:v>1142</c:v>
                </c:pt>
                <c:pt idx="18">
                  <c:v>945</c:v>
                </c:pt>
              </c:numCache>
            </c:numRef>
          </c:val>
          <c:extLst>
            <c:ext xmlns:c16="http://schemas.microsoft.com/office/drawing/2014/chart" uri="{C3380CC4-5D6E-409C-BE32-E72D297353CC}">
              <c16:uniqueId val="{00000000-763E-43B3-B662-D76C6E829219}"/>
            </c:ext>
          </c:extLst>
        </c:ser>
        <c:ser>
          <c:idx val="1"/>
          <c:order val="1"/>
          <c:tx>
            <c:strRef>
              <c:f>[1]Model!$B$12</c:f>
              <c:strCache>
                <c:ptCount val="1"/>
                <c:pt idx="0">
                  <c:v>Trauma and Extremities</c:v>
                </c:pt>
              </c:strCache>
            </c:strRef>
          </c:tx>
          <c:spPr>
            <a:solidFill>
              <a:schemeClr val="accent5">
                <a:lumMod val="75000"/>
              </a:schemeClr>
            </a:solidFill>
            <a:ln>
              <a:noFill/>
            </a:ln>
            <a:effectLst/>
          </c:spPr>
          <c:invertIfNegative val="0"/>
          <c:cat>
            <c:strRef>
              <c:f>[1]Model!$AW$1:$BQ$1</c:f>
              <c:strCache>
                <c:ptCount val="21"/>
                <c:pt idx="0">
                  <c:v>Q1 2020</c:v>
                </c:pt>
                <c:pt idx="2">
                  <c:v>Q1 2021</c:v>
                </c:pt>
                <c:pt idx="4">
                  <c:v>Q1 2021</c:v>
                </c:pt>
                <c:pt idx="6">
                  <c:v>Q1 2022</c:v>
                </c:pt>
                <c:pt idx="8">
                  <c:v>Q1 2022</c:v>
                </c:pt>
                <c:pt idx="10">
                  <c:v>Q1 2023</c:v>
                </c:pt>
                <c:pt idx="12">
                  <c:v>Q1 2023</c:v>
                </c:pt>
                <c:pt idx="14">
                  <c:v>Q1 2024</c:v>
                </c:pt>
                <c:pt idx="16">
                  <c:v>Q1 2024</c:v>
                </c:pt>
                <c:pt idx="18">
                  <c:v>Q1 2025</c:v>
                </c:pt>
                <c:pt idx="20">
                  <c:v>Q1 2025</c:v>
                </c:pt>
              </c:strCache>
            </c:strRef>
          </c:cat>
          <c:val>
            <c:numRef>
              <c:f>[1]Model!$AW$12:$BQ$12</c:f>
              <c:numCache>
                <c:formatCode>General</c:formatCode>
                <c:ptCount val="21"/>
                <c:pt idx="0">
                  <c:v>430</c:v>
                </c:pt>
                <c:pt idx="1">
                  <c:v>570</c:v>
                </c:pt>
                <c:pt idx="2">
                  <c:v>640</c:v>
                </c:pt>
                <c:pt idx="3">
                  <c:v>674</c:v>
                </c:pt>
                <c:pt idx="4">
                  <c:v>639</c:v>
                </c:pt>
                <c:pt idx="5">
                  <c:v>711</c:v>
                </c:pt>
                <c:pt idx="6">
                  <c:v>685</c:v>
                </c:pt>
                <c:pt idx="7">
                  <c:v>676</c:v>
                </c:pt>
                <c:pt idx="8">
                  <c:v>672</c:v>
                </c:pt>
                <c:pt idx="9">
                  <c:v>774</c:v>
                </c:pt>
                <c:pt idx="10">
                  <c:v>769</c:v>
                </c:pt>
                <c:pt idx="11">
                  <c:v>766</c:v>
                </c:pt>
                <c:pt idx="12">
                  <c:v>752</c:v>
                </c:pt>
                <c:pt idx="13">
                  <c:v>860</c:v>
                </c:pt>
                <c:pt idx="14">
                  <c:v>830</c:v>
                </c:pt>
                <c:pt idx="15">
                  <c:v>832</c:v>
                </c:pt>
                <c:pt idx="16">
                  <c:v>849</c:v>
                </c:pt>
                <c:pt idx="17">
                  <c:v>996</c:v>
                </c:pt>
                <c:pt idx="18">
                  <c:v>945</c:v>
                </c:pt>
              </c:numCache>
            </c:numRef>
          </c:val>
          <c:extLst>
            <c:ext xmlns:c16="http://schemas.microsoft.com/office/drawing/2014/chart" uri="{C3380CC4-5D6E-409C-BE32-E72D297353CC}">
              <c16:uniqueId val="{00000001-763E-43B3-B662-D76C6E829219}"/>
            </c:ext>
          </c:extLst>
        </c:ser>
        <c:ser>
          <c:idx val="2"/>
          <c:order val="2"/>
          <c:tx>
            <c:strRef>
              <c:f>[1]Model!$B$5</c:f>
              <c:strCache>
                <c:ptCount val="1"/>
                <c:pt idx="0">
                  <c:v>Endoscopy</c:v>
                </c:pt>
              </c:strCache>
            </c:strRef>
          </c:tx>
          <c:spPr>
            <a:solidFill>
              <a:srgbClr val="5881CC"/>
            </a:solidFill>
            <a:ln>
              <a:noFill/>
            </a:ln>
            <a:effectLst/>
          </c:spPr>
          <c:invertIfNegative val="0"/>
          <c:cat>
            <c:strRef>
              <c:f>[1]Model!$AW$1:$BQ$1</c:f>
              <c:strCache>
                <c:ptCount val="21"/>
                <c:pt idx="0">
                  <c:v>Q1 2020</c:v>
                </c:pt>
                <c:pt idx="2">
                  <c:v>Q1 2021</c:v>
                </c:pt>
                <c:pt idx="4">
                  <c:v>Q1 2021</c:v>
                </c:pt>
                <c:pt idx="6">
                  <c:v>Q1 2022</c:v>
                </c:pt>
                <c:pt idx="8">
                  <c:v>Q1 2022</c:v>
                </c:pt>
                <c:pt idx="10">
                  <c:v>Q1 2023</c:v>
                </c:pt>
                <c:pt idx="12">
                  <c:v>Q1 2023</c:v>
                </c:pt>
                <c:pt idx="14">
                  <c:v>Q1 2024</c:v>
                </c:pt>
                <c:pt idx="16">
                  <c:v>Q1 2024</c:v>
                </c:pt>
                <c:pt idx="18">
                  <c:v>Q1 2025</c:v>
                </c:pt>
                <c:pt idx="20">
                  <c:v>Q1 2025</c:v>
                </c:pt>
              </c:strCache>
            </c:strRef>
          </c:cat>
          <c:val>
            <c:numRef>
              <c:f>[1]Model!$AW$5:$BQ$5</c:f>
              <c:numCache>
                <c:formatCode>General</c:formatCode>
                <c:ptCount val="21"/>
                <c:pt idx="0">
                  <c:v>467</c:v>
                </c:pt>
                <c:pt idx="1">
                  <c:v>525</c:v>
                </c:pt>
                <c:pt idx="2">
                  <c:v>469</c:v>
                </c:pt>
                <c:pt idx="3">
                  <c:v>518</c:v>
                </c:pt>
                <c:pt idx="4">
                  <c:v>525</c:v>
                </c:pt>
                <c:pt idx="5">
                  <c:v>629</c:v>
                </c:pt>
                <c:pt idx="6">
                  <c:v>538</c:v>
                </c:pt>
                <c:pt idx="7">
                  <c:v>600</c:v>
                </c:pt>
                <c:pt idx="8">
                  <c:v>590</c:v>
                </c:pt>
                <c:pt idx="9">
                  <c:v>997</c:v>
                </c:pt>
                <c:pt idx="10">
                  <c:v>707</c:v>
                </c:pt>
                <c:pt idx="11">
                  <c:v>713</c:v>
                </c:pt>
                <c:pt idx="12">
                  <c:v>746</c:v>
                </c:pt>
                <c:pt idx="13">
                  <c:v>902</c:v>
                </c:pt>
                <c:pt idx="14">
                  <c:v>778</c:v>
                </c:pt>
                <c:pt idx="15">
                  <c:v>768</c:v>
                </c:pt>
                <c:pt idx="16">
                  <c:v>837</c:v>
                </c:pt>
                <c:pt idx="17">
                  <c:v>1006</c:v>
                </c:pt>
                <c:pt idx="18">
                  <c:v>867</c:v>
                </c:pt>
              </c:numCache>
            </c:numRef>
          </c:val>
          <c:extLst>
            <c:ext xmlns:c16="http://schemas.microsoft.com/office/drawing/2014/chart" uri="{C3380CC4-5D6E-409C-BE32-E72D297353CC}">
              <c16:uniqueId val="{00000002-763E-43B3-B662-D76C6E829219}"/>
            </c:ext>
          </c:extLst>
        </c:ser>
        <c:ser>
          <c:idx val="3"/>
          <c:order val="3"/>
          <c:tx>
            <c:strRef>
              <c:f>[1]Model!$B$4</c:f>
              <c:strCache>
                <c:ptCount val="1"/>
                <c:pt idx="0">
                  <c:v>Instruments</c:v>
                </c:pt>
              </c:strCache>
            </c:strRef>
          </c:tx>
          <c:spPr>
            <a:solidFill>
              <a:schemeClr val="accent1">
                <a:lumMod val="60000"/>
                <a:lumOff val="40000"/>
              </a:schemeClr>
            </a:solidFill>
            <a:ln>
              <a:noFill/>
            </a:ln>
            <a:effectLst/>
          </c:spPr>
          <c:invertIfNegative val="0"/>
          <c:cat>
            <c:strRef>
              <c:f>[1]Model!$AW$1:$BQ$1</c:f>
              <c:strCache>
                <c:ptCount val="21"/>
                <c:pt idx="0">
                  <c:v>Q1 2020</c:v>
                </c:pt>
                <c:pt idx="2">
                  <c:v>Q1 2021</c:v>
                </c:pt>
                <c:pt idx="4">
                  <c:v>Q1 2021</c:v>
                </c:pt>
                <c:pt idx="6">
                  <c:v>Q1 2022</c:v>
                </c:pt>
                <c:pt idx="8">
                  <c:v>Q1 2022</c:v>
                </c:pt>
                <c:pt idx="10">
                  <c:v>Q1 2023</c:v>
                </c:pt>
                <c:pt idx="12">
                  <c:v>Q1 2023</c:v>
                </c:pt>
                <c:pt idx="14">
                  <c:v>Q1 2024</c:v>
                </c:pt>
                <c:pt idx="16">
                  <c:v>Q1 2024</c:v>
                </c:pt>
                <c:pt idx="18">
                  <c:v>Q1 2025</c:v>
                </c:pt>
                <c:pt idx="20">
                  <c:v>Q1 2025</c:v>
                </c:pt>
              </c:strCache>
            </c:strRef>
          </c:cat>
          <c:val>
            <c:numRef>
              <c:f>[1]Model!$AW$4:$BQ$4</c:f>
              <c:numCache>
                <c:formatCode>General</c:formatCode>
                <c:ptCount val="21"/>
                <c:pt idx="0">
                  <c:v>467</c:v>
                </c:pt>
                <c:pt idx="1">
                  <c:v>555</c:v>
                </c:pt>
                <c:pt idx="2">
                  <c:v>469</c:v>
                </c:pt>
                <c:pt idx="3">
                  <c:v>517</c:v>
                </c:pt>
                <c:pt idx="4">
                  <c:v>525</c:v>
                </c:pt>
                <c:pt idx="5">
                  <c:v>600</c:v>
                </c:pt>
                <c:pt idx="6">
                  <c:v>528</c:v>
                </c:pt>
                <c:pt idx="7">
                  <c:v>563</c:v>
                </c:pt>
                <c:pt idx="8">
                  <c:v>535</c:v>
                </c:pt>
                <c:pt idx="9">
                  <c:v>653</c:v>
                </c:pt>
                <c:pt idx="10">
                  <c:v>566</c:v>
                </c:pt>
                <c:pt idx="11">
                  <c:v>622</c:v>
                </c:pt>
                <c:pt idx="12">
                  <c:v>620</c:v>
                </c:pt>
                <c:pt idx="13">
                  <c:v>726</c:v>
                </c:pt>
                <c:pt idx="14">
                  <c:v>667</c:v>
                </c:pt>
                <c:pt idx="15">
                  <c:v>698</c:v>
                </c:pt>
                <c:pt idx="16">
                  <c:v>679</c:v>
                </c:pt>
                <c:pt idx="17">
                  <c:v>790</c:v>
                </c:pt>
                <c:pt idx="18">
                  <c:v>730</c:v>
                </c:pt>
              </c:numCache>
            </c:numRef>
          </c:val>
          <c:extLst>
            <c:ext xmlns:c16="http://schemas.microsoft.com/office/drawing/2014/chart" uri="{C3380CC4-5D6E-409C-BE32-E72D297353CC}">
              <c16:uniqueId val="{00000003-763E-43B3-B662-D76C6E829219}"/>
            </c:ext>
          </c:extLst>
        </c:ser>
        <c:ser>
          <c:idx val="4"/>
          <c:order val="4"/>
          <c:tx>
            <c:strRef>
              <c:f>[1]Model!$B$10</c:f>
              <c:strCache>
                <c:ptCount val="1"/>
                <c:pt idx="0">
                  <c:v>Knees</c:v>
                </c:pt>
              </c:strCache>
            </c:strRef>
          </c:tx>
          <c:spPr>
            <a:solidFill>
              <a:srgbClr val="CDE1F3"/>
            </a:solidFill>
            <a:ln>
              <a:noFill/>
            </a:ln>
            <a:effectLst/>
          </c:spPr>
          <c:invertIfNegative val="0"/>
          <c:cat>
            <c:strRef>
              <c:f>[1]Model!$AW$1:$BQ$1</c:f>
              <c:strCache>
                <c:ptCount val="21"/>
                <c:pt idx="0">
                  <c:v>Q1 2020</c:v>
                </c:pt>
                <c:pt idx="2">
                  <c:v>Q1 2021</c:v>
                </c:pt>
                <c:pt idx="4">
                  <c:v>Q1 2021</c:v>
                </c:pt>
                <c:pt idx="6">
                  <c:v>Q1 2022</c:v>
                </c:pt>
                <c:pt idx="8">
                  <c:v>Q1 2022</c:v>
                </c:pt>
                <c:pt idx="10">
                  <c:v>Q1 2023</c:v>
                </c:pt>
                <c:pt idx="12">
                  <c:v>Q1 2023</c:v>
                </c:pt>
                <c:pt idx="14">
                  <c:v>Q1 2024</c:v>
                </c:pt>
                <c:pt idx="16">
                  <c:v>Q1 2024</c:v>
                </c:pt>
                <c:pt idx="18">
                  <c:v>Q1 2025</c:v>
                </c:pt>
                <c:pt idx="20">
                  <c:v>Q1 2025</c:v>
                </c:pt>
              </c:strCache>
            </c:strRef>
          </c:cat>
          <c:val>
            <c:numRef>
              <c:f>[1]Model!$AW$10:$BQ$10</c:f>
              <c:numCache>
                <c:formatCode>General</c:formatCode>
                <c:ptCount val="21"/>
                <c:pt idx="0">
                  <c:v>435</c:v>
                </c:pt>
                <c:pt idx="1">
                  <c:v>459</c:v>
                </c:pt>
                <c:pt idx="2">
                  <c:v>412</c:v>
                </c:pt>
                <c:pt idx="3">
                  <c:v>474</c:v>
                </c:pt>
                <c:pt idx="4">
                  <c:v>439</c:v>
                </c:pt>
                <c:pt idx="5">
                  <c:v>523</c:v>
                </c:pt>
                <c:pt idx="6">
                  <c:v>464</c:v>
                </c:pt>
                <c:pt idx="7">
                  <c:v>500</c:v>
                </c:pt>
                <c:pt idx="8">
                  <c:v>481</c:v>
                </c:pt>
                <c:pt idx="9">
                  <c:v>552</c:v>
                </c:pt>
                <c:pt idx="10">
                  <c:v>566</c:v>
                </c:pt>
                <c:pt idx="11">
                  <c:v>562</c:v>
                </c:pt>
                <c:pt idx="12">
                  <c:v>515</c:v>
                </c:pt>
                <c:pt idx="13">
                  <c:v>630</c:v>
                </c:pt>
                <c:pt idx="14">
                  <c:v>588</c:v>
                </c:pt>
                <c:pt idx="15">
                  <c:v>602</c:v>
                </c:pt>
                <c:pt idx="16">
                  <c:v>570</c:v>
                </c:pt>
                <c:pt idx="17">
                  <c:v>687</c:v>
                </c:pt>
                <c:pt idx="18">
                  <c:v>639</c:v>
                </c:pt>
              </c:numCache>
            </c:numRef>
          </c:val>
          <c:extLst>
            <c:ext xmlns:c16="http://schemas.microsoft.com/office/drawing/2014/chart" uri="{C3380CC4-5D6E-409C-BE32-E72D297353CC}">
              <c16:uniqueId val="{00000004-763E-43B3-B662-D76C6E829219}"/>
            </c:ext>
          </c:extLst>
        </c:ser>
        <c:ser>
          <c:idx val="5"/>
          <c:order val="5"/>
          <c:tx>
            <c:strRef>
              <c:f>[1]Model!$B$8</c:f>
              <c:strCache>
                <c:ptCount val="1"/>
                <c:pt idx="0">
                  <c:v>Neuro Cranial</c:v>
                </c:pt>
              </c:strCache>
            </c:strRef>
          </c:tx>
          <c:spPr>
            <a:solidFill>
              <a:srgbClr val="94346D"/>
            </a:solidFill>
            <a:ln>
              <a:noFill/>
            </a:ln>
            <a:effectLst/>
          </c:spPr>
          <c:invertIfNegative val="0"/>
          <c:cat>
            <c:strRef>
              <c:f>[1]Model!$AW$1:$BQ$1</c:f>
              <c:strCache>
                <c:ptCount val="21"/>
                <c:pt idx="0">
                  <c:v>Q1 2020</c:v>
                </c:pt>
                <c:pt idx="2">
                  <c:v>Q1 2021</c:v>
                </c:pt>
                <c:pt idx="4">
                  <c:v>Q1 2021</c:v>
                </c:pt>
                <c:pt idx="6">
                  <c:v>Q1 2022</c:v>
                </c:pt>
                <c:pt idx="8">
                  <c:v>Q1 2022</c:v>
                </c:pt>
                <c:pt idx="10">
                  <c:v>Q1 2023</c:v>
                </c:pt>
                <c:pt idx="12">
                  <c:v>Q1 2023</c:v>
                </c:pt>
                <c:pt idx="14">
                  <c:v>Q1 2024</c:v>
                </c:pt>
                <c:pt idx="16">
                  <c:v>Q1 2024</c:v>
                </c:pt>
                <c:pt idx="18">
                  <c:v>Q1 2025</c:v>
                </c:pt>
                <c:pt idx="20">
                  <c:v>Q1 2025</c:v>
                </c:pt>
              </c:strCache>
            </c:strRef>
          </c:cat>
          <c:val>
            <c:numRef>
              <c:f>[1]Model!$AW$8:$BQ$8</c:f>
              <c:numCache>
                <c:formatCode>General</c:formatCode>
                <c:ptCount val="21"/>
                <c:pt idx="0">
                  <c:v>518</c:v>
                </c:pt>
                <c:pt idx="1">
                  <c:v>312</c:v>
                </c:pt>
                <c:pt idx="2">
                  <c:v>281</c:v>
                </c:pt>
                <c:pt idx="3">
                  <c:v>310</c:v>
                </c:pt>
                <c:pt idx="4">
                  <c:v>299</c:v>
                </c:pt>
                <c:pt idx="5">
                  <c:v>324</c:v>
                </c:pt>
                <c:pt idx="6">
                  <c:v>323</c:v>
                </c:pt>
                <c:pt idx="7">
                  <c:v>337</c:v>
                </c:pt>
                <c:pt idx="8">
                  <c:v>332</c:v>
                </c:pt>
                <c:pt idx="9">
                  <c:v>384</c:v>
                </c:pt>
                <c:pt idx="10">
                  <c:v>355</c:v>
                </c:pt>
                <c:pt idx="11">
                  <c:v>373</c:v>
                </c:pt>
                <c:pt idx="12">
                  <c:v>384</c:v>
                </c:pt>
                <c:pt idx="13">
                  <c:v>764</c:v>
                </c:pt>
                <c:pt idx="14">
                  <c:v>478</c:v>
                </c:pt>
                <c:pt idx="15">
                  <c:v>416</c:v>
                </c:pt>
                <c:pt idx="16">
                  <c:v>441</c:v>
                </c:pt>
                <c:pt idx="17">
                  <c:v>801</c:v>
                </c:pt>
                <c:pt idx="18">
                  <c:v>563</c:v>
                </c:pt>
              </c:numCache>
            </c:numRef>
          </c:val>
          <c:extLst>
            <c:ext xmlns:c16="http://schemas.microsoft.com/office/drawing/2014/chart" uri="{C3380CC4-5D6E-409C-BE32-E72D297353CC}">
              <c16:uniqueId val="{00000005-763E-43B3-B662-D76C6E829219}"/>
            </c:ext>
          </c:extLst>
        </c:ser>
        <c:ser>
          <c:idx val="6"/>
          <c:order val="6"/>
          <c:tx>
            <c:strRef>
              <c:f>[1]Model!$B$11</c:f>
              <c:strCache>
                <c:ptCount val="1"/>
                <c:pt idx="0">
                  <c:v>Hips</c:v>
                </c:pt>
              </c:strCache>
            </c:strRef>
          </c:tx>
          <c:spPr>
            <a:solidFill>
              <a:srgbClr val="B03E82"/>
            </a:solidFill>
            <a:ln>
              <a:noFill/>
            </a:ln>
            <a:effectLst/>
          </c:spPr>
          <c:invertIfNegative val="0"/>
          <c:cat>
            <c:strRef>
              <c:f>[1]Model!$AW$1:$BQ$1</c:f>
              <c:strCache>
                <c:ptCount val="21"/>
                <c:pt idx="0">
                  <c:v>Q1 2020</c:v>
                </c:pt>
                <c:pt idx="2">
                  <c:v>Q1 2021</c:v>
                </c:pt>
                <c:pt idx="4">
                  <c:v>Q1 2021</c:v>
                </c:pt>
                <c:pt idx="6">
                  <c:v>Q1 2022</c:v>
                </c:pt>
                <c:pt idx="8">
                  <c:v>Q1 2022</c:v>
                </c:pt>
                <c:pt idx="10">
                  <c:v>Q1 2023</c:v>
                </c:pt>
                <c:pt idx="12">
                  <c:v>Q1 2023</c:v>
                </c:pt>
                <c:pt idx="14">
                  <c:v>Q1 2024</c:v>
                </c:pt>
                <c:pt idx="16">
                  <c:v>Q1 2024</c:v>
                </c:pt>
                <c:pt idx="18">
                  <c:v>Q1 2025</c:v>
                </c:pt>
                <c:pt idx="20">
                  <c:v>Q1 2025</c:v>
                </c:pt>
              </c:strCache>
            </c:strRef>
          </c:cat>
          <c:val>
            <c:numRef>
              <c:f>[1]Model!$AW$11:$BQ$11</c:f>
              <c:numCache>
                <c:formatCode>General</c:formatCode>
                <c:ptCount val="21"/>
                <c:pt idx="0">
                  <c:v>334</c:v>
                </c:pt>
                <c:pt idx="1">
                  <c:v>340</c:v>
                </c:pt>
                <c:pt idx="2">
                  <c:v>309</c:v>
                </c:pt>
                <c:pt idx="3">
                  <c:v>353</c:v>
                </c:pt>
                <c:pt idx="4">
                  <c:v>328</c:v>
                </c:pt>
                <c:pt idx="5">
                  <c:v>352</c:v>
                </c:pt>
                <c:pt idx="6">
                  <c:v>327</c:v>
                </c:pt>
                <c:pt idx="7">
                  <c:v>364</c:v>
                </c:pt>
                <c:pt idx="8">
                  <c:v>347</c:v>
                </c:pt>
                <c:pt idx="9">
                  <c:v>375</c:v>
                </c:pt>
                <c:pt idx="10">
                  <c:v>375</c:v>
                </c:pt>
                <c:pt idx="11">
                  <c:v>393</c:v>
                </c:pt>
                <c:pt idx="12">
                  <c:v>362</c:v>
                </c:pt>
                <c:pt idx="13">
                  <c:v>414</c:v>
                </c:pt>
                <c:pt idx="14">
                  <c:v>393</c:v>
                </c:pt>
                <c:pt idx="15">
                  <c:v>428</c:v>
                </c:pt>
                <c:pt idx="16">
                  <c:v>420</c:v>
                </c:pt>
                <c:pt idx="17">
                  <c:v>463</c:v>
                </c:pt>
                <c:pt idx="18">
                  <c:v>443</c:v>
                </c:pt>
              </c:numCache>
            </c:numRef>
          </c:val>
          <c:extLst>
            <c:ext xmlns:c16="http://schemas.microsoft.com/office/drawing/2014/chart" uri="{C3380CC4-5D6E-409C-BE32-E72D297353CC}">
              <c16:uniqueId val="{00000006-763E-43B3-B662-D76C6E829219}"/>
            </c:ext>
          </c:extLst>
        </c:ser>
        <c:ser>
          <c:idx val="7"/>
          <c:order val="7"/>
          <c:tx>
            <c:strRef>
              <c:f>[1]Model!$B$7</c:f>
              <c:strCache>
                <c:ptCount val="1"/>
                <c:pt idx="0">
                  <c:v>Vascular</c:v>
                </c:pt>
              </c:strCache>
            </c:strRef>
          </c:tx>
          <c:spPr>
            <a:solidFill>
              <a:srgbClr val="CF73AA"/>
            </a:solidFill>
            <a:ln>
              <a:noFill/>
            </a:ln>
            <a:effectLst/>
          </c:spPr>
          <c:invertIfNegative val="0"/>
          <c:cat>
            <c:strRef>
              <c:f>[1]Model!$AW$1:$BQ$1</c:f>
              <c:strCache>
                <c:ptCount val="21"/>
                <c:pt idx="0">
                  <c:v>Q1 2020</c:v>
                </c:pt>
                <c:pt idx="2">
                  <c:v>Q1 2021</c:v>
                </c:pt>
                <c:pt idx="4">
                  <c:v>Q1 2021</c:v>
                </c:pt>
                <c:pt idx="6">
                  <c:v>Q1 2022</c:v>
                </c:pt>
                <c:pt idx="8">
                  <c:v>Q1 2022</c:v>
                </c:pt>
                <c:pt idx="10">
                  <c:v>Q1 2023</c:v>
                </c:pt>
                <c:pt idx="12">
                  <c:v>Q1 2023</c:v>
                </c:pt>
                <c:pt idx="14">
                  <c:v>Q1 2024</c:v>
                </c:pt>
                <c:pt idx="16">
                  <c:v>Q1 2024</c:v>
                </c:pt>
                <c:pt idx="18">
                  <c:v>Q1 2025</c:v>
                </c:pt>
                <c:pt idx="20">
                  <c:v>Q1 2025</c:v>
                </c:pt>
              </c:strCache>
            </c:strRef>
          </c:cat>
          <c:val>
            <c:numRef>
              <c:f>[1]Model!$AW$7:$BQ$7</c:f>
              <c:numCache>
                <c:formatCode>General</c:formatCode>
                <c:ptCount val="21"/>
                <c:pt idx="0">
                  <c:v>66</c:v>
                </c:pt>
                <c:pt idx="1">
                  <c:v>82</c:v>
                </c:pt>
                <c:pt idx="2">
                  <c:v>289</c:v>
                </c:pt>
                <c:pt idx="3">
                  <c:v>301</c:v>
                </c:pt>
                <c:pt idx="4">
                  <c:v>295</c:v>
                </c:pt>
                <c:pt idx="5">
                  <c:v>303</c:v>
                </c:pt>
                <c:pt idx="6">
                  <c:v>301</c:v>
                </c:pt>
                <c:pt idx="7">
                  <c:v>306</c:v>
                </c:pt>
                <c:pt idx="8">
                  <c:v>294</c:v>
                </c:pt>
                <c:pt idx="9">
                  <c:v>299</c:v>
                </c:pt>
                <c:pt idx="10">
                  <c:v>284</c:v>
                </c:pt>
                <c:pt idx="11">
                  <c:v>311</c:v>
                </c:pt>
                <c:pt idx="12">
                  <c:v>311</c:v>
                </c:pt>
                <c:pt idx="13">
                  <c:v>320</c:v>
                </c:pt>
                <c:pt idx="14">
                  <c:v>310</c:v>
                </c:pt>
                <c:pt idx="15">
                  <c:v>327</c:v>
                </c:pt>
                <c:pt idx="16">
                  <c:v>329</c:v>
                </c:pt>
                <c:pt idx="17">
                  <c:v>341</c:v>
                </c:pt>
                <c:pt idx="18">
                  <c:v>406</c:v>
                </c:pt>
              </c:numCache>
            </c:numRef>
          </c:val>
          <c:extLst>
            <c:ext xmlns:c16="http://schemas.microsoft.com/office/drawing/2014/chart" uri="{C3380CC4-5D6E-409C-BE32-E72D297353CC}">
              <c16:uniqueId val="{00000007-763E-43B3-B662-D76C6E829219}"/>
            </c:ext>
          </c:extLst>
        </c:ser>
        <c:ser>
          <c:idx val="8"/>
          <c:order val="8"/>
          <c:tx>
            <c:strRef>
              <c:f>[1]Model!$B$13</c:f>
              <c:strCache>
                <c:ptCount val="1"/>
                <c:pt idx="0">
                  <c:v>Spinal Implants</c:v>
                </c:pt>
              </c:strCache>
            </c:strRef>
          </c:tx>
          <c:spPr>
            <a:solidFill>
              <a:srgbClr val="E1A9CA"/>
            </a:solidFill>
            <a:ln>
              <a:noFill/>
            </a:ln>
            <a:effectLst/>
          </c:spPr>
          <c:invertIfNegative val="0"/>
          <c:cat>
            <c:strRef>
              <c:f>[1]Model!$AW$1:$BQ$1</c:f>
              <c:strCache>
                <c:ptCount val="21"/>
                <c:pt idx="0">
                  <c:v>Q1 2020</c:v>
                </c:pt>
                <c:pt idx="2">
                  <c:v>Q1 2021</c:v>
                </c:pt>
                <c:pt idx="4">
                  <c:v>Q1 2021</c:v>
                </c:pt>
                <c:pt idx="6">
                  <c:v>Q1 2022</c:v>
                </c:pt>
                <c:pt idx="8">
                  <c:v>Q1 2022</c:v>
                </c:pt>
                <c:pt idx="10">
                  <c:v>Q1 2023</c:v>
                </c:pt>
                <c:pt idx="12">
                  <c:v>Q1 2023</c:v>
                </c:pt>
                <c:pt idx="14">
                  <c:v>Q1 2024</c:v>
                </c:pt>
                <c:pt idx="16">
                  <c:v>Q1 2024</c:v>
                </c:pt>
                <c:pt idx="18">
                  <c:v>Q1 2025</c:v>
                </c:pt>
                <c:pt idx="20">
                  <c:v>Q1 2025</c:v>
                </c:pt>
              </c:strCache>
            </c:strRef>
          </c:cat>
          <c:val>
            <c:numRef>
              <c:f>[1]Model!$AW$13:$BQ$13</c:f>
              <c:numCache>
                <c:formatCode>General</c:formatCode>
                <c:ptCount val="21"/>
                <c:pt idx="0">
                  <c:v>302</c:v>
                </c:pt>
                <c:pt idx="1">
                  <c:v>307</c:v>
                </c:pt>
                <c:pt idx="2">
                  <c:v>278</c:v>
                </c:pt>
                <c:pt idx="3">
                  <c:v>307</c:v>
                </c:pt>
                <c:pt idx="4">
                  <c:v>282</c:v>
                </c:pt>
                <c:pt idx="5">
                  <c:v>300</c:v>
                </c:pt>
                <c:pt idx="6">
                  <c:v>279</c:v>
                </c:pt>
                <c:pt idx="7">
                  <c:v>290</c:v>
                </c:pt>
                <c:pt idx="8">
                  <c:v>280</c:v>
                </c:pt>
                <c:pt idx="9">
                  <c:v>297</c:v>
                </c:pt>
                <c:pt idx="10">
                  <c:v>284</c:v>
                </c:pt>
                <c:pt idx="11">
                  <c:v>296</c:v>
                </c:pt>
                <c:pt idx="12">
                  <c:v>291</c:v>
                </c:pt>
                <c:pt idx="13">
                  <c:v>122</c:v>
                </c:pt>
                <c:pt idx="14">
                  <c:v>171</c:v>
                </c:pt>
                <c:pt idx="15">
                  <c:v>307</c:v>
                </c:pt>
                <c:pt idx="16">
                  <c:v>304</c:v>
                </c:pt>
                <c:pt idx="17">
                  <c:v>85</c:v>
                </c:pt>
                <c:pt idx="18">
                  <c:v>166</c:v>
                </c:pt>
              </c:numCache>
            </c:numRef>
          </c:val>
          <c:extLst>
            <c:ext xmlns:c16="http://schemas.microsoft.com/office/drawing/2014/chart" uri="{C3380CC4-5D6E-409C-BE32-E72D297353CC}">
              <c16:uniqueId val="{00000008-763E-43B3-B662-D76C6E829219}"/>
            </c:ext>
          </c:extLst>
        </c:ser>
        <c:ser>
          <c:idx val="9"/>
          <c:order val="9"/>
          <c:tx>
            <c:strRef>
              <c:f>[1]Model!$B$14</c:f>
              <c:strCache>
                <c:ptCount val="1"/>
                <c:pt idx="0">
                  <c:v>Other</c:v>
                </c:pt>
              </c:strCache>
            </c:strRef>
          </c:tx>
          <c:spPr>
            <a:solidFill>
              <a:srgbClr val="F0D4E5"/>
            </a:solidFill>
            <a:ln>
              <a:noFill/>
            </a:ln>
            <a:effectLst/>
          </c:spPr>
          <c:invertIfNegative val="0"/>
          <c:cat>
            <c:strRef>
              <c:f>[1]Model!$AW$1:$BQ$1</c:f>
              <c:strCache>
                <c:ptCount val="21"/>
                <c:pt idx="0">
                  <c:v>Q1 2020</c:v>
                </c:pt>
                <c:pt idx="2">
                  <c:v>Q1 2021</c:v>
                </c:pt>
                <c:pt idx="4">
                  <c:v>Q1 2021</c:v>
                </c:pt>
                <c:pt idx="6">
                  <c:v>Q1 2022</c:v>
                </c:pt>
                <c:pt idx="8">
                  <c:v>Q1 2022</c:v>
                </c:pt>
                <c:pt idx="10">
                  <c:v>Q1 2023</c:v>
                </c:pt>
                <c:pt idx="12">
                  <c:v>Q1 2023</c:v>
                </c:pt>
                <c:pt idx="14">
                  <c:v>Q1 2024</c:v>
                </c:pt>
                <c:pt idx="16">
                  <c:v>Q1 2024</c:v>
                </c:pt>
                <c:pt idx="18">
                  <c:v>Q1 2025</c:v>
                </c:pt>
                <c:pt idx="20">
                  <c:v>Q1 2025</c:v>
                </c:pt>
              </c:strCache>
            </c:strRef>
          </c:cat>
          <c:val>
            <c:numRef>
              <c:f>[1]Model!$AW$14:$BQ$14</c:f>
              <c:numCache>
                <c:formatCode>General</c:formatCode>
                <c:ptCount val="21"/>
                <c:pt idx="0">
                  <c:v>118</c:v>
                </c:pt>
                <c:pt idx="1">
                  <c:v>157</c:v>
                </c:pt>
                <c:pt idx="2">
                  <c:v>123</c:v>
                </c:pt>
                <c:pt idx="3">
                  <c:v>127</c:v>
                </c:pt>
                <c:pt idx="4">
                  <c:v>123</c:v>
                </c:pt>
                <c:pt idx="5">
                  <c:v>176</c:v>
                </c:pt>
                <c:pt idx="6">
                  <c:v>97</c:v>
                </c:pt>
                <c:pt idx="7">
                  <c:v>114</c:v>
                </c:pt>
                <c:pt idx="8">
                  <c:v>111</c:v>
                </c:pt>
                <c:pt idx="9">
                  <c:v>153</c:v>
                </c:pt>
                <c:pt idx="10">
                  <c:v>94</c:v>
                </c:pt>
                <c:pt idx="11">
                  <c:v>119</c:v>
                </c:pt>
                <c:pt idx="12">
                  <c:v>130</c:v>
                </c:pt>
                <c:pt idx="13">
                  <c:v>35</c:v>
                </c:pt>
                <c:pt idx="14">
                  <c:v>164</c:v>
                </c:pt>
                <c:pt idx="15">
                  <c:v>136</c:v>
                </c:pt>
                <c:pt idx="16">
                  <c:v>127</c:v>
                </c:pt>
                <c:pt idx="17">
                  <c:v>125</c:v>
                </c:pt>
                <c:pt idx="18">
                  <c:v>162</c:v>
                </c:pt>
              </c:numCache>
            </c:numRef>
          </c:val>
          <c:extLst>
            <c:ext xmlns:c16="http://schemas.microsoft.com/office/drawing/2014/chart" uri="{C3380CC4-5D6E-409C-BE32-E72D297353CC}">
              <c16:uniqueId val="{00000009-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(AXP)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3"/>
          <c:order val="0"/>
          <c:tx>
            <c:v>Net Income</c:v>
          </c:tx>
          <c:spPr>
            <a:solidFill>
              <a:srgbClr val="00B050"/>
            </a:solidFill>
          </c:spPr>
          <c:invertIfNegative val="0"/>
          <c:val>
            <c:numRef>
              <c:f>[1]Model!$AW$55:$BQ$55</c:f>
              <c:numCache>
                <c:formatCode>General</c:formatCode>
                <c:ptCount val="21"/>
                <c:pt idx="0">
                  <c:v>780</c:v>
                </c:pt>
                <c:pt idx="1">
                  <c:v>671</c:v>
                </c:pt>
                <c:pt idx="2">
                  <c:v>367</c:v>
                </c:pt>
                <c:pt idx="3">
                  <c:v>662</c:v>
                </c:pt>
                <c:pt idx="4">
                  <c:v>495</c:v>
                </c:pt>
                <c:pt idx="5">
                  <c:v>757</c:v>
                </c:pt>
                <c:pt idx="6">
                  <c:v>386</c:v>
                </c:pt>
                <c:pt idx="7">
                  <c:v>720</c:v>
                </c:pt>
                <c:pt idx="8">
                  <c:v>816</c:v>
                </c:pt>
                <c:pt idx="9">
                  <c:v>761</c:v>
                </c:pt>
                <c:pt idx="10">
                  <c:v>679</c:v>
                </c:pt>
                <c:pt idx="11">
                  <c:v>899</c:v>
                </c:pt>
                <c:pt idx="12">
                  <c:v>869</c:v>
                </c:pt>
                <c:pt idx="13">
                  <c:v>1226</c:v>
                </c:pt>
                <c:pt idx="14">
                  <c:v>923</c:v>
                </c:pt>
                <c:pt idx="15">
                  <c:v>998</c:v>
                </c:pt>
                <c:pt idx="16">
                  <c:v>1043</c:v>
                </c:pt>
                <c:pt idx="17">
                  <c:v>528</c:v>
                </c:pt>
                <c:pt idx="18">
                  <c:v>764</c:v>
                </c:pt>
              </c:numCache>
            </c:numRef>
          </c:val>
          <c:extLst>
            <c:ext xmlns:c16="http://schemas.microsoft.com/office/drawing/2014/chart" uri="{C3380CC4-5D6E-409C-BE32-E72D297353CC}">
              <c16:uniqueId val="{00000006-3646-4EF6-8D0F-B65629DF816B}"/>
            </c:ext>
          </c:extLst>
        </c:ser>
        <c:ser>
          <c:idx val="4"/>
          <c:order val="1"/>
          <c:tx>
            <c:v>FCF</c:v>
          </c:tx>
          <c:spPr>
            <a:solidFill>
              <a:srgbClr val="FFC000"/>
            </a:solidFill>
          </c:spPr>
          <c:invertIfNegative val="0"/>
          <c:val>
            <c:numRef>
              <c:f>[1]Model!$AW$103:$BQ$103</c:f>
              <c:numCache>
                <c:formatCode>General</c:formatCode>
                <c:ptCount val="21"/>
                <c:pt idx="0">
                  <c:v>621</c:v>
                </c:pt>
                <c:pt idx="1">
                  <c:v>568</c:v>
                </c:pt>
                <c:pt idx="2">
                  <c:v>302</c:v>
                </c:pt>
                <c:pt idx="3">
                  <c:v>592</c:v>
                </c:pt>
                <c:pt idx="4">
                  <c:v>438</c:v>
                </c:pt>
                <c:pt idx="5">
                  <c:v>662</c:v>
                </c:pt>
                <c:pt idx="6">
                  <c:v>323</c:v>
                </c:pt>
                <c:pt idx="7">
                  <c:v>656</c:v>
                </c:pt>
                <c:pt idx="8">
                  <c:v>816</c:v>
                </c:pt>
                <c:pt idx="9">
                  <c:v>563</c:v>
                </c:pt>
                <c:pt idx="10">
                  <c:v>592</c:v>
                </c:pt>
                <c:pt idx="11">
                  <c:v>738</c:v>
                </c:pt>
                <c:pt idx="12">
                  <c:v>692</c:v>
                </c:pt>
                <c:pt idx="13">
                  <c:v>1143</c:v>
                </c:pt>
                <c:pt idx="14">
                  <c:v>788</c:v>
                </c:pt>
                <c:pt idx="15">
                  <c:v>825</c:v>
                </c:pt>
                <c:pt idx="16">
                  <c:v>834</c:v>
                </c:pt>
                <c:pt idx="17">
                  <c:v>546</c:v>
                </c:pt>
                <c:pt idx="18">
                  <c:v>654</c:v>
                </c:pt>
              </c:numCache>
            </c:numRef>
          </c:val>
          <c:extLst>
            <c:ext xmlns:c16="http://schemas.microsoft.com/office/drawing/2014/chart" uri="{C3380CC4-5D6E-409C-BE32-E72D297353CC}">
              <c16:uniqueId val="{00000007-3646-4EF6-8D0F-B65629DF816B}"/>
            </c:ext>
          </c:extLst>
        </c:ser>
        <c:ser>
          <c:idx val="5"/>
          <c:order val="2"/>
          <c:tx>
            <c:v>Revenues</c:v>
          </c:tx>
          <c:spPr>
            <a:ln>
              <a:solidFill>
                <a:srgbClr val="00B0F0"/>
              </a:solidFill>
            </a:ln>
          </c:spPr>
          <c:invertIfNegative val="0"/>
          <c:cat>
            <c:strRef>
              <c:f>[1]Model!$AW$1:$BQ$1</c:f>
              <c:strCache>
                <c:ptCount val="21"/>
                <c:pt idx="0">
                  <c:v>Q1 2020</c:v>
                </c:pt>
                <c:pt idx="2">
                  <c:v>Q1 2021</c:v>
                </c:pt>
                <c:pt idx="4">
                  <c:v>Q1 2021</c:v>
                </c:pt>
                <c:pt idx="6">
                  <c:v>Q1 2022</c:v>
                </c:pt>
                <c:pt idx="8">
                  <c:v>Q1 2022</c:v>
                </c:pt>
                <c:pt idx="10">
                  <c:v>Q1 2023</c:v>
                </c:pt>
                <c:pt idx="12">
                  <c:v>Q1 2023</c:v>
                </c:pt>
                <c:pt idx="14">
                  <c:v>Q1 2024</c:v>
                </c:pt>
                <c:pt idx="16">
                  <c:v>Q1 2024</c:v>
                </c:pt>
                <c:pt idx="18">
                  <c:v>Q1 2025</c:v>
                </c:pt>
                <c:pt idx="20">
                  <c:v>Q1 2025</c:v>
                </c:pt>
              </c:strCache>
            </c:strRef>
          </c:cat>
          <c:val>
            <c:numRef>
              <c:f>[1]Model!$AW$44:$BQ$44</c:f>
              <c:numCache>
                <c:formatCode>General</c:formatCode>
                <c:ptCount val="21"/>
                <c:pt idx="0">
                  <c:v>4.1817674937273397E-2</c:v>
                </c:pt>
                <c:pt idx="1">
                  <c:v>3.1711450012103626E-2</c:v>
                </c:pt>
                <c:pt idx="2">
                  <c:v>0.1017279821627648</c:v>
                </c:pt>
                <c:pt idx="3">
                  <c:v>0.55354558610709126</c:v>
                </c:pt>
                <c:pt idx="4">
                  <c:v>0.11319240032111311</c:v>
                </c:pt>
                <c:pt idx="5">
                  <c:v>0.10300328484279686</c:v>
                </c:pt>
                <c:pt idx="6">
                  <c:v>8.1457121173792002E-2</c:v>
                </c:pt>
                <c:pt idx="7">
                  <c:v>4.6343735444806633E-2</c:v>
                </c:pt>
                <c:pt idx="8">
                  <c:v>7.6682692307692202E-2</c:v>
                </c:pt>
                <c:pt idx="9">
                  <c:v>0.10657306955966805</c:v>
                </c:pt>
                <c:pt idx="10">
                  <c:v>0.11766081871345024</c:v>
                </c:pt>
                <c:pt idx="11">
                  <c:v>0.11195192521700426</c:v>
                </c:pt>
                <c:pt idx="12">
                  <c:v>9.6003572225943357E-2</c:v>
                </c:pt>
                <c:pt idx="13">
                  <c:v>0.1178392925797771</c:v>
                </c:pt>
                <c:pt idx="14">
                  <c:v>9.7321054834658804E-2</c:v>
                </c:pt>
                <c:pt idx="15">
                  <c:v>8.526821457165723E-2</c:v>
                </c:pt>
                <c:pt idx="16">
                  <c:v>0.11916887349765726</c:v>
                </c:pt>
                <c:pt idx="17">
                  <c:v>0.10679277730008607</c:v>
                </c:pt>
                <c:pt idx="18">
                  <c:v>0.11882510013351144</c:v>
                </c:pt>
              </c:numCache>
            </c:numRef>
          </c:val>
          <c:extLst>
            <c:ext xmlns:c16="http://schemas.microsoft.com/office/drawing/2014/chart" uri="{C3380CC4-5D6E-409C-BE32-E72D297353CC}">
              <c16:uniqueId val="{00000008-3646-4EF6-8D0F-B65629DF816B}"/>
            </c:ext>
          </c:extLst>
        </c:ser>
        <c:ser>
          <c:idx val="1"/>
          <c:order val="4"/>
          <c:tx>
            <c:v>Income</c:v>
          </c:tx>
          <c:spPr>
            <a:solidFill>
              <a:srgbClr val="00B050"/>
            </a:solidFill>
            <a:ln>
              <a:no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[2]Model!$AW$70:$BQ$70</c:f>
              <c:numCache>
                <c:formatCode>General</c:formatCode>
                <c:ptCount val="21"/>
                <c:pt idx="0">
                  <c:v>11</c:v>
                </c:pt>
                <c:pt idx="1">
                  <c:v>-152</c:v>
                </c:pt>
                <c:pt idx="2">
                  <c:v>-169</c:v>
                </c:pt>
                <c:pt idx="3">
                  <c:v>196</c:v>
                </c:pt>
                <c:pt idx="4">
                  <c:v>327</c:v>
                </c:pt>
                <c:pt idx="5">
                  <c:v>172</c:v>
                </c:pt>
                <c:pt idx="6">
                  <c:v>405</c:v>
                </c:pt>
                <c:pt idx="7">
                  <c:v>80</c:v>
                </c:pt>
                <c:pt idx="8">
                  <c:v>97</c:v>
                </c:pt>
                <c:pt idx="9">
                  <c:v>246</c:v>
                </c:pt>
                <c:pt idx="10">
                  <c:v>174</c:v>
                </c:pt>
                <c:pt idx="11">
                  <c:v>124</c:v>
                </c:pt>
                <c:pt idx="12">
                  <c:v>300</c:v>
                </c:pt>
                <c:pt idx="13">
                  <c:v>261</c:v>
                </c:pt>
                <c:pt idx="14">
                  <c:v>504</c:v>
                </c:pt>
                <c:pt idx="15">
                  <c:v>504</c:v>
                </c:pt>
                <c:pt idx="16">
                  <c:v>495</c:v>
                </c:pt>
                <c:pt idx="17">
                  <c:v>324</c:v>
                </c:pt>
                <c:pt idx="18">
                  <c:v>468</c:v>
                </c:pt>
                <c:pt idx="19">
                  <c:v>565</c:v>
                </c:pt>
                <c:pt idx="20">
                  <c:v>674</c:v>
                </c:pt>
              </c:numCache>
            </c:numRef>
          </c:val>
          <c:extLst>
            <c:ext xmlns:c16="http://schemas.microsoft.com/office/drawing/2014/chart" uri="{C3380CC4-5D6E-409C-BE32-E72D297353CC}">
              <c16:uniqueId val="{00000001-3646-4EF6-8D0F-B65629DF816B}"/>
            </c:ext>
          </c:extLst>
        </c:ser>
        <c:ser>
          <c:idx val="2"/>
          <c:order val="5"/>
          <c:tx>
            <c:v>FCF</c:v>
          </c:tx>
          <c:spPr>
            <a:solidFill>
              <a:srgbClr val="FFC000"/>
            </a:solidFill>
            <a:ln>
              <a:solidFill>
                <a:srgbClr val="FFC000"/>
              </a:solid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[2]Model!$AW$115:$BQ$115</c:f>
              <c:numCache>
                <c:formatCode>General</c:formatCode>
                <c:ptCount val="21"/>
                <c:pt idx="3">
                  <c:v>1.4515077424612877</c:v>
                </c:pt>
                <c:pt idx="4">
                  <c:v>1.3834364868847628</c:v>
                </c:pt>
                <c:pt idx="5">
                  <c:v>1.3083722072182666</c:v>
                </c:pt>
                <c:pt idx="6">
                  <c:v>1.1499254102436598</c:v>
                </c:pt>
                <c:pt idx="7">
                  <c:v>1.1015679850222326</c:v>
                </c:pt>
                <c:pt idx="8">
                  <c:v>0.77889564810481982</c:v>
                </c:pt>
                <c:pt idx="9">
                  <c:v>0.85784187483904195</c:v>
                </c:pt>
                <c:pt idx="10">
                  <c:v>0.94561848408002258</c:v>
                </c:pt>
                <c:pt idx="11">
                  <c:v>1.0236655272153563</c:v>
                </c:pt>
                <c:pt idx="12">
                  <c:v>0.89468528043105555</c:v>
                </c:pt>
                <c:pt idx="13">
                  <c:v>0.79701885138097328</c:v>
                </c:pt>
                <c:pt idx="14">
                  <c:v>0.89561039528281283</c:v>
                </c:pt>
                <c:pt idx="15">
                  <c:v>0.8169841913254966</c:v>
                </c:pt>
                <c:pt idx="16">
                  <c:v>1.1438161106590725</c:v>
                </c:pt>
                <c:pt idx="17">
                  <c:v>1.144906743185079</c:v>
                </c:pt>
                <c:pt idx="18">
                  <c:v>1.016579259008628</c:v>
                </c:pt>
                <c:pt idx="19">
                  <c:v>0.64223194748358858</c:v>
                </c:pt>
                <c:pt idx="20">
                  <c:v>0.88335310399367339</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3"/>
          <c:tx>
            <c:v>Revenues</c:v>
          </c:tx>
          <c:spPr>
            <a:ln w="28575" cap="rnd">
              <a:solidFill>
                <a:srgbClr val="00B0F0"/>
              </a:solidFill>
              <a:round/>
            </a:ln>
            <a:effectLst/>
          </c:spPr>
          <c:marker>
            <c:symbol val="none"/>
          </c:marker>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[2]Model!$AW$50:$BQ$50</c:f>
              <c:numCache>
                <c:formatCode>General</c:formatCode>
                <c:ptCount val="21"/>
                <c:pt idx="0">
                  <c:v>2543</c:v>
                </c:pt>
                <c:pt idx="1">
                  <c:v>2003</c:v>
                </c:pt>
                <c:pt idx="2">
                  <c:v>2659</c:v>
                </c:pt>
                <c:pt idx="3">
                  <c:v>2708</c:v>
                </c:pt>
                <c:pt idx="4">
                  <c:v>2752</c:v>
                </c:pt>
                <c:pt idx="5">
                  <c:v>3077</c:v>
                </c:pt>
                <c:pt idx="6">
                  <c:v>2932</c:v>
                </c:pt>
                <c:pt idx="7">
                  <c:v>3127</c:v>
                </c:pt>
                <c:pt idx="8">
                  <c:v>3026</c:v>
                </c:pt>
                <c:pt idx="9">
                  <c:v>3244</c:v>
                </c:pt>
                <c:pt idx="10">
                  <c:v>3170</c:v>
                </c:pt>
                <c:pt idx="11">
                  <c:v>3242</c:v>
                </c:pt>
                <c:pt idx="12">
                  <c:v>3389</c:v>
                </c:pt>
                <c:pt idx="13">
                  <c:v>3599</c:v>
                </c:pt>
                <c:pt idx="14">
                  <c:v>3527</c:v>
                </c:pt>
                <c:pt idx="15">
                  <c:v>3725</c:v>
                </c:pt>
                <c:pt idx="16">
                  <c:v>3857</c:v>
                </c:pt>
                <c:pt idx="17">
                  <c:v>4120</c:v>
                </c:pt>
                <c:pt idx="18">
                  <c:v>4209</c:v>
                </c:pt>
                <c:pt idx="19">
                  <c:v>4561</c:v>
                </c:pt>
                <c:pt idx="20">
                  <c:v>4663</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(AXP)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Analysis'!$I$210</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96850" cap="flat" cmpd="sng" algn="ctr">
                <a:solidFill>
                  <a:srgbClr val="00B0F0"/>
                </a:solidFill>
                <a:round/>
              </a:ln>
              <a:effectLst/>
            </c:spPr>
          </c:errBars>
          <c:xVal>
            <c:numRef>
              <c:f>'Notes | Quant Analysis'!$I$212:$I$250</c:f>
              <c:numCache>
                <c:formatCode>0.00%</c:formatCode>
                <c:ptCount val="39"/>
                <c:pt idx="0">
                  <c:v>-4.7499999999999973E-2</c:v>
                </c:pt>
                <c:pt idx="1">
                  <c:v>-4.4999999999999971E-2</c:v>
                </c:pt>
                <c:pt idx="2">
                  <c:v>-4.2499999999999968E-2</c:v>
                </c:pt>
                <c:pt idx="3">
                  <c:v>-3.9999999999999966E-2</c:v>
                </c:pt>
                <c:pt idx="4">
                  <c:v>-3.7499999999999964E-2</c:v>
                </c:pt>
                <c:pt idx="5">
                  <c:v>-3.4999999999999962E-2</c:v>
                </c:pt>
                <c:pt idx="6">
                  <c:v>-3.2499999999999959E-2</c:v>
                </c:pt>
                <c:pt idx="7">
                  <c:v>-2.9999999999999961E-2</c:v>
                </c:pt>
                <c:pt idx="8">
                  <c:v>-2.7499999999999962E-2</c:v>
                </c:pt>
                <c:pt idx="9">
                  <c:v>-2.4999999999999963E-2</c:v>
                </c:pt>
                <c:pt idx="10">
                  <c:v>-2.2499999999999964E-2</c:v>
                </c:pt>
                <c:pt idx="11">
                  <c:v>-1.9999999999999966E-2</c:v>
                </c:pt>
                <c:pt idx="12">
                  <c:v>-1.7499999999999967E-2</c:v>
                </c:pt>
                <c:pt idx="13">
                  <c:v>-1.4999999999999966E-2</c:v>
                </c:pt>
                <c:pt idx="14">
                  <c:v>-1.2499999999999966E-2</c:v>
                </c:pt>
                <c:pt idx="15">
                  <c:v>-9.9999999999999655E-3</c:v>
                </c:pt>
                <c:pt idx="16">
                  <c:v>-7.499999999999965E-3</c:v>
                </c:pt>
                <c:pt idx="17">
                  <c:v>-4.9999999999999645E-3</c:v>
                </c:pt>
                <c:pt idx="18">
                  <c:v>-2.4999999999999645E-3</c:v>
                </c:pt>
                <c:pt idx="19">
                  <c:v>3.5561831257524545E-17</c:v>
                </c:pt>
                <c:pt idx="20">
                  <c:v>2.5000000000000356E-3</c:v>
                </c:pt>
                <c:pt idx="21">
                  <c:v>5.0000000000000357E-3</c:v>
                </c:pt>
                <c:pt idx="22">
                  <c:v>7.5000000000000362E-3</c:v>
                </c:pt>
                <c:pt idx="23">
                  <c:v>1.0000000000000037E-2</c:v>
                </c:pt>
                <c:pt idx="24">
                  <c:v>1.2500000000000037E-2</c:v>
                </c:pt>
                <c:pt idx="25">
                  <c:v>1.5000000000000038E-2</c:v>
                </c:pt>
                <c:pt idx="26">
                  <c:v>1.7500000000000036E-2</c:v>
                </c:pt>
                <c:pt idx="27">
                  <c:v>2.0000000000000035E-2</c:v>
                </c:pt>
                <c:pt idx="28">
                  <c:v>2.2500000000000034E-2</c:v>
                </c:pt>
                <c:pt idx="29">
                  <c:v>2.5000000000000033E-2</c:v>
                </c:pt>
                <c:pt idx="30">
                  <c:v>2.7500000000000031E-2</c:v>
                </c:pt>
                <c:pt idx="31">
                  <c:v>3.000000000000003E-2</c:v>
                </c:pt>
                <c:pt idx="32">
                  <c:v>3.2500000000000029E-2</c:v>
                </c:pt>
                <c:pt idx="33">
                  <c:v>3.5000000000000031E-2</c:v>
                </c:pt>
                <c:pt idx="34">
                  <c:v>3.7500000000000033E-2</c:v>
                </c:pt>
                <c:pt idx="35">
                  <c:v>4.0000000000000036E-2</c:v>
                </c:pt>
                <c:pt idx="36">
                  <c:v>4.2500000000000038E-2</c:v>
                </c:pt>
                <c:pt idx="37">
                  <c:v>4.500000000000004E-2</c:v>
                </c:pt>
                <c:pt idx="38">
                  <c:v>4.7500000000000042E-2</c:v>
                </c:pt>
              </c:numCache>
            </c:numRef>
          </c:xVal>
          <c:yVal>
            <c:numRef>
              <c:f>'Notes | Quant Analysis'!$J$212:$J$250</c:f>
              <c:numCache>
                <c:formatCode>General</c:formatCode>
                <c:ptCount val="39"/>
                <c:pt idx="0">
                  <c:v>1</c:v>
                </c:pt>
                <c:pt idx="1">
                  <c:v>0</c:v>
                </c:pt>
                <c:pt idx="2">
                  <c:v>1</c:v>
                </c:pt>
                <c:pt idx="3">
                  <c:v>3</c:v>
                </c:pt>
                <c:pt idx="4">
                  <c:v>4</c:v>
                </c:pt>
                <c:pt idx="5">
                  <c:v>3</c:v>
                </c:pt>
                <c:pt idx="6">
                  <c:v>0</c:v>
                </c:pt>
                <c:pt idx="7">
                  <c:v>10</c:v>
                </c:pt>
                <c:pt idx="8">
                  <c:v>9</c:v>
                </c:pt>
                <c:pt idx="9">
                  <c:v>18</c:v>
                </c:pt>
                <c:pt idx="10">
                  <c:v>24</c:v>
                </c:pt>
                <c:pt idx="11">
                  <c:v>18</c:v>
                </c:pt>
                <c:pt idx="12">
                  <c:v>31</c:v>
                </c:pt>
                <c:pt idx="13">
                  <c:v>28</c:v>
                </c:pt>
                <c:pt idx="14">
                  <c:v>42</c:v>
                </c:pt>
                <c:pt idx="15">
                  <c:v>61</c:v>
                </c:pt>
                <c:pt idx="16">
                  <c:v>62</c:v>
                </c:pt>
                <c:pt idx="17">
                  <c:v>77</c:v>
                </c:pt>
                <c:pt idx="18">
                  <c:v>90</c:v>
                </c:pt>
                <c:pt idx="19">
                  <c:v>101</c:v>
                </c:pt>
                <c:pt idx="20">
                  <c:v>101</c:v>
                </c:pt>
                <c:pt idx="21">
                  <c:v>110</c:v>
                </c:pt>
                <c:pt idx="22">
                  <c:v>88</c:v>
                </c:pt>
                <c:pt idx="23">
                  <c:v>80</c:v>
                </c:pt>
                <c:pt idx="24">
                  <c:v>80</c:v>
                </c:pt>
                <c:pt idx="25">
                  <c:v>39</c:v>
                </c:pt>
                <c:pt idx="26">
                  <c:v>47</c:v>
                </c:pt>
                <c:pt idx="27">
                  <c:v>34</c:v>
                </c:pt>
                <c:pt idx="28">
                  <c:v>23</c:v>
                </c:pt>
                <c:pt idx="29">
                  <c:v>16</c:v>
                </c:pt>
                <c:pt idx="30">
                  <c:v>13</c:v>
                </c:pt>
                <c:pt idx="31">
                  <c:v>4</c:v>
                </c:pt>
                <c:pt idx="32">
                  <c:v>12</c:v>
                </c:pt>
                <c:pt idx="33">
                  <c:v>4</c:v>
                </c:pt>
                <c:pt idx="34">
                  <c:v>2</c:v>
                </c:pt>
                <c:pt idx="35">
                  <c:v>2</c:v>
                </c:pt>
                <c:pt idx="36">
                  <c:v>3</c:v>
                </c:pt>
                <c:pt idx="37">
                  <c:v>3</c:v>
                </c:pt>
                <c:pt idx="38">
                  <c:v>1</c:v>
                </c:pt>
              </c:numCache>
            </c:numRef>
          </c:yVal>
          <c:smooth val="1"/>
          <c:extLst>
            <c:ext xmlns:c16="http://schemas.microsoft.com/office/drawing/2014/chart" uri="{C3380CC4-5D6E-409C-BE32-E72D297353CC}">
              <c16:uniqueId val="{00000000-28C7-4862-86E9-AF862A5BA0AD}"/>
            </c:ext>
          </c:extLst>
        </c:ser>
        <c:ser>
          <c:idx val="1"/>
          <c:order val="1"/>
          <c:tx>
            <c:strRef>
              <c:f>'Notes | Quant Analysis'!$L$210</c:f>
              <c:strCache>
                <c:ptCount val="1"/>
                <c:pt idx="0">
                  <c:v>Distribution Overlay</c:v>
                </c:pt>
              </c:strCache>
            </c:strRef>
          </c:tx>
          <c:spPr>
            <a:ln w="19050" cap="rnd">
              <a:solidFill>
                <a:srgbClr val="FFC000"/>
              </a:solidFill>
              <a:round/>
            </a:ln>
            <a:effectLst/>
          </c:spPr>
          <c:marker>
            <c:symbol val="none"/>
          </c:marker>
          <c:xVal>
            <c:numRef>
              <c:f>'Notes | Quant Analysis'!$L$212:$L$252</c:f>
              <c:numCache>
                <c:formatCode>0.00%</c:formatCode>
                <c:ptCount val="41"/>
                <c:pt idx="0">
                  <c:v>-4.9999999999999975E-2</c:v>
                </c:pt>
                <c:pt idx="1">
                  <c:v>-4.7499999999999973E-2</c:v>
                </c:pt>
                <c:pt idx="2">
                  <c:v>-4.4999999999999971E-2</c:v>
                </c:pt>
                <c:pt idx="3">
                  <c:v>-4.2499999999999968E-2</c:v>
                </c:pt>
                <c:pt idx="4">
                  <c:v>-3.9999999999999966E-2</c:v>
                </c:pt>
                <c:pt idx="5">
                  <c:v>-3.7499999999999964E-2</c:v>
                </c:pt>
                <c:pt idx="6">
                  <c:v>-3.4999999999999962E-2</c:v>
                </c:pt>
                <c:pt idx="7">
                  <c:v>-3.2499999999999959E-2</c:v>
                </c:pt>
                <c:pt idx="8">
                  <c:v>-2.9999999999999961E-2</c:v>
                </c:pt>
                <c:pt idx="9">
                  <c:v>-2.7499999999999962E-2</c:v>
                </c:pt>
                <c:pt idx="10">
                  <c:v>-2.4999999999999963E-2</c:v>
                </c:pt>
                <c:pt idx="11">
                  <c:v>-2.2499999999999964E-2</c:v>
                </c:pt>
                <c:pt idx="12">
                  <c:v>-1.9999999999999966E-2</c:v>
                </c:pt>
                <c:pt idx="13">
                  <c:v>-1.7499999999999967E-2</c:v>
                </c:pt>
                <c:pt idx="14">
                  <c:v>-1.4999999999999966E-2</c:v>
                </c:pt>
                <c:pt idx="15">
                  <c:v>-1.2499999999999966E-2</c:v>
                </c:pt>
                <c:pt idx="16">
                  <c:v>-9.9999999999999655E-3</c:v>
                </c:pt>
                <c:pt idx="17">
                  <c:v>-7.499999999999965E-3</c:v>
                </c:pt>
                <c:pt idx="18">
                  <c:v>-4.9999999999999645E-3</c:v>
                </c:pt>
                <c:pt idx="19">
                  <c:v>-2.4999999999999645E-3</c:v>
                </c:pt>
                <c:pt idx="20">
                  <c:v>3.5561831257524545E-17</c:v>
                </c:pt>
                <c:pt idx="21">
                  <c:v>2.5000000000000356E-3</c:v>
                </c:pt>
                <c:pt idx="22">
                  <c:v>5.0000000000000357E-3</c:v>
                </c:pt>
                <c:pt idx="23">
                  <c:v>7.5000000000000362E-3</c:v>
                </c:pt>
                <c:pt idx="24">
                  <c:v>1.0000000000000037E-2</c:v>
                </c:pt>
                <c:pt idx="25">
                  <c:v>1.2500000000000037E-2</c:v>
                </c:pt>
                <c:pt idx="26">
                  <c:v>1.5000000000000038E-2</c:v>
                </c:pt>
                <c:pt idx="27">
                  <c:v>1.7500000000000036E-2</c:v>
                </c:pt>
                <c:pt idx="28">
                  <c:v>2.0000000000000035E-2</c:v>
                </c:pt>
                <c:pt idx="29">
                  <c:v>2.2500000000000034E-2</c:v>
                </c:pt>
                <c:pt idx="30">
                  <c:v>2.5000000000000033E-2</c:v>
                </c:pt>
                <c:pt idx="31">
                  <c:v>2.7500000000000031E-2</c:v>
                </c:pt>
                <c:pt idx="32">
                  <c:v>3.000000000000003E-2</c:v>
                </c:pt>
                <c:pt idx="33">
                  <c:v>3.2500000000000029E-2</c:v>
                </c:pt>
                <c:pt idx="34">
                  <c:v>3.5000000000000031E-2</c:v>
                </c:pt>
                <c:pt idx="35">
                  <c:v>3.7500000000000033E-2</c:v>
                </c:pt>
                <c:pt idx="36">
                  <c:v>4.0000000000000036E-2</c:v>
                </c:pt>
                <c:pt idx="37">
                  <c:v>4.2500000000000038E-2</c:v>
                </c:pt>
                <c:pt idx="38">
                  <c:v>4.500000000000004E-2</c:v>
                </c:pt>
                <c:pt idx="39">
                  <c:v>4.7500000000000042E-2</c:v>
                </c:pt>
                <c:pt idx="40">
                  <c:v>5.0000000000000044E-2</c:v>
                </c:pt>
              </c:numCache>
            </c:numRef>
          </c:xVal>
          <c:yVal>
            <c:numRef>
              <c:f>'Notes | Quant Analysis'!$M$212:$M$252</c:f>
              <c:numCache>
                <c:formatCode>General</c:formatCode>
                <c:ptCount val="41"/>
                <c:pt idx="0">
                  <c:v>0.10913618832936887</c:v>
                </c:pt>
                <c:pt idx="1">
                  <c:v>0.18516208843087459</c:v>
                </c:pt>
                <c:pt idx="2">
                  <c:v>0.30583655227116979</c:v>
                </c:pt>
                <c:pt idx="3">
                  <c:v>0.49179118226014334</c:v>
                </c:pt>
                <c:pt idx="4">
                  <c:v>0.76988545683475118</c:v>
                </c:pt>
                <c:pt idx="5">
                  <c:v>1.173344451189317</c:v>
                </c:pt>
                <c:pt idx="6">
                  <c:v>1.7409205896279438</c:v>
                </c:pt>
                <c:pt idx="7">
                  <c:v>2.5147014326673931</c:v>
                </c:pt>
                <c:pt idx="8">
                  <c:v>3.5362904366944035</c:v>
                </c:pt>
                <c:pt idx="9">
                  <c:v>4.8413162569261843</c:v>
                </c:pt>
                <c:pt idx="10">
                  <c:v>6.4525742481675854</c:v>
                </c:pt>
                <c:pt idx="11">
                  <c:v>8.3725277806415725</c:v>
                </c:pt>
                <c:pt idx="12">
                  <c:v>10.576311018931479</c:v>
                </c:pt>
                <c:pt idx="13">
                  <c:v>13.00666216144757</c:v>
                </c:pt>
                <c:pt idx="14">
                  <c:v>15.572256043979614</c:v>
                </c:pt>
                <c:pt idx="15">
                  <c:v>18.150610687250907</c:v>
                </c:pt>
                <c:pt idx="16">
                  <c:v>20.596099310819024</c:v>
                </c:pt>
                <c:pt idx="17">
                  <c:v>22.752689627450572</c:v>
                </c:pt>
                <c:pt idx="18">
                  <c:v>24.470032023382426</c:v>
                </c:pt>
                <c:pt idx="19">
                  <c:v>25.62066291527945</c:v>
                </c:pt>
                <c:pt idx="20">
                  <c:v>26.115612577481738</c:v>
                </c:pt>
                <c:pt idx="21">
                  <c:v>25.915769089600968</c:v>
                </c:pt>
                <c:pt idx="22">
                  <c:v>25.036984238630573</c:v>
                </c:pt>
                <c:pt idx="23">
                  <c:v>23.547996356236037</c:v>
                </c:pt>
                <c:pt idx="24">
                  <c:v>21.56154780837003</c:v>
                </c:pt>
                <c:pt idx="25">
                  <c:v>19.22029005142786</c:v>
                </c:pt>
                <c:pt idx="26">
                  <c:v>16.679920278869005</c:v>
                </c:pt>
                <c:pt idx="27">
                  <c:v>14.092304989264603</c:v>
                </c:pt>
                <c:pt idx="28">
                  <c:v>11.591085960661497</c:v>
                </c:pt>
                <c:pt idx="29">
                  <c:v>9.2815444585510267</c:v>
                </c:pt>
                <c:pt idx="30">
                  <c:v>7.2355308861635965</c:v>
                </c:pt>
                <c:pt idx="31">
                  <c:v>5.4912925812967925</c:v>
                </c:pt>
                <c:pt idx="32">
                  <c:v>4.057259594638615</c:v>
                </c:pt>
                <c:pt idx="33">
                  <c:v>2.9184014856263225</c:v>
                </c:pt>
                <c:pt idx="34">
                  <c:v>2.043672538826991</c:v>
                </c:pt>
                <c:pt idx="35">
                  <c:v>1.3932582091363066</c:v>
                </c:pt>
                <c:pt idx="36">
                  <c:v>0.92471082513009339</c:v>
                </c:pt>
                <c:pt idx="37">
                  <c:v>0.59749503752487221</c:v>
                </c:pt>
                <c:pt idx="38">
                  <c:v>0.37585185089320156</c:v>
                </c:pt>
                <c:pt idx="39">
                  <c:v>0.23017232983669003</c:v>
                </c:pt>
                <c:pt idx="40">
                  <c:v>0.13722826229243101</c:v>
                </c:pt>
              </c:numCache>
            </c:numRef>
          </c:yVal>
          <c:smooth val="1"/>
          <c:extLst>
            <c:ext xmlns:c16="http://schemas.microsoft.com/office/drawing/2014/chart" uri="{C3380CC4-5D6E-409C-BE32-E72D297353CC}">
              <c16:uniqueId val="{00000001-28C7-4862-86E9-AF862A5BA0AD}"/>
            </c:ext>
          </c:extLst>
        </c:ser>
        <c:ser>
          <c:idx val="2"/>
          <c:order val="2"/>
          <c:tx>
            <c:strRef>
              <c:f>'Notes | Quant Analysis'!$O$212</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6.4184492563429521E-2"/>
                  <c:y val="-3.4621988040968561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2292629046369204"/>
                      <c:h val="7.7448345272630392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Analysis'!$P$212:$P$213</c:f>
              <c:numCache>
                <c:formatCode>0.00%</c:formatCode>
                <c:ptCount val="2"/>
                <c:pt idx="0">
                  <c:v>5.3384765516798123E-4</c:v>
                </c:pt>
                <c:pt idx="1">
                  <c:v>5.3384765516798123E-4</c:v>
                </c:pt>
              </c:numCache>
            </c:numRef>
          </c:xVal>
          <c:yVal>
            <c:numRef>
              <c:f>'Notes | Quant Analysis'!$Q$212:$Q$213</c:f>
              <c:numCache>
                <c:formatCode>General</c:formatCode>
                <c:ptCount val="2"/>
                <c:pt idx="0">
                  <c:v>0</c:v>
                </c:pt>
                <c:pt idx="1">
                  <c:v>27</c:v>
                </c:pt>
              </c:numCache>
            </c:numRef>
          </c:yVal>
          <c:smooth val="1"/>
          <c:extLst>
            <c:ext xmlns:c16="http://schemas.microsoft.com/office/drawing/2014/chart" uri="{C3380CC4-5D6E-409C-BE32-E72D297353CC}">
              <c16:uniqueId val="{00000004-28C7-4862-86E9-AF862A5BA0AD}"/>
            </c:ext>
          </c:extLst>
        </c:ser>
        <c:ser>
          <c:idx val="3"/>
          <c:order val="3"/>
          <c:tx>
            <c:strRef>
              <c:f>'Notes | Quant Analysis'!$O$214</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3.9479986876640422E-2"/>
                  <c:y val="-3.6895782763996791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Analysis'!$P$214:$P$215</c:f>
              <c:numCache>
                <c:formatCode>0.00%</c:formatCode>
                <c:ptCount val="2"/>
                <c:pt idx="0">
                  <c:v>-4.5266163246653404E-2</c:v>
                </c:pt>
                <c:pt idx="1">
                  <c:v>-4.5266163246653404E-2</c:v>
                </c:pt>
              </c:numCache>
            </c:numRef>
          </c:xVal>
          <c:yVal>
            <c:numRef>
              <c:f>'Notes | Quant Analysis'!$Q$214:$Q$215</c:f>
              <c:numCache>
                <c:formatCode>General</c:formatCode>
                <c:ptCount val="2"/>
                <c:pt idx="0">
                  <c:v>0</c:v>
                </c:pt>
                <c:pt idx="1">
                  <c:v>2</c:v>
                </c:pt>
              </c:numCache>
            </c:numRef>
          </c:yVal>
          <c:smooth val="1"/>
          <c:extLst>
            <c:ext xmlns:c16="http://schemas.microsoft.com/office/drawing/2014/chart" uri="{C3380CC4-5D6E-409C-BE32-E72D297353CC}">
              <c16:uniqueId val="{00000007-28C7-4862-86E9-AF862A5BA0AD}"/>
            </c:ext>
          </c:extLst>
        </c:ser>
        <c:ser>
          <c:idx val="4"/>
          <c:order val="4"/>
          <c:tx>
            <c:strRef>
              <c:f>'Notes | Quant Analysis'!$O$216</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6.517607174103239E-2"/>
                  <c:y val="-4.3712628026759903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Analysis'!$P$216:$P$217</c:f>
              <c:numCache>
                <c:formatCode>0.00%</c:formatCode>
                <c:ptCount val="2"/>
                <c:pt idx="0">
                  <c:v>-2.9999492946046272E-2</c:v>
                </c:pt>
                <c:pt idx="1">
                  <c:v>-2.9999492946046272E-2</c:v>
                </c:pt>
              </c:numCache>
            </c:numRef>
          </c:xVal>
          <c:yVal>
            <c:numRef>
              <c:f>'Notes | Quant Analysis'!$Q$216:$Q$217</c:f>
              <c:numCache>
                <c:formatCode>General</c:formatCode>
                <c:ptCount val="2"/>
                <c:pt idx="0">
                  <c:v>0</c:v>
                </c:pt>
                <c:pt idx="1">
                  <c:v>7</c:v>
                </c:pt>
              </c:numCache>
            </c:numRef>
          </c:yVal>
          <c:smooth val="1"/>
          <c:extLst>
            <c:ext xmlns:c16="http://schemas.microsoft.com/office/drawing/2014/chart" uri="{C3380CC4-5D6E-409C-BE32-E72D297353CC}">
              <c16:uniqueId val="{0000000A-28C7-4862-86E9-AF862A5BA0AD}"/>
            </c:ext>
          </c:extLst>
        </c:ser>
        <c:ser>
          <c:idx val="5"/>
          <c:order val="5"/>
          <c:tx>
            <c:strRef>
              <c:f>'Notes | Quant Analysis'!$O$218</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3.977723097112866E-2"/>
                  <c:y val="-6.261184457206006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Analysis'!$P$218:$P$219</c:f>
              <c:numCache>
                <c:formatCode>0.00%</c:formatCode>
                <c:ptCount val="2"/>
                <c:pt idx="0">
                  <c:v>-1.4732822645439146E-2</c:v>
                </c:pt>
                <c:pt idx="1">
                  <c:v>-1.4732822645439146E-2</c:v>
                </c:pt>
              </c:numCache>
            </c:numRef>
          </c:xVal>
          <c:yVal>
            <c:numRef>
              <c:f>'Notes | Quant Analysis'!$Q$218:$Q$219</c:f>
              <c:numCache>
                <c:formatCode>General</c:formatCode>
                <c:ptCount val="2"/>
                <c:pt idx="0">
                  <c:v>0</c:v>
                </c:pt>
                <c:pt idx="1">
                  <c:v>17</c:v>
                </c:pt>
              </c:numCache>
            </c:numRef>
          </c:yVal>
          <c:smooth val="1"/>
          <c:extLst>
            <c:ext xmlns:c16="http://schemas.microsoft.com/office/drawing/2014/chart" uri="{C3380CC4-5D6E-409C-BE32-E72D297353CC}">
              <c16:uniqueId val="{0000000D-28C7-4862-86E9-AF862A5BA0AD}"/>
            </c:ext>
          </c:extLst>
        </c:ser>
        <c:ser>
          <c:idx val="6"/>
          <c:order val="6"/>
          <c:tx>
            <c:strRef>
              <c:f>'Notes | Quant Analysis'!$O$220</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4.5338582677165354E-2"/>
                  <c:y val="-6.010557890789976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Analysis'!$P$220:$P$221</c:f>
              <c:numCache>
                <c:formatCode>0.00%</c:formatCode>
                <c:ptCount val="2"/>
                <c:pt idx="0">
                  <c:v>1.5800517955775108E-2</c:v>
                </c:pt>
                <c:pt idx="1">
                  <c:v>1.5800517955775108E-2</c:v>
                </c:pt>
              </c:numCache>
            </c:numRef>
          </c:xVal>
          <c:yVal>
            <c:numRef>
              <c:f>'Notes | Quant Analysis'!$Q$220:$Q$221</c:f>
              <c:numCache>
                <c:formatCode>General</c:formatCode>
                <c:ptCount val="2"/>
                <c:pt idx="0">
                  <c:v>0</c:v>
                </c:pt>
                <c:pt idx="1">
                  <c:v>17</c:v>
                </c:pt>
              </c:numCache>
            </c:numRef>
          </c:yVal>
          <c:smooth val="1"/>
          <c:extLst>
            <c:ext xmlns:c16="http://schemas.microsoft.com/office/drawing/2014/chart" uri="{C3380CC4-5D6E-409C-BE32-E72D297353CC}">
              <c16:uniqueId val="{0000000F-28C7-4862-86E9-AF862A5BA0AD}"/>
            </c:ext>
          </c:extLst>
        </c:ser>
        <c:ser>
          <c:idx val="7"/>
          <c:order val="7"/>
          <c:tx>
            <c:strRef>
              <c:f>'Notes | Quant Analysis'!$O$222</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3.103444881889774E-2"/>
                  <c:y val="-5.3884909123201798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Analysis'!$P$222:$P$223</c:f>
              <c:numCache>
                <c:formatCode>0.00%</c:formatCode>
                <c:ptCount val="2"/>
                <c:pt idx="0">
                  <c:v>3.1067188256382237E-2</c:v>
                </c:pt>
                <c:pt idx="1">
                  <c:v>3.1067188256382237E-2</c:v>
                </c:pt>
              </c:numCache>
            </c:numRef>
          </c:xVal>
          <c:yVal>
            <c:numRef>
              <c:f>'Notes | Quant Analysis'!$Q$222:$Q$223</c:f>
              <c:numCache>
                <c:formatCode>General</c:formatCode>
                <c:ptCount val="2"/>
                <c:pt idx="0">
                  <c:v>0</c:v>
                </c:pt>
                <c:pt idx="1">
                  <c:v>7</c:v>
                </c:pt>
              </c:numCache>
            </c:numRef>
          </c:yVal>
          <c:smooth val="1"/>
          <c:extLst>
            <c:ext xmlns:c16="http://schemas.microsoft.com/office/drawing/2014/chart" uri="{C3380CC4-5D6E-409C-BE32-E72D297353CC}">
              <c16:uniqueId val="{00000012-28C7-4862-86E9-AF862A5BA0AD}"/>
            </c:ext>
          </c:extLst>
        </c:ser>
        <c:ser>
          <c:idx val="8"/>
          <c:order val="8"/>
          <c:tx>
            <c:strRef>
              <c:f>'Notes | Quant Analysis'!$O$224</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4.8313320209973649E-2"/>
                  <c:y val="-2.916405186193849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Analysis'!$P$224:$P$225</c:f>
              <c:numCache>
                <c:formatCode>0.00%</c:formatCode>
                <c:ptCount val="2"/>
                <c:pt idx="0">
                  <c:v>4.6333858556989363E-2</c:v>
                </c:pt>
                <c:pt idx="1">
                  <c:v>4.6333858556989363E-2</c:v>
                </c:pt>
              </c:numCache>
            </c:numRef>
          </c:xVal>
          <c:yVal>
            <c:numRef>
              <c:f>'Notes | Quant Analysis'!$Q$224:$Q$225</c:f>
              <c:numCache>
                <c:formatCode>General</c:formatCode>
                <c:ptCount val="2"/>
                <c:pt idx="0">
                  <c:v>0</c:v>
                </c:pt>
                <c:pt idx="1">
                  <c:v>2</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5.5000000000000007E-2"/>
          <c:min val="-5.5000000000000007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5.000000000000001E-3"/>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(AXP)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3"/>
          <c:order val="0"/>
          <c:tx>
            <c:v>Net Income</c:v>
          </c:tx>
          <c:spPr>
            <a:solidFill>
              <a:srgbClr val="00B050"/>
            </a:solidFill>
          </c:spPr>
          <c:invertIfNegative val="0"/>
          <c:val>
            <c:numRef>
              <c:f>[1]Model!$AW$55:$BQ$55</c:f>
              <c:numCache>
                <c:formatCode>General</c:formatCode>
                <c:ptCount val="21"/>
                <c:pt idx="0">
                  <c:v>780</c:v>
                </c:pt>
                <c:pt idx="1">
                  <c:v>671</c:v>
                </c:pt>
                <c:pt idx="2">
                  <c:v>367</c:v>
                </c:pt>
                <c:pt idx="3">
                  <c:v>662</c:v>
                </c:pt>
                <c:pt idx="4">
                  <c:v>495</c:v>
                </c:pt>
                <c:pt idx="5">
                  <c:v>757</c:v>
                </c:pt>
                <c:pt idx="6">
                  <c:v>386</c:v>
                </c:pt>
                <c:pt idx="7">
                  <c:v>720</c:v>
                </c:pt>
                <c:pt idx="8">
                  <c:v>816</c:v>
                </c:pt>
                <c:pt idx="9">
                  <c:v>761</c:v>
                </c:pt>
                <c:pt idx="10">
                  <c:v>679</c:v>
                </c:pt>
                <c:pt idx="11">
                  <c:v>899</c:v>
                </c:pt>
                <c:pt idx="12">
                  <c:v>869</c:v>
                </c:pt>
                <c:pt idx="13">
                  <c:v>1226</c:v>
                </c:pt>
                <c:pt idx="14">
                  <c:v>923</c:v>
                </c:pt>
                <c:pt idx="15">
                  <c:v>998</c:v>
                </c:pt>
                <c:pt idx="16">
                  <c:v>1043</c:v>
                </c:pt>
                <c:pt idx="17">
                  <c:v>528</c:v>
                </c:pt>
                <c:pt idx="18">
                  <c:v>764</c:v>
                </c:pt>
              </c:numCache>
            </c:numRef>
          </c:val>
          <c:extLst>
            <c:ext xmlns:c16="http://schemas.microsoft.com/office/drawing/2014/chart" uri="{C3380CC4-5D6E-409C-BE32-E72D297353CC}">
              <c16:uniqueId val="{00000000-185C-48BA-84D0-EF540439F646}"/>
            </c:ext>
          </c:extLst>
        </c:ser>
        <c:ser>
          <c:idx val="4"/>
          <c:order val="1"/>
          <c:tx>
            <c:v>FCF</c:v>
          </c:tx>
          <c:spPr>
            <a:solidFill>
              <a:srgbClr val="FFC000"/>
            </a:solidFill>
          </c:spPr>
          <c:invertIfNegative val="0"/>
          <c:val>
            <c:numRef>
              <c:f>[1]Model!$AW$103:$BQ$103</c:f>
              <c:numCache>
                <c:formatCode>General</c:formatCode>
                <c:ptCount val="21"/>
                <c:pt idx="0">
                  <c:v>621</c:v>
                </c:pt>
                <c:pt idx="1">
                  <c:v>568</c:v>
                </c:pt>
                <c:pt idx="2">
                  <c:v>302</c:v>
                </c:pt>
                <c:pt idx="3">
                  <c:v>592</c:v>
                </c:pt>
                <c:pt idx="4">
                  <c:v>438</c:v>
                </c:pt>
                <c:pt idx="5">
                  <c:v>662</c:v>
                </c:pt>
                <c:pt idx="6">
                  <c:v>323</c:v>
                </c:pt>
                <c:pt idx="7">
                  <c:v>656</c:v>
                </c:pt>
                <c:pt idx="8">
                  <c:v>816</c:v>
                </c:pt>
                <c:pt idx="9">
                  <c:v>563</c:v>
                </c:pt>
                <c:pt idx="10">
                  <c:v>592</c:v>
                </c:pt>
                <c:pt idx="11">
                  <c:v>738</c:v>
                </c:pt>
                <c:pt idx="12">
                  <c:v>692</c:v>
                </c:pt>
                <c:pt idx="13">
                  <c:v>1143</c:v>
                </c:pt>
                <c:pt idx="14">
                  <c:v>788</c:v>
                </c:pt>
                <c:pt idx="15">
                  <c:v>825</c:v>
                </c:pt>
                <c:pt idx="16">
                  <c:v>834</c:v>
                </c:pt>
                <c:pt idx="17">
                  <c:v>546</c:v>
                </c:pt>
                <c:pt idx="18">
                  <c:v>654</c:v>
                </c:pt>
              </c:numCache>
            </c:numRef>
          </c:val>
          <c:extLst>
            <c:ext xmlns:c16="http://schemas.microsoft.com/office/drawing/2014/chart" uri="{C3380CC4-5D6E-409C-BE32-E72D297353CC}">
              <c16:uniqueId val="{00000001-185C-48BA-84D0-EF540439F646}"/>
            </c:ext>
          </c:extLst>
        </c:ser>
        <c:ser>
          <c:idx val="5"/>
          <c:order val="2"/>
          <c:tx>
            <c:v>Revenues</c:v>
          </c:tx>
          <c:spPr>
            <a:ln>
              <a:solidFill>
                <a:srgbClr val="00B0F0"/>
              </a:solidFill>
            </a:ln>
          </c:spPr>
          <c:invertIfNegative val="0"/>
          <c:cat>
            <c:strRef>
              <c:f>[1]Model!$AW$1:$BQ$1</c:f>
              <c:strCache>
                <c:ptCount val="21"/>
                <c:pt idx="0">
                  <c:v>Q1 2020</c:v>
                </c:pt>
                <c:pt idx="2">
                  <c:v>Q1 2021</c:v>
                </c:pt>
                <c:pt idx="4">
                  <c:v>Q1 2021</c:v>
                </c:pt>
                <c:pt idx="6">
                  <c:v>Q1 2022</c:v>
                </c:pt>
                <c:pt idx="8">
                  <c:v>Q1 2022</c:v>
                </c:pt>
                <c:pt idx="10">
                  <c:v>Q1 2023</c:v>
                </c:pt>
                <c:pt idx="12">
                  <c:v>Q1 2023</c:v>
                </c:pt>
                <c:pt idx="14">
                  <c:v>Q1 2024</c:v>
                </c:pt>
                <c:pt idx="16">
                  <c:v>Q1 2024</c:v>
                </c:pt>
                <c:pt idx="18">
                  <c:v>Q1 2025</c:v>
                </c:pt>
                <c:pt idx="20">
                  <c:v>Q1 2025</c:v>
                </c:pt>
              </c:strCache>
            </c:strRef>
          </c:cat>
          <c:val>
            <c:numRef>
              <c:f>[1]Model!$AW$44:$BQ$44</c:f>
              <c:numCache>
                <c:formatCode>General</c:formatCode>
                <c:ptCount val="21"/>
                <c:pt idx="0">
                  <c:v>4.1817674937273397E-2</c:v>
                </c:pt>
                <c:pt idx="1">
                  <c:v>3.1711450012103626E-2</c:v>
                </c:pt>
                <c:pt idx="2">
                  <c:v>0.1017279821627648</c:v>
                </c:pt>
                <c:pt idx="3">
                  <c:v>0.55354558610709126</c:v>
                </c:pt>
                <c:pt idx="4">
                  <c:v>0.11319240032111311</c:v>
                </c:pt>
                <c:pt idx="5">
                  <c:v>0.10300328484279686</c:v>
                </c:pt>
                <c:pt idx="6">
                  <c:v>8.1457121173792002E-2</c:v>
                </c:pt>
                <c:pt idx="7">
                  <c:v>4.6343735444806633E-2</c:v>
                </c:pt>
                <c:pt idx="8">
                  <c:v>7.6682692307692202E-2</c:v>
                </c:pt>
                <c:pt idx="9">
                  <c:v>0.10657306955966805</c:v>
                </c:pt>
                <c:pt idx="10">
                  <c:v>0.11766081871345024</c:v>
                </c:pt>
                <c:pt idx="11">
                  <c:v>0.11195192521700426</c:v>
                </c:pt>
                <c:pt idx="12">
                  <c:v>9.6003572225943357E-2</c:v>
                </c:pt>
                <c:pt idx="13">
                  <c:v>0.1178392925797771</c:v>
                </c:pt>
                <c:pt idx="14">
                  <c:v>9.7321054834658804E-2</c:v>
                </c:pt>
                <c:pt idx="15">
                  <c:v>8.526821457165723E-2</c:v>
                </c:pt>
                <c:pt idx="16">
                  <c:v>0.11916887349765726</c:v>
                </c:pt>
                <c:pt idx="17">
                  <c:v>0.10679277730008607</c:v>
                </c:pt>
                <c:pt idx="18">
                  <c:v>0.11882510013351144</c:v>
                </c:pt>
              </c:numCache>
            </c:numRef>
          </c:val>
          <c:extLst>
            <c:ext xmlns:c16="http://schemas.microsoft.com/office/drawing/2014/chart" uri="{C3380CC4-5D6E-409C-BE32-E72D297353CC}">
              <c16:uniqueId val="{00000002-185C-48BA-84D0-EF540439F646}"/>
            </c:ext>
          </c:extLst>
        </c:ser>
        <c:ser>
          <c:idx val="1"/>
          <c:order val="4"/>
          <c:tx>
            <c:v>Income</c:v>
          </c:tx>
          <c:spPr>
            <a:solidFill>
              <a:srgbClr val="00B050"/>
            </a:solidFill>
            <a:ln>
              <a:no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[2]Model!$AW$70:$BQ$70</c:f>
              <c:numCache>
                <c:formatCode>General</c:formatCode>
                <c:ptCount val="21"/>
                <c:pt idx="0">
                  <c:v>11</c:v>
                </c:pt>
                <c:pt idx="1">
                  <c:v>-152</c:v>
                </c:pt>
                <c:pt idx="2">
                  <c:v>-169</c:v>
                </c:pt>
                <c:pt idx="3">
                  <c:v>196</c:v>
                </c:pt>
                <c:pt idx="4">
                  <c:v>327</c:v>
                </c:pt>
                <c:pt idx="5">
                  <c:v>172</c:v>
                </c:pt>
                <c:pt idx="6">
                  <c:v>405</c:v>
                </c:pt>
                <c:pt idx="7">
                  <c:v>80</c:v>
                </c:pt>
                <c:pt idx="8">
                  <c:v>97</c:v>
                </c:pt>
                <c:pt idx="9">
                  <c:v>246</c:v>
                </c:pt>
                <c:pt idx="10">
                  <c:v>174</c:v>
                </c:pt>
                <c:pt idx="11">
                  <c:v>124</c:v>
                </c:pt>
                <c:pt idx="12">
                  <c:v>300</c:v>
                </c:pt>
                <c:pt idx="13">
                  <c:v>261</c:v>
                </c:pt>
                <c:pt idx="14">
                  <c:v>504</c:v>
                </c:pt>
                <c:pt idx="15">
                  <c:v>504</c:v>
                </c:pt>
                <c:pt idx="16">
                  <c:v>495</c:v>
                </c:pt>
                <c:pt idx="17">
                  <c:v>324</c:v>
                </c:pt>
                <c:pt idx="18">
                  <c:v>468</c:v>
                </c:pt>
                <c:pt idx="19">
                  <c:v>565</c:v>
                </c:pt>
                <c:pt idx="20">
                  <c:v>674</c:v>
                </c:pt>
              </c:numCache>
            </c:numRef>
          </c:val>
          <c:extLst>
            <c:ext xmlns:c16="http://schemas.microsoft.com/office/drawing/2014/chart" uri="{C3380CC4-5D6E-409C-BE32-E72D297353CC}">
              <c16:uniqueId val="{00000003-185C-48BA-84D0-EF540439F646}"/>
            </c:ext>
          </c:extLst>
        </c:ser>
        <c:ser>
          <c:idx val="2"/>
          <c:order val="5"/>
          <c:tx>
            <c:v>FCF</c:v>
          </c:tx>
          <c:spPr>
            <a:solidFill>
              <a:srgbClr val="FFC000"/>
            </a:solidFill>
            <a:ln>
              <a:solidFill>
                <a:srgbClr val="FFC000"/>
              </a:solid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[2]Model!$AW$115:$BQ$115</c:f>
              <c:numCache>
                <c:formatCode>General</c:formatCode>
                <c:ptCount val="21"/>
                <c:pt idx="3">
                  <c:v>1.4515077424612877</c:v>
                </c:pt>
                <c:pt idx="4">
                  <c:v>1.3834364868847628</c:v>
                </c:pt>
                <c:pt idx="5">
                  <c:v>1.3083722072182666</c:v>
                </c:pt>
                <c:pt idx="6">
                  <c:v>1.1499254102436598</c:v>
                </c:pt>
                <c:pt idx="7">
                  <c:v>1.1015679850222326</c:v>
                </c:pt>
                <c:pt idx="8">
                  <c:v>0.77889564810481982</c:v>
                </c:pt>
                <c:pt idx="9">
                  <c:v>0.85784187483904195</c:v>
                </c:pt>
                <c:pt idx="10">
                  <c:v>0.94561848408002258</c:v>
                </c:pt>
                <c:pt idx="11">
                  <c:v>1.0236655272153563</c:v>
                </c:pt>
                <c:pt idx="12">
                  <c:v>0.89468528043105555</c:v>
                </c:pt>
                <c:pt idx="13">
                  <c:v>0.79701885138097328</c:v>
                </c:pt>
                <c:pt idx="14">
                  <c:v>0.89561039528281283</c:v>
                </c:pt>
                <c:pt idx="15">
                  <c:v>0.8169841913254966</c:v>
                </c:pt>
                <c:pt idx="16">
                  <c:v>1.1438161106590725</c:v>
                </c:pt>
                <c:pt idx="17">
                  <c:v>1.144906743185079</c:v>
                </c:pt>
                <c:pt idx="18">
                  <c:v>1.016579259008628</c:v>
                </c:pt>
                <c:pt idx="19">
                  <c:v>0.64223194748358858</c:v>
                </c:pt>
                <c:pt idx="20">
                  <c:v>0.88335310399367339</c:v>
                </c:pt>
              </c:numCache>
            </c:numRef>
          </c:val>
          <c:extLst>
            <c:ext xmlns:c16="http://schemas.microsoft.com/office/drawing/2014/chart" uri="{C3380CC4-5D6E-409C-BE32-E72D297353CC}">
              <c16:uniqueId val="{00000004-185C-48BA-84D0-EF540439F646}"/>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3"/>
          <c:tx>
            <c:v>Revenues</c:v>
          </c:tx>
          <c:spPr>
            <a:ln w="28575" cap="rnd">
              <a:solidFill>
                <a:srgbClr val="00B0F0"/>
              </a:solidFill>
              <a:round/>
            </a:ln>
            <a:effectLst/>
          </c:spPr>
          <c:marker>
            <c:symbol val="none"/>
          </c:marker>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[2]Model!$AW$50:$BQ$50</c:f>
              <c:numCache>
                <c:formatCode>General</c:formatCode>
                <c:ptCount val="21"/>
                <c:pt idx="0">
                  <c:v>2543</c:v>
                </c:pt>
                <c:pt idx="1">
                  <c:v>2003</c:v>
                </c:pt>
                <c:pt idx="2">
                  <c:v>2659</c:v>
                </c:pt>
                <c:pt idx="3">
                  <c:v>2708</c:v>
                </c:pt>
                <c:pt idx="4">
                  <c:v>2752</c:v>
                </c:pt>
                <c:pt idx="5">
                  <c:v>3077</c:v>
                </c:pt>
                <c:pt idx="6">
                  <c:v>2932</c:v>
                </c:pt>
                <c:pt idx="7">
                  <c:v>3127</c:v>
                </c:pt>
                <c:pt idx="8">
                  <c:v>3026</c:v>
                </c:pt>
                <c:pt idx="9">
                  <c:v>3244</c:v>
                </c:pt>
                <c:pt idx="10">
                  <c:v>3170</c:v>
                </c:pt>
                <c:pt idx="11">
                  <c:v>3242</c:v>
                </c:pt>
                <c:pt idx="12">
                  <c:v>3389</c:v>
                </c:pt>
                <c:pt idx="13">
                  <c:v>3599</c:v>
                </c:pt>
                <c:pt idx="14">
                  <c:v>3527</c:v>
                </c:pt>
                <c:pt idx="15">
                  <c:v>3725</c:v>
                </c:pt>
                <c:pt idx="16">
                  <c:v>3857</c:v>
                </c:pt>
                <c:pt idx="17">
                  <c:v>4120</c:v>
                </c:pt>
                <c:pt idx="18">
                  <c:v>4209</c:v>
                </c:pt>
                <c:pt idx="19">
                  <c:v>4561</c:v>
                </c:pt>
                <c:pt idx="20">
                  <c:v>4663</c:v>
                </c:pt>
              </c:numCache>
            </c:numRef>
          </c:val>
          <c:smooth val="0"/>
          <c:extLst>
            <c:ext xmlns:c16="http://schemas.microsoft.com/office/drawing/2014/chart" uri="{C3380CC4-5D6E-409C-BE32-E72D297353CC}">
              <c16:uniqueId val="{00000005-185C-48BA-84D0-EF540439F64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71</xdr:col>
      <xdr:colOff>0</xdr:colOff>
      <xdr:row>0</xdr:row>
      <xdr:rowOff>0</xdr:rowOff>
    </xdr:from>
    <xdr:to>
      <xdr:col>71</xdr:col>
      <xdr:colOff>0</xdr:colOff>
      <xdr:row>91</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44700825" y="0"/>
          <a:ext cx="0" cy="23774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103</xdr:col>
      <xdr:colOff>0</xdr:colOff>
      <xdr:row>0</xdr:row>
      <xdr:rowOff>0</xdr:rowOff>
    </xdr:from>
    <xdr:to>
      <xdr:col>103</xdr:col>
      <xdr:colOff>0</xdr:colOff>
      <xdr:row>90</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68</xdr:row>
      <xdr:rowOff>190499</xdr:rowOff>
    </xdr:from>
    <xdr:to>
      <xdr:col>23</xdr:col>
      <xdr:colOff>0</xdr:colOff>
      <xdr:row>99</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105</xdr:row>
      <xdr:rowOff>0</xdr:rowOff>
    </xdr:from>
    <xdr:to>
      <xdr:col>23</xdr:col>
      <xdr:colOff>0</xdr:colOff>
      <xdr:row>133</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170</xdr:row>
      <xdr:rowOff>0</xdr:rowOff>
    </xdr:from>
    <xdr:to>
      <xdr:col>23</xdr:col>
      <xdr:colOff>0</xdr:colOff>
      <xdr:row>198</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138</xdr:row>
      <xdr:rowOff>0</xdr:rowOff>
    </xdr:from>
    <xdr:to>
      <xdr:col>23</xdr:col>
      <xdr:colOff>0</xdr:colOff>
      <xdr:row>166</xdr:row>
      <xdr:rowOff>0</xdr:rowOff>
    </xdr:to>
    <xdr:graphicFrame macro="">
      <xdr:nvGraphicFramePr>
        <xdr:cNvPr id="5" name="Chart 4">
          <a:extLst>
            <a:ext uri="{FF2B5EF4-FFF2-40B4-BE49-F238E27FC236}">
              <a16:creationId xmlns:a16="http://schemas.microsoft.com/office/drawing/2014/main" id="{FF7CCC47-4E69-431D-A35B-BB93EEC5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9524</xdr:colOff>
      <xdr:row>2</xdr:row>
      <xdr:rowOff>9525</xdr:rowOff>
    </xdr:from>
    <xdr:to>
      <xdr:col>16</xdr:col>
      <xdr:colOff>609599</xdr:colOff>
      <xdr:row>25</xdr:row>
      <xdr:rowOff>171449</xdr:rowOff>
    </xdr:to>
    <xdr:pic>
      <xdr:nvPicPr>
        <xdr:cNvPr id="6" name="Picture 5">
          <a:extLst>
            <a:ext uri="{FF2B5EF4-FFF2-40B4-BE49-F238E27FC236}">
              <a16:creationId xmlns:a16="http://schemas.microsoft.com/office/drawing/2014/main" id="{A46323D4-2B26-7FF1-19FB-BEA9B94DEE02}"/>
            </a:ext>
          </a:extLst>
        </xdr:cNvPr>
        <xdr:cNvPicPr>
          <a:picLocks noChangeAspect="1"/>
        </xdr:cNvPicPr>
      </xdr:nvPicPr>
      <xdr:blipFill>
        <a:blip xmlns:r="http://schemas.openxmlformats.org/officeDocument/2006/relationships" r:embed="rId5"/>
        <a:stretch>
          <a:fillRect/>
        </a:stretch>
      </xdr:blipFill>
      <xdr:spPr>
        <a:xfrm>
          <a:off x="4486274" y="381000"/>
          <a:ext cx="5476875" cy="4324349"/>
        </a:xfrm>
        <a:prstGeom prst="rect">
          <a:avLst/>
        </a:prstGeom>
      </xdr:spPr>
    </xdr:pic>
    <xdr:clientData/>
  </xdr:twoCellAnchor>
  <xdr:twoCellAnchor editAs="oneCell">
    <xdr:from>
      <xdr:col>17</xdr:col>
      <xdr:colOff>0</xdr:colOff>
      <xdr:row>2</xdr:row>
      <xdr:rowOff>9525</xdr:rowOff>
    </xdr:from>
    <xdr:to>
      <xdr:col>26</xdr:col>
      <xdr:colOff>608907</xdr:colOff>
      <xdr:row>30</xdr:row>
      <xdr:rowOff>0</xdr:rowOff>
    </xdr:to>
    <xdr:pic>
      <xdr:nvPicPr>
        <xdr:cNvPr id="7" name="Picture 6">
          <a:extLst>
            <a:ext uri="{FF2B5EF4-FFF2-40B4-BE49-F238E27FC236}">
              <a16:creationId xmlns:a16="http://schemas.microsoft.com/office/drawing/2014/main" id="{F85260B2-6D01-83B0-CE77-3AF55ABF45E3}"/>
            </a:ext>
          </a:extLst>
        </xdr:cNvPr>
        <xdr:cNvPicPr>
          <a:picLocks noChangeAspect="1"/>
        </xdr:cNvPicPr>
      </xdr:nvPicPr>
      <xdr:blipFill>
        <a:blip xmlns:r="http://schemas.openxmlformats.org/officeDocument/2006/relationships" r:embed="rId6"/>
        <a:stretch>
          <a:fillRect/>
        </a:stretch>
      </xdr:blipFill>
      <xdr:spPr>
        <a:xfrm>
          <a:off x="9963150" y="381000"/>
          <a:ext cx="6095307" cy="5057775"/>
        </a:xfrm>
        <a:prstGeom prst="rect">
          <a:avLst/>
        </a:prstGeom>
      </xdr:spPr>
    </xdr:pic>
    <xdr:clientData/>
  </xdr:twoCellAnchor>
  <xdr:twoCellAnchor editAs="oneCell">
    <xdr:from>
      <xdr:col>8</xdr:col>
      <xdr:colOff>9525</xdr:colOff>
      <xdr:row>36</xdr:row>
      <xdr:rowOff>9525</xdr:rowOff>
    </xdr:from>
    <xdr:to>
      <xdr:col>17</xdr:col>
      <xdr:colOff>0</xdr:colOff>
      <xdr:row>64</xdr:row>
      <xdr:rowOff>0</xdr:rowOff>
    </xdr:to>
    <xdr:pic>
      <xdr:nvPicPr>
        <xdr:cNvPr id="8" name="Picture 7">
          <a:extLst>
            <a:ext uri="{FF2B5EF4-FFF2-40B4-BE49-F238E27FC236}">
              <a16:creationId xmlns:a16="http://schemas.microsoft.com/office/drawing/2014/main" id="{9154775C-7230-B4F0-7C98-B5193208238C}"/>
            </a:ext>
          </a:extLst>
        </xdr:cNvPr>
        <xdr:cNvPicPr>
          <a:picLocks noChangeAspect="1"/>
        </xdr:cNvPicPr>
      </xdr:nvPicPr>
      <xdr:blipFill>
        <a:blip xmlns:r="http://schemas.openxmlformats.org/officeDocument/2006/relationships" r:embed="rId7"/>
        <a:stretch>
          <a:fillRect/>
        </a:stretch>
      </xdr:blipFill>
      <xdr:spPr>
        <a:xfrm>
          <a:off x="4486275" y="6543675"/>
          <a:ext cx="5476875" cy="50768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SYK_Model.xlsx" TargetMode="External"/><Relationship Id="rId1" Type="http://schemas.openxmlformats.org/officeDocument/2006/relationships/externalLinkPath" Target="file:///C:\Users\User\Desktop\Equity%20Research\Models\Health%20Care\MedTech\SYK_Mod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file:///C:\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Notes | Quant Analysis"/>
      <sheetName val="M&amp;A"/>
      <sheetName val="Management"/>
      <sheetName val="Markets | Product Lines"/>
      <sheetName val="Debt Schedule"/>
    </sheetNames>
    <sheetDataSet>
      <sheetData sheetId="0"/>
      <sheetData sheetId="1">
        <row r="1">
          <cell r="AW1" t="str">
            <v>Q1 2020</v>
          </cell>
          <cell r="AY1" t="str">
            <v>Q1 2021</v>
          </cell>
          <cell r="BA1" t="str">
            <v>Q1 2021</v>
          </cell>
          <cell r="BC1" t="str">
            <v>Q1 2022</v>
          </cell>
          <cell r="BE1" t="str">
            <v>Q1 2022</v>
          </cell>
          <cell r="BG1" t="str">
            <v>Q1 2023</v>
          </cell>
          <cell r="BI1" t="str">
            <v>Q1 2023</v>
          </cell>
          <cell r="BK1" t="str">
            <v>Q1 2024</v>
          </cell>
          <cell r="BM1" t="str">
            <v>Q1 2024</v>
          </cell>
          <cell r="BO1" t="str">
            <v>Q1 2025</v>
          </cell>
          <cell r="BQ1" t="str">
            <v>Q1 2025</v>
          </cell>
        </row>
        <row r="4">
          <cell r="B4" t="str">
            <v>Instruments</v>
          </cell>
          <cell r="AW4">
            <v>467</v>
          </cell>
          <cell r="AX4">
            <v>555</v>
          </cell>
          <cell r="AY4">
            <v>469</v>
          </cell>
          <cell r="AZ4">
            <v>517</v>
          </cell>
          <cell r="BA4">
            <v>525</v>
          </cell>
          <cell r="BB4">
            <v>600</v>
          </cell>
          <cell r="BC4">
            <v>528</v>
          </cell>
          <cell r="BD4">
            <v>563</v>
          </cell>
          <cell r="BE4">
            <v>535</v>
          </cell>
          <cell r="BF4">
            <v>653</v>
          </cell>
          <cell r="BG4">
            <v>566</v>
          </cell>
          <cell r="BH4">
            <v>622</v>
          </cell>
          <cell r="BI4">
            <v>620</v>
          </cell>
          <cell r="BJ4">
            <v>726</v>
          </cell>
          <cell r="BK4">
            <v>667</v>
          </cell>
          <cell r="BL4">
            <v>698</v>
          </cell>
          <cell r="BM4">
            <v>679</v>
          </cell>
          <cell r="BN4">
            <v>790</v>
          </cell>
          <cell r="BO4">
            <v>730</v>
          </cell>
        </row>
        <row r="5">
          <cell r="B5" t="str">
            <v>Endoscopy</v>
          </cell>
          <cell r="AW5">
            <v>467</v>
          </cell>
          <cell r="AX5">
            <v>525</v>
          </cell>
          <cell r="AY5">
            <v>469</v>
          </cell>
          <cell r="AZ5">
            <v>518</v>
          </cell>
          <cell r="BA5">
            <v>525</v>
          </cell>
          <cell r="BB5">
            <v>629</v>
          </cell>
          <cell r="BC5">
            <v>538</v>
          </cell>
          <cell r="BD5">
            <v>600</v>
          </cell>
          <cell r="BE5">
            <v>590</v>
          </cell>
          <cell r="BF5">
            <v>997</v>
          </cell>
          <cell r="BG5">
            <v>707</v>
          </cell>
          <cell r="BH5">
            <v>713</v>
          </cell>
          <cell r="BI5">
            <v>746</v>
          </cell>
          <cell r="BJ5">
            <v>902</v>
          </cell>
          <cell r="BK5">
            <v>778</v>
          </cell>
          <cell r="BL5">
            <v>768</v>
          </cell>
          <cell r="BM5">
            <v>837</v>
          </cell>
          <cell r="BN5">
            <v>1006</v>
          </cell>
          <cell r="BO5">
            <v>867</v>
          </cell>
        </row>
        <row r="6">
          <cell r="B6" t="str">
            <v>Medical</v>
          </cell>
          <cell r="AW6">
            <v>600</v>
          </cell>
          <cell r="AX6">
            <v>705</v>
          </cell>
          <cell r="AY6">
            <v>622</v>
          </cell>
          <cell r="AZ6">
            <v>640</v>
          </cell>
          <cell r="BA6">
            <v>636</v>
          </cell>
          <cell r="BB6">
            <v>709</v>
          </cell>
          <cell r="BC6">
            <v>664</v>
          </cell>
          <cell r="BD6">
            <v>666</v>
          </cell>
          <cell r="BE6">
            <v>765</v>
          </cell>
          <cell r="BF6">
            <v>936</v>
          </cell>
          <cell r="BG6">
            <v>778</v>
          </cell>
          <cell r="BH6">
            <v>841</v>
          </cell>
          <cell r="BI6">
            <v>798</v>
          </cell>
          <cell r="BJ6">
            <v>1042</v>
          </cell>
          <cell r="BK6">
            <v>864</v>
          </cell>
          <cell r="BL6">
            <v>908</v>
          </cell>
          <cell r="BM6">
            <v>938</v>
          </cell>
          <cell r="BN6">
            <v>1142</v>
          </cell>
          <cell r="BO6">
            <v>945</v>
          </cell>
        </row>
        <row r="7">
          <cell r="B7" t="str">
            <v>Vascular</v>
          </cell>
          <cell r="AW7">
            <v>66</v>
          </cell>
          <cell r="AX7">
            <v>82</v>
          </cell>
          <cell r="AY7">
            <v>289</v>
          </cell>
          <cell r="AZ7">
            <v>301</v>
          </cell>
          <cell r="BA7">
            <v>295</v>
          </cell>
          <cell r="BB7">
            <v>303</v>
          </cell>
          <cell r="BC7">
            <v>301</v>
          </cell>
          <cell r="BD7">
            <v>306</v>
          </cell>
          <cell r="BE7">
            <v>294</v>
          </cell>
          <cell r="BF7">
            <v>299</v>
          </cell>
          <cell r="BG7">
            <v>284</v>
          </cell>
          <cell r="BH7">
            <v>311</v>
          </cell>
          <cell r="BI7">
            <v>311</v>
          </cell>
          <cell r="BJ7">
            <v>320</v>
          </cell>
          <cell r="BK7">
            <v>310</v>
          </cell>
          <cell r="BL7">
            <v>327</v>
          </cell>
          <cell r="BM7">
            <v>329</v>
          </cell>
          <cell r="BN7">
            <v>341</v>
          </cell>
          <cell r="BO7">
            <v>406</v>
          </cell>
        </row>
        <row r="8">
          <cell r="B8" t="str">
            <v>Neuro Cranial</v>
          </cell>
          <cell r="AW8">
            <v>518</v>
          </cell>
          <cell r="AX8">
            <v>312</v>
          </cell>
          <cell r="AY8">
            <v>281</v>
          </cell>
          <cell r="AZ8">
            <v>310</v>
          </cell>
          <cell r="BA8">
            <v>299</v>
          </cell>
          <cell r="BB8">
            <v>324</v>
          </cell>
          <cell r="BC8">
            <v>323</v>
          </cell>
          <cell r="BD8">
            <v>337</v>
          </cell>
          <cell r="BE8">
            <v>332</v>
          </cell>
          <cell r="BF8">
            <v>384</v>
          </cell>
          <cell r="BG8">
            <v>355</v>
          </cell>
          <cell r="BH8">
            <v>373</v>
          </cell>
          <cell r="BI8">
            <v>384</v>
          </cell>
          <cell r="BJ8">
            <v>764</v>
          </cell>
          <cell r="BK8">
            <v>478</v>
          </cell>
          <cell r="BL8">
            <v>416</v>
          </cell>
          <cell r="BM8">
            <v>441</v>
          </cell>
          <cell r="BN8">
            <v>801</v>
          </cell>
          <cell r="BO8">
            <v>563</v>
          </cell>
        </row>
        <row r="10">
          <cell r="B10" t="str">
            <v>Knees</v>
          </cell>
          <cell r="AW10">
            <v>435</v>
          </cell>
          <cell r="AX10">
            <v>459</v>
          </cell>
          <cell r="AY10">
            <v>412</v>
          </cell>
          <cell r="AZ10">
            <v>474</v>
          </cell>
          <cell r="BA10">
            <v>439</v>
          </cell>
          <cell r="BB10">
            <v>523</v>
          </cell>
          <cell r="BC10">
            <v>464</v>
          </cell>
          <cell r="BD10">
            <v>500</v>
          </cell>
          <cell r="BE10">
            <v>481</v>
          </cell>
          <cell r="BF10">
            <v>552</v>
          </cell>
          <cell r="BG10">
            <v>566</v>
          </cell>
          <cell r="BH10">
            <v>562</v>
          </cell>
          <cell r="BI10">
            <v>515</v>
          </cell>
          <cell r="BJ10">
            <v>630</v>
          </cell>
          <cell r="BK10">
            <v>588</v>
          </cell>
          <cell r="BL10">
            <v>602</v>
          </cell>
          <cell r="BM10">
            <v>570</v>
          </cell>
          <cell r="BN10">
            <v>687</v>
          </cell>
          <cell r="BO10">
            <v>639</v>
          </cell>
        </row>
        <row r="11">
          <cell r="B11" t="str">
            <v>Hips</v>
          </cell>
          <cell r="AW11">
            <v>334</v>
          </cell>
          <cell r="AX11">
            <v>340</v>
          </cell>
          <cell r="AY11">
            <v>309</v>
          </cell>
          <cell r="AZ11">
            <v>353</v>
          </cell>
          <cell r="BA11">
            <v>328</v>
          </cell>
          <cell r="BB11">
            <v>352</v>
          </cell>
          <cell r="BC11">
            <v>327</v>
          </cell>
          <cell r="BD11">
            <v>364</v>
          </cell>
          <cell r="BE11">
            <v>347</v>
          </cell>
          <cell r="BF11">
            <v>375</v>
          </cell>
          <cell r="BG11">
            <v>375</v>
          </cell>
          <cell r="BH11">
            <v>393</v>
          </cell>
          <cell r="BI11">
            <v>362</v>
          </cell>
          <cell r="BJ11">
            <v>414</v>
          </cell>
          <cell r="BK11">
            <v>393</v>
          </cell>
          <cell r="BL11">
            <v>428</v>
          </cell>
          <cell r="BM11">
            <v>420</v>
          </cell>
          <cell r="BN11">
            <v>463</v>
          </cell>
          <cell r="BO11">
            <v>443</v>
          </cell>
        </row>
        <row r="12">
          <cell r="B12" t="str">
            <v>Trauma and Extremities</v>
          </cell>
          <cell r="AW12">
            <v>430</v>
          </cell>
          <cell r="AX12">
            <v>570</v>
          </cell>
          <cell r="AY12">
            <v>640</v>
          </cell>
          <cell r="AZ12">
            <v>674</v>
          </cell>
          <cell r="BA12">
            <v>639</v>
          </cell>
          <cell r="BB12">
            <v>711</v>
          </cell>
          <cell r="BC12">
            <v>685</v>
          </cell>
          <cell r="BD12">
            <v>676</v>
          </cell>
          <cell r="BE12">
            <v>672</v>
          </cell>
          <cell r="BF12">
            <v>774</v>
          </cell>
          <cell r="BG12">
            <v>769</v>
          </cell>
          <cell r="BH12">
            <v>766</v>
          </cell>
          <cell r="BI12">
            <v>752</v>
          </cell>
          <cell r="BJ12">
            <v>860</v>
          </cell>
          <cell r="BK12">
            <v>830</v>
          </cell>
          <cell r="BL12">
            <v>832</v>
          </cell>
          <cell r="BM12">
            <v>849</v>
          </cell>
          <cell r="BN12">
            <v>996</v>
          </cell>
          <cell r="BO12">
            <v>945</v>
          </cell>
        </row>
        <row r="13">
          <cell r="B13" t="str">
            <v>Spinal Implants</v>
          </cell>
          <cell r="AW13">
            <v>302</v>
          </cell>
          <cell r="AX13">
            <v>307</v>
          </cell>
          <cell r="AY13">
            <v>278</v>
          </cell>
          <cell r="AZ13">
            <v>307</v>
          </cell>
          <cell r="BA13">
            <v>282</v>
          </cell>
          <cell r="BB13">
            <v>300</v>
          </cell>
          <cell r="BC13">
            <v>279</v>
          </cell>
          <cell r="BD13">
            <v>290</v>
          </cell>
          <cell r="BE13">
            <v>280</v>
          </cell>
          <cell r="BF13">
            <v>297</v>
          </cell>
          <cell r="BG13">
            <v>284</v>
          </cell>
          <cell r="BH13">
            <v>296</v>
          </cell>
          <cell r="BI13">
            <v>291</v>
          </cell>
          <cell r="BJ13">
            <v>122</v>
          </cell>
          <cell r="BK13">
            <v>171</v>
          </cell>
          <cell r="BL13">
            <v>307</v>
          </cell>
          <cell r="BM13">
            <v>304</v>
          </cell>
          <cell r="BN13">
            <v>85</v>
          </cell>
          <cell r="BO13">
            <v>166</v>
          </cell>
        </row>
        <row r="14">
          <cell r="B14" t="str">
            <v>Other</v>
          </cell>
          <cell r="AW14">
            <v>118</v>
          </cell>
          <cell r="AX14">
            <v>157</v>
          </cell>
          <cell r="AY14">
            <v>123</v>
          </cell>
          <cell r="AZ14">
            <v>127</v>
          </cell>
          <cell r="BA14">
            <v>123</v>
          </cell>
          <cell r="BB14">
            <v>176</v>
          </cell>
          <cell r="BC14">
            <v>97</v>
          </cell>
          <cell r="BD14">
            <v>114</v>
          </cell>
          <cell r="BE14">
            <v>111</v>
          </cell>
          <cell r="BF14">
            <v>153</v>
          </cell>
          <cell r="BG14">
            <v>94</v>
          </cell>
          <cell r="BH14">
            <v>119</v>
          </cell>
          <cell r="BI14">
            <v>130</v>
          </cell>
          <cell r="BJ14">
            <v>35</v>
          </cell>
          <cell r="BK14">
            <v>164</v>
          </cell>
          <cell r="BL14">
            <v>136</v>
          </cell>
          <cell r="BM14">
            <v>127</v>
          </cell>
          <cell r="BN14">
            <v>125</v>
          </cell>
          <cell r="BO14">
            <v>162</v>
          </cell>
        </row>
        <row r="44">
          <cell r="AW44">
            <v>4.1817674937273397E-2</v>
          </cell>
          <cell r="AX44">
            <v>3.1711450012103626E-2</v>
          </cell>
          <cell r="AY44">
            <v>0.1017279821627648</v>
          </cell>
          <cell r="AZ44">
            <v>0.55354558610709126</v>
          </cell>
          <cell r="BA44">
            <v>0.11319240032111311</v>
          </cell>
          <cell r="BB44">
            <v>0.10300328484279686</v>
          </cell>
          <cell r="BC44">
            <v>8.1457121173792002E-2</v>
          </cell>
          <cell r="BD44">
            <v>4.6343735444806633E-2</v>
          </cell>
          <cell r="BE44">
            <v>7.6682692307692202E-2</v>
          </cell>
          <cell r="BF44">
            <v>0.10657306955966805</v>
          </cell>
          <cell r="BG44">
            <v>0.11766081871345024</v>
          </cell>
          <cell r="BH44">
            <v>0.11195192521700426</v>
          </cell>
          <cell r="BI44">
            <v>9.6003572225943357E-2</v>
          </cell>
          <cell r="BJ44">
            <v>0.1178392925797771</v>
          </cell>
          <cell r="BK44">
            <v>9.7321054834658804E-2</v>
          </cell>
          <cell r="BL44">
            <v>8.526821457165723E-2</v>
          </cell>
          <cell r="BM44">
            <v>0.11916887349765726</v>
          </cell>
          <cell r="BN44">
            <v>0.10679277730008607</v>
          </cell>
          <cell r="BO44">
            <v>0.11882510013351144</v>
          </cell>
        </row>
        <row r="55">
          <cell r="AW55">
            <v>780</v>
          </cell>
          <cell r="AX55">
            <v>671</v>
          </cell>
          <cell r="AY55">
            <v>367</v>
          </cell>
          <cell r="AZ55">
            <v>662</v>
          </cell>
          <cell r="BA55">
            <v>495</v>
          </cell>
          <cell r="BB55">
            <v>757</v>
          </cell>
          <cell r="BC55">
            <v>386</v>
          </cell>
          <cell r="BD55">
            <v>720</v>
          </cell>
          <cell r="BE55">
            <v>816</v>
          </cell>
          <cell r="BF55">
            <v>761</v>
          </cell>
          <cell r="BG55">
            <v>679</v>
          </cell>
          <cell r="BH55">
            <v>899</v>
          </cell>
          <cell r="BI55">
            <v>869</v>
          </cell>
          <cell r="BJ55">
            <v>1226</v>
          </cell>
          <cell r="BK55">
            <v>923</v>
          </cell>
          <cell r="BL55">
            <v>998</v>
          </cell>
          <cell r="BM55">
            <v>1043</v>
          </cell>
          <cell r="BN55">
            <v>528</v>
          </cell>
          <cell r="BO55">
            <v>764</v>
          </cell>
        </row>
        <row r="103">
          <cell r="AW103">
            <v>621</v>
          </cell>
          <cell r="AX103">
            <v>568</v>
          </cell>
          <cell r="AY103">
            <v>302</v>
          </cell>
          <cell r="AZ103">
            <v>592</v>
          </cell>
          <cell r="BA103">
            <v>438</v>
          </cell>
          <cell r="BB103">
            <v>662</v>
          </cell>
          <cell r="BC103">
            <v>323</v>
          </cell>
          <cell r="BD103">
            <v>656</v>
          </cell>
          <cell r="BE103">
            <v>816</v>
          </cell>
          <cell r="BF103">
            <v>563</v>
          </cell>
          <cell r="BG103">
            <v>592</v>
          </cell>
          <cell r="BH103">
            <v>738</v>
          </cell>
          <cell r="BI103">
            <v>692</v>
          </cell>
          <cell r="BJ103">
            <v>1143</v>
          </cell>
          <cell r="BK103">
            <v>788</v>
          </cell>
          <cell r="BL103">
            <v>825</v>
          </cell>
          <cell r="BM103">
            <v>834</v>
          </cell>
          <cell r="BN103">
            <v>546</v>
          </cell>
          <cell r="BO103">
            <v>654</v>
          </cell>
        </row>
      </sheetData>
      <sheetData sheetId="2">
        <row r="188">
          <cell r="I188" t="str">
            <v>Notes:</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row r="50">
          <cell r="AW50">
            <v>2543</v>
          </cell>
          <cell r="AX50">
            <v>2003</v>
          </cell>
          <cell r="AY50">
            <v>2659</v>
          </cell>
          <cell r="AZ50">
            <v>2708</v>
          </cell>
          <cell r="BA50">
            <v>2752</v>
          </cell>
          <cell r="BB50">
            <v>3077</v>
          </cell>
          <cell r="BC50">
            <v>2932</v>
          </cell>
          <cell r="BD50">
            <v>3127</v>
          </cell>
          <cell r="BE50">
            <v>3026</v>
          </cell>
          <cell r="BF50">
            <v>3244</v>
          </cell>
          <cell r="BG50">
            <v>3170</v>
          </cell>
          <cell r="BH50">
            <v>3242</v>
          </cell>
          <cell r="BI50">
            <v>3389</v>
          </cell>
          <cell r="BJ50">
            <v>3599</v>
          </cell>
          <cell r="BK50">
            <v>3527</v>
          </cell>
          <cell r="BL50">
            <v>3725</v>
          </cell>
          <cell r="BM50">
            <v>3857</v>
          </cell>
          <cell r="BN50">
            <v>4120</v>
          </cell>
          <cell r="BO50">
            <v>4209</v>
          </cell>
          <cell r="BP50">
            <v>4561</v>
          </cell>
          <cell r="BQ50">
            <v>4663</v>
          </cell>
        </row>
        <row r="70">
          <cell r="AW70">
            <v>11</v>
          </cell>
          <cell r="AX70">
            <v>-152</v>
          </cell>
          <cell r="AY70">
            <v>-169</v>
          </cell>
          <cell r="AZ70">
            <v>196</v>
          </cell>
          <cell r="BA70">
            <v>327</v>
          </cell>
          <cell r="BB70">
            <v>172</v>
          </cell>
          <cell r="BC70">
            <v>405</v>
          </cell>
          <cell r="BD70">
            <v>80</v>
          </cell>
          <cell r="BE70">
            <v>97</v>
          </cell>
          <cell r="BF70">
            <v>246</v>
          </cell>
          <cell r="BG70">
            <v>174</v>
          </cell>
          <cell r="BH70">
            <v>124</v>
          </cell>
          <cell r="BI70">
            <v>300</v>
          </cell>
          <cell r="BJ70">
            <v>261</v>
          </cell>
          <cell r="BK70">
            <v>504</v>
          </cell>
          <cell r="BL70">
            <v>504</v>
          </cell>
          <cell r="BM70">
            <v>495</v>
          </cell>
          <cell r="BN70">
            <v>324</v>
          </cell>
          <cell r="BO70">
            <v>468</v>
          </cell>
          <cell r="BP70">
            <v>565</v>
          </cell>
          <cell r="BQ70">
            <v>674</v>
          </cell>
        </row>
        <row r="115">
          <cell r="AZ115">
            <v>1.4515077424612877</v>
          </cell>
          <cell r="BA115">
            <v>1.3834364868847628</v>
          </cell>
          <cell r="BB115">
            <v>1.3083722072182666</v>
          </cell>
          <cell r="BC115">
            <v>1.1499254102436598</v>
          </cell>
          <cell r="BD115">
            <v>1.1015679850222326</v>
          </cell>
          <cell r="BE115">
            <v>0.77889564810481982</v>
          </cell>
          <cell r="BF115">
            <v>0.85784187483904195</v>
          </cell>
          <cell r="BG115">
            <v>0.94561848408002258</v>
          </cell>
          <cell r="BH115">
            <v>1.0236655272153563</v>
          </cell>
          <cell r="BI115">
            <v>0.89468528043105555</v>
          </cell>
          <cell r="BJ115">
            <v>0.79701885138097328</v>
          </cell>
          <cell r="BK115">
            <v>0.89561039528281283</v>
          </cell>
          <cell r="BL115">
            <v>0.8169841913254966</v>
          </cell>
          <cell r="BM115">
            <v>1.1438161106590725</v>
          </cell>
          <cell r="BN115">
            <v>1.144906743185079</v>
          </cell>
          <cell r="BO115">
            <v>1.016579259008628</v>
          </cell>
          <cell r="BP115">
            <v>0.64223194748358858</v>
          </cell>
          <cell r="BQ115">
            <v>0.88335310399367339</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hyperlink" Target="https://stockanalysis.com/stocks/axp/company/" TargetMode="External"/><Relationship Id="rId3" Type="http://schemas.openxmlformats.org/officeDocument/2006/relationships/hyperlink" Target="https://www.americanexpress.com/" TargetMode="External"/><Relationship Id="rId7" Type="http://schemas.openxmlformats.org/officeDocument/2006/relationships/hyperlink" Target="https://www.gurufocus.com/term/wacc/AXP" TargetMode="External"/><Relationship Id="rId2" Type="http://schemas.openxmlformats.org/officeDocument/2006/relationships/hyperlink" Target="000%20Fin-Tech%20Master%20List%20000.xlsx" TargetMode="External"/><Relationship Id="rId1" Type="http://schemas.openxmlformats.org/officeDocument/2006/relationships/hyperlink" Target="https://app.godelterminal.com/" TargetMode="External"/><Relationship Id="rId6" Type="http://schemas.openxmlformats.org/officeDocument/2006/relationships/hyperlink" Target="https://www.macrotrends.net/stocks/charts/AXP/american-express/income-statement?freq=Q" TargetMode="External"/><Relationship Id="rId5" Type="http://schemas.openxmlformats.org/officeDocument/2006/relationships/hyperlink" Target="https://ir.americanexpress.com/investor-relations/default.aspx" TargetMode="External"/><Relationship Id="rId4" Type="http://schemas.openxmlformats.org/officeDocument/2006/relationships/hyperlink" Target="https://www.sec.gov/edgar/browse/?CIK=4962&amp;owner=exclude" TargetMode="External"/><Relationship Id="rId9" Type="http://schemas.openxmlformats.org/officeDocument/2006/relationships/hyperlink" Target="https://seekingalpha.com/symbol/AXP/earnings/transcript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4"/>
  <sheetViews>
    <sheetView tabSelected="1" workbookViewId="0">
      <selection activeCell="A33" sqref="A33:B34"/>
    </sheetView>
  </sheetViews>
  <sheetFormatPr defaultRowHeight="14.25"/>
  <cols>
    <col min="1" max="1" width="3.42578125" style="1" customWidth="1"/>
    <col min="2" max="4" width="11.5703125" style="1" customWidth="1"/>
    <col min="5" max="16384" width="9.140625" style="1"/>
  </cols>
  <sheetData>
    <row r="1" spans="1:18">
      <c r="A1" s="45" t="s">
        <v>0</v>
      </c>
    </row>
    <row r="2" spans="1:18" ht="15">
      <c r="A2" s="2" t="s">
        <v>172</v>
      </c>
    </row>
    <row r="4" spans="1:18" ht="15">
      <c r="B4" s="2" t="s">
        <v>175</v>
      </c>
    </row>
    <row r="5" spans="1:18">
      <c r="B5" s="1" t="s">
        <v>1</v>
      </c>
      <c r="C5" s="43">
        <v>322.55</v>
      </c>
      <c r="D5" s="42" t="s">
        <v>1485</v>
      </c>
    </row>
    <row r="6" spans="1:18">
      <c r="B6" s="1" t="s">
        <v>2</v>
      </c>
      <c r="C6" s="46">
        <v>700.58799999999997</v>
      </c>
      <c r="D6" s="1" t="s">
        <v>1486</v>
      </c>
    </row>
    <row r="7" spans="1:18">
      <c r="B7" s="1" t="s">
        <v>3</v>
      </c>
      <c r="C7" s="47">
        <f>C5*C6</f>
        <v>225974.6594</v>
      </c>
    </row>
    <row r="8" spans="1:18">
      <c r="B8" s="1" t="s">
        <v>4</v>
      </c>
      <c r="C8" s="49">
        <v>52.508000000000003</v>
      </c>
      <c r="D8" s="1" t="s">
        <v>1486</v>
      </c>
    </row>
    <row r="9" spans="1:18">
      <c r="B9" s="1" t="s">
        <v>5</v>
      </c>
      <c r="C9" s="44">
        <v>51.2</v>
      </c>
      <c r="D9" s="1" t="s">
        <v>1486</v>
      </c>
    </row>
    <row r="10" spans="1:18">
      <c r="B10" s="1" t="s">
        <v>6</v>
      </c>
      <c r="C10" s="48">
        <f>C7-C8+C9</f>
        <v>225973.35140000001</v>
      </c>
      <c r="D10" s="1" t="s">
        <v>1486</v>
      </c>
    </row>
    <row r="12" spans="1:18" ht="15">
      <c r="B12" s="2" t="s">
        <v>176</v>
      </c>
    </row>
    <row r="13" spans="1:18" ht="15">
      <c r="N13" s="1" t="s">
        <v>171</v>
      </c>
      <c r="Q13" s="2"/>
    </row>
    <row r="14" spans="1:18">
      <c r="B14" s="1" t="s">
        <v>195</v>
      </c>
      <c r="H14" s="1" t="s">
        <v>205</v>
      </c>
      <c r="N14" s="1" t="s">
        <v>8</v>
      </c>
      <c r="Q14" s="45" t="s">
        <v>187</v>
      </c>
    </row>
    <row r="15" spans="1:18">
      <c r="B15" s="1" t="s">
        <v>181</v>
      </c>
      <c r="H15" s="1" t="s">
        <v>206</v>
      </c>
      <c r="N15" s="1" t="s">
        <v>184</v>
      </c>
      <c r="Q15" s="45" t="s">
        <v>186</v>
      </c>
    </row>
    <row r="16" spans="1:18">
      <c r="B16" s="1" t="s">
        <v>182</v>
      </c>
      <c r="H16" s="1" t="s">
        <v>7</v>
      </c>
      <c r="O16" s="1" t="s">
        <v>185</v>
      </c>
      <c r="R16" s="45" t="s">
        <v>188</v>
      </c>
    </row>
    <row r="17" spans="1:17">
      <c r="B17" s="1" t="s">
        <v>177</v>
      </c>
      <c r="H17" s="1" t="s">
        <v>167</v>
      </c>
      <c r="N17" s="1" t="s">
        <v>164</v>
      </c>
      <c r="Q17" s="45" t="s">
        <v>194</v>
      </c>
    </row>
    <row r="18" spans="1:17">
      <c r="B18" s="1" t="s">
        <v>178</v>
      </c>
      <c r="H18" s="1" t="s">
        <v>160</v>
      </c>
      <c r="I18" s="1" t="s">
        <v>183</v>
      </c>
      <c r="K18" s="1" t="s">
        <v>161</v>
      </c>
      <c r="N18" s="1" t="s">
        <v>165</v>
      </c>
      <c r="Q18" s="45" t="s">
        <v>193</v>
      </c>
    </row>
    <row r="19" spans="1:17">
      <c r="B19" s="1" t="s">
        <v>179</v>
      </c>
      <c r="N19" s="1" t="s">
        <v>190</v>
      </c>
      <c r="Q19" s="45" t="s">
        <v>191</v>
      </c>
    </row>
    <row r="20" spans="1:17">
      <c r="B20" s="1" t="s">
        <v>180</v>
      </c>
      <c r="N20" s="1" t="s">
        <v>189</v>
      </c>
      <c r="Q20" s="45" t="s">
        <v>192</v>
      </c>
    </row>
    <row r="21" spans="1:17">
      <c r="B21" s="1" t="s">
        <v>196</v>
      </c>
      <c r="N21" s="1" t="s">
        <v>9</v>
      </c>
      <c r="Q21" s="45" t="s">
        <v>166</v>
      </c>
    </row>
    <row r="23" spans="1:17" ht="15">
      <c r="A23" s="2" t="s">
        <v>10</v>
      </c>
    </row>
    <row r="24" spans="1:17">
      <c r="B24" s="1" t="s">
        <v>197</v>
      </c>
    </row>
    <row r="25" spans="1:17">
      <c r="C25" s="1" t="s">
        <v>198</v>
      </c>
    </row>
    <row r="26" spans="1:17">
      <c r="B26" s="1" t="s">
        <v>199</v>
      </c>
    </row>
    <row r="27" spans="1:17">
      <c r="C27" s="1" t="s">
        <v>200</v>
      </c>
    </row>
    <row r="28" spans="1:17">
      <c r="B28" s="1" t="s">
        <v>201</v>
      </c>
    </row>
    <row r="29" spans="1:17">
      <c r="C29" s="1" t="s">
        <v>202</v>
      </c>
    </row>
    <row r="30" spans="1:17">
      <c r="B30" s="1" t="s">
        <v>203</v>
      </c>
    </row>
    <row r="31" spans="1:17">
      <c r="B31" s="1" t="s">
        <v>204</v>
      </c>
    </row>
    <row r="33" spans="1:2" ht="15">
      <c r="A33" s="2" t="s">
        <v>168</v>
      </c>
    </row>
    <row r="34" spans="1:2">
      <c r="B34" s="1" t="s">
        <v>169</v>
      </c>
    </row>
  </sheetData>
  <hyperlinks>
    <hyperlink ref="Q21" r:id="rId1" xr:uid="{14375537-5C3D-4253-9650-337AB6789785}"/>
    <hyperlink ref="A1" r:id="rId2" xr:uid="{D50F4BCB-7C8A-4D0D-8B27-EBAEF0EBDE1B}"/>
    <hyperlink ref="Q15" r:id="rId3" xr:uid="{668B5638-A0B1-494D-8DB3-20977B43BC03}"/>
    <hyperlink ref="Q14" r:id="rId4" xr:uid="{C61BAADA-98B1-4F07-B5A1-47FF3833A81E}"/>
    <hyperlink ref="R16" r:id="rId5" xr:uid="{EAF3557A-7684-44A7-8BB8-F3C126866C92}"/>
    <hyperlink ref="Q19" r:id="rId6" xr:uid="{2217E341-E307-48C4-877C-1D370D84644D}"/>
    <hyperlink ref="Q20" r:id="rId7" xr:uid="{9F6D7552-D4DE-4C5D-A9DB-1037306E4833}"/>
    <hyperlink ref="Q18" r:id="rId8" xr:uid="{FD833860-4211-488B-B918-0190E0C22E82}"/>
    <hyperlink ref="Q17" r:id="rId9" xr:uid="{694578A6-D7C6-4A30-95F9-C3E569E5D41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FJ83"/>
  <sheetViews>
    <sheetView workbookViewId="0">
      <pane xSplit="2" ySplit="3" topLeftCell="CY4" activePane="bottomRight" state="frozen"/>
      <selection pane="topRight" activeCell="C1" sqref="C1"/>
      <selection pane="bottomLeft" activeCell="A4" sqref="A4"/>
      <selection pane="bottomRight" activeCell="A26" sqref="A26:XFD26"/>
    </sheetView>
  </sheetViews>
  <sheetFormatPr defaultRowHeight="14.25"/>
  <cols>
    <col min="1" max="1" width="3.140625" style="1" customWidth="1"/>
    <col min="2" max="2" width="39.7109375" style="1" customWidth="1"/>
    <col min="3" max="4" width="9.140625" style="1" customWidth="1"/>
    <col min="5" max="71" width="9.140625" style="1"/>
    <col min="72" max="78" width="9.140625" style="35"/>
    <col min="79" max="16384" width="9.140625" style="1"/>
  </cols>
  <sheetData>
    <row r="1" spans="2:166" ht="15">
      <c r="B1" s="1" t="s">
        <v>1463</v>
      </c>
      <c r="AY1" s="33" t="s">
        <v>91</v>
      </c>
      <c r="BC1" s="33" t="s">
        <v>95</v>
      </c>
      <c r="BG1" s="33" t="s">
        <v>99</v>
      </c>
      <c r="BK1" s="33" t="s">
        <v>103</v>
      </c>
      <c r="BO1" s="33" t="s">
        <v>107</v>
      </c>
      <c r="BS1" s="33" t="s">
        <v>111</v>
      </c>
    </row>
    <row r="2" spans="2:166">
      <c r="B2" s="1" t="s">
        <v>119</v>
      </c>
    </row>
    <row r="3" spans="2:166" ht="15">
      <c r="B3" s="2" t="s">
        <v>120</v>
      </c>
      <c r="C3" s="2" t="s">
        <v>122</v>
      </c>
      <c r="D3" s="33" t="s">
        <v>45</v>
      </c>
      <c r="E3" s="33" t="s">
        <v>46</v>
      </c>
      <c r="F3" s="33" t="s">
        <v>123</v>
      </c>
      <c r="G3" s="33" t="s">
        <v>47</v>
      </c>
      <c r="H3" s="33" t="s">
        <v>48</v>
      </c>
      <c r="I3" s="33" t="s">
        <v>49</v>
      </c>
      <c r="J3" s="33" t="s">
        <v>50</v>
      </c>
      <c r="K3" s="33" t="s">
        <v>51</v>
      </c>
      <c r="L3" s="33" t="s">
        <v>52</v>
      </c>
      <c r="M3" s="33" t="s">
        <v>53</v>
      </c>
      <c r="N3" s="33" t="s">
        <v>54</v>
      </c>
      <c r="O3" s="33" t="s">
        <v>55</v>
      </c>
      <c r="P3" s="33" t="s">
        <v>56</v>
      </c>
      <c r="Q3" s="33" t="s">
        <v>57</v>
      </c>
      <c r="R3" s="33" t="s">
        <v>58</v>
      </c>
      <c r="S3" s="33" t="s">
        <v>59</v>
      </c>
      <c r="T3" s="33" t="s">
        <v>60</v>
      </c>
      <c r="U3" s="33" t="s">
        <v>61</v>
      </c>
      <c r="V3" s="33" t="s">
        <v>62</v>
      </c>
      <c r="W3" s="33" t="s">
        <v>63</v>
      </c>
      <c r="X3" s="33" t="s">
        <v>64</v>
      </c>
      <c r="Y3" s="33" t="s">
        <v>65</v>
      </c>
      <c r="Z3" s="33" t="s">
        <v>66</v>
      </c>
      <c r="AA3" s="33" t="s">
        <v>67</v>
      </c>
      <c r="AB3" s="33" t="s">
        <v>68</v>
      </c>
      <c r="AC3" s="33" t="s">
        <v>69</v>
      </c>
      <c r="AD3" s="33" t="s">
        <v>70</v>
      </c>
      <c r="AE3" s="33" t="s">
        <v>71</v>
      </c>
      <c r="AF3" s="33" t="s">
        <v>72</v>
      </c>
      <c r="AG3" s="33" t="s">
        <v>73</v>
      </c>
      <c r="AH3" s="33" t="s">
        <v>74</v>
      </c>
      <c r="AI3" s="33" t="s">
        <v>75</v>
      </c>
      <c r="AJ3" s="33" t="s">
        <v>76</v>
      </c>
      <c r="AK3" s="33" t="s">
        <v>77</v>
      </c>
      <c r="AL3" s="33" t="s">
        <v>78</v>
      </c>
      <c r="AM3" s="33" t="s">
        <v>79</v>
      </c>
      <c r="AN3" s="33" t="s">
        <v>80</v>
      </c>
      <c r="AO3" s="33" t="s">
        <v>81</v>
      </c>
      <c r="AP3" s="33" t="s">
        <v>82</v>
      </c>
      <c r="AQ3" s="33" t="s">
        <v>83</v>
      </c>
      <c r="AR3" s="33" t="s">
        <v>84</v>
      </c>
      <c r="AS3" s="33" t="s">
        <v>85</v>
      </c>
      <c r="AT3" s="33" t="s">
        <v>86</v>
      </c>
      <c r="AU3" s="33" t="s">
        <v>87</v>
      </c>
      <c r="AV3" s="33" t="s">
        <v>88</v>
      </c>
      <c r="AW3" s="33" t="s">
        <v>89</v>
      </c>
      <c r="AX3" s="33" t="s">
        <v>90</v>
      </c>
      <c r="AY3" s="33" t="s">
        <v>91</v>
      </c>
      <c r="AZ3" s="33" t="s">
        <v>92</v>
      </c>
      <c r="BA3" s="33" t="s">
        <v>93</v>
      </c>
      <c r="BB3" s="33" t="s">
        <v>94</v>
      </c>
      <c r="BC3" s="33" t="s">
        <v>95</v>
      </c>
      <c r="BD3" s="33" t="s">
        <v>96</v>
      </c>
      <c r="BE3" s="33" t="s">
        <v>97</v>
      </c>
      <c r="BF3" s="33" t="s">
        <v>98</v>
      </c>
      <c r="BG3" s="33" t="s">
        <v>99</v>
      </c>
      <c r="BH3" s="33" t="s">
        <v>100</v>
      </c>
      <c r="BI3" s="33" t="s">
        <v>101</v>
      </c>
      <c r="BJ3" s="33" t="s">
        <v>102</v>
      </c>
      <c r="BK3" s="33" t="s">
        <v>103</v>
      </c>
      <c r="BL3" s="33" t="s">
        <v>104</v>
      </c>
      <c r="BM3" s="33" t="s">
        <v>105</v>
      </c>
      <c r="BN3" s="33" t="s">
        <v>106</v>
      </c>
      <c r="BO3" s="33" t="s">
        <v>107</v>
      </c>
      <c r="BP3" s="33" t="s">
        <v>108</v>
      </c>
      <c r="BQ3" s="33" t="s">
        <v>109</v>
      </c>
      <c r="BR3" s="33" t="s">
        <v>110</v>
      </c>
      <c r="BS3" s="33" t="s">
        <v>111</v>
      </c>
      <c r="BT3" s="34" t="s">
        <v>112</v>
      </c>
      <c r="BU3" s="34" t="s">
        <v>113</v>
      </c>
      <c r="BV3" s="34" t="s">
        <v>114</v>
      </c>
      <c r="BW3" s="34" t="s">
        <v>115</v>
      </c>
      <c r="BX3" s="34" t="s">
        <v>116</v>
      </c>
      <c r="BY3" s="34" t="s">
        <v>117</v>
      </c>
      <c r="BZ3" s="34" t="s">
        <v>118</v>
      </c>
      <c r="CI3" s="2">
        <v>2008</v>
      </c>
      <c r="CJ3" s="2">
        <f>CI3+1</f>
        <v>2009</v>
      </c>
      <c r="CK3" s="2">
        <f t="shared" ref="CK3:EV3" si="0">CJ3+1</f>
        <v>2010</v>
      </c>
      <c r="CL3" s="2">
        <f t="shared" si="0"/>
        <v>2011</v>
      </c>
      <c r="CM3" s="2">
        <f t="shared" si="0"/>
        <v>2012</v>
      </c>
      <c r="CN3" s="2">
        <f t="shared" si="0"/>
        <v>2013</v>
      </c>
      <c r="CO3" s="2">
        <f t="shared" si="0"/>
        <v>2014</v>
      </c>
      <c r="CP3" s="2">
        <f t="shared" si="0"/>
        <v>2015</v>
      </c>
      <c r="CQ3" s="2">
        <f t="shared" si="0"/>
        <v>2016</v>
      </c>
      <c r="CR3" s="2">
        <f t="shared" si="0"/>
        <v>2017</v>
      </c>
      <c r="CS3" s="2">
        <f t="shared" si="0"/>
        <v>2018</v>
      </c>
      <c r="CT3" s="2">
        <f t="shared" si="0"/>
        <v>2019</v>
      </c>
      <c r="CU3" s="2">
        <f t="shared" si="0"/>
        <v>2020</v>
      </c>
      <c r="CV3" s="2">
        <f t="shared" si="0"/>
        <v>2021</v>
      </c>
      <c r="CW3" s="2">
        <f t="shared" si="0"/>
        <v>2022</v>
      </c>
      <c r="CX3" s="2">
        <f t="shared" si="0"/>
        <v>2023</v>
      </c>
      <c r="CY3" s="2">
        <f t="shared" si="0"/>
        <v>2024</v>
      </c>
      <c r="CZ3" s="2">
        <f t="shared" si="0"/>
        <v>2025</v>
      </c>
      <c r="DA3" s="2">
        <f t="shared" si="0"/>
        <v>2026</v>
      </c>
      <c r="DB3" s="2">
        <f t="shared" si="0"/>
        <v>2027</v>
      </c>
      <c r="DC3" s="2">
        <f t="shared" si="0"/>
        <v>2028</v>
      </c>
      <c r="DD3" s="2">
        <f t="shared" si="0"/>
        <v>2029</v>
      </c>
      <c r="DE3" s="2">
        <f t="shared" si="0"/>
        <v>2030</v>
      </c>
      <c r="DF3" s="2">
        <f t="shared" si="0"/>
        <v>2031</v>
      </c>
      <c r="DG3" s="2">
        <f t="shared" si="0"/>
        <v>2032</v>
      </c>
      <c r="DH3" s="2">
        <f t="shared" si="0"/>
        <v>2033</v>
      </c>
      <c r="DI3" s="2">
        <f t="shared" si="0"/>
        <v>2034</v>
      </c>
      <c r="DJ3" s="2">
        <f t="shared" si="0"/>
        <v>2035</v>
      </c>
      <c r="DK3" s="2">
        <f t="shared" si="0"/>
        <v>2036</v>
      </c>
      <c r="DL3" s="2">
        <f t="shared" si="0"/>
        <v>2037</v>
      </c>
      <c r="DM3" s="2">
        <f t="shared" si="0"/>
        <v>2038</v>
      </c>
      <c r="DN3" s="2">
        <f t="shared" si="0"/>
        <v>2039</v>
      </c>
      <c r="DO3" s="2">
        <f t="shared" si="0"/>
        <v>2040</v>
      </c>
      <c r="DP3" s="2">
        <f t="shared" si="0"/>
        <v>2041</v>
      </c>
      <c r="DQ3" s="2">
        <f t="shared" si="0"/>
        <v>2042</v>
      </c>
      <c r="DR3" s="2">
        <f t="shared" si="0"/>
        <v>2043</v>
      </c>
      <c r="DS3" s="2">
        <f t="shared" si="0"/>
        <v>2044</v>
      </c>
      <c r="DT3" s="2">
        <f t="shared" si="0"/>
        <v>2045</v>
      </c>
      <c r="DU3" s="2">
        <f t="shared" si="0"/>
        <v>2046</v>
      </c>
      <c r="DV3" s="2">
        <f t="shared" si="0"/>
        <v>2047</v>
      </c>
      <c r="DW3" s="2">
        <f t="shared" si="0"/>
        <v>2048</v>
      </c>
      <c r="DX3" s="2">
        <f t="shared" si="0"/>
        <v>2049</v>
      </c>
      <c r="DY3" s="2">
        <f t="shared" si="0"/>
        <v>2050</v>
      </c>
      <c r="DZ3" s="2">
        <f t="shared" si="0"/>
        <v>2051</v>
      </c>
      <c r="EA3" s="2">
        <f t="shared" si="0"/>
        <v>2052</v>
      </c>
      <c r="EB3" s="2">
        <f t="shared" si="0"/>
        <v>2053</v>
      </c>
      <c r="EC3" s="2">
        <f t="shared" si="0"/>
        <v>2054</v>
      </c>
      <c r="ED3" s="2">
        <f t="shared" si="0"/>
        <v>2055</v>
      </c>
      <c r="EE3" s="2">
        <f t="shared" si="0"/>
        <v>2056</v>
      </c>
      <c r="EF3" s="2">
        <f t="shared" si="0"/>
        <v>2057</v>
      </c>
      <c r="EG3" s="2">
        <f t="shared" si="0"/>
        <v>2058</v>
      </c>
      <c r="EH3" s="2">
        <f t="shared" si="0"/>
        <v>2059</v>
      </c>
      <c r="EI3" s="2">
        <f t="shared" si="0"/>
        <v>2060</v>
      </c>
      <c r="EJ3" s="2">
        <f t="shared" si="0"/>
        <v>2061</v>
      </c>
      <c r="EK3" s="2">
        <f t="shared" si="0"/>
        <v>2062</v>
      </c>
      <c r="EL3" s="2">
        <f t="shared" si="0"/>
        <v>2063</v>
      </c>
      <c r="EM3" s="2">
        <f t="shared" si="0"/>
        <v>2064</v>
      </c>
      <c r="EN3" s="2">
        <f t="shared" si="0"/>
        <v>2065</v>
      </c>
      <c r="EO3" s="2">
        <f t="shared" si="0"/>
        <v>2066</v>
      </c>
      <c r="EP3" s="2">
        <f t="shared" si="0"/>
        <v>2067</v>
      </c>
      <c r="EQ3" s="2">
        <f t="shared" si="0"/>
        <v>2068</v>
      </c>
      <c r="ER3" s="2">
        <f t="shared" si="0"/>
        <v>2069</v>
      </c>
      <c r="ES3" s="2">
        <f t="shared" si="0"/>
        <v>2070</v>
      </c>
      <c r="ET3" s="2">
        <f t="shared" si="0"/>
        <v>2071</v>
      </c>
      <c r="EU3" s="2">
        <f t="shared" si="0"/>
        <v>2072</v>
      </c>
      <c r="EV3" s="2">
        <f t="shared" si="0"/>
        <v>2073</v>
      </c>
      <c r="EW3" s="2">
        <f t="shared" ref="EW3:FG3" si="1">EV3+1</f>
        <v>2074</v>
      </c>
      <c r="EX3" s="2">
        <f t="shared" si="1"/>
        <v>2075</v>
      </c>
      <c r="EY3" s="2">
        <f t="shared" si="1"/>
        <v>2076</v>
      </c>
      <c r="EZ3" s="2">
        <f t="shared" si="1"/>
        <v>2077</v>
      </c>
      <c r="FA3" s="2">
        <f t="shared" si="1"/>
        <v>2078</v>
      </c>
      <c r="FB3" s="2">
        <f t="shared" si="1"/>
        <v>2079</v>
      </c>
      <c r="FC3" s="2">
        <f t="shared" si="1"/>
        <v>2080</v>
      </c>
      <c r="FD3" s="2">
        <f t="shared" si="1"/>
        <v>2081</v>
      </c>
      <c r="FE3" s="2">
        <f t="shared" si="1"/>
        <v>2082</v>
      </c>
      <c r="FF3" s="2">
        <f t="shared" si="1"/>
        <v>2083</v>
      </c>
      <c r="FG3" s="2">
        <f t="shared" si="1"/>
        <v>2084</v>
      </c>
      <c r="FH3" s="2"/>
      <c r="FI3" s="2"/>
      <c r="FJ3" s="2"/>
    </row>
    <row r="4" spans="2:166">
      <c r="B4" s="36" t="s">
        <v>1464</v>
      </c>
      <c r="CI4" s="1">
        <f>SUM(C4:F4)</f>
        <v>0</v>
      </c>
      <c r="CJ4" s="1">
        <f>SUM(G4:J4)</f>
        <v>0</v>
      </c>
      <c r="CK4" s="1">
        <f>SUM(K4:N4)</f>
        <v>0</v>
      </c>
      <c r="CL4" s="1">
        <f>SUM(O4:R4)</f>
        <v>0</v>
      </c>
      <c r="CM4" s="1">
        <f>SUM(S4:V4)</f>
        <v>0</v>
      </c>
      <c r="CN4" s="1">
        <f>SUM(W4:Z4)</f>
        <v>0</v>
      </c>
      <c r="CO4" s="1">
        <f>SUM(AA4:AD4)</f>
        <v>0</v>
      </c>
      <c r="CP4" s="1">
        <f>SUM(AE4:AH4)</f>
        <v>0</v>
      </c>
      <c r="CQ4" s="1">
        <f>SUM(AI4:AL4)</f>
        <v>0</v>
      </c>
      <c r="CR4" s="1">
        <f>SUM(AM4:AP4)</f>
        <v>0</v>
      </c>
      <c r="CS4" s="1">
        <f>SUM(AQ4:AT4)</f>
        <v>0</v>
      </c>
      <c r="CT4" s="1">
        <f>SUM(AU4:AX4)</f>
        <v>0</v>
      </c>
      <c r="CU4" s="1">
        <f>SUM(AY4:BB4)</f>
        <v>0</v>
      </c>
      <c r="CV4" s="1">
        <f>SUM(BC4:BF4)</f>
        <v>0</v>
      </c>
      <c r="CW4" s="1">
        <f>SUM(BG4:BJ4)</f>
        <v>0</v>
      </c>
      <c r="CX4" s="1">
        <f>SUM(BK4:BN4)</f>
        <v>0</v>
      </c>
      <c r="CY4" s="1">
        <f>SUM(BO4:BR4)</f>
        <v>0</v>
      </c>
    </row>
    <row r="5" spans="2:166">
      <c r="B5" s="36" t="s">
        <v>1465</v>
      </c>
      <c r="CI5" s="1">
        <f t="shared" ref="CI5:CI7" si="2">SUM(C5:F5)</f>
        <v>0</v>
      </c>
      <c r="CJ5" s="1">
        <f t="shared" ref="CJ5:CJ7" si="3">SUM(G5:J5)</f>
        <v>0</v>
      </c>
      <c r="CK5" s="1">
        <f t="shared" ref="CK5:CK7" si="4">SUM(K5:N5)</f>
        <v>0</v>
      </c>
      <c r="CL5" s="1">
        <f t="shared" ref="CL5:CL7" si="5">SUM(O5:R5)</f>
        <v>0</v>
      </c>
      <c r="CM5" s="1">
        <f t="shared" ref="CM5:CM7" si="6">SUM(S5:V5)</f>
        <v>0</v>
      </c>
      <c r="CN5" s="1">
        <f t="shared" ref="CN5:CN7" si="7">SUM(W5:Z5)</f>
        <v>0</v>
      </c>
      <c r="CO5" s="1">
        <f t="shared" ref="CO5:CO7" si="8">SUM(AA5:AD5)</f>
        <v>0</v>
      </c>
      <c r="CP5" s="1">
        <f t="shared" ref="CP5:CP7" si="9">SUM(AE5:AH5)</f>
        <v>0</v>
      </c>
      <c r="CQ5" s="1">
        <f t="shared" ref="CQ5:CQ7" si="10">SUM(AI5:AL5)</f>
        <v>0</v>
      </c>
      <c r="CR5" s="1">
        <f t="shared" ref="CR5:CR7" si="11">SUM(AM5:AP5)</f>
        <v>0</v>
      </c>
      <c r="CS5" s="1">
        <f t="shared" ref="CS5:CS7" si="12">SUM(AQ5:AT5)</f>
        <v>0</v>
      </c>
      <c r="CT5" s="1">
        <f t="shared" ref="CT5:CT7" si="13">SUM(AU5:AX5)</f>
        <v>0</v>
      </c>
      <c r="CU5" s="1">
        <f t="shared" ref="CU5:CU7" si="14">SUM(AY5:BB5)</f>
        <v>0</v>
      </c>
      <c r="CV5" s="1">
        <f t="shared" ref="CV5:CV7" si="15">SUM(BC5:BF5)</f>
        <v>0</v>
      </c>
      <c r="CW5" s="1">
        <f t="shared" ref="CW5:CW7" si="16">SUM(BG5:BJ5)</f>
        <v>0</v>
      </c>
      <c r="CX5" s="1">
        <f t="shared" ref="CX5:CX7" si="17">SUM(BK5:BN5)</f>
        <v>0</v>
      </c>
      <c r="CY5" s="1">
        <f t="shared" ref="CY5:CY7" si="18">SUM(BO5:BR5)</f>
        <v>0</v>
      </c>
    </row>
    <row r="6" spans="2:166">
      <c r="B6" s="36" t="s">
        <v>1466</v>
      </c>
      <c r="CI6" s="1">
        <f t="shared" si="2"/>
        <v>0</v>
      </c>
      <c r="CJ6" s="1">
        <f t="shared" si="3"/>
        <v>0</v>
      </c>
      <c r="CK6" s="1">
        <f t="shared" si="4"/>
        <v>0</v>
      </c>
      <c r="CL6" s="1">
        <f t="shared" si="5"/>
        <v>0</v>
      </c>
      <c r="CM6" s="1">
        <f t="shared" si="6"/>
        <v>0</v>
      </c>
      <c r="CN6" s="1">
        <f t="shared" si="7"/>
        <v>0</v>
      </c>
      <c r="CO6" s="1">
        <f t="shared" si="8"/>
        <v>0</v>
      </c>
      <c r="CP6" s="1">
        <f t="shared" si="9"/>
        <v>0</v>
      </c>
      <c r="CQ6" s="1">
        <f t="shared" si="10"/>
        <v>0</v>
      </c>
      <c r="CR6" s="1">
        <f t="shared" si="11"/>
        <v>0</v>
      </c>
      <c r="CS6" s="1">
        <f t="shared" si="12"/>
        <v>0</v>
      </c>
      <c r="CT6" s="1">
        <f t="shared" si="13"/>
        <v>0</v>
      </c>
      <c r="CU6" s="1">
        <f t="shared" si="14"/>
        <v>0</v>
      </c>
      <c r="CV6" s="1">
        <f t="shared" si="15"/>
        <v>0</v>
      </c>
      <c r="CW6" s="1">
        <f t="shared" si="16"/>
        <v>0</v>
      </c>
      <c r="CX6" s="1">
        <f t="shared" si="17"/>
        <v>0</v>
      </c>
      <c r="CY6" s="1">
        <f t="shared" si="18"/>
        <v>0</v>
      </c>
    </row>
    <row r="7" spans="2:166">
      <c r="B7" s="36" t="s">
        <v>1467</v>
      </c>
      <c r="CI7" s="1">
        <f t="shared" si="2"/>
        <v>0</v>
      </c>
      <c r="CJ7" s="1">
        <f t="shared" si="3"/>
        <v>0</v>
      </c>
      <c r="CK7" s="1">
        <f t="shared" si="4"/>
        <v>0</v>
      </c>
      <c r="CL7" s="1">
        <f t="shared" si="5"/>
        <v>0</v>
      </c>
      <c r="CM7" s="1">
        <f t="shared" si="6"/>
        <v>0</v>
      </c>
      <c r="CN7" s="1">
        <f t="shared" si="7"/>
        <v>0</v>
      </c>
      <c r="CO7" s="1">
        <f t="shared" si="8"/>
        <v>0</v>
      </c>
      <c r="CP7" s="1">
        <f t="shared" si="9"/>
        <v>0</v>
      </c>
      <c r="CQ7" s="1">
        <f t="shared" si="10"/>
        <v>0</v>
      </c>
      <c r="CR7" s="1">
        <f t="shared" si="11"/>
        <v>0</v>
      </c>
      <c r="CS7" s="1">
        <f t="shared" si="12"/>
        <v>0</v>
      </c>
      <c r="CT7" s="1">
        <f t="shared" si="13"/>
        <v>0</v>
      </c>
      <c r="CU7" s="1">
        <f t="shared" si="14"/>
        <v>0</v>
      </c>
      <c r="CV7" s="1">
        <f t="shared" si="15"/>
        <v>0</v>
      </c>
      <c r="CW7" s="1">
        <f t="shared" si="16"/>
        <v>0</v>
      </c>
      <c r="CX7" s="1">
        <f t="shared" si="17"/>
        <v>0</v>
      </c>
      <c r="CY7" s="1">
        <f t="shared" si="18"/>
        <v>0</v>
      </c>
    </row>
    <row r="8" spans="2:166" ht="15">
      <c r="B8" s="33" t="s">
        <v>121</v>
      </c>
      <c r="C8" s="36"/>
      <c r="AY8" s="1">
        <f t="shared" ref="AY8:BR8" si="19">SUM(AY4:AY7)</f>
        <v>0</v>
      </c>
      <c r="AZ8" s="1">
        <f t="shared" si="19"/>
        <v>0</v>
      </c>
      <c r="BA8" s="1">
        <f t="shared" si="19"/>
        <v>0</v>
      </c>
      <c r="BB8" s="1">
        <f t="shared" si="19"/>
        <v>0</v>
      </c>
      <c r="BC8" s="1">
        <f t="shared" si="19"/>
        <v>0</v>
      </c>
      <c r="BD8" s="1">
        <f t="shared" si="19"/>
        <v>0</v>
      </c>
      <c r="BE8" s="1">
        <f t="shared" si="19"/>
        <v>0</v>
      </c>
      <c r="BF8" s="1">
        <f t="shared" si="19"/>
        <v>0</v>
      </c>
      <c r="BG8" s="1">
        <f t="shared" si="19"/>
        <v>0</v>
      </c>
      <c r="BH8" s="1">
        <f t="shared" si="19"/>
        <v>0</v>
      </c>
      <c r="BI8" s="1">
        <f t="shared" si="19"/>
        <v>0</v>
      </c>
      <c r="BJ8" s="1">
        <f t="shared" si="19"/>
        <v>0</v>
      </c>
      <c r="BK8" s="1">
        <f t="shared" si="19"/>
        <v>0</v>
      </c>
      <c r="BL8" s="1">
        <f t="shared" si="19"/>
        <v>0</v>
      </c>
      <c r="BM8" s="1">
        <f t="shared" si="19"/>
        <v>0</v>
      </c>
      <c r="BN8" s="1">
        <f t="shared" si="19"/>
        <v>0</v>
      </c>
      <c r="BO8" s="1">
        <f t="shared" si="19"/>
        <v>0</v>
      </c>
      <c r="BP8" s="1">
        <f t="shared" si="19"/>
        <v>0</v>
      </c>
      <c r="BQ8" s="1">
        <f t="shared" si="19"/>
        <v>0</v>
      </c>
      <c r="BR8" s="1">
        <f t="shared" si="19"/>
        <v>0</v>
      </c>
      <c r="BS8" s="1">
        <f>SUM(BS4:BS7)</f>
        <v>0</v>
      </c>
      <c r="CI8" s="1">
        <f t="shared" ref="CI8:CX8" si="20">SUM(CI4:CI7)</f>
        <v>0</v>
      </c>
      <c r="CJ8" s="1">
        <f t="shared" si="20"/>
        <v>0</v>
      </c>
      <c r="CK8" s="1">
        <f t="shared" si="20"/>
        <v>0</v>
      </c>
      <c r="CL8" s="1">
        <f t="shared" si="20"/>
        <v>0</v>
      </c>
      <c r="CM8" s="1">
        <f t="shared" si="20"/>
        <v>0</v>
      </c>
      <c r="CN8" s="1">
        <f t="shared" si="20"/>
        <v>0</v>
      </c>
      <c r="CO8" s="1">
        <f t="shared" si="20"/>
        <v>0</v>
      </c>
      <c r="CP8" s="1">
        <f t="shared" si="20"/>
        <v>0</v>
      </c>
      <c r="CQ8" s="1">
        <f t="shared" si="20"/>
        <v>0</v>
      </c>
      <c r="CR8" s="1">
        <f t="shared" si="20"/>
        <v>0</v>
      </c>
      <c r="CS8" s="1">
        <f t="shared" si="20"/>
        <v>0</v>
      </c>
      <c r="CT8" s="1">
        <f t="shared" si="20"/>
        <v>0</v>
      </c>
      <c r="CU8" s="1">
        <f t="shared" si="20"/>
        <v>0</v>
      </c>
      <c r="CV8" s="1">
        <f t="shared" si="20"/>
        <v>0</v>
      </c>
      <c r="CW8" s="1">
        <f t="shared" si="20"/>
        <v>0</v>
      </c>
      <c r="CX8" s="1">
        <f t="shared" si="20"/>
        <v>0</v>
      </c>
      <c r="CY8" s="1">
        <f>SUM(CY4:CY7)</f>
        <v>0</v>
      </c>
    </row>
    <row r="9" spans="2:166">
      <c r="B9" s="36"/>
      <c r="C9" s="36"/>
    </row>
    <row r="10" spans="2:166">
      <c r="B10" s="37" t="s">
        <v>1468</v>
      </c>
    </row>
    <row r="11" spans="2:166">
      <c r="B11" s="37" t="s">
        <v>1469</v>
      </c>
    </row>
    <row r="12" spans="2:166">
      <c r="B12" s="37" t="s">
        <v>1470</v>
      </c>
    </row>
    <row r="13" spans="2:166">
      <c r="B13" s="37" t="s">
        <v>1471</v>
      </c>
    </row>
    <row r="14" spans="2:166">
      <c r="B14" s="37" t="s">
        <v>1472</v>
      </c>
    </row>
    <row r="16" spans="2:166">
      <c r="B16" s="37" t="s">
        <v>1476</v>
      </c>
    </row>
    <row r="17" spans="2:103">
      <c r="B17" s="37" t="s">
        <v>1475</v>
      </c>
    </row>
    <row r="18" spans="2:103">
      <c r="B18" s="37" t="s">
        <v>1474</v>
      </c>
    </row>
    <row r="19" spans="2:103">
      <c r="B19" s="37" t="s">
        <v>1473</v>
      </c>
    </row>
    <row r="21" spans="2:103" ht="15">
      <c r="B21" s="2" t="s">
        <v>1477</v>
      </c>
      <c r="CI21" s="1">
        <f>SUM(C21:F21)</f>
        <v>0</v>
      </c>
      <c r="CJ21" s="1">
        <f>SUM(G21:J21)</f>
        <v>0</v>
      </c>
      <c r="CK21" s="1">
        <f>SUM(K21:N21)</f>
        <v>0</v>
      </c>
      <c r="CL21" s="1">
        <f>SUM(O21:R21)</f>
        <v>0</v>
      </c>
      <c r="CM21" s="1">
        <f>SUM(S21:V21)</f>
        <v>0</v>
      </c>
      <c r="CN21" s="1">
        <f>SUM(W21:Z21)</f>
        <v>0</v>
      </c>
      <c r="CO21" s="1">
        <f>SUM(AA21:AD21)</f>
        <v>0</v>
      </c>
      <c r="CP21" s="1">
        <f>SUM(AE21:AH21)</f>
        <v>0</v>
      </c>
      <c r="CQ21" s="1">
        <f>SUM(AI21:AL21)</f>
        <v>0</v>
      </c>
      <c r="CR21" s="1">
        <f>SUM(AM21:AP21)</f>
        <v>0</v>
      </c>
      <c r="CS21" s="1">
        <f>SUM(AQ21:AT21)</f>
        <v>0</v>
      </c>
      <c r="CT21" s="1">
        <f>SUM(AU21:AX21)</f>
        <v>0</v>
      </c>
      <c r="CU21" s="1">
        <f>SUM(AY21:BB21)</f>
        <v>0</v>
      </c>
      <c r="CV21" s="1">
        <f>SUM(BC21:BF21)</f>
        <v>0</v>
      </c>
      <c r="CW21" s="1">
        <f>SUM(BG21:BJ21)</f>
        <v>0</v>
      </c>
      <c r="CX21" s="1">
        <f>SUM(BK21:BN21)</f>
        <v>0</v>
      </c>
      <c r="CY21" s="1">
        <f>SUM(BO21:BR21)</f>
        <v>0</v>
      </c>
    </row>
    <row r="22" spans="2:103">
      <c r="B22" s="1" t="s">
        <v>1478</v>
      </c>
    </row>
    <row r="23" spans="2:103">
      <c r="B23" s="1" t="s">
        <v>1479</v>
      </c>
    </row>
    <row r="24" spans="2:103">
      <c r="B24" s="1" t="s">
        <v>1480</v>
      </c>
    </row>
    <row r="25" spans="2:103">
      <c r="B25" s="1" t="s">
        <v>1481</v>
      </c>
    </row>
    <row r="26" spans="2:103" s="2" customFormat="1" ht="15">
      <c r="B26" s="2" t="s">
        <v>137</v>
      </c>
      <c r="BT26" s="34"/>
      <c r="BU26" s="34"/>
      <c r="BV26" s="34"/>
      <c r="BW26" s="34"/>
      <c r="BX26" s="34"/>
      <c r="BY26" s="34"/>
      <c r="BZ26" s="34"/>
    </row>
    <row r="27" spans="2:103">
      <c r="B27" s="1" t="s">
        <v>141</v>
      </c>
    </row>
    <row r="28" spans="2:103">
      <c r="B28" s="1" t="s">
        <v>1482</v>
      </c>
    </row>
    <row r="30" spans="2:103">
      <c r="B30" s="37" t="s">
        <v>124</v>
      </c>
    </row>
    <row r="31" spans="2:103">
      <c r="B31" s="37" t="s">
        <v>125</v>
      </c>
    </row>
    <row r="32" spans="2:103">
      <c r="B32" s="37" t="s">
        <v>126</v>
      </c>
    </row>
    <row r="33" spans="2:103">
      <c r="B33" s="37" t="s">
        <v>162</v>
      </c>
    </row>
    <row r="35" spans="2:103">
      <c r="B35" s="1" t="s">
        <v>127</v>
      </c>
      <c r="CI35" s="1">
        <f>F35</f>
        <v>0</v>
      </c>
      <c r="CJ35" s="1">
        <f>J35</f>
        <v>0</v>
      </c>
      <c r="CK35" s="1">
        <f>N35</f>
        <v>0</v>
      </c>
      <c r="CL35" s="1">
        <f>R35</f>
        <v>0</v>
      </c>
      <c r="CM35" s="1">
        <f>V35</f>
        <v>0</v>
      </c>
      <c r="CN35" s="1">
        <f>Z35</f>
        <v>0</v>
      </c>
      <c r="CO35" s="1">
        <f>AD35</f>
        <v>0</v>
      </c>
      <c r="CP35" s="1">
        <f>AH35</f>
        <v>0</v>
      </c>
      <c r="CQ35" s="1">
        <f>AL35</f>
        <v>0</v>
      </c>
      <c r="CR35" s="1">
        <f>AP35</f>
        <v>0</v>
      </c>
      <c r="CS35" s="1">
        <f>AT35</f>
        <v>0</v>
      </c>
      <c r="CT35" s="1">
        <f>AX35</f>
        <v>0</v>
      </c>
      <c r="CU35" s="1">
        <f>BB35</f>
        <v>0</v>
      </c>
      <c r="CV35" s="1">
        <f>BF35</f>
        <v>0</v>
      </c>
      <c r="CW35" s="1">
        <f>BJ35</f>
        <v>0</v>
      </c>
      <c r="CX35" s="1">
        <f>BN35</f>
        <v>0</v>
      </c>
      <c r="CY35" s="1">
        <f>BR35</f>
        <v>0</v>
      </c>
    </row>
    <row r="36" spans="2:103">
      <c r="B36" s="1" t="s">
        <v>128</v>
      </c>
    </row>
    <row r="37" spans="2:103">
      <c r="B37" s="1" t="s">
        <v>129</v>
      </c>
    </row>
    <row r="69" spans="2:2">
      <c r="B69" s="1" t="s">
        <v>130</v>
      </c>
    </row>
    <row r="70" spans="2:2">
      <c r="B70" s="1" t="s">
        <v>131</v>
      </c>
    </row>
    <row r="71" spans="2:2">
      <c r="B71" s="1" t="s">
        <v>132</v>
      </c>
    </row>
    <row r="72" spans="2:2">
      <c r="B72" s="1" t="s">
        <v>133</v>
      </c>
    </row>
    <row r="73" spans="2:2">
      <c r="B73" s="1" t="s">
        <v>134</v>
      </c>
    </row>
    <row r="74" spans="2:2">
      <c r="B74" s="1" t="s">
        <v>135</v>
      </c>
    </row>
    <row r="75" spans="2:2">
      <c r="B75" s="1" t="s">
        <v>136</v>
      </c>
    </row>
    <row r="78" spans="2:2">
      <c r="B78" s="1" t="s">
        <v>137</v>
      </c>
    </row>
    <row r="79" spans="2:2">
      <c r="B79" s="1" t="s">
        <v>138</v>
      </c>
    </row>
    <row r="80" spans="2:2">
      <c r="B80" s="1" t="s">
        <v>139</v>
      </c>
    </row>
    <row r="81" spans="2:2">
      <c r="B81" s="1" t="s">
        <v>140</v>
      </c>
    </row>
    <row r="82" spans="2:2">
      <c r="B82" s="1" t="s">
        <v>141</v>
      </c>
    </row>
    <row r="83" spans="2:2">
      <c r="B83" s="1" t="s">
        <v>142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1618"/>
  <sheetViews>
    <sheetView topLeftCell="H215" workbookViewId="0">
      <selection activeCell="G180" sqref="A1:G1048576"/>
    </sheetView>
  </sheetViews>
  <sheetFormatPr defaultRowHeight="14.25"/>
  <cols>
    <col min="1" max="7" width="0" style="1" hidden="1" customWidth="1"/>
    <col min="8" max="8" width="3.140625" style="1" customWidth="1"/>
    <col min="9" max="28" width="9.140625" style="1"/>
    <col min="29" max="29" width="2.85546875" style="1" customWidth="1"/>
    <col min="30" max="16384" width="9.140625" style="1"/>
  </cols>
  <sheetData>
    <row r="1" spans="8:79">
      <c r="CA1" s="1">
        <v>0</v>
      </c>
    </row>
    <row r="2" spans="8:79" ht="15">
      <c r="H2" s="2" t="s">
        <v>170</v>
      </c>
      <c r="AD2" s="2" t="s">
        <v>143</v>
      </c>
    </row>
    <row r="27" spans="9:10">
      <c r="I27" s="1" t="s">
        <v>16</v>
      </c>
      <c r="J27" s="1" t="s">
        <v>17</v>
      </c>
    </row>
    <row r="28" spans="9:10">
      <c r="J28" s="1" t="s">
        <v>18</v>
      </c>
    </row>
    <row r="29" spans="9:10">
      <c r="J29" s="1" t="s">
        <v>19</v>
      </c>
    </row>
    <row r="36" spans="8:30" ht="15">
      <c r="H36" s="2" t="s">
        <v>1484</v>
      </c>
    </row>
    <row r="37" spans="8:30" ht="15">
      <c r="AD37" s="2" t="s">
        <v>144</v>
      </c>
    </row>
    <row r="38" spans="8:30" ht="15">
      <c r="AD38" s="2" t="s">
        <v>145</v>
      </c>
    </row>
    <row r="39" spans="8:30">
      <c r="AD39" s="1" t="s">
        <v>146</v>
      </c>
    </row>
    <row r="65" spans="8:10">
      <c r="I65" s="1" t="s">
        <v>16</v>
      </c>
      <c r="J65" s="1" t="s">
        <v>17</v>
      </c>
    </row>
    <row r="66" spans="8:10">
      <c r="J66" s="1" t="s">
        <v>18</v>
      </c>
    </row>
    <row r="67" spans="8:10">
      <c r="J67" s="1" t="s">
        <v>19</v>
      </c>
    </row>
    <row r="69" spans="8:10" ht="15">
      <c r="H69" s="2" t="s">
        <v>15</v>
      </c>
    </row>
    <row r="101" spans="8:10">
      <c r="I101" s="1" t="s">
        <v>16</v>
      </c>
      <c r="J101" s="1" t="s">
        <v>17</v>
      </c>
    </row>
    <row r="102" spans="8:10">
      <c r="J102" s="1" t="s">
        <v>18</v>
      </c>
    </row>
    <row r="103" spans="8:10">
      <c r="J103" s="1" t="s">
        <v>19</v>
      </c>
    </row>
    <row r="105" spans="8:10" ht="15">
      <c r="H105" s="2" t="s">
        <v>174</v>
      </c>
    </row>
    <row r="134" spans="8:30">
      <c r="I134" s="1" t="s">
        <v>16</v>
      </c>
      <c r="J134" s="1" t="s">
        <v>17</v>
      </c>
    </row>
    <row r="135" spans="8:30">
      <c r="J135" s="1" t="s">
        <v>18</v>
      </c>
    </row>
    <row r="136" spans="8:30">
      <c r="J136" s="1" t="s">
        <v>19</v>
      </c>
    </row>
    <row r="137" spans="8:30" ht="15">
      <c r="AD137" s="2" t="s">
        <v>147</v>
      </c>
    </row>
    <row r="138" spans="8:30" ht="15">
      <c r="H138" s="2" t="s">
        <v>173</v>
      </c>
      <c r="AD138" s="1" t="s">
        <v>148</v>
      </c>
    </row>
    <row r="167" spans="9:10">
      <c r="I167" s="1" t="s">
        <v>16</v>
      </c>
      <c r="J167" s="1" t="s">
        <v>17</v>
      </c>
    </row>
    <row r="168" spans="9:10">
      <c r="J168" s="1" t="s">
        <v>18</v>
      </c>
    </row>
    <row r="169" spans="9:10">
      <c r="J169" s="1" t="s">
        <v>19</v>
      </c>
    </row>
    <row r="199" spans="1:13">
      <c r="A199" s="1" t="s">
        <v>1462</v>
      </c>
    </row>
    <row r="200" spans="1:13">
      <c r="A200" s="24" t="s">
        <v>20</v>
      </c>
      <c r="B200" s="24" t="s">
        <v>21</v>
      </c>
      <c r="C200" s="24" t="s">
        <v>22</v>
      </c>
      <c r="D200" s="24" t="s">
        <v>23</v>
      </c>
      <c r="E200" s="24" t="s">
        <v>24</v>
      </c>
      <c r="F200" s="24" t="s">
        <v>25</v>
      </c>
      <c r="G200" s="24" t="s">
        <v>26</v>
      </c>
      <c r="I200" s="26"/>
      <c r="J200" s="26" t="s">
        <v>27</v>
      </c>
      <c r="K200" s="27">
        <f>MIN(G201:G1455)</f>
        <v>-8.5323881440386162E-2</v>
      </c>
    </row>
    <row r="201" spans="1:13">
      <c r="A201" s="50">
        <v>322.73</v>
      </c>
      <c r="B201" s="50">
        <v>328.40499999999997</v>
      </c>
      <c r="C201" s="50">
        <v>320.26</v>
      </c>
      <c r="D201" s="50">
        <v>327.52</v>
      </c>
      <c r="E201" s="50">
        <v>2136756</v>
      </c>
      <c r="F201" s="50" t="s">
        <v>207</v>
      </c>
      <c r="G201" s="25">
        <f>A201/D201-1</f>
        <v>-1.4625061064972966E-2</v>
      </c>
      <c r="I201" s="26"/>
      <c r="J201" s="26" t="s">
        <v>28</v>
      </c>
      <c r="K201" s="27">
        <f>MAX(G201:G1455)</f>
        <v>0.15597462107860416</v>
      </c>
    </row>
    <row r="202" spans="1:13">
      <c r="A202" s="50">
        <v>328.13</v>
      </c>
      <c r="B202" s="50">
        <v>329.14</v>
      </c>
      <c r="C202" s="50">
        <v>324.18</v>
      </c>
      <c r="D202" s="50">
        <v>325.32499999999999</v>
      </c>
      <c r="E202" s="50">
        <v>1540331</v>
      </c>
      <c r="F202" s="50" t="s">
        <v>208</v>
      </c>
      <c r="G202" s="25">
        <f t="shared" ref="G202:G265" si="0">A202/D202-1</f>
        <v>8.6221470836855829E-3</v>
      </c>
      <c r="I202" s="26"/>
      <c r="J202" s="26" t="s">
        <v>29</v>
      </c>
      <c r="K202" s="27">
        <f>AVERAGE(G201:G1455)</f>
        <v>5.3384765516798123E-4</v>
      </c>
    </row>
    <row r="203" spans="1:13">
      <c r="A203" s="50">
        <v>325.61</v>
      </c>
      <c r="B203" s="50">
        <v>326.62</v>
      </c>
      <c r="C203" s="50">
        <v>321.33999999999997</v>
      </c>
      <c r="D203" s="50">
        <v>322.99</v>
      </c>
      <c r="E203" s="50">
        <v>3026929</v>
      </c>
      <c r="F203" s="50" t="s">
        <v>209</v>
      </c>
      <c r="G203" s="25">
        <f t="shared" si="0"/>
        <v>8.1117062447753074E-3</v>
      </c>
      <c r="I203" s="26"/>
      <c r="J203" s="26" t="s">
        <v>30</v>
      </c>
      <c r="K203" s="27">
        <f>MEDIAN(G201:G1455)</f>
        <v>7.6942805847668438E-4</v>
      </c>
    </row>
    <row r="204" spans="1:13" ht="15">
      <c r="A204" s="50">
        <v>322.52999999999997</v>
      </c>
      <c r="B204" s="50">
        <v>324.38</v>
      </c>
      <c r="C204" s="50">
        <v>316.3</v>
      </c>
      <c r="D204" s="50">
        <v>316.93</v>
      </c>
      <c r="E204" s="50">
        <v>3826577</v>
      </c>
      <c r="F204" s="50" t="s">
        <v>210</v>
      </c>
      <c r="G204" s="25">
        <f t="shared" si="0"/>
        <v>1.7669516928028095E-2</v>
      </c>
      <c r="I204" s="26"/>
      <c r="J204" s="26" t="s">
        <v>31</v>
      </c>
      <c r="K204" s="27">
        <f>_xlfn.STDEV.P(G201:G1455)</f>
        <v>1.5266670300607127E-2</v>
      </c>
      <c r="M204" s="2"/>
    </row>
    <row r="205" spans="1:13" ht="15">
      <c r="A205" s="50">
        <v>318.98</v>
      </c>
      <c r="B205" s="50">
        <v>320.13</v>
      </c>
      <c r="C205" s="50">
        <v>317.58999999999997</v>
      </c>
      <c r="D205" s="50">
        <v>318.57499999999999</v>
      </c>
      <c r="E205" s="50">
        <v>3378440</v>
      </c>
      <c r="F205" s="50" t="s">
        <v>211</v>
      </c>
      <c r="G205" s="25">
        <f t="shared" si="0"/>
        <v>1.271286196343091E-3</v>
      </c>
      <c r="I205" s="26"/>
      <c r="J205" s="28" t="s">
        <v>32</v>
      </c>
      <c r="K205" s="27">
        <f>3*K204</f>
        <v>4.5800010901821384E-2</v>
      </c>
      <c r="L205" s="26"/>
      <c r="M205" s="2" t="s">
        <v>163</v>
      </c>
    </row>
    <row r="206" spans="1:13" ht="15">
      <c r="A206" s="50">
        <v>317.19</v>
      </c>
      <c r="B206" s="50">
        <v>320.11989999999997</v>
      </c>
      <c r="C206" s="50">
        <v>313.1001</v>
      </c>
      <c r="D206" s="50">
        <v>314.08</v>
      </c>
      <c r="E206" s="50">
        <v>4605544</v>
      </c>
      <c r="F206" s="50" t="s">
        <v>212</v>
      </c>
      <c r="G206" s="25">
        <f t="shared" si="0"/>
        <v>9.901935812531848E-3</v>
      </c>
      <c r="I206" s="26"/>
      <c r="J206" s="28" t="s">
        <v>33</v>
      </c>
      <c r="K206" s="26">
        <v>1.25</v>
      </c>
      <c r="L206" s="26"/>
      <c r="M206" s="2" t="s">
        <v>34</v>
      </c>
    </row>
    <row r="207" spans="1:13">
      <c r="A207" s="50">
        <v>311.42</v>
      </c>
      <c r="B207" s="50">
        <v>312.27</v>
      </c>
      <c r="C207" s="50">
        <v>308.17</v>
      </c>
      <c r="D207" s="50">
        <v>309.58</v>
      </c>
      <c r="E207" s="50">
        <v>3255232</v>
      </c>
      <c r="F207" s="50" t="s">
        <v>213</v>
      </c>
      <c r="G207" s="25">
        <f t="shared" si="0"/>
        <v>5.9435364041606764E-3</v>
      </c>
    </row>
    <row r="208" spans="1:13">
      <c r="A208" s="50">
        <v>308.58999999999997</v>
      </c>
      <c r="B208" s="50">
        <v>310.76549999999997</v>
      </c>
      <c r="C208" s="50">
        <v>307.17500000000001</v>
      </c>
      <c r="D208" s="50">
        <v>308.89</v>
      </c>
      <c r="E208" s="50">
        <v>2467383</v>
      </c>
      <c r="F208" s="50" t="s">
        <v>214</v>
      </c>
      <c r="G208" s="25">
        <f t="shared" si="0"/>
        <v>-9.7121952798739919E-4</v>
      </c>
    </row>
    <row r="209" spans="1:17">
      <c r="A209" s="50">
        <v>308.38</v>
      </c>
      <c r="B209" s="50">
        <v>309.22000000000003</v>
      </c>
      <c r="C209" s="50">
        <v>302.14999999999998</v>
      </c>
      <c r="D209" s="50">
        <v>303.10000000000002</v>
      </c>
      <c r="E209" s="50">
        <v>2806220</v>
      </c>
      <c r="F209" s="50" t="s">
        <v>215</v>
      </c>
      <c r="G209" s="25">
        <f t="shared" si="0"/>
        <v>1.7419993401517564E-2</v>
      </c>
      <c r="I209" s="29" t="s">
        <v>35</v>
      </c>
      <c r="J209" s="30">
        <v>1255</v>
      </c>
    </row>
    <row r="210" spans="1:17" ht="15" thickBot="1">
      <c r="A210" s="50">
        <v>299.63</v>
      </c>
      <c r="B210" s="50">
        <v>299.87</v>
      </c>
      <c r="C210" s="50">
        <v>291.88</v>
      </c>
      <c r="D210" s="50">
        <v>296.82</v>
      </c>
      <c r="E210" s="50">
        <v>3082220</v>
      </c>
      <c r="F210" s="50" t="s">
        <v>216</v>
      </c>
      <c r="G210" s="25">
        <f t="shared" si="0"/>
        <v>9.4670170473687421E-3</v>
      </c>
      <c r="I210" s="1" t="s">
        <v>36</v>
      </c>
      <c r="L210" s="1" t="s">
        <v>37</v>
      </c>
      <c r="P210" s="1" t="s">
        <v>38</v>
      </c>
    </row>
    <row r="211" spans="1:17" ht="15" customHeight="1">
      <c r="A211" s="50">
        <v>298.58999999999997</v>
      </c>
      <c r="B211" s="50">
        <v>299.75</v>
      </c>
      <c r="C211" s="50">
        <v>296.64</v>
      </c>
      <c r="D211" s="50">
        <v>297.58499999999998</v>
      </c>
      <c r="E211" s="50">
        <v>5686744</v>
      </c>
      <c r="F211" s="50" t="s">
        <v>217</v>
      </c>
      <c r="G211" s="25">
        <f t="shared" si="0"/>
        <v>3.3771863501184107E-3</v>
      </c>
      <c r="I211" s="52" t="s">
        <v>39</v>
      </c>
      <c r="J211" s="52" t="s">
        <v>40</v>
      </c>
      <c r="L211" s="31" t="s">
        <v>41</v>
      </c>
      <c r="M211" s="32" t="s">
        <v>42</v>
      </c>
      <c r="P211" s="31" t="s">
        <v>43</v>
      </c>
      <c r="Q211" s="32" t="s">
        <v>44</v>
      </c>
    </row>
    <row r="212" spans="1:17" ht="15">
      <c r="A212" s="50">
        <v>296.42</v>
      </c>
      <c r="B212" s="50">
        <v>299.24</v>
      </c>
      <c r="C212" s="50">
        <v>292.08</v>
      </c>
      <c r="D212" s="50">
        <v>292.08</v>
      </c>
      <c r="E212" s="50">
        <v>3691454</v>
      </c>
      <c r="F212" s="50" t="s">
        <v>218</v>
      </c>
      <c r="G212" s="25">
        <f t="shared" si="0"/>
        <v>1.4858942755409554E-2</v>
      </c>
      <c r="I212" s="25">
        <v>-4.7499999999999973E-2</v>
      </c>
      <c r="J212">
        <v>1</v>
      </c>
      <c r="L212" s="25">
        <v>-4.9999999999999975E-2</v>
      </c>
      <c r="M212" s="1">
        <f>_xlfn.NORM.DIST(L212,$K$202,$K$204,FALSE)</f>
        <v>0.10913618832936887</v>
      </c>
      <c r="O212" s="1" t="s">
        <v>153</v>
      </c>
      <c r="P212" s="25">
        <f>K202</f>
        <v>5.3384765516798123E-4</v>
      </c>
      <c r="Q212" s="1">
        <v>0</v>
      </c>
    </row>
    <row r="213" spans="1:17" ht="15">
      <c r="A213" s="50">
        <v>292.81</v>
      </c>
      <c r="B213" s="50">
        <v>294.5899</v>
      </c>
      <c r="C213" s="50">
        <v>290.95</v>
      </c>
      <c r="D213" s="50">
        <v>292.08999999999997</v>
      </c>
      <c r="E213" s="50">
        <v>2626084</v>
      </c>
      <c r="F213" s="50" t="s">
        <v>219</v>
      </c>
      <c r="G213" s="25">
        <f t="shared" si="0"/>
        <v>2.4649936663359018E-3</v>
      </c>
      <c r="I213" s="25">
        <v>-4.4999999999999971E-2</v>
      </c>
      <c r="J213">
        <v>0</v>
      </c>
      <c r="L213" s="25">
        <v>-4.7499999999999973E-2</v>
      </c>
      <c r="M213" s="1">
        <f t="shared" ref="M213:M252" si="1">_xlfn.NORM.DIST(L213,$K$202,$K$204,FALSE)</f>
        <v>0.18516208843087459</v>
      </c>
      <c r="P213" s="25">
        <f>K202</f>
        <v>5.3384765516798123E-4</v>
      </c>
      <c r="Q213" s="1">
        <v>27</v>
      </c>
    </row>
    <row r="214" spans="1:17" ht="15">
      <c r="A214" s="50">
        <v>294.22000000000003</v>
      </c>
      <c r="B214" s="50">
        <v>296.44499999999999</v>
      </c>
      <c r="C214" s="50">
        <v>290.01990000000001</v>
      </c>
      <c r="D214" s="50">
        <v>290.93</v>
      </c>
      <c r="E214" s="50">
        <v>2307823</v>
      </c>
      <c r="F214" s="50" t="s">
        <v>220</v>
      </c>
      <c r="G214" s="25">
        <f t="shared" si="0"/>
        <v>1.1308562197092087E-2</v>
      </c>
      <c r="I214" s="25">
        <v>-4.2499999999999968E-2</v>
      </c>
      <c r="J214">
        <v>1</v>
      </c>
      <c r="L214" s="25">
        <v>-4.4999999999999971E-2</v>
      </c>
      <c r="M214" s="1">
        <f t="shared" si="1"/>
        <v>0.30583655227116979</v>
      </c>
      <c r="O214" s="38" t="s">
        <v>154</v>
      </c>
      <c r="P214" s="25">
        <f>($K$204*-3)+$K$202</f>
        <v>-4.5266163246653404E-2</v>
      </c>
      <c r="Q214" s="1">
        <v>0</v>
      </c>
    </row>
    <row r="215" spans="1:17" ht="15" customHeight="1">
      <c r="A215" s="50">
        <v>287.79000000000002</v>
      </c>
      <c r="B215" s="50">
        <v>293.33</v>
      </c>
      <c r="C215" s="50">
        <v>286.14999999999998</v>
      </c>
      <c r="D215" s="50">
        <v>292.54500000000002</v>
      </c>
      <c r="E215" s="50">
        <v>3364645</v>
      </c>
      <c r="F215" s="50" t="s">
        <v>221</v>
      </c>
      <c r="G215" s="25">
        <f t="shared" si="0"/>
        <v>-1.6253909654924903E-2</v>
      </c>
      <c r="I215" s="25">
        <v>-3.9999999999999966E-2</v>
      </c>
      <c r="J215">
        <v>3</v>
      </c>
      <c r="L215" s="25">
        <v>-4.2499999999999968E-2</v>
      </c>
      <c r="M215" s="1">
        <f t="shared" si="1"/>
        <v>0.49179118226014334</v>
      </c>
      <c r="O215" s="39"/>
      <c r="P215" s="25">
        <f>($K$204*-3)+$K$202</f>
        <v>-4.5266163246653404E-2</v>
      </c>
      <c r="Q215" s="1">
        <v>2</v>
      </c>
    </row>
    <row r="216" spans="1:17" ht="15">
      <c r="A216" s="50">
        <v>297.99</v>
      </c>
      <c r="B216" s="50">
        <v>298.57499999999999</v>
      </c>
      <c r="C216" s="50">
        <v>294</v>
      </c>
      <c r="D216" s="50">
        <v>296.67</v>
      </c>
      <c r="E216" s="50">
        <v>1604549</v>
      </c>
      <c r="F216" s="50" t="s">
        <v>222</v>
      </c>
      <c r="G216" s="25">
        <f t="shared" si="0"/>
        <v>4.4493882091212189E-3</v>
      </c>
      <c r="I216" s="25">
        <v>-3.7499999999999964E-2</v>
      </c>
      <c r="J216">
        <v>4</v>
      </c>
      <c r="L216" s="25">
        <v>-3.9999999999999966E-2</v>
      </c>
      <c r="M216" s="1">
        <f t="shared" si="1"/>
        <v>0.76988545683475118</v>
      </c>
      <c r="O216" s="38" t="s">
        <v>155</v>
      </c>
      <c r="P216" s="25">
        <f>($K$204*-2)+$K$202</f>
        <v>-2.9999492946046272E-2</v>
      </c>
      <c r="Q216" s="1">
        <v>0</v>
      </c>
    </row>
    <row r="217" spans="1:17" ht="15">
      <c r="A217" s="50">
        <v>299.10000000000002</v>
      </c>
      <c r="B217" s="50">
        <v>303.39</v>
      </c>
      <c r="C217" s="50">
        <v>298.65499999999997</v>
      </c>
      <c r="D217" s="50">
        <v>300.18</v>
      </c>
      <c r="E217" s="50">
        <v>2013798</v>
      </c>
      <c r="F217" s="50" t="s">
        <v>223</v>
      </c>
      <c r="G217" s="25">
        <f t="shared" si="0"/>
        <v>-3.5978412952227812E-3</v>
      </c>
      <c r="I217" s="25">
        <v>-3.4999999999999962E-2</v>
      </c>
      <c r="J217">
        <v>3</v>
      </c>
      <c r="L217" s="25">
        <v>-3.7499999999999964E-2</v>
      </c>
      <c r="M217" s="1">
        <f t="shared" si="1"/>
        <v>1.173344451189317</v>
      </c>
      <c r="O217" s="39"/>
      <c r="P217" s="25">
        <f>($K$204*-2)+$K$202</f>
        <v>-2.9999492946046272E-2</v>
      </c>
      <c r="Q217" s="1">
        <v>7</v>
      </c>
    </row>
    <row r="218" spans="1:17" ht="15">
      <c r="A218" s="50">
        <v>299.52</v>
      </c>
      <c r="B218" s="50">
        <v>301.77999999999997</v>
      </c>
      <c r="C218" s="50">
        <v>298</v>
      </c>
      <c r="D218" s="50">
        <v>301.7</v>
      </c>
      <c r="E218" s="50">
        <v>2043837</v>
      </c>
      <c r="F218" s="50" t="s">
        <v>224</v>
      </c>
      <c r="G218" s="25">
        <f t="shared" si="0"/>
        <v>-7.2257209148161028E-3</v>
      </c>
      <c r="I218" s="25">
        <v>-3.2499999999999959E-2</v>
      </c>
      <c r="J218">
        <v>0</v>
      </c>
      <c r="L218" s="25">
        <v>-3.4999999999999962E-2</v>
      </c>
      <c r="M218" s="1">
        <f t="shared" si="1"/>
        <v>1.7409205896279438</v>
      </c>
      <c r="O218" s="40" t="s">
        <v>156</v>
      </c>
      <c r="P218" s="25">
        <f>($K$204*-1)+$K$202</f>
        <v>-1.4732822645439146E-2</v>
      </c>
      <c r="Q218" s="1">
        <v>0</v>
      </c>
    </row>
    <row r="219" spans="1:17" ht="15">
      <c r="A219" s="50">
        <v>301.56</v>
      </c>
      <c r="B219" s="50">
        <v>303.79000000000002</v>
      </c>
      <c r="C219" s="50">
        <v>299.58</v>
      </c>
      <c r="D219" s="50">
        <v>303.79000000000002</v>
      </c>
      <c r="E219" s="50">
        <v>2076569</v>
      </c>
      <c r="F219" s="50" t="s">
        <v>225</v>
      </c>
      <c r="G219" s="25">
        <f t="shared" si="0"/>
        <v>-7.3405971230127154E-3</v>
      </c>
      <c r="I219" s="25">
        <v>-2.9999999999999961E-2</v>
      </c>
      <c r="J219">
        <v>10</v>
      </c>
      <c r="L219" s="25">
        <v>-3.2499999999999959E-2</v>
      </c>
      <c r="M219" s="1">
        <f t="shared" si="1"/>
        <v>2.5147014326673931</v>
      </c>
      <c r="P219" s="25">
        <f>($K$204*-1)+$K$202</f>
        <v>-1.4732822645439146E-2</v>
      </c>
      <c r="Q219" s="1">
        <v>17</v>
      </c>
    </row>
    <row r="220" spans="1:17" ht="15">
      <c r="A220" s="50">
        <v>302.47000000000003</v>
      </c>
      <c r="B220" s="50">
        <v>303.5</v>
      </c>
      <c r="C220" s="50">
        <v>299.23</v>
      </c>
      <c r="D220" s="50">
        <v>300.29000000000002</v>
      </c>
      <c r="E220" s="50">
        <v>2098548</v>
      </c>
      <c r="F220" s="50" t="s">
        <v>226</v>
      </c>
      <c r="G220" s="25">
        <f t="shared" si="0"/>
        <v>7.2596490059608776E-3</v>
      </c>
      <c r="I220" s="25">
        <v>-2.7499999999999962E-2</v>
      </c>
      <c r="J220">
        <v>9</v>
      </c>
      <c r="L220" s="25">
        <v>-2.9999999999999961E-2</v>
      </c>
      <c r="M220" s="1">
        <f t="shared" si="1"/>
        <v>3.5362904366944035</v>
      </c>
      <c r="O220" s="1" t="s">
        <v>157</v>
      </c>
      <c r="P220" s="25">
        <f>($K$204*1)+$K$202</f>
        <v>1.5800517955775108E-2</v>
      </c>
      <c r="Q220" s="1">
        <v>0</v>
      </c>
    </row>
    <row r="221" spans="1:17" ht="15">
      <c r="A221" s="50">
        <v>295.95999999999998</v>
      </c>
      <c r="B221" s="50">
        <v>298.5</v>
      </c>
      <c r="C221" s="50">
        <v>294.14</v>
      </c>
      <c r="D221" s="50">
        <v>296.5</v>
      </c>
      <c r="E221" s="50">
        <v>1635104</v>
      </c>
      <c r="F221" s="50" t="s">
        <v>227</v>
      </c>
      <c r="G221" s="25">
        <f t="shared" si="0"/>
        <v>-1.8212478920742736E-3</v>
      </c>
      <c r="I221" s="25">
        <v>-2.4999999999999963E-2</v>
      </c>
      <c r="J221">
        <v>18</v>
      </c>
      <c r="L221" s="25">
        <v>-2.7499999999999962E-2</v>
      </c>
      <c r="M221" s="1">
        <f t="shared" si="1"/>
        <v>4.8413162569261843</v>
      </c>
      <c r="P221" s="25">
        <f>($K$204*1)+$K$202</f>
        <v>1.5800517955775108E-2</v>
      </c>
      <c r="Q221" s="1">
        <v>17</v>
      </c>
    </row>
    <row r="222" spans="1:17" ht="15">
      <c r="A222" s="50">
        <v>295.93</v>
      </c>
      <c r="B222" s="50">
        <v>298.6499</v>
      </c>
      <c r="C222" s="50">
        <v>295.8</v>
      </c>
      <c r="D222" s="50">
        <v>297.81</v>
      </c>
      <c r="E222" s="50">
        <v>1804603</v>
      </c>
      <c r="F222" s="50" t="s">
        <v>228</v>
      </c>
      <c r="G222" s="25">
        <f t="shared" si="0"/>
        <v>-6.3127497397669208E-3</v>
      </c>
      <c r="I222" s="25">
        <v>-2.2499999999999964E-2</v>
      </c>
      <c r="J222">
        <v>24</v>
      </c>
      <c r="L222" s="25">
        <v>-2.4999999999999963E-2</v>
      </c>
      <c r="M222" s="1">
        <f t="shared" si="1"/>
        <v>6.4525742481675854</v>
      </c>
      <c r="O222" s="41" t="s">
        <v>158</v>
      </c>
      <c r="P222" s="25">
        <f>($K$204*2)+$K$202</f>
        <v>3.1067188256382237E-2</v>
      </c>
      <c r="Q222" s="1">
        <v>0</v>
      </c>
    </row>
    <row r="223" spans="1:17" ht="15">
      <c r="A223" s="50">
        <v>297.39</v>
      </c>
      <c r="B223" s="50">
        <v>298.25</v>
      </c>
      <c r="C223" s="50">
        <v>292.64999999999998</v>
      </c>
      <c r="D223" s="50">
        <v>295.2</v>
      </c>
      <c r="E223" s="50">
        <v>2193134</v>
      </c>
      <c r="F223" s="50" t="s">
        <v>229</v>
      </c>
      <c r="G223" s="25">
        <f t="shared" si="0"/>
        <v>7.418699186991784E-3</v>
      </c>
      <c r="I223" s="25">
        <v>-1.9999999999999966E-2</v>
      </c>
      <c r="J223">
        <v>18</v>
      </c>
      <c r="L223" s="25">
        <v>-2.2499999999999964E-2</v>
      </c>
      <c r="M223" s="1">
        <f t="shared" si="1"/>
        <v>8.3725277806415725</v>
      </c>
      <c r="P223" s="25">
        <f>($K$204*2)+$K$202</f>
        <v>3.1067188256382237E-2</v>
      </c>
      <c r="Q223" s="1">
        <v>7</v>
      </c>
    </row>
    <row r="224" spans="1:17" ht="15">
      <c r="A224" s="50">
        <v>295.33</v>
      </c>
      <c r="B224" s="50">
        <v>295.745</v>
      </c>
      <c r="C224" s="50">
        <v>290.33</v>
      </c>
      <c r="D224" s="50">
        <v>292.35000000000002</v>
      </c>
      <c r="E224" s="50">
        <v>1732789</v>
      </c>
      <c r="F224" s="50" t="s">
        <v>230</v>
      </c>
      <c r="G224" s="25">
        <f t="shared" si="0"/>
        <v>1.0193261501624695E-2</v>
      </c>
      <c r="I224" s="25">
        <v>-1.7499999999999967E-2</v>
      </c>
      <c r="J224">
        <v>31</v>
      </c>
      <c r="L224" s="25">
        <v>-1.9999999999999966E-2</v>
      </c>
      <c r="M224" s="1">
        <f t="shared" si="1"/>
        <v>10.576311018931479</v>
      </c>
      <c r="O224" s="41" t="s">
        <v>159</v>
      </c>
      <c r="P224" s="25">
        <f>($K$204*3)+$K$202</f>
        <v>4.6333858556989363E-2</v>
      </c>
      <c r="Q224" s="1">
        <v>0</v>
      </c>
    </row>
    <row r="225" spans="1:30" ht="15">
      <c r="A225" s="50">
        <v>294.05</v>
      </c>
      <c r="B225" s="50">
        <v>295.75</v>
      </c>
      <c r="C225" s="50">
        <v>291.63</v>
      </c>
      <c r="D225" s="50">
        <v>294.97000000000003</v>
      </c>
      <c r="E225" s="50">
        <v>5193331</v>
      </c>
      <c r="F225" s="50" t="s">
        <v>231</v>
      </c>
      <c r="G225" s="25">
        <f t="shared" si="0"/>
        <v>-3.1189612502966479E-3</v>
      </c>
      <c r="I225" s="25">
        <v>-1.4999999999999966E-2</v>
      </c>
      <c r="J225">
        <v>28</v>
      </c>
      <c r="L225" s="25">
        <v>-1.7499999999999967E-2</v>
      </c>
      <c r="M225" s="1">
        <f t="shared" si="1"/>
        <v>13.00666216144757</v>
      </c>
      <c r="O225" s="41"/>
      <c r="P225" s="25">
        <f>($K$204*3)+$K$202</f>
        <v>4.6333858556989363E-2</v>
      </c>
      <c r="Q225" s="1">
        <v>2</v>
      </c>
    </row>
    <row r="226" spans="1:30" ht="15">
      <c r="A226" s="50">
        <v>295.38</v>
      </c>
      <c r="B226" s="50">
        <v>296.60500000000002</v>
      </c>
      <c r="C226" s="50">
        <v>292.8</v>
      </c>
      <c r="D226" s="50">
        <v>296.26</v>
      </c>
      <c r="E226" s="50">
        <v>2362494</v>
      </c>
      <c r="F226" s="50" t="s">
        <v>232</v>
      </c>
      <c r="G226" s="25">
        <f t="shared" si="0"/>
        <v>-2.9703638695740553E-3</v>
      </c>
      <c r="I226" s="25">
        <v>-1.2499999999999966E-2</v>
      </c>
      <c r="J226">
        <v>42</v>
      </c>
      <c r="L226" s="25">
        <v>-1.4999999999999966E-2</v>
      </c>
      <c r="M226" s="1">
        <f t="shared" si="1"/>
        <v>15.572256043979614</v>
      </c>
    </row>
    <row r="227" spans="1:30" ht="15">
      <c r="A227" s="50">
        <v>293.36</v>
      </c>
      <c r="B227" s="50">
        <v>295.38</v>
      </c>
      <c r="C227" s="50">
        <v>292.38</v>
      </c>
      <c r="D227" s="50">
        <v>293.46499999999997</v>
      </c>
      <c r="E227" s="50">
        <v>1653173</v>
      </c>
      <c r="F227" s="50" t="s">
        <v>233</v>
      </c>
      <c r="G227" s="25">
        <f t="shared" si="0"/>
        <v>-3.5779394476331827E-4</v>
      </c>
      <c r="I227" s="25">
        <v>-9.9999999999999655E-3</v>
      </c>
      <c r="J227">
        <v>61</v>
      </c>
      <c r="L227" s="25">
        <v>-1.2499999999999966E-2</v>
      </c>
      <c r="M227" s="1">
        <f t="shared" si="1"/>
        <v>18.150610687250907</v>
      </c>
    </row>
    <row r="228" spans="1:30" ht="15">
      <c r="A228" s="50">
        <v>293.76</v>
      </c>
      <c r="B228" s="50">
        <v>293.86</v>
      </c>
      <c r="C228" s="50">
        <v>288.14999999999998</v>
      </c>
      <c r="D228" s="50">
        <v>290.52999999999997</v>
      </c>
      <c r="E228" s="50">
        <v>2537009</v>
      </c>
      <c r="F228" s="50" t="s">
        <v>234</v>
      </c>
      <c r="G228" s="25">
        <f t="shared" si="0"/>
        <v>1.1117612638970265E-2</v>
      </c>
      <c r="I228" s="25">
        <v>-7.499999999999965E-3</v>
      </c>
      <c r="J228">
        <v>62</v>
      </c>
      <c r="L228" s="25">
        <v>-9.9999999999999655E-3</v>
      </c>
      <c r="M228" s="1">
        <f t="shared" si="1"/>
        <v>20.596099310819024</v>
      </c>
    </row>
    <row r="229" spans="1:30" ht="15">
      <c r="A229" s="50">
        <v>285.22000000000003</v>
      </c>
      <c r="B229" s="50">
        <v>287.10000000000002</v>
      </c>
      <c r="C229" s="50">
        <v>281.46499999999997</v>
      </c>
      <c r="D229" s="50">
        <v>281.82</v>
      </c>
      <c r="E229" s="50">
        <v>1724244</v>
      </c>
      <c r="F229" s="50" t="s">
        <v>235</v>
      </c>
      <c r="G229" s="25">
        <f t="shared" si="0"/>
        <v>1.2064438293946544E-2</v>
      </c>
      <c r="I229" s="25">
        <v>-4.9999999999999645E-3</v>
      </c>
      <c r="J229">
        <v>77</v>
      </c>
      <c r="L229" s="25">
        <v>-7.499999999999965E-3</v>
      </c>
      <c r="M229" s="1">
        <f t="shared" si="1"/>
        <v>22.752689627450572</v>
      </c>
    </row>
    <row r="230" spans="1:30" ht="15">
      <c r="A230" s="50">
        <v>287.18</v>
      </c>
      <c r="B230" s="50">
        <v>289.05</v>
      </c>
      <c r="C230" s="50">
        <v>285.065</v>
      </c>
      <c r="D230" s="50">
        <v>285.63</v>
      </c>
      <c r="E230" s="50">
        <v>2052009</v>
      </c>
      <c r="F230" s="50" t="s">
        <v>236</v>
      </c>
      <c r="G230" s="25">
        <f t="shared" si="0"/>
        <v>5.426600847249885E-3</v>
      </c>
      <c r="I230" s="25">
        <v>-2.4999999999999645E-3</v>
      </c>
      <c r="J230">
        <v>90</v>
      </c>
      <c r="L230" s="25">
        <v>-4.9999999999999645E-3</v>
      </c>
      <c r="M230" s="1">
        <f t="shared" si="1"/>
        <v>24.470032023382426</v>
      </c>
    </row>
    <row r="231" spans="1:30" ht="15">
      <c r="A231" s="50">
        <v>286</v>
      </c>
      <c r="B231" s="50">
        <v>294.11950000000002</v>
      </c>
      <c r="C231" s="50">
        <v>285.11</v>
      </c>
      <c r="D231" s="50">
        <v>293.04000000000002</v>
      </c>
      <c r="E231" s="50">
        <v>3447538</v>
      </c>
      <c r="F231" s="50" t="s">
        <v>237</v>
      </c>
      <c r="G231" s="25">
        <f t="shared" si="0"/>
        <v>-2.4024024024024038E-2</v>
      </c>
      <c r="I231" s="25">
        <v>3.5561831257524545E-17</v>
      </c>
      <c r="J231">
        <v>101</v>
      </c>
      <c r="L231" s="25">
        <v>-2.4999999999999645E-3</v>
      </c>
      <c r="M231" s="1">
        <f t="shared" si="1"/>
        <v>25.62066291527945</v>
      </c>
    </row>
    <row r="232" spans="1:30" ht="15">
      <c r="A232" s="50">
        <v>296.17</v>
      </c>
      <c r="B232" s="50">
        <v>298.2</v>
      </c>
      <c r="C232" s="50">
        <v>294.19</v>
      </c>
      <c r="D232" s="50">
        <v>296.49</v>
      </c>
      <c r="E232" s="50">
        <v>2706559</v>
      </c>
      <c r="F232" s="50" t="s">
        <v>238</v>
      </c>
      <c r="G232" s="25">
        <f t="shared" si="0"/>
        <v>-1.0792944112786307E-3</v>
      </c>
      <c r="I232" s="25">
        <v>2.5000000000000356E-3</v>
      </c>
      <c r="J232">
        <v>101</v>
      </c>
      <c r="L232" s="25">
        <v>3.5561831257524545E-17</v>
      </c>
      <c r="M232" s="1">
        <f t="shared" si="1"/>
        <v>26.115612577481738</v>
      </c>
      <c r="AD232" s="2" t="s">
        <v>149</v>
      </c>
    </row>
    <row r="233" spans="1:30" ht="15">
      <c r="A233" s="50">
        <v>299.3</v>
      </c>
      <c r="B233" s="50">
        <v>300.89</v>
      </c>
      <c r="C233" s="50">
        <v>295.69</v>
      </c>
      <c r="D233" s="50">
        <v>297.01</v>
      </c>
      <c r="E233" s="50">
        <v>2751474</v>
      </c>
      <c r="F233" s="50" t="s">
        <v>239</v>
      </c>
      <c r="G233" s="25">
        <f t="shared" si="0"/>
        <v>7.7101781084811805E-3</v>
      </c>
      <c r="I233" s="25">
        <v>5.0000000000000357E-3</v>
      </c>
      <c r="J233">
        <v>110</v>
      </c>
      <c r="L233" s="25">
        <v>2.5000000000000356E-3</v>
      </c>
      <c r="M233" s="1">
        <f t="shared" si="1"/>
        <v>25.915769089600968</v>
      </c>
      <c r="AD233" s="1" t="s">
        <v>150</v>
      </c>
    </row>
    <row r="234" spans="1:30" ht="15">
      <c r="A234" s="50">
        <v>299.72000000000003</v>
      </c>
      <c r="B234" s="50">
        <v>301.64999999999998</v>
      </c>
      <c r="C234" s="50">
        <v>297.83300000000003</v>
      </c>
      <c r="D234" s="50">
        <v>300.36</v>
      </c>
      <c r="E234" s="50">
        <v>2962233</v>
      </c>
      <c r="F234" s="50" t="s">
        <v>240</v>
      </c>
      <c r="G234" s="25">
        <f t="shared" si="0"/>
        <v>-2.1307764016512687E-3</v>
      </c>
      <c r="I234" s="25">
        <v>7.5000000000000362E-3</v>
      </c>
      <c r="J234">
        <v>88</v>
      </c>
      <c r="L234" s="25">
        <v>5.0000000000000357E-3</v>
      </c>
      <c r="M234" s="1">
        <f t="shared" si="1"/>
        <v>25.036984238630573</v>
      </c>
    </row>
    <row r="235" spans="1:30" ht="15">
      <c r="A235" s="50">
        <v>299.55</v>
      </c>
      <c r="B235" s="50">
        <v>300.93</v>
      </c>
      <c r="C235" s="50">
        <v>297.00009999999997</v>
      </c>
      <c r="D235" s="50">
        <v>298.05</v>
      </c>
      <c r="E235" s="50">
        <v>1955140</v>
      </c>
      <c r="F235" s="50" t="s">
        <v>241</v>
      </c>
      <c r="G235" s="25">
        <f t="shared" si="0"/>
        <v>5.0327126321088045E-3</v>
      </c>
      <c r="I235" s="25">
        <v>1.0000000000000037E-2</v>
      </c>
      <c r="J235">
        <v>80</v>
      </c>
      <c r="L235" s="25">
        <v>7.5000000000000362E-3</v>
      </c>
      <c r="M235" s="1">
        <f t="shared" si="1"/>
        <v>23.547996356236037</v>
      </c>
    </row>
    <row r="236" spans="1:30" ht="15">
      <c r="A236" s="50">
        <v>300.10000000000002</v>
      </c>
      <c r="B236" s="50">
        <v>303.62</v>
      </c>
      <c r="C236" s="50">
        <v>299.44499999999999</v>
      </c>
      <c r="D236" s="50">
        <v>303.14999999999998</v>
      </c>
      <c r="E236" s="50">
        <v>1954781</v>
      </c>
      <c r="F236" s="50" t="s">
        <v>242</v>
      </c>
      <c r="G236" s="25">
        <f t="shared" si="0"/>
        <v>-1.0061025894771425E-2</v>
      </c>
      <c r="I236" s="25">
        <v>1.2500000000000037E-2</v>
      </c>
      <c r="J236">
        <v>80</v>
      </c>
      <c r="L236" s="25">
        <v>1.0000000000000037E-2</v>
      </c>
      <c r="M236" s="1">
        <f t="shared" si="1"/>
        <v>21.56154780837003</v>
      </c>
    </row>
    <row r="237" spans="1:30" ht="15">
      <c r="A237" s="50">
        <v>302.3</v>
      </c>
      <c r="B237" s="50">
        <v>303.02</v>
      </c>
      <c r="C237" s="50">
        <v>298.82</v>
      </c>
      <c r="D237" s="50">
        <v>300</v>
      </c>
      <c r="E237" s="50">
        <v>3532113</v>
      </c>
      <c r="F237" s="50" t="s">
        <v>243</v>
      </c>
      <c r="G237" s="25">
        <f t="shared" si="0"/>
        <v>7.6666666666667105E-3</v>
      </c>
      <c r="I237" s="25">
        <v>1.5000000000000038E-2</v>
      </c>
      <c r="J237">
        <v>39</v>
      </c>
      <c r="L237" s="25">
        <v>1.2500000000000037E-2</v>
      </c>
      <c r="M237" s="1">
        <f t="shared" si="1"/>
        <v>19.22029005142786</v>
      </c>
    </row>
    <row r="238" spans="1:30" ht="15">
      <c r="A238" s="50">
        <v>298.92</v>
      </c>
      <c r="B238" s="50">
        <v>299.16500000000002</v>
      </c>
      <c r="C238" s="50">
        <v>294.73</v>
      </c>
      <c r="D238" s="50">
        <v>297.33999999999997</v>
      </c>
      <c r="E238" s="50">
        <v>4089025</v>
      </c>
      <c r="F238" s="50" t="s">
        <v>244</v>
      </c>
      <c r="G238" s="25">
        <f t="shared" si="0"/>
        <v>5.3137822021929182E-3</v>
      </c>
      <c r="I238" s="25">
        <v>1.7500000000000036E-2</v>
      </c>
      <c r="J238">
        <v>47</v>
      </c>
      <c r="L238" s="25">
        <v>1.5000000000000038E-2</v>
      </c>
      <c r="M238" s="1">
        <f t="shared" si="1"/>
        <v>16.679920278869005</v>
      </c>
    </row>
    <row r="239" spans="1:30" ht="15">
      <c r="A239" s="50">
        <v>284.51</v>
      </c>
      <c r="B239" s="50">
        <v>287</v>
      </c>
      <c r="C239" s="50">
        <v>282.97000000000003</v>
      </c>
      <c r="D239" s="50">
        <v>285</v>
      </c>
      <c r="E239" s="50">
        <v>2704979</v>
      </c>
      <c r="F239" s="50" t="s">
        <v>245</v>
      </c>
      <c r="G239" s="25">
        <f t="shared" si="0"/>
        <v>-1.7192982456141204E-3</v>
      </c>
      <c r="I239" s="25">
        <v>2.0000000000000035E-2</v>
      </c>
      <c r="J239">
        <v>34</v>
      </c>
      <c r="L239" s="25">
        <v>1.7500000000000036E-2</v>
      </c>
      <c r="M239" s="1">
        <f t="shared" si="1"/>
        <v>14.092304989264603</v>
      </c>
    </row>
    <row r="240" spans="1:30" ht="15">
      <c r="A240" s="50">
        <v>283.66000000000003</v>
      </c>
      <c r="B240" s="50">
        <v>285.49990000000003</v>
      </c>
      <c r="C240" s="50">
        <v>278.73450000000003</v>
      </c>
      <c r="D240" s="50">
        <v>279.73</v>
      </c>
      <c r="E240" s="50">
        <v>3417972</v>
      </c>
      <c r="F240" s="50" t="s">
        <v>246</v>
      </c>
      <c r="G240" s="25">
        <f t="shared" si="0"/>
        <v>1.4049261788152911E-2</v>
      </c>
      <c r="I240" s="25">
        <v>2.2500000000000034E-2</v>
      </c>
      <c r="J240">
        <v>23</v>
      </c>
      <c r="L240" s="25">
        <v>2.0000000000000035E-2</v>
      </c>
      <c r="M240" s="1">
        <f t="shared" si="1"/>
        <v>11.591085960661497</v>
      </c>
    </row>
    <row r="241" spans="1:13" ht="15">
      <c r="A241" s="50">
        <v>276.24</v>
      </c>
      <c r="B241" s="50">
        <v>278.81</v>
      </c>
      <c r="C241" s="50">
        <v>273.89</v>
      </c>
      <c r="D241" s="50">
        <v>277.33999999999997</v>
      </c>
      <c r="E241" s="50">
        <v>2329448</v>
      </c>
      <c r="F241" s="50" t="s">
        <v>247</v>
      </c>
      <c r="G241" s="25">
        <f t="shared" si="0"/>
        <v>-3.9662508112784378E-3</v>
      </c>
      <c r="I241" s="25">
        <v>2.5000000000000033E-2</v>
      </c>
      <c r="J241">
        <v>16</v>
      </c>
      <c r="L241" s="25">
        <v>2.2500000000000034E-2</v>
      </c>
      <c r="M241" s="1">
        <f t="shared" si="1"/>
        <v>9.2815444585510267</v>
      </c>
    </row>
    <row r="242" spans="1:13" ht="15">
      <c r="A242" s="50">
        <v>275.37</v>
      </c>
      <c r="B242" s="50">
        <v>278.12</v>
      </c>
      <c r="C242" s="50">
        <v>273.61</v>
      </c>
      <c r="D242" s="50">
        <v>274.48</v>
      </c>
      <c r="E242" s="50">
        <v>3063958</v>
      </c>
      <c r="F242" s="50" t="s">
        <v>248</v>
      </c>
      <c r="G242" s="25">
        <f t="shared" si="0"/>
        <v>3.2424948994462799E-3</v>
      </c>
      <c r="I242" s="25">
        <v>2.7500000000000031E-2</v>
      </c>
      <c r="J242">
        <v>13</v>
      </c>
      <c r="L242" s="25">
        <v>2.5000000000000033E-2</v>
      </c>
      <c r="M242" s="1">
        <f t="shared" si="1"/>
        <v>7.2355308861635965</v>
      </c>
    </row>
    <row r="243" spans="1:13" ht="15">
      <c r="A243" s="50">
        <v>278.02999999999997</v>
      </c>
      <c r="B243" s="50">
        <v>281.58999999999997</v>
      </c>
      <c r="C243" s="50">
        <v>274.08</v>
      </c>
      <c r="D243" s="50">
        <v>275.45999999999998</v>
      </c>
      <c r="E243" s="50">
        <v>2416485</v>
      </c>
      <c r="F243" s="50" t="s">
        <v>249</v>
      </c>
      <c r="G243" s="25">
        <f t="shared" si="0"/>
        <v>9.3298482538299865E-3</v>
      </c>
      <c r="I243" s="25">
        <v>3.000000000000003E-2</v>
      </c>
      <c r="J243">
        <v>4</v>
      </c>
      <c r="L243" s="25">
        <v>2.7500000000000031E-2</v>
      </c>
      <c r="M243" s="1">
        <f t="shared" si="1"/>
        <v>5.4912925812967925</v>
      </c>
    </row>
    <row r="244" spans="1:13" ht="15">
      <c r="A244" s="50">
        <v>276.85000000000002</v>
      </c>
      <c r="B244" s="50">
        <v>278.10000000000002</v>
      </c>
      <c r="C244" s="50">
        <v>273.10000000000002</v>
      </c>
      <c r="D244" s="50">
        <v>274.5</v>
      </c>
      <c r="E244" s="50">
        <v>3099732</v>
      </c>
      <c r="F244" s="50" t="s">
        <v>250</v>
      </c>
      <c r="G244" s="25">
        <f t="shared" si="0"/>
        <v>8.5610200364298894E-3</v>
      </c>
      <c r="I244" s="25">
        <v>3.2500000000000029E-2</v>
      </c>
      <c r="J244">
        <v>12</v>
      </c>
      <c r="L244" s="25">
        <v>3.000000000000003E-2</v>
      </c>
      <c r="M244" s="1">
        <f t="shared" si="1"/>
        <v>4.057259594638615</v>
      </c>
    </row>
    <row r="245" spans="1:13" ht="15">
      <c r="A245" s="50">
        <v>268.54000000000002</v>
      </c>
      <c r="B245" s="50">
        <v>272.66000000000003</v>
      </c>
      <c r="C245" s="50">
        <v>266.52</v>
      </c>
      <c r="D245" s="50">
        <v>268</v>
      </c>
      <c r="E245" s="50">
        <v>2473915</v>
      </c>
      <c r="F245" s="50" t="s">
        <v>251</v>
      </c>
      <c r="G245" s="25">
        <f t="shared" si="0"/>
        <v>2.014925373134302E-3</v>
      </c>
      <c r="I245" s="25">
        <v>3.5000000000000031E-2</v>
      </c>
      <c r="J245">
        <v>4</v>
      </c>
      <c r="L245" s="25">
        <v>3.2500000000000029E-2</v>
      </c>
      <c r="M245" s="1">
        <f t="shared" si="1"/>
        <v>2.9184014856263225</v>
      </c>
    </row>
    <row r="246" spans="1:13" ht="15">
      <c r="A246" s="50">
        <v>266.41000000000003</v>
      </c>
      <c r="B246" s="50">
        <v>267.42</v>
      </c>
      <c r="C246" s="50">
        <v>257.20999999999998</v>
      </c>
      <c r="D246" s="50">
        <v>260.95999999999998</v>
      </c>
      <c r="E246" s="50">
        <v>3522670</v>
      </c>
      <c r="F246" s="50" t="s">
        <v>252</v>
      </c>
      <c r="G246" s="25">
        <f t="shared" si="0"/>
        <v>2.0884426732066474E-2</v>
      </c>
      <c r="I246" s="25">
        <v>3.7500000000000033E-2</v>
      </c>
      <c r="J246">
        <v>2</v>
      </c>
      <c r="L246" s="25">
        <v>3.5000000000000031E-2</v>
      </c>
      <c r="M246" s="1">
        <f t="shared" si="1"/>
        <v>2.043672538826991</v>
      </c>
    </row>
    <row r="247" spans="1:13" ht="15">
      <c r="A247" s="50">
        <v>267.02</v>
      </c>
      <c r="B247" s="50">
        <v>267.47500000000002</v>
      </c>
      <c r="C247" s="50">
        <v>261.83</v>
      </c>
      <c r="D247" s="50">
        <v>265.43</v>
      </c>
      <c r="E247" s="50">
        <v>1730942</v>
      </c>
      <c r="F247" s="50" t="s">
        <v>253</v>
      </c>
      <c r="G247" s="25">
        <f t="shared" si="0"/>
        <v>5.9902799231434933E-3</v>
      </c>
      <c r="I247" s="25">
        <v>4.0000000000000036E-2</v>
      </c>
      <c r="J247">
        <v>2</v>
      </c>
      <c r="L247" s="25">
        <v>3.7500000000000033E-2</v>
      </c>
      <c r="M247" s="1">
        <f t="shared" si="1"/>
        <v>1.3932582091363066</v>
      </c>
    </row>
    <row r="248" spans="1:13" ht="15">
      <c r="A248" s="50">
        <v>264.95</v>
      </c>
      <c r="B248" s="50">
        <v>268</v>
      </c>
      <c r="C248" s="50">
        <v>262.52999999999997</v>
      </c>
      <c r="D248" s="50">
        <v>264.94</v>
      </c>
      <c r="E248" s="50">
        <v>1561627</v>
      </c>
      <c r="F248" s="50" t="s">
        <v>254</v>
      </c>
      <c r="G248" s="25">
        <f t="shared" si="0"/>
        <v>3.7744394957295313E-5</v>
      </c>
      <c r="I248" s="25">
        <v>4.2500000000000038E-2</v>
      </c>
      <c r="J248">
        <v>3</v>
      </c>
      <c r="L248" s="25">
        <v>4.0000000000000036E-2</v>
      </c>
      <c r="M248" s="1">
        <f t="shared" si="1"/>
        <v>0.92471082513009339</v>
      </c>
    </row>
    <row r="249" spans="1:13" ht="15">
      <c r="A249" s="50">
        <v>264.81</v>
      </c>
      <c r="B249" s="50">
        <v>268.86</v>
      </c>
      <c r="C249" s="50">
        <v>264</v>
      </c>
      <c r="D249" s="50">
        <v>267</v>
      </c>
      <c r="E249" s="50">
        <v>1940096</v>
      </c>
      <c r="F249" s="50" t="s">
        <v>255</v>
      </c>
      <c r="G249" s="25">
        <f t="shared" si="0"/>
        <v>-8.2022471910112582E-3</v>
      </c>
      <c r="I249" s="25">
        <v>4.500000000000004E-2</v>
      </c>
      <c r="J249">
        <v>3</v>
      </c>
      <c r="L249" s="25">
        <v>4.2500000000000038E-2</v>
      </c>
      <c r="M249" s="1">
        <f t="shared" si="1"/>
        <v>0.59749503752487221</v>
      </c>
    </row>
    <row r="250" spans="1:13" ht="15">
      <c r="A250" s="50">
        <v>267.32</v>
      </c>
      <c r="B250" s="50">
        <v>268</v>
      </c>
      <c r="C250" s="50">
        <v>258</v>
      </c>
      <c r="D250" s="50">
        <v>258.07</v>
      </c>
      <c r="E250" s="50">
        <v>2696315</v>
      </c>
      <c r="F250" s="50" t="s">
        <v>256</v>
      </c>
      <c r="G250" s="25">
        <f t="shared" si="0"/>
        <v>3.5842988336497905E-2</v>
      </c>
      <c r="I250" s="25">
        <v>4.7500000000000042E-2</v>
      </c>
      <c r="J250">
        <v>1</v>
      </c>
      <c r="L250" s="25">
        <v>4.500000000000004E-2</v>
      </c>
      <c r="M250" s="1">
        <f t="shared" si="1"/>
        <v>0.37585185089320156</v>
      </c>
    </row>
    <row r="251" spans="1:13" ht="15.75" thickBot="1">
      <c r="A251" s="50">
        <v>260.14</v>
      </c>
      <c r="B251" s="50">
        <v>270.17</v>
      </c>
      <c r="C251" s="50">
        <v>259.26</v>
      </c>
      <c r="D251" s="50">
        <v>261.87</v>
      </c>
      <c r="E251" s="50">
        <v>3872872</v>
      </c>
      <c r="F251" s="50" t="s">
        <v>257</v>
      </c>
      <c r="G251" s="25">
        <f t="shared" si="0"/>
        <v>-6.6063313858021333E-3</v>
      </c>
      <c r="I251" s="51" t="s">
        <v>1483</v>
      </c>
      <c r="J251" s="51">
        <v>10</v>
      </c>
      <c r="L251" s="25">
        <v>4.7500000000000042E-2</v>
      </c>
      <c r="M251" s="1">
        <f t="shared" si="1"/>
        <v>0.23017232983669003</v>
      </c>
    </row>
    <row r="252" spans="1:13">
      <c r="A252" s="50">
        <v>252.42</v>
      </c>
      <c r="B252" s="50">
        <v>253.24</v>
      </c>
      <c r="C252" s="50">
        <v>246.37</v>
      </c>
      <c r="D252" s="50">
        <v>247.12</v>
      </c>
      <c r="E252" s="50">
        <v>2324093</v>
      </c>
      <c r="F252" s="50" t="s">
        <v>258</v>
      </c>
      <c r="G252" s="25">
        <f t="shared" si="0"/>
        <v>2.1447070249271505E-2</v>
      </c>
      <c r="L252" s="25">
        <v>5.0000000000000044E-2</v>
      </c>
      <c r="M252" s="1">
        <f t="shared" si="1"/>
        <v>0.13722826229243101</v>
      </c>
    </row>
    <row r="253" spans="1:13">
      <c r="A253" s="50">
        <v>242.51</v>
      </c>
      <c r="B253" s="50">
        <v>250.26179999999999</v>
      </c>
      <c r="C253" s="50">
        <v>239.27</v>
      </c>
      <c r="D253" s="50">
        <v>248.85</v>
      </c>
      <c r="E253" s="50">
        <v>4302917</v>
      </c>
      <c r="F253" s="50" t="s">
        <v>259</v>
      </c>
      <c r="G253" s="25">
        <f t="shared" si="0"/>
        <v>-2.547719509744828E-2</v>
      </c>
    </row>
    <row r="254" spans="1:13">
      <c r="A254" s="50">
        <v>251.31</v>
      </c>
      <c r="B254" s="50">
        <v>255.62</v>
      </c>
      <c r="C254" s="50">
        <v>247.1</v>
      </c>
      <c r="D254" s="50">
        <v>252.95</v>
      </c>
      <c r="E254" s="50">
        <v>3907488</v>
      </c>
      <c r="F254" s="50" t="s">
        <v>260</v>
      </c>
      <c r="G254" s="25">
        <f t="shared" si="0"/>
        <v>-6.4834947618105376E-3</v>
      </c>
    </row>
    <row r="255" spans="1:13">
      <c r="A255" s="50">
        <v>252.92</v>
      </c>
      <c r="B255" s="50">
        <v>258.94</v>
      </c>
      <c r="C255" s="50">
        <v>249.63</v>
      </c>
      <c r="D255" s="50">
        <v>255.16</v>
      </c>
      <c r="E255" s="50">
        <v>4244855</v>
      </c>
      <c r="F255" s="50" t="s">
        <v>261</v>
      </c>
      <c r="G255" s="25">
        <f t="shared" si="0"/>
        <v>-8.7788054554005512E-3</v>
      </c>
    </row>
    <row r="256" spans="1:13">
      <c r="A256" s="50">
        <v>257.86</v>
      </c>
      <c r="B256" s="50">
        <v>260.63</v>
      </c>
      <c r="C256" s="50">
        <v>255.3</v>
      </c>
      <c r="D256" s="50">
        <v>256</v>
      </c>
      <c r="E256" s="50">
        <v>3509063</v>
      </c>
      <c r="F256" s="50" t="s">
        <v>262</v>
      </c>
      <c r="G256" s="25">
        <f t="shared" si="0"/>
        <v>7.2656250000000533E-3</v>
      </c>
    </row>
    <row r="257" spans="1:7">
      <c r="A257" s="50">
        <v>255.38</v>
      </c>
      <c r="B257" s="50">
        <v>257.62</v>
      </c>
      <c r="C257" s="50">
        <v>252.16</v>
      </c>
      <c r="D257" s="50">
        <v>256.52</v>
      </c>
      <c r="E257" s="50">
        <v>3067443</v>
      </c>
      <c r="F257" s="50" t="s">
        <v>263</v>
      </c>
      <c r="G257" s="25">
        <f t="shared" si="0"/>
        <v>-4.4440979260875757E-3</v>
      </c>
    </row>
    <row r="258" spans="1:7">
      <c r="A258" s="50">
        <v>251.13</v>
      </c>
      <c r="B258" s="50">
        <v>252.77</v>
      </c>
      <c r="C258" s="50">
        <v>243.13499999999999</v>
      </c>
      <c r="D258" s="50">
        <v>246.89</v>
      </c>
      <c r="E258" s="50">
        <v>4413488</v>
      </c>
      <c r="F258" s="50" t="s">
        <v>264</v>
      </c>
      <c r="G258" s="25">
        <f t="shared" si="0"/>
        <v>1.7173640082627895E-2</v>
      </c>
    </row>
    <row r="259" spans="1:7">
      <c r="A259" s="50">
        <v>246.89</v>
      </c>
      <c r="B259" s="50">
        <v>255.5</v>
      </c>
      <c r="C259" s="50">
        <v>238.5196</v>
      </c>
      <c r="D259" s="50">
        <v>255.01499999999999</v>
      </c>
      <c r="E259" s="50">
        <v>4799892</v>
      </c>
      <c r="F259" s="50" t="s">
        <v>265</v>
      </c>
      <c r="G259" s="25">
        <f t="shared" si="0"/>
        <v>-3.1860870929161011E-2</v>
      </c>
    </row>
    <row r="260" spans="1:7">
      <c r="A260" s="50">
        <v>262.36</v>
      </c>
      <c r="B260" s="50">
        <v>264.77</v>
      </c>
      <c r="C260" s="50">
        <v>226.26</v>
      </c>
      <c r="D260" s="50">
        <v>226.96</v>
      </c>
      <c r="E260" s="50">
        <v>8640614</v>
      </c>
      <c r="F260" s="50" t="s">
        <v>266</v>
      </c>
      <c r="G260" s="25">
        <f t="shared" si="0"/>
        <v>0.15597462107860416</v>
      </c>
    </row>
    <row r="261" spans="1:7">
      <c r="A261" s="50">
        <v>231.39</v>
      </c>
      <c r="B261" s="50">
        <v>247</v>
      </c>
      <c r="C261" s="50">
        <v>227.36</v>
      </c>
      <c r="D261" s="50">
        <v>245.83</v>
      </c>
      <c r="E261" s="50">
        <v>4782062</v>
      </c>
      <c r="F261" s="50" t="s">
        <v>267</v>
      </c>
      <c r="G261" s="25">
        <f t="shared" si="0"/>
        <v>-5.8739779522434254E-2</v>
      </c>
    </row>
    <row r="262" spans="1:7">
      <c r="A262" s="50">
        <v>234.28</v>
      </c>
      <c r="B262" s="50">
        <v>241.94</v>
      </c>
      <c r="C262" s="50">
        <v>220.43</v>
      </c>
      <c r="D262" s="50">
        <v>225.285</v>
      </c>
      <c r="E262" s="50">
        <v>6283581</v>
      </c>
      <c r="F262" s="50" t="s">
        <v>268</v>
      </c>
      <c r="G262" s="25">
        <f t="shared" si="0"/>
        <v>3.9927203320238913E-2</v>
      </c>
    </row>
    <row r="263" spans="1:7">
      <c r="A263" s="50">
        <v>233.68</v>
      </c>
      <c r="B263" s="50">
        <v>238.97</v>
      </c>
      <c r="C263" s="50">
        <v>228.62</v>
      </c>
      <c r="D263" s="50">
        <v>237.92</v>
      </c>
      <c r="E263" s="50">
        <v>9097521</v>
      </c>
      <c r="F263" s="50" t="s">
        <v>269</v>
      </c>
      <c r="G263" s="25">
        <f t="shared" si="0"/>
        <v>-1.7821116341627308E-2</v>
      </c>
    </row>
    <row r="264" spans="1:7">
      <c r="A264" s="50">
        <v>247.00000000000003</v>
      </c>
      <c r="B264" s="50">
        <v>260.13638931482529</v>
      </c>
      <c r="C264" s="50">
        <v>246.35713421031397</v>
      </c>
      <c r="D264" s="50">
        <v>259.3390363973852</v>
      </c>
      <c r="E264" s="50">
        <v>7761922.0606477726</v>
      </c>
      <c r="F264" s="50" t="s">
        <v>270</v>
      </c>
      <c r="G264" s="25">
        <f t="shared" si="0"/>
        <v>-4.7578785549577174E-2</v>
      </c>
    </row>
    <row r="265" spans="1:7">
      <c r="A265" s="50">
        <v>274.33923815672671</v>
      </c>
      <c r="B265" s="50">
        <v>276.40089379388269</v>
      </c>
      <c r="C265" s="50">
        <v>265.68795900250183</v>
      </c>
      <c r="D265" s="50">
        <v>266.00690016947789</v>
      </c>
      <c r="E265" s="50">
        <v>2481929.3398380564</v>
      </c>
      <c r="F265" s="50" t="s">
        <v>271</v>
      </c>
      <c r="G265" s="25">
        <f t="shared" si="0"/>
        <v>3.1323766345685566E-2</v>
      </c>
    </row>
    <row r="266" spans="1:7">
      <c r="A266" s="50">
        <v>269.58502138649027</v>
      </c>
      <c r="B266" s="50">
        <v>269.97622266160926</v>
      </c>
      <c r="C266" s="50">
        <v>264.24096279557745</v>
      </c>
      <c r="D266" s="50">
        <v>264.86070535065778</v>
      </c>
      <c r="E266" s="50">
        <v>2890956.7514979756</v>
      </c>
      <c r="F266" s="50" t="s">
        <v>272</v>
      </c>
      <c r="G266" s="25">
        <f t="shared" ref="G266:G329" si="2">A266/D266-1</f>
        <v>1.7836983517724114E-2</v>
      </c>
    </row>
    <row r="267" spans="1:7">
      <c r="A267" s="50">
        <v>268.1597530465661</v>
      </c>
      <c r="B267" s="50">
        <v>269.44548462593821</v>
      </c>
      <c r="C267" s="50">
        <v>258.14300702122512</v>
      </c>
      <c r="D267" s="50">
        <v>261.62145912355749</v>
      </c>
      <c r="E267" s="50">
        <v>3959064.9647773276</v>
      </c>
      <c r="F267" s="50" t="s">
        <v>273</v>
      </c>
      <c r="G267" s="25">
        <f t="shared" si="2"/>
        <v>2.4991428244885316E-2</v>
      </c>
    </row>
    <row r="268" spans="1:7">
      <c r="A268" s="50">
        <v>264.60156565248974</v>
      </c>
      <c r="B268" s="50">
        <v>271.7403659914454</v>
      </c>
      <c r="C268" s="50">
        <v>262.13973851989351</v>
      </c>
      <c r="D268" s="50">
        <v>269.73452505851026</v>
      </c>
      <c r="E268" s="50">
        <v>3272304.5754655865</v>
      </c>
      <c r="F268" s="50" t="s">
        <v>274</v>
      </c>
      <c r="G268" s="25">
        <f t="shared" si="2"/>
        <v>-1.90296715072239E-2</v>
      </c>
    </row>
    <row r="269" spans="1:7">
      <c r="A269" s="50">
        <v>271.11992575256238</v>
      </c>
      <c r="B269" s="50">
        <v>274.58841094342671</v>
      </c>
      <c r="C269" s="50">
        <v>269.64482285529823</v>
      </c>
      <c r="D269" s="50">
        <v>273.95052860947465</v>
      </c>
      <c r="E269" s="50">
        <v>2319980.4748178134</v>
      </c>
      <c r="F269" s="50" t="s">
        <v>275</v>
      </c>
      <c r="G269" s="25">
        <f t="shared" si="2"/>
        <v>-1.0332532925853122E-2</v>
      </c>
    </row>
    <row r="270" spans="1:7">
      <c r="A270" s="50">
        <v>275.08675651682677</v>
      </c>
      <c r="B270" s="50">
        <v>281.19148979097736</v>
      </c>
      <c r="C270" s="50">
        <v>273.68640545557264</v>
      </c>
      <c r="D270" s="50">
        <v>279.07352110402712</v>
      </c>
      <c r="E270" s="50">
        <v>2588570.1987854247</v>
      </c>
      <c r="F270" s="50" t="s">
        <v>276</v>
      </c>
      <c r="G270" s="25">
        <f t="shared" si="2"/>
        <v>-1.4285714285714124E-2</v>
      </c>
    </row>
    <row r="271" spans="1:7">
      <c r="A271" s="50">
        <v>278.35590347833107</v>
      </c>
      <c r="B271" s="50">
        <v>278.86421596319917</v>
      </c>
      <c r="C271" s="50">
        <v>275.29606165765477</v>
      </c>
      <c r="D271" s="50">
        <v>277.97716084254699</v>
      </c>
      <c r="E271" s="50">
        <v>2776897.345668016</v>
      </c>
      <c r="F271" s="50" t="s">
        <v>277</v>
      </c>
      <c r="G271" s="25">
        <f t="shared" si="2"/>
        <v>1.3624955181070764E-3</v>
      </c>
    </row>
    <row r="272" spans="1:7" ht="15" customHeight="1">
      <c r="A272" s="50">
        <v>276.94060204987494</v>
      </c>
      <c r="B272" s="50">
        <v>277.329311597127</v>
      </c>
      <c r="C272" s="50">
        <v>273.32261318699062</v>
      </c>
      <c r="D272" s="50">
        <v>274.31930433379068</v>
      </c>
      <c r="E272" s="50">
        <v>2660184.1588663966</v>
      </c>
      <c r="F272" s="50" t="s">
        <v>278</v>
      </c>
      <c r="G272" s="25">
        <f t="shared" si="2"/>
        <v>9.5556443701632077E-3</v>
      </c>
    </row>
    <row r="273" spans="1:7">
      <c r="A273" s="50">
        <v>269.61492212089422</v>
      </c>
      <c r="B273" s="50">
        <v>269.66475667823426</v>
      </c>
      <c r="C273" s="50">
        <v>264.28262448551374</v>
      </c>
      <c r="D273" s="50">
        <v>266.96372367040601</v>
      </c>
      <c r="E273" s="50">
        <v>4243750.9489068817</v>
      </c>
      <c r="F273" s="50" t="s">
        <v>279</v>
      </c>
      <c r="G273" s="25">
        <f t="shared" si="2"/>
        <v>9.9309314915063673E-3</v>
      </c>
    </row>
    <row r="274" spans="1:7">
      <c r="A274" s="50">
        <v>269.93386328787022</v>
      </c>
      <c r="B274" s="50">
        <v>273.64155435396663</v>
      </c>
      <c r="C274" s="50">
        <v>267.33249939472205</v>
      </c>
      <c r="D274" s="50">
        <v>268.13981922363007</v>
      </c>
      <c r="E274" s="50">
        <v>2136530.4656680161</v>
      </c>
      <c r="F274" s="50" t="s">
        <v>280</v>
      </c>
      <c r="G274" s="25">
        <f t="shared" si="2"/>
        <v>6.6907036389993735E-3</v>
      </c>
    </row>
    <row r="275" spans="1:7">
      <c r="A275" s="50">
        <v>269.75445888144623</v>
      </c>
      <c r="B275" s="50">
        <v>271.10995884109434</v>
      </c>
      <c r="C275" s="50">
        <v>260.39552901299334</v>
      </c>
      <c r="D275" s="50">
        <v>262.15967234282948</v>
      </c>
      <c r="E275" s="50">
        <v>2903778.1757085016</v>
      </c>
      <c r="F275" s="50" t="s">
        <v>281</v>
      </c>
      <c r="G275" s="25">
        <f t="shared" si="2"/>
        <v>2.897007945861696E-2</v>
      </c>
    </row>
    <row r="276" spans="1:7">
      <c r="A276" s="50">
        <v>261.85069808732152</v>
      </c>
      <c r="B276" s="50">
        <v>264.62149947542576</v>
      </c>
      <c r="C276" s="50">
        <v>259.59817609555324</v>
      </c>
      <c r="D276" s="50">
        <v>263.72447744330566</v>
      </c>
      <c r="E276" s="50">
        <v>3262524.2136842101</v>
      </c>
      <c r="F276" s="50" t="s">
        <v>282</v>
      </c>
      <c r="G276" s="25">
        <f t="shared" si="2"/>
        <v>-7.1050642479212334E-3</v>
      </c>
    </row>
    <row r="277" spans="1:7">
      <c r="A277" s="50">
        <v>263.50520539100961</v>
      </c>
      <c r="B277" s="50">
        <v>265.55340569768384</v>
      </c>
      <c r="C277" s="50">
        <v>260.40549592446132</v>
      </c>
      <c r="D277" s="50">
        <v>264.31252521991769</v>
      </c>
      <c r="E277" s="50">
        <v>2985757.4330364368</v>
      </c>
      <c r="F277" s="50" t="s">
        <v>283</v>
      </c>
      <c r="G277" s="25">
        <f t="shared" si="2"/>
        <v>-3.0544138165089496E-3</v>
      </c>
    </row>
    <row r="278" spans="1:7">
      <c r="A278" s="50">
        <v>264.75106932450973</v>
      </c>
      <c r="B278" s="50">
        <v>265.77766120571385</v>
      </c>
      <c r="C278" s="50">
        <v>258.14300702122512</v>
      </c>
      <c r="D278" s="50">
        <v>259.2842183843112</v>
      </c>
      <c r="E278" s="50">
        <v>4351567.6987044532</v>
      </c>
      <c r="F278" s="50" t="s">
        <v>284</v>
      </c>
      <c r="G278" s="25">
        <f t="shared" si="2"/>
        <v>2.1084395241115494E-2</v>
      </c>
    </row>
    <row r="279" spans="1:7">
      <c r="A279" s="50">
        <v>255.58151077394888</v>
      </c>
      <c r="B279" s="50">
        <v>260.64470179969334</v>
      </c>
      <c r="C279" s="50">
        <v>252.68113953676058</v>
      </c>
      <c r="D279" s="50">
        <v>258.79085626664516</v>
      </c>
      <c r="E279" s="50">
        <v>4208118.0448582992</v>
      </c>
      <c r="F279" s="50" t="s">
        <v>285</v>
      </c>
      <c r="G279" s="25">
        <f t="shared" si="2"/>
        <v>-1.2401309455035481E-2</v>
      </c>
    </row>
    <row r="280" spans="1:7">
      <c r="A280" s="50">
        <v>259.88721652812529</v>
      </c>
      <c r="B280" s="50">
        <v>261.95036720200147</v>
      </c>
      <c r="C280" s="50">
        <v>254.15624243402473</v>
      </c>
      <c r="D280" s="50">
        <v>259.31910257444923</v>
      </c>
      <c r="E280" s="50">
        <v>5533197.5383805661</v>
      </c>
      <c r="F280" s="50" t="s">
        <v>286</v>
      </c>
      <c r="G280" s="25">
        <f t="shared" si="2"/>
        <v>2.1907909908525092E-3</v>
      </c>
    </row>
    <row r="281" spans="1:7" ht="15" customHeight="1">
      <c r="A281" s="50">
        <v>254.54495198127674</v>
      </c>
      <c r="B281" s="50">
        <v>259.37890404325725</v>
      </c>
      <c r="C281" s="50">
        <v>252.70107335969658</v>
      </c>
      <c r="D281" s="50">
        <v>256.60810265515295</v>
      </c>
      <c r="E281" s="50">
        <v>4941974.26736842</v>
      </c>
      <c r="F281" s="50" t="s">
        <v>287</v>
      </c>
      <c r="G281" s="25">
        <f t="shared" si="2"/>
        <v>-8.0400838965276611E-3</v>
      </c>
    </row>
    <row r="282" spans="1:7">
      <c r="A282" s="50">
        <v>260.45533048180135</v>
      </c>
      <c r="B282" s="50">
        <v>267.70127511903803</v>
      </c>
      <c r="C282" s="50">
        <v>256.59813574368496</v>
      </c>
      <c r="D282" s="50">
        <v>266.82917036558791</v>
      </c>
      <c r="E282" s="50">
        <v>4298295.4285829952</v>
      </c>
      <c r="F282" s="50" t="s">
        <v>288</v>
      </c>
      <c r="G282" s="25">
        <f t="shared" si="2"/>
        <v>-2.3887342883289864E-2</v>
      </c>
    </row>
    <row r="283" spans="1:7">
      <c r="A283" s="50">
        <v>272.30598821725448</v>
      </c>
      <c r="B283" s="50">
        <v>273.2628117181826</v>
      </c>
      <c r="C283" s="50">
        <v>263.83411346945365</v>
      </c>
      <c r="D283" s="50">
        <v>272.75449923331456</v>
      </c>
      <c r="E283" s="50">
        <v>3829933.6883400804</v>
      </c>
      <c r="F283" s="50" t="s">
        <v>289</v>
      </c>
      <c r="G283" s="25">
        <f t="shared" si="2"/>
        <v>-1.6443762332822853E-3</v>
      </c>
    </row>
    <row r="284" spans="1:7">
      <c r="A284" s="50">
        <v>274.72794770397871</v>
      </c>
      <c r="B284" s="50">
        <v>281.22637398111539</v>
      </c>
      <c r="C284" s="50">
        <v>273.6216205310306</v>
      </c>
      <c r="D284" s="50">
        <v>278.87418287466716</v>
      </c>
      <c r="E284" s="50">
        <v>2953967.2439676109</v>
      </c>
      <c r="F284" s="50" t="s">
        <v>290</v>
      </c>
      <c r="G284" s="25">
        <f t="shared" si="2"/>
        <v>-1.4867762687634123E-2</v>
      </c>
    </row>
    <row r="285" spans="1:7">
      <c r="A285" s="50">
        <v>283.23969009765159</v>
      </c>
      <c r="B285" s="50">
        <v>285.17327092244375</v>
      </c>
      <c r="C285" s="50">
        <v>279.7014365265112</v>
      </c>
      <c r="D285" s="50">
        <v>282.06359454442742</v>
      </c>
      <c r="E285" s="50">
        <v>2577955.074898785</v>
      </c>
      <c r="F285" s="50" t="s">
        <v>291</v>
      </c>
      <c r="G285" s="25">
        <f t="shared" si="2"/>
        <v>4.169611307420773E-3</v>
      </c>
    </row>
    <row r="286" spans="1:7">
      <c r="A286" s="50">
        <v>282.53203938342352</v>
      </c>
      <c r="B286" s="50">
        <v>290.80955935759829</v>
      </c>
      <c r="C286" s="50">
        <v>276.66152852877087</v>
      </c>
      <c r="D286" s="50">
        <v>290.60523767250424</v>
      </c>
      <c r="E286" s="50">
        <v>5920767.9519838048</v>
      </c>
      <c r="F286" s="50" t="s">
        <v>292</v>
      </c>
      <c r="G286" s="25">
        <f t="shared" si="2"/>
        <v>-2.7780635867887371E-2</v>
      </c>
    </row>
    <row r="287" spans="1:7">
      <c r="A287" s="50">
        <v>294.51226696796067</v>
      </c>
      <c r="B287" s="50">
        <v>302.46087886369139</v>
      </c>
      <c r="C287" s="50">
        <v>292.14014203857641</v>
      </c>
      <c r="D287" s="50">
        <v>300.43261237995324</v>
      </c>
      <c r="E287" s="50">
        <v>2350679.0519028339</v>
      </c>
      <c r="F287" s="50" t="s">
        <v>293</v>
      </c>
      <c r="G287" s="25">
        <f t="shared" si="2"/>
        <v>-1.9706067743754718E-2</v>
      </c>
    </row>
    <row r="288" spans="1:7">
      <c r="A288" s="50">
        <v>299.96416754095713</v>
      </c>
      <c r="B288" s="50">
        <v>300.07380356710519</v>
      </c>
      <c r="C288" s="50">
        <v>293.99398757162464</v>
      </c>
      <c r="D288" s="50">
        <v>295.30961988540076</v>
      </c>
      <c r="E288" s="50">
        <v>3347390.0221862346</v>
      </c>
      <c r="F288" s="50" t="s">
        <v>294</v>
      </c>
      <c r="G288" s="25">
        <f t="shared" si="2"/>
        <v>1.5761584933679629E-2</v>
      </c>
    </row>
    <row r="289" spans="1:7">
      <c r="A289" s="50">
        <v>293.2265353885885</v>
      </c>
      <c r="B289" s="50">
        <v>300.00403518682919</v>
      </c>
      <c r="C289" s="50">
        <v>292.07037365830041</v>
      </c>
      <c r="D289" s="50">
        <v>295.02057945282871</v>
      </c>
      <c r="E289" s="50">
        <v>2038840.2229959511</v>
      </c>
      <c r="F289" s="50" t="s">
        <v>295</v>
      </c>
      <c r="G289" s="25">
        <f t="shared" si="2"/>
        <v>-6.0810810810811855E-3</v>
      </c>
    </row>
    <row r="290" spans="1:7">
      <c r="A290" s="50">
        <v>295.12024856750872</v>
      </c>
      <c r="B290" s="50">
        <v>298.35062424340248</v>
      </c>
      <c r="C290" s="50">
        <v>292.69828908078449</v>
      </c>
      <c r="D290" s="50">
        <v>294.1634250665806</v>
      </c>
      <c r="E290" s="50">
        <v>1905672.5908502021</v>
      </c>
      <c r="F290" s="50" t="s">
        <v>296</v>
      </c>
      <c r="G290" s="25">
        <f t="shared" si="2"/>
        <v>3.252693636918158E-3</v>
      </c>
    </row>
    <row r="291" spans="1:7">
      <c r="A291" s="50">
        <v>292.36938100234039</v>
      </c>
      <c r="B291" s="50">
        <v>297.42160842547014</v>
      </c>
      <c r="C291" s="50">
        <v>288.57198773303207</v>
      </c>
      <c r="D291" s="50">
        <v>296.00730368816079</v>
      </c>
      <c r="E291" s="50">
        <v>2520051.480404858</v>
      </c>
      <c r="F291" s="50" t="s">
        <v>297</v>
      </c>
      <c r="G291" s="25">
        <f t="shared" si="2"/>
        <v>-1.2289976093471267E-2</v>
      </c>
    </row>
    <row r="292" spans="1:7">
      <c r="A292" s="50">
        <v>294.55213461383261</v>
      </c>
      <c r="B292" s="50">
        <v>297.99071907029298</v>
      </c>
      <c r="C292" s="50">
        <v>291.45242514728437</v>
      </c>
      <c r="D292" s="50">
        <v>296.12690662577683</v>
      </c>
      <c r="E292" s="50">
        <v>2458721.5486639673</v>
      </c>
      <c r="F292" s="50" t="s">
        <v>298</v>
      </c>
      <c r="G292" s="25">
        <f t="shared" si="2"/>
        <v>-5.3178957288548823E-3</v>
      </c>
    </row>
    <row r="293" spans="1:7">
      <c r="A293" s="50">
        <v>294.42256476474864</v>
      </c>
      <c r="B293" s="50">
        <v>303.93099830522158</v>
      </c>
      <c r="C293" s="50">
        <v>292.88048422241951</v>
      </c>
      <c r="D293" s="50">
        <v>303.93099830522158</v>
      </c>
      <c r="E293" s="50">
        <v>3291086.7228340078</v>
      </c>
      <c r="F293" s="50" t="s">
        <v>299</v>
      </c>
      <c r="G293" s="25">
        <f t="shared" si="2"/>
        <v>-3.1284842919918732E-2</v>
      </c>
    </row>
    <row r="294" spans="1:7">
      <c r="A294" s="50">
        <v>302.85457186667747</v>
      </c>
      <c r="B294" s="50">
        <v>308.93438786215802</v>
      </c>
      <c r="C294" s="50">
        <v>297.70167863772093</v>
      </c>
      <c r="D294" s="50">
        <v>308.69518198692606</v>
      </c>
      <c r="E294" s="50">
        <v>2839697.1409716597</v>
      </c>
      <c r="F294" s="50" t="s">
        <v>300</v>
      </c>
      <c r="G294" s="25">
        <f t="shared" si="2"/>
        <v>-1.892031512333725E-2</v>
      </c>
    </row>
    <row r="295" spans="1:7">
      <c r="A295" s="50">
        <v>308.89452021628608</v>
      </c>
      <c r="B295" s="50">
        <v>310.96753813251559</v>
      </c>
      <c r="C295" s="50">
        <v>305.85461221854575</v>
      </c>
      <c r="D295" s="50">
        <v>309.35299814381409</v>
      </c>
      <c r="E295" s="50">
        <v>2155379.8354655867</v>
      </c>
      <c r="F295" s="50" t="s">
        <v>301</v>
      </c>
      <c r="G295" s="25">
        <f t="shared" si="2"/>
        <v>-1.4820542560730621E-3</v>
      </c>
    </row>
    <row r="296" spans="1:7">
      <c r="A296" s="50">
        <v>311.81482527641037</v>
      </c>
      <c r="B296" s="50">
        <v>312.64706238398844</v>
      </c>
      <c r="C296" s="50">
        <v>308.00746509563396</v>
      </c>
      <c r="D296" s="50">
        <v>312.35303849568237</v>
      </c>
      <c r="E296" s="50">
        <v>2031216.9988663965</v>
      </c>
      <c r="F296" s="50" t="s">
        <v>302</v>
      </c>
      <c r="G296" s="25">
        <f t="shared" si="2"/>
        <v>-1.7230926321833984E-3</v>
      </c>
    </row>
    <row r="297" spans="1:7">
      <c r="A297" s="50">
        <v>310.01081430070218</v>
      </c>
      <c r="B297" s="50">
        <v>310.81813412961026</v>
      </c>
      <c r="C297" s="50">
        <v>306.40279234928585</v>
      </c>
      <c r="D297" s="50">
        <v>306.41275926075383</v>
      </c>
      <c r="E297" s="50">
        <v>1731237.4104453439</v>
      </c>
      <c r="F297" s="50" t="s">
        <v>303</v>
      </c>
      <c r="G297" s="25">
        <f t="shared" si="2"/>
        <v>1.1742510490192926E-2</v>
      </c>
    </row>
    <row r="298" spans="1:7">
      <c r="A298" s="50">
        <v>306.48252764102983</v>
      </c>
      <c r="B298" s="50">
        <v>308.60547978371403</v>
      </c>
      <c r="C298" s="50">
        <v>304.86788798321368</v>
      </c>
      <c r="D298" s="50">
        <v>306.53236219836981</v>
      </c>
      <c r="E298" s="50">
        <v>1982167.7019433195</v>
      </c>
      <c r="F298" s="50" t="s">
        <v>304</v>
      </c>
      <c r="G298" s="25">
        <f t="shared" si="2"/>
        <v>-1.6257519102580442E-4</v>
      </c>
    </row>
    <row r="299" spans="1:7">
      <c r="A299" s="50">
        <v>305.3861673795497</v>
      </c>
      <c r="B299" s="50">
        <v>306.94100556855784</v>
      </c>
      <c r="C299" s="50">
        <v>302.90440642401751</v>
      </c>
      <c r="D299" s="50">
        <v>305.83467839560979</v>
      </c>
      <c r="E299" s="50">
        <v>2246046.8392712548</v>
      </c>
      <c r="F299" s="50" t="s">
        <v>305</v>
      </c>
      <c r="G299" s="25">
        <f t="shared" si="2"/>
        <v>-1.4665145836729732E-3</v>
      </c>
    </row>
    <row r="300" spans="1:7">
      <c r="A300" s="50">
        <v>308.54567831490601</v>
      </c>
      <c r="B300" s="50">
        <v>309.47758453716409</v>
      </c>
      <c r="C300" s="50">
        <v>305.33075135178763</v>
      </c>
      <c r="D300" s="50">
        <v>307.5091195222339</v>
      </c>
      <c r="E300" s="50">
        <v>1862354.256842105</v>
      </c>
      <c r="F300" s="50" t="s">
        <v>306</v>
      </c>
      <c r="G300" s="25">
        <f t="shared" si="2"/>
        <v>3.3708229345605911E-3</v>
      </c>
    </row>
    <row r="301" spans="1:7">
      <c r="A301" s="50">
        <v>309.23339520619805</v>
      </c>
      <c r="B301" s="50">
        <v>317.39629569849086</v>
      </c>
      <c r="C301" s="50">
        <v>304.99745783229764</v>
      </c>
      <c r="D301" s="50">
        <v>317.39629569849086</v>
      </c>
      <c r="E301" s="50">
        <v>3237734.1871255059</v>
      </c>
      <c r="F301" s="50" t="s">
        <v>307</v>
      </c>
      <c r="G301" s="25">
        <f t="shared" si="2"/>
        <v>-2.5718323127649545E-2</v>
      </c>
    </row>
    <row r="302" spans="1:7">
      <c r="A302" s="50">
        <v>315.72185457186669</v>
      </c>
      <c r="B302" s="50">
        <v>320.33902630941816</v>
      </c>
      <c r="C302" s="50">
        <v>315.24344282140271</v>
      </c>
      <c r="D302" s="50">
        <v>319.76842062787512</v>
      </c>
      <c r="E302" s="50">
        <v>1612591.8296356273</v>
      </c>
      <c r="F302" s="50" t="s">
        <v>308</v>
      </c>
      <c r="G302" s="25">
        <f t="shared" si="2"/>
        <v>-1.2654676931708519E-2</v>
      </c>
    </row>
    <row r="303" spans="1:7">
      <c r="A303" s="50">
        <v>319.090670648051</v>
      </c>
      <c r="B303" s="50">
        <v>322.18041320313137</v>
      </c>
      <c r="C303" s="50">
        <v>316.15541522072476</v>
      </c>
      <c r="D303" s="50">
        <v>322.03090953111138</v>
      </c>
      <c r="E303" s="50">
        <v>1736333.2719028338</v>
      </c>
      <c r="F303" s="50" t="s">
        <v>309</v>
      </c>
      <c r="G303" s="25">
        <f t="shared" si="2"/>
        <v>-9.1303002166515101E-3</v>
      </c>
    </row>
    <row r="304" spans="1:7">
      <c r="A304" s="50">
        <v>319.46941328383502</v>
      </c>
      <c r="B304" s="50">
        <v>319.64881769025908</v>
      </c>
      <c r="C304" s="50">
        <v>314.05738035671055</v>
      </c>
      <c r="D304" s="50">
        <v>316.88798321362282</v>
      </c>
      <c r="E304" s="50">
        <v>2072511.6367611333</v>
      </c>
      <c r="F304" s="50" t="s">
        <v>310</v>
      </c>
      <c r="G304" s="25">
        <f t="shared" si="2"/>
        <v>8.1461911052398417E-3</v>
      </c>
    </row>
    <row r="305" spans="1:30">
      <c r="A305" s="50">
        <v>314.78496489387459</v>
      </c>
      <c r="B305" s="50">
        <v>316.30990234847877</v>
      </c>
      <c r="C305" s="50">
        <v>312.07396497457836</v>
      </c>
      <c r="D305" s="50">
        <v>314.20688402873054</v>
      </c>
      <c r="E305" s="50">
        <v>1890713.0920647772</v>
      </c>
      <c r="F305" s="50" t="s">
        <v>311</v>
      </c>
      <c r="G305" s="25">
        <f t="shared" si="2"/>
        <v>1.8398096748610815E-3</v>
      </c>
    </row>
    <row r="306" spans="1:30">
      <c r="A306" s="50">
        <v>315.48264869663467</v>
      </c>
      <c r="B306" s="50">
        <v>315.95109353563072</v>
      </c>
      <c r="C306" s="50">
        <v>308.16693567912199</v>
      </c>
      <c r="D306" s="50">
        <v>311.15700911952229</v>
      </c>
      <c r="E306" s="50">
        <v>2004184.5524696354</v>
      </c>
      <c r="F306" s="50" t="s">
        <v>312</v>
      </c>
      <c r="G306" s="25">
        <f t="shared" si="2"/>
        <v>1.3901790576251516E-2</v>
      </c>
    </row>
    <row r="307" spans="1:30">
      <c r="A307" s="50">
        <v>316.39960455169074</v>
      </c>
      <c r="B307" s="50">
        <v>320.57225203776937</v>
      </c>
      <c r="C307" s="50">
        <v>314.46602372689858</v>
      </c>
      <c r="D307" s="50">
        <v>319.84815591961916</v>
      </c>
      <c r="E307" s="50">
        <v>2040757.5672064775</v>
      </c>
      <c r="F307" s="50" t="s">
        <v>313</v>
      </c>
      <c r="G307" s="25">
        <f t="shared" si="2"/>
        <v>-1.0781839144931804E-2</v>
      </c>
    </row>
    <row r="308" spans="1:30">
      <c r="A308" s="50">
        <v>317.89464127189092</v>
      </c>
      <c r="B308" s="50">
        <v>320.82890000807043</v>
      </c>
      <c r="C308" s="50">
        <v>314.95440238883066</v>
      </c>
      <c r="D308" s="50">
        <v>315.95109353563072</v>
      </c>
      <c r="E308" s="50">
        <v>2526027.2533603236</v>
      </c>
      <c r="F308" s="50" t="s">
        <v>314</v>
      </c>
      <c r="G308" s="25">
        <f t="shared" si="2"/>
        <v>6.1514195583596276E-3</v>
      </c>
    </row>
    <row r="309" spans="1:30">
      <c r="A309" s="50">
        <v>314.20688402873054</v>
      </c>
      <c r="B309" s="50">
        <v>318.42288757969499</v>
      </c>
      <c r="C309" s="50">
        <v>313.10055685578243</v>
      </c>
      <c r="D309" s="50">
        <v>315.58231781131468</v>
      </c>
      <c r="E309" s="50">
        <v>2162520.4627530361</v>
      </c>
      <c r="F309" s="50" t="s">
        <v>315</v>
      </c>
      <c r="G309" s="25">
        <f t="shared" si="2"/>
        <v>-4.358399393614043E-3</v>
      </c>
    </row>
    <row r="310" spans="1:30">
      <c r="A310" s="50">
        <v>315.99096118150277</v>
      </c>
      <c r="B310" s="50">
        <v>316.81821483334681</v>
      </c>
      <c r="C310" s="50">
        <v>309.69187313372618</v>
      </c>
      <c r="D310" s="50">
        <v>315.59228472278267</v>
      </c>
      <c r="E310" s="50">
        <v>2439489.9140080968</v>
      </c>
      <c r="F310" s="50" t="s">
        <v>316</v>
      </c>
      <c r="G310" s="25">
        <f t="shared" si="2"/>
        <v>1.2632642748864331E-3</v>
      </c>
    </row>
    <row r="311" spans="1:30">
      <c r="A311" s="50">
        <v>315.37301267048667</v>
      </c>
      <c r="B311" s="50">
        <v>317.77503833427488</v>
      </c>
      <c r="C311" s="50">
        <v>310.80677185053668</v>
      </c>
      <c r="D311" s="50">
        <v>317.07735453151486</v>
      </c>
      <c r="E311" s="50">
        <v>3109409.5798380561</v>
      </c>
      <c r="F311" s="50" t="s">
        <v>317</v>
      </c>
      <c r="G311" s="25">
        <f t="shared" si="2"/>
        <v>-5.3751610976645603E-3</v>
      </c>
    </row>
    <row r="312" spans="1:30">
      <c r="A312" s="50">
        <v>320.27673311274316</v>
      </c>
      <c r="B312" s="50">
        <v>323.39637640222747</v>
      </c>
      <c r="C312" s="50">
        <v>312.69191348559445</v>
      </c>
      <c r="D312" s="50">
        <v>323.32660802195142</v>
      </c>
      <c r="E312" s="50">
        <v>6280895.5613765176</v>
      </c>
      <c r="F312" s="50" t="s">
        <v>318</v>
      </c>
      <c r="G312" s="25">
        <f t="shared" si="2"/>
        <v>-9.4327990135634199E-3</v>
      </c>
    </row>
    <row r="313" spans="1:30">
      <c r="A313" s="50">
        <v>324.79174400774758</v>
      </c>
      <c r="B313" s="50">
        <v>325.19540392220159</v>
      </c>
      <c r="C313" s="50">
        <v>320.92488136550725</v>
      </c>
      <c r="D313" s="50">
        <v>322.4794205471714</v>
      </c>
      <c r="E313" s="50">
        <v>3948886.2850202424</v>
      </c>
      <c r="F313" s="50" t="s">
        <v>319</v>
      </c>
      <c r="G313" s="25">
        <f t="shared" si="2"/>
        <v>7.1704527893678982E-3</v>
      </c>
    </row>
    <row r="314" spans="1:30">
      <c r="A314" s="50">
        <v>321.18372205633125</v>
      </c>
      <c r="B314" s="50">
        <v>321.75183601000731</v>
      </c>
      <c r="C314" s="50">
        <v>316.62585344201443</v>
      </c>
      <c r="D314" s="50">
        <v>317.25675893793886</v>
      </c>
      <c r="E314" s="50">
        <v>2937127.5238056676</v>
      </c>
      <c r="F314" s="50" t="s">
        <v>320</v>
      </c>
      <c r="G314" s="25">
        <f t="shared" si="2"/>
        <v>1.2377870629260768E-2</v>
      </c>
    </row>
    <row r="315" spans="1:30">
      <c r="A315" s="50">
        <v>316.8979501250908</v>
      </c>
      <c r="B315" s="50">
        <v>318.64215963199098</v>
      </c>
      <c r="C315" s="50">
        <v>313.95771124203054</v>
      </c>
      <c r="D315" s="50">
        <v>315.8912920668227</v>
      </c>
      <c r="E315" s="50">
        <v>2788330.1752226716</v>
      </c>
      <c r="F315" s="50" t="s">
        <v>321</v>
      </c>
      <c r="G315" s="25">
        <f t="shared" si="2"/>
        <v>3.1867230390609791E-3</v>
      </c>
    </row>
    <row r="316" spans="1:30">
      <c r="A316" s="50">
        <v>311.52578484383832</v>
      </c>
      <c r="B316" s="50">
        <v>314.35638770075053</v>
      </c>
      <c r="C316" s="50">
        <v>309.7417076910661</v>
      </c>
      <c r="D316" s="50">
        <v>311.98426277136633</v>
      </c>
      <c r="E316" s="50">
        <v>2190705.7236437243</v>
      </c>
      <c r="F316" s="50" t="s">
        <v>322</v>
      </c>
      <c r="G316" s="25">
        <f t="shared" si="2"/>
        <v>-1.4695546610439258E-3</v>
      </c>
    </row>
    <row r="317" spans="1:30">
      <c r="A317" s="50">
        <v>310.44935840529422</v>
      </c>
      <c r="B317" s="50">
        <v>312.96102009523042</v>
      </c>
      <c r="C317" s="50">
        <v>309.10382535711409</v>
      </c>
      <c r="D317" s="50">
        <v>311.66532160439033</v>
      </c>
      <c r="E317" s="50">
        <v>2369037.7982995948</v>
      </c>
      <c r="F317" s="50" t="s">
        <v>323</v>
      </c>
      <c r="G317" s="25">
        <f t="shared" si="2"/>
        <v>-3.9015030380555871E-3</v>
      </c>
    </row>
    <row r="318" spans="1:30" ht="15">
      <c r="A318" s="50">
        <v>311.28657896860625</v>
      </c>
      <c r="B318" s="50">
        <v>312.92115244935843</v>
      </c>
      <c r="C318" s="50">
        <v>303.20341376805749</v>
      </c>
      <c r="D318" s="50">
        <v>303.9907997740296</v>
      </c>
      <c r="E318" s="50">
        <v>3109803.8845344125</v>
      </c>
      <c r="F318" s="50" t="s">
        <v>324</v>
      </c>
      <c r="G318" s="25">
        <f t="shared" si="2"/>
        <v>2.3999999999999799E-2</v>
      </c>
      <c r="AD318" s="2" t="s">
        <v>151</v>
      </c>
    </row>
    <row r="319" spans="1:30">
      <c r="A319" s="50">
        <v>299.36615285287712</v>
      </c>
      <c r="B319" s="50">
        <v>299.54555725930118</v>
      </c>
      <c r="C319" s="50">
        <v>295.7481639899928</v>
      </c>
      <c r="D319" s="50">
        <v>298.60866758130908</v>
      </c>
      <c r="E319" s="50">
        <v>2378802.1069635623</v>
      </c>
      <c r="F319" s="50" t="s">
        <v>325</v>
      </c>
      <c r="G319" s="25">
        <f t="shared" si="2"/>
        <v>2.5367156208275787E-3</v>
      </c>
      <c r="AD319" s="1" t="s">
        <v>152</v>
      </c>
    </row>
    <row r="320" spans="1:30">
      <c r="A320" s="50">
        <v>296.0372044225648</v>
      </c>
      <c r="B320" s="50">
        <v>296.72492131385684</v>
      </c>
      <c r="C320" s="50">
        <v>290.19230853038499</v>
      </c>
      <c r="D320" s="50">
        <v>291.55209426196433</v>
      </c>
      <c r="E320" s="50">
        <v>2210290.5268825907</v>
      </c>
      <c r="F320" s="50" t="s">
        <v>326</v>
      </c>
      <c r="G320" s="25">
        <f t="shared" si="2"/>
        <v>1.5383563517024523E-2</v>
      </c>
    </row>
    <row r="321" spans="1:7">
      <c r="A321" s="50">
        <v>292.32951335646845</v>
      </c>
      <c r="B321" s="50">
        <v>300.31799289807122</v>
      </c>
      <c r="C321" s="50">
        <v>292.18997659591645</v>
      </c>
      <c r="D321" s="50">
        <v>299.43592123315312</v>
      </c>
      <c r="E321" s="50">
        <v>2694442.5147368419</v>
      </c>
      <c r="F321" s="50" t="s">
        <v>327</v>
      </c>
      <c r="G321" s="25">
        <f t="shared" si="2"/>
        <v>-2.3732649868521749E-2</v>
      </c>
    </row>
    <row r="322" spans="1:7">
      <c r="A322" s="50">
        <v>301.84791380840937</v>
      </c>
      <c r="B322" s="50">
        <v>303.1934468565895</v>
      </c>
      <c r="C322" s="50">
        <v>297.86114922120902</v>
      </c>
      <c r="D322" s="50">
        <v>300.90105721894923</v>
      </c>
      <c r="E322" s="50">
        <v>2068254.5506882588</v>
      </c>
      <c r="F322" s="50" t="s">
        <v>328</v>
      </c>
      <c r="G322" s="25">
        <f t="shared" si="2"/>
        <v>3.1467373302420665E-3</v>
      </c>
    </row>
    <row r="323" spans="1:7">
      <c r="A323" s="50">
        <v>301.02066015656527</v>
      </c>
      <c r="B323" s="50">
        <v>303.36786780727954</v>
      </c>
      <c r="C323" s="50">
        <v>295.86776692760878</v>
      </c>
      <c r="D323" s="50">
        <v>302.99410862722948</v>
      </c>
      <c r="E323" s="50">
        <v>2065885.712550607</v>
      </c>
      <c r="F323" s="50" t="s">
        <v>329</v>
      </c>
      <c r="G323" s="25">
        <f t="shared" si="2"/>
        <v>-6.5131578947369428E-3</v>
      </c>
    </row>
    <row r="324" spans="1:7">
      <c r="A324" s="50">
        <v>300.88112339601327</v>
      </c>
      <c r="B324" s="50">
        <v>304.14389153417807</v>
      </c>
      <c r="C324" s="50">
        <v>299.1768812040998</v>
      </c>
      <c r="D324" s="50">
        <v>303.31304979420548</v>
      </c>
      <c r="E324" s="50">
        <v>2722984.9574898784</v>
      </c>
      <c r="F324" s="50" t="s">
        <v>330</v>
      </c>
      <c r="G324" s="25">
        <f t="shared" si="2"/>
        <v>-8.0178759200840721E-3</v>
      </c>
    </row>
    <row r="325" spans="1:7">
      <c r="A325" s="50">
        <v>302.07715277217335</v>
      </c>
      <c r="B325" s="50">
        <v>302.42101121781945</v>
      </c>
      <c r="C325" s="50">
        <v>296.54551690743284</v>
      </c>
      <c r="D325" s="50">
        <v>299.68509401985318</v>
      </c>
      <c r="E325" s="50">
        <v>1986405.7249392711</v>
      </c>
      <c r="F325" s="50" t="s">
        <v>331</v>
      </c>
      <c r="G325" s="25">
        <f t="shared" si="2"/>
        <v>7.9819076759344298E-3</v>
      </c>
    </row>
    <row r="326" spans="1:7">
      <c r="A326" s="50">
        <v>296.74485513679286</v>
      </c>
      <c r="B326" s="50">
        <v>298.64406993862667</v>
      </c>
      <c r="C326" s="50">
        <v>292.95537471281972</v>
      </c>
      <c r="D326" s="50">
        <v>298.30598981683426</v>
      </c>
      <c r="E326" s="50">
        <v>1941078.6902252249</v>
      </c>
      <c r="F326" s="50" t="s">
        <v>332</v>
      </c>
      <c r="G326" s="25">
        <f t="shared" si="2"/>
        <v>-5.2333333333332011E-3</v>
      </c>
    </row>
    <row r="327" spans="1:7">
      <c r="A327" s="50">
        <v>295.11411572579419</v>
      </c>
      <c r="B327" s="50">
        <v>297.18237058852424</v>
      </c>
      <c r="C327" s="50">
        <v>294.00044003047799</v>
      </c>
      <c r="D327" s="50">
        <v>296.36700088302484</v>
      </c>
      <c r="E327" s="50">
        <v>1238544.6910632232</v>
      </c>
      <c r="F327" s="50" t="s">
        <v>333</v>
      </c>
      <c r="G327" s="25">
        <f t="shared" si="2"/>
        <v>-4.2274786109711693E-3</v>
      </c>
    </row>
    <row r="328" spans="1:7">
      <c r="A328" s="50">
        <v>295.65106650746446</v>
      </c>
      <c r="B328" s="50">
        <v>298.00768382701744</v>
      </c>
      <c r="C328" s="50">
        <v>292.46913594941822</v>
      </c>
      <c r="D328" s="50">
        <v>295.67095357345227</v>
      </c>
      <c r="E328" s="50">
        <v>2406640.5788258361</v>
      </c>
      <c r="F328" s="50" t="s">
        <v>334</v>
      </c>
      <c r="G328" s="25">
        <f t="shared" si="2"/>
        <v>-6.7260803766622246E-5</v>
      </c>
    </row>
    <row r="329" spans="1:7">
      <c r="A329" s="50">
        <v>299.35006078119324</v>
      </c>
      <c r="B329" s="50">
        <v>303.36724811072656</v>
      </c>
      <c r="C329" s="50">
        <v>297.02327406062187</v>
      </c>
      <c r="D329" s="50">
        <v>299.15119012131532</v>
      </c>
      <c r="E329" s="50">
        <v>1685528.6758027589</v>
      </c>
      <c r="F329" s="50" t="s">
        <v>335</v>
      </c>
      <c r="G329" s="25">
        <f t="shared" si="2"/>
        <v>6.647831145090155E-4</v>
      </c>
    </row>
    <row r="330" spans="1:7">
      <c r="A330" s="50">
        <v>302.27345948139816</v>
      </c>
      <c r="B330" s="50">
        <v>303.16827801551875</v>
      </c>
      <c r="C330" s="50">
        <v>299.31028664921763</v>
      </c>
      <c r="D330" s="50">
        <v>299.77763269993068</v>
      </c>
      <c r="E330" s="50">
        <v>1235957.0795959712</v>
      </c>
      <c r="F330" s="50" t="s">
        <v>336</v>
      </c>
      <c r="G330" s="25">
        <f t="shared" ref="G330:G393" si="3">A330/D330-1</f>
        <v>8.3255937375612543E-3</v>
      </c>
    </row>
    <row r="331" spans="1:7">
      <c r="A331" s="50">
        <v>301.74645223272177</v>
      </c>
      <c r="B331" s="50">
        <v>301.90057699412716</v>
      </c>
      <c r="C331" s="50">
        <v>296.31728321805537</v>
      </c>
      <c r="D331" s="50">
        <v>297.59999897426781</v>
      </c>
      <c r="E331" s="50">
        <v>867781.10006757744</v>
      </c>
      <c r="F331" s="50" t="s">
        <v>337</v>
      </c>
      <c r="G331" s="25">
        <f t="shared" si="3"/>
        <v>1.3932974706805989E-2</v>
      </c>
    </row>
    <row r="332" spans="1:7">
      <c r="A332" s="50">
        <v>297.11276585756696</v>
      </c>
      <c r="B332" s="50">
        <v>298.0673450249808</v>
      </c>
      <c r="C332" s="50">
        <v>293.5181786802741</v>
      </c>
      <c r="D332" s="50">
        <v>294.80586620298345</v>
      </c>
      <c r="E332" s="50">
        <v>1913239.4905997023</v>
      </c>
      <c r="F332" s="50" t="s">
        <v>338</v>
      </c>
      <c r="G332" s="25">
        <f t="shared" si="3"/>
        <v>7.8251484079869815E-3</v>
      </c>
    </row>
    <row r="333" spans="1:7">
      <c r="A333" s="50">
        <v>296.96361286265852</v>
      </c>
      <c r="B333" s="50">
        <v>301.01063079117358</v>
      </c>
      <c r="C333" s="50">
        <v>290.3511634217187</v>
      </c>
      <c r="D333" s="50">
        <v>290.69918707650504</v>
      </c>
      <c r="E333" s="50">
        <v>6267806.4263746338</v>
      </c>
      <c r="F333" s="50" t="s">
        <v>339</v>
      </c>
      <c r="G333" s="25">
        <f t="shared" si="3"/>
        <v>2.1549512570548934E-2</v>
      </c>
    </row>
    <row r="334" spans="1:7">
      <c r="A334" s="50">
        <v>291.42506498505929</v>
      </c>
      <c r="B334" s="50">
        <v>295.18372045675142</v>
      </c>
      <c r="C334" s="50">
        <v>289.55568078220711</v>
      </c>
      <c r="D334" s="50">
        <v>291.36540378709594</v>
      </c>
      <c r="E334" s="50">
        <v>3561461.5068652751</v>
      </c>
      <c r="F334" s="50" t="s">
        <v>340</v>
      </c>
      <c r="G334" s="25">
        <f t="shared" si="3"/>
        <v>2.0476417991943663E-4</v>
      </c>
    </row>
    <row r="335" spans="1:7">
      <c r="A335" s="50">
        <v>286.1549924982952</v>
      </c>
      <c r="B335" s="50">
        <v>301.8757181616424</v>
      </c>
      <c r="C335" s="50">
        <v>284.81261554411947</v>
      </c>
      <c r="D335" s="50">
        <v>300.89130839524688</v>
      </c>
      <c r="E335" s="50">
        <v>3561333.7856618776</v>
      </c>
      <c r="F335" s="50" t="s">
        <v>341</v>
      </c>
      <c r="G335" s="25">
        <f t="shared" si="3"/>
        <v>-4.8975545274289711E-2</v>
      </c>
    </row>
    <row r="336" spans="1:7">
      <c r="A336" s="50">
        <v>299.63842323801612</v>
      </c>
      <c r="B336" s="50">
        <v>301.31888031398427</v>
      </c>
      <c r="C336" s="50">
        <v>298.00768382701744</v>
      </c>
      <c r="D336" s="50">
        <v>300.62283300441169</v>
      </c>
      <c r="E336" s="50">
        <v>3632087.309628861</v>
      </c>
      <c r="F336" s="50" t="s">
        <v>342</v>
      </c>
      <c r="G336" s="25">
        <f t="shared" si="3"/>
        <v>-3.2745675255516637E-3</v>
      </c>
    </row>
    <row r="337" spans="1:7">
      <c r="A337" s="50">
        <v>301.85583109565459</v>
      </c>
      <c r="B337" s="50">
        <v>302.48227367426995</v>
      </c>
      <c r="C337" s="50">
        <v>299.13627482182443</v>
      </c>
      <c r="D337" s="50">
        <v>301.98509702457523</v>
      </c>
      <c r="E337" s="50">
        <v>1824298.2661332041</v>
      </c>
      <c r="F337" s="50" t="s">
        <v>343</v>
      </c>
      <c r="G337" s="25">
        <f t="shared" si="3"/>
        <v>-4.2805400065859533E-4</v>
      </c>
    </row>
    <row r="338" spans="1:7">
      <c r="A338" s="50">
        <v>300.43390587752771</v>
      </c>
      <c r="B338" s="50">
        <v>302.60159607019671</v>
      </c>
      <c r="C338" s="50">
        <v>299.54395967457413</v>
      </c>
      <c r="D338" s="50">
        <v>300.75209893333232</v>
      </c>
      <c r="E338" s="50">
        <v>1671400.9004852478</v>
      </c>
      <c r="F338" s="50" t="s">
        <v>344</v>
      </c>
      <c r="G338" s="25">
        <f t="shared" si="3"/>
        <v>-1.0579911393241437E-3</v>
      </c>
    </row>
    <row r="339" spans="1:7">
      <c r="A339" s="50">
        <v>298.60429580665112</v>
      </c>
      <c r="B339" s="50">
        <v>302.73086199911734</v>
      </c>
      <c r="C339" s="50">
        <v>298.56452167467552</v>
      </c>
      <c r="D339" s="50">
        <v>301.915492293618</v>
      </c>
      <c r="E339" s="50">
        <v>1677915.6875372722</v>
      </c>
      <c r="F339" s="50" t="s">
        <v>345</v>
      </c>
      <c r="G339" s="25">
        <f t="shared" si="3"/>
        <v>-1.096729572176669E-2</v>
      </c>
    </row>
    <row r="340" spans="1:7">
      <c r="A340" s="50">
        <v>300.63277653740556</v>
      </c>
      <c r="B340" s="50">
        <v>302.41256950798277</v>
      </c>
      <c r="C340" s="50">
        <v>297.84858729911514</v>
      </c>
      <c r="D340" s="50">
        <v>301.65696043577674</v>
      </c>
      <c r="E340" s="50">
        <v>2083308.8211925975</v>
      </c>
      <c r="F340" s="50" t="s">
        <v>346</v>
      </c>
      <c r="G340" s="25">
        <f t="shared" si="3"/>
        <v>-3.3951939875400683E-3</v>
      </c>
    </row>
    <row r="341" spans="1:7">
      <c r="A341" s="50">
        <v>300.40407527854603</v>
      </c>
      <c r="B341" s="50">
        <v>303.25786924779374</v>
      </c>
      <c r="C341" s="50">
        <v>294.83569680196513</v>
      </c>
      <c r="D341" s="50">
        <v>295.75050183740342</v>
      </c>
      <c r="E341" s="50">
        <v>2984915.9265850955</v>
      </c>
      <c r="F341" s="50" t="s">
        <v>347</v>
      </c>
      <c r="G341" s="25">
        <f t="shared" si="3"/>
        <v>1.5734794741619762E-2</v>
      </c>
    </row>
    <row r="342" spans="1:7">
      <c r="A342" s="50">
        <v>295.04451099483691</v>
      </c>
      <c r="B342" s="50">
        <v>303.34736104473876</v>
      </c>
      <c r="C342" s="50">
        <v>294.48767314717884</v>
      </c>
      <c r="D342" s="50">
        <v>302.35300774534932</v>
      </c>
      <c r="E342" s="50">
        <v>2391450.8067304711</v>
      </c>
      <c r="F342" s="50" t="s">
        <v>348</v>
      </c>
      <c r="G342" s="25">
        <f t="shared" si="3"/>
        <v>-2.4172065642779517E-2</v>
      </c>
    </row>
    <row r="343" spans="1:7">
      <c r="A343" s="50">
        <v>302.27345948139816</v>
      </c>
      <c r="B343" s="50">
        <v>303.01922445594028</v>
      </c>
      <c r="C343" s="50">
        <v>298.92248886245574</v>
      </c>
      <c r="D343" s="50">
        <v>299.93672922783298</v>
      </c>
      <c r="E343" s="50">
        <v>1807875.5318696108</v>
      </c>
      <c r="F343" s="50" t="s">
        <v>349</v>
      </c>
      <c r="G343" s="25">
        <f t="shared" si="3"/>
        <v>7.7907439331652562E-3</v>
      </c>
    </row>
    <row r="344" spans="1:7">
      <c r="A344" s="50">
        <v>298.83299706551065</v>
      </c>
      <c r="B344" s="50">
        <v>301.71164986724312</v>
      </c>
      <c r="C344" s="50">
        <v>298.62418287263893</v>
      </c>
      <c r="D344" s="50">
        <v>300.57311533944221</v>
      </c>
      <c r="E344" s="50">
        <v>2809533.5950666303</v>
      </c>
      <c r="F344" s="50" t="s">
        <v>350</v>
      </c>
      <c r="G344" s="25">
        <f t="shared" si="3"/>
        <v>-5.7893343919546147E-3</v>
      </c>
    </row>
    <row r="345" spans="1:7">
      <c r="A345" s="50">
        <v>300.89130839524688</v>
      </c>
      <c r="B345" s="50">
        <v>301.81605696367899</v>
      </c>
      <c r="C345" s="50">
        <v>299.01198065940076</v>
      </c>
      <c r="D345" s="50">
        <v>300.2946964156132</v>
      </c>
      <c r="E345" s="50">
        <v>1570093.8499008596</v>
      </c>
      <c r="F345" s="50" t="s">
        <v>351</v>
      </c>
      <c r="G345" s="25">
        <f t="shared" si="3"/>
        <v>1.986754966887494E-3</v>
      </c>
    </row>
    <row r="346" spans="1:7">
      <c r="A346" s="50">
        <v>300.40407527854603</v>
      </c>
      <c r="B346" s="50">
        <v>303.26781278078761</v>
      </c>
      <c r="C346" s="50">
        <v>299.43955257813826</v>
      </c>
      <c r="D346" s="50">
        <v>302.12430648648973</v>
      </c>
      <c r="E346" s="50">
        <v>2140759.226430933</v>
      </c>
      <c r="F346" s="50" t="s">
        <v>352</v>
      </c>
      <c r="G346" s="25">
        <f t="shared" si="3"/>
        <v>-5.6937862032647724E-3</v>
      </c>
    </row>
    <row r="347" spans="1:7">
      <c r="A347" s="50">
        <v>300.55322827345441</v>
      </c>
      <c r="B347" s="50">
        <v>305.11730991765199</v>
      </c>
      <c r="C347" s="50">
        <v>298.21649801988923</v>
      </c>
      <c r="D347" s="50">
        <v>304.48092380604271</v>
      </c>
      <c r="E347" s="50">
        <v>2179360.1945411288</v>
      </c>
      <c r="F347" s="50" t="s">
        <v>353</v>
      </c>
      <c r="G347" s="25">
        <f t="shared" si="3"/>
        <v>-1.2899644035139213E-2</v>
      </c>
    </row>
    <row r="348" spans="1:7">
      <c r="A348" s="50">
        <v>302.95956325797692</v>
      </c>
      <c r="B348" s="50">
        <v>306.05200201907809</v>
      </c>
      <c r="C348" s="50">
        <v>302.94961972498299</v>
      </c>
      <c r="D348" s="50">
        <v>305.51505123740776</v>
      </c>
      <c r="E348" s="50">
        <v>1334179.7134022552</v>
      </c>
      <c r="F348" s="50" t="s">
        <v>354</v>
      </c>
      <c r="G348" s="25">
        <f t="shared" si="3"/>
        <v>-8.3645240032544921E-3</v>
      </c>
    </row>
    <row r="349" spans="1:7">
      <c r="A349" s="50">
        <v>302.53199133923943</v>
      </c>
      <c r="B349" s="50">
        <v>306.08183261805976</v>
      </c>
      <c r="C349" s="50">
        <v>301.08033495746076</v>
      </c>
      <c r="D349" s="50">
        <v>305.26646291256043</v>
      </c>
      <c r="E349" s="50">
        <v>1706982.8209371886</v>
      </c>
      <c r="F349" s="50" t="s">
        <v>355</v>
      </c>
      <c r="G349" s="25">
        <f t="shared" si="3"/>
        <v>-8.9576547231271508E-3</v>
      </c>
    </row>
    <row r="350" spans="1:7">
      <c r="A350" s="50">
        <v>303.84453769443348</v>
      </c>
      <c r="B350" s="50">
        <v>305.23663231357875</v>
      </c>
      <c r="C350" s="50">
        <v>300.2946964156132</v>
      </c>
      <c r="D350" s="50">
        <v>303.88431182640909</v>
      </c>
      <c r="E350" s="50">
        <v>2142804.7770428224</v>
      </c>
      <c r="F350" s="50" t="s">
        <v>356</v>
      </c>
      <c r="G350" s="25">
        <f t="shared" si="3"/>
        <v>-1.3088576944475516E-4</v>
      </c>
    </row>
    <row r="351" spans="1:7">
      <c r="A351" s="50">
        <v>303.48657050665327</v>
      </c>
      <c r="B351" s="50">
        <v>304.07323895329307</v>
      </c>
      <c r="C351" s="50">
        <v>300.79197250063783</v>
      </c>
      <c r="D351" s="50">
        <v>301.33876737997213</v>
      </c>
      <c r="E351" s="50">
        <v>3498193.2499603815</v>
      </c>
      <c r="F351" s="50" t="s">
        <v>357</v>
      </c>
      <c r="G351" s="25">
        <f t="shared" si="3"/>
        <v>7.1275367101135689E-3</v>
      </c>
    </row>
    <row r="352" spans="1:7">
      <c r="A352" s="50">
        <v>299.59864910604057</v>
      </c>
      <c r="B352" s="50">
        <v>300.21514815166205</v>
      </c>
      <c r="C352" s="50">
        <v>290.85828360440729</v>
      </c>
      <c r="D352" s="50">
        <v>291.74325804086391</v>
      </c>
      <c r="E352" s="50">
        <v>3810414.2685768302</v>
      </c>
      <c r="F352" s="50" t="s">
        <v>358</v>
      </c>
      <c r="G352" s="25">
        <f t="shared" si="3"/>
        <v>2.6925698704839851E-2</v>
      </c>
    </row>
    <row r="353" spans="1:7">
      <c r="A353" s="50">
        <v>291.34551672110814</v>
      </c>
      <c r="B353" s="50">
        <v>292.40947475145487</v>
      </c>
      <c r="C353" s="50">
        <v>285.90640417344787</v>
      </c>
      <c r="D353" s="50">
        <v>288.1834732290497</v>
      </c>
      <c r="E353" s="50">
        <v>2424157.4915878242</v>
      </c>
      <c r="F353" s="50" t="s">
        <v>359</v>
      </c>
      <c r="G353" s="25">
        <f t="shared" si="3"/>
        <v>1.0972327651645797E-2</v>
      </c>
    </row>
    <row r="354" spans="1:7">
      <c r="A354" s="50">
        <v>286.08538776733798</v>
      </c>
      <c r="B354" s="50">
        <v>286.7018868129594</v>
      </c>
      <c r="C354" s="50">
        <v>283.48018212293761</v>
      </c>
      <c r="D354" s="50">
        <v>284.5341966202904</v>
      </c>
      <c r="E354" s="50">
        <v>2401214.9418783723</v>
      </c>
      <c r="F354" s="50" t="s">
        <v>360</v>
      </c>
      <c r="G354" s="25">
        <f t="shared" si="3"/>
        <v>5.4516861785778303E-3</v>
      </c>
    </row>
    <row r="355" spans="1:7">
      <c r="A355" s="50">
        <v>283.93758464065678</v>
      </c>
      <c r="B355" s="50">
        <v>285.00144323567349</v>
      </c>
      <c r="C355" s="50">
        <v>279.72152665124548</v>
      </c>
      <c r="D355" s="50">
        <v>280.29825156489136</v>
      </c>
      <c r="E355" s="50">
        <v>2527206.3777964953</v>
      </c>
      <c r="F355" s="50" t="s">
        <v>361</v>
      </c>
      <c r="G355" s="25">
        <f t="shared" si="3"/>
        <v>1.29837880024124E-2</v>
      </c>
    </row>
    <row r="356" spans="1:7">
      <c r="A356" s="50">
        <v>283.92764110766291</v>
      </c>
      <c r="B356" s="50">
        <v>285.89646064045394</v>
      </c>
      <c r="C356" s="50">
        <v>282.00853923984124</v>
      </c>
      <c r="D356" s="50">
        <v>285.31973572680812</v>
      </c>
      <c r="E356" s="50">
        <v>2086415.3629035736</v>
      </c>
      <c r="F356" s="50" t="s">
        <v>362</v>
      </c>
      <c r="G356" s="25">
        <f t="shared" si="3"/>
        <v>-4.8790687948699896E-3</v>
      </c>
    </row>
    <row r="357" spans="1:7">
      <c r="A357" s="50">
        <v>285.25013099585084</v>
      </c>
      <c r="B357" s="50">
        <v>288.90935113760401</v>
      </c>
      <c r="C357" s="50">
        <v>283.87792344269343</v>
      </c>
      <c r="D357" s="50">
        <v>286.37375022416091</v>
      </c>
      <c r="E357" s="50">
        <v>2629415.5222347993</v>
      </c>
      <c r="F357" s="50" t="s">
        <v>363</v>
      </c>
      <c r="G357" s="25">
        <f t="shared" si="3"/>
        <v>-3.9236111111110583E-3</v>
      </c>
    </row>
    <row r="358" spans="1:7">
      <c r="A358" s="50">
        <v>286.67205621397778</v>
      </c>
      <c r="B358" s="50">
        <v>288.91432290410097</v>
      </c>
      <c r="C358" s="50">
        <v>285.73239234605472</v>
      </c>
      <c r="D358" s="50">
        <v>286.71183034595327</v>
      </c>
      <c r="E358" s="50">
        <v>2996703.487412014</v>
      </c>
      <c r="F358" s="50" t="s">
        <v>364</v>
      </c>
      <c r="G358" s="25">
        <f t="shared" si="3"/>
        <v>-1.3872511618195915E-4</v>
      </c>
    </row>
    <row r="359" spans="1:7">
      <c r="A359" s="50">
        <v>286.0157830363807</v>
      </c>
      <c r="B359" s="50">
        <v>288.96901233556736</v>
      </c>
      <c r="C359" s="50">
        <v>285.81194061000588</v>
      </c>
      <c r="D359" s="50">
        <v>286.29420196020976</v>
      </c>
      <c r="E359" s="50">
        <v>2130160.377906499</v>
      </c>
      <c r="F359" s="50" t="s">
        <v>365</v>
      </c>
      <c r="G359" s="25">
        <f t="shared" si="3"/>
        <v>-9.724923589886636E-4</v>
      </c>
    </row>
    <row r="360" spans="1:7">
      <c r="A360" s="50">
        <v>286.88087040684951</v>
      </c>
      <c r="B360" s="50">
        <v>291.89241103577234</v>
      </c>
      <c r="C360" s="50">
        <v>285.95612183841735</v>
      </c>
      <c r="D360" s="50">
        <v>290.3511634217187</v>
      </c>
      <c r="E360" s="50">
        <v>2264446.6522940723</v>
      </c>
      <c r="F360" s="50" t="s">
        <v>366</v>
      </c>
      <c r="G360" s="25">
        <f t="shared" si="3"/>
        <v>-1.195205479452055E-2</v>
      </c>
    </row>
    <row r="361" spans="1:7">
      <c r="A361" s="50">
        <v>291.31568612212646</v>
      </c>
      <c r="B361" s="50">
        <v>292.51885361438769</v>
      </c>
      <c r="C361" s="50">
        <v>288.7900287416773</v>
      </c>
      <c r="D361" s="50">
        <v>288.84968993964065</v>
      </c>
      <c r="E361" s="50">
        <v>2312588.4948659157</v>
      </c>
      <c r="F361" s="50" t="s">
        <v>367</v>
      </c>
      <c r="G361" s="25">
        <f t="shared" si="3"/>
        <v>8.5372990464387399E-3</v>
      </c>
    </row>
    <row r="362" spans="1:7">
      <c r="A362" s="50">
        <v>285.97600890440515</v>
      </c>
      <c r="B362" s="50">
        <v>288.46209102353862</v>
      </c>
      <c r="C362" s="50">
        <v>284.33035419391558</v>
      </c>
      <c r="D362" s="50">
        <v>285.06120386896686</v>
      </c>
      <c r="E362" s="50">
        <v>1824680.4240646288</v>
      </c>
      <c r="F362" s="50" t="s">
        <v>368</v>
      </c>
      <c r="G362" s="25">
        <f t="shared" si="3"/>
        <v>3.2091530626483511E-3</v>
      </c>
    </row>
    <row r="363" spans="1:7">
      <c r="A363" s="50">
        <v>285.20041333088136</v>
      </c>
      <c r="B363" s="50">
        <v>291.38031908658678</v>
      </c>
      <c r="C363" s="50">
        <v>283.04008135262785</v>
      </c>
      <c r="D363" s="50">
        <v>290.66935647752331</v>
      </c>
      <c r="E363" s="50">
        <v>3899349.4589707269</v>
      </c>
      <c r="F363" s="50" t="s">
        <v>369</v>
      </c>
      <c r="G363" s="25">
        <f t="shared" si="3"/>
        <v>-1.881499726327307E-2</v>
      </c>
    </row>
    <row r="364" spans="1:7">
      <c r="A364" s="50">
        <v>293.49331984778939</v>
      </c>
      <c r="B364" s="50">
        <v>295.15388985776974</v>
      </c>
      <c r="C364" s="50">
        <v>285.19046979788749</v>
      </c>
      <c r="D364" s="50">
        <v>286.37375022416091</v>
      </c>
      <c r="E364" s="50">
        <v>5411368.3771190019</v>
      </c>
      <c r="F364" s="50" t="s">
        <v>370</v>
      </c>
      <c r="G364" s="25">
        <f t="shared" si="3"/>
        <v>2.4861111111111223E-2</v>
      </c>
    </row>
    <row r="365" spans="1:7">
      <c r="A365" s="50">
        <v>274.38184943352417</v>
      </c>
      <c r="B365" s="50">
        <v>274.62049422537763</v>
      </c>
      <c r="C365" s="50">
        <v>269.6621514979721</v>
      </c>
      <c r="D365" s="50">
        <v>270.18567851010073</v>
      </c>
      <c r="E365" s="50">
        <v>1870141.127043898</v>
      </c>
      <c r="F365" s="50" t="s">
        <v>371</v>
      </c>
      <c r="G365" s="25">
        <f t="shared" si="3"/>
        <v>1.5530693360812586E-2</v>
      </c>
    </row>
    <row r="366" spans="1:7">
      <c r="A366" s="50">
        <v>268.66431796203483</v>
      </c>
      <c r="B366" s="50">
        <v>271.27946713942907</v>
      </c>
      <c r="C366" s="50">
        <v>268.18702837832791</v>
      </c>
      <c r="D366" s="50">
        <v>270.79223402272822</v>
      </c>
      <c r="E366" s="50">
        <v>1955054.6080489331</v>
      </c>
      <c r="F366" s="50" t="s">
        <v>372</v>
      </c>
      <c r="G366" s="25">
        <f t="shared" si="3"/>
        <v>-7.8581133184003615E-3</v>
      </c>
    </row>
    <row r="367" spans="1:7">
      <c r="A367" s="50">
        <v>271.15020121050844</v>
      </c>
      <c r="B367" s="50">
        <v>273.19389554674359</v>
      </c>
      <c r="C367" s="50">
        <v>269.42002646957081</v>
      </c>
      <c r="D367" s="50">
        <v>270.7624034237466</v>
      </c>
      <c r="E367" s="50">
        <v>2522716.0221022549</v>
      </c>
      <c r="F367" s="50" t="s">
        <v>373</v>
      </c>
      <c r="G367" s="25">
        <f t="shared" si="3"/>
        <v>1.4322438486962241E-3</v>
      </c>
    </row>
    <row r="368" spans="1:7">
      <c r="A368" s="50">
        <v>268.554939099102</v>
      </c>
      <c r="B368" s="50">
        <v>272.53235229665978</v>
      </c>
      <c r="C368" s="50">
        <v>267.12307034798118</v>
      </c>
      <c r="D368" s="50">
        <v>272.15449804289182</v>
      </c>
      <c r="E368" s="50">
        <v>2328532.5260364613</v>
      </c>
      <c r="F368" s="50" t="s">
        <v>374</v>
      </c>
      <c r="G368" s="25">
        <f t="shared" si="3"/>
        <v>-1.3226160029229161E-2</v>
      </c>
    </row>
    <row r="369" spans="1:7">
      <c r="A369" s="50">
        <v>272.53235229665978</v>
      </c>
      <c r="B369" s="50">
        <v>273.51676206305535</v>
      </c>
      <c r="C369" s="50">
        <v>268.74386622598598</v>
      </c>
      <c r="D369" s="50">
        <v>269.46974413454029</v>
      </c>
      <c r="E369" s="50">
        <v>2165089.6128387172</v>
      </c>
      <c r="F369" s="50" t="s">
        <v>375</v>
      </c>
      <c r="G369" s="25">
        <f t="shared" si="3"/>
        <v>1.1365313653136422E-2</v>
      </c>
    </row>
    <row r="370" spans="1:7">
      <c r="A370" s="50">
        <v>268.90296275388835</v>
      </c>
      <c r="B370" s="50">
        <v>270.26522677405188</v>
      </c>
      <c r="C370" s="50">
        <v>268.05786188473724</v>
      </c>
      <c r="D370" s="50">
        <v>268.77369682496771</v>
      </c>
      <c r="E370" s="50">
        <v>1758897.9702424675</v>
      </c>
      <c r="F370" s="50" t="s">
        <v>376</v>
      </c>
      <c r="G370" s="25">
        <f t="shared" si="3"/>
        <v>4.8094709581936179E-4</v>
      </c>
    </row>
    <row r="371" spans="1:7">
      <c r="A371" s="50">
        <v>269.9370901852534</v>
      </c>
      <c r="B371" s="50">
        <v>270.43426683494812</v>
      </c>
      <c r="C371" s="50">
        <v>266.16351941407038</v>
      </c>
      <c r="D371" s="50">
        <v>267.71968232761486</v>
      </c>
      <c r="E371" s="50">
        <v>2350154.6195249641</v>
      </c>
      <c r="F371" s="50" t="s">
        <v>377</v>
      </c>
      <c r="G371" s="25">
        <f t="shared" si="3"/>
        <v>8.2825731689202264E-3</v>
      </c>
    </row>
    <row r="372" spans="1:7">
      <c r="A372" s="50">
        <v>265.84035459176886</v>
      </c>
      <c r="B372" s="50">
        <v>271.62749079421542</v>
      </c>
      <c r="C372" s="50">
        <v>264.84102952588245</v>
      </c>
      <c r="D372" s="50">
        <v>270.11607377914345</v>
      </c>
      <c r="E372" s="50">
        <v>3010296.2416255306</v>
      </c>
      <c r="F372" s="50" t="s">
        <v>378</v>
      </c>
      <c r="G372" s="25">
        <f t="shared" si="3"/>
        <v>-1.5829191974967682E-2</v>
      </c>
    </row>
    <row r="373" spans="1:7">
      <c r="A373" s="50">
        <v>268.4555037691631</v>
      </c>
      <c r="B373" s="50">
        <v>269.69844539339988</v>
      </c>
      <c r="C373" s="50">
        <v>267.19267507893846</v>
      </c>
      <c r="D373" s="50">
        <v>268.70409209401043</v>
      </c>
      <c r="E373" s="50">
        <v>3510462.5309166485</v>
      </c>
      <c r="F373" s="50" t="s">
        <v>379</v>
      </c>
      <c r="G373" s="25">
        <f t="shared" si="3"/>
        <v>-9.2513784553882594E-4</v>
      </c>
    </row>
    <row r="374" spans="1:7">
      <c r="A374" s="50">
        <v>269.69844539339988</v>
      </c>
      <c r="B374" s="50">
        <v>271.80647438810553</v>
      </c>
      <c r="C374" s="50">
        <v>267.4412634037858</v>
      </c>
      <c r="D374" s="50">
        <v>270.46409743392974</v>
      </c>
      <c r="E374" s="50">
        <v>2062710.5086888059</v>
      </c>
      <c r="F374" s="50" t="s">
        <v>380</v>
      </c>
      <c r="G374" s="25">
        <f t="shared" si="3"/>
        <v>-2.8308823529411553E-3</v>
      </c>
    </row>
    <row r="375" spans="1:7">
      <c r="A375" s="50">
        <v>270.8618387536855</v>
      </c>
      <c r="B375" s="50">
        <v>271.289410672423</v>
      </c>
      <c r="C375" s="50">
        <v>267.06340915001783</v>
      </c>
      <c r="D375" s="50">
        <v>269.09188988077233</v>
      </c>
      <c r="E375" s="50">
        <v>2610099.4501588144</v>
      </c>
      <c r="F375" s="50" t="s">
        <v>381</v>
      </c>
      <c r="G375" s="25">
        <f t="shared" si="3"/>
        <v>6.577488729583747E-3</v>
      </c>
    </row>
    <row r="376" spans="1:7">
      <c r="A376" s="50">
        <v>269.21121227669903</v>
      </c>
      <c r="B376" s="50">
        <v>274.80375353845511</v>
      </c>
      <c r="C376" s="50">
        <v>268.0080447844378</v>
      </c>
      <c r="D376" s="50">
        <v>273.44715733209807</v>
      </c>
      <c r="E376" s="50">
        <v>4115980.7107926547</v>
      </c>
      <c r="F376" s="50" t="s">
        <v>382</v>
      </c>
      <c r="G376" s="25">
        <f t="shared" si="3"/>
        <v>-1.5490909090909111E-2</v>
      </c>
    </row>
    <row r="377" spans="1:7">
      <c r="A377" s="50">
        <v>275.22704973800523</v>
      </c>
      <c r="B377" s="50">
        <v>277.62344118953376</v>
      </c>
      <c r="C377" s="50">
        <v>267.53075520073088</v>
      </c>
      <c r="D377" s="50">
        <v>275.23699327099911</v>
      </c>
      <c r="E377" s="50">
        <v>7929131.4312942391</v>
      </c>
      <c r="F377" s="50" t="s">
        <v>383</v>
      </c>
      <c r="G377" s="25">
        <f t="shared" si="3"/>
        <v>-3.6127167630017887E-5</v>
      </c>
    </row>
    <row r="378" spans="1:7">
      <c r="A378" s="50">
        <v>284.16628589951631</v>
      </c>
      <c r="B378" s="50">
        <v>284.74301081316224</v>
      </c>
      <c r="C378" s="50">
        <v>280.88670984747006</v>
      </c>
      <c r="D378" s="50">
        <v>282.39633702660313</v>
      </c>
      <c r="E378" s="50">
        <v>3592214.1578785274</v>
      </c>
      <c r="F378" s="50" t="s">
        <v>384</v>
      </c>
      <c r="G378" s="25">
        <f t="shared" si="3"/>
        <v>6.2676056338026864E-3</v>
      </c>
    </row>
    <row r="379" spans="1:7">
      <c r="A379" s="50">
        <v>280.08943737201963</v>
      </c>
      <c r="B379" s="50">
        <v>280.27836449890361</v>
      </c>
      <c r="C379" s="50">
        <v>276.12196770745572</v>
      </c>
      <c r="D379" s="50">
        <v>277.30524813372915</v>
      </c>
      <c r="E379" s="50">
        <v>2256368.0347595075</v>
      </c>
      <c r="F379" s="50" t="s">
        <v>385</v>
      </c>
      <c r="G379" s="25">
        <f t="shared" si="3"/>
        <v>1.0040160642570406E-2</v>
      </c>
    </row>
    <row r="380" spans="1:7">
      <c r="A380" s="50">
        <v>275.7441134536877</v>
      </c>
      <c r="B380" s="50">
        <v>279.83090551417837</v>
      </c>
      <c r="C380" s="50">
        <v>275.33642860093801</v>
      </c>
      <c r="D380" s="50">
        <v>278.9857052096973</v>
      </c>
      <c r="E380" s="50">
        <v>2277419.9083871739</v>
      </c>
      <c r="F380" s="50" t="s">
        <v>386</v>
      </c>
      <c r="G380" s="25">
        <f t="shared" si="3"/>
        <v>-1.1619203763766572E-2</v>
      </c>
    </row>
    <row r="381" spans="1:7">
      <c r="A381" s="50">
        <v>274.95857434717004</v>
      </c>
      <c r="B381" s="50">
        <v>276.1319112404496</v>
      </c>
      <c r="C381" s="50">
        <v>273.55663563036086</v>
      </c>
      <c r="D381" s="50">
        <v>274.60060715938988</v>
      </c>
      <c r="E381" s="50">
        <v>1406899.3393585416</v>
      </c>
      <c r="F381" s="50" t="s">
        <v>387</v>
      </c>
      <c r="G381" s="25">
        <f t="shared" si="3"/>
        <v>1.3035921205097889E-3</v>
      </c>
    </row>
    <row r="382" spans="1:7">
      <c r="A382" s="50">
        <v>274.60060715938988</v>
      </c>
      <c r="B382" s="50">
        <v>275.54524279380985</v>
      </c>
      <c r="C382" s="50">
        <v>269.46974413454029</v>
      </c>
      <c r="D382" s="50">
        <v>269.84759838830831</v>
      </c>
      <c r="E382" s="50">
        <v>1733072.1395082928</v>
      </c>
      <c r="F382" s="50" t="s">
        <v>388</v>
      </c>
      <c r="G382" s="25">
        <f t="shared" si="3"/>
        <v>1.7613678237158314E-2</v>
      </c>
    </row>
    <row r="383" spans="1:7">
      <c r="A383" s="50">
        <v>268.94273688586389</v>
      </c>
      <c r="B383" s="50">
        <v>271.35901540338023</v>
      </c>
      <c r="C383" s="50">
        <v>268.35606843922409</v>
      </c>
      <c r="D383" s="50">
        <v>269.40013940358307</v>
      </c>
      <c r="E383" s="50">
        <v>2064426.1966651494</v>
      </c>
      <c r="F383" s="50" t="s">
        <v>389</v>
      </c>
      <c r="G383" s="25">
        <f t="shared" si="3"/>
        <v>-1.6978555346400803E-3</v>
      </c>
    </row>
    <row r="384" spans="1:7">
      <c r="A384" s="50">
        <v>269.88737252028386</v>
      </c>
      <c r="B384" s="50">
        <v>270.05641258118004</v>
      </c>
      <c r="C384" s="50">
        <v>266.89934085561862</v>
      </c>
      <c r="D384" s="50">
        <v>267.29211040887742</v>
      </c>
      <c r="E384" s="50">
        <v>2098842.5354262446</v>
      </c>
      <c r="F384" s="50" t="s">
        <v>390</v>
      </c>
      <c r="G384" s="25">
        <f t="shared" si="3"/>
        <v>9.7094602135336938E-3</v>
      </c>
    </row>
    <row r="385" spans="1:7">
      <c r="A385" s="50">
        <v>267.59041639869429</v>
      </c>
      <c r="B385" s="50">
        <v>270.96127408362446</v>
      </c>
      <c r="C385" s="50">
        <v>264.65707416549537</v>
      </c>
      <c r="D385" s="50">
        <v>269.71833245938768</v>
      </c>
      <c r="E385" s="50">
        <v>3351713.1205240595</v>
      </c>
      <c r="F385" s="50" t="s">
        <v>391</v>
      </c>
      <c r="G385" s="25">
        <f t="shared" si="3"/>
        <v>-7.8894009216589067E-3</v>
      </c>
    </row>
    <row r="386" spans="1:7">
      <c r="A386" s="50">
        <v>272.2439898398369</v>
      </c>
      <c r="B386" s="50">
        <v>274.74976015429826</v>
      </c>
      <c r="C386" s="50">
        <v>270.01663844920449</v>
      </c>
      <c r="D386" s="50">
        <v>272.80082768749497</v>
      </c>
      <c r="E386" s="50">
        <v>3306129.7247352279</v>
      </c>
      <c r="F386" s="50" t="s">
        <v>392</v>
      </c>
      <c r="G386" s="25">
        <f t="shared" si="3"/>
        <v>-2.0411882631674594E-3</v>
      </c>
    </row>
    <row r="387" spans="1:7">
      <c r="A387" s="50">
        <v>274.4116800325059</v>
      </c>
      <c r="B387" s="50">
        <v>275.22704973800523</v>
      </c>
      <c r="C387" s="50">
        <v>268.47539083515085</v>
      </c>
      <c r="D387" s="50">
        <v>270.71268575877713</v>
      </c>
      <c r="E387" s="50">
        <v>2252904.4770862791</v>
      </c>
      <c r="F387" s="50" t="s">
        <v>393</v>
      </c>
      <c r="G387" s="25">
        <f t="shared" si="3"/>
        <v>1.3663911845730237E-2</v>
      </c>
    </row>
    <row r="388" spans="1:7">
      <c r="A388" s="50">
        <v>266.37730537343907</v>
      </c>
      <c r="B388" s="50">
        <v>268.86662752425383</v>
      </c>
      <c r="C388" s="50">
        <v>265.433148127393</v>
      </c>
      <c r="D388" s="50">
        <v>267.41865527716635</v>
      </c>
      <c r="E388" s="50">
        <v>1627999.7663916647</v>
      </c>
      <c r="F388" s="50" t="s">
        <v>394</v>
      </c>
      <c r="G388" s="25">
        <f t="shared" si="3"/>
        <v>-3.8940809968847079E-3</v>
      </c>
    </row>
    <row r="389" spans="1:7">
      <c r="A389" s="50">
        <v>268.68811039790063</v>
      </c>
      <c r="B389" s="50">
        <v>269.15423845004517</v>
      </c>
      <c r="C389" s="50">
        <v>264.05658273084686</v>
      </c>
      <c r="D389" s="50">
        <v>266.38722299156984</v>
      </c>
      <c r="E389" s="50">
        <v>2026314.1547786703</v>
      </c>
      <c r="F389" s="50" t="s">
        <v>395</v>
      </c>
      <c r="G389" s="25">
        <f t="shared" si="3"/>
        <v>8.6373790022338248E-3</v>
      </c>
    </row>
    <row r="390" spans="1:7">
      <c r="A390" s="50">
        <v>266.38722299156984</v>
      </c>
      <c r="B390" s="50">
        <v>269.59061364779757</v>
      </c>
      <c r="C390" s="50">
        <v>264.32108560639358</v>
      </c>
      <c r="D390" s="50">
        <v>269.04514465060703</v>
      </c>
      <c r="E390" s="50">
        <v>2449662.7798873489</v>
      </c>
      <c r="F390" s="50" t="s">
        <v>396</v>
      </c>
      <c r="G390" s="25">
        <f t="shared" si="3"/>
        <v>-9.8790917133586564E-3</v>
      </c>
    </row>
    <row r="391" spans="1:7">
      <c r="A391" s="50">
        <v>268.9658037055612</v>
      </c>
      <c r="B391" s="50">
        <v>269.24349701322183</v>
      </c>
      <c r="C391" s="50">
        <v>265.08801501644342</v>
      </c>
      <c r="D391" s="50">
        <v>267.87486571118023</v>
      </c>
      <c r="E391" s="50">
        <v>2130658.7651839512</v>
      </c>
      <c r="F391" s="50" t="s">
        <v>397</v>
      </c>
      <c r="G391" s="25">
        <f t="shared" si="3"/>
        <v>4.0725657164013551E-3</v>
      </c>
    </row>
    <row r="392" spans="1:7">
      <c r="A392" s="50">
        <v>268.82695705173091</v>
      </c>
      <c r="B392" s="50">
        <v>270.43361118891016</v>
      </c>
      <c r="C392" s="50">
        <v>265.21694405214299</v>
      </c>
      <c r="D392" s="50">
        <v>265.79216590372567</v>
      </c>
      <c r="E392" s="50">
        <v>2250442.566530196</v>
      </c>
      <c r="F392" s="50" t="s">
        <v>398</v>
      </c>
      <c r="G392" s="25">
        <f t="shared" si="3"/>
        <v>1.1417910447761193E-2</v>
      </c>
    </row>
    <row r="393" spans="1:7">
      <c r="A393" s="50">
        <v>265.94093017568667</v>
      </c>
      <c r="B393" s="50">
        <v>266.77401009866855</v>
      </c>
      <c r="C393" s="50">
        <v>264.14584129402346</v>
      </c>
      <c r="D393" s="50">
        <v>266.07977682951702</v>
      </c>
      <c r="E393" s="50">
        <v>1442458.240619747</v>
      </c>
      <c r="F393" s="50" t="s">
        <v>399</v>
      </c>
      <c r="G393" s="25">
        <f t="shared" si="3"/>
        <v>-5.2182340005235694E-4</v>
      </c>
    </row>
    <row r="394" spans="1:7">
      <c r="A394" s="50">
        <v>263.97724178580097</v>
      </c>
      <c r="B394" s="50">
        <v>266.5062344091387</v>
      </c>
      <c r="C394" s="50">
        <v>263.36234946169537</v>
      </c>
      <c r="D394" s="50">
        <v>264.88966265382868</v>
      </c>
      <c r="E394" s="50">
        <v>2133924.6703209537</v>
      </c>
      <c r="F394" s="50" t="s">
        <v>400</v>
      </c>
      <c r="G394" s="25">
        <f t="shared" ref="G394:G457" si="4">A394/D394-1</f>
        <v>-3.4445318057583219E-3</v>
      </c>
    </row>
    <row r="395" spans="1:7">
      <c r="A395" s="50">
        <v>264.01691225832388</v>
      </c>
      <c r="B395" s="50">
        <v>266.28804681026247</v>
      </c>
      <c r="C395" s="50">
        <v>260.86310969274984</v>
      </c>
      <c r="D395" s="50">
        <v>265.56406068671873</v>
      </c>
      <c r="E395" s="50">
        <v>2359789.3860693667</v>
      </c>
      <c r="F395" s="50" t="s">
        <v>401</v>
      </c>
      <c r="G395" s="25">
        <f t="shared" si="4"/>
        <v>-5.8258953579565231E-3</v>
      </c>
    </row>
    <row r="396" spans="1:7">
      <c r="A396" s="50">
        <v>265.09793263457414</v>
      </c>
      <c r="B396" s="50">
        <v>270.16583549938031</v>
      </c>
      <c r="C396" s="50">
        <v>264.85167817638796</v>
      </c>
      <c r="D396" s="50">
        <v>269.12448559565297</v>
      </c>
      <c r="E396" s="50">
        <v>2555970.5632786574</v>
      </c>
      <c r="F396" s="50" t="s">
        <v>402</v>
      </c>
      <c r="G396" s="25">
        <f t="shared" si="4"/>
        <v>-1.4961674528301883E-2</v>
      </c>
    </row>
    <row r="397" spans="1:7">
      <c r="A397" s="50">
        <v>266.77401009866855</v>
      </c>
      <c r="B397" s="50">
        <v>269.25341463135254</v>
      </c>
      <c r="C397" s="50">
        <v>264.75081599999839</v>
      </c>
      <c r="D397" s="50">
        <v>266.1888706289551</v>
      </c>
      <c r="E397" s="50">
        <v>5895812.8079953101</v>
      </c>
      <c r="F397" s="50" t="s">
        <v>403</v>
      </c>
      <c r="G397" s="25">
        <f t="shared" si="4"/>
        <v>2.1982116244412264E-3</v>
      </c>
    </row>
    <row r="398" spans="1:7">
      <c r="A398" s="50">
        <v>266.53598726353084</v>
      </c>
      <c r="B398" s="50">
        <v>267.87486571118023</v>
      </c>
      <c r="C398" s="50">
        <v>264.15575891215423</v>
      </c>
      <c r="D398" s="50">
        <v>265.62356639550313</v>
      </c>
      <c r="E398" s="50">
        <v>2998134.1898867078</v>
      </c>
      <c r="F398" s="50" t="s">
        <v>404</v>
      </c>
      <c r="G398" s="25">
        <f t="shared" si="4"/>
        <v>3.4350147481612137E-3</v>
      </c>
    </row>
    <row r="399" spans="1:7">
      <c r="A399" s="50">
        <v>260.02011215163731</v>
      </c>
      <c r="B399" s="50">
        <v>264.15575891215423</v>
      </c>
      <c r="C399" s="50">
        <v>258.84983321221046</v>
      </c>
      <c r="D399" s="50">
        <v>262.22182337666067</v>
      </c>
      <c r="E399" s="50">
        <v>2598777.2124562752</v>
      </c>
      <c r="F399" s="50" t="s">
        <v>405</v>
      </c>
      <c r="G399" s="25">
        <f t="shared" si="4"/>
        <v>-8.3963691376700567E-3</v>
      </c>
    </row>
    <row r="400" spans="1:7">
      <c r="A400" s="50">
        <v>263.21358518973426</v>
      </c>
      <c r="B400" s="50">
        <v>265.01700487062732</v>
      </c>
      <c r="C400" s="50">
        <v>259.19199103772087</v>
      </c>
      <c r="D400" s="50">
        <v>259.36554935500868</v>
      </c>
      <c r="E400" s="50">
        <v>2788696.8055652925</v>
      </c>
      <c r="F400" s="50" t="s">
        <v>406</v>
      </c>
      <c r="G400" s="25">
        <f t="shared" si="4"/>
        <v>1.4836341388803964E-2</v>
      </c>
    </row>
    <row r="401" spans="1:7">
      <c r="A401" s="50">
        <v>258.93909177538706</v>
      </c>
      <c r="B401" s="50">
        <v>260.68459256639665</v>
      </c>
      <c r="C401" s="50">
        <v>257.01507385802427</v>
      </c>
      <c r="D401" s="50">
        <v>259.15727937426328</v>
      </c>
      <c r="E401" s="50">
        <v>2188195.7657497968</v>
      </c>
      <c r="F401" s="50" t="s">
        <v>407</v>
      </c>
      <c r="G401" s="25">
        <f t="shared" si="4"/>
        <v>-8.4191190539983918E-4</v>
      </c>
    </row>
    <row r="402" spans="1:7">
      <c r="A402" s="50">
        <v>256.86630958606321</v>
      </c>
      <c r="B402" s="50">
        <v>258.06634137988226</v>
      </c>
      <c r="C402" s="50">
        <v>253.64308369357403</v>
      </c>
      <c r="D402" s="50">
        <v>254.11912936384937</v>
      </c>
      <c r="E402" s="50">
        <v>2217454.807202572</v>
      </c>
      <c r="F402" s="50" t="s">
        <v>408</v>
      </c>
      <c r="G402" s="25">
        <f t="shared" si="4"/>
        <v>1.0810599851695635E-2</v>
      </c>
    </row>
    <row r="403" spans="1:7">
      <c r="A403" s="50">
        <v>253.04802660572986</v>
      </c>
      <c r="B403" s="50">
        <v>254.88278595991602</v>
      </c>
      <c r="C403" s="50">
        <v>250.50911636426144</v>
      </c>
      <c r="D403" s="50">
        <v>252.06618241078698</v>
      </c>
      <c r="E403" s="50">
        <v>2298655.7557956828</v>
      </c>
      <c r="F403" s="50" t="s">
        <v>409</v>
      </c>
      <c r="G403" s="25">
        <f t="shared" si="4"/>
        <v>3.8951841359773365E-3</v>
      </c>
    </row>
    <row r="404" spans="1:7">
      <c r="A404" s="50">
        <v>252.08601764704846</v>
      </c>
      <c r="B404" s="50">
        <v>252.52735165386622</v>
      </c>
      <c r="C404" s="50">
        <v>241.49578665468593</v>
      </c>
      <c r="D404" s="50">
        <v>242.38658711518863</v>
      </c>
      <c r="E404" s="50">
        <v>3176032.7514911424</v>
      </c>
      <c r="F404" s="50" t="s">
        <v>410</v>
      </c>
      <c r="G404" s="25">
        <f t="shared" si="4"/>
        <v>4.0016366612111165E-2</v>
      </c>
    </row>
    <row r="405" spans="1:7">
      <c r="A405" s="50">
        <v>243.39818416452368</v>
      </c>
      <c r="B405" s="50">
        <v>250.41985780108482</v>
      </c>
      <c r="C405" s="50">
        <v>238.6079746073782</v>
      </c>
      <c r="D405" s="50">
        <v>249.64628358688739</v>
      </c>
      <c r="E405" s="50">
        <v>3661017.1435694685</v>
      </c>
      <c r="F405" s="50" t="s">
        <v>411</v>
      </c>
      <c r="G405" s="25">
        <f t="shared" si="4"/>
        <v>-2.5027808676307051E-2</v>
      </c>
    </row>
    <row r="406" spans="1:7">
      <c r="A406" s="50">
        <v>248.85287413642851</v>
      </c>
      <c r="B406" s="50">
        <v>251.06450297958267</v>
      </c>
      <c r="C406" s="50">
        <v>245.49080159010902</v>
      </c>
      <c r="D406" s="50">
        <v>246.20487009552201</v>
      </c>
      <c r="E406" s="50">
        <v>3106360.7807728346</v>
      </c>
      <c r="F406" s="50" t="s">
        <v>412</v>
      </c>
      <c r="G406" s="25">
        <f t="shared" si="4"/>
        <v>1.0755287009063252E-2</v>
      </c>
    </row>
    <row r="407" spans="1:7">
      <c r="A407" s="50">
        <v>242.04938809874361</v>
      </c>
      <c r="B407" s="50">
        <v>251.4760841320082</v>
      </c>
      <c r="C407" s="50">
        <v>241.31548435706912</v>
      </c>
      <c r="D407" s="50">
        <v>249.21982600726574</v>
      </c>
      <c r="E407" s="50">
        <v>3683306.7696758523</v>
      </c>
      <c r="F407" s="50" t="s">
        <v>413</v>
      </c>
      <c r="G407" s="25">
        <f t="shared" si="4"/>
        <v>-2.8771538859485024E-2</v>
      </c>
    </row>
    <row r="408" spans="1:7">
      <c r="A408" s="50">
        <v>249.76529500445625</v>
      </c>
      <c r="B408" s="50">
        <v>251.08433821584413</v>
      </c>
      <c r="C408" s="50">
        <v>246.32388151309084</v>
      </c>
      <c r="D408" s="50">
        <v>250.62812778183027</v>
      </c>
      <c r="E408" s="50">
        <v>2733805.6015661322</v>
      </c>
      <c r="F408" s="50" t="s">
        <v>414</v>
      </c>
      <c r="G408" s="25">
        <f t="shared" si="4"/>
        <v>-3.4426813343357843E-3</v>
      </c>
    </row>
    <row r="409" spans="1:7">
      <c r="A409" s="50">
        <v>249.66611882314888</v>
      </c>
      <c r="B409" s="50">
        <v>254.46624599842511</v>
      </c>
      <c r="C409" s="50">
        <v>248.59501606502937</v>
      </c>
      <c r="D409" s="50">
        <v>252.88934471563809</v>
      </c>
      <c r="E409" s="50">
        <v>3088049.9325826629</v>
      </c>
      <c r="F409" s="50" t="s">
        <v>415</v>
      </c>
      <c r="G409" s="25">
        <f t="shared" si="4"/>
        <v>-1.2745597866583025E-2</v>
      </c>
    </row>
    <row r="410" spans="1:7">
      <c r="A410" s="50">
        <v>252.21494668274804</v>
      </c>
      <c r="B410" s="50">
        <v>255.35883163019139</v>
      </c>
      <c r="C410" s="50">
        <v>250.70746872687616</v>
      </c>
      <c r="D410" s="50">
        <v>253.66291892983551</v>
      </c>
      <c r="E410" s="50">
        <v>2994944.9160527037</v>
      </c>
      <c r="F410" s="50" t="s">
        <v>416</v>
      </c>
      <c r="G410" s="25">
        <f t="shared" si="4"/>
        <v>-5.7082535090120512E-3</v>
      </c>
    </row>
    <row r="411" spans="1:7">
      <c r="A411" s="50">
        <v>256.51919295148747</v>
      </c>
      <c r="B411" s="50">
        <v>259.59365457201562</v>
      </c>
      <c r="C411" s="50">
        <v>253.9902003281498</v>
      </c>
      <c r="D411" s="50">
        <v>258.34403468754289</v>
      </c>
      <c r="E411" s="50">
        <v>3470717.4188653138</v>
      </c>
      <c r="F411" s="50" t="s">
        <v>417</v>
      </c>
      <c r="G411" s="25">
        <f t="shared" si="4"/>
        <v>-7.0636108871741099E-3</v>
      </c>
    </row>
    <row r="412" spans="1:7">
      <c r="A412" s="50">
        <v>257.69938950904503</v>
      </c>
      <c r="B412" s="50">
        <v>259.41017863659704</v>
      </c>
      <c r="C412" s="50">
        <v>254.70922764262815</v>
      </c>
      <c r="D412" s="50">
        <v>255.87454777298964</v>
      </c>
      <c r="E412" s="50">
        <v>2443657.3056681491</v>
      </c>
      <c r="F412" s="50" t="s">
        <v>418</v>
      </c>
      <c r="G412" s="25">
        <f t="shared" si="4"/>
        <v>7.1317829457362425E-3</v>
      </c>
    </row>
    <row r="413" spans="1:7">
      <c r="A413" s="50">
        <v>254.97204452309262</v>
      </c>
      <c r="B413" s="50">
        <v>256.49935771522598</v>
      </c>
      <c r="C413" s="50">
        <v>251.65956006742681</v>
      </c>
      <c r="D413" s="50">
        <v>252.11577050144069</v>
      </c>
      <c r="E413" s="50">
        <v>2578299.5133431586</v>
      </c>
      <c r="F413" s="50" t="s">
        <v>419</v>
      </c>
      <c r="G413" s="25">
        <f t="shared" si="4"/>
        <v>1.1329216002517351E-2</v>
      </c>
    </row>
    <row r="414" spans="1:7">
      <c r="A414" s="50">
        <v>252.92901518816103</v>
      </c>
      <c r="B414" s="50">
        <v>254.56542217973248</v>
      </c>
      <c r="C414" s="50">
        <v>251.60997197677312</v>
      </c>
      <c r="D414" s="50">
        <v>251.60997197677312</v>
      </c>
      <c r="E414" s="50">
        <v>2539090.5021799975</v>
      </c>
      <c r="F414" s="50" t="s">
        <v>420</v>
      </c>
      <c r="G414" s="25">
        <f t="shared" si="4"/>
        <v>5.2424122979897181E-3</v>
      </c>
    </row>
    <row r="415" spans="1:7">
      <c r="A415" s="50">
        <v>251.78848910312638</v>
      </c>
      <c r="B415" s="50">
        <v>254.04970603693423</v>
      </c>
      <c r="C415" s="50">
        <v>249.87438880389433</v>
      </c>
      <c r="D415" s="50">
        <v>250.3405168560389</v>
      </c>
      <c r="E415" s="50">
        <v>1947143.9357150202</v>
      </c>
      <c r="F415" s="50" t="s">
        <v>421</v>
      </c>
      <c r="G415" s="25">
        <f t="shared" si="4"/>
        <v>5.7840107756914616E-3</v>
      </c>
    </row>
    <row r="416" spans="1:7">
      <c r="A416" s="50">
        <v>249.22974362539651</v>
      </c>
      <c r="B416" s="50">
        <v>250.0925764027705</v>
      </c>
      <c r="C416" s="50">
        <v>245.95692964225361</v>
      </c>
      <c r="D416" s="50">
        <v>245.95692964225361</v>
      </c>
      <c r="E416" s="50">
        <v>1883717.4161910913</v>
      </c>
      <c r="F416" s="50" t="s">
        <v>422</v>
      </c>
      <c r="G416" s="25">
        <f t="shared" si="4"/>
        <v>1.3306451612903336E-2</v>
      </c>
    </row>
    <row r="417" spans="1:7">
      <c r="A417" s="50">
        <v>245.71890680711593</v>
      </c>
      <c r="B417" s="50">
        <v>246.86935051028129</v>
      </c>
      <c r="C417" s="50">
        <v>243.73042437190335</v>
      </c>
      <c r="D417" s="50">
        <v>244.73706261217308</v>
      </c>
      <c r="E417" s="50">
        <v>1997730.6787602243</v>
      </c>
      <c r="F417" s="50" t="s">
        <v>423</v>
      </c>
      <c r="G417" s="25">
        <f t="shared" si="4"/>
        <v>4.0118328808200765E-3</v>
      </c>
    </row>
    <row r="418" spans="1:7">
      <c r="A418" s="50">
        <v>244.27093456002848</v>
      </c>
      <c r="B418" s="50">
        <v>247.76193614204755</v>
      </c>
      <c r="C418" s="50">
        <v>241.34523721146135</v>
      </c>
      <c r="D418" s="50">
        <v>247.58341901569429</v>
      </c>
      <c r="E418" s="50">
        <v>3531545.5322336219</v>
      </c>
      <c r="F418" s="50" t="s">
        <v>424</v>
      </c>
      <c r="G418" s="25">
        <f t="shared" si="4"/>
        <v>-1.3379266143246138E-2</v>
      </c>
    </row>
    <row r="419" spans="1:7">
      <c r="A419" s="50">
        <v>250.99507965266753</v>
      </c>
      <c r="B419" s="50">
        <v>252.52239284480086</v>
      </c>
      <c r="C419" s="50">
        <v>250.18183496594713</v>
      </c>
      <c r="D419" s="50">
        <v>252.12568811957141</v>
      </c>
      <c r="E419" s="50">
        <v>1673522.7935992563</v>
      </c>
      <c r="F419" s="50" t="s">
        <v>425</v>
      </c>
      <c r="G419" s="25">
        <f t="shared" si="4"/>
        <v>-4.4843049327353279E-3</v>
      </c>
    </row>
    <row r="420" spans="1:7">
      <c r="A420" s="50">
        <v>251.95708861134892</v>
      </c>
      <c r="B420" s="50">
        <v>252.01659432013332</v>
      </c>
      <c r="C420" s="50">
        <v>249.76529500445625</v>
      </c>
      <c r="D420" s="50">
        <v>249.92397689454802</v>
      </c>
      <c r="E420" s="50">
        <v>1667112.9884260779</v>
      </c>
      <c r="F420" s="50" t="s">
        <v>426</v>
      </c>
      <c r="G420" s="25">
        <f t="shared" si="4"/>
        <v>8.134920634920606E-3</v>
      </c>
    </row>
    <row r="421" spans="1:7">
      <c r="A421" s="50">
        <v>249.63636596875668</v>
      </c>
      <c r="B421" s="50">
        <v>249.67603644127962</v>
      </c>
      <c r="C421" s="50">
        <v>247.07762049102678</v>
      </c>
      <c r="D421" s="50">
        <v>247.33547856242589</v>
      </c>
      <c r="E421" s="50">
        <v>2167574.8870968674</v>
      </c>
      <c r="F421" s="50" t="s">
        <v>427</v>
      </c>
      <c r="G421" s="25">
        <f t="shared" si="4"/>
        <v>9.3026985845463539E-3</v>
      </c>
    </row>
    <row r="422" spans="1:7">
      <c r="A422" s="50">
        <v>247.444572361864</v>
      </c>
      <c r="B422" s="50">
        <v>248.29748752110731</v>
      </c>
      <c r="C422" s="50">
        <v>243.32876083760854</v>
      </c>
      <c r="D422" s="50">
        <v>245.72882442524667</v>
      </c>
      <c r="E422" s="50">
        <v>2678903.3061941699</v>
      </c>
      <c r="F422" s="50" t="s">
        <v>428</v>
      </c>
      <c r="G422" s="25">
        <f t="shared" si="4"/>
        <v>6.9822819550389159E-3</v>
      </c>
    </row>
    <row r="423" spans="1:7">
      <c r="A423" s="50">
        <v>241.75185955482152</v>
      </c>
      <c r="B423" s="50">
        <v>242.07914095313581</v>
      </c>
      <c r="C423" s="50">
        <v>237.53687184925869</v>
      </c>
      <c r="D423" s="50">
        <v>237.8344003931808</v>
      </c>
      <c r="E423" s="50">
        <v>2150174.5397831122</v>
      </c>
      <c r="F423" s="50" t="s">
        <v>429</v>
      </c>
      <c r="G423" s="25">
        <f t="shared" si="4"/>
        <v>1.6471373170426462E-2</v>
      </c>
    </row>
    <row r="424" spans="1:7">
      <c r="A424" s="50">
        <v>237.02115570646043</v>
      </c>
      <c r="B424" s="50">
        <v>237.29884901412106</v>
      </c>
      <c r="C424" s="50">
        <v>234.52201511369626</v>
      </c>
      <c r="D424" s="50">
        <v>236.74346239879984</v>
      </c>
      <c r="E424" s="50">
        <v>1929227.3354126436</v>
      </c>
      <c r="F424" s="50" t="s">
        <v>430</v>
      </c>
      <c r="G424" s="25">
        <f t="shared" si="4"/>
        <v>1.1729713878765313E-3</v>
      </c>
    </row>
    <row r="425" spans="1:7">
      <c r="A425" s="50">
        <v>235.09713778909764</v>
      </c>
      <c r="B425" s="50">
        <v>237.02115570646043</v>
      </c>
      <c r="C425" s="50">
        <v>233.45577198846084</v>
      </c>
      <c r="D425" s="50">
        <v>236.23766387413227</v>
      </c>
      <c r="E425" s="50">
        <v>1761463.2636297629</v>
      </c>
      <c r="F425" s="50" t="s">
        <v>431</v>
      </c>
      <c r="G425" s="25">
        <f t="shared" si="4"/>
        <v>-4.8278757346766898E-3</v>
      </c>
    </row>
    <row r="426" spans="1:7">
      <c r="A426" s="50">
        <v>235.89054723955653</v>
      </c>
      <c r="B426" s="50">
        <v>236.37651052796261</v>
      </c>
      <c r="C426" s="50">
        <v>231.16976100932618</v>
      </c>
      <c r="D426" s="50">
        <v>231.59621858894783</v>
      </c>
      <c r="E426" s="50">
        <v>1972814.4139129044</v>
      </c>
      <c r="F426" s="50" t="s">
        <v>432</v>
      </c>
      <c r="G426" s="25">
        <f t="shared" si="4"/>
        <v>1.854230900993481E-2</v>
      </c>
    </row>
    <row r="427" spans="1:7">
      <c r="A427" s="50">
        <v>231.61605382520929</v>
      </c>
      <c r="B427" s="50">
        <v>232.56814516575994</v>
      </c>
      <c r="C427" s="50">
        <v>229.10689643813308</v>
      </c>
      <c r="D427" s="50">
        <v>229.14656691065605</v>
      </c>
      <c r="E427" s="50">
        <v>2257818.3294438031</v>
      </c>
      <c r="F427" s="50" t="s">
        <v>433</v>
      </c>
      <c r="G427" s="25">
        <f t="shared" si="4"/>
        <v>1.0776888119454542E-2</v>
      </c>
    </row>
    <row r="428" spans="1:7">
      <c r="A428" s="50">
        <v>226.91510283124043</v>
      </c>
      <c r="B428" s="50">
        <v>234.22438739359285</v>
      </c>
      <c r="C428" s="50">
        <v>226.62769025781168</v>
      </c>
      <c r="D428" s="50">
        <v>232.09209949548463</v>
      </c>
      <c r="E428" s="50">
        <v>2687452.7380115963</v>
      </c>
      <c r="F428" s="50" t="s">
        <v>434</v>
      </c>
      <c r="G428" s="25">
        <f t="shared" si="4"/>
        <v>-2.2305785830270874E-2</v>
      </c>
    </row>
    <row r="429" spans="1:7">
      <c r="A429" s="50">
        <v>229.21599023757119</v>
      </c>
      <c r="B429" s="50">
        <v>231.25901957250281</v>
      </c>
      <c r="C429" s="50">
        <v>224.63405066117113</v>
      </c>
      <c r="D429" s="50">
        <v>225.09026109518499</v>
      </c>
      <c r="E429" s="50">
        <v>3174328.7133060438</v>
      </c>
      <c r="F429" s="50" t="s">
        <v>435</v>
      </c>
      <c r="G429" s="25">
        <f t="shared" si="4"/>
        <v>1.8329221008107188E-2</v>
      </c>
    </row>
    <row r="430" spans="1:7">
      <c r="A430" s="50">
        <v>224.05882880958842</v>
      </c>
      <c r="B430" s="50">
        <v>228.87383241206078</v>
      </c>
      <c r="C430" s="50">
        <v>220.20087535673213</v>
      </c>
      <c r="D430" s="50">
        <v>224.77289731500142</v>
      </c>
      <c r="E430" s="50">
        <v>4931369.5441074977</v>
      </c>
      <c r="F430" s="50" t="s">
        <v>436</v>
      </c>
      <c r="G430" s="25">
        <f t="shared" si="4"/>
        <v>-3.1768443346276154E-3</v>
      </c>
    </row>
    <row r="431" spans="1:7">
      <c r="A431" s="50">
        <v>230.36643394073656</v>
      </c>
      <c r="B431" s="50">
        <v>242.63452756845703</v>
      </c>
      <c r="C431" s="50">
        <v>228.15480509758243</v>
      </c>
      <c r="D431" s="50">
        <v>242.49568091462672</v>
      </c>
      <c r="E431" s="50">
        <v>6959969.5299900845</v>
      </c>
      <c r="F431" s="50" t="s">
        <v>437</v>
      </c>
      <c r="G431" s="25">
        <f t="shared" si="4"/>
        <v>-5.0018404155249274E-2</v>
      </c>
    </row>
    <row r="432" spans="1:7">
      <c r="A432" s="50">
        <v>246.63132767514367</v>
      </c>
      <c r="B432" s="50">
        <v>252.89926233376883</v>
      </c>
      <c r="C432" s="50">
        <v>244.38012753564789</v>
      </c>
      <c r="D432" s="50">
        <v>251.75873624873418</v>
      </c>
      <c r="E432" s="50">
        <v>3962372.7675309842</v>
      </c>
      <c r="F432" s="50" t="s">
        <v>438</v>
      </c>
      <c r="G432" s="25">
        <f t="shared" si="4"/>
        <v>-2.0366358085483482E-2</v>
      </c>
    </row>
    <row r="433" spans="1:7">
      <c r="A433" s="50">
        <v>250.95540918014456</v>
      </c>
      <c r="B433" s="50">
        <v>254.12904698198011</v>
      </c>
      <c r="C433" s="50">
        <v>250.35043447416967</v>
      </c>
      <c r="D433" s="50">
        <v>251.02483250705973</v>
      </c>
      <c r="E433" s="50">
        <v>2198801.1347621437</v>
      </c>
      <c r="F433" s="50" t="s">
        <v>439</v>
      </c>
      <c r="G433" s="25">
        <f t="shared" si="4"/>
        <v>-2.7655959859351764E-4</v>
      </c>
    </row>
    <row r="434" spans="1:7">
      <c r="A434" s="50">
        <v>250.40002256482333</v>
      </c>
      <c r="B434" s="50">
        <v>251.59013674051167</v>
      </c>
      <c r="C434" s="50">
        <v>247.17679667233412</v>
      </c>
      <c r="D434" s="50">
        <v>247.40490188934106</v>
      </c>
      <c r="E434" s="50">
        <v>2519597.9186330596</v>
      </c>
      <c r="F434" s="50" t="s">
        <v>440</v>
      </c>
      <c r="G434" s="25">
        <f t="shared" si="4"/>
        <v>1.2106149282450129E-2</v>
      </c>
    </row>
    <row r="435" spans="1:7">
      <c r="A435" s="50">
        <v>245.8478358428155</v>
      </c>
      <c r="B435" s="50">
        <v>245.91725916973067</v>
      </c>
      <c r="C435" s="50">
        <v>242.29742772819333</v>
      </c>
      <c r="D435" s="50">
        <v>244.59821595834276</v>
      </c>
      <c r="E435" s="50">
        <v>2076441.1100058833</v>
      </c>
      <c r="F435" s="50" t="s">
        <v>441</v>
      </c>
      <c r="G435" s="25">
        <f t="shared" si="4"/>
        <v>5.1088675343631262E-3</v>
      </c>
    </row>
    <row r="436" spans="1:7">
      <c r="A436" s="50">
        <v>243.86431221666828</v>
      </c>
      <c r="B436" s="50">
        <v>244.36019312320508</v>
      </c>
      <c r="C436" s="50">
        <v>239.88734734624313</v>
      </c>
      <c r="D436" s="50">
        <v>239.93693543689685</v>
      </c>
      <c r="E436" s="50">
        <v>2192521.4011427392</v>
      </c>
      <c r="F436" s="50" t="s">
        <v>442</v>
      </c>
      <c r="G436" s="25">
        <f t="shared" si="4"/>
        <v>1.6368371016409533E-2</v>
      </c>
    </row>
    <row r="437" spans="1:7">
      <c r="A437" s="50">
        <v>238.20135226401803</v>
      </c>
      <c r="B437" s="50">
        <v>242.94197373050986</v>
      </c>
      <c r="C437" s="50">
        <v>237.41786043168986</v>
      </c>
      <c r="D437" s="50">
        <v>238.02283513766477</v>
      </c>
      <c r="E437" s="50">
        <v>3860610.4303754298</v>
      </c>
      <c r="F437" s="50" t="s">
        <v>443</v>
      </c>
      <c r="G437" s="25">
        <f t="shared" si="4"/>
        <v>7.5000000000002842E-4</v>
      </c>
    </row>
    <row r="438" spans="1:7">
      <c r="A438" s="50">
        <v>239.00467933260765</v>
      </c>
      <c r="B438" s="50">
        <v>243.59653652713843</v>
      </c>
      <c r="C438" s="50">
        <v>238.68731555242408</v>
      </c>
      <c r="D438" s="50">
        <v>242.9816442030328</v>
      </c>
      <c r="E438" s="50">
        <v>2861641.7395669315</v>
      </c>
      <c r="F438" s="50" t="s">
        <v>444</v>
      </c>
      <c r="G438" s="25">
        <f t="shared" si="4"/>
        <v>-1.6367346938775507E-2</v>
      </c>
    </row>
    <row r="439" spans="1:7">
      <c r="A439" s="50">
        <v>244.86599164787265</v>
      </c>
      <c r="B439" s="50">
        <v>246.93877383719646</v>
      </c>
      <c r="C439" s="50">
        <v>243.02131467555571</v>
      </c>
      <c r="D439" s="50">
        <v>244.92549735665705</v>
      </c>
      <c r="E439" s="50">
        <v>2585533.1050235713</v>
      </c>
      <c r="F439" s="50" t="s">
        <v>445</v>
      </c>
      <c r="G439" s="25">
        <f t="shared" si="4"/>
        <v>-2.4295432458687483E-4</v>
      </c>
    </row>
    <row r="440" spans="1:7">
      <c r="A440" s="50">
        <v>242.7337037497644</v>
      </c>
      <c r="B440" s="50">
        <v>243.58661890900771</v>
      </c>
      <c r="C440" s="50">
        <v>237.92365895635743</v>
      </c>
      <c r="D440" s="50">
        <v>241.0080381950163</v>
      </c>
      <c r="E440" s="50">
        <v>2611511.116740068</v>
      </c>
      <c r="F440" s="50" t="s">
        <v>446</v>
      </c>
      <c r="G440" s="25">
        <f t="shared" si="4"/>
        <v>7.1601991687586519E-3</v>
      </c>
    </row>
    <row r="441" spans="1:7">
      <c r="A441" s="50">
        <v>240.38322825277996</v>
      </c>
      <c r="B441" s="50">
        <v>241.37499006585355</v>
      </c>
      <c r="C441" s="50">
        <v>235.69219487694181</v>
      </c>
      <c r="D441" s="50">
        <v>239.80800640119728</v>
      </c>
      <c r="E441" s="50">
        <v>5798157.3036965048</v>
      </c>
      <c r="F441" s="50" t="s">
        <v>447</v>
      </c>
      <c r="G441" s="25">
        <f t="shared" si="4"/>
        <v>2.3986765922250353E-3</v>
      </c>
    </row>
    <row r="442" spans="1:7">
      <c r="A442" s="50">
        <v>247.14704381794192</v>
      </c>
      <c r="B442" s="50">
        <v>251.63972483116532</v>
      </c>
      <c r="C442" s="50">
        <v>245.71394799805057</v>
      </c>
      <c r="D442" s="50">
        <v>248.73386271885971</v>
      </c>
      <c r="E442" s="50">
        <v>4086967.1997536225</v>
      </c>
      <c r="F442" s="50" t="s">
        <v>448</v>
      </c>
      <c r="G442" s="25">
        <f t="shared" si="4"/>
        <v>-6.3795853269538183E-3</v>
      </c>
    </row>
    <row r="443" spans="1:7">
      <c r="A443" s="50">
        <v>247.90078279587786</v>
      </c>
      <c r="B443" s="50">
        <v>248.77353319138263</v>
      </c>
      <c r="C443" s="50">
        <v>245.34203731814796</v>
      </c>
      <c r="D443" s="50">
        <v>246.76025671084321</v>
      </c>
      <c r="E443" s="50">
        <v>2492443.2130928882</v>
      </c>
      <c r="F443" s="50" t="s">
        <v>449</v>
      </c>
      <c r="G443" s="25">
        <f t="shared" si="4"/>
        <v>4.6220007234436533E-3</v>
      </c>
    </row>
    <row r="444" spans="1:7">
      <c r="A444" s="50">
        <v>247.57350139756358</v>
      </c>
      <c r="B444" s="50">
        <v>247.70243043326315</v>
      </c>
      <c r="C444" s="50">
        <v>241.79153002734446</v>
      </c>
      <c r="D444" s="50">
        <v>242.12872904378949</v>
      </c>
      <c r="E444" s="50">
        <v>3100179.8612020332</v>
      </c>
      <c r="F444" s="50" t="s">
        <v>450</v>
      </c>
      <c r="G444" s="25">
        <f t="shared" si="4"/>
        <v>2.248709756696976E-2</v>
      </c>
    </row>
    <row r="445" spans="1:7">
      <c r="A445" s="50">
        <v>241.98988238995918</v>
      </c>
      <c r="B445" s="50">
        <v>242.64444518658777</v>
      </c>
      <c r="C445" s="50">
        <v>238.46912795354788</v>
      </c>
      <c r="D445" s="50">
        <v>238.46912795354788</v>
      </c>
      <c r="E445" s="50">
        <v>3079750.5608065999</v>
      </c>
      <c r="F445" s="50" t="s">
        <v>451</v>
      </c>
      <c r="G445" s="25">
        <f t="shared" si="4"/>
        <v>1.4763984196298541E-2</v>
      </c>
    </row>
    <row r="446" spans="1:7">
      <c r="A446" s="50">
        <v>236.66412145375392</v>
      </c>
      <c r="B446" s="50">
        <v>238.28059403288259</v>
      </c>
      <c r="C446" s="50">
        <v>235.27565491545087</v>
      </c>
      <c r="D446" s="50">
        <v>237.00132047019895</v>
      </c>
      <c r="E446" s="50">
        <v>2633982.2380377641</v>
      </c>
      <c r="F446" s="50" t="s">
        <v>452</v>
      </c>
      <c r="G446" s="25">
        <f t="shared" si="4"/>
        <v>-1.4227727329790829E-3</v>
      </c>
    </row>
    <row r="447" spans="1:7">
      <c r="A447" s="50">
        <v>236.78313287132278</v>
      </c>
      <c r="B447" s="50">
        <v>237.97324704701109</v>
      </c>
      <c r="C447" s="50">
        <v>235.00787922592102</v>
      </c>
      <c r="D447" s="50">
        <v>236.90214428889161</v>
      </c>
      <c r="E447" s="50">
        <v>1884354.6659739211</v>
      </c>
      <c r="F447" s="50" t="s">
        <v>453</v>
      </c>
      <c r="G447" s="25">
        <f t="shared" si="4"/>
        <v>-5.0236530330305396E-4</v>
      </c>
    </row>
    <row r="448" spans="1:7">
      <c r="A448" s="50">
        <v>236.96164999767603</v>
      </c>
      <c r="B448" s="50">
        <v>237.47736614047429</v>
      </c>
      <c r="C448" s="50">
        <v>233.68100109620983</v>
      </c>
      <c r="D448" s="50">
        <v>234.6210921188223</v>
      </c>
      <c r="E448" s="50">
        <v>2221267.2145267478</v>
      </c>
      <c r="F448" s="50" t="s">
        <v>454</v>
      </c>
      <c r="G448" s="25">
        <f t="shared" si="4"/>
        <v>9.9759056516042222E-3</v>
      </c>
    </row>
    <row r="449" spans="1:7">
      <c r="A449" s="50">
        <v>235.79137105824915</v>
      </c>
      <c r="B449" s="50">
        <v>237.22942568720589</v>
      </c>
      <c r="C449" s="50">
        <v>232.191275676792</v>
      </c>
      <c r="D449" s="50">
        <v>233.03427321790454</v>
      </c>
      <c r="E449" s="50">
        <v>1959855.6572532081</v>
      </c>
      <c r="F449" s="50" t="s">
        <v>455</v>
      </c>
      <c r="G449" s="25">
        <f t="shared" si="4"/>
        <v>1.1831297612461045E-2</v>
      </c>
    </row>
    <row r="450" spans="1:7">
      <c r="A450" s="50">
        <v>232.57806278389069</v>
      </c>
      <c r="B450" s="50">
        <v>237.52695423112797</v>
      </c>
      <c r="C450" s="50">
        <v>231.83424142408549</v>
      </c>
      <c r="D450" s="50">
        <v>234.28389310237728</v>
      </c>
      <c r="E450" s="50">
        <v>2660489.6107289214</v>
      </c>
      <c r="F450" s="50" t="s">
        <v>456</v>
      </c>
      <c r="G450" s="25">
        <f t="shared" si="4"/>
        <v>-7.2810396647334796E-3</v>
      </c>
    </row>
    <row r="451" spans="1:7">
      <c r="A451" s="50">
        <v>233.68883601453314</v>
      </c>
      <c r="B451" s="50">
        <v>234.75002115452187</v>
      </c>
      <c r="C451" s="50">
        <v>231.63588906147078</v>
      </c>
      <c r="D451" s="50">
        <v>233.76817695957902</v>
      </c>
      <c r="E451" s="50">
        <v>2508997.5911538042</v>
      </c>
      <c r="F451" s="50" t="s">
        <v>457</v>
      </c>
      <c r="G451" s="25">
        <f t="shared" si="4"/>
        <v>-3.3940011030497708E-4</v>
      </c>
    </row>
    <row r="452" spans="1:7">
      <c r="A452" s="50">
        <v>233.07394369042751</v>
      </c>
      <c r="B452" s="50">
        <v>234.92303059680017</v>
      </c>
      <c r="C452" s="50">
        <v>232.55975909614205</v>
      </c>
      <c r="D452" s="50">
        <v>233.8551087471304</v>
      </c>
      <c r="E452" s="50">
        <v>1381297.7049361288</v>
      </c>
      <c r="F452" s="50" t="s">
        <v>458</v>
      </c>
      <c r="G452" s="25">
        <f t="shared" si="4"/>
        <v>-3.3403805496828864E-3</v>
      </c>
    </row>
    <row r="453" spans="1:7">
      <c r="A453" s="50">
        <v>233.33103598757023</v>
      </c>
      <c r="B453" s="50">
        <v>233.54857562361406</v>
      </c>
      <c r="C453" s="50">
        <v>230.3645864051542</v>
      </c>
      <c r="D453" s="50">
        <v>230.93809999108797</v>
      </c>
      <c r="E453" s="50">
        <v>1892824.3491085661</v>
      </c>
      <c r="F453" s="50" t="s">
        <v>459</v>
      </c>
      <c r="G453" s="25">
        <f t="shared" si="4"/>
        <v>1.0361806893598891E-2</v>
      </c>
    </row>
    <row r="454" spans="1:7">
      <c r="A454" s="50">
        <v>231.19519228823069</v>
      </c>
      <c r="B454" s="50">
        <v>232.17412065042799</v>
      </c>
      <c r="C454" s="50">
        <v>228.96046693614394</v>
      </c>
      <c r="D454" s="50">
        <v>229.73174382757213</v>
      </c>
      <c r="E454" s="50">
        <v>2824411.7310013864</v>
      </c>
      <c r="F454" s="50" t="s">
        <v>460</v>
      </c>
      <c r="G454" s="25">
        <f t="shared" si="4"/>
        <v>6.3702492144792622E-3</v>
      </c>
    </row>
    <row r="455" spans="1:7">
      <c r="A455" s="50">
        <v>228.96046693614394</v>
      </c>
      <c r="B455" s="50">
        <v>230.98754081746156</v>
      </c>
      <c r="C455" s="50">
        <v>226.1818924939476</v>
      </c>
      <c r="D455" s="50">
        <v>226.68618892295831</v>
      </c>
      <c r="E455" s="50">
        <v>3945355.7779559162</v>
      </c>
      <c r="F455" s="50" t="s">
        <v>461</v>
      </c>
      <c r="G455" s="25">
        <f t="shared" si="4"/>
        <v>1.0032715376226964E-2</v>
      </c>
    </row>
    <row r="456" spans="1:7">
      <c r="A456" s="50">
        <v>225.84569487460712</v>
      </c>
      <c r="B456" s="50">
        <v>227.75411077262811</v>
      </c>
      <c r="C456" s="50">
        <v>224.82721385131094</v>
      </c>
      <c r="D456" s="50">
        <v>227.22014984779318</v>
      </c>
      <c r="E456" s="50">
        <v>2289952.6222412335</v>
      </c>
      <c r="F456" s="50" t="s">
        <v>462</v>
      </c>
      <c r="G456" s="25">
        <f t="shared" si="4"/>
        <v>-6.0490012620216804E-3</v>
      </c>
    </row>
    <row r="457" spans="1:7">
      <c r="A457" s="50">
        <v>228.10019655724329</v>
      </c>
      <c r="B457" s="50">
        <v>229.88995447196763</v>
      </c>
      <c r="C457" s="50">
        <v>226.57741910493638</v>
      </c>
      <c r="D457" s="50">
        <v>227.4673539796612</v>
      </c>
      <c r="E457" s="50">
        <v>3187529.650276015</v>
      </c>
      <c r="F457" s="50" t="s">
        <v>463</v>
      </c>
      <c r="G457" s="25">
        <f t="shared" si="4"/>
        <v>2.7821248478525629E-3</v>
      </c>
    </row>
    <row r="458" spans="1:7">
      <c r="A458" s="50">
        <v>228.0112030697708</v>
      </c>
      <c r="B458" s="50">
        <v>228.71326280427596</v>
      </c>
      <c r="C458" s="50">
        <v>225.97918510581582</v>
      </c>
      <c r="D458" s="50">
        <v>228.27818353218825</v>
      </c>
      <c r="E458" s="50">
        <v>3519259.5424114247</v>
      </c>
      <c r="F458" s="50" t="s">
        <v>464</v>
      </c>
      <c r="G458" s="25">
        <f t="shared" ref="G458:G521" si="5">A458/D458-1</f>
        <v>-1.1695399809408258E-3</v>
      </c>
    </row>
    <row r="459" spans="1:7">
      <c r="A459" s="50">
        <v>228.88136161394618</v>
      </c>
      <c r="B459" s="50">
        <v>231.28418577570318</v>
      </c>
      <c r="C459" s="50">
        <v>227.63238745809628</v>
      </c>
      <c r="D459" s="50">
        <v>229.0890130847153</v>
      </c>
      <c r="E459" s="50">
        <v>2177072.2274471046</v>
      </c>
      <c r="F459" s="50" t="s">
        <v>465</v>
      </c>
      <c r="G459" s="25">
        <f t="shared" si="5"/>
        <v>-9.0642265193374705E-4</v>
      </c>
    </row>
    <row r="460" spans="1:7">
      <c r="A460" s="50">
        <v>227.80355159900168</v>
      </c>
      <c r="B460" s="50">
        <v>228.52538766405627</v>
      </c>
      <c r="C460" s="50">
        <v>224.9557599998823</v>
      </c>
      <c r="D460" s="50">
        <v>228.52538766405627</v>
      </c>
      <c r="E460" s="50">
        <v>5121679.1581624886</v>
      </c>
      <c r="F460" s="50" t="s">
        <v>466</v>
      </c>
      <c r="G460" s="25">
        <f t="shared" si="5"/>
        <v>-3.1586690320627442E-3</v>
      </c>
    </row>
    <row r="461" spans="1:7">
      <c r="A461" s="50">
        <v>227.63545278933145</v>
      </c>
      <c r="B461" s="50">
        <v>229.0890130847153</v>
      </c>
      <c r="C461" s="50">
        <v>223.90761448076196</v>
      </c>
      <c r="D461" s="50">
        <v>226.00390551900264</v>
      </c>
      <c r="E461" s="50">
        <v>3001823.814159519</v>
      </c>
      <c r="F461" s="50" t="s">
        <v>467</v>
      </c>
      <c r="G461" s="25">
        <f t="shared" si="5"/>
        <v>7.2191109555477251E-3</v>
      </c>
    </row>
    <row r="462" spans="1:7">
      <c r="A462" s="50">
        <v>226.74551791460664</v>
      </c>
      <c r="B462" s="50">
        <v>226.74551791460664</v>
      </c>
      <c r="C462" s="50">
        <v>224.23402281648049</v>
      </c>
      <c r="D462" s="50">
        <v>225.03486532208007</v>
      </c>
      <c r="E462" s="50">
        <v>2201082.7484491132</v>
      </c>
      <c r="F462" s="50" t="s">
        <v>468</v>
      </c>
      <c r="G462" s="25">
        <f t="shared" si="5"/>
        <v>7.6017224712188192E-3</v>
      </c>
    </row>
    <row r="463" spans="1:7">
      <c r="A463" s="50">
        <v>225.71714872603576</v>
      </c>
      <c r="B463" s="50">
        <v>225.90996794889278</v>
      </c>
      <c r="C463" s="50">
        <v>221.5146784842797</v>
      </c>
      <c r="D463" s="50">
        <v>221.69266545922466</v>
      </c>
      <c r="E463" s="50">
        <v>2454134.7485402855</v>
      </c>
      <c r="F463" s="50" t="s">
        <v>469</v>
      </c>
      <c r="G463" s="25">
        <f t="shared" si="5"/>
        <v>1.8153434433541671E-2</v>
      </c>
    </row>
    <row r="464" spans="1:7">
      <c r="A464" s="50">
        <v>222.30573170625729</v>
      </c>
      <c r="B464" s="50">
        <v>223.11656125878434</v>
      </c>
      <c r="C464" s="50">
        <v>218.86465019065471</v>
      </c>
      <c r="D464" s="50">
        <v>218.90420285175358</v>
      </c>
      <c r="E464" s="50">
        <v>2400755.7863834319</v>
      </c>
      <c r="F464" s="50" t="s">
        <v>470</v>
      </c>
      <c r="G464" s="25">
        <f t="shared" si="5"/>
        <v>1.5538892402204407E-2</v>
      </c>
    </row>
    <row r="465" spans="1:7">
      <c r="A465" s="50">
        <v>219.70514423900593</v>
      </c>
      <c r="B465" s="50">
        <v>221.24769802186225</v>
      </c>
      <c r="C465" s="50">
        <v>218.27333790722645</v>
      </c>
      <c r="D465" s="50">
        <v>220.91150040252177</v>
      </c>
      <c r="E465" s="50">
        <v>3045324.3006551974</v>
      </c>
      <c r="F465" s="50" t="s">
        <v>471</v>
      </c>
      <c r="G465" s="25">
        <f t="shared" si="5"/>
        <v>-5.4608119600733085E-3</v>
      </c>
    </row>
    <row r="466" spans="1:7">
      <c r="A466" s="50">
        <v>221.53445481482913</v>
      </c>
      <c r="B466" s="50">
        <v>225.84569487460712</v>
      </c>
      <c r="C466" s="50">
        <v>220.33798681658803</v>
      </c>
      <c r="D466" s="50">
        <v>224.88654284295927</v>
      </c>
      <c r="E466" s="50">
        <v>3126073.3554916219</v>
      </c>
      <c r="F466" s="50" t="s">
        <v>472</v>
      </c>
      <c r="G466" s="25">
        <f t="shared" si="5"/>
        <v>-1.4905685265796165E-2</v>
      </c>
    </row>
    <row r="467" spans="1:7">
      <c r="A467" s="50">
        <v>222.01897491329044</v>
      </c>
      <c r="B467" s="50">
        <v>229.04946042361641</v>
      </c>
      <c r="C467" s="50">
        <v>221.70255362449939</v>
      </c>
      <c r="D467" s="50">
        <v>229.04946042361641</v>
      </c>
      <c r="E467" s="50">
        <v>3203904.781101747</v>
      </c>
      <c r="F467" s="50" t="s">
        <v>473</v>
      </c>
      <c r="G467" s="25">
        <f t="shared" si="5"/>
        <v>-3.069418062510787E-2</v>
      </c>
    </row>
    <row r="468" spans="1:7">
      <c r="A468" s="50">
        <v>229.84051364559403</v>
      </c>
      <c r="B468" s="50">
        <v>231.30643414757131</v>
      </c>
      <c r="C468" s="50">
        <v>228.02109123504553</v>
      </c>
      <c r="D468" s="50">
        <v>229.35599354713273</v>
      </c>
      <c r="E468" s="50">
        <v>2966854.7384621277</v>
      </c>
      <c r="F468" s="50" t="s">
        <v>474</v>
      </c>
      <c r="G468" s="25">
        <f t="shared" si="5"/>
        <v>2.1125242509161257E-3</v>
      </c>
    </row>
    <row r="469" spans="1:7">
      <c r="A469" s="50">
        <v>230.06794144691258</v>
      </c>
      <c r="B469" s="50">
        <v>231.50221982001074</v>
      </c>
      <c r="C469" s="50">
        <v>229.11867758053947</v>
      </c>
      <c r="D469" s="50">
        <v>229.81084914976987</v>
      </c>
      <c r="E469" s="50">
        <v>2237500.0200051041</v>
      </c>
      <c r="F469" s="50" t="s">
        <v>475</v>
      </c>
      <c r="G469" s="25">
        <f t="shared" si="5"/>
        <v>1.1187126199387887E-3</v>
      </c>
    </row>
    <row r="470" spans="1:7">
      <c r="A470" s="50">
        <v>230.74033668559355</v>
      </c>
      <c r="B470" s="50">
        <v>233.75622709438321</v>
      </c>
      <c r="C470" s="50">
        <v>230.09760594273675</v>
      </c>
      <c r="D470" s="50">
        <v>232.16423248515324</v>
      </c>
      <c r="E470" s="50">
        <v>2740491.2081394251</v>
      </c>
      <c r="F470" s="50" t="s">
        <v>476</v>
      </c>
      <c r="G470" s="25">
        <f t="shared" si="5"/>
        <v>-6.1331402529920531E-3</v>
      </c>
    </row>
    <row r="471" spans="1:7">
      <c r="A471" s="50">
        <v>232.06535083240604</v>
      </c>
      <c r="B471" s="50">
        <v>235.0416885800968</v>
      </c>
      <c r="C471" s="50">
        <v>231.08642247020876</v>
      </c>
      <c r="D471" s="50">
        <v>233.60790461526238</v>
      </c>
      <c r="E471" s="50">
        <v>2958180.7329598861</v>
      </c>
      <c r="F471" s="50" t="s">
        <v>477</v>
      </c>
      <c r="G471" s="25">
        <f t="shared" si="5"/>
        <v>-6.6031746031746108E-3</v>
      </c>
    </row>
    <row r="472" spans="1:7">
      <c r="A472" s="50">
        <v>234.5967211427344</v>
      </c>
      <c r="B472" s="50">
        <v>237.31596659328241</v>
      </c>
      <c r="C472" s="50">
        <v>233.09372002097692</v>
      </c>
      <c r="D472" s="50">
        <v>233.74633892910845</v>
      </c>
      <c r="E472" s="50">
        <v>2540528.9355573691</v>
      </c>
      <c r="F472" s="50" t="s">
        <v>478</v>
      </c>
      <c r="G472" s="25">
        <f t="shared" si="5"/>
        <v>3.6380557553197246E-3</v>
      </c>
    </row>
    <row r="473" spans="1:7">
      <c r="A473" s="50">
        <v>234.23085902756975</v>
      </c>
      <c r="B473" s="50">
        <v>238.66075707064437</v>
      </c>
      <c r="C473" s="50">
        <v>230.91921359541325</v>
      </c>
      <c r="D473" s="50">
        <v>237.4939535682274</v>
      </c>
      <c r="E473" s="50">
        <v>2707474.971969238</v>
      </c>
      <c r="F473" s="50" t="s">
        <v>479</v>
      </c>
      <c r="G473" s="25">
        <f t="shared" si="5"/>
        <v>-1.3739695228578652E-2</v>
      </c>
    </row>
    <row r="474" spans="1:7">
      <c r="A474" s="50">
        <v>237.31596659328241</v>
      </c>
      <c r="B474" s="50">
        <v>237.5038417335021</v>
      </c>
      <c r="C474" s="50">
        <v>233.2717069959219</v>
      </c>
      <c r="D474" s="50">
        <v>235.33833353833839</v>
      </c>
      <c r="E474" s="50">
        <v>5160199.9544292949</v>
      </c>
      <c r="F474" s="50" t="s">
        <v>480</v>
      </c>
      <c r="G474" s="25">
        <f t="shared" si="5"/>
        <v>8.4033613445377853E-3</v>
      </c>
    </row>
    <row r="475" spans="1:7">
      <c r="A475" s="50">
        <v>234.56705664691023</v>
      </c>
      <c r="B475" s="50">
        <v>234.66593829965743</v>
      </c>
      <c r="C475" s="50">
        <v>232.34716354273556</v>
      </c>
      <c r="D475" s="50">
        <v>233.72656259855904</v>
      </c>
      <c r="E475" s="50">
        <v>2413402.2173972521</v>
      </c>
      <c r="F475" s="50" t="s">
        <v>481</v>
      </c>
      <c r="G475" s="25">
        <f t="shared" si="5"/>
        <v>3.5960570292337124E-3</v>
      </c>
    </row>
    <row r="476" spans="1:7">
      <c r="A476" s="50">
        <v>233.30137149174607</v>
      </c>
      <c r="B476" s="50">
        <v>235.00213591899791</v>
      </c>
      <c r="C476" s="50">
        <v>232.04063041921924</v>
      </c>
      <c r="D476" s="50">
        <v>232.81685139328476</v>
      </c>
      <c r="E476" s="50">
        <v>2741995.0260456665</v>
      </c>
      <c r="F476" s="50" t="s">
        <v>482</v>
      </c>
      <c r="G476" s="25">
        <f t="shared" si="5"/>
        <v>2.0811212571671955E-3</v>
      </c>
    </row>
    <row r="477" spans="1:7">
      <c r="A477" s="50">
        <v>234.5967211427344</v>
      </c>
      <c r="B477" s="50">
        <v>235.80307730625026</v>
      </c>
      <c r="C477" s="50">
        <v>233.24204250009774</v>
      </c>
      <c r="D477" s="50">
        <v>235.0911294064704</v>
      </c>
      <c r="E477" s="50">
        <v>2341588.0860320074</v>
      </c>
      <c r="F477" s="50" t="s">
        <v>483</v>
      </c>
      <c r="G477" s="25">
        <f t="shared" si="5"/>
        <v>-2.103049421661396E-3</v>
      </c>
    </row>
    <row r="478" spans="1:7">
      <c r="A478" s="50">
        <v>235.51632051328338</v>
      </c>
      <c r="B478" s="50">
        <v>237.38518375020547</v>
      </c>
      <c r="C478" s="50">
        <v>234.04298388735006</v>
      </c>
      <c r="D478" s="50">
        <v>234.21108269702032</v>
      </c>
      <c r="E478" s="50">
        <v>1642901.3420247312</v>
      </c>
      <c r="F478" s="50" t="s">
        <v>484</v>
      </c>
      <c r="G478" s="25">
        <f t="shared" si="5"/>
        <v>5.5729122688508159E-3</v>
      </c>
    </row>
    <row r="479" spans="1:7">
      <c r="A479" s="50">
        <v>232.8267395585595</v>
      </c>
      <c r="B479" s="50">
        <v>238.1366843110842</v>
      </c>
      <c r="C479" s="50">
        <v>232.49054193921901</v>
      </c>
      <c r="D479" s="50">
        <v>238.1366843110842</v>
      </c>
      <c r="E479" s="50">
        <v>3309605.8865102613</v>
      </c>
      <c r="F479" s="50" t="s">
        <v>485</v>
      </c>
      <c r="G479" s="25">
        <f t="shared" si="5"/>
        <v>-2.2297886475937445E-2</v>
      </c>
    </row>
    <row r="480" spans="1:7">
      <c r="A480" s="50">
        <v>237.4049600807549</v>
      </c>
      <c r="B480" s="50">
        <v>240.74221586097295</v>
      </c>
      <c r="C480" s="50">
        <v>236.84627874273323</v>
      </c>
      <c r="D480" s="50">
        <v>240.19342268822598</v>
      </c>
      <c r="E480" s="50">
        <v>2318675.8476434341</v>
      </c>
      <c r="F480" s="50" t="s">
        <v>486</v>
      </c>
      <c r="G480" s="25">
        <f t="shared" si="5"/>
        <v>-1.1609237989378851E-2</v>
      </c>
    </row>
    <row r="481" spans="1:7">
      <c r="A481" s="50">
        <v>240.36152149789623</v>
      </c>
      <c r="B481" s="50">
        <v>240.85098567899485</v>
      </c>
      <c r="C481" s="50">
        <v>238.64098074009493</v>
      </c>
      <c r="D481" s="50">
        <v>239.62979726756694</v>
      </c>
      <c r="E481" s="50">
        <v>1846588.2691788704</v>
      </c>
      <c r="F481" s="50" t="s">
        <v>487</v>
      </c>
      <c r="G481" s="25">
        <f t="shared" si="5"/>
        <v>3.0535611124866691E-3</v>
      </c>
    </row>
    <row r="482" spans="1:7">
      <c r="A482" s="50">
        <v>239.59024460646805</v>
      </c>
      <c r="B482" s="50">
        <v>241.6804049822384</v>
      </c>
      <c r="C482" s="50">
        <v>239.39248130097363</v>
      </c>
      <c r="D482" s="50">
        <v>240.3911859937204</v>
      </c>
      <c r="E482" s="50">
        <v>2005801.8296585786</v>
      </c>
      <c r="F482" s="50" t="s">
        <v>488</v>
      </c>
      <c r="G482" s="25">
        <f t="shared" si="5"/>
        <v>-3.3318250997491639E-3</v>
      </c>
    </row>
    <row r="483" spans="1:7">
      <c r="A483" s="50">
        <v>240.10442920075349</v>
      </c>
      <c r="B483" s="50">
        <v>240.47029131591813</v>
      </c>
      <c r="C483" s="50">
        <v>239.19471799547924</v>
      </c>
      <c r="D483" s="50">
        <v>240.08465287020405</v>
      </c>
      <c r="E483" s="50">
        <v>1869826.1493736373</v>
      </c>
      <c r="F483" s="50" t="s">
        <v>489</v>
      </c>
      <c r="G483" s="25">
        <f t="shared" si="5"/>
        <v>8.2372322899537664E-5</v>
      </c>
    </row>
    <row r="484" spans="1:7">
      <c r="A484" s="50">
        <v>238.62120440954547</v>
      </c>
      <c r="B484" s="50">
        <v>240.62652432725872</v>
      </c>
      <c r="C484" s="50">
        <v>238.15646064163363</v>
      </c>
      <c r="D484" s="50">
        <v>239.01673102053428</v>
      </c>
      <c r="E484" s="50">
        <v>2635530.3816195247</v>
      </c>
      <c r="F484" s="50" t="s">
        <v>490</v>
      </c>
      <c r="G484" s="25">
        <f t="shared" si="5"/>
        <v>-1.654807214959475E-3</v>
      </c>
    </row>
    <row r="485" spans="1:7">
      <c r="A485" s="50">
        <v>238.99695468998482</v>
      </c>
      <c r="B485" s="50">
        <v>240.15387002712708</v>
      </c>
      <c r="C485" s="50">
        <v>237.56317072515043</v>
      </c>
      <c r="D485" s="50">
        <v>238.92773753306179</v>
      </c>
      <c r="E485" s="50">
        <v>2036160.3432614468</v>
      </c>
      <c r="F485" s="50" t="s">
        <v>491</v>
      </c>
      <c r="G485" s="25">
        <f t="shared" si="5"/>
        <v>2.8969912676402032E-4</v>
      </c>
    </row>
    <row r="486" spans="1:7">
      <c r="A486" s="50">
        <v>238.82885588031459</v>
      </c>
      <c r="B486" s="50">
        <v>239.38259313569893</v>
      </c>
      <c r="C486" s="50">
        <v>235.43721519108558</v>
      </c>
      <c r="D486" s="50">
        <v>235.48665601745921</v>
      </c>
      <c r="E486" s="50">
        <v>2414310.3737387485</v>
      </c>
      <c r="F486" s="50" t="s">
        <v>492</v>
      </c>
      <c r="G486" s="25">
        <f t="shared" si="5"/>
        <v>1.4192735670795598E-2</v>
      </c>
    </row>
    <row r="487" spans="1:7">
      <c r="A487" s="50">
        <v>235.98106428119522</v>
      </c>
      <c r="B487" s="50">
        <v>240.81637710053334</v>
      </c>
      <c r="C487" s="50">
        <v>235.43721519108558</v>
      </c>
      <c r="D487" s="50">
        <v>240.23297534932485</v>
      </c>
      <c r="E487" s="50">
        <v>2800206.0271776528</v>
      </c>
      <c r="F487" s="50" t="s">
        <v>493</v>
      </c>
      <c r="G487" s="25">
        <f t="shared" si="5"/>
        <v>-1.7699115044247704E-2</v>
      </c>
    </row>
    <row r="488" spans="1:7">
      <c r="A488" s="50">
        <v>239.59024460646805</v>
      </c>
      <c r="B488" s="50">
        <v>240.81637710053334</v>
      </c>
      <c r="C488" s="50">
        <v>237.62249971679876</v>
      </c>
      <c r="D488" s="50">
        <v>237.81037485701842</v>
      </c>
      <c r="E488" s="50">
        <v>2620197.9113595863</v>
      </c>
      <c r="F488" s="50" t="s">
        <v>494</v>
      </c>
      <c r="G488" s="25">
        <f t="shared" si="5"/>
        <v>7.4844074844075958E-3</v>
      </c>
    </row>
    <row r="489" spans="1:7">
      <c r="A489" s="50">
        <v>236.46558437965649</v>
      </c>
      <c r="B489" s="50">
        <v>236.70290034624978</v>
      </c>
      <c r="C489" s="50">
        <v>232.92562121130669</v>
      </c>
      <c r="D489" s="50">
        <v>233.3211478222955</v>
      </c>
      <c r="E489" s="50">
        <v>3202161.2827356672</v>
      </c>
      <c r="F489" s="50" t="s">
        <v>495</v>
      </c>
      <c r="G489" s="25">
        <f t="shared" si="5"/>
        <v>1.3476860484827879E-2</v>
      </c>
    </row>
    <row r="490" spans="1:7">
      <c r="A490" s="50">
        <v>233.59801644998768</v>
      </c>
      <c r="B490" s="50">
        <v>234.20119453174559</v>
      </c>
      <c r="C490" s="50">
        <v>230.9084354952638</v>
      </c>
      <c r="D490" s="50">
        <v>231.77859403943918</v>
      </c>
      <c r="E490" s="50">
        <v>2530207.5061349743</v>
      </c>
      <c r="F490" s="50" t="s">
        <v>496</v>
      </c>
      <c r="G490" s="25">
        <f t="shared" si="5"/>
        <v>7.8498293515358863E-3</v>
      </c>
    </row>
    <row r="491" spans="1:7">
      <c r="A491" s="50">
        <v>232.03568633658188</v>
      </c>
      <c r="B491" s="50">
        <v>233.3607004833944</v>
      </c>
      <c r="C491" s="50">
        <v>230.79966567724188</v>
      </c>
      <c r="D491" s="50">
        <v>232.86629221965839</v>
      </c>
      <c r="E491" s="50">
        <v>2108104.9336111606</v>
      </c>
      <c r="F491" s="50" t="s">
        <v>497</v>
      </c>
      <c r="G491" s="25">
        <f t="shared" si="5"/>
        <v>-3.5668789808918078E-3</v>
      </c>
    </row>
    <row r="492" spans="1:7">
      <c r="A492" s="50">
        <v>231.70937688251612</v>
      </c>
      <c r="B492" s="50">
        <v>231.94669284910941</v>
      </c>
      <c r="C492" s="50">
        <v>228.73303913482536</v>
      </c>
      <c r="D492" s="50">
        <v>229.70207933174797</v>
      </c>
      <c r="E492" s="50">
        <v>2285128.6737457579</v>
      </c>
      <c r="F492" s="50" t="s">
        <v>498</v>
      </c>
      <c r="G492" s="25">
        <f t="shared" si="5"/>
        <v>8.7386999569520896E-3</v>
      </c>
    </row>
    <row r="493" spans="1:7">
      <c r="A493" s="50">
        <v>228.18919004471579</v>
      </c>
      <c r="B493" s="50">
        <v>230.74033668559355</v>
      </c>
      <c r="C493" s="50">
        <v>226.56753093966168</v>
      </c>
      <c r="D493" s="50">
        <v>230.65134319812105</v>
      </c>
      <c r="E493" s="50">
        <v>3239533.2308911821</v>
      </c>
      <c r="F493" s="50" t="s">
        <v>499</v>
      </c>
      <c r="G493" s="25">
        <f t="shared" si="5"/>
        <v>-1.0674783503386576E-2</v>
      </c>
    </row>
    <row r="494" spans="1:7">
      <c r="A494" s="50">
        <v>229.89984263724236</v>
      </c>
      <c r="B494" s="50">
        <v>231.33362660207675</v>
      </c>
      <c r="C494" s="50">
        <v>228.32861317508932</v>
      </c>
      <c r="D494" s="50">
        <v>230.96776448691213</v>
      </c>
      <c r="E494" s="50">
        <v>2765805.3076761649</v>
      </c>
      <c r="F494" s="50" t="s">
        <v>500</v>
      </c>
      <c r="G494" s="25">
        <f t="shared" si="5"/>
        <v>-4.6236835345492278E-3</v>
      </c>
    </row>
    <row r="495" spans="1:7">
      <c r="A495" s="50">
        <v>228.87147344867145</v>
      </c>
      <c r="B495" s="50">
        <v>232.51031826976845</v>
      </c>
      <c r="C495" s="50">
        <v>228.6440456473529</v>
      </c>
      <c r="D495" s="50">
        <v>230.61179053702219</v>
      </c>
      <c r="E495" s="50">
        <v>4223390.1679178923</v>
      </c>
      <c r="F495" s="50" t="s">
        <v>501</v>
      </c>
      <c r="G495" s="25">
        <f t="shared" si="5"/>
        <v>-7.5465225966898641E-3</v>
      </c>
    </row>
    <row r="496" spans="1:7">
      <c r="A496" s="50">
        <v>231.41273192427454</v>
      </c>
      <c r="B496" s="50">
        <v>236.93032814756836</v>
      </c>
      <c r="C496" s="50">
        <v>231.15563962713182</v>
      </c>
      <c r="D496" s="50">
        <v>235.21967555504176</v>
      </c>
      <c r="E496" s="50">
        <v>3604587.8087337008</v>
      </c>
      <c r="F496" s="50" t="s">
        <v>502</v>
      </c>
      <c r="G496" s="25">
        <f t="shared" si="5"/>
        <v>-1.6184630906339259E-2</v>
      </c>
    </row>
    <row r="497" spans="1:7">
      <c r="A497" s="50">
        <v>236.24804474361264</v>
      </c>
      <c r="B497" s="50">
        <v>236.44580804910706</v>
      </c>
      <c r="C497" s="50">
        <v>233.00472653350445</v>
      </c>
      <c r="D497" s="50">
        <v>233.94410223460287</v>
      </c>
      <c r="E497" s="50">
        <v>3738597.5024619955</v>
      </c>
      <c r="F497" s="50" t="s">
        <v>503</v>
      </c>
      <c r="G497" s="25">
        <f t="shared" si="5"/>
        <v>9.848260704171663E-3</v>
      </c>
    </row>
    <row r="498" spans="1:7">
      <c r="A498" s="50">
        <v>233.00472653350445</v>
      </c>
      <c r="B498" s="50">
        <v>234.27041168866862</v>
      </c>
      <c r="C498" s="50">
        <v>231.80311668932049</v>
      </c>
      <c r="D498" s="50">
        <v>233.3607004833944</v>
      </c>
      <c r="E498" s="50">
        <v>3027189.490504072</v>
      </c>
      <c r="F498" s="50" t="s">
        <v>504</v>
      </c>
      <c r="G498" s="25">
        <f t="shared" si="5"/>
        <v>-1.5254237288135908E-3</v>
      </c>
    </row>
    <row r="499" spans="1:7">
      <c r="A499" s="50">
        <v>234.4483986636136</v>
      </c>
      <c r="B499" s="50">
        <v>235.7833009757008</v>
      </c>
      <c r="C499" s="50">
        <v>232.77235464954853</v>
      </c>
      <c r="D499" s="50">
        <v>235.46687968690975</v>
      </c>
      <c r="E499" s="50">
        <v>3366609.383553443</v>
      </c>
      <c r="F499" s="50" t="s">
        <v>505</v>
      </c>
      <c r="G499" s="25">
        <f t="shared" si="5"/>
        <v>-4.3253684961994665E-3</v>
      </c>
    </row>
    <row r="500" spans="1:7">
      <c r="A500" s="50">
        <v>236.44580804910706</v>
      </c>
      <c r="B500" s="50">
        <v>237.85981568339204</v>
      </c>
      <c r="C500" s="50">
        <v>235.30866904251425</v>
      </c>
      <c r="D500" s="50">
        <v>235.60531400075587</v>
      </c>
      <c r="E500" s="50">
        <v>4479337.5484163072</v>
      </c>
      <c r="F500" s="50" t="s">
        <v>506</v>
      </c>
      <c r="G500" s="25">
        <f t="shared" si="5"/>
        <v>3.5673815419481336E-3</v>
      </c>
    </row>
    <row r="501" spans="1:7">
      <c r="A501" s="50">
        <v>236.28759740471153</v>
      </c>
      <c r="B501" s="50">
        <v>236.74245300734864</v>
      </c>
      <c r="C501" s="50">
        <v>231.0567579743846</v>
      </c>
      <c r="D501" s="50">
        <v>232.14445615460383</v>
      </c>
      <c r="E501" s="50">
        <v>4737430.928643737</v>
      </c>
      <c r="F501" s="50" t="s">
        <v>507</v>
      </c>
      <c r="G501" s="25">
        <f t="shared" si="5"/>
        <v>1.7847254759977726E-2</v>
      </c>
    </row>
    <row r="502" spans="1:7">
      <c r="A502" s="50">
        <v>230.39425090097836</v>
      </c>
      <c r="B502" s="50">
        <v>232.73764718943428</v>
      </c>
      <c r="C502" s="50">
        <v>225.14363514010196</v>
      </c>
      <c r="D502" s="50">
        <v>229.43509886933052</v>
      </c>
      <c r="E502" s="50">
        <v>5209559.9708165424</v>
      </c>
      <c r="F502" s="50" t="s">
        <v>508</v>
      </c>
      <c r="G502" s="25">
        <f t="shared" si="5"/>
        <v>4.1804939016505394E-3</v>
      </c>
    </row>
    <row r="503" spans="1:7">
      <c r="A503" s="50">
        <v>228.45617050713321</v>
      </c>
      <c r="B503" s="50">
        <v>229.00990776251754</v>
      </c>
      <c r="C503" s="50">
        <v>216.39260887197469</v>
      </c>
      <c r="D503" s="50">
        <v>216.39260887197469</v>
      </c>
      <c r="E503" s="50">
        <v>7659342.0413013715</v>
      </c>
      <c r="F503" s="50" t="s">
        <v>509</v>
      </c>
      <c r="G503" s="25">
        <f t="shared" si="5"/>
        <v>5.5748492048985465E-2</v>
      </c>
    </row>
    <row r="504" spans="1:7">
      <c r="A504" s="50">
        <v>215.06759472516219</v>
      </c>
      <c r="B504" s="50">
        <v>218.96847592603928</v>
      </c>
      <c r="C504" s="50">
        <v>214.74622935373381</v>
      </c>
      <c r="D504" s="50">
        <v>215.81909528604092</v>
      </c>
      <c r="E504" s="50">
        <v>3945579.2774564405</v>
      </c>
      <c r="F504" s="50" t="s">
        <v>510</v>
      </c>
      <c r="G504" s="25">
        <f t="shared" si="5"/>
        <v>-3.4820855859983846E-3</v>
      </c>
    </row>
    <row r="505" spans="1:7">
      <c r="A505" s="50">
        <v>215.23569353483242</v>
      </c>
      <c r="B505" s="50">
        <v>217.81650467153437</v>
      </c>
      <c r="C505" s="50">
        <v>214.09855452823965</v>
      </c>
      <c r="D505" s="50">
        <v>217.10455677175455</v>
      </c>
      <c r="E505" s="50">
        <v>2282306.1076554279</v>
      </c>
      <c r="F505" s="50" t="s">
        <v>511</v>
      </c>
      <c r="G505" s="25">
        <f t="shared" si="5"/>
        <v>-8.6081253415923875E-3</v>
      </c>
    </row>
    <row r="506" spans="1:7">
      <c r="A506" s="50">
        <v>215.89820060823868</v>
      </c>
      <c r="B506" s="50">
        <v>216.92656979680956</v>
      </c>
      <c r="C506" s="50">
        <v>214.08866636296489</v>
      </c>
      <c r="D506" s="50">
        <v>215.26535803065659</v>
      </c>
      <c r="E506" s="50">
        <v>4223909.9812358534</v>
      </c>
      <c r="F506" s="50" t="s">
        <v>512</v>
      </c>
      <c r="G506" s="25">
        <f t="shared" si="5"/>
        <v>2.9398254478640862E-3</v>
      </c>
    </row>
    <row r="507" spans="1:7">
      <c r="A507" s="50">
        <v>215.95752959988701</v>
      </c>
      <c r="B507" s="50">
        <v>220.2391051638408</v>
      </c>
      <c r="C507" s="50">
        <v>214.39519948648123</v>
      </c>
      <c r="D507" s="50">
        <v>219.40849928076432</v>
      </c>
      <c r="E507" s="50">
        <v>3498358.7995275683</v>
      </c>
      <c r="F507" s="50" t="s">
        <v>513</v>
      </c>
      <c r="G507" s="25">
        <f t="shared" si="5"/>
        <v>-1.5728514128622306E-2</v>
      </c>
    </row>
    <row r="508" spans="1:7">
      <c r="A508" s="50">
        <v>215.75976629439259</v>
      </c>
      <c r="B508" s="50">
        <v>215.83392753395302</v>
      </c>
      <c r="C508" s="50">
        <v>213.69808383461347</v>
      </c>
      <c r="D508" s="50">
        <v>214.57318646142619</v>
      </c>
      <c r="E508" s="50">
        <v>2468952.4620320485</v>
      </c>
      <c r="F508" s="50" t="s">
        <v>514</v>
      </c>
      <c r="G508" s="25">
        <f t="shared" si="5"/>
        <v>5.5299539170505785E-3</v>
      </c>
    </row>
    <row r="509" spans="1:7">
      <c r="A509" s="50">
        <v>215.75976629439259</v>
      </c>
      <c r="B509" s="50">
        <v>216.71901720769318</v>
      </c>
      <c r="C509" s="50">
        <v>212.11577962735277</v>
      </c>
      <c r="D509" s="50">
        <v>215.06759472516219</v>
      </c>
      <c r="E509" s="50">
        <v>3174536.3399469019</v>
      </c>
      <c r="F509" s="50" t="s">
        <v>515</v>
      </c>
      <c r="G509" s="25">
        <f t="shared" si="5"/>
        <v>3.2183908045977372E-3</v>
      </c>
    </row>
    <row r="510" spans="1:7">
      <c r="A510" s="50">
        <v>215.21591720428302</v>
      </c>
      <c r="B510" s="50">
        <v>217.04522778010622</v>
      </c>
      <c r="C510" s="50">
        <v>213.10973800076763</v>
      </c>
      <c r="D510" s="50">
        <v>215.0774828904369</v>
      </c>
      <c r="E510" s="50">
        <v>3150249.7313265987</v>
      </c>
      <c r="F510" s="50" t="s">
        <v>516</v>
      </c>
      <c r="G510" s="25">
        <f t="shared" si="5"/>
        <v>6.4364856788201585E-4</v>
      </c>
    </row>
    <row r="511" spans="1:7">
      <c r="A511" s="50">
        <v>217.3814253994467</v>
      </c>
      <c r="B511" s="50">
        <v>221.42568499680723</v>
      </c>
      <c r="C511" s="50">
        <v>215.53233849307404</v>
      </c>
      <c r="D511" s="50">
        <v>220.49619746098355</v>
      </c>
      <c r="E511" s="50">
        <v>3543025.3264038092</v>
      </c>
      <c r="F511" s="50" t="s">
        <v>517</v>
      </c>
      <c r="G511" s="25">
        <f t="shared" si="5"/>
        <v>-1.4126193999731029E-2</v>
      </c>
    </row>
    <row r="512" spans="1:7">
      <c r="A512" s="50">
        <v>221.60367197175219</v>
      </c>
      <c r="B512" s="50">
        <v>222.33539620208145</v>
      </c>
      <c r="C512" s="50">
        <v>220.62968769219225</v>
      </c>
      <c r="D512" s="50">
        <v>220.96094122889539</v>
      </c>
      <c r="E512" s="50">
        <v>1417171.9030451446</v>
      </c>
      <c r="F512" s="50" t="s">
        <v>518</v>
      </c>
      <c r="G512" s="25">
        <f t="shared" si="5"/>
        <v>2.9087979951669674E-3</v>
      </c>
    </row>
    <row r="513" spans="1:7">
      <c r="A513" s="50">
        <v>219.97212470142338</v>
      </c>
      <c r="B513" s="50">
        <v>220.62474360955488</v>
      </c>
      <c r="C513" s="50">
        <v>217.06500411065568</v>
      </c>
      <c r="D513" s="50">
        <v>217.53963604384222</v>
      </c>
      <c r="E513" s="50">
        <v>1848578.5271744879</v>
      </c>
      <c r="F513" s="50" t="s">
        <v>519</v>
      </c>
      <c r="G513" s="25">
        <f t="shared" si="5"/>
        <v>1.1181818181818182E-2</v>
      </c>
    </row>
    <row r="514" spans="1:7">
      <c r="A514" s="50">
        <v>217.13422126757871</v>
      </c>
      <c r="B514" s="50">
        <v>227.11138002977128</v>
      </c>
      <c r="C514" s="50">
        <v>216.75847098713933</v>
      </c>
      <c r="D514" s="50">
        <v>226.57741910493638</v>
      </c>
      <c r="E514" s="50">
        <v>3069655.4069136139</v>
      </c>
      <c r="F514" s="50" t="s">
        <v>520</v>
      </c>
      <c r="G514" s="25">
        <f t="shared" si="5"/>
        <v>-4.1677577027144919E-2</v>
      </c>
    </row>
    <row r="515" spans="1:7">
      <c r="A515" s="50">
        <v>223.40331805175128</v>
      </c>
      <c r="B515" s="50">
        <v>224.01941951132125</v>
      </c>
      <c r="C515" s="50">
        <v>222.04296602902076</v>
      </c>
      <c r="D515" s="50">
        <v>222.59499293679548</v>
      </c>
      <c r="E515" s="50">
        <v>2100054.8771675783</v>
      </c>
      <c r="F515" s="50" t="s">
        <v>521</v>
      </c>
      <c r="G515" s="25">
        <f t="shared" si="5"/>
        <v>3.6313715070190877E-3</v>
      </c>
    </row>
    <row r="516" spans="1:7">
      <c r="A516" s="50">
        <v>222.31897948290811</v>
      </c>
      <c r="B516" s="50">
        <v>223.73847724575734</v>
      </c>
      <c r="C516" s="50">
        <v>221.39285576888253</v>
      </c>
      <c r="D516" s="50">
        <v>223.14701984457017</v>
      </c>
      <c r="E516" s="50">
        <v>2013387.9424109743</v>
      </c>
      <c r="F516" s="50" t="s">
        <v>522</v>
      </c>
      <c r="G516" s="25">
        <f t="shared" si="5"/>
        <v>-3.7107390555285447E-3</v>
      </c>
    </row>
    <row r="517" spans="1:7">
      <c r="A517" s="50">
        <v>224.36936514035702</v>
      </c>
      <c r="B517" s="50">
        <v>225.3156969822565</v>
      </c>
      <c r="C517" s="50">
        <v>223.60047051881369</v>
      </c>
      <c r="D517" s="50">
        <v>224.20178554335396</v>
      </c>
      <c r="E517" s="50">
        <v>1640159.0343663548</v>
      </c>
      <c r="F517" s="50" t="s">
        <v>523</v>
      </c>
      <c r="G517" s="25">
        <f t="shared" si="5"/>
        <v>7.4744987689068232E-4</v>
      </c>
    </row>
    <row r="518" spans="1:7">
      <c r="A518" s="50">
        <v>224.44822612718195</v>
      </c>
      <c r="B518" s="50">
        <v>225.20726312537218</v>
      </c>
      <c r="C518" s="50">
        <v>223.11744697451081</v>
      </c>
      <c r="D518" s="50">
        <v>225.20726312537218</v>
      </c>
      <c r="E518" s="50">
        <v>2329003.5719141425</v>
      </c>
      <c r="F518" s="50" t="s">
        <v>524</v>
      </c>
      <c r="G518" s="25">
        <f t="shared" si="5"/>
        <v>-3.3703930666200144E-3</v>
      </c>
    </row>
    <row r="519" spans="1:7">
      <c r="A519" s="50">
        <v>224.50737186730069</v>
      </c>
      <c r="B519" s="50">
        <v>224.75381245112868</v>
      </c>
      <c r="C519" s="50">
        <v>221.93453217213644</v>
      </c>
      <c r="D519" s="50">
        <v>223.9652025828791</v>
      </c>
      <c r="E519" s="50">
        <v>2184210.0503044645</v>
      </c>
      <c r="F519" s="50" t="s">
        <v>525</v>
      </c>
      <c r="G519" s="25">
        <f t="shared" si="5"/>
        <v>2.4207746478872583E-3</v>
      </c>
    </row>
    <row r="520" spans="1:7">
      <c r="A520" s="50">
        <v>221.26421378412431</v>
      </c>
      <c r="B520" s="50">
        <v>223.63990101222615</v>
      </c>
      <c r="C520" s="50">
        <v>221.12620705718064</v>
      </c>
      <c r="D520" s="50">
        <v>223.39346042839816</v>
      </c>
      <c r="E520" s="50">
        <v>2136795.9847374246</v>
      </c>
      <c r="F520" s="50" t="s">
        <v>526</v>
      </c>
      <c r="G520" s="25">
        <f t="shared" si="5"/>
        <v>-9.5313741064336766E-3</v>
      </c>
    </row>
    <row r="521" spans="1:7">
      <c r="A521" s="50">
        <v>222.81186065056411</v>
      </c>
      <c r="B521" s="50">
        <v>223.75819249246359</v>
      </c>
      <c r="C521" s="50">
        <v>222.02325078231451</v>
      </c>
      <c r="D521" s="50">
        <v>222.13168463919885</v>
      </c>
      <c r="E521" s="50">
        <v>2150199.8241079142</v>
      </c>
      <c r="F521" s="50" t="s">
        <v>527</v>
      </c>
      <c r="G521" s="25">
        <f t="shared" si="5"/>
        <v>3.062039584627696E-3</v>
      </c>
    </row>
    <row r="522" spans="1:7">
      <c r="A522" s="50">
        <v>222.74285728709228</v>
      </c>
      <c r="B522" s="50">
        <v>227.25764878282106</v>
      </c>
      <c r="C522" s="50">
        <v>222.69356917032667</v>
      </c>
      <c r="D522" s="50">
        <v>225.78886290320625</v>
      </c>
      <c r="E522" s="50">
        <v>2317650.9369035359</v>
      </c>
      <c r="F522" s="50" t="s">
        <v>528</v>
      </c>
      <c r="G522" s="25">
        <f t="shared" ref="G522:G585" si="6">A522/D522-1</f>
        <v>-1.3490504256712499E-2</v>
      </c>
    </row>
    <row r="523" spans="1:7">
      <c r="A523" s="50">
        <v>225.85786626667809</v>
      </c>
      <c r="B523" s="50">
        <v>228.39127546842982</v>
      </c>
      <c r="C523" s="50">
        <v>225.72971716308754</v>
      </c>
      <c r="D523" s="50">
        <v>225.84800864332499</v>
      </c>
      <c r="E523" s="50">
        <v>3574775.454252657</v>
      </c>
      <c r="F523" s="50" t="s">
        <v>529</v>
      </c>
      <c r="G523" s="25">
        <f t="shared" si="6"/>
        <v>4.3647156387605079E-5</v>
      </c>
    </row>
    <row r="524" spans="1:7">
      <c r="A524" s="50">
        <v>224.66509384095059</v>
      </c>
      <c r="B524" s="50">
        <v>224.81295819124739</v>
      </c>
      <c r="C524" s="50">
        <v>218.0752726293901</v>
      </c>
      <c r="D524" s="50">
        <v>218.33649964824778</v>
      </c>
      <c r="E524" s="50">
        <v>2282144.406834173</v>
      </c>
      <c r="F524" s="50" t="s">
        <v>530</v>
      </c>
      <c r="G524" s="25">
        <f t="shared" si="6"/>
        <v>2.8985507246376718E-2</v>
      </c>
    </row>
    <row r="525" spans="1:7">
      <c r="A525" s="50">
        <v>218.53365211531016</v>
      </c>
      <c r="B525" s="50">
        <v>218.78995032249125</v>
      </c>
      <c r="C525" s="50">
        <v>216.24668349738639</v>
      </c>
      <c r="D525" s="50">
        <v>217.90276422071051</v>
      </c>
      <c r="E525" s="50">
        <v>1843994.1706889551</v>
      </c>
      <c r="F525" s="50" t="s">
        <v>531</v>
      </c>
      <c r="G525" s="25">
        <f t="shared" si="6"/>
        <v>2.8952725627686693E-3</v>
      </c>
    </row>
    <row r="526" spans="1:7">
      <c r="A526" s="50">
        <v>217.82390323388555</v>
      </c>
      <c r="B526" s="50">
        <v>218.57308260872264</v>
      </c>
      <c r="C526" s="50">
        <v>215.87209380996785</v>
      </c>
      <c r="D526" s="50">
        <v>216.76913753510175</v>
      </c>
      <c r="E526" s="50">
        <v>1920448.7047082009</v>
      </c>
      <c r="F526" s="50" t="s">
        <v>532</v>
      </c>
      <c r="G526" s="25">
        <f t="shared" si="6"/>
        <v>4.8658481127785702E-3</v>
      </c>
    </row>
    <row r="527" spans="1:7">
      <c r="A527" s="50">
        <v>215.34963977225252</v>
      </c>
      <c r="B527" s="50">
        <v>218.44000469345553</v>
      </c>
      <c r="C527" s="50">
        <v>214.12433718945974</v>
      </c>
      <c r="D527" s="50">
        <v>217.83376085723864</v>
      </c>
      <c r="E527" s="50">
        <v>5344002.1101362556</v>
      </c>
      <c r="F527" s="50" t="s">
        <v>533</v>
      </c>
      <c r="G527" s="25">
        <f t="shared" si="6"/>
        <v>-1.1403746945424786E-2</v>
      </c>
    </row>
    <row r="528" spans="1:7">
      <c r="A528" s="50">
        <v>217.33102206622956</v>
      </c>
      <c r="B528" s="50">
        <v>221.09663418712128</v>
      </c>
      <c r="C528" s="50">
        <v>215.98052766685217</v>
      </c>
      <c r="D528" s="50">
        <v>221.08677656376815</v>
      </c>
      <c r="E528" s="50">
        <v>2452925.9369955193</v>
      </c>
      <c r="F528" s="50" t="s">
        <v>534</v>
      </c>
      <c r="G528" s="25">
        <f t="shared" si="6"/>
        <v>-1.6987693953986027E-2</v>
      </c>
    </row>
    <row r="529" spans="1:7">
      <c r="A529" s="50">
        <v>219.63770593085957</v>
      </c>
      <c r="B529" s="50">
        <v>220.3080243188717</v>
      </c>
      <c r="C529" s="50">
        <v>218.71108933566632</v>
      </c>
      <c r="D529" s="50">
        <v>219.96300750151249</v>
      </c>
      <c r="E529" s="50">
        <v>2732001.3187029543</v>
      </c>
      <c r="F529" s="50" t="s">
        <v>535</v>
      </c>
      <c r="G529" s="25">
        <f t="shared" si="6"/>
        <v>-1.4788921753158268E-3</v>
      </c>
    </row>
    <row r="530" spans="1:7">
      <c r="A530" s="50">
        <v>219.47998395720967</v>
      </c>
      <c r="B530" s="50">
        <v>220.26120060794437</v>
      </c>
      <c r="C530" s="50">
        <v>216.5128393279206</v>
      </c>
      <c r="D530" s="50">
        <v>218.09005906441979</v>
      </c>
      <c r="E530" s="50">
        <v>2097579.6355067901</v>
      </c>
      <c r="F530" s="50" t="s">
        <v>536</v>
      </c>
      <c r="G530" s="25">
        <f t="shared" si="6"/>
        <v>6.3731694087869606E-3</v>
      </c>
    </row>
    <row r="531" spans="1:7">
      <c r="A531" s="50">
        <v>217.05500861234222</v>
      </c>
      <c r="B531" s="50">
        <v>219.1941128799692</v>
      </c>
      <c r="C531" s="50">
        <v>215.18580607212365</v>
      </c>
      <c r="D531" s="50">
        <v>218.7603774524319</v>
      </c>
      <c r="E531" s="50">
        <v>2848736.3529783129</v>
      </c>
      <c r="F531" s="50" t="s">
        <v>537</v>
      </c>
      <c r="G531" s="25">
        <f t="shared" si="6"/>
        <v>-7.7956020187454067E-3</v>
      </c>
    </row>
    <row r="532" spans="1:7">
      <c r="A532" s="50">
        <v>220.18973283863428</v>
      </c>
      <c r="B532" s="50">
        <v>221.69302039998502</v>
      </c>
      <c r="C532" s="50">
        <v>219.66422293767948</v>
      </c>
      <c r="D532" s="50">
        <v>219.8644312679813</v>
      </c>
      <c r="E532" s="50">
        <v>2275286.7701018252</v>
      </c>
      <c r="F532" s="50" t="s">
        <v>538</v>
      </c>
      <c r="G532" s="25">
        <f t="shared" si="6"/>
        <v>1.4795552367290465E-3</v>
      </c>
    </row>
    <row r="533" spans="1:7">
      <c r="A533" s="50">
        <v>220.23902095539987</v>
      </c>
      <c r="B533" s="50">
        <v>221.49093912124607</v>
      </c>
      <c r="C533" s="50">
        <v>217.66618126023562</v>
      </c>
      <c r="D533" s="50">
        <v>217.86333372729803</v>
      </c>
      <c r="E533" s="50">
        <v>3017080.1758811041</v>
      </c>
      <c r="F533" s="50" t="s">
        <v>539</v>
      </c>
      <c r="G533" s="25">
        <f t="shared" si="6"/>
        <v>1.0904483960001876E-2</v>
      </c>
    </row>
    <row r="534" spans="1:7">
      <c r="A534" s="50">
        <v>215.33978214889936</v>
      </c>
      <c r="B534" s="50">
        <v>216.16782251056142</v>
      </c>
      <c r="C534" s="50">
        <v>214.17658259323127</v>
      </c>
      <c r="D534" s="50">
        <v>214.52159941059045</v>
      </c>
      <c r="E534" s="50">
        <v>2767355.682276777</v>
      </c>
      <c r="F534" s="50" t="s">
        <v>540</v>
      </c>
      <c r="G534" s="25">
        <f t="shared" si="6"/>
        <v>3.8139876849552223E-3</v>
      </c>
    </row>
    <row r="535" spans="1:7">
      <c r="A535" s="50">
        <v>214.10757922975941</v>
      </c>
      <c r="B535" s="50">
        <v>215.78337519978979</v>
      </c>
      <c r="C535" s="50">
        <v>213.04473027982607</v>
      </c>
      <c r="D535" s="50">
        <v>214.3441621902343</v>
      </c>
      <c r="E535" s="50">
        <v>2710885.6813384849</v>
      </c>
      <c r="F535" s="50" t="s">
        <v>541</v>
      </c>
      <c r="G535" s="25">
        <f t="shared" si="6"/>
        <v>-1.1037527593820151E-3</v>
      </c>
    </row>
    <row r="536" spans="1:7">
      <c r="A536" s="50">
        <v>215.79323282314289</v>
      </c>
      <c r="B536" s="50">
        <v>216.45369358780192</v>
      </c>
      <c r="C536" s="50">
        <v>214.14700972317192</v>
      </c>
      <c r="D536" s="50">
        <v>215.95095479679279</v>
      </c>
      <c r="E536" s="50">
        <v>2663345.8248017984</v>
      </c>
      <c r="F536" s="50" t="s">
        <v>542</v>
      </c>
      <c r="G536" s="25">
        <f t="shared" si="6"/>
        <v>-7.3036015885330485E-4</v>
      </c>
    </row>
    <row r="537" spans="1:7">
      <c r="A537" s="50">
        <v>216.53255457462686</v>
      </c>
      <c r="B537" s="50">
        <v>217.24230345605147</v>
      </c>
      <c r="C537" s="50">
        <v>215.32006690219316</v>
      </c>
      <c r="D537" s="50">
        <v>216.18753775726768</v>
      </c>
      <c r="E537" s="50">
        <v>2376721.9704722632</v>
      </c>
      <c r="F537" s="50" t="s">
        <v>543</v>
      </c>
      <c r="G537" s="25">
        <f t="shared" si="6"/>
        <v>1.5959144589849927E-3</v>
      </c>
    </row>
    <row r="538" spans="1:7">
      <c r="A538" s="50">
        <v>216.29597161415199</v>
      </c>
      <c r="B538" s="50">
        <v>216.61141556145182</v>
      </c>
      <c r="C538" s="50">
        <v>214.55117228064981</v>
      </c>
      <c r="D538" s="50">
        <v>215.87209380996785</v>
      </c>
      <c r="E538" s="50">
        <v>5261423.3818931673</v>
      </c>
      <c r="F538" s="50" t="s">
        <v>544</v>
      </c>
      <c r="G538" s="25">
        <f t="shared" si="6"/>
        <v>1.9635599799077141E-3</v>
      </c>
    </row>
    <row r="539" spans="1:7">
      <c r="A539" s="50">
        <v>214.92576196806837</v>
      </c>
      <c r="B539" s="50">
        <v>216.07910390038336</v>
      </c>
      <c r="C539" s="50">
        <v>213.67384380222214</v>
      </c>
      <c r="D539" s="50">
        <v>214.08786398305318</v>
      </c>
      <c r="E539" s="50">
        <v>2494937.0775275766</v>
      </c>
      <c r="F539" s="50" t="s">
        <v>545</v>
      </c>
      <c r="G539" s="25">
        <f t="shared" si="6"/>
        <v>3.9138042176996013E-3</v>
      </c>
    </row>
    <row r="540" spans="1:7">
      <c r="A540" s="50">
        <v>214.87647385130276</v>
      </c>
      <c r="B540" s="50">
        <v>214.97505008483398</v>
      </c>
      <c r="C540" s="50">
        <v>213.21546431630208</v>
      </c>
      <c r="D540" s="50">
        <v>214.33430456688117</v>
      </c>
      <c r="E540" s="50">
        <v>2463306.7353212754</v>
      </c>
      <c r="F540" s="50" t="s">
        <v>546</v>
      </c>
      <c r="G540" s="25">
        <f t="shared" si="6"/>
        <v>2.5295497401462974E-3</v>
      </c>
    </row>
    <row r="541" spans="1:7">
      <c r="A541" s="50">
        <v>213.87099626928455</v>
      </c>
      <c r="B541" s="50">
        <v>214.44273842376549</v>
      </c>
      <c r="C541" s="50">
        <v>210.21381800527715</v>
      </c>
      <c r="D541" s="50">
        <v>210.38139760228017</v>
      </c>
      <c r="E541" s="50">
        <v>2723308.5540343914</v>
      </c>
      <c r="F541" s="50" t="s">
        <v>547</v>
      </c>
      <c r="G541" s="25">
        <f t="shared" si="6"/>
        <v>1.6587011526567386E-2</v>
      </c>
    </row>
    <row r="542" spans="1:7">
      <c r="A542" s="50">
        <v>211.50516666453584</v>
      </c>
      <c r="B542" s="50">
        <v>213.23517956300833</v>
      </c>
      <c r="C542" s="50">
        <v>211.20450915226567</v>
      </c>
      <c r="D542" s="50">
        <v>211.93890209207311</v>
      </c>
      <c r="E542" s="50">
        <v>2654889.4254229744</v>
      </c>
      <c r="F542" s="50" t="s">
        <v>548</v>
      </c>
      <c r="G542" s="25">
        <f t="shared" si="6"/>
        <v>-2.0465116279070328E-3</v>
      </c>
    </row>
    <row r="543" spans="1:7">
      <c r="A543" s="50">
        <v>210.94328213340802</v>
      </c>
      <c r="B543" s="50">
        <v>212.4761425648181</v>
      </c>
      <c r="C543" s="50">
        <v>209.45478100708692</v>
      </c>
      <c r="D543" s="50">
        <v>209.45478100708692</v>
      </c>
      <c r="E543" s="50">
        <v>3071564.9112742478</v>
      </c>
      <c r="F543" s="50" t="s">
        <v>549</v>
      </c>
      <c r="G543" s="25">
        <f t="shared" si="6"/>
        <v>7.1065512048194002E-3</v>
      </c>
    </row>
    <row r="544" spans="1:7">
      <c r="A544" s="50">
        <v>207.88741889394089</v>
      </c>
      <c r="B544" s="50">
        <v>209.66179109750246</v>
      </c>
      <c r="C544" s="50">
        <v>206.12290431373248</v>
      </c>
      <c r="D544" s="50">
        <v>208.58731015201241</v>
      </c>
      <c r="E544" s="50">
        <v>2637727.0736126411</v>
      </c>
      <c r="F544" s="50" t="s">
        <v>550</v>
      </c>
      <c r="G544" s="25">
        <f t="shared" si="6"/>
        <v>-3.3553875236296271E-3</v>
      </c>
    </row>
    <row r="545" spans="1:7">
      <c r="A545" s="50">
        <v>209.46463863044008</v>
      </c>
      <c r="B545" s="50">
        <v>210.70669917293313</v>
      </c>
      <c r="C545" s="50">
        <v>207.28610386940062</v>
      </c>
      <c r="D545" s="50">
        <v>207.99585275082524</v>
      </c>
      <c r="E545" s="50">
        <v>3389960.115429285</v>
      </c>
      <c r="F545" s="50" t="s">
        <v>551</v>
      </c>
      <c r="G545" s="25">
        <f t="shared" si="6"/>
        <v>7.0616113744075282E-3</v>
      </c>
    </row>
    <row r="546" spans="1:7">
      <c r="A546" s="50">
        <v>209.53364199391189</v>
      </c>
      <c r="B546" s="50">
        <v>211.23901083400159</v>
      </c>
      <c r="C546" s="50">
        <v>208.85346598254665</v>
      </c>
      <c r="D546" s="50">
        <v>209.50406912385253</v>
      </c>
      <c r="E546" s="50">
        <v>2872423.6041174126</v>
      </c>
      <c r="F546" s="50" t="s">
        <v>552</v>
      </c>
      <c r="G546" s="25">
        <f t="shared" si="6"/>
        <v>1.4115654260571375E-4</v>
      </c>
    </row>
    <row r="547" spans="1:7">
      <c r="A547" s="50">
        <v>209.50406912385253</v>
      </c>
      <c r="B547" s="50">
        <v>210.0856689016866</v>
      </c>
      <c r="C547" s="50">
        <v>207.65083593346603</v>
      </c>
      <c r="D547" s="50">
        <v>208.45916104842183</v>
      </c>
      <c r="E547" s="50">
        <v>2682741.9807666629</v>
      </c>
      <c r="F547" s="50" t="s">
        <v>553</v>
      </c>
      <c r="G547" s="25">
        <f t="shared" si="6"/>
        <v>5.0125313283209127E-3</v>
      </c>
    </row>
    <row r="548" spans="1:7">
      <c r="A548" s="50">
        <v>207.89727651729405</v>
      </c>
      <c r="B548" s="50">
        <v>208.282709590401</v>
      </c>
      <c r="C548" s="50">
        <v>205.85112963788697</v>
      </c>
      <c r="D548" s="50">
        <v>208.1417455764514</v>
      </c>
      <c r="E548" s="50">
        <v>2810811.390073163</v>
      </c>
      <c r="F548" s="50" t="s">
        <v>554</v>
      </c>
      <c r="G548" s="25">
        <f t="shared" si="6"/>
        <v>-1.1745316081610557E-3</v>
      </c>
    </row>
    <row r="549" spans="1:7">
      <c r="A549" s="50">
        <v>206.68478884486029</v>
      </c>
      <c r="B549" s="50">
        <v>207.96627988076585</v>
      </c>
      <c r="C549" s="50">
        <v>204.65411843411766</v>
      </c>
      <c r="D549" s="50">
        <v>207.22695812928188</v>
      </c>
      <c r="E549" s="50">
        <v>3430571.3242023718</v>
      </c>
      <c r="F549" s="50" t="s">
        <v>555</v>
      </c>
      <c r="G549" s="25">
        <f t="shared" si="6"/>
        <v>-2.6163067262867656E-3</v>
      </c>
    </row>
    <row r="550" spans="1:7">
      <c r="A550" s="50">
        <v>209.23791329331829</v>
      </c>
      <c r="B550" s="50">
        <v>210.96299738011425</v>
      </c>
      <c r="C550" s="50">
        <v>208.59716777536553</v>
      </c>
      <c r="D550" s="50">
        <v>209.22805566996519</v>
      </c>
      <c r="E550" s="50">
        <v>4099798.5571451099</v>
      </c>
      <c r="F550" s="50" t="s">
        <v>556</v>
      </c>
      <c r="G550" s="25">
        <f t="shared" si="6"/>
        <v>4.7114252061053463E-5</v>
      </c>
    </row>
    <row r="551" spans="1:7">
      <c r="A551" s="50">
        <v>209.44492338373382</v>
      </c>
      <c r="B551" s="50">
        <v>211.19958034058911</v>
      </c>
      <c r="C551" s="50">
        <v>207.41425297299116</v>
      </c>
      <c r="D551" s="50">
        <v>208.53802203524683</v>
      </c>
      <c r="E551" s="50">
        <v>4854418.5840551285</v>
      </c>
      <c r="F551" s="50" t="s">
        <v>557</v>
      </c>
      <c r="G551" s="25">
        <f t="shared" si="6"/>
        <v>4.3488536988891546E-3</v>
      </c>
    </row>
    <row r="552" spans="1:7">
      <c r="A552" s="50">
        <v>208.20286284124074</v>
      </c>
      <c r="B552" s="50">
        <v>208.33101194483129</v>
      </c>
      <c r="C552" s="50">
        <v>204.98927762812372</v>
      </c>
      <c r="D552" s="50">
        <v>205.28500632871732</v>
      </c>
      <c r="E552" s="50">
        <v>4196395.8774006711</v>
      </c>
      <c r="F552" s="50" t="s">
        <v>558</v>
      </c>
      <c r="G552" s="25">
        <f t="shared" si="6"/>
        <v>1.4213685474189663E-2</v>
      </c>
    </row>
    <row r="553" spans="1:7">
      <c r="A553" s="50">
        <v>206.10318906702625</v>
      </c>
      <c r="B553" s="50">
        <v>206.17219243049809</v>
      </c>
      <c r="C553" s="50">
        <v>202.67273614014059</v>
      </c>
      <c r="D553" s="50">
        <v>204.13166439640233</v>
      </c>
      <c r="E553" s="50">
        <v>3319500.9413343249</v>
      </c>
      <c r="F553" s="50" t="s">
        <v>559</v>
      </c>
      <c r="G553" s="25">
        <f t="shared" si="6"/>
        <v>9.6581031485416524E-3</v>
      </c>
    </row>
    <row r="554" spans="1:7">
      <c r="A554" s="50">
        <v>202.7220242569062</v>
      </c>
      <c r="B554" s="50">
        <v>204.13166439640233</v>
      </c>
      <c r="C554" s="50">
        <v>201.09551640364145</v>
      </c>
      <c r="D554" s="50">
        <v>202.51501416649069</v>
      </c>
      <c r="E554" s="50">
        <v>3302299.0262351511</v>
      </c>
      <c r="F554" s="50" t="s">
        <v>560</v>
      </c>
      <c r="G554" s="25">
        <f t="shared" si="6"/>
        <v>1.0221962616823177E-3</v>
      </c>
    </row>
    <row r="555" spans="1:7">
      <c r="A555" s="50">
        <v>203.00789533414667</v>
      </c>
      <c r="B555" s="50">
        <v>203.77678995568999</v>
      </c>
      <c r="C555" s="50">
        <v>200.52377424916048</v>
      </c>
      <c r="D555" s="50">
        <v>202.5643022832563</v>
      </c>
      <c r="E555" s="50">
        <v>3144159.4885232891</v>
      </c>
      <c r="F555" s="50" t="s">
        <v>561</v>
      </c>
      <c r="G555" s="25">
        <f t="shared" si="6"/>
        <v>2.1898875857704336E-3</v>
      </c>
    </row>
    <row r="556" spans="1:7">
      <c r="A556" s="50">
        <v>203.47120363174329</v>
      </c>
      <c r="B556" s="50">
        <v>204.02323053951798</v>
      </c>
      <c r="C556" s="50">
        <v>200.10975406832949</v>
      </c>
      <c r="D556" s="50">
        <v>200.49420137910113</v>
      </c>
      <c r="E556" s="50">
        <v>3442194.8155750399</v>
      </c>
      <c r="F556" s="50" t="s">
        <v>562</v>
      </c>
      <c r="G556" s="25">
        <f t="shared" si="6"/>
        <v>1.4848320959732542E-2</v>
      </c>
    </row>
    <row r="557" spans="1:7">
      <c r="A557" s="50">
        <v>200.3266217820981</v>
      </c>
      <c r="B557" s="50">
        <v>200.57306236592609</v>
      </c>
      <c r="C557" s="50">
        <v>197.03417558215614</v>
      </c>
      <c r="D557" s="50">
        <v>197.50734150310589</v>
      </c>
      <c r="E557" s="50">
        <v>3068981.1241799742</v>
      </c>
      <c r="F557" s="50" t="s">
        <v>563</v>
      </c>
      <c r="G557" s="25">
        <f t="shared" si="6"/>
        <v>1.4274306248752255E-2</v>
      </c>
    </row>
    <row r="558" spans="1:7">
      <c r="A558" s="50">
        <v>197.88193119052445</v>
      </c>
      <c r="B558" s="50">
        <v>202.39672268625324</v>
      </c>
      <c r="C558" s="50">
        <v>197.80307020369946</v>
      </c>
      <c r="D558" s="50">
        <v>199.51829666714229</v>
      </c>
      <c r="E558" s="50">
        <v>3545728.8991406295</v>
      </c>
      <c r="F558" s="50" t="s">
        <v>564</v>
      </c>
      <c r="G558" s="25">
        <f t="shared" si="6"/>
        <v>-8.2015810276678813E-3</v>
      </c>
    </row>
    <row r="559" spans="1:7">
      <c r="A559" s="50">
        <v>201.24338075393825</v>
      </c>
      <c r="B559" s="50">
        <v>201.52925183117873</v>
      </c>
      <c r="C559" s="50">
        <v>197.55662961987147</v>
      </c>
      <c r="D559" s="50">
        <v>197.64534823004956</v>
      </c>
      <c r="E559" s="50">
        <v>4346467.5475189891</v>
      </c>
      <c r="F559" s="50" t="s">
        <v>565</v>
      </c>
      <c r="G559" s="25">
        <f t="shared" si="6"/>
        <v>1.8204488778054806E-2</v>
      </c>
    </row>
    <row r="560" spans="1:7">
      <c r="A560" s="50">
        <v>198.00022267076187</v>
      </c>
      <c r="B560" s="50">
        <v>200.0111778347983</v>
      </c>
      <c r="C560" s="50">
        <v>196.23570809055343</v>
      </c>
      <c r="D560" s="50">
        <v>199.03527312283944</v>
      </c>
      <c r="E560" s="50">
        <v>5006796.0838025324</v>
      </c>
      <c r="F560" s="50" t="s">
        <v>566</v>
      </c>
      <c r="G560" s="25">
        <f t="shared" si="6"/>
        <v>-5.2003367837155645E-3</v>
      </c>
    </row>
    <row r="561" spans="1:7">
      <c r="A561" s="50">
        <v>198.56210720188969</v>
      </c>
      <c r="B561" s="50">
        <v>201.85455340183168</v>
      </c>
      <c r="C561" s="50">
        <v>189.52266658707893</v>
      </c>
      <c r="D561" s="50">
        <v>189.79868004096627</v>
      </c>
      <c r="E561" s="50">
        <v>13751186.7865291</v>
      </c>
      <c r="F561" s="50" t="s">
        <v>567</v>
      </c>
      <c r="G561" s="25">
        <f t="shared" si="6"/>
        <v>4.617222395346432E-2</v>
      </c>
    </row>
    <row r="562" spans="1:7">
      <c r="A562" s="50">
        <v>185.39232240212181</v>
      </c>
      <c r="B562" s="50">
        <v>185.64862060930292</v>
      </c>
      <c r="C562" s="50">
        <v>183.77567217221019</v>
      </c>
      <c r="D562" s="50">
        <v>183.78552979556329</v>
      </c>
      <c r="E562" s="50">
        <v>3522663.5017466377</v>
      </c>
      <c r="F562" s="50" t="s">
        <v>568</v>
      </c>
      <c r="G562" s="25">
        <f t="shared" si="6"/>
        <v>8.7427590645785536E-3</v>
      </c>
    </row>
    <row r="563" spans="1:7">
      <c r="A563" s="50">
        <v>183.17435714766987</v>
      </c>
      <c r="B563" s="50">
        <v>185.73733921948099</v>
      </c>
      <c r="C563" s="50">
        <v>183.08070972581524</v>
      </c>
      <c r="D563" s="50">
        <v>184.42627531351607</v>
      </c>
      <c r="E563" s="50">
        <v>3096572.9675946371</v>
      </c>
      <c r="F563" s="50" t="s">
        <v>569</v>
      </c>
      <c r="G563" s="25">
        <f t="shared" si="6"/>
        <v>-6.7881768132984632E-3</v>
      </c>
    </row>
    <row r="564" spans="1:7">
      <c r="A564" s="50">
        <v>182.82934033031069</v>
      </c>
      <c r="B564" s="50">
        <v>183.37150961473228</v>
      </c>
      <c r="C564" s="50">
        <v>182.17873718900478</v>
      </c>
      <c r="D564" s="50">
        <v>183.03635042072619</v>
      </c>
      <c r="E564" s="50">
        <v>2361192.8723807284</v>
      </c>
      <c r="F564" s="50" t="s">
        <v>570</v>
      </c>
      <c r="G564" s="25">
        <f t="shared" si="6"/>
        <v>-1.1309780267125813E-3</v>
      </c>
    </row>
    <row r="565" spans="1:7">
      <c r="A565" s="50">
        <v>182.37588965606716</v>
      </c>
      <c r="B565" s="50">
        <v>184.11083136621625</v>
      </c>
      <c r="C565" s="50">
        <v>181.43941543752081</v>
      </c>
      <c r="D565" s="50">
        <v>181.63656790458319</v>
      </c>
      <c r="E565" s="50">
        <v>3190734.6094782506</v>
      </c>
      <c r="F565" s="50" t="s">
        <v>571</v>
      </c>
      <c r="G565" s="25">
        <f t="shared" si="6"/>
        <v>4.0703353956366151E-3</v>
      </c>
    </row>
    <row r="566" spans="1:7">
      <c r="A566" s="50">
        <v>180.56208695909314</v>
      </c>
      <c r="B566" s="50">
        <v>180.76909704950867</v>
      </c>
      <c r="C566" s="50">
        <v>176.85562057832016</v>
      </c>
      <c r="D566" s="50">
        <v>178.42298269146619</v>
      </c>
      <c r="E566" s="50">
        <v>3437821.5504932129</v>
      </c>
      <c r="F566" s="50" t="s">
        <v>572</v>
      </c>
      <c r="G566" s="25">
        <f t="shared" si="6"/>
        <v>1.1988950276242916E-2</v>
      </c>
    </row>
    <row r="567" spans="1:7">
      <c r="A567" s="50">
        <v>177.23021026573869</v>
      </c>
      <c r="B567" s="50">
        <v>177.62451519986348</v>
      </c>
      <c r="C567" s="50">
        <v>175.27840084182102</v>
      </c>
      <c r="D567" s="50">
        <v>177.53579658968542</v>
      </c>
      <c r="E567" s="50">
        <v>3261659.4130495633</v>
      </c>
      <c r="F567" s="50" t="s">
        <v>573</v>
      </c>
      <c r="G567" s="25">
        <f t="shared" si="6"/>
        <v>-1.7212659633537575E-3</v>
      </c>
    </row>
    <row r="568" spans="1:7">
      <c r="A568" s="50">
        <v>178.42298269146619</v>
      </c>
      <c r="B568" s="50">
        <v>179.01444009265336</v>
      </c>
      <c r="C568" s="50">
        <v>176.45145802084224</v>
      </c>
      <c r="D568" s="50">
        <v>176.89505107173264</v>
      </c>
      <c r="E568" s="50">
        <v>2412135.1717576948</v>
      </c>
      <c r="F568" s="50" t="s">
        <v>574</v>
      </c>
      <c r="G568" s="25">
        <f t="shared" si="6"/>
        <v>8.6375034828642949E-3</v>
      </c>
    </row>
    <row r="569" spans="1:7">
      <c r="A569" s="50">
        <v>178.39340982140683</v>
      </c>
      <c r="B569" s="50">
        <v>178.57084704176299</v>
      </c>
      <c r="C569" s="50">
        <v>176.27402080048608</v>
      </c>
      <c r="D569" s="50">
        <v>178.43284031481929</v>
      </c>
      <c r="E569" s="50">
        <v>4202766.5813472895</v>
      </c>
      <c r="F569" s="50" t="s">
        <v>575</v>
      </c>
      <c r="G569" s="25">
        <f t="shared" si="6"/>
        <v>-2.2098226617295325E-4</v>
      </c>
    </row>
    <row r="570" spans="1:7">
      <c r="A570" s="50">
        <v>179.44817552019063</v>
      </c>
      <c r="B570" s="50">
        <v>183.75497116316862</v>
      </c>
      <c r="C570" s="50">
        <v>179.35945691001254</v>
      </c>
      <c r="D570" s="50">
        <v>183.18421477102299</v>
      </c>
      <c r="E570" s="50">
        <v>3414910.3484813687</v>
      </c>
      <c r="F570" s="50" t="s">
        <v>576</v>
      </c>
      <c r="G570" s="25">
        <f t="shared" si="6"/>
        <v>-2.039498466340206E-2</v>
      </c>
    </row>
    <row r="571" spans="1:7">
      <c r="A571" s="50">
        <v>182.39560490277341</v>
      </c>
      <c r="B571" s="50">
        <v>182.72090647342637</v>
      </c>
      <c r="C571" s="50">
        <v>179.44817552019063</v>
      </c>
      <c r="D571" s="50">
        <v>182.37588965606716</v>
      </c>
      <c r="E571" s="50">
        <v>3543789.2835441432</v>
      </c>
      <c r="F571" s="50" t="s">
        <v>577</v>
      </c>
      <c r="G571" s="25">
        <f t="shared" si="6"/>
        <v>1.0810226474244899E-4</v>
      </c>
    </row>
    <row r="572" spans="1:7">
      <c r="A572" s="50">
        <v>182.33645916265471</v>
      </c>
      <c r="B572" s="50">
        <v>183.45037060155721</v>
      </c>
      <c r="C572" s="50">
        <v>181.05762968505448</v>
      </c>
      <c r="D572" s="50">
        <v>182.39560490277341</v>
      </c>
      <c r="E572" s="50">
        <v>2797680.4359513428</v>
      </c>
      <c r="F572" s="50" t="s">
        <v>578</v>
      </c>
      <c r="G572" s="25">
        <f t="shared" si="6"/>
        <v>-3.2427173971782963E-4</v>
      </c>
    </row>
    <row r="573" spans="1:7">
      <c r="A573" s="50">
        <v>184.11083136621625</v>
      </c>
      <c r="B573" s="50">
        <v>185.31346141529684</v>
      </c>
      <c r="C573" s="50">
        <v>183.68724929073269</v>
      </c>
      <c r="D573" s="50">
        <v>185.15573944164694</v>
      </c>
      <c r="E573" s="50">
        <v>2085224.7305122253</v>
      </c>
      <c r="F573" s="50" t="s">
        <v>579</v>
      </c>
      <c r="G573" s="25">
        <f t="shared" si="6"/>
        <v>-5.6434009476654667E-3</v>
      </c>
    </row>
    <row r="574" spans="1:7">
      <c r="A574" s="50">
        <v>186.51609146437744</v>
      </c>
      <c r="B574" s="50">
        <v>186.63438294461488</v>
      </c>
      <c r="C574" s="50">
        <v>183.72638405544458</v>
      </c>
      <c r="D574" s="50">
        <v>185.54018675241861</v>
      </c>
      <c r="E574" s="50">
        <v>3491877.1763689332</v>
      </c>
      <c r="F574" s="50" t="s">
        <v>580</v>
      </c>
      <c r="G574" s="25">
        <f t="shared" si="6"/>
        <v>5.2598023589416343E-3</v>
      </c>
    </row>
    <row r="575" spans="1:7">
      <c r="A575" s="50">
        <v>186.36822711408064</v>
      </c>
      <c r="B575" s="50">
        <v>186.81182016497104</v>
      </c>
      <c r="C575" s="50">
        <v>183.86508081602298</v>
      </c>
      <c r="D575" s="50">
        <v>184.16011948298183</v>
      </c>
      <c r="E575" s="50">
        <v>2275671.2441138905</v>
      </c>
      <c r="F575" s="50" t="s">
        <v>581</v>
      </c>
      <c r="G575" s="25">
        <f t="shared" si="6"/>
        <v>1.1990150947436051E-2</v>
      </c>
    </row>
    <row r="576" spans="1:7">
      <c r="A576" s="50">
        <v>184.47556343028165</v>
      </c>
      <c r="B576" s="50">
        <v>185.88520356977779</v>
      </c>
      <c r="C576" s="50">
        <v>183.11521140755116</v>
      </c>
      <c r="D576" s="50">
        <v>183.36165199137915</v>
      </c>
      <c r="E576" s="50">
        <v>2817653.8101559565</v>
      </c>
      <c r="F576" s="50" t="s">
        <v>582</v>
      </c>
      <c r="G576" s="25">
        <f t="shared" si="6"/>
        <v>6.0749422074080073E-3</v>
      </c>
    </row>
    <row r="577" spans="1:7">
      <c r="A577" s="50">
        <v>183.07578091413873</v>
      </c>
      <c r="B577" s="50">
        <v>184.22540877840206</v>
      </c>
      <c r="C577" s="50">
        <v>182.35976909816549</v>
      </c>
      <c r="D577" s="50">
        <v>183.42951256468129</v>
      </c>
      <c r="E577" s="50">
        <v>2768726.2886931305</v>
      </c>
      <c r="F577" s="50" t="s">
        <v>583</v>
      </c>
      <c r="G577" s="25">
        <f t="shared" si="6"/>
        <v>-1.928433683308306E-3</v>
      </c>
    </row>
    <row r="578" spans="1:7">
      <c r="A578" s="50">
        <v>185.03113087130455</v>
      </c>
      <c r="B578" s="50">
        <v>185.44873073652843</v>
      </c>
      <c r="C578" s="50">
        <v>182.83013393459527</v>
      </c>
      <c r="D578" s="50">
        <v>183.24282086022828</v>
      </c>
      <c r="E578" s="50">
        <v>2276331.6733601629</v>
      </c>
      <c r="F578" s="50" t="s">
        <v>584</v>
      </c>
      <c r="G578" s="25">
        <f t="shared" si="6"/>
        <v>9.7592364201832815E-3</v>
      </c>
    </row>
    <row r="579" spans="1:7">
      <c r="A579" s="50">
        <v>184.07802059067598</v>
      </c>
      <c r="B579" s="50">
        <v>185.02130499212282</v>
      </c>
      <c r="C579" s="50">
        <v>183.28212437695524</v>
      </c>
      <c r="D579" s="50">
        <v>184.48088163712723</v>
      </c>
      <c r="E579" s="50">
        <v>1948894.3071466922</v>
      </c>
      <c r="F579" s="50" t="s">
        <v>585</v>
      </c>
      <c r="G579" s="25">
        <f t="shared" si="6"/>
        <v>-2.183754993342224E-3</v>
      </c>
    </row>
    <row r="580" spans="1:7">
      <c r="A580" s="50">
        <v>184.53001103303595</v>
      </c>
      <c r="B580" s="50">
        <v>184.79530977094285</v>
      </c>
      <c r="C580" s="50">
        <v>183.74394069849691</v>
      </c>
      <c r="D580" s="50">
        <v>183.86185124867777</v>
      </c>
      <c r="E580" s="50">
        <v>1512444.8128387907</v>
      </c>
      <c r="F580" s="50" t="s">
        <v>586</v>
      </c>
      <c r="G580" s="25">
        <f t="shared" si="6"/>
        <v>3.6340316374519066E-3</v>
      </c>
    </row>
    <row r="581" spans="1:7">
      <c r="A581" s="50">
        <v>183.80289597358734</v>
      </c>
      <c r="B581" s="50">
        <v>183.8716771278595</v>
      </c>
      <c r="C581" s="50">
        <v>182.38796937141709</v>
      </c>
      <c r="D581" s="50">
        <v>182.89891508886743</v>
      </c>
      <c r="E581" s="50">
        <v>1857724.8572245971</v>
      </c>
      <c r="F581" s="50" t="s">
        <v>587</v>
      </c>
      <c r="G581" s="25">
        <f t="shared" si="6"/>
        <v>4.942516385516571E-3</v>
      </c>
    </row>
    <row r="582" spans="1:7">
      <c r="A582" s="50">
        <v>182.72204926359618</v>
      </c>
      <c r="B582" s="50">
        <v>182.93821860559441</v>
      </c>
      <c r="C582" s="50">
        <v>181.90650129151192</v>
      </c>
      <c r="D582" s="50">
        <v>182.72204926359618</v>
      </c>
      <c r="E582" s="50">
        <v>1251821.8240318911</v>
      </c>
      <c r="F582" s="50" t="s">
        <v>588</v>
      </c>
      <c r="G582" s="25">
        <f t="shared" si="6"/>
        <v>0</v>
      </c>
    </row>
    <row r="583" spans="1:7">
      <c r="A583" s="50">
        <v>182.33883997550839</v>
      </c>
      <c r="B583" s="50">
        <v>183.12481205125562</v>
      </c>
      <c r="C583" s="50">
        <v>181.41520733242504</v>
      </c>
      <c r="D583" s="50">
        <v>182.40762112978055</v>
      </c>
      <c r="E583" s="50">
        <v>2831913.5097566601</v>
      </c>
      <c r="F583" s="50" t="s">
        <v>589</v>
      </c>
      <c r="G583" s="25">
        <f t="shared" si="6"/>
        <v>-3.7707390648566985E-4</v>
      </c>
    </row>
    <row r="584" spans="1:7">
      <c r="A584" s="50">
        <v>181.57242139933282</v>
      </c>
      <c r="B584" s="50">
        <v>181.98510832496584</v>
      </c>
      <c r="C584" s="50">
        <v>178.66396116153848</v>
      </c>
      <c r="D584" s="50">
        <v>178.66396116153848</v>
      </c>
      <c r="E584" s="50">
        <v>3558835.7390952008</v>
      </c>
      <c r="F584" s="50" t="s">
        <v>590</v>
      </c>
      <c r="G584" s="25">
        <f t="shared" si="6"/>
        <v>1.6278941868778318E-2</v>
      </c>
    </row>
    <row r="585" spans="1:7">
      <c r="A585" s="50">
        <v>177.5045074180934</v>
      </c>
      <c r="B585" s="50">
        <v>182.41744700896231</v>
      </c>
      <c r="C585" s="50">
        <v>177.39642274709428</v>
      </c>
      <c r="D585" s="50">
        <v>182.12267063351015</v>
      </c>
      <c r="E585" s="50">
        <v>4091943.2507096035</v>
      </c>
      <c r="F585" s="50" t="s">
        <v>591</v>
      </c>
      <c r="G585" s="25">
        <f t="shared" si="6"/>
        <v>-2.5357431885621784E-2</v>
      </c>
    </row>
    <row r="586" spans="1:7">
      <c r="A586" s="50">
        <v>182.51570580077967</v>
      </c>
      <c r="B586" s="50">
        <v>182.53535755914316</v>
      </c>
      <c r="C586" s="50">
        <v>180.00028073025479</v>
      </c>
      <c r="D586" s="50">
        <v>180.01993248861828</v>
      </c>
      <c r="E586" s="50">
        <v>4048785.789462965</v>
      </c>
      <c r="F586" s="50" t="s">
        <v>592</v>
      </c>
      <c r="G586" s="25">
        <f t="shared" ref="G586:G649" si="7">A586/D586-1</f>
        <v>1.3863872059385329E-2</v>
      </c>
    </row>
    <row r="587" spans="1:7">
      <c r="A587" s="50">
        <v>179.57776792544007</v>
      </c>
      <c r="B587" s="50">
        <v>179.65637495889399</v>
      </c>
      <c r="C587" s="50">
        <v>177.87789082699945</v>
      </c>
      <c r="D587" s="50">
        <v>178.22179659836024</v>
      </c>
      <c r="E587" s="50">
        <v>2864262.7778598922</v>
      </c>
      <c r="F587" s="50" t="s">
        <v>593</v>
      </c>
      <c r="G587" s="25">
        <f t="shared" si="7"/>
        <v>7.6083360899770192E-3</v>
      </c>
    </row>
    <row r="588" spans="1:7">
      <c r="A588" s="50">
        <v>177.36694510954905</v>
      </c>
      <c r="B588" s="50">
        <v>178.0252790147255</v>
      </c>
      <c r="C588" s="50">
        <v>174.40748855880145</v>
      </c>
      <c r="D588" s="50">
        <v>174.44865899257294</v>
      </c>
      <c r="E588" s="50">
        <v>7265908.5949979378</v>
      </c>
      <c r="F588" s="50" t="s">
        <v>594</v>
      </c>
      <c r="G588" s="25">
        <f t="shared" si="7"/>
        <v>1.6728624535315761E-2</v>
      </c>
    </row>
    <row r="589" spans="1:7">
      <c r="A589" s="50">
        <v>175.74567504456235</v>
      </c>
      <c r="B589" s="50">
        <v>176.76756647946306</v>
      </c>
      <c r="C589" s="50">
        <v>172.54243843131579</v>
      </c>
      <c r="D589" s="50">
        <v>172.68000073986013</v>
      </c>
      <c r="E589" s="50">
        <v>4628755.2654353054</v>
      </c>
      <c r="F589" s="50" t="s">
        <v>595</v>
      </c>
      <c r="G589" s="25">
        <f t="shared" si="7"/>
        <v>1.7753499487879854E-2</v>
      </c>
    </row>
    <row r="590" spans="1:7">
      <c r="A590" s="50">
        <v>171.52054699641508</v>
      </c>
      <c r="B590" s="50">
        <v>171.61880578823244</v>
      </c>
      <c r="C590" s="50">
        <v>167.18242133767785</v>
      </c>
      <c r="D590" s="50">
        <v>168.22887747053292</v>
      </c>
      <c r="E590" s="50">
        <v>3264527.2149913507</v>
      </c>
      <c r="F590" s="50" t="s">
        <v>596</v>
      </c>
      <c r="G590" s="25">
        <f t="shared" si="7"/>
        <v>1.9566614099643775E-2</v>
      </c>
    </row>
    <row r="591" spans="1:7">
      <c r="A591" s="50">
        <v>168.06183752444335</v>
      </c>
      <c r="B591" s="50">
        <v>168.10114104117034</v>
      </c>
      <c r="C591" s="50">
        <v>164.84877503201511</v>
      </c>
      <c r="D591" s="50">
        <v>165.45797954128284</v>
      </c>
      <c r="E591" s="50">
        <v>2998597.8307937053</v>
      </c>
      <c r="F591" s="50" t="s">
        <v>597</v>
      </c>
      <c r="G591" s="25">
        <f t="shared" si="7"/>
        <v>1.5737276560365832E-2</v>
      </c>
    </row>
    <row r="592" spans="1:7">
      <c r="A592" s="50">
        <v>165.45797954128284</v>
      </c>
      <c r="B592" s="50">
        <v>166.56280139647745</v>
      </c>
      <c r="C592" s="50">
        <v>164.93720794465077</v>
      </c>
      <c r="D592" s="50">
        <v>165.4678054204646</v>
      </c>
      <c r="E592" s="50">
        <v>2861374.4866978405</v>
      </c>
      <c r="F592" s="50" t="s">
        <v>598</v>
      </c>
      <c r="G592" s="25">
        <f t="shared" si="7"/>
        <v>-5.9382422803011536E-5</v>
      </c>
    </row>
    <row r="593" spans="1:7">
      <c r="A593" s="50">
        <v>165.4972830580098</v>
      </c>
      <c r="B593" s="50">
        <v>166.1881406232778</v>
      </c>
      <c r="C593" s="50">
        <v>164.65225744838034</v>
      </c>
      <c r="D593" s="50">
        <v>165.40885014537417</v>
      </c>
      <c r="E593" s="50">
        <v>2728847.9233323731</v>
      </c>
      <c r="F593" s="50" t="s">
        <v>599</v>
      </c>
      <c r="G593" s="25">
        <f t="shared" si="7"/>
        <v>5.3463229179029348E-4</v>
      </c>
    </row>
    <row r="594" spans="1:7">
      <c r="A594" s="50">
        <v>165.68397476246284</v>
      </c>
      <c r="B594" s="50">
        <v>166.2735275133671</v>
      </c>
      <c r="C594" s="50">
        <v>164.81929739446991</v>
      </c>
      <c r="D594" s="50">
        <v>165.52676069555503</v>
      </c>
      <c r="E594" s="50">
        <v>2846667.4058018546</v>
      </c>
      <c r="F594" s="50" t="s">
        <v>600</v>
      </c>
      <c r="G594" s="25">
        <f t="shared" si="7"/>
        <v>9.4978036329096405E-4</v>
      </c>
    </row>
    <row r="595" spans="1:7">
      <c r="A595" s="50">
        <v>164.59330217328991</v>
      </c>
      <c r="B595" s="50">
        <v>169.37850533479622</v>
      </c>
      <c r="C595" s="50">
        <v>164.26413522070172</v>
      </c>
      <c r="D595" s="50">
        <v>168.73982318798326</v>
      </c>
      <c r="E595" s="50">
        <v>3959624.3023536704</v>
      </c>
      <c r="F595" s="50" t="s">
        <v>601</v>
      </c>
      <c r="G595" s="25">
        <f t="shared" si="7"/>
        <v>-2.4573458335759635E-2</v>
      </c>
    </row>
    <row r="596" spans="1:7">
      <c r="A596" s="50">
        <v>167.70810587390082</v>
      </c>
      <c r="B596" s="50">
        <v>169.7027593477936</v>
      </c>
      <c r="C596" s="50">
        <v>163.04081326257537</v>
      </c>
      <c r="D596" s="50">
        <v>169.10338071770758</v>
      </c>
      <c r="E596" s="50">
        <v>6566825.0959084313</v>
      </c>
      <c r="F596" s="50" t="s">
        <v>602</v>
      </c>
      <c r="G596" s="25">
        <f t="shared" si="7"/>
        <v>-8.2510168506682025E-3</v>
      </c>
    </row>
    <row r="597" spans="1:7">
      <c r="A597" s="50">
        <v>170.23335682360741</v>
      </c>
      <c r="B597" s="50">
        <v>172.25748793504542</v>
      </c>
      <c r="C597" s="50">
        <v>169.65362995188488</v>
      </c>
      <c r="D597" s="50">
        <v>169.85014753551965</v>
      </c>
      <c r="E597" s="50">
        <v>3695317.1648481707</v>
      </c>
      <c r="F597" s="50" t="s">
        <v>603</v>
      </c>
      <c r="G597" s="25">
        <f t="shared" si="7"/>
        <v>2.2561610551889988E-3</v>
      </c>
    </row>
    <row r="598" spans="1:7">
      <c r="A598" s="50">
        <v>170.73447666187604</v>
      </c>
      <c r="B598" s="50">
        <v>171.29946471482597</v>
      </c>
      <c r="C598" s="50">
        <v>167.3445483441765</v>
      </c>
      <c r="D598" s="50">
        <v>167.69827999471906</v>
      </c>
      <c r="E598" s="50">
        <v>3472682.6341828848</v>
      </c>
      <c r="F598" s="50" t="s">
        <v>604</v>
      </c>
      <c r="G598" s="25">
        <f t="shared" si="7"/>
        <v>1.8105115134469996E-2</v>
      </c>
    </row>
    <row r="599" spans="1:7">
      <c r="A599" s="50">
        <v>167.79653878653644</v>
      </c>
      <c r="B599" s="50">
        <v>168.1846610142151</v>
      </c>
      <c r="C599" s="50">
        <v>164.61295393165341</v>
      </c>
      <c r="D599" s="50">
        <v>165.07477025319508</v>
      </c>
      <c r="E599" s="50">
        <v>4328512.4123089314</v>
      </c>
      <c r="F599" s="50" t="s">
        <v>605</v>
      </c>
      <c r="G599" s="25">
        <f t="shared" si="7"/>
        <v>1.6488095238095246E-2</v>
      </c>
    </row>
    <row r="600" spans="1:7">
      <c r="A600" s="50">
        <v>164.51469513983602</v>
      </c>
      <c r="B600" s="50">
        <v>165.7822335542802</v>
      </c>
      <c r="C600" s="50">
        <v>163.50262958411705</v>
      </c>
      <c r="D600" s="50">
        <v>163.50262958411705</v>
      </c>
      <c r="E600" s="50">
        <v>2768369.0687502553</v>
      </c>
      <c r="F600" s="50" t="s">
        <v>606</v>
      </c>
      <c r="G600" s="25">
        <f t="shared" si="7"/>
        <v>6.1899038461536993E-3</v>
      </c>
    </row>
    <row r="601" spans="1:7">
      <c r="A601" s="50">
        <v>162.77551452466844</v>
      </c>
      <c r="B601" s="50">
        <v>163.08994265848403</v>
      </c>
      <c r="C601" s="50">
        <v>160.76120929241219</v>
      </c>
      <c r="D601" s="50">
        <v>161.06581154704605</v>
      </c>
      <c r="E601" s="50">
        <v>2155356.2392016323</v>
      </c>
      <c r="F601" s="50" t="s">
        <v>607</v>
      </c>
      <c r="G601" s="25">
        <f t="shared" si="7"/>
        <v>1.0614934114202113E-2</v>
      </c>
    </row>
    <row r="602" spans="1:7">
      <c r="A602" s="50">
        <v>161.18372209722691</v>
      </c>
      <c r="B602" s="50">
        <v>161.65045135835945</v>
      </c>
      <c r="C602" s="50">
        <v>160.47625879614179</v>
      </c>
      <c r="D602" s="50">
        <v>160.90859748013824</v>
      </c>
      <c r="E602" s="50">
        <v>2184532.25436502</v>
      </c>
      <c r="F602" s="50" t="s">
        <v>608</v>
      </c>
      <c r="G602" s="25">
        <f t="shared" si="7"/>
        <v>1.7098192476796559E-3</v>
      </c>
    </row>
    <row r="603" spans="1:7">
      <c r="A603" s="50">
        <v>161.55710550613293</v>
      </c>
      <c r="B603" s="50">
        <v>162.34317584067196</v>
      </c>
      <c r="C603" s="50">
        <v>161.11494094295475</v>
      </c>
      <c r="D603" s="50">
        <v>161.69466781467727</v>
      </c>
      <c r="E603" s="50">
        <v>967574.48612537759</v>
      </c>
      <c r="F603" s="50" t="s">
        <v>609</v>
      </c>
      <c r="G603" s="25">
        <f t="shared" si="7"/>
        <v>-8.5075352455044051E-4</v>
      </c>
    </row>
    <row r="604" spans="1:7">
      <c r="A604" s="50">
        <v>160.93807511768347</v>
      </c>
      <c r="B604" s="50">
        <v>161.80766542526726</v>
      </c>
      <c r="C604" s="50">
        <v>160.01444247460012</v>
      </c>
      <c r="D604" s="50">
        <v>160.43695527941483</v>
      </c>
      <c r="E604" s="50">
        <v>2573145.8256673152</v>
      </c>
      <c r="F604" s="50" t="s">
        <v>610</v>
      </c>
      <c r="G604" s="25">
        <f t="shared" si="7"/>
        <v>3.1234688878001293E-3</v>
      </c>
    </row>
    <row r="605" spans="1:7">
      <c r="A605" s="50">
        <v>159.46419324042279</v>
      </c>
      <c r="B605" s="50">
        <v>161.26232913068083</v>
      </c>
      <c r="C605" s="50">
        <v>158.90903106665459</v>
      </c>
      <c r="D605" s="50">
        <v>160.80051280913915</v>
      </c>
      <c r="E605" s="50">
        <v>2808661.6464094464</v>
      </c>
      <c r="F605" s="50" t="s">
        <v>611</v>
      </c>
      <c r="G605" s="25">
        <f t="shared" si="7"/>
        <v>-8.3104185762299387E-3</v>
      </c>
    </row>
    <row r="606" spans="1:7">
      <c r="A606" s="50">
        <v>160.99703039277389</v>
      </c>
      <c r="B606" s="50">
        <v>161.78310072731293</v>
      </c>
      <c r="C606" s="50">
        <v>159.92600956196446</v>
      </c>
      <c r="D606" s="50">
        <v>160.07339774969054</v>
      </c>
      <c r="E606" s="50">
        <v>3300763.1581995422</v>
      </c>
      <c r="F606" s="50" t="s">
        <v>612</v>
      </c>
      <c r="G606" s="25">
        <f t="shared" si="7"/>
        <v>5.7700570867349477E-3</v>
      </c>
    </row>
    <row r="607" spans="1:7">
      <c r="A607" s="50">
        <v>159.72949197832972</v>
      </c>
      <c r="B607" s="50">
        <v>159.74914373669321</v>
      </c>
      <c r="C607" s="50">
        <v>157.12563399516918</v>
      </c>
      <c r="D607" s="50">
        <v>157.12563399516918</v>
      </c>
      <c r="E607" s="50">
        <v>3028831.2576968293</v>
      </c>
      <c r="F607" s="50" t="s">
        <v>613</v>
      </c>
      <c r="G607" s="25">
        <f t="shared" si="7"/>
        <v>1.6571821649677965E-2</v>
      </c>
    </row>
    <row r="608" spans="1:7">
      <c r="A608" s="50">
        <v>156.28060838553975</v>
      </c>
      <c r="B608" s="50">
        <v>157.31723863921306</v>
      </c>
      <c r="C608" s="50">
        <v>155.21941343391205</v>
      </c>
      <c r="D608" s="50">
        <v>156.87016113644401</v>
      </c>
      <c r="E608" s="50">
        <v>3815787.8095717556</v>
      </c>
      <c r="F608" s="50" t="s">
        <v>614</v>
      </c>
      <c r="G608" s="25">
        <f t="shared" si="7"/>
        <v>-3.758221108675186E-3</v>
      </c>
    </row>
    <row r="609" spans="1:7">
      <c r="A609" s="50">
        <v>156.65399179444577</v>
      </c>
      <c r="B609" s="50">
        <v>156.66381767362751</v>
      </c>
      <c r="C609" s="50">
        <v>154.2663031532835</v>
      </c>
      <c r="D609" s="50">
        <v>154.7870747499156</v>
      </c>
      <c r="E609" s="50">
        <v>3330568.1247153431</v>
      </c>
      <c r="F609" s="50" t="s">
        <v>615</v>
      </c>
      <c r="G609" s="25">
        <f t="shared" si="7"/>
        <v>1.2061194693074206E-2</v>
      </c>
    </row>
    <row r="610" spans="1:7">
      <c r="A610" s="50">
        <v>154.17787024064785</v>
      </c>
      <c r="B610" s="50">
        <v>155.16537109841249</v>
      </c>
      <c r="C610" s="50">
        <v>153.31319287265492</v>
      </c>
      <c r="D610" s="50">
        <v>153.87326798601399</v>
      </c>
      <c r="E610" s="50">
        <v>3021419.1983123254</v>
      </c>
      <c r="F610" s="50" t="s">
        <v>616</v>
      </c>
      <c r="G610" s="25">
        <f t="shared" si="7"/>
        <v>1.9795657726691118E-3</v>
      </c>
    </row>
    <row r="611" spans="1:7">
      <c r="A611" s="50">
        <v>151.65261929094123</v>
      </c>
      <c r="B611" s="50">
        <v>152.55660017566112</v>
      </c>
      <c r="C611" s="50">
        <v>150.82724543967527</v>
      </c>
      <c r="D611" s="50">
        <v>151.39714643221606</v>
      </c>
      <c r="E611" s="50">
        <v>1784868.2724081951</v>
      </c>
      <c r="F611" s="50" t="s">
        <v>617</v>
      </c>
      <c r="G611" s="25">
        <f t="shared" si="7"/>
        <v>1.687435098649992E-3</v>
      </c>
    </row>
    <row r="612" spans="1:7">
      <c r="A612" s="50">
        <v>151.69192280766819</v>
      </c>
      <c r="B612" s="50">
        <v>151.79018159948555</v>
      </c>
      <c r="C612" s="50">
        <v>149.45172061302378</v>
      </c>
      <c r="D612" s="50">
        <v>150.37525499731532</v>
      </c>
      <c r="E612" s="50">
        <v>2125301.931130263</v>
      </c>
      <c r="F612" s="50" t="s">
        <v>618</v>
      </c>
      <c r="G612" s="25">
        <f t="shared" si="7"/>
        <v>8.7558808154730716E-3</v>
      </c>
    </row>
    <row r="613" spans="1:7">
      <c r="A613" s="50">
        <v>149.7169210921389</v>
      </c>
      <c r="B613" s="50">
        <v>151.47575346566995</v>
      </c>
      <c r="C613" s="50">
        <v>149.40249295832328</v>
      </c>
      <c r="D613" s="50">
        <v>151.00411126494654</v>
      </c>
      <c r="E613" s="50">
        <v>2089496.4837506651</v>
      </c>
      <c r="F613" s="50" t="s">
        <v>619</v>
      </c>
      <c r="G613" s="25">
        <f t="shared" si="7"/>
        <v>-8.5242061426339388E-3</v>
      </c>
    </row>
    <row r="614" spans="1:7">
      <c r="A614" s="50">
        <v>150.3457773597701</v>
      </c>
      <c r="B614" s="50">
        <v>151.1220218151274</v>
      </c>
      <c r="C614" s="50">
        <v>149.77587636722933</v>
      </c>
      <c r="D614" s="50">
        <v>150.30647384304316</v>
      </c>
      <c r="E614" s="50">
        <v>1836493.1693378035</v>
      </c>
      <c r="F614" s="50" t="s">
        <v>620</v>
      </c>
      <c r="G614" s="25">
        <f t="shared" si="7"/>
        <v>2.614891808849773E-4</v>
      </c>
    </row>
    <row r="615" spans="1:7">
      <c r="A615" s="50">
        <v>150.3162997222249</v>
      </c>
      <c r="B615" s="50">
        <v>151.11219593594566</v>
      </c>
      <c r="C615" s="50">
        <v>149.69726933377541</v>
      </c>
      <c r="D615" s="50">
        <v>150.30647384304316</v>
      </c>
      <c r="E615" s="50">
        <v>1611402.8787803291</v>
      </c>
      <c r="F615" s="50" t="s">
        <v>621</v>
      </c>
      <c r="G615" s="25">
        <f t="shared" si="7"/>
        <v>6.5372295221299836E-5</v>
      </c>
    </row>
    <row r="616" spans="1:7">
      <c r="A616" s="50">
        <v>150.32612560140663</v>
      </c>
      <c r="B616" s="50">
        <v>150.40473263486052</v>
      </c>
      <c r="C616" s="50">
        <v>148.87287807042762</v>
      </c>
      <c r="D616" s="50">
        <v>149.94291631331885</v>
      </c>
      <c r="E616" s="50">
        <v>2534221.0645415271</v>
      </c>
      <c r="F616" s="50" t="s">
        <v>622</v>
      </c>
      <c r="G616" s="25">
        <f t="shared" si="7"/>
        <v>2.5557011795545037E-3</v>
      </c>
    </row>
    <row r="617" spans="1:7">
      <c r="A617" s="50">
        <v>150.10013038022666</v>
      </c>
      <c r="B617" s="50">
        <v>151.20062884858129</v>
      </c>
      <c r="C617" s="50">
        <v>149.7463987296841</v>
      </c>
      <c r="D617" s="50">
        <v>149.92326455495541</v>
      </c>
      <c r="E617" s="50">
        <v>2714950.9480618257</v>
      </c>
      <c r="F617" s="50" t="s">
        <v>623</v>
      </c>
      <c r="G617" s="25">
        <f t="shared" si="7"/>
        <v>1.1797090051117731E-3</v>
      </c>
    </row>
    <row r="618" spans="1:7">
      <c r="A618" s="50">
        <v>148.22338745651473</v>
      </c>
      <c r="B618" s="50">
        <v>148.28234273160515</v>
      </c>
      <c r="C618" s="50">
        <v>145.74726590271683</v>
      </c>
      <c r="D618" s="50">
        <v>145.74726590271683</v>
      </c>
      <c r="E618" s="50">
        <v>3163518.4419703428</v>
      </c>
      <c r="F618" s="50" t="s">
        <v>624</v>
      </c>
      <c r="G618" s="25">
        <f t="shared" si="7"/>
        <v>1.6989145823501417E-2</v>
      </c>
    </row>
    <row r="619" spans="1:7">
      <c r="A619" s="50">
        <v>143.9000006165501</v>
      </c>
      <c r="B619" s="50">
        <v>144.25864520668355</v>
      </c>
      <c r="C619" s="50">
        <v>142.61507039595426</v>
      </c>
      <c r="D619" s="50">
        <v>143.93930413327706</v>
      </c>
      <c r="E619" s="50">
        <v>2373894.4443111545</v>
      </c>
      <c r="F619" s="50" t="s">
        <v>625</v>
      </c>
      <c r="G619" s="25">
        <f t="shared" si="7"/>
        <v>-2.7305618130935017E-4</v>
      </c>
    </row>
    <row r="620" spans="1:7">
      <c r="A620" s="50">
        <v>143.48731369091712</v>
      </c>
      <c r="B620" s="50">
        <v>144.1259958377301</v>
      </c>
      <c r="C620" s="50">
        <v>140.57394051353185</v>
      </c>
      <c r="D620" s="50">
        <v>140.83432631184792</v>
      </c>
      <c r="E620" s="50">
        <v>3803383.8304727119</v>
      </c>
      <c r="F620" s="50" t="s">
        <v>626</v>
      </c>
      <c r="G620" s="25">
        <f t="shared" si="7"/>
        <v>1.8837647387148548E-2</v>
      </c>
    </row>
    <row r="621" spans="1:7">
      <c r="A621" s="50">
        <v>140.77537103675749</v>
      </c>
      <c r="B621" s="50">
        <v>141.35519616727183</v>
      </c>
      <c r="C621" s="50">
        <v>139.26218564276985</v>
      </c>
      <c r="D621" s="50">
        <v>140.23494768176192</v>
      </c>
      <c r="E621" s="50">
        <v>3361824.3608566145</v>
      </c>
      <c r="F621" s="50" t="s">
        <v>627</v>
      </c>
      <c r="G621" s="25">
        <f t="shared" si="7"/>
        <v>3.853699551569445E-3</v>
      </c>
    </row>
    <row r="622" spans="1:7">
      <c r="A622" s="50">
        <v>138.8494987171369</v>
      </c>
      <c r="B622" s="50">
        <v>141.45335670029741</v>
      </c>
      <c r="C622" s="50">
        <v>138.56946116045737</v>
      </c>
      <c r="D622" s="50">
        <v>141.34527202929829</v>
      </c>
      <c r="E622" s="50">
        <v>3503471.7365527041</v>
      </c>
      <c r="F622" s="50" t="s">
        <v>628</v>
      </c>
      <c r="G622" s="25">
        <f t="shared" si="7"/>
        <v>-1.7657281890858467E-2</v>
      </c>
    </row>
    <row r="623" spans="1:7">
      <c r="A623" s="50">
        <v>140.84415219102965</v>
      </c>
      <c r="B623" s="50">
        <v>142.38681522256249</v>
      </c>
      <c r="C623" s="50">
        <v>140.50024641966885</v>
      </c>
      <c r="D623" s="50">
        <v>140.87362982857488</v>
      </c>
      <c r="E623" s="50">
        <v>3437820.6138319061</v>
      </c>
      <c r="F623" s="50" t="s">
        <v>629</v>
      </c>
      <c r="G623" s="25">
        <f t="shared" si="7"/>
        <v>-2.0924879681949449E-4</v>
      </c>
    </row>
    <row r="624" spans="1:7">
      <c r="A624" s="50">
        <v>141.02101801630096</v>
      </c>
      <c r="B624" s="50">
        <v>142.31793580949852</v>
      </c>
      <c r="C624" s="50">
        <v>140.73616577882234</v>
      </c>
      <c r="D624" s="50">
        <v>141.58109312965999</v>
      </c>
      <c r="E624" s="50">
        <v>2891798.2273597047</v>
      </c>
      <c r="F624" s="50" t="s">
        <v>630</v>
      </c>
      <c r="G624" s="25">
        <f t="shared" si="7"/>
        <v>-3.9558609202580142E-3</v>
      </c>
    </row>
    <row r="625" spans="1:7">
      <c r="A625" s="50">
        <v>141.90534714265732</v>
      </c>
      <c r="B625" s="50">
        <v>143.96386883123139</v>
      </c>
      <c r="C625" s="50">
        <v>141.04558271425526</v>
      </c>
      <c r="D625" s="50">
        <v>143.31044786564584</v>
      </c>
      <c r="E625" s="50">
        <v>3583526.6594202658</v>
      </c>
      <c r="F625" s="50" t="s">
        <v>631</v>
      </c>
      <c r="G625" s="25">
        <f t="shared" si="7"/>
        <v>-9.8045937607131872E-3</v>
      </c>
    </row>
    <row r="626" spans="1:7">
      <c r="A626" s="50">
        <v>142.07238708874689</v>
      </c>
      <c r="B626" s="50">
        <v>143.31290433544126</v>
      </c>
      <c r="C626" s="50">
        <v>138.45646354986738</v>
      </c>
      <c r="D626" s="50">
        <v>139.03619042158991</v>
      </c>
      <c r="E626" s="50">
        <v>5407629.0800272804</v>
      </c>
      <c r="F626" s="50" t="s">
        <v>632</v>
      </c>
      <c r="G626" s="25">
        <f t="shared" si="7"/>
        <v>2.1837455830388652E-2</v>
      </c>
    </row>
    <row r="627" spans="1:7">
      <c r="A627" s="50">
        <v>139.10497157586207</v>
      </c>
      <c r="B627" s="50">
        <v>145.36405661462905</v>
      </c>
      <c r="C627" s="50">
        <v>138.97723514649948</v>
      </c>
      <c r="D627" s="50">
        <v>142.18047175974598</v>
      </c>
      <c r="E627" s="50">
        <v>8414620.0528976023</v>
      </c>
      <c r="F627" s="50" t="s">
        <v>633</v>
      </c>
      <c r="G627" s="25">
        <f t="shared" si="7"/>
        <v>-2.1630960608154726E-2</v>
      </c>
    </row>
    <row r="628" spans="1:7">
      <c r="A628" s="50">
        <v>147.01480431716101</v>
      </c>
      <c r="B628" s="50">
        <v>153.33284463101842</v>
      </c>
      <c r="C628" s="50">
        <v>146.41542568707499</v>
      </c>
      <c r="D628" s="50">
        <v>147.79104877251828</v>
      </c>
      <c r="E628" s="50">
        <v>4724437.288652868</v>
      </c>
      <c r="F628" s="50" t="s">
        <v>634</v>
      </c>
      <c r="G628" s="25">
        <f t="shared" si="7"/>
        <v>-5.2523103517052583E-3</v>
      </c>
    </row>
    <row r="629" spans="1:7">
      <c r="A629" s="50">
        <v>148.89154724087291</v>
      </c>
      <c r="B629" s="50">
        <v>150.91567835231092</v>
      </c>
      <c r="C629" s="50">
        <v>148.49851207360339</v>
      </c>
      <c r="D629" s="50">
        <v>150.45386203076924</v>
      </c>
      <c r="E629" s="50">
        <v>2678827.9718441162</v>
      </c>
      <c r="F629" s="50" t="s">
        <v>635</v>
      </c>
      <c r="G629" s="25">
        <f t="shared" si="7"/>
        <v>-1.0384012539185083E-2</v>
      </c>
    </row>
    <row r="630" spans="1:7">
      <c r="A630" s="50">
        <v>151.70174868684992</v>
      </c>
      <c r="B630" s="50">
        <v>152.03582857902902</v>
      </c>
      <c r="C630" s="50">
        <v>148.86206960332771</v>
      </c>
      <c r="D630" s="50">
        <v>148.92102487841814</v>
      </c>
      <c r="E630" s="50">
        <v>3988901.0718599209</v>
      </c>
      <c r="F630" s="50" t="s">
        <v>636</v>
      </c>
      <c r="G630" s="25">
        <f t="shared" si="7"/>
        <v>1.8672472948007224E-2</v>
      </c>
    </row>
    <row r="631" spans="1:7">
      <c r="A631" s="50">
        <v>150.12960801777186</v>
      </c>
      <c r="B631" s="50">
        <v>150.73881252703961</v>
      </c>
      <c r="C631" s="50">
        <v>148.57220616746645</v>
      </c>
      <c r="D631" s="50">
        <v>149.7169210921389</v>
      </c>
      <c r="E631" s="50">
        <v>2632150.2149211084</v>
      </c>
      <c r="F631" s="50" t="s">
        <v>637</v>
      </c>
      <c r="G631" s="25">
        <f t="shared" si="7"/>
        <v>2.7564481197084323E-3</v>
      </c>
    </row>
    <row r="632" spans="1:7">
      <c r="A632" s="50">
        <v>148.46903443605819</v>
      </c>
      <c r="B632" s="50">
        <v>151.45610170730646</v>
      </c>
      <c r="C632" s="50">
        <v>147.8109953072572</v>
      </c>
      <c r="D632" s="50">
        <v>150.25734444713447</v>
      </c>
      <c r="E632" s="50">
        <v>3004147.4614162096</v>
      </c>
      <c r="F632" s="50" t="s">
        <v>638</v>
      </c>
      <c r="G632" s="25">
        <f t="shared" si="7"/>
        <v>-1.1901647920481317E-2</v>
      </c>
    </row>
    <row r="633" spans="1:7">
      <c r="A633" s="50">
        <v>148.64590026132947</v>
      </c>
      <c r="B633" s="50">
        <v>150.06082686349973</v>
      </c>
      <c r="C633" s="50">
        <v>147.49627239706615</v>
      </c>
      <c r="D633" s="50">
        <v>149.84465752150149</v>
      </c>
      <c r="E633" s="50">
        <v>2419442.5313293426</v>
      </c>
      <c r="F633" s="50" t="s">
        <v>639</v>
      </c>
      <c r="G633" s="25">
        <f t="shared" si="7"/>
        <v>-8.0000000000000071E-3</v>
      </c>
    </row>
    <row r="634" spans="1:7">
      <c r="A634" s="50">
        <v>148.87189548250944</v>
      </c>
      <c r="B634" s="50">
        <v>150.14925977613535</v>
      </c>
      <c r="C634" s="50">
        <v>147.15236662570533</v>
      </c>
      <c r="D634" s="50">
        <v>148.78837550946469</v>
      </c>
      <c r="E634" s="50">
        <v>1757653.4049083989</v>
      </c>
      <c r="F634" s="50" t="s">
        <v>640</v>
      </c>
      <c r="G634" s="25">
        <f t="shared" si="7"/>
        <v>5.6133399372626513E-4</v>
      </c>
    </row>
    <row r="635" spans="1:7">
      <c r="A635" s="50">
        <v>148.30199448996865</v>
      </c>
      <c r="B635" s="50">
        <v>149.08806482450765</v>
      </c>
      <c r="C635" s="50">
        <v>146.40559980789325</v>
      </c>
      <c r="D635" s="50">
        <v>146.89689376698016</v>
      </c>
      <c r="E635" s="50">
        <v>2960788.4914838467</v>
      </c>
      <c r="F635" s="50" t="s">
        <v>641</v>
      </c>
      <c r="G635" s="25">
        <f t="shared" si="7"/>
        <v>9.565217391304337E-3</v>
      </c>
    </row>
    <row r="636" spans="1:7">
      <c r="A636" s="50">
        <v>146.22873398262197</v>
      </c>
      <c r="B636" s="50">
        <v>146.84776437107143</v>
      </c>
      <c r="C636" s="50">
        <v>144.85311089717868</v>
      </c>
      <c r="D636" s="50">
        <v>145.02997672244996</v>
      </c>
      <c r="E636" s="50">
        <v>2319891.1342576155</v>
      </c>
      <c r="F636" s="50" t="s">
        <v>642</v>
      </c>
      <c r="G636" s="25">
        <f t="shared" si="7"/>
        <v>8.2655826558266643E-3</v>
      </c>
    </row>
    <row r="637" spans="1:7">
      <c r="A637" s="50">
        <v>146.72002794170885</v>
      </c>
      <c r="B637" s="50">
        <v>147.73209349742785</v>
      </c>
      <c r="C637" s="50">
        <v>143.59539836191624</v>
      </c>
      <c r="D637" s="50">
        <v>144.1554734752753</v>
      </c>
      <c r="E637" s="50">
        <v>3261533.0808832622</v>
      </c>
      <c r="F637" s="50" t="s">
        <v>643</v>
      </c>
      <c r="G637" s="25">
        <f t="shared" si="7"/>
        <v>1.7790198350487341E-2</v>
      </c>
    </row>
    <row r="638" spans="1:7">
      <c r="A638" s="50">
        <v>144.52885688418132</v>
      </c>
      <c r="B638" s="50">
        <v>144.97102144735953</v>
      </c>
      <c r="C638" s="50">
        <v>142.24925291401817</v>
      </c>
      <c r="D638" s="50">
        <v>143.04514912773894</v>
      </c>
      <c r="E638" s="50">
        <v>2754124.0330225471</v>
      </c>
      <c r="F638" s="50" t="s">
        <v>644</v>
      </c>
      <c r="G638" s="25">
        <f t="shared" si="7"/>
        <v>1.037230388789645E-2</v>
      </c>
    </row>
    <row r="639" spans="1:7">
      <c r="A639" s="50">
        <v>143.48731369091706</v>
      </c>
      <c r="B639" s="50">
        <v>143.77109818911228</v>
      </c>
      <c r="C639" s="50">
        <v>141.3051087565193</v>
      </c>
      <c r="D639" s="50">
        <v>142.77295960925323</v>
      </c>
      <c r="E639" s="50">
        <v>3552944.4223072883</v>
      </c>
      <c r="F639" s="50" t="s">
        <v>645</v>
      </c>
      <c r="G639" s="25">
        <f t="shared" si="7"/>
        <v>5.0034270047976115E-3</v>
      </c>
    </row>
    <row r="640" spans="1:7">
      <c r="A640" s="50">
        <v>141.94117745937066</v>
      </c>
      <c r="B640" s="50">
        <v>145.98266014056475</v>
      </c>
      <c r="C640" s="50">
        <v>141.21703770535527</v>
      </c>
      <c r="D640" s="50">
        <v>145.31723442065868</v>
      </c>
      <c r="E640" s="50">
        <v>4275773.6511923885</v>
      </c>
      <c r="F640" s="50" t="s">
        <v>646</v>
      </c>
      <c r="G640" s="25">
        <f t="shared" si="7"/>
        <v>-2.323232323232316E-2</v>
      </c>
    </row>
    <row r="641" spans="1:7">
      <c r="A641" s="50">
        <v>146.2762303111115</v>
      </c>
      <c r="B641" s="50">
        <v>146.68722854987703</v>
      </c>
      <c r="C641" s="50">
        <v>144.89840764401194</v>
      </c>
      <c r="D641" s="50">
        <v>145.23894904184621</v>
      </c>
      <c r="E641" s="50">
        <v>2715879.8133849804</v>
      </c>
      <c r="F641" s="50" t="s">
        <v>647</v>
      </c>
      <c r="G641" s="25">
        <f t="shared" si="7"/>
        <v>7.1418946233661185E-3</v>
      </c>
    </row>
    <row r="642" spans="1:7">
      <c r="A642" s="50">
        <v>145.99244581291629</v>
      </c>
      <c r="B642" s="50">
        <v>148.43886390080618</v>
      </c>
      <c r="C642" s="50">
        <v>145.48359085063518</v>
      </c>
      <c r="D642" s="50">
        <v>148.20400776436873</v>
      </c>
      <c r="E642" s="50">
        <v>3657873.3391063842</v>
      </c>
      <c r="F642" s="50" t="s">
        <v>648</v>
      </c>
      <c r="G642" s="25">
        <f t="shared" si="7"/>
        <v>-1.4922416639154723E-2</v>
      </c>
    </row>
    <row r="643" spans="1:7">
      <c r="A643" s="50">
        <v>147.01015573747847</v>
      </c>
      <c r="B643" s="50">
        <v>147.64622444032986</v>
      </c>
      <c r="C643" s="50">
        <v>145.82608938293978</v>
      </c>
      <c r="D643" s="50">
        <v>146.56001480930675</v>
      </c>
      <c r="E643" s="50">
        <v>3566341.5600092378</v>
      </c>
      <c r="F643" s="50" t="s">
        <v>649</v>
      </c>
      <c r="G643" s="25">
        <f t="shared" si="7"/>
        <v>3.0713761100351622E-3</v>
      </c>
    </row>
    <row r="644" spans="1:7">
      <c r="A644" s="50">
        <v>146.68722854987703</v>
      </c>
      <c r="B644" s="50">
        <v>148.25293612612654</v>
      </c>
      <c r="C644" s="50">
        <v>145.777161021182</v>
      </c>
      <c r="D644" s="50">
        <v>148.25293612612654</v>
      </c>
      <c r="E644" s="50">
        <v>3786727.0299617755</v>
      </c>
      <c r="F644" s="50" t="s">
        <v>650</v>
      </c>
      <c r="G644" s="25">
        <f t="shared" si="7"/>
        <v>-1.0561056105610422E-2</v>
      </c>
    </row>
    <row r="645" spans="1:7">
      <c r="A645" s="50">
        <v>147.88108057676729</v>
      </c>
      <c r="B645" s="50">
        <v>149.68164428945423</v>
      </c>
      <c r="C645" s="50">
        <v>146.94165603101757</v>
      </c>
      <c r="D645" s="50">
        <v>148.49757793491554</v>
      </c>
      <c r="E645" s="50">
        <v>2383276.1983169466</v>
      </c>
      <c r="F645" s="50" t="s">
        <v>651</v>
      </c>
      <c r="G645" s="25">
        <f t="shared" si="7"/>
        <v>-4.1515650741350552E-3</v>
      </c>
    </row>
    <row r="646" spans="1:7">
      <c r="A646" s="50">
        <v>149.94585744294633</v>
      </c>
      <c r="B646" s="50">
        <v>150.02414282175883</v>
      </c>
      <c r="C646" s="50">
        <v>148.4979693618096</v>
      </c>
      <c r="D646" s="50">
        <v>148.94771886308729</v>
      </c>
      <c r="E646" s="50">
        <v>2487697.2297279518</v>
      </c>
      <c r="F646" s="50" t="s">
        <v>652</v>
      </c>
      <c r="G646" s="25">
        <f t="shared" si="7"/>
        <v>6.7012679850204648E-3</v>
      </c>
    </row>
    <row r="647" spans="1:7">
      <c r="A647" s="50">
        <v>149.79907235767297</v>
      </c>
      <c r="B647" s="50">
        <v>151.71706413857859</v>
      </c>
      <c r="C647" s="50">
        <v>149.64250160004798</v>
      </c>
      <c r="D647" s="50">
        <v>151.67792144917237</v>
      </c>
      <c r="E647" s="50">
        <v>2432823.1259659939</v>
      </c>
      <c r="F647" s="50" t="s">
        <v>653</v>
      </c>
      <c r="G647" s="25">
        <f t="shared" si="7"/>
        <v>-1.2387096774193362E-2</v>
      </c>
    </row>
    <row r="648" spans="1:7">
      <c r="A648" s="50">
        <v>151.39413695097716</v>
      </c>
      <c r="B648" s="50">
        <v>153.50294934273822</v>
      </c>
      <c r="C648" s="50">
        <v>151.12992379748505</v>
      </c>
      <c r="D648" s="50">
        <v>152.49013225435183</v>
      </c>
      <c r="E648" s="50">
        <v>2771735.9651508722</v>
      </c>
      <c r="F648" s="50" t="s">
        <v>654</v>
      </c>
      <c r="G648" s="25">
        <f t="shared" si="7"/>
        <v>-7.187319514856072E-3</v>
      </c>
    </row>
    <row r="649" spans="1:7">
      <c r="A649" s="50">
        <v>153.86012638357013</v>
      </c>
      <c r="B649" s="50">
        <v>156.76647107198332</v>
      </c>
      <c r="C649" s="50">
        <v>153.51762785126556</v>
      </c>
      <c r="D649" s="50">
        <v>156.57075762495214</v>
      </c>
      <c r="E649" s="50">
        <v>2012877.5307770141</v>
      </c>
      <c r="F649" s="50" t="s">
        <v>655</v>
      </c>
      <c r="G649" s="25">
        <f t="shared" si="7"/>
        <v>-1.7312500000000175E-2</v>
      </c>
    </row>
    <row r="650" spans="1:7">
      <c r="A650" s="50">
        <v>155.93468892210075</v>
      </c>
      <c r="B650" s="50">
        <v>156.43865104820608</v>
      </c>
      <c r="C650" s="50">
        <v>155.05397841046039</v>
      </c>
      <c r="D650" s="50">
        <v>155.64111875155399</v>
      </c>
      <c r="E650" s="50">
        <v>2279605.2431129003</v>
      </c>
      <c r="F650" s="50" t="s">
        <v>656</v>
      </c>
      <c r="G650" s="25">
        <f t="shared" ref="G650:G713" si="8">A650/D650-1</f>
        <v>1.8861993083933992E-3</v>
      </c>
    </row>
    <row r="651" spans="1:7">
      <c r="A651" s="50">
        <v>156.20868774794442</v>
      </c>
      <c r="B651" s="50">
        <v>160.43609820381812</v>
      </c>
      <c r="C651" s="50">
        <v>155.93468892210075</v>
      </c>
      <c r="D651" s="50">
        <v>160.27952744619319</v>
      </c>
      <c r="E651" s="50">
        <v>2466469.2555492646</v>
      </c>
      <c r="F651" s="50" t="s">
        <v>657</v>
      </c>
      <c r="G651" s="25">
        <f t="shared" si="8"/>
        <v>-2.5398375969228892E-2</v>
      </c>
    </row>
    <row r="652" spans="1:7">
      <c r="A652" s="50">
        <v>160.24038475678694</v>
      </c>
      <c r="B652" s="50">
        <v>160.8079537531774</v>
      </c>
      <c r="C652" s="50">
        <v>158.34685715676017</v>
      </c>
      <c r="D652" s="50">
        <v>158.55724911231871</v>
      </c>
      <c r="E652" s="50">
        <v>7432947.6184033751</v>
      </c>
      <c r="F652" s="50" t="s">
        <v>658</v>
      </c>
      <c r="G652" s="25">
        <f t="shared" si="8"/>
        <v>1.0615318150959618E-2</v>
      </c>
    </row>
    <row r="653" spans="1:7">
      <c r="A653" s="50">
        <v>158.31260730352972</v>
      </c>
      <c r="B653" s="50">
        <v>158.48874940585779</v>
      </c>
      <c r="C653" s="50">
        <v>156.57075762495214</v>
      </c>
      <c r="D653" s="50">
        <v>157.128540948991</v>
      </c>
      <c r="E653" s="50">
        <v>3280291.7210777407</v>
      </c>
      <c r="F653" s="50" t="s">
        <v>659</v>
      </c>
      <c r="G653" s="25">
        <f t="shared" si="8"/>
        <v>7.5356542317992492E-3</v>
      </c>
    </row>
    <row r="654" spans="1:7">
      <c r="A654" s="50">
        <v>155.729189802718</v>
      </c>
      <c r="B654" s="50">
        <v>157.25575468956129</v>
      </c>
      <c r="C654" s="50">
        <v>155.22033484043692</v>
      </c>
      <c r="D654" s="50">
        <v>155.92490324974921</v>
      </c>
      <c r="E654" s="50">
        <v>3042103.6930851066</v>
      </c>
      <c r="F654" s="50" t="s">
        <v>660</v>
      </c>
      <c r="G654" s="25">
        <f t="shared" si="8"/>
        <v>-1.2551776076316079E-3</v>
      </c>
    </row>
    <row r="655" spans="1:7">
      <c r="A655" s="50">
        <v>155.1029067722182</v>
      </c>
      <c r="B655" s="50">
        <v>156.29675879910846</v>
      </c>
      <c r="C655" s="50">
        <v>154.07541117530445</v>
      </c>
      <c r="D655" s="50">
        <v>154.27112462233563</v>
      </c>
      <c r="E655" s="50">
        <v>2717482.1560178301</v>
      </c>
      <c r="F655" s="50" t="s">
        <v>661</v>
      </c>
      <c r="G655" s="25">
        <f t="shared" si="8"/>
        <v>5.3916904535364907E-3</v>
      </c>
    </row>
    <row r="656" spans="1:7">
      <c r="A656" s="50">
        <v>154.44726672466373</v>
      </c>
      <c r="B656" s="50">
        <v>155.74876114742113</v>
      </c>
      <c r="C656" s="50">
        <v>154.02354711184117</v>
      </c>
      <c r="D656" s="50">
        <v>154.97569303164792</v>
      </c>
      <c r="E656" s="50">
        <v>2668241.799025578</v>
      </c>
      <c r="F656" s="50" t="s">
        <v>662</v>
      </c>
      <c r="G656" s="25">
        <f t="shared" si="8"/>
        <v>-3.4097366925552874E-3</v>
      </c>
    </row>
    <row r="657" spans="1:7">
      <c r="A657" s="50">
        <v>154.05583983060134</v>
      </c>
      <c r="B657" s="50">
        <v>154.40812403525746</v>
      </c>
      <c r="C657" s="50">
        <v>153.35127142128906</v>
      </c>
      <c r="D657" s="50">
        <v>153.65462726418741</v>
      </c>
      <c r="E657" s="50">
        <v>1973919.5536136725</v>
      </c>
      <c r="F657" s="50" t="s">
        <v>663</v>
      </c>
      <c r="G657" s="25">
        <f t="shared" si="8"/>
        <v>2.6111323398292363E-3</v>
      </c>
    </row>
    <row r="658" spans="1:7">
      <c r="A658" s="50">
        <v>153.41977112774995</v>
      </c>
      <c r="B658" s="50">
        <v>154.25155327763252</v>
      </c>
      <c r="C658" s="50">
        <v>152.72498839078924</v>
      </c>
      <c r="D658" s="50">
        <v>153.88948340062481</v>
      </c>
      <c r="E658" s="50">
        <v>2674711.4617861458</v>
      </c>
      <c r="F658" s="50" t="s">
        <v>664</v>
      </c>
      <c r="G658" s="25">
        <f t="shared" si="8"/>
        <v>-3.0522701259061424E-3</v>
      </c>
    </row>
    <row r="659" spans="1:7">
      <c r="A659" s="50">
        <v>154.61362315464024</v>
      </c>
      <c r="B659" s="50">
        <v>156.41418686732717</v>
      </c>
      <c r="C659" s="50">
        <v>153.49805650656245</v>
      </c>
      <c r="D659" s="50">
        <v>155.6606900962571</v>
      </c>
      <c r="E659" s="50">
        <v>3013963.5724978773</v>
      </c>
      <c r="F659" s="50" t="s">
        <v>665</v>
      </c>
      <c r="G659" s="25">
        <f t="shared" si="8"/>
        <v>-6.7265983529263274E-3</v>
      </c>
    </row>
    <row r="660" spans="1:7">
      <c r="A660" s="50">
        <v>156.57075762495214</v>
      </c>
      <c r="B660" s="50">
        <v>158.39089268234221</v>
      </c>
      <c r="C660" s="50">
        <v>155.93468892210075</v>
      </c>
      <c r="D660" s="50">
        <v>156.67840002081928</v>
      </c>
      <c r="E660" s="50">
        <v>4241880.2212793026</v>
      </c>
      <c r="F660" s="50" t="s">
        <v>666</v>
      </c>
      <c r="G660" s="25">
        <f t="shared" si="8"/>
        <v>-6.8702766847783536E-4</v>
      </c>
    </row>
    <row r="661" spans="1:7">
      <c r="A661" s="50">
        <v>156.19890207559285</v>
      </c>
      <c r="B661" s="50">
        <v>156.72732838257707</v>
      </c>
      <c r="C661" s="50">
        <v>155.30840589160096</v>
      </c>
      <c r="D661" s="50">
        <v>155.6606900962571</v>
      </c>
      <c r="E661" s="50">
        <v>2243747.7171919472</v>
      </c>
      <c r="F661" s="50" t="s">
        <v>667</v>
      </c>
      <c r="G661" s="25">
        <f t="shared" si="8"/>
        <v>3.4575972842143532E-3</v>
      </c>
    </row>
    <row r="662" spans="1:7">
      <c r="A662" s="50">
        <v>154.60383748228867</v>
      </c>
      <c r="B662" s="50">
        <v>157.4862072734405</v>
      </c>
      <c r="C662" s="50">
        <v>154.3543028373239</v>
      </c>
      <c r="D662" s="50">
        <v>157.21661200015504</v>
      </c>
      <c r="E662" s="50">
        <v>3733916.146720049</v>
      </c>
      <c r="F662" s="50" t="s">
        <v>668</v>
      </c>
      <c r="G662" s="25">
        <f t="shared" si="8"/>
        <v>-1.6618946844267235E-2</v>
      </c>
    </row>
    <row r="663" spans="1:7">
      <c r="A663" s="50">
        <v>156.73711405492864</v>
      </c>
      <c r="B663" s="50">
        <v>158.39089268234221</v>
      </c>
      <c r="C663" s="50">
        <v>156.68818569317085</v>
      </c>
      <c r="D663" s="50">
        <v>156.83497077844424</v>
      </c>
      <c r="E663" s="50">
        <v>3106572.4365025647</v>
      </c>
      <c r="F663" s="50" t="s">
        <v>669</v>
      </c>
      <c r="G663" s="25">
        <f t="shared" si="8"/>
        <v>-6.2394708928692477E-4</v>
      </c>
    </row>
    <row r="664" spans="1:7">
      <c r="A664" s="50">
        <v>156.80561376138957</v>
      </c>
      <c r="B664" s="50">
        <v>157.34382574072532</v>
      </c>
      <c r="C664" s="50">
        <v>154.90719332518702</v>
      </c>
      <c r="D664" s="50">
        <v>155.484547993929</v>
      </c>
      <c r="E664" s="50">
        <v>2223439.4549836456</v>
      </c>
      <c r="F664" s="50" t="s">
        <v>670</v>
      </c>
      <c r="G664" s="25">
        <f t="shared" si="8"/>
        <v>8.4964440808108499E-3</v>
      </c>
    </row>
    <row r="665" spans="1:7">
      <c r="A665" s="50">
        <v>155.77811816447581</v>
      </c>
      <c r="B665" s="50">
        <v>157.46125380894404</v>
      </c>
      <c r="C665" s="50">
        <v>155.35733425335874</v>
      </c>
      <c r="D665" s="50">
        <v>155.57261904509303</v>
      </c>
      <c r="E665" s="50">
        <v>2564892.7430111668</v>
      </c>
      <c r="F665" s="50" t="s">
        <v>671</v>
      </c>
      <c r="G665" s="25">
        <f t="shared" si="8"/>
        <v>1.3209208705500242E-3</v>
      </c>
    </row>
    <row r="666" spans="1:7">
      <c r="A666" s="50">
        <v>154.92676466989013</v>
      </c>
      <c r="B666" s="50">
        <v>156.21847342029596</v>
      </c>
      <c r="C666" s="50">
        <v>153.95739596674463</v>
      </c>
      <c r="D666" s="50">
        <v>155.04419273810885</v>
      </c>
      <c r="E666" s="50">
        <v>3034247.3090536357</v>
      </c>
      <c r="F666" s="50" t="s">
        <v>672</v>
      </c>
      <c r="G666" s="25">
        <f t="shared" si="8"/>
        <v>-7.5738449886397774E-4</v>
      </c>
    </row>
    <row r="667" spans="1:7">
      <c r="A667" s="50">
        <v>154.40812403525746</v>
      </c>
      <c r="B667" s="50">
        <v>157.96032309887357</v>
      </c>
      <c r="C667" s="50">
        <v>154.3591956734997</v>
      </c>
      <c r="D667" s="50">
        <v>155.60197606214771</v>
      </c>
      <c r="E667" s="50">
        <v>2522660.5912332525</v>
      </c>
      <c r="F667" s="50" t="s">
        <v>673</v>
      </c>
      <c r="G667" s="25">
        <f t="shared" si="8"/>
        <v>-7.6724734293440733E-3</v>
      </c>
    </row>
    <row r="668" spans="1:7">
      <c r="A668" s="50">
        <v>156.02275997326478</v>
      </c>
      <c r="B668" s="50">
        <v>156.6490430037646</v>
      </c>
      <c r="C668" s="50">
        <v>155.29862021924939</v>
      </c>
      <c r="D668" s="50">
        <v>155.91511757739764</v>
      </c>
      <c r="E668" s="50">
        <v>2087228.0683651697</v>
      </c>
      <c r="F668" s="50" t="s">
        <v>674</v>
      </c>
      <c r="G668" s="25">
        <f t="shared" si="8"/>
        <v>6.9039101236412215E-4</v>
      </c>
    </row>
    <row r="669" spans="1:7">
      <c r="A669" s="50">
        <v>155.67047576860867</v>
      </c>
      <c r="B669" s="50">
        <v>157.80375234124861</v>
      </c>
      <c r="C669" s="50">
        <v>155.21054916808538</v>
      </c>
      <c r="D669" s="50">
        <v>157.31446872367064</v>
      </c>
      <c r="E669" s="50">
        <v>2305521.7045361754</v>
      </c>
      <c r="F669" s="50" t="s">
        <v>675</v>
      </c>
      <c r="G669" s="25">
        <f t="shared" si="8"/>
        <v>-1.0450360786265045E-2</v>
      </c>
    </row>
    <row r="670" spans="1:7">
      <c r="A670" s="50">
        <v>157.43189679188936</v>
      </c>
      <c r="B670" s="50">
        <v>158.18196857763641</v>
      </c>
      <c r="C670" s="50">
        <v>156.6490430037646</v>
      </c>
      <c r="D670" s="50">
        <v>157.43189679188936</v>
      </c>
      <c r="E670" s="50">
        <v>2115955.7827112563</v>
      </c>
      <c r="F670" s="50" t="s">
        <v>676</v>
      </c>
      <c r="G670" s="25">
        <f t="shared" si="8"/>
        <v>0</v>
      </c>
    </row>
    <row r="671" spans="1:7">
      <c r="A671" s="50">
        <v>156.795828089038</v>
      </c>
      <c r="B671" s="50">
        <v>157.35361141307689</v>
      </c>
      <c r="C671" s="50">
        <v>155.53347635568682</v>
      </c>
      <c r="D671" s="50">
        <v>155.81726085388203</v>
      </c>
      <c r="E671" s="50">
        <v>2186517.1069814237</v>
      </c>
      <c r="F671" s="50" t="s">
        <v>677</v>
      </c>
      <c r="G671" s="25">
        <f t="shared" si="8"/>
        <v>6.280223575959365E-3</v>
      </c>
    </row>
    <row r="672" spans="1:7">
      <c r="A672" s="50">
        <v>157.1383266213426</v>
      </c>
      <c r="B672" s="50">
        <v>159.12090383976852</v>
      </c>
      <c r="C672" s="50">
        <v>156.94261317431139</v>
      </c>
      <c r="D672" s="50">
        <v>158.4398210441</v>
      </c>
      <c r="E672" s="50">
        <v>2527272.4358136412</v>
      </c>
      <c r="F672" s="50" t="s">
        <v>678</v>
      </c>
      <c r="G672" s="25">
        <f t="shared" si="8"/>
        <v>-8.2144401210547668E-3</v>
      </c>
    </row>
    <row r="673" spans="1:7">
      <c r="A673" s="50">
        <v>157.31446872367064</v>
      </c>
      <c r="B673" s="50">
        <v>159.46731664101375</v>
      </c>
      <c r="C673" s="50">
        <v>157.19704065545193</v>
      </c>
      <c r="D673" s="50">
        <v>157.81353801360018</v>
      </c>
      <c r="E673" s="50">
        <v>2038547.7137726636</v>
      </c>
      <c r="F673" s="50" t="s">
        <v>679</v>
      </c>
      <c r="G673" s="25">
        <f t="shared" si="8"/>
        <v>-3.1623984622062284E-3</v>
      </c>
    </row>
    <row r="674" spans="1:7">
      <c r="A674" s="50">
        <v>158.4398210441</v>
      </c>
      <c r="B674" s="50">
        <v>161.27815530966981</v>
      </c>
      <c r="C674" s="50">
        <v>158.23432192471722</v>
      </c>
      <c r="D674" s="50">
        <v>160.86666778728673</v>
      </c>
      <c r="E674" s="50">
        <v>2501204.7328663473</v>
      </c>
      <c r="F674" s="50" t="s">
        <v>680</v>
      </c>
      <c r="G674" s="25">
        <f t="shared" si="8"/>
        <v>-1.5086075795364473E-2</v>
      </c>
    </row>
    <row r="675" spans="1:7">
      <c r="A675" s="50">
        <v>162.52044641470033</v>
      </c>
      <c r="B675" s="50">
        <v>162.91549400753277</v>
      </c>
      <c r="C675" s="50">
        <v>160.25995610149008</v>
      </c>
      <c r="D675" s="50">
        <v>160.8079537531774</v>
      </c>
      <c r="E675" s="50">
        <v>1867437.3454868144</v>
      </c>
      <c r="F675" s="50" t="s">
        <v>681</v>
      </c>
      <c r="G675" s="25">
        <f t="shared" si="8"/>
        <v>1.0649303231302865E-2</v>
      </c>
    </row>
    <row r="676" spans="1:7">
      <c r="A676" s="50">
        <v>161.72780695422401</v>
      </c>
      <c r="B676" s="50">
        <v>162.22687624415352</v>
      </c>
      <c r="C676" s="50">
        <v>159.11503243635758</v>
      </c>
      <c r="D676" s="50">
        <v>159.18353214281851</v>
      </c>
      <c r="E676" s="50">
        <v>2148718.9888029569</v>
      </c>
      <c r="F676" s="50" t="s">
        <v>682</v>
      </c>
      <c r="G676" s="25">
        <f t="shared" si="8"/>
        <v>1.5983279031167585E-2</v>
      </c>
    </row>
    <row r="677" spans="1:7">
      <c r="A677" s="50">
        <v>160.03488563740419</v>
      </c>
      <c r="B677" s="50">
        <v>162.9314446534658</v>
      </c>
      <c r="C677" s="50">
        <v>159.23246050457632</v>
      </c>
      <c r="D677" s="50">
        <v>161.17980930253665</v>
      </c>
      <c r="E677" s="50">
        <v>2612010.6091562067</v>
      </c>
      <c r="F677" s="50" t="s">
        <v>683</v>
      </c>
      <c r="G677" s="25">
        <f t="shared" si="8"/>
        <v>-7.1033938437253807E-3</v>
      </c>
    </row>
    <row r="678" spans="1:7">
      <c r="A678" s="50">
        <v>160.30888446324786</v>
      </c>
      <c r="B678" s="50">
        <v>162.72594553408305</v>
      </c>
      <c r="C678" s="50">
        <v>159.99574294799794</v>
      </c>
      <c r="D678" s="50">
        <v>162.38344700177848</v>
      </c>
      <c r="E678" s="50">
        <v>2498786.9122864227</v>
      </c>
      <c r="F678" s="50" t="s">
        <v>684</v>
      </c>
      <c r="G678" s="25">
        <f t="shared" si="8"/>
        <v>-1.2775702060985883E-2</v>
      </c>
    </row>
    <row r="679" spans="1:7">
      <c r="A679" s="50">
        <v>162.31494729531755</v>
      </c>
      <c r="B679" s="50">
        <v>162.43237536353627</v>
      </c>
      <c r="C679" s="50">
        <v>160.07892116298621</v>
      </c>
      <c r="D679" s="50">
        <v>161.36573707721629</v>
      </c>
      <c r="E679" s="50">
        <v>2149057.2384276208</v>
      </c>
      <c r="F679" s="50" t="s">
        <v>685</v>
      </c>
      <c r="G679" s="25">
        <f t="shared" si="8"/>
        <v>5.8823529411764497E-3</v>
      </c>
    </row>
    <row r="680" spans="1:7">
      <c r="A680" s="50">
        <v>163.38158558163755</v>
      </c>
      <c r="B680" s="50">
        <v>163.74365545864526</v>
      </c>
      <c r="C680" s="50">
        <v>162.57916044880966</v>
      </c>
      <c r="D680" s="50">
        <v>163.27394318577038</v>
      </c>
      <c r="E680" s="50">
        <v>2071604.2057926983</v>
      </c>
      <c r="F680" s="50" t="s">
        <v>686</v>
      </c>
      <c r="G680" s="25">
        <f t="shared" si="8"/>
        <v>6.5927479772254216E-4</v>
      </c>
    </row>
    <row r="681" spans="1:7">
      <c r="A681" s="50">
        <v>161.8648063671458</v>
      </c>
      <c r="B681" s="50">
        <v>164.49715222971531</v>
      </c>
      <c r="C681" s="50">
        <v>161.52230783484123</v>
      </c>
      <c r="D681" s="50">
        <v>162.96080167052048</v>
      </c>
      <c r="E681" s="50">
        <v>2305666.8146470585</v>
      </c>
      <c r="F681" s="50" t="s">
        <v>687</v>
      </c>
      <c r="G681" s="25">
        <f t="shared" si="8"/>
        <v>-6.7255149222362753E-3</v>
      </c>
    </row>
    <row r="682" spans="1:7">
      <c r="A682" s="50">
        <v>162.84337360230177</v>
      </c>
      <c r="B682" s="50">
        <v>163.08801541109077</v>
      </c>
      <c r="C682" s="50">
        <v>161.49295081778655</v>
      </c>
      <c r="D682" s="50">
        <v>162.28559027826287</v>
      </c>
      <c r="E682" s="50">
        <v>1747584.5691149293</v>
      </c>
      <c r="F682" s="50" t="s">
        <v>688</v>
      </c>
      <c r="G682" s="25">
        <f t="shared" si="8"/>
        <v>3.4370477568741453E-3</v>
      </c>
    </row>
    <row r="683" spans="1:7">
      <c r="A683" s="50">
        <v>163.1760864622548</v>
      </c>
      <c r="B683" s="50">
        <v>164.15465369741074</v>
      </c>
      <c r="C683" s="50">
        <v>162.48619656146982</v>
      </c>
      <c r="D683" s="50">
        <v>163.69472709688745</v>
      </c>
      <c r="E683" s="50">
        <v>2285910.3796209879</v>
      </c>
      <c r="F683" s="50" t="s">
        <v>689</v>
      </c>
      <c r="G683" s="25">
        <f t="shared" si="8"/>
        <v>-3.1683405069344861E-3</v>
      </c>
    </row>
    <row r="684" spans="1:7">
      <c r="A684" s="50">
        <v>166.01393144420706</v>
      </c>
      <c r="B684" s="50">
        <v>166.16560936565622</v>
      </c>
      <c r="C684" s="50">
        <v>163.67515575218431</v>
      </c>
      <c r="D684" s="50">
        <v>164.35036714444192</v>
      </c>
      <c r="E684" s="50">
        <v>2392658.2823170684</v>
      </c>
      <c r="F684" s="50" t="s">
        <v>690</v>
      </c>
      <c r="G684" s="25">
        <f t="shared" si="8"/>
        <v>1.012206013694561E-2</v>
      </c>
    </row>
    <row r="685" spans="1:7">
      <c r="A685" s="50">
        <v>165.26043467313696</v>
      </c>
      <c r="B685" s="50">
        <v>165.36807706900413</v>
      </c>
      <c r="C685" s="50">
        <v>162.94123032581734</v>
      </c>
      <c r="D685" s="50">
        <v>162.94123032581734</v>
      </c>
      <c r="E685" s="50">
        <v>3419799.7641589539</v>
      </c>
      <c r="F685" s="50" t="s">
        <v>691</v>
      </c>
      <c r="G685" s="25">
        <f t="shared" si="8"/>
        <v>1.4233379376614064E-2</v>
      </c>
    </row>
    <row r="686" spans="1:7">
      <c r="A686" s="50">
        <v>161.88437771184894</v>
      </c>
      <c r="B686" s="50">
        <v>163.0097300322783</v>
      </c>
      <c r="C686" s="50">
        <v>161.11130959607573</v>
      </c>
      <c r="D686" s="50">
        <v>161.74737829892709</v>
      </c>
      <c r="E686" s="50">
        <v>2990084.7840401013</v>
      </c>
      <c r="F686" s="50" t="s">
        <v>692</v>
      </c>
      <c r="G686" s="25">
        <f t="shared" si="8"/>
        <v>8.4699618851735714E-4</v>
      </c>
    </row>
    <row r="687" spans="1:7">
      <c r="A687" s="50">
        <v>160.09359967151354</v>
      </c>
      <c r="B687" s="50">
        <v>164.92772181318395</v>
      </c>
      <c r="C687" s="50">
        <v>159.67281576039647</v>
      </c>
      <c r="D687" s="50">
        <v>164.91793614083238</v>
      </c>
      <c r="E687" s="50">
        <v>4030538.5857022223</v>
      </c>
      <c r="F687" s="50" t="s">
        <v>693</v>
      </c>
      <c r="G687" s="25">
        <f t="shared" si="8"/>
        <v>-2.9252951996677101E-2</v>
      </c>
    </row>
    <row r="688" spans="1:7">
      <c r="A688" s="50">
        <v>164.15465369741074</v>
      </c>
      <c r="B688" s="50">
        <v>164.8200794173168</v>
      </c>
      <c r="C688" s="50">
        <v>162.50097292672072</v>
      </c>
      <c r="D688" s="50">
        <v>162.60851746586434</v>
      </c>
      <c r="E688" s="50">
        <v>2403474.0950888023</v>
      </c>
      <c r="F688" s="50" t="s">
        <v>694</v>
      </c>
      <c r="G688" s="25">
        <f t="shared" si="8"/>
        <v>9.5083348378166566E-3</v>
      </c>
    </row>
    <row r="689" spans="1:7">
      <c r="A689" s="50">
        <v>162.9314446534658</v>
      </c>
      <c r="B689" s="50">
        <v>165.32893437959788</v>
      </c>
      <c r="C689" s="50">
        <v>162.85315927465331</v>
      </c>
      <c r="D689" s="50">
        <v>163.76322680334835</v>
      </c>
      <c r="E689" s="50">
        <v>3358726.8017165973</v>
      </c>
      <c r="F689" s="50" t="s">
        <v>695</v>
      </c>
      <c r="G689" s="25">
        <f t="shared" si="8"/>
        <v>-5.0791753809380502E-3</v>
      </c>
    </row>
    <row r="690" spans="1:7">
      <c r="A690" s="50">
        <v>164.19379638681698</v>
      </c>
      <c r="B690" s="50">
        <v>165.37786274135567</v>
      </c>
      <c r="C690" s="50">
        <v>163.35222856458287</v>
      </c>
      <c r="D690" s="50">
        <v>163.9980829397858</v>
      </c>
      <c r="E690" s="50">
        <v>5089010.5667663859</v>
      </c>
      <c r="F690" s="50" t="s">
        <v>696</v>
      </c>
      <c r="G690" s="25">
        <f t="shared" si="8"/>
        <v>1.1933886270063532E-3</v>
      </c>
    </row>
    <row r="691" spans="1:7">
      <c r="A691" s="50">
        <v>166.57171476824595</v>
      </c>
      <c r="B691" s="50">
        <v>169.6248445419325</v>
      </c>
      <c r="C691" s="50">
        <v>163.8318243665328</v>
      </c>
      <c r="D691" s="50">
        <v>168.47992087680004</v>
      </c>
      <c r="E691" s="50">
        <v>9301494.7496677879</v>
      </c>
      <c r="F691" s="50" t="s">
        <v>697</v>
      </c>
      <c r="G691" s="25">
        <f t="shared" si="8"/>
        <v>-1.1326014985188926E-2</v>
      </c>
    </row>
    <row r="692" spans="1:7">
      <c r="A692" s="50">
        <v>173.31404301847047</v>
      </c>
      <c r="B692" s="50">
        <v>173.42168541433759</v>
      </c>
      <c r="C692" s="50">
        <v>170.31962727889325</v>
      </c>
      <c r="D692" s="50">
        <v>171.79726380397872</v>
      </c>
      <c r="E692" s="50">
        <v>4027016.0888556456</v>
      </c>
      <c r="F692" s="50" t="s">
        <v>698</v>
      </c>
      <c r="G692" s="25">
        <f t="shared" si="8"/>
        <v>8.8288904078379637E-3</v>
      </c>
    </row>
    <row r="693" spans="1:7">
      <c r="A693" s="50">
        <v>173.32382869082201</v>
      </c>
      <c r="B693" s="50">
        <v>174.95510027182698</v>
      </c>
      <c r="C693" s="50">
        <v>172.53118923034569</v>
      </c>
      <c r="D693" s="50">
        <v>174.42960966654823</v>
      </c>
      <c r="E693" s="50">
        <v>2809331.7466958542</v>
      </c>
      <c r="F693" s="50" t="s">
        <v>699</v>
      </c>
      <c r="G693" s="25">
        <f t="shared" si="8"/>
        <v>-6.33941093969137E-3</v>
      </c>
    </row>
    <row r="694" spans="1:7">
      <c r="A694" s="50">
        <v>174.22411054716548</v>
      </c>
      <c r="B694" s="50">
        <v>174.61553744122784</v>
      </c>
      <c r="C694" s="50">
        <v>170.6914828282525</v>
      </c>
      <c r="D694" s="50">
        <v>171.43519392697101</v>
      </c>
      <c r="E694" s="50">
        <v>2745850.160793277</v>
      </c>
      <c r="F694" s="50" t="s">
        <v>700</v>
      </c>
      <c r="G694" s="25">
        <f t="shared" si="8"/>
        <v>1.6268051829442465E-2</v>
      </c>
    </row>
    <row r="695" spans="1:7">
      <c r="A695" s="50">
        <v>171.63090737400219</v>
      </c>
      <c r="B695" s="50">
        <v>172.48226086858787</v>
      </c>
      <c r="C695" s="50">
        <v>169.13066808817877</v>
      </c>
      <c r="D695" s="50">
        <v>169.23341764787014</v>
      </c>
      <c r="E695" s="50">
        <v>2191687.932059369</v>
      </c>
      <c r="F695" s="50" t="s">
        <v>701</v>
      </c>
      <c r="G695" s="25">
        <f t="shared" si="8"/>
        <v>1.4166763039204167E-2</v>
      </c>
    </row>
    <row r="696" spans="1:7">
      <c r="A696" s="50">
        <v>169.67377290369029</v>
      </c>
      <c r="B696" s="50">
        <v>171.8951205274943</v>
      </c>
      <c r="C696" s="50">
        <v>168.82241940910464</v>
      </c>
      <c r="D696" s="50">
        <v>171.60155035694754</v>
      </c>
      <c r="E696" s="50">
        <v>1869628.3037807106</v>
      </c>
      <c r="F696" s="50" t="s">
        <v>702</v>
      </c>
      <c r="G696" s="25">
        <f t="shared" si="8"/>
        <v>-1.1234032846715536E-2</v>
      </c>
    </row>
    <row r="697" spans="1:7">
      <c r="A697" s="50">
        <v>170.50555505357286</v>
      </c>
      <c r="B697" s="50">
        <v>172.32569011096294</v>
      </c>
      <c r="C697" s="50">
        <v>170.17284219361986</v>
      </c>
      <c r="D697" s="50">
        <v>171.66026439105687</v>
      </c>
      <c r="E697" s="50">
        <v>2125968.380362187</v>
      </c>
      <c r="F697" s="50" t="s">
        <v>703</v>
      </c>
      <c r="G697" s="25">
        <f t="shared" si="8"/>
        <v>-6.7267130315812329E-3</v>
      </c>
    </row>
    <row r="698" spans="1:7">
      <c r="A698" s="50">
        <v>170.59362610473693</v>
      </c>
      <c r="B698" s="50">
        <v>174.0968968065952</v>
      </c>
      <c r="C698" s="50">
        <v>170.57405476003379</v>
      </c>
      <c r="D698" s="50">
        <v>173.2064006226033</v>
      </c>
      <c r="E698" s="50">
        <v>2356317.3966605682</v>
      </c>
      <c r="F698" s="50" t="s">
        <v>704</v>
      </c>
      <c r="G698" s="25">
        <f t="shared" si="8"/>
        <v>-1.5084745762711793E-2</v>
      </c>
    </row>
    <row r="699" spans="1:7">
      <c r="A699" s="50">
        <v>170.89698194763523</v>
      </c>
      <c r="B699" s="50">
        <v>171.81683514868186</v>
      </c>
      <c r="C699" s="50">
        <v>168.62670596207343</v>
      </c>
      <c r="D699" s="50">
        <v>168.8028480644015</v>
      </c>
      <c r="E699" s="50">
        <v>2332382.4035823792</v>
      </c>
      <c r="F699" s="50" t="s">
        <v>705</v>
      </c>
      <c r="G699" s="25">
        <f t="shared" si="8"/>
        <v>1.240579710144929E-2</v>
      </c>
    </row>
    <row r="700" spans="1:7">
      <c r="A700" s="50">
        <v>168.02977994862832</v>
      </c>
      <c r="B700" s="50">
        <v>168.14720801684703</v>
      </c>
      <c r="C700" s="50">
        <v>165.81821799717585</v>
      </c>
      <c r="D700" s="50">
        <v>166.21943056358981</v>
      </c>
      <c r="E700" s="50">
        <v>1906446.417759622</v>
      </c>
      <c r="F700" s="50" t="s">
        <v>706</v>
      </c>
      <c r="G700" s="25">
        <f t="shared" si="8"/>
        <v>1.089132226539502E-2</v>
      </c>
    </row>
    <row r="701" spans="1:7">
      <c r="A701" s="50">
        <v>166.16071652948045</v>
      </c>
      <c r="B701" s="50">
        <v>167.89278053570646</v>
      </c>
      <c r="C701" s="50">
        <v>165.05503341047773</v>
      </c>
      <c r="D701" s="50">
        <v>165.50507648192595</v>
      </c>
      <c r="E701" s="50">
        <v>2192499.322397687</v>
      </c>
      <c r="F701" s="50" t="s">
        <v>707</v>
      </c>
      <c r="G701" s="25">
        <f t="shared" si="8"/>
        <v>3.961449772364567E-3</v>
      </c>
    </row>
    <row r="702" spans="1:7">
      <c r="A702" s="50">
        <v>167.27628317755821</v>
      </c>
      <c r="B702" s="50">
        <v>168.61692028972189</v>
      </c>
      <c r="C702" s="50">
        <v>164.6243659702856</v>
      </c>
      <c r="D702" s="50">
        <v>168.059136965683</v>
      </c>
      <c r="E702" s="50">
        <v>3227258.0631587431</v>
      </c>
      <c r="F702" s="50" t="s">
        <v>708</v>
      </c>
      <c r="G702" s="25">
        <f t="shared" si="8"/>
        <v>-4.6582042622570485E-3</v>
      </c>
    </row>
    <row r="703" spans="1:7">
      <c r="A703" s="50">
        <v>171.21990913523675</v>
      </c>
      <c r="B703" s="50">
        <v>172.19513217525065</v>
      </c>
      <c r="C703" s="50">
        <v>169.72781788401551</v>
      </c>
      <c r="D703" s="50">
        <v>170.05939371762025</v>
      </c>
      <c r="E703" s="50">
        <v>2551109.7440484925</v>
      </c>
      <c r="F703" s="50" t="s">
        <v>709</v>
      </c>
      <c r="G703" s="25">
        <f t="shared" si="8"/>
        <v>6.8241770845278715E-3</v>
      </c>
    </row>
    <row r="704" spans="1:7">
      <c r="A704" s="50">
        <v>171.09313014003496</v>
      </c>
      <c r="B704" s="50">
        <v>171.95620253044723</v>
      </c>
      <c r="C704" s="50">
        <v>169.39624205041079</v>
      </c>
      <c r="D704" s="50">
        <v>169.98137587441914</v>
      </c>
      <c r="E704" s="50">
        <v>1743360.1650508621</v>
      </c>
      <c r="F704" s="50" t="s">
        <v>710</v>
      </c>
      <c r="G704" s="25">
        <f t="shared" si="8"/>
        <v>6.5404475043029375E-3</v>
      </c>
    </row>
    <row r="705" spans="1:7">
      <c r="A705" s="50">
        <v>169.88385357041773</v>
      </c>
      <c r="B705" s="50">
        <v>170.75180207603012</v>
      </c>
      <c r="C705" s="50">
        <v>169.0354095256057</v>
      </c>
      <c r="D705" s="50">
        <v>169.92286249201831</v>
      </c>
      <c r="E705" s="50">
        <v>3456942.5266573075</v>
      </c>
      <c r="F705" s="50" t="s">
        <v>711</v>
      </c>
      <c r="G705" s="25">
        <f t="shared" si="8"/>
        <v>-2.2956841138677131E-4</v>
      </c>
    </row>
    <row r="706" spans="1:7">
      <c r="A706" s="50">
        <v>167.81638072558835</v>
      </c>
      <c r="B706" s="50">
        <v>168.04068202479152</v>
      </c>
      <c r="C706" s="50">
        <v>166.0999881751639</v>
      </c>
      <c r="D706" s="50">
        <v>166.35354616556751</v>
      </c>
      <c r="E706" s="50">
        <v>2972912.7400012393</v>
      </c>
      <c r="F706" s="50" t="s">
        <v>712</v>
      </c>
      <c r="G706" s="25">
        <f t="shared" si="8"/>
        <v>8.7935279634190344E-3</v>
      </c>
    </row>
    <row r="707" spans="1:7">
      <c r="A707" s="50">
        <v>165.57336773355641</v>
      </c>
      <c r="B707" s="50">
        <v>165.66113780715764</v>
      </c>
      <c r="C707" s="50">
        <v>163.05241617512053</v>
      </c>
      <c r="D707" s="50">
        <v>163.11580567272142</v>
      </c>
      <c r="E707" s="50">
        <v>2347202.5434996109</v>
      </c>
      <c r="F707" s="50" t="s">
        <v>713</v>
      </c>
      <c r="G707" s="25">
        <f t="shared" si="8"/>
        <v>1.5066363745067646E-2</v>
      </c>
    </row>
    <row r="708" spans="1:7">
      <c r="A708" s="50">
        <v>164.02276309993434</v>
      </c>
      <c r="B708" s="50">
        <v>164.20805547753696</v>
      </c>
      <c r="C708" s="50">
        <v>162.06256478950644</v>
      </c>
      <c r="D708" s="50">
        <v>162.22835270630878</v>
      </c>
      <c r="E708" s="50">
        <v>2495948.0038180379</v>
      </c>
      <c r="F708" s="50" t="s">
        <v>714</v>
      </c>
      <c r="G708" s="25">
        <f t="shared" si="8"/>
        <v>1.1061015930267537E-2</v>
      </c>
    </row>
    <row r="709" spans="1:7">
      <c r="A709" s="50">
        <v>162.96952221671935</v>
      </c>
      <c r="B709" s="50">
        <v>166.2755283223664</v>
      </c>
      <c r="C709" s="50">
        <v>162.92076106471865</v>
      </c>
      <c r="D709" s="50">
        <v>164.35433893353905</v>
      </c>
      <c r="E709" s="50">
        <v>2570791.3955399571</v>
      </c>
      <c r="F709" s="50" t="s">
        <v>715</v>
      </c>
      <c r="G709" s="25">
        <f t="shared" si="8"/>
        <v>-8.425799560908942E-3</v>
      </c>
    </row>
    <row r="710" spans="1:7">
      <c r="A710" s="50">
        <v>163.90573633513267</v>
      </c>
      <c r="B710" s="50">
        <v>164.42260454634001</v>
      </c>
      <c r="C710" s="50">
        <v>161.63346665190033</v>
      </c>
      <c r="D710" s="50">
        <v>161.88702464230394</v>
      </c>
      <c r="E710" s="50">
        <v>4321455.5307676299</v>
      </c>
      <c r="F710" s="50" t="s">
        <v>716</v>
      </c>
      <c r="G710" s="25">
        <f t="shared" si="8"/>
        <v>1.2469879518072213E-2</v>
      </c>
    </row>
    <row r="711" spans="1:7">
      <c r="A711" s="50">
        <v>164.09102871273529</v>
      </c>
      <c r="B711" s="50">
        <v>164.32508224233865</v>
      </c>
      <c r="C711" s="50">
        <v>161.13122678629318</v>
      </c>
      <c r="D711" s="50">
        <v>163.1353101335217</v>
      </c>
      <c r="E711" s="50">
        <v>2825961.7409785334</v>
      </c>
      <c r="F711" s="50" t="s">
        <v>717</v>
      </c>
      <c r="G711" s="25">
        <f t="shared" si="8"/>
        <v>5.8584409373505508E-3</v>
      </c>
    </row>
    <row r="712" spans="1:7">
      <c r="A712" s="50">
        <v>163.75945287913058</v>
      </c>
      <c r="B712" s="50">
        <v>164.91021606634695</v>
      </c>
      <c r="C712" s="50">
        <v>162.81348653031711</v>
      </c>
      <c r="D712" s="50">
        <v>164.91021606634695</v>
      </c>
      <c r="E712" s="50">
        <v>2885167.6842663153</v>
      </c>
      <c r="F712" s="50" t="s">
        <v>718</v>
      </c>
      <c r="G712" s="25">
        <f t="shared" si="8"/>
        <v>-6.978119455943177E-3</v>
      </c>
    </row>
    <row r="713" spans="1:7">
      <c r="A713" s="50">
        <v>165.21253520875126</v>
      </c>
      <c r="B713" s="50">
        <v>166.97768891117639</v>
      </c>
      <c r="C713" s="50">
        <v>164.15929432553628</v>
      </c>
      <c r="D713" s="50">
        <v>166.76313984237333</v>
      </c>
      <c r="E713" s="50">
        <v>2938692.8757950729</v>
      </c>
      <c r="F713" s="50" t="s">
        <v>719</v>
      </c>
      <c r="G713" s="25">
        <f t="shared" si="8"/>
        <v>-9.2982456140351388E-3</v>
      </c>
    </row>
    <row r="714" spans="1:7">
      <c r="A714" s="50">
        <v>167.94315972079013</v>
      </c>
      <c r="B714" s="50">
        <v>170.25229283493499</v>
      </c>
      <c r="C714" s="50">
        <v>167.29951251438098</v>
      </c>
      <c r="D714" s="50">
        <v>169.88385357041773</v>
      </c>
      <c r="E714" s="50">
        <v>4734181.6287833946</v>
      </c>
      <c r="F714" s="50" t="s">
        <v>720</v>
      </c>
      <c r="G714" s="25">
        <f t="shared" ref="G714:G777" si="9">A714/D714-1</f>
        <v>-1.1423650975889599E-2</v>
      </c>
    </row>
    <row r="715" spans="1:7">
      <c r="A715" s="50">
        <v>169.50351658481233</v>
      </c>
      <c r="B715" s="50">
        <v>170.20567717362232</v>
      </c>
      <c r="C715" s="50">
        <v>165.36730310520147</v>
      </c>
      <c r="D715" s="50">
        <v>167.16298128877904</v>
      </c>
      <c r="E715" s="50">
        <v>2868681.1992876884</v>
      </c>
      <c r="F715" s="50" t="s">
        <v>721</v>
      </c>
      <c r="G715" s="25">
        <f t="shared" si="9"/>
        <v>1.4001516830989935E-2</v>
      </c>
    </row>
    <row r="716" spans="1:7">
      <c r="A716" s="50">
        <v>170.14716379122149</v>
      </c>
      <c r="B716" s="50">
        <v>172.65348700405715</v>
      </c>
      <c r="C716" s="50">
        <v>169.0939229080065</v>
      </c>
      <c r="D716" s="50">
        <v>171.65875950324303</v>
      </c>
      <c r="E716" s="50">
        <v>2385222.5640268866</v>
      </c>
      <c r="F716" s="50" t="s">
        <v>722</v>
      </c>
      <c r="G716" s="25">
        <f t="shared" si="9"/>
        <v>-8.805817520736503E-3</v>
      </c>
    </row>
    <row r="717" spans="1:7">
      <c r="A717" s="50">
        <v>170.8005632280308</v>
      </c>
      <c r="B717" s="50">
        <v>171.75628180724439</v>
      </c>
      <c r="C717" s="50">
        <v>169.89360580081791</v>
      </c>
      <c r="D717" s="50">
        <v>170.08865040882066</v>
      </c>
      <c r="E717" s="50">
        <v>2543410.9923866233</v>
      </c>
      <c r="F717" s="50" t="s">
        <v>723</v>
      </c>
      <c r="G717" s="25">
        <f t="shared" si="9"/>
        <v>4.1855398199646121E-3</v>
      </c>
    </row>
    <row r="718" spans="1:7">
      <c r="A718" s="50">
        <v>169.33772866800996</v>
      </c>
      <c r="B718" s="50">
        <v>169.620543349614</v>
      </c>
      <c r="C718" s="50">
        <v>167.67009726958625</v>
      </c>
      <c r="D718" s="50">
        <v>167.74811511278733</v>
      </c>
      <c r="E718" s="50">
        <v>2676754.8477554927</v>
      </c>
      <c r="F718" s="50" t="s">
        <v>724</v>
      </c>
      <c r="G718" s="25">
        <f t="shared" si="9"/>
        <v>9.4761932445788233E-3</v>
      </c>
    </row>
    <row r="719" spans="1:7">
      <c r="A719" s="50">
        <v>167.46530043118332</v>
      </c>
      <c r="B719" s="50">
        <v>167.95291195119026</v>
      </c>
      <c r="C719" s="50">
        <v>166.70472398227651</v>
      </c>
      <c r="D719" s="50">
        <v>167.67984949998637</v>
      </c>
      <c r="E719" s="50">
        <v>2256853.9807762098</v>
      </c>
      <c r="F719" s="50" t="s">
        <v>725</v>
      </c>
      <c r="G719" s="25">
        <f t="shared" si="9"/>
        <v>-1.2795161102709951E-3</v>
      </c>
    </row>
    <row r="720" spans="1:7">
      <c r="A720" s="50">
        <v>166.89967106797528</v>
      </c>
      <c r="B720" s="50">
        <v>167.2800080535807</v>
      </c>
      <c r="C720" s="50">
        <v>165.35881866475336</v>
      </c>
      <c r="D720" s="50">
        <v>166.42181177836849</v>
      </c>
      <c r="E720" s="50">
        <v>2414681.4660638925</v>
      </c>
      <c r="F720" s="50" t="s">
        <v>726</v>
      </c>
      <c r="G720" s="25">
        <f t="shared" si="9"/>
        <v>2.8713741576325003E-3</v>
      </c>
    </row>
    <row r="721" spans="1:7">
      <c r="A721" s="50">
        <v>167.29951251438098</v>
      </c>
      <c r="B721" s="50">
        <v>169.34748089841011</v>
      </c>
      <c r="C721" s="50">
        <v>166.47057293036917</v>
      </c>
      <c r="D721" s="50">
        <v>169.34748089841011</v>
      </c>
      <c r="E721" s="50">
        <v>2859896.5421902942</v>
      </c>
      <c r="F721" s="50" t="s">
        <v>727</v>
      </c>
      <c r="G721" s="25">
        <f t="shared" si="9"/>
        <v>-1.2093291102792891E-2</v>
      </c>
    </row>
    <row r="722" spans="1:7">
      <c r="A722" s="50">
        <v>167.56282273518471</v>
      </c>
      <c r="B722" s="50">
        <v>168.37225785839624</v>
      </c>
      <c r="C722" s="50">
        <v>163.34985920232475</v>
      </c>
      <c r="D722" s="50">
        <v>163.69118726632962</v>
      </c>
      <c r="E722" s="50">
        <v>3723925.5544539997</v>
      </c>
      <c r="F722" s="50" t="s">
        <v>728</v>
      </c>
      <c r="G722" s="25">
        <f t="shared" si="9"/>
        <v>2.3652070300863803E-2</v>
      </c>
    </row>
    <row r="723" spans="1:7">
      <c r="A723" s="50">
        <v>163.28159358952379</v>
      </c>
      <c r="B723" s="50">
        <v>164.07152425193505</v>
      </c>
      <c r="C723" s="50">
        <v>161.7212367255016</v>
      </c>
      <c r="D723" s="50">
        <v>164.07152425193505</v>
      </c>
      <c r="E723" s="50">
        <v>3192469.693861715</v>
      </c>
      <c r="F723" s="50" t="s">
        <v>729</v>
      </c>
      <c r="G723" s="25">
        <f t="shared" si="9"/>
        <v>-4.8145506419401407E-3</v>
      </c>
    </row>
    <row r="724" spans="1:7">
      <c r="A724" s="50">
        <v>164.38359562473948</v>
      </c>
      <c r="B724" s="50">
        <v>165.64163334635737</v>
      </c>
      <c r="C724" s="50">
        <v>160.41443785188298</v>
      </c>
      <c r="D724" s="50">
        <v>160.90204937188994</v>
      </c>
      <c r="E724" s="50">
        <v>4942983.0943405479</v>
      </c>
      <c r="F724" s="50" t="s">
        <v>730</v>
      </c>
      <c r="G724" s="25">
        <f t="shared" si="9"/>
        <v>2.163767501060665E-2</v>
      </c>
    </row>
    <row r="725" spans="1:7">
      <c r="A725" s="50">
        <v>158.68829307105841</v>
      </c>
      <c r="B725" s="50">
        <v>159.92682633187604</v>
      </c>
      <c r="C725" s="50">
        <v>154.30954162139608</v>
      </c>
      <c r="D725" s="50">
        <v>155.11897674460761</v>
      </c>
      <c r="E725" s="50">
        <v>4191038.1854204675</v>
      </c>
      <c r="F725" s="50" t="s">
        <v>731</v>
      </c>
      <c r="G725" s="25">
        <f t="shared" si="9"/>
        <v>2.3010184835910996E-2</v>
      </c>
    </row>
    <row r="726" spans="1:7">
      <c r="A726" s="50">
        <v>154.63136522460067</v>
      </c>
      <c r="B726" s="50">
        <v>155.65047330141516</v>
      </c>
      <c r="C726" s="50">
        <v>152.39079029016878</v>
      </c>
      <c r="D726" s="50">
        <v>153.76341671898831</v>
      </c>
      <c r="E726" s="50">
        <v>5730531.1407741811</v>
      </c>
      <c r="F726" s="50" t="s">
        <v>732</v>
      </c>
      <c r="G726" s="25">
        <f t="shared" si="9"/>
        <v>5.6447009576965357E-3</v>
      </c>
    </row>
    <row r="727" spans="1:7">
      <c r="A727" s="50">
        <v>154.09499255259303</v>
      </c>
      <c r="B727" s="50">
        <v>155.0117022102061</v>
      </c>
      <c r="C727" s="50">
        <v>152.77844144857431</v>
      </c>
      <c r="D727" s="50">
        <v>153.25630073818112</v>
      </c>
      <c r="E727" s="50">
        <v>3351281.5693459078</v>
      </c>
      <c r="F727" s="50" t="s">
        <v>733</v>
      </c>
      <c r="G727" s="25">
        <f t="shared" si="9"/>
        <v>5.4724785237032503E-3</v>
      </c>
    </row>
    <row r="728" spans="1:7">
      <c r="A728" s="50">
        <v>153.34407081178236</v>
      </c>
      <c r="B728" s="50">
        <v>154.32904608219638</v>
      </c>
      <c r="C728" s="50">
        <v>148.750770293317</v>
      </c>
      <c r="D728" s="50">
        <v>149.02383274452089</v>
      </c>
      <c r="E728" s="50">
        <v>4117495.0090831043</v>
      </c>
      <c r="F728" s="50" t="s">
        <v>734</v>
      </c>
      <c r="G728" s="25">
        <f t="shared" si="9"/>
        <v>2.8990249329232221E-2</v>
      </c>
    </row>
    <row r="729" spans="1:7">
      <c r="A729" s="50">
        <v>147.33669688529687</v>
      </c>
      <c r="B729" s="50">
        <v>147.7462905621027</v>
      </c>
      <c r="C729" s="50">
        <v>145.66906548687314</v>
      </c>
      <c r="D729" s="50">
        <v>145.89336678607631</v>
      </c>
      <c r="E729" s="50">
        <v>3316479.2742734728</v>
      </c>
      <c r="F729" s="50" t="s">
        <v>735</v>
      </c>
      <c r="G729" s="25">
        <f t="shared" si="9"/>
        <v>9.8930481283423521E-3</v>
      </c>
    </row>
    <row r="730" spans="1:7">
      <c r="A730" s="50">
        <v>146.98561659089188</v>
      </c>
      <c r="B730" s="50">
        <v>147.94133517010545</v>
      </c>
      <c r="C730" s="50">
        <v>146.40048276688356</v>
      </c>
      <c r="D730" s="50">
        <v>147.7462905621027</v>
      </c>
      <c r="E730" s="50">
        <v>2367088.2508755606</v>
      </c>
      <c r="F730" s="50" t="s">
        <v>736</v>
      </c>
      <c r="G730" s="25">
        <f t="shared" si="9"/>
        <v>-5.1485148514851531E-3</v>
      </c>
    </row>
    <row r="731" spans="1:7">
      <c r="A731" s="50">
        <v>148.78002698451741</v>
      </c>
      <c r="B731" s="50">
        <v>151.9007407125618</v>
      </c>
      <c r="C731" s="50">
        <v>148.72151360211657</v>
      </c>
      <c r="D731" s="50">
        <v>150.64270299094392</v>
      </c>
      <c r="E731" s="50">
        <v>3003001.2416014299</v>
      </c>
      <c r="F731" s="50" t="s">
        <v>737</v>
      </c>
      <c r="G731" s="25">
        <f t="shared" si="9"/>
        <v>-1.2364860490710172E-2</v>
      </c>
    </row>
    <row r="732" spans="1:7">
      <c r="A732" s="50">
        <v>151.65693495255834</v>
      </c>
      <c r="B732" s="50">
        <v>152.03727193816377</v>
      </c>
      <c r="C732" s="50">
        <v>149.48218757332739</v>
      </c>
      <c r="D732" s="50">
        <v>149.86252455893279</v>
      </c>
      <c r="E732" s="50">
        <v>2546900.4505519592</v>
      </c>
      <c r="F732" s="50" t="s">
        <v>738</v>
      </c>
      <c r="G732" s="25">
        <f t="shared" si="9"/>
        <v>1.1973709897833196E-2</v>
      </c>
    </row>
    <row r="733" spans="1:7">
      <c r="A733" s="50">
        <v>149.1603639701228</v>
      </c>
      <c r="B733" s="50">
        <v>151.07667724375008</v>
      </c>
      <c r="C733" s="50">
        <v>148.36819029471954</v>
      </c>
      <c r="D733" s="50">
        <v>150.7402252949453</v>
      </c>
      <c r="E733" s="50">
        <v>2315950.205573339</v>
      </c>
      <c r="F733" s="50" t="s">
        <v>739</v>
      </c>
      <c r="G733" s="25">
        <f t="shared" si="9"/>
        <v>-1.0480688361260371E-2</v>
      </c>
    </row>
    <row r="734" spans="1:7">
      <c r="A734" s="50">
        <v>149.67723218133017</v>
      </c>
      <c r="B734" s="50">
        <v>150.30137492693905</v>
      </c>
      <c r="C734" s="50">
        <v>147.3171924244966</v>
      </c>
      <c r="D734" s="50">
        <v>148.47770784211309</v>
      </c>
      <c r="E734" s="50">
        <v>2696641.5805378971</v>
      </c>
      <c r="F734" s="50" t="s">
        <v>740</v>
      </c>
      <c r="G734" s="25">
        <f t="shared" si="9"/>
        <v>8.0788177339901068E-3</v>
      </c>
    </row>
    <row r="735" spans="1:7">
      <c r="A735" s="50">
        <v>148.32167215571087</v>
      </c>
      <c r="B735" s="50">
        <v>149.09697447252191</v>
      </c>
      <c r="C735" s="50">
        <v>145.60079987407218</v>
      </c>
      <c r="D735" s="50">
        <v>146.10791585487937</v>
      </c>
      <c r="E735" s="50">
        <v>2508612.7989400071</v>
      </c>
      <c r="F735" s="50" t="s">
        <v>741</v>
      </c>
      <c r="G735" s="25">
        <f t="shared" si="9"/>
        <v>1.5151515151515138E-2</v>
      </c>
    </row>
    <row r="736" spans="1:7">
      <c r="A736" s="50">
        <v>144.73285136845979</v>
      </c>
      <c r="B736" s="50">
        <v>148.63374352851531</v>
      </c>
      <c r="C736" s="50">
        <v>144.69384244685926</v>
      </c>
      <c r="D736" s="50">
        <v>146.46874837968451</v>
      </c>
      <c r="E736" s="50">
        <v>2010113.501801702</v>
      </c>
      <c r="F736" s="50" t="s">
        <v>742</v>
      </c>
      <c r="G736" s="25">
        <f t="shared" si="9"/>
        <v>-1.1851654570877002E-2</v>
      </c>
    </row>
    <row r="737" spans="1:7">
      <c r="A737" s="50">
        <v>146.28345600208186</v>
      </c>
      <c r="B737" s="50">
        <v>146.48825284048479</v>
      </c>
      <c r="C737" s="50">
        <v>144.26474430925316</v>
      </c>
      <c r="D737" s="50">
        <v>144.50855006925661</v>
      </c>
      <c r="E737" s="50">
        <v>2329575.80654336</v>
      </c>
      <c r="F737" s="50" t="s">
        <v>743</v>
      </c>
      <c r="G737" s="25">
        <f t="shared" si="9"/>
        <v>1.2282359292751899E-2</v>
      </c>
    </row>
    <row r="738" spans="1:7">
      <c r="A738" s="50">
        <v>144.26474430925316</v>
      </c>
      <c r="B738" s="50">
        <v>145.62030433487243</v>
      </c>
      <c r="C738" s="50">
        <v>143.44487429951349</v>
      </c>
      <c r="D738" s="50">
        <v>145.62030433487243</v>
      </c>
      <c r="E738" s="50">
        <v>2378963.483027413</v>
      </c>
      <c r="F738" s="50" t="s">
        <v>744</v>
      </c>
      <c r="G738" s="25">
        <f t="shared" si="9"/>
        <v>-9.3088668631126081E-3</v>
      </c>
    </row>
    <row r="739" spans="1:7">
      <c r="A739" s="50">
        <v>144.32325769165399</v>
      </c>
      <c r="B739" s="50">
        <v>144.82062144206105</v>
      </c>
      <c r="C739" s="50">
        <v>142.65075017803019</v>
      </c>
      <c r="D739" s="50">
        <v>144.30375323085369</v>
      </c>
      <c r="E739" s="50">
        <v>2973991.4675915814</v>
      </c>
      <c r="F739" s="50" t="s">
        <v>745</v>
      </c>
      <c r="G739" s="25">
        <f t="shared" si="9"/>
        <v>1.3516253294598712E-4</v>
      </c>
    </row>
    <row r="740" spans="1:7">
      <c r="A740" s="50">
        <v>144.99616158926355</v>
      </c>
      <c r="B740" s="50">
        <v>150.83774759894669</v>
      </c>
      <c r="C740" s="50">
        <v>144.28424877005341</v>
      </c>
      <c r="D740" s="50">
        <v>149.80401117653199</v>
      </c>
      <c r="E740" s="50">
        <v>4719572.6630233182</v>
      </c>
      <c r="F740" s="50" t="s">
        <v>746</v>
      </c>
      <c r="G740" s="25">
        <f t="shared" si="9"/>
        <v>-3.2094264696308938E-2</v>
      </c>
    </row>
    <row r="741" spans="1:7">
      <c r="A741" s="50">
        <v>149.57970987732878</v>
      </c>
      <c r="B741" s="50">
        <v>149.92103794133362</v>
      </c>
      <c r="C741" s="50">
        <v>148.11687531730797</v>
      </c>
      <c r="D741" s="50">
        <v>148.23390208210964</v>
      </c>
      <c r="E741" s="50">
        <v>2381815.1383779268</v>
      </c>
      <c r="F741" s="50" t="s">
        <v>747</v>
      </c>
      <c r="G741" s="25">
        <f t="shared" si="9"/>
        <v>9.0789473684209643E-3</v>
      </c>
    </row>
    <row r="742" spans="1:7">
      <c r="A742" s="50">
        <v>149.24813404372406</v>
      </c>
      <c r="B742" s="50">
        <v>150.74997752534546</v>
      </c>
      <c r="C742" s="50">
        <v>149.1603639701228</v>
      </c>
      <c r="D742" s="50">
        <v>149.60896656852921</v>
      </c>
      <c r="E742" s="50">
        <v>2329356.3695620545</v>
      </c>
      <c r="F742" s="50" t="s">
        <v>748</v>
      </c>
      <c r="G742" s="25">
        <f t="shared" si="9"/>
        <v>-2.4118375594811559E-3</v>
      </c>
    </row>
    <row r="743" spans="1:7">
      <c r="A743" s="50">
        <v>148.86779705811867</v>
      </c>
      <c r="B743" s="50">
        <v>149.51797825889591</v>
      </c>
      <c r="C743" s="50">
        <v>147.37570580689743</v>
      </c>
      <c r="D743" s="50">
        <v>147.54149372369977</v>
      </c>
      <c r="E743" s="50">
        <v>2279700.0365868709</v>
      </c>
      <c r="F743" s="50" t="s">
        <v>749</v>
      </c>
      <c r="G743" s="25">
        <f t="shared" si="9"/>
        <v>8.9893581862650063E-3</v>
      </c>
    </row>
    <row r="744" spans="1:7">
      <c r="A744" s="50">
        <v>145.12294058446537</v>
      </c>
      <c r="B744" s="50">
        <v>147.50248480209922</v>
      </c>
      <c r="C744" s="50">
        <v>143.74787609804579</v>
      </c>
      <c r="D744" s="50">
        <v>147.28793573329617</v>
      </c>
      <c r="E744" s="50">
        <v>4099441.7030416992</v>
      </c>
      <c r="F744" s="50" t="s">
        <v>750</v>
      </c>
      <c r="G744" s="25">
        <f t="shared" si="9"/>
        <v>-1.4699066410646777E-2</v>
      </c>
    </row>
    <row r="745" spans="1:7">
      <c r="A745" s="50">
        <v>148.43869892051256</v>
      </c>
      <c r="B745" s="50">
        <v>151.14006674135098</v>
      </c>
      <c r="C745" s="50">
        <v>148.07786639570742</v>
      </c>
      <c r="D745" s="50">
        <v>149.46268311252712</v>
      </c>
      <c r="E745" s="50">
        <v>2722719.7174937651</v>
      </c>
      <c r="F745" s="50" t="s">
        <v>751</v>
      </c>
      <c r="G745" s="25">
        <f t="shared" si="9"/>
        <v>-6.8511027012917447E-3</v>
      </c>
    </row>
    <row r="746" spans="1:7">
      <c r="A746" s="50">
        <v>149.45293088212699</v>
      </c>
      <c r="B746" s="50">
        <v>154.42656838619777</v>
      </c>
      <c r="C746" s="50">
        <v>148.14613200850837</v>
      </c>
      <c r="D746" s="50">
        <v>154.42656838619777</v>
      </c>
      <c r="E746" s="50">
        <v>5050698.9661871614</v>
      </c>
      <c r="F746" s="50" t="s">
        <v>752</v>
      </c>
      <c r="G746" s="25">
        <f t="shared" si="9"/>
        <v>-3.2207136090937727E-2</v>
      </c>
    </row>
    <row r="747" spans="1:7">
      <c r="A747" s="50">
        <v>155.37253473501121</v>
      </c>
      <c r="B747" s="50">
        <v>157.83984902624633</v>
      </c>
      <c r="C747" s="50">
        <v>154.74839198940236</v>
      </c>
      <c r="D747" s="50">
        <v>157.83984902624633</v>
      </c>
      <c r="E747" s="50">
        <v>1849445.6406345067</v>
      </c>
      <c r="F747" s="50" t="s">
        <v>753</v>
      </c>
      <c r="G747" s="25">
        <f t="shared" si="9"/>
        <v>-1.5631757800432466E-2</v>
      </c>
    </row>
    <row r="748" spans="1:7">
      <c r="A748" s="50">
        <v>157.34248527583927</v>
      </c>
      <c r="B748" s="50">
        <v>157.38149419743982</v>
      </c>
      <c r="C748" s="50">
        <v>152.99299051737736</v>
      </c>
      <c r="D748" s="50">
        <v>153.40258419418319</v>
      </c>
      <c r="E748" s="50">
        <v>2440591.4363611904</v>
      </c>
      <c r="F748" s="50" t="s">
        <v>754</v>
      </c>
      <c r="G748" s="25">
        <f t="shared" si="9"/>
        <v>2.5683407501589262E-2</v>
      </c>
    </row>
    <row r="749" spans="1:7">
      <c r="A749" s="50">
        <v>154.52409069019913</v>
      </c>
      <c r="B749" s="50">
        <v>154.76789645020261</v>
      </c>
      <c r="C749" s="50">
        <v>152.04702416856389</v>
      </c>
      <c r="D749" s="50">
        <v>152.66141468377265</v>
      </c>
      <c r="E749" s="50">
        <v>2198179.198031961</v>
      </c>
      <c r="F749" s="50" t="s">
        <v>755</v>
      </c>
      <c r="G749" s="25">
        <f t="shared" si="9"/>
        <v>1.2201354286444088E-2</v>
      </c>
    </row>
    <row r="750" spans="1:7">
      <c r="A750" s="50">
        <v>151.86173179096127</v>
      </c>
      <c r="B750" s="50">
        <v>153.3684513877827</v>
      </c>
      <c r="C750" s="50">
        <v>151.23758904535239</v>
      </c>
      <c r="D750" s="50">
        <v>151.91049294296198</v>
      </c>
      <c r="E750" s="50">
        <v>2859997.0320228548</v>
      </c>
      <c r="F750" s="50" t="s">
        <v>756</v>
      </c>
      <c r="G750" s="25">
        <f t="shared" si="9"/>
        <v>-3.2098606920472061E-4</v>
      </c>
    </row>
    <row r="751" spans="1:7">
      <c r="A751" s="50">
        <v>152.25182100696682</v>
      </c>
      <c r="B751" s="50">
        <v>155.30426912221026</v>
      </c>
      <c r="C751" s="50">
        <v>152.10066143576466</v>
      </c>
      <c r="D751" s="50">
        <v>154.97269328860554</v>
      </c>
      <c r="E751" s="50">
        <v>3508234.3829277339</v>
      </c>
      <c r="F751" s="50" t="s">
        <v>757</v>
      </c>
      <c r="G751" s="25">
        <f t="shared" si="9"/>
        <v>-1.7557107796866145E-2</v>
      </c>
    </row>
    <row r="752" spans="1:7">
      <c r="A752" s="50">
        <v>156.61106799582885</v>
      </c>
      <c r="B752" s="50">
        <v>160.22914547428036</v>
      </c>
      <c r="C752" s="50">
        <v>156.42723845278624</v>
      </c>
      <c r="D752" s="50">
        <v>160.16087986147937</v>
      </c>
      <c r="E752" s="50">
        <v>2536310.0526878429</v>
      </c>
      <c r="F752" s="50" t="s">
        <v>758</v>
      </c>
      <c r="G752" s="25">
        <f t="shared" si="9"/>
        <v>-2.2164038239054995E-2</v>
      </c>
    </row>
    <row r="753" spans="1:7">
      <c r="A753" s="50">
        <v>159.72202949347314</v>
      </c>
      <c r="B753" s="50">
        <v>160.68564737931084</v>
      </c>
      <c r="C753" s="50">
        <v>157.23521074143773</v>
      </c>
      <c r="D753" s="50">
        <v>158.9808599830626</v>
      </c>
      <c r="E753" s="50">
        <v>3981246.1772280764</v>
      </c>
      <c r="F753" s="50" t="s">
        <v>759</v>
      </c>
      <c r="G753" s="25">
        <f t="shared" si="9"/>
        <v>4.6620046620047262E-3</v>
      </c>
    </row>
    <row r="754" spans="1:7">
      <c r="A754" s="50">
        <v>159.23441797346618</v>
      </c>
      <c r="B754" s="50">
        <v>159.69277280227271</v>
      </c>
      <c r="C754" s="50">
        <v>150.19410039253751</v>
      </c>
      <c r="D754" s="50">
        <v>155.06046336220678</v>
      </c>
      <c r="E754" s="50">
        <v>11107615.956085118</v>
      </c>
      <c r="F754" s="50" t="s">
        <v>760</v>
      </c>
      <c r="G754" s="25">
        <f t="shared" si="9"/>
        <v>2.6918238993710597E-2</v>
      </c>
    </row>
    <row r="755" spans="1:7">
      <c r="A755" s="50">
        <v>160.86304045028936</v>
      </c>
      <c r="B755" s="50">
        <v>162.42339731431159</v>
      </c>
      <c r="C755" s="50">
        <v>159.68302057187259</v>
      </c>
      <c r="D755" s="50">
        <v>160.29741108708131</v>
      </c>
      <c r="E755" s="50">
        <v>3864391.8830571985</v>
      </c>
      <c r="F755" s="50" t="s">
        <v>761</v>
      </c>
      <c r="G755" s="25">
        <f t="shared" si="9"/>
        <v>3.5286244448500259E-3</v>
      </c>
    </row>
    <row r="756" spans="1:7">
      <c r="A756" s="50">
        <v>160.32666777828175</v>
      </c>
      <c r="B756" s="50">
        <v>160.95929496433874</v>
      </c>
      <c r="C756" s="50">
        <v>159.23441797346618</v>
      </c>
      <c r="D756" s="50">
        <v>160.52171238628449</v>
      </c>
      <c r="E756" s="50">
        <v>2506639.916921169</v>
      </c>
      <c r="F756" s="50" t="s">
        <v>762</v>
      </c>
      <c r="G756" s="25">
        <f t="shared" si="9"/>
        <v>-1.2150668286753374E-3</v>
      </c>
    </row>
    <row r="757" spans="1:7">
      <c r="A757" s="50">
        <v>159.65376388067216</v>
      </c>
      <c r="B757" s="50">
        <v>159.68302057187259</v>
      </c>
      <c r="C757" s="50">
        <v>156.89875879263295</v>
      </c>
      <c r="D757" s="50">
        <v>157.92761909984759</v>
      </c>
      <c r="E757" s="50">
        <v>2688969.4894438502</v>
      </c>
      <c r="F757" s="50" t="s">
        <v>763</v>
      </c>
      <c r="G757" s="25">
        <f t="shared" si="9"/>
        <v>1.0929974064468384E-2</v>
      </c>
    </row>
    <row r="758" spans="1:7">
      <c r="A758" s="50">
        <v>159.17590459106535</v>
      </c>
      <c r="B758" s="50">
        <v>160.68750030308689</v>
      </c>
      <c r="C758" s="50">
        <v>157.45951204064093</v>
      </c>
      <c r="D758" s="50">
        <v>160.17063209187953</v>
      </c>
      <c r="E758" s="50">
        <v>2684593.0546952011</v>
      </c>
      <c r="F758" s="50" t="s">
        <v>764</v>
      </c>
      <c r="G758" s="25">
        <f t="shared" si="9"/>
        <v>-6.2104237700927323E-3</v>
      </c>
    </row>
    <row r="759" spans="1:7">
      <c r="A759" s="50">
        <v>158.27869939425261</v>
      </c>
      <c r="B759" s="50">
        <v>158.39572615905425</v>
      </c>
      <c r="C759" s="50">
        <v>155.0409589014065</v>
      </c>
      <c r="D759" s="50">
        <v>155.8406417942179</v>
      </c>
      <c r="E759" s="50">
        <v>2798356.7738116207</v>
      </c>
      <c r="F759" s="50" t="s">
        <v>765</v>
      </c>
      <c r="G759" s="25">
        <f t="shared" si="9"/>
        <v>1.5644555694618312E-2</v>
      </c>
    </row>
    <row r="760" spans="1:7">
      <c r="A760" s="50">
        <v>155.34327804381081</v>
      </c>
      <c r="B760" s="50">
        <v>159.17590459106535</v>
      </c>
      <c r="C760" s="50">
        <v>154.92890577410893</v>
      </c>
      <c r="D760" s="50">
        <v>159.17590459106535</v>
      </c>
      <c r="E760" s="50">
        <v>2889231.3700462817</v>
      </c>
      <c r="F760" s="50" t="s">
        <v>766</v>
      </c>
      <c r="G760" s="25">
        <f t="shared" si="9"/>
        <v>-2.4077931626026117E-2</v>
      </c>
    </row>
    <row r="761" spans="1:7">
      <c r="A761" s="50">
        <v>157.82034456544608</v>
      </c>
      <c r="B761" s="50">
        <v>158.5517618454565</v>
      </c>
      <c r="C761" s="50">
        <v>156.34288165982503</v>
      </c>
      <c r="D761" s="50">
        <v>157.66430887904383</v>
      </c>
      <c r="E761" s="50">
        <v>2811999.8066913718</v>
      </c>
      <c r="F761" s="50" t="s">
        <v>767</v>
      </c>
      <c r="G761" s="25">
        <f t="shared" si="9"/>
        <v>9.8967031607610778E-4</v>
      </c>
    </row>
    <row r="762" spans="1:7">
      <c r="A762" s="50">
        <v>157.14744066783646</v>
      </c>
      <c r="B762" s="50">
        <v>157.17669735903689</v>
      </c>
      <c r="C762" s="50">
        <v>153.89019571419016</v>
      </c>
      <c r="D762" s="50">
        <v>154.12424924379346</v>
      </c>
      <c r="E762" s="50">
        <v>2432913.192828415</v>
      </c>
      <c r="F762" s="50" t="s">
        <v>768</v>
      </c>
      <c r="G762" s="25">
        <f t="shared" si="9"/>
        <v>1.96152872690456E-2</v>
      </c>
    </row>
    <row r="763" spans="1:7">
      <c r="A763" s="50">
        <v>154.89467544540443</v>
      </c>
      <c r="B763" s="50">
        <v>156.80611260383162</v>
      </c>
      <c r="C763" s="50">
        <v>154.30954162139608</v>
      </c>
      <c r="D763" s="50">
        <v>156.6500769174294</v>
      </c>
      <c r="E763" s="50">
        <v>3849933.6520459629</v>
      </c>
      <c r="F763" s="50" t="s">
        <v>769</v>
      </c>
      <c r="G763" s="25">
        <f t="shared" si="9"/>
        <v>-1.1205876859864183E-2</v>
      </c>
    </row>
    <row r="764" spans="1:7">
      <c r="A764" s="50">
        <v>157.08892728543566</v>
      </c>
      <c r="B764" s="50">
        <v>157.59604326624287</v>
      </c>
      <c r="C764" s="50">
        <v>156.2209787798233</v>
      </c>
      <c r="D764" s="50">
        <v>156.58181130462845</v>
      </c>
      <c r="E764" s="50">
        <v>2406450.5284520355</v>
      </c>
      <c r="F764" s="50" t="s">
        <v>770</v>
      </c>
      <c r="G764" s="25">
        <f t="shared" si="9"/>
        <v>3.2386646736421998E-3</v>
      </c>
    </row>
    <row r="765" spans="1:7">
      <c r="A765" s="50">
        <v>157.94712356064784</v>
      </c>
      <c r="B765" s="50">
        <v>160.50249348538026</v>
      </c>
      <c r="C765" s="50">
        <v>156.2662148268885</v>
      </c>
      <c r="D765" s="50">
        <v>160.32760124718564</v>
      </c>
      <c r="E765" s="50">
        <v>2124001.6357194618</v>
      </c>
      <c r="F765" s="50" t="s">
        <v>771</v>
      </c>
      <c r="G765" s="25">
        <f t="shared" si="9"/>
        <v>-1.4847584994848728E-2</v>
      </c>
    </row>
    <row r="766" spans="1:7">
      <c r="A766" s="50">
        <v>159.13250428618912</v>
      </c>
      <c r="B766" s="50">
        <v>160.55107466265656</v>
      </c>
      <c r="C766" s="50">
        <v>158.06371838611093</v>
      </c>
      <c r="D766" s="50">
        <v>159.45314005621259</v>
      </c>
      <c r="E766" s="50">
        <v>2783342.3885759865</v>
      </c>
      <c r="F766" s="50" t="s">
        <v>772</v>
      </c>
      <c r="G766" s="25">
        <f t="shared" si="9"/>
        <v>-2.0108463835233348E-3</v>
      </c>
    </row>
    <row r="767" spans="1:7">
      <c r="A767" s="50">
        <v>160.26930383445412</v>
      </c>
      <c r="B767" s="50">
        <v>160.39561489537246</v>
      </c>
      <c r="C767" s="50">
        <v>157.16010848877207</v>
      </c>
      <c r="D767" s="50">
        <v>159.02562569618129</v>
      </c>
      <c r="E767" s="50">
        <v>3699322.661078054</v>
      </c>
      <c r="F767" s="50" t="s">
        <v>773</v>
      </c>
      <c r="G767" s="25">
        <f t="shared" si="9"/>
        <v>7.8206146514328001E-3</v>
      </c>
    </row>
    <row r="768" spans="1:7">
      <c r="A768" s="50">
        <v>157.80138002881898</v>
      </c>
      <c r="B768" s="50">
        <v>160.27902006990939</v>
      </c>
      <c r="C768" s="50">
        <v>157.21840590150362</v>
      </c>
      <c r="D768" s="50">
        <v>159.30739652438373</v>
      </c>
      <c r="E768" s="50">
        <v>2722057.3360736961</v>
      </c>
      <c r="F768" s="50" t="s">
        <v>774</v>
      </c>
      <c r="G768" s="25">
        <f t="shared" si="9"/>
        <v>-9.4535252500610456E-3</v>
      </c>
    </row>
    <row r="769" spans="1:7">
      <c r="A769" s="50">
        <v>158.94789581253926</v>
      </c>
      <c r="B769" s="50">
        <v>159.52805223157259</v>
      </c>
      <c r="C769" s="50">
        <v>156.50912071326991</v>
      </c>
      <c r="D769" s="50">
        <v>157.11152731149579</v>
      </c>
      <c r="E769" s="50">
        <v>3998448.8003512309</v>
      </c>
      <c r="F769" s="50" t="s">
        <v>775</v>
      </c>
      <c r="G769" s="25">
        <f t="shared" si="9"/>
        <v>1.1688311688311748E-2</v>
      </c>
    </row>
    <row r="770" spans="1:7">
      <c r="A770" s="50">
        <v>154.69218468313696</v>
      </c>
      <c r="B770" s="50">
        <v>157.97627226701363</v>
      </c>
      <c r="C770" s="50">
        <v>153.70112866670081</v>
      </c>
      <c r="D770" s="50">
        <v>157.60705531971388</v>
      </c>
      <c r="E770" s="50">
        <v>5026306.7650938593</v>
      </c>
      <c r="F770" s="50" t="s">
        <v>776</v>
      </c>
      <c r="G770" s="25">
        <f t="shared" si="9"/>
        <v>-1.8494544109487698E-2</v>
      </c>
    </row>
    <row r="771" spans="1:7">
      <c r="A771" s="50">
        <v>158.4912327461422</v>
      </c>
      <c r="B771" s="50">
        <v>159.80292453260182</v>
      </c>
      <c r="C771" s="50">
        <v>157.23783837241413</v>
      </c>
      <c r="D771" s="50">
        <v>159.29768028892846</v>
      </c>
      <c r="E771" s="50">
        <v>4090174.654886575</v>
      </c>
      <c r="F771" s="50" t="s">
        <v>777</v>
      </c>
      <c r="G771" s="25">
        <f t="shared" si="9"/>
        <v>-5.062519060689108E-3</v>
      </c>
    </row>
    <row r="772" spans="1:7">
      <c r="A772" s="50">
        <v>155.24601010408657</v>
      </c>
      <c r="B772" s="50">
        <v>156.14476188369778</v>
      </c>
      <c r="C772" s="50">
        <v>153.34162795485631</v>
      </c>
      <c r="D772" s="50">
        <v>155.96501152777554</v>
      </c>
      <c r="E772" s="50">
        <v>2664553.5834554187</v>
      </c>
      <c r="F772" s="50" t="s">
        <v>778</v>
      </c>
      <c r="G772" s="25">
        <f t="shared" si="9"/>
        <v>-4.6100174433092445E-3</v>
      </c>
    </row>
    <row r="773" spans="1:7">
      <c r="A773" s="50">
        <v>158.14144826975297</v>
      </c>
      <c r="B773" s="50">
        <v>161.52269820818219</v>
      </c>
      <c r="C773" s="50">
        <v>156.25649859143323</v>
      </c>
      <c r="D773" s="50">
        <v>158.05400215065566</v>
      </c>
      <c r="E773" s="50">
        <v>3836604.2251305594</v>
      </c>
      <c r="F773" s="50" t="s">
        <v>779</v>
      </c>
      <c r="G773" s="25">
        <f t="shared" si="9"/>
        <v>5.5326735107885661E-4</v>
      </c>
    </row>
    <row r="774" spans="1:7">
      <c r="A774" s="50">
        <v>158.13173203429773</v>
      </c>
      <c r="B774" s="50">
        <v>162.0376586873108</v>
      </c>
      <c r="C774" s="50">
        <v>157.88882614791629</v>
      </c>
      <c r="D774" s="50">
        <v>159.95838429988592</v>
      </c>
      <c r="E774" s="50">
        <v>4494813.8814785015</v>
      </c>
      <c r="F774" s="50" t="s">
        <v>780</v>
      </c>
      <c r="G774" s="25">
        <f t="shared" si="9"/>
        <v>-1.1419546862661667E-2</v>
      </c>
    </row>
    <row r="775" spans="1:7">
      <c r="A775" s="50">
        <v>159.89037065169913</v>
      </c>
      <c r="B775" s="50">
        <v>159.90008688715437</v>
      </c>
      <c r="C775" s="50">
        <v>157.11152731149579</v>
      </c>
      <c r="D775" s="50">
        <v>158.31634050794759</v>
      </c>
      <c r="E775" s="50">
        <v>4103195.1298001958</v>
      </c>
      <c r="F775" s="50" t="s">
        <v>781</v>
      </c>
      <c r="G775" s="25">
        <f t="shared" si="9"/>
        <v>9.9423100527802344E-3</v>
      </c>
    </row>
    <row r="776" spans="1:7">
      <c r="A776" s="50">
        <v>154.2355216167399</v>
      </c>
      <c r="B776" s="50">
        <v>156.13018753051489</v>
      </c>
      <c r="C776" s="50">
        <v>153.0987220684749</v>
      </c>
      <c r="D776" s="50">
        <v>153.87602090489543</v>
      </c>
      <c r="E776" s="50">
        <v>3143525.0967983091</v>
      </c>
      <c r="F776" s="50" t="s">
        <v>782</v>
      </c>
      <c r="G776" s="25">
        <f t="shared" si="9"/>
        <v>2.3363010671211271E-3</v>
      </c>
    </row>
    <row r="777" spans="1:7">
      <c r="A777" s="50">
        <v>152.07851734567299</v>
      </c>
      <c r="B777" s="50">
        <v>154.14613225055155</v>
      </c>
      <c r="C777" s="50">
        <v>150.50448720192145</v>
      </c>
      <c r="D777" s="50">
        <v>153.73027737306657</v>
      </c>
      <c r="E777" s="50">
        <v>7664647.5214545811</v>
      </c>
      <c r="F777" s="50" t="s">
        <v>783</v>
      </c>
      <c r="G777" s="25">
        <f t="shared" si="9"/>
        <v>-1.0744532928833261E-2</v>
      </c>
    </row>
    <row r="778" spans="1:7">
      <c r="A778" s="50">
        <v>156.16905247233592</v>
      </c>
      <c r="B778" s="50">
        <v>157.32528449151141</v>
      </c>
      <c r="C778" s="50">
        <v>151.67043545655221</v>
      </c>
      <c r="D778" s="50">
        <v>153.57481760578247</v>
      </c>
      <c r="E778" s="50">
        <v>4876733.4034053283</v>
      </c>
      <c r="F778" s="50" t="s">
        <v>784</v>
      </c>
      <c r="G778" s="25">
        <f t="shared" ref="G778:G841" si="10">A778/D778-1</f>
        <v>1.6892319372390219E-2</v>
      </c>
    </row>
    <row r="779" spans="1:7">
      <c r="A779" s="50">
        <v>155.27515881045233</v>
      </c>
      <c r="B779" s="50">
        <v>155.41604422455356</v>
      </c>
      <c r="C779" s="50">
        <v>151.50525945381287</v>
      </c>
      <c r="D779" s="50">
        <v>153.42907407395361</v>
      </c>
      <c r="E779" s="50">
        <v>6278948.2903067581</v>
      </c>
      <c r="F779" s="50" t="s">
        <v>785</v>
      </c>
      <c r="G779" s="25">
        <f t="shared" si="10"/>
        <v>1.203217022354508E-2</v>
      </c>
    </row>
    <row r="780" spans="1:7">
      <c r="A780" s="50">
        <v>159.25881534710746</v>
      </c>
      <c r="B780" s="50">
        <v>159.65718100077297</v>
      </c>
      <c r="C780" s="50">
        <v>156.31479600416478</v>
      </c>
      <c r="D780" s="50">
        <v>156.91720260239066</v>
      </c>
      <c r="E780" s="50">
        <v>5438367.5903421864</v>
      </c>
      <c r="F780" s="50" t="s">
        <v>786</v>
      </c>
      <c r="G780" s="25">
        <f t="shared" si="10"/>
        <v>1.4922600619195148E-2</v>
      </c>
    </row>
    <row r="781" spans="1:7">
      <c r="A781" s="50">
        <v>153.15701948120645</v>
      </c>
      <c r="B781" s="50">
        <v>157.38844002197061</v>
      </c>
      <c r="C781" s="50">
        <v>152.95297853664604</v>
      </c>
      <c r="D781" s="50">
        <v>156.90262824920779</v>
      </c>
      <c r="E781" s="50">
        <v>6302014.8371223509</v>
      </c>
      <c r="F781" s="50" t="s">
        <v>787</v>
      </c>
      <c r="G781" s="25">
        <f t="shared" si="10"/>
        <v>-2.3872186271170714E-2</v>
      </c>
    </row>
    <row r="782" spans="1:7">
      <c r="A782" s="50">
        <v>160.99802149359834</v>
      </c>
      <c r="B782" s="50">
        <v>165.9824502821449</v>
      </c>
      <c r="C782" s="50">
        <v>160.15756712671867</v>
      </c>
      <c r="D782" s="50">
        <v>165.9824502821449</v>
      </c>
      <c r="E782" s="50">
        <v>5253389.5699682888</v>
      </c>
      <c r="F782" s="50" t="s">
        <v>788</v>
      </c>
      <c r="G782" s="25">
        <f t="shared" si="10"/>
        <v>-3.0029854241058529E-2</v>
      </c>
    </row>
    <row r="783" spans="1:7">
      <c r="A783" s="50">
        <v>167.23584465587294</v>
      </c>
      <c r="B783" s="50">
        <v>175.15205033068855</v>
      </c>
      <c r="C783" s="50">
        <v>167.07552677086122</v>
      </c>
      <c r="D783" s="50">
        <v>174.49873065867709</v>
      </c>
      <c r="E783" s="50">
        <v>4476475.5033257157</v>
      </c>
      <c r="F783" s="50" t="s">
        <v>789</v>
      </c>
      <c r="G783" s="25">
        <f t="shared" si="10"/>
        <v>-4.1621425986246852E-2</v>
      </c>
    </row>
    <row r="784" spans="1:7">
      <c r="A784" s="50">
        <v>169.86894446424745</v>
      </c>
      <c r="B784" s="50">
        <v>171.21950119252807</v>
      </c>
      <c r="C784" s="50">
        <v>168.64469879688511</v>
      </c>
      <c r="D784" s="50">
        <v>170.84056800977308</v>
      </c>
      <c r="E784" s="50">
        <v>2162816.0512136826</v>
      </c>
      <c r="F784" s="50" t="s">
        <v>790</v>
      </c>
      <c r="G784" s="25">
        <f t="shared" si="10"/>
        <v>-5.6873116078028918E-3</v>
      </c>
    </row>
    <row r="785" spans="1:7">
      <c r="A785" s="50">
        <v>170.34504000155499</v>
      </c>
      <c r="B785" s="50">
        <v>173.82345229453679</v>
      </c>
      <c r="C785" s="50">
        <v>170.11185035062886</v>
      </c>
      <c r="D785" s="50">
        <v>173.59997887906587</v>
      </c>
      <c r="E785" s="50">
        <v>2991472.3797966074</v>
      </c>
      <c r="F785" s="50" t="s">
        <v>791</v>
      </c>
      <c r="G785" s="25">
        <f t="shared" si="10"/>
        <v>-1.8749650193093381E-2</v>
      </c>
    </row>
    <row r="786" spans="1:7">
      <c r="A786" s="50">
        <v>173.97891206182089</v>
      </c>
      <c r="B786" s="50">
        <v>175.39262432056069</v>
      </c>
      <c r="C786" s="50">
        <v>173.3959379345055</v>
      </c>
      <c r="D786" s="50">
        <v>173.49310028905808</v>
      </c>
      <c r="E786" s="50">
        <v>2810668.8156909612</v>
      </c>
      <c r="F786" s="50" t="s">
        <v>792</v>
      </c>
      <c r="G786" s="25">
        <f t="shared" si="10"/>
        <v>2.8001792114695778E-3</v>
      </c>
    </row>
    <row r="787" spans="1:7">
      <c r="A787" s="50">
        <v>174.00806076818665</v>
      </c>
      <c r="B787" s="50">
        <v>174.29954783184434</v>
      </c>
      <c r="C787" s="50">
        <v>170.25759388245768</v>
      </c>
      <c r="D787" s="50">
        <v>171.01546024796767</v>
      </c>
      <c r="E787" s="50">
        <v>2959655.5304187182</v>
      </c>
      <c r="F787" s="50" t="s">
        <v>793</v>
      </c>
      <c r="G787" s="25">
        <f t="shared" si="10"/>
        <v>1.7499005738310425E-2</v>
      </c>
    </row>
    <row r="788" spans="1:7">
      <c r="A788" s="50">
        <v>170.36447247246551</v>
      </c>
      <c r="B788" s="50">
        <v>170.83570989204543</v>
      </c>
      <c r="C788" s="50">
        <v>167.76052137045679</v>
      </c>
      <c r="D788" s="50">
        <v>169.10136186328216</v>
      </c>
      <c r="E788" s="50">
        <v>1847778.3996359783</v>
      </c>
      <c r="F788" s="50" t="s">
        <v>794</v>
      </c>
      <c r="G788" s="25">
        <f t="shared" si="10"/>
        <v>7.4695472305217336E-3</v>
      </c>
    </row>
    <row r="789" spans="1:7">
      <c r="A789" s="50">
        <v>170.91829789341512</v>
      </c>
      <c r="B789" s="50">
        <v>172.17169226714319</v>
      </c>
      <c r="C789" s="50">
        <v>168.10058961139075</v>
      </c>
      <c r="D789" s="50">
        <v>168.58640138415359</v>
      </c>
      <c r="E789" s="50">
        <v>2641407.7878398611</v>
      </c>
      <c r="F789" s="50" t="s">
        <v>795</v>
      </c>
      <c r="G789" s="25">
        <f t="shared" si="10"/>
        <v>1.3832055789291697E-2</v>
      </c>
    </row>
    <row r="790" spans="1:7">
      <c r="A790" s="50">
        <v>169.05278068600589</v>
      </c>
      <c r="B790" s="50">
        <v>170.35961435473789</v>
      </c>
      <c r="C790" s="50">
        <v>168.65441503234038</v>
      </c>
      <c r="D790" s="50">
        <v>169.0722131569164</v>
      </c>
      <c r="E790" s="50">
        <v>2368603.5714119812</v>
      </c>
      <c r="F790" s="50" t="s">
        <v>796</v>
      </c>
      <c r="G790" s="25">
        <f t="shared" si="10"/>
        <v>-1.1493592322286972E-4</v>
      </c>
    </row>
    <row r="791" spans="1:7">
      <c r="A791" s="50">
        <v>168.38236043959321</v>
      </c>
      <c r="B791" s="50">
        <v>170.70454071339947</v>
      </c>
      <c r="C791" s="50">
        <v>168.16860325957757</v>
      </c>
      <c r="D791" s="50">
        <v>170.54908094611537</v>
      </c>
      <c r="E791" s="50">
        <v>1964878.2790326306</v>
      </c>
      <c r="F791" s="50" t="s">
        <v>797</v>
      </c>
      <c r="G791" s="25">
        <f t="shared" si="10"/>
        <v>-1.2704381017489719E-2</v>
      </c>
    </row>
    <row r="792" spans="1:7">
      <c r="A792" s="50">
        <v>169.30540280784257</v>
      </c>
      <c r="B792" s="50">
        <v>169.97582305425524</v>
      </c>
      <c r="C792" s="50">
        <v>167.30385830405973</v>
      </c>
      <c r="D792" s="50">
        <v>168.76129362234821</v>
      </c>
      <c r="E792" s="50">
        <v>1716109.0915082204</v>
      </c>
      <c r="F792" s="50" t="s">
        <v>798</v>
      </c>
      <c r="G792" s="25">
        <f t="shared" si="10"/>
        <v>3.2241349530772734E-3</v>
      </c>
    </row>
    <row r="793" spans="1:7">
      <c r="A793" s="50">
        <v>170.17014776336038</v>
      </c>
      <c r="B793" s="50">
        <v>171.58871813982779</v>
      </c>
      <c r="C793" s="50">
        <v>167.9499879618343</v>
      </c>
      <c r="D793" s="50">
        <v>170.26731011791296</v>
      </c>
      <c r="E793" s="50">
        <v>2650524.4874513424</v>
      </c>
      <c r="F793" s="50" t="s">
        <v>799</v>
      </c>
      <c r="G793" s="25">
        <f t="shared" si="10"/>
        <v>-5.706459712395695E-4</v>
      </c>
    </row>
    <row r="794" spans="1:7">
      <c r="A794" s="50">
        <v>169.74263340332908</v>
      </c>
      <c r="B794" s="50">
        <v>171.02799419170495</v>
      </c>
      <c r="C794" s="50">
        <v>168.02285972774871</v>
      </c>
      <c r="D794" s="50">
        <v>168.63498256142987</v>
      </c>
      <c r="E794" s="50">
        <v>2540875.0244565322</v>
      </c>
      <c r="F794" s="50" t="s">
        <v>800</v>
      </c>
      <c r="G794" s="25">
        <f t="shared" si="10"/>
        <v>6.5683337174462508E-3</v>
      </c>
    </row>
    <row r="795" spans="1:7">
      <c r="A795" s="50">
        <v>168.5572526777878</v>
      </c>
      <c r="B795" s="50">
        <v>171.49155578527524</v>
      </c>
      <c r="C795" s="50">
        <v>168.4017929105037</v>
      </c>
      <c r="D795" s="50">
        <v>170.15071529244986</v>
      </c>
      <c r="E795" s="50">
        <v>2792585.6804263717</v>
      </c>
      <c r="F795" s="50" t="s">
        <v>801</v>
      </c>
      <c r="G795" s="25">
        <f t="shared" si="10"/>
        <v>-9.3650068524441243E-3</v>
      </c>
    </row>
    <row r="796" spans="1:7">
      <c r="A796" s="50">
        <v>172.26885462169577</v>
      </c>
      <c r="B796" s="50">
        <v>172.57005792080872</v>
      </c>
      <c r="C796" s="50">
        <v>169.69891034378045</v>
      </c>
      <c r="D796" s="50">
        <v>171.05432518978873</v>
      </c>
      <c r="E796" s="50">
        <v>2424199.1775999488</v>
      </c>
      <c r="F796" s="50" t="s">
        <v>802</v>
      </c>
      <c r="G796" s="25">
        <f t="shared" si="10"/>
        <v>7.1002556092019109E-3</v>
      </c>
    </row>
    <row r="797" spans="1:7">
      <c r="A797" s="50">
        <v>172.89069369083217</v>
      </c>
      <c r="B797" s="50">
        <v>174.77564336915191</v>
      </c>
      <c r="C797" s="50">
        <v>172.63807156899551</v>
      </c>
      <c r="D797" s="50">
        <v>174.38699395094164</v>
      </c>
      <c r="E797" s="50">
        <v>1954566.6721905179</v>
      </c>
      <c r="F797" s="50" t="s">
        <v>803</v>
      </c>
      <c r="G797" s="25">
        <f t="shared" si="10"/>
        <v>-8.5803432137284696E-3</v>
      </c>
    </row>
    <row r="798" spans="1:7">
      <c r="A798" s="50">
        <v>175.54322597011713</v>
      </c>
      <c r="B798" s="50">
        <v>175.61123961830396</v>
      </c>
      <c r="C798" s="50">
        <v>173.43480287632653</v>
      </c>
      <c r="D798" s="50">
        <v>173.84288476544728</v>
      </c>
      <c r="E798" s="50">
        <v>1545943.3922912935</v>
      </c>
      <c r="F798" s="50" t="s">
        <v>804</v>
      </c>
      <c r="G798" s="25">
        <f t="shared" si="10"/>
        <v>9.7809076682315865E-3</v>
      </c>
    </row>
    <row r="799" spans="1:7">
      <c r="A799" s="50">
        <v>175.88329421105115</v>
      </c>
      <c r="B799" s="50">
        <v>176.98122881749512</v>
      </c>
      <c r="C799" s="50">
        <v>173.71657370452894</v>
      </c>
      <c r="D799" s="50">
        <v>175.19344149372793</v>
      </c>
      <c r="E799" s="50">
        <v>2394060.9618940316</v>
      </c>
      <c r="F799" s="50" t="s">
        <v>805</v>
      </c>
      <c r="G799" s="25">
        <f t="shared" si="10"/>
        <v>3.9376629138705432E-3</v>
      </c>
    </row>
    <row r="800" spans="1:7">
      <c r="A800" s="50">
        <v>176.18449751016411</v>
      </c>
      <c r="B800" s="50">
        <v>176.23366166156765</v>
      </c>
      <c r="C800" s="50">
        <v>173.22104569631088</v>
      </c>
      <c r="D800" s="50">
        <v>174.15380430001551</v>
      </c>
      <c r="E800" s="50">
        <v>3193158.5172954532</v>
      </c>
      <c r="F800" s="50" t="s">
        <v>806</v>
      </c>
      <c r="G800" s="25">
        <f t="shared" si="10"/>
        <v>1.1660343673287388E-2</v>
      </c>
    </row>
    <row r="801" spans="1:7">
      <c r="A801" s="50">
        <v>174.16352053547075</v>
      </c>
      <c r="B801" s="50">
        <v>174.62989983732305</v>
      </c>
      <c r="C801" s="50">
        <v>171.48183954981999</v>
      </c>
      <c r="D801" s="50">
        <v>173.50281652451332</v>
      </c>
      <c r="E801" s="50">
        <v>2661776.7878410839</v>
      </c>
      <c r="F801" s="50" t="s">
        <v>807</v>
      </c>
      <c r="G801" s="25">
        <f t="shared" si="10"/>
        <v>3.8080304642436058E-3</v>
      </c>
    </row>
    <row r="802" spans="1:7">
      <c r="A802" s="50">
        <v>174.28011536093382</v>
      </c>
      <c r="B802" s="50">
        <v>176.91321516930833</v>
      </c>
      <c r="C802" s="50">
        <v>173.41537040541601</v>
      </c>
      <c r="D802" s="50">
        <v>174.0663581809182</v>
      </c>
      <c r="E802" s="50">
        <v>3661758.7298949589</v>
      </c>
      <c r="F802" s="50" t="s">
        <v>808</v>
      </c>
      <c r="G802" s="25">
        <f t="shared" si="10"/>
        <v>1.2280212112754096E-3</v>
      </c>
    </row>
    <row r="803" spans="1:7">
      <c r="A803" s="50">
        <v>173.92061464908934</v>
      </c>
      <c r="B803" s="50">
        <v>174.98940054916753</v>
      </c>
      <c r="C803" s="50">
        <v>172.83239627810062</v>
      </c>
      <c r="D803" s="50">
        <v>174.64933230823357</v>
      </c>
      <c r="E803" s="50">
        <v>3012017.3738860628</v>
      </c>
      <c r="F803" s="50" t="s">
        <v>809</v>
      </c>
      <c r="G803" s="25">
        <f t="shared" si="10"/>
        <v>-4.1724617524339092E-3</v>
      </c>
    </row>
    <row r="804" spans="1:7">
      <c r="A804" s="50">
        <v>173.62912758543163</v>
      </c>
      <c r="B804" s="50">
        <v>173.9497633554551</v>
      </c>
      <c r="C804" s="50">
        <v>169.78946565822343</v>
      </c>
      <c r="D804" s="50">
        <v>170.08270164426307</v>
      </c>
      <c r="E804" s="50">
        <v>3629380.9636861533</v>
      </c>
      <c r="F804" s="50" t="s">
        <v>810</v>
      </c>
      <c r="G804" s="25">
        <f t="shared" si="10"/>
        <v>2.0851185375606818E-2</v>
      </c>
    </row>
    <row r="805" spans="1:7">
      <c r="A805" s="50">
        <v>171.47212331436472</v>
      </c>
      <c r="B805" s="50">
        <v>172.70608521718231</v>
      </c>
      <c r="C805" s="50">
        <v>170.70454071339947</v>
      </c>
      <c r="D805" s="50">
        <v>171.7247454362014</v>
      </c>
      <c r="E805" s="50">
        <v>3496994.299537939</v>
      </c>
      <c r="F805" s="50" t="s">
        <v>811</v>
      </c>
      <c r="G805" s="25">
        <f t="shared" si="10"/>
        <v>-1.4710874731244106E-3</v>
      </c>
    </row>
    <row r="806" spans="1:7">
      <c r="A806" s="50">
        <v>173.78458735271576</v>
      </c>
      <c r="B806" s="50">
        <v>175.28088761282524</v>
      </c>
      <c r="C806" s="50">
        <v>166.35166722944462</v>
      </c>
      <c r="D806" s="50">
        <v>166.6917354703786</v>
      </c>
      <c r="E806" s="50">
        <v>5459995.30829609</v>
      </c>
      <c r="F806" s="50" t="s">
        <v>812</v>
      </c>
      <c r="G806" s="25">
        <f t="shared" si="10"/>
        <v>4.2550711121473572E-2</v>
      </c>
    </row>
    <row r="807" spans="1:7">
      <c r="A807" s="50">
        <v>168.21718443685384</v>
      </c>
      <c r="B807" s="50">
        <v>170.24787764700244</v>
      </c>
      <c r="C807" s="50">
        <v>166.2253561685263</v>
      </c>
      <c r="D807" s="50">
        <v>169.21795668874526</v>
      </c>
      <c r="E807" s="50">
        <v>7096898.8264581366</v>
      </c>
      <c r="F807" s="50" t="s">
        <v>813</v>
      </c>
      <c r="G807" s="25">
        <f t="shared" si="10"/>
        <v>-5.9141019751952628E-3</v>
      </c>
    </row>
    <row r="808" spans="1:7">
      <c r="A808" s="50">
        <v>168.68356373870617</v>
      </c>
      <c r="B808" s="50">
        <v>170.15071529244986</v>
      </c>
      <c r="C808" s="50">
        <v>167.05123618222308</v>
      </c>
      <c r="D808" s="50">
        <v>168.46009032323525</v>
      </c>
      <c r="E808" s="50">
        <v>3834013.7156564002</v>
      </c>
      <c r="F808" s="50" t="s">
        <v>814</v>
      </c>
      <c r="G808" s="25">
        <f t="shared" si="10"/>
        <v>1.3265659245589312E-3</v>
      </c>
    </row>
    <row r="809" spans="1:7">
      <c r="A809" s="50">
        <v>169.9661068188</v>
      </c>
      <c r="B809" s="50">
        <v>170.33532376609975</v>
      </c>
      <c r="C809" s="50">
        <v>167.0172293581297</v>
      </c>
      <c r="D809" s="50">
        <v>168.00342725683819</v>
      </c>
      <c r="E809" s="50">
        <v>5321945.9571686061</v>
      </c>
      <c r="F809" s="50" t="s">
        <v>815</v>
      </c>
      <c r="G809" s="25">
        <f t="shared" si="10"/>
        <v>1.1682378115782877E-2</v>
      </c>
    </row>
    <row r="810" spans="1:7">
      <c r="A810" s="50">
        <v>167.76052137045679</v>
      </c>
      <c r="B810" s="50">
        <v>172.81296380719013</v>
      </c>
      <c r="C810" s="50">
        <v>167.61555513746436</v>
      </c>
      <c r="D810" s="50">
        <v>169.83007952242639</v>
      </c>
      <c r="E810" s="50">
        <v>10539742.523900965</v>
      </c>
      <c r="F810" s="50" t="s">
        <v>816</v>
      </c>
      <c r="G810" s="25">
        <f t="shared" si="10"/>
        <v>-1.2186051833628864E-2</v>
      </c>
    </row>
    <row r="811" spans="1:7">
      <c r="A811" s="50">
        <v>167.42045312952283</v>
      </c>
      <c r="B811" s="50">
        <v>170.56035177924346</v>
      </c>
      <c r="C811" s="50">
        <v>160.80369678449321</v>
      </c>
      <c r="D811" s="50">
        <v>162.06680739367656</v>
      </c>
      <c r="E811" s="50">
        <v>14406132.976560976</v>
      </c>
      <c r="F811" s="50" t="s">
        <v>817</v>
      </c>
      <c r="G811" s="25">
        <f t="shared" si="10"/>
        <v>3.3033573141486805E-2</v>
      </c>
    </row>
    <row r="812" spans="1:7">
      <c r="A812" s="50">
        <v>151.45667827653656</v>
      </c>
      <c r="B812" s="50">
        <v>153.73989644616725</v>
      </c>
      <c r="C812" s="50">
        <v>149.90693872142319</v>
      </c>
      <c r="D812" s="50">
        <v>153.17645195211696</v>
      </c>
      <c r="E812" s="50">
        <v>3746567.2963191303</v>
      </c>
      <c r="F812" s="50" t="s">
        <v>818</v>
      </c>
      <c r="G812" s="25">
        <f t="shared" si="10"/>
        <v>-1.122740247383458E-2</v>
      </c>
    </row>
    <row r="813" spans="1:7">
      <c r="A813" s="50">
        <v>152.3214232320544</v>
      </c>
      <c r="B813" s="50">
        <v>152.59833594252922</v>
      </c>
      <c r="C813" s="50">
        <v>149.01790317726721</v>
      </c>
      <c r="D813" s="50">
        <v>149.13449800273031</v>
      </c>
      <c r="E813" s="50">
        <v>3001627.5474491804</v>
      </c>
      <c r="F813" s="50" t="s">
        <v>819</v>
      </c>
      <c r="G813" s="25">
        <f t="shared" si="10"/>
        <v>2.1369470323799655E-2</v>
      </c>
    </row>
    <row r="814" spans="1:7">
      <c r="A814" s="50">
        <v>150.92228532649747</v>
      </c>
      <c r="B814" s="50">
        <v>152.22426087750182</v>
      </c>
      <c r="C814" s="50">
        <v>148.32814762229856</v>
      </c>
      <c r="D814" s="50">
        <v>148.58067258178068</v>
      </c>
      <c r="E814" s="50">
        <v>2417089.428117434</v>
      </c>
      <c r="F814" s="50" t="s">
        <v>820</v>
      </c>
      <c r="G814" s="25">
        <f t="shared" si="10"/>
        <v>1.5759874444153832E-2</v>
      </c>
    </row>
    <row r="815" spans="1:7">
      <c r="A815" s="50">
        <v>149.63002601094837</v>
      </c>
      <c r="B815" s="50">
        <v>150.65994696920555</v>
      </c>
      <c r="C815" s="50">
        <v>147.24954832441057</v>
      </c>
      <c r="D815" s="50">
        <v>147.68677891989711</v>
      </c>
      <c r="E815" s="50">
        <v>3714043.382972728</v>
      </c>
      <c r="F815" s="50" t="s">
        <v>821</v>
      </c>
      <c r="G815" s="25">
        <f t="shared" si="10"/>
        <v>1.3157894736842035E-2</v>
      </c>
    </row>
    <row r="816" spans="1:7">
      <c r="A816" s="50">
        <v>147.29812950168684</v>
      </c>
      <c r="B816" s="50">
        <v>147.47302173988146</v>
      </c>
      <c r="C816" s="50">
        <v>143.52823014504736</v>
      </c>
      <c r="D816" s="50">
        <v>143.76141979597352</v>
      </c>
      <c r="E816" s="50">
        <v>4070280.1184799438</v>
      </c>
      <c r="F816" s="50" t="s">
        <v>822</v>
      </c>
      <c r="G816" s="25">
        <f t="shared" si="10"/>
        <v>2.4601243579345677E-2</v>
      </c>
    </row>
    <row r="817" spans="1:7">
      <c r="A817" s="50">
        <v>142.68291766044004</v>
      </c>
      <c r="B817" s="50">
        <v>143.80028473779453</v>
      </c>
      <c r="C817" s="50">
        <v>140.10811526479711</v>
      </c>
      <c r="D817" s="50">
        <v>142.4497280095139</v>
      </c>
      <c r="E817" s="50">
        <v>3964986.2518675886</v>
      </c>
      <c r="F817" s="50" t="s">
        <v>823</v>
      </c>
      <c r="G817" s="25">
        <f t="shared" si="10"/>
        <v>1.6369961121340815E-3</v>
      </c>
    </row>
    <row r="818" spans="1:7">
      <c r="A818" s="50">
        <v>146.15161371796657</v>
      </c>
      <c r="B818" s="50">
        <v>150.3683627431933</v>
      </c>
      <c r="C818" s="50">
        <v>146.05493717518681</v>
      </c>
      <c r="D818" s="50">
        <v>150.10612154825594</v>
      </c>
      <c r="E818" s="50">
        <v>2843093.9253387069</v>
      </c>
      <c r="F818" s="50" t="s">
        <v>824</v>
      </c>
      <c r="G818" s="25">
        <f t="shared" si="10"/>
        <v>-2.6344747232830756E-2</v>
      </c>
    </row>
    <row r="819" spans="1:7">
      <c r="A819" s="50">
        <v>149.38712012456696</v>
      </c>
      <c r="B819" s="50">
        <v>151.67043545655221</v>
      </c>
      <c r="C819" s="50">
        <v>149.01790317726721</v>
      </c>
      <c r="D819" s="50">
        <v>151.12632627105785</v>
      </c>
      <c r="E819" s="50">
        <v>3163173.6531634927</v>
      </c>
      <c r="F819" s="50" t="s">
        <v>825</v>
      </c>
      <c r="G819" s="25">
        <f t="shared" si="10"/>
        <v>-1.1508293686511517E-2</v>
      </c>
    </row>
    <row r="820" spans="1:7">
      <c r="A820" s="50">
        <v>151.3400834510735</v>
      </c>
      <c r="B820" s="50">
        <v>151.81617898838107</v>
      </c>
      <c r="C820" s="50">
        <v>147.97826598355479</v>
      </c>
      <c r="D820" s="50">
        <v>148.8915921163489</v>
      </c>
      <c r="E820" s="50">
        <v>2461099.2714326936</v>
      </c>
      <c r="F820" s="50" t="s">
        <v>826</v>
      </c>
      <c r="G820" s="25">
        <f t="shared" si="10"/>
        <v>1.644479248238051E-2</v>
      </c>
    </row>
    <row r="821" spans="1:7">
      <c r="A821" s="50">
        <v>150.52391967283194</v>
      </c>
      <c r="B821" s="50">
        <v>151.32842396852718</v>
      </c>
      <c r="C821" s="50">
        <v>148.07542833810734</v>
      </c>
      <c r="D821" s="50">
        <v>150.36845990554784</v>
      </c>
      <c r="E821" s="50">
        <v>3419514.7033026773</v>
      </c>
      <c r="F821" s="50" t="s">
        <v>827</v>
      </c>
      <c r="G821" s="25">
        <f t="shared" si="10"/>
        <v>1.0338588782630165E-3</v>
      </c>
    </row>
    <row r="822" spans="1:7">
      <c r="A822" s="50">
        <v>149.55229612730631</v>
      </c>
      <c r="B822" s="50">
        <v>149.73690460095619</v>
      </c>
      <c r="C822" s="50">
        <v>147.94911727718903</v>
      </c>
      <c r="D822" s="50">
        <v>147.97826598355479</v>
      </c>
      <c r="E822" s="50">
        <v>3204635.1844175612</v>
      </c>
      <c r="F822" s="50" t="s">
        <v>828</v>
      </c>
      <c r="G822" s="25">
        <f t="shared" si="10"/>
        <v>1.0636900853578268E-2</v>
      </c>
    </row>
    <row r="823" spans="1:7">
      <c r="A823" s="50">
        <v>147.68677891989711</v>
      </c>
      <c r="B823" s="50">
        <v>147.86167115809172</v>
      </c>
      <c r="C823" s="50">
        <v>145.04396287606735</v>
      </c>
      <c r="D823" s="50">
        <v>146.23905983706388</v>
      </c>
      <c r="E823" s="50">
        <v>2262593.3779843645</v>
      </c>
      <c r="F823" s="50" t="s">
        <v>829</v>
      </c>
      <c r="G823" s="25">
        <f t="shared" si="10"/>
        <v>9.8996744402366499E-3</v>
      </c>
    </row>
    <row r="824" spans="1:7">
      <c r="A824" s="50">
        <v>146.13218124705608</v>
      </c>
      <c r="B824" s="50">
        <v>148.119151397656</v>
      </c>
      <c r="C824" s="50">
        <v>145.84069418339837</v>
      </c>
      <c r="D824" s="50">
        <v>147.05522361530544</v>
      </c>
      <c r="E824" s="50">
        <v>3313429.377895873</v>
      </c>
      <c r="F824" s="50" t="s">
        <v>830</v>
      </c>
      <c r="G824" s="25">
        <f t="shared" si="10"/>
        <v>-6.2768417575156388E-3</v>
      </c>
    </row>
    <row r="825" spans="1:7">
      <c r="A825" s="50">
        <v>145.90870783158516</v>
      </c>
      <c r="B825" s="50">
        <v>146.16132995342184</v>
      </c>
      <c r="C825" s="50">
        <v>141.35179340306993</v>
      </c>
      <c r="D825" s="50">
        <v>143.54766261595788</v>
      </c>
      <c r="E825" s="50">
        <v>3167474.7016706481</v>
      </c>
      <c r="F825" s="50" t="s">
        <v>831</v>
      </c>
      <c r="G825" s="25">
        <f t="shared" si="10"/>
        <v>1.6447813726817362E-2</v>
      </c>
    </row>
    <row r="826" spans="1:7">
      <c r="A826" s="50">
        <v>142.27483577131929</v>
      </c>
      <c r="B826" s="50">
        <v>144.49985369057299</v>
      </c>
      <c r="C826" s="50">
        <v>141.87647011765378</v>
      </c>
      <c r="D826" s="50">
        <v>142.984120959553</v>
      </c>
      <c r="E826" s="50">
        <v>2579042.0698835119</v>
      </c>
      <c r="F826" s="50" t="s">
        <v>832</v>
      </c>
      <c r="G826" s="25">
        <f t="shared" si="10"/>
        <v>-4.9605871160640636E-3</v>
      </c>
    </row>
    <row r="827" spans="1:7">
      <c r="A827" s="50">
        <v>145.76296429975633</v>
      </c>
      <c r="B827" s="50">
        <v>147.13790391252141</v>
      </c>
      <c r="C827" s="50">
        <v>143.8457949805487</v>
      </c>
      <c r="D827" s="50">
        <v>143.8457949805487</v>
      </c>
      <c r="E827" s="50">
        <v>2706265.0064441604</v>
      </c>
      <c r="F827" s="50" t="s">
        <v>833</v>
      </c>
      <c r="G827" s="25">
        <f t="shared" si="10"/>
        <v>1.3327948303715642E-2</v>
      </c>
    </row>
    <row r="828" spans="1:7">
      <c r="A828" s="50">
        <v>142.45149002112498</v>
      </c>
      <c r="B828" s="50">
        <v>145.67582023979236</v>
      </c>
      <c r="C828" s="50">
        <v>141.10559842834789</v>
      </c>
      <c r="D828" s="50">
        <v>144.79469696682318</v>
      </c>
      <c r="E828" s="50">
        <v>2852867.0812761122</v>
      </c>
      <c r="F828" s="50" t="s">
        <v>834</v>
      </c>
      <c r="G828" s="25">
        <f t="shared" si="10"/>
        <v>-1.6182961080647207E-2</v>
      </c>
    </row>
    <row r="829" spans="1:7">
      <c r="A829" s="50">
        <v>143.06149844087284</v>
      </c>
      <c r="B829" s="50">
        <v>143.23578656080082</v>
      </c>
      <c r="C829" s="50">
        <v>141.10559842834789</v>
      </c>
      <c r="D829" s="50">
        <v>141.37671328156915</v>
      </c>
      <c r="E829" s="50">
        <v>2321097.6179397414</v>
      </c>
      <c r="F829" s="50" t="s">
        <v>835</v>
      </c>
      <c r="G829" s="25">
        <f t="shared" si="10"/>
        <v>1.1916991986850256E-2</v>
      </c>
    </row>
    <row r="830" spans="1:7">
      <c r="A830" s="50">
        <v>142.64514348771158</v>
      </c>
      <c r="B830" s="50">
        <v>142.93562368759154</v>
      </c>
      <c r="C830" s="50">
        <v>139.8178997022801</v>
      </c>
      <c r="D830" s="50">
        <v>140.47622466194136</v>
      </c>
      <c r="E830" s="50">
        <v>1816276.290838595</v>
      </c>
      <c r="F830" s="50" t="s">
        <v>836</v>
      </c>
      <c r="G830" s="25">
        <f t="shared" si="10"/>
        <v>1.5439757375240948E-2</v>
      </c>
    </row>
    <row r="831" spans="1:7">
      <c r="A831" s="50">
        <v>139.44017861570288</v>
      </c>
      <c r="B831" s="50">
        <v>142.16100982124502</v>
      </c>
      <c r="C831" s="50">
        <v>139.37239990239755</v>
      </c>
      <c r="D831" s="50">
        <v>141.57036674815581</v>
      </c>
      <c r="E831" s="50">
        <v>1538996.4623570363</v>
      </c>
      <c r="F831" s="50" t="s">
        <v>837</v>
      </c>
      <c r="G831" s="25">
        <f t="shared" si="10"/>
        <v>-1.5046850420627811E-2</v>
      </c>
    </row>
    <row r="832" spans="1:7">
      <c r="A832" s="50">
        <v>141.74465486808376</v>
      </c>
      <c r="B832" s="50">
        <v>143.16800784749552</v>
      </c>
      <c r="C832" s="50">
        <v>141.0475023883719</v>
      </c>
      <c r="D832" s="50">
        <v>142.6160954677236</v>
      </c>
      <c r="E832" s="50">
        <v>1919434.784988574</v>
      </c>
      <c r="F832" s="50" t="s">
        <v>838</v>
      </c>
      <c r="G832" s="25">
        <f t="shared" si="10"/>
        <v>-6.1103944599090187E-3</v>
      </c>
    </row>
    <row r="833" spans="1:7">
      <c r="A833" s="50">
        <v>142.35466328783167</v>
      </c>
      <c r="B833" s="50">
        <v>142.46998392718402</v>
      </c>
      <c r="C833" s="50">
        <v>139.93399495549878</v>
      </c>
      <c r="D833" s="50">
        <v>140.6214647618813</v>
      </c>
      <c r="E833" s="50">
        <v>1726620.2660535541</v>
      </c>
      <c r="F833" s="50" t="s">
        <v>839</v>
      </c>
      <c r="G833" s="25">
        <f t="shared" si="10"/>
        <v>1.232527714659537E-2</v>
      </c>
    </row>
    <row r="834" spans="1:7">
      <c r="A834" s="50">
        <v>140.69892614851597</v>
      </c>
      <c r="B834" s="50">
        <v>142.04481774129303</v>
      </c>
      <c r="C834" s="50">
        <v>138.1911137562191</v>
      </c>
      <c r="D834" s="50">
        <v>141.4154439748865</v>
      </c>
      <c r="E834" s="50">
        <v>2996761.2262721402</v>
      </c>
      <c r="F834" s="50" t="s">
        <v>840</v>
      </c>
      <c r="G834" s="25">
        <f t="shared" si="10"/>
        <v>-5.0667579596028745E-3</v>
      </c>
    </row>
    <row r="835" spans="1:7">
      <c r="A835" s="50">
        <v>142.43212467446631</v>
      </c>
      <c r="B835" s="50">
        <v>143.0883194459951</v>
      </c>
      <c r="C835" s="50">
        <v>141.72528952142511</v>
      </c>
      <c r="D835" s="50">
        <v>142.39339398114899</v>
      </c>
      <c r="E835" s="50">
        <v>2176111.8322737776</v>
      </c>
      <c r="F835" s="50" t="s">
        <v>841</v>
      </c>
      <c r="G835" s="25">
        <f t="shared" si="10"/>
        <v>2.7199782401732264E-4</v>
      </c>
    </row>
    <row r="836" spans="1:7">
      <c r="A836" s="50">
        <v>141.07655040835988</v>
      </c>
      <c r="B836" s="50">
        <v>141.85116427470641</v>
      </c>
      <c r="C836" s="50">
        <v>139.67256277560682</v>
      </c>
      <c r="D836" s="50">
        <v>140.38908060197735</v>
      </c>
      <c r="E836" s="50">
        <v>1660670.5042180913</v>
      </c>
      <c r="F836" s="50" t="s">
        <v>842</v>
      </c>
      <c r="G836" s="25">
        <f t="shared" si="10"/>
        <v>4.89688944065092E-3</v>
      </c>
    </row>
    <row r="837" spans="1:7">
      <c r="A837" s="50">
        <v>140.408445948636</v>
      </c>
      <c r="B837" s="50">
        <v>142.08354843461038</v>
      </c>
      <c r="C837" s="50">
        <v>139.10128504917625</v>
      </c>
      <c r="D837" s="50">
        <v>141.40576130155716</v>
      </c>
      <c r="E837" s="50">
        <v>2629668.3915657769</v>
      </c>
      <c r="F837" s="50" t="s">
        <v>843</v>
      </c>
      <c r="G837" s="25">
        <f t="shared" si="10"/>
        <v>-7.0528622295262799E-3</v>
      </c>
    </row>
    <row r="838" spans="1:7">
      <c r="A838" s="50">
        <v>141.65751080811981</v>
      </c>
      <c r="B838" s="50">
        <v>143.87484300053671</v>
      </c>
      <c r="C838" s="50">
        <v>139.57573604231351</v>
      </c>
      <c r="D838" s="50">
        <v>143.87484300053671</v>
      </c>
      <c r="E838" s="50">
        <v>4658657.6316020703</v>
      </c>
      <c r="F838" s="50" t="s">
        <v>844</v>
      </c>
      <c r="G838" s="25">
        <f t="shared" si="10"/>
        <v>-1.5411535096574447E-2</v>
      </c>
    </row>
    <row r="839" spans="1:7">
      <c r="A839" s="50">
        <v>145.45311875321772</v>
      </c>
      <c r="B839" s="50">
        <v>147.44774945906002</v>
      </c>
      <c r="C839" s="50">
        <v>141.82211625471842</v>
      </c>
      <c r="D839" s="50">
        <v>146.83774103931214</v>
      </c>
      <c r="E839" s="50">
        <v>4425223.1323555643</v>
      </c>
      <c r="F839" s="50" t="s">
        <v>845</v>
      </c>
      <c r="G839" s="25">
        <f t="shared" si="10"/>
        <v>-9.4296076491923175E-3</v>
      </c>
    </row>
    <row r="840" spans="1:7">
      <c r="A840" s="50">
        <v>149.21967867832771</v>
      </c>
      <c r="B840" s="50">
        <v>153.58656434985619</v>
      </c>
      <c r="C840" s="50">
        <v>148.95824649843573</v>
      </c>
      <c r="D840" s="50">
        <v>152.56988365027638</v>
      </c>
      <c r="E840" s="50">
        <v>3672792.5016608275</v>
      </c>
      <c r="F840" s="50" t="s">
        <v>846</v>
      </c>
      <c r="G840" s="25">
        <f t="shared" si="10"/>
        <v>-2.1958494637303927E-2</v>
      </c>
    </row>
    <row r="841" spans="1:7">
      <c r="A841" s="50">
        <v>152.52147028362972</v>
      </c>
      <c r="B841" s="50">
        <v>156.42358763535032</v>
      </c>
      <c r="C841" s="50">
        <v>151.20462671084064</v>
      </c>
      <c r="D841" s="50">
        <v>155.52309901572249</v>
      </c>
      <c r="E841" s="50">
        <v>3212484.7076863595</v>
      </c>
      <c r="F841" s="50" t="s">
        <v>847</v>
      </c>
      <c r="G841" s="25">
        <f t="shared" si="10"/>
        <v>-1.9300211679741053E-2</v>
      </c>
    </row>
    <row r="842" spans="1:7">
      <c r="A842" s="50">
        <v>152.31813414371376</v>
      </c>
      <c r="B842" s="50">
        <v>152.75385444353367</v>
      </c>
      <c r="C842" s="50">
        <v>149.11316927170503</v>
      </c>
      <c r="D842" s="50">
        <v>149.36491877826765</v>
      </c>
      <c r="E842" s="50">
        <v>2864846.2110117641</v>
      </c>
      <c r="F842" s="50" t="s">
        <v>848</v>
      </c>
      <c r="G842" s="25">
        <f t="shared" ref="G842:G905" si="11">A842/D842-1</f>
        <v>1.9771813820822048E-2</v>
      </c>
    </row>
    <row r="843" spans="1:7">
      <c r="A843" s="50">
        <v>149.01634253841172</v>
      </c>
      <c r="B843" s="50">
        <v>150.21699403124882</v>
      </c>
      <c r="C843" s="50">
        <v>147.77386189679191</v>
      </c>
      <c r="D843" s="50">
        <v>149.10348659837572</v>
      </c>
      <c r="E843" s="50">
        <v>1818996.613946079</v>
      </c>
      <c r="F843" s="50" t="s">
        <v>849</v>
      </c>
      <c r="G843" s="25">
        <f t="shared" si="11"/>
        <v>-5.8445353594405169E-4</v>
      </c>
    </row>
    <row r="844" spans="1:7">
      <c r="A844" s="50">
        <v>149.22936135165702</v>
      </c>
      <c r="B844" s="50">
        <v>151.45637621740326</v>
      </c>
      <c r="C844" s="50">
        <v>148.58062223859179</v>
      </c>
      <c r="D844" s="50">
        <v>150.94319453094869</v>
      </c>
      <c r="E844" s="50">
        <v>1686003.3840599577</v>
      </c>
      <c r="F844" s="50" t="s">
        <v>850</v>
      </c>
      <c r="G844" s="25">
        <f t="shared" si="11"/>
        <v>-1.1354159984604539E-2</v>
      </c>
    </row>
    <row r="845" spans="1:7">
      <c r="A845" s="50">
        <v>149.85873511806358</v>
      </c>
      <c r="B845" s="50">
        <v>152.00828859717515</v>
      </c>
      <c r="C845" s="50">
        <v>149.41342897164762</v>
      </c>
      <c r="D845" s="50">
        <v>149.65539897814762</v>
      </c>
      <c r="E845" s="50">
        <v>2974209.6031229291</v>
      </c>
      <c r="F845" s="50" t="s">
        <v>851</v>
      </c>
      <c r="G845" s="25">
        <f t="shared" si="11"/>
        <v>1.3586956521738358E-3</v>
      </c>
    </row>
    <row r="846" spans="1:7">
      <c r="A846" s="50">
        <v>149.79095640475822</v>
      </c>
      <c r="B846" s="50">
        <v>153.3154494966349</v>
      </c>
      <c r="C846" s="50">
        <v>148.45571575264341</v>
      </c>
      <c r="D846" s="50">
        <v>150.80763710433806</v>
      </c>
      <c r="E846" s="50">
        <v>3392935.9054673584</v>
      </c>
      <c r="F846" s="50" t="s">
        <v>852</v>
      </c>
      <c r="G846" s="25">
        <f t="shared" si="11"/>
        <v>-6.7415730337080371E-3</v>
      </c>
    </row>
    <row r="847" spans="1:7">
      <c r="A847" s="50">
        <v>151.127165324206</v>
      </c>
      <c r="B847" s="50">
        <v>154.38538489952603</v>
      </c>
      <c r="C847" s="50">
        <v>150.61398363775143</v>
      </c>
      <c r="D847" s="50">
        <v>151.01097324425402</v>
      </c>
      <c r="E847" s="50">
        <v>3111844.1132083801</v>
      </c>
      <c r="F847" s="50" t="s">
        <v>853</v>
      </c>
      <c r="G847" s="25">
        <f t="shared" si="11"/>
        <v>7.6942805847668438E-4</v>
      </c>
    </row>
    <row r="848" spans="1:7">
      <c r="A848" s="50">
        <v>151.77590443727121</v>
      </c>
      <c r="B848" s="50">
        <v>152.28908612372578</v>
      </c>
      <c r="C848" s="50">
        <v>150.08143660463818</v>
      </c>
      <c r="D848" s="50">
        <v>150.29445541788348</v>
      </c>
      <c r="E848" s="50">
        <v>2360295.4703396843</v>
      </c>
      <c r="F848" s="50" t="s">
        <v>854</v>
      </c>
      <c r="G848" s="25">
        <f t="shared" si="11"/>
        <v>9.8569771936607431E-3</v>
      </c>
    </row>
    <row r="849" spans="1:7">
      <c r="A849" s="50">
        <v>152.50210493697105</v>
      </c>
      <c r="B849" s="50">
        <v>153.82863118308947</v>
      </c>
      <c r="C849" s="50">
        <v>149.8393697714049</v>
      </c>
      <c r="D849" s="50">
        <v>152.71512375021635</v>
      </c>
      <c r="E849" s="50">
        <v>2757865.4253580654</v>
      </c>
      <c r="F849" s="50" t="s">
        <v>855</v>
      </c>
      <c r="G849" s="25">
        <f t="shared" si="11"/>
        <v>-1.3948769972103037E-3</v>
      </c>
    </row>
    <row r="850" spans="1:7">
      <c r="A850" s="50">
        <v>152.58924899693505</v>
      </c>
      <c r="B850" s="50">
        <v>152.58924899693505</v>
      </c>
      <c r="C850" s="50">
        <v>146.6761372214456</v>
      </c>
      <c r="D850" s="50">
        <v>148.95824649843573</v>
      </c>
      <c r="E850" s="50">
        <v>4043035.2928887652</v>
      </c>
      <c r="F850" s="50" t="s">
        <v>856</v>
      </c>
      <c r="G850" s="25">
        <f t="shared" si="11"/>
        <v>2.4375975039001574E-2</v>
      </c>
    </row>
    <row r="851" spans="1:7">
      <c r="A851" s="50">
        <v>149.51984155153696</v>
      </c>
      <c r="B851" s="50">
        <v>149.56825491818361</v>
      </c>
      <c r="C851" s="50">
        <v>145.74844028976236</v>
      </c>
      <c r="D851" s="50">
        <v>146.16963657958826</v>
      </c>
      <c r="E851" s="50">
        <v>2742779.7155513</v>
      </c>
      <c r="F851" s="50" t="s">
        <v>857</v>
      </c>
      <c r="G851" s="25">
        <f t="shared" si="11"/>
        <v>2.2919978802331764E-2</v>
      </c>
    </row>
    <row r="852" spans="1:7">
      <c r="A852" s="50">
        <v>146.08249251962428</v>
      </c>
      <c r="B852" s="50">
        <v>148.90015045845973</v>
      </c>
      <c r="C852" s="50">
        <v>145.59835885315772</v>
      </c>
      <c r="D852" s="50">
        <v>147.84473906556261</v>
      </c>
      <c r="E852" s="50">
        <v>1841713.4807160941</v>
      </c>
      <c r="F852" s="50" t="s">
        <v>858</v>
      </c>
      <c r="G852" s="25">
        <f t="shared" si="11"/>
        <v>-1.1919575610714439E-2</v>
      </c>
    </row>
    <row r="853" spans="1:7">
      <c r="A853" s="50">
        <v>149.258409371645</v>
      </c>
      <c r="B853" s="50">
        <v>149.56825491818361</v>
      </c>
      <c r="C853" s="50">
        <v>148.30950738537052</v>
      </c>
      <c r="D853" s="50">
        <v>148.64840095189714</v>
      </c>
      <c r="E853" s="50">
        <v>687613.82043441024</v>
      </c>
      <c r="F853" s="50" t="s">
        <v>859</v>
      </c>
      <c r="G853" s="25">
        <f t="shared" si="11"/>
        <v>4.1036998436683181E-3</v>
      </c>
    </row>
    <row r="854" spans="1:7">
      <c r="A854" s="50">
        <v>149.04539055839973</v>
      </c>
      <c r="B854" s="50">
        <v>150.07175393130888</v>
      </c>
      <c r="C854" s="50">
        <v>148.02870985881989</v>
      </c>
      <c r="D854" s="50">
        <v>148.94856382510642</v>
      </c>
      <c r="E854" s="50">
        <v>1450526.0605512634</v>
      </c>
      <c r="F854" s="50" t="s">
        <v>860</v>
      </c>
      <c r="G854" s="25">
        <f t="shared" si="11"/>
        <v>6.5006825716706906E-4</v>
      </c>
    </row>
    <row r="855" spans="1:7">
      <c r="A855" s="50">
        <v>149.67476432480629</v>
      </c>
      <c r="B855" s="50">
        <v>150.22183536791351</v>
      </c>
      <c r="C855" s="50">
        <v>148.42085812865784</v>
      </c>
      <c r="D855" s="50">
        <v>149.20999600499835</v>
      </c>
      <c r="E855" s="50">
        <v>2194384.6784167979</v>
      </c>
      <c r="F855" s="50" t="s">
        <v>861</v>
      </c>
      <c r="G855" s="25">
        <f t="shared" si="11"/>
        <v>3.114860480207815E-3</v>
      </c>
    </row>
    <row r="856" spans="1:7">
      <c r="A856" s="50">
        <v>147.96093114551459</v>
      </c>
      <c r="B856" s="50">
        <v>148.59030491192115</v>
      </c>
      <c r="C856" s="50">
        <v>147.07012519921608</v>
      </c>
      <c r="D856" s="50">
        <v>147.41870143907204</v>
      </c>
      <c r="E856" s="50">
        <v>2069202.3079315503</v>
      </c>
      <c r="F856" s="50" t="s">
        <v>862</v>
      </c>
      <c r="G856" s="25">
        <f t="shared" si="11"/>
        <v>3.6781609195402076E-3</v>
      </c>
    </row>
    <row r="857" spans="1:7">
      <c r="A857" s="50">
        <v>147.66076827230532</v>
      </c>
      <c r="B857" s="50">
        <v>148.88078511180106</v>
      </c>
      <c r="C857" s="50">
        <v>146.14785056459726</v>
      </c>
      <c r="D857" s="50">
        <v>147.41870143907204</v>
      </c>
      <c r="E857" s="50">
        <v>2717556.3096082164</v>
      </c>
      <c r="F857" s="50" t="s">
        <v>863</v>
      </c>
      <c r="G857" s="25">
        <f t="shared" si="11"/>
        <v>1.6420361247946325E-3</v>
      </c>
    </row>
    <row r="858" spans="1:7">
      <c r="A858" s="50">
        <v>145.85979103304965</v>
      </c>
      <c r="B858" s="50">
        <v>146.26869032774732</v>
      </c>
      <c r="C858" s="50">
        <v>144.48485142028457</v>
      </c>
      <c r="D858" s="50">
        <v>145.24009993997245</v>
      </c>
      <c r="E858" s="50">
        <v>2860762.628032648</v>
      </c>
      <c r="F858" s="50" t="s">
        <v>864</v>
      </c>
      <c r="G858" s="25">
        <f t="shared" si="11"/>
        <v>4.2666666666664188E-3</v>
      </c>
    </row>
    <row r="859" spans="1:7">
      <c r="A859" s="50">
        <v>147.72854698561062</v>
      </c>
      <c r="B859" s="50">
        <v>150.96255987760736</v>
      </c>
      <c r="C859" s="50">
        <v>147.03526757523051</v>
      </c>
      <c r="D859" s="50">
        <v>149.31650541162099</v>
      </c>
      <c r="E859" s="50">
        <v>2721648.1547683724</v>
      </c>
      <c r="F859" s="50" t="s">
        <v>865</v>
      </c>
      <c r="G859" s="25">
        <f t="shared" si="11"/>
        <v>-1.0634848583101042E-2</v>
      </c>
    </row>
    <row r="860" spans="1:7">
      <c r="A860" s="50">
        <v>149.00665986508238</v>
      </c>
      <c r="B860" s="50">
        <v>152.35686483703108</v>
      </c>
      <c r="C860" s="50">
        <v>147.48648015237734</v>
      </c>
      <c r="D860" s="50">
        <v>151.97924057718717</v>
      </c>
      <c r="E860" s="50">
        <v>3012620.4827787937</v>
      </c>
      <c r="F860" s="50" t="s">
        <v>866</v>
      </c>
      <c r="G860" s="25">
        <f t="shared" si="11"/>
        <v>-1.9559123343527163E-2</v>
      </c>
    </row>
    <row r="861" spans="1:7">
      <c r="A861" s="50">
        <v>149.23904402498636</v>
      </c>
      <c r="B861" s="50">
        <v>151.5338376040379</v>
      </c>
      <c r="C861" s="50">
        <v>148.20299797874787</v>
      </c>
      <c r="D861" s="50">
        <v>148.50316085195715</v>
      </c>
      <c r="E861" s="50">
        <v>3786779.6168366116</v>
      </c>
      <c r="F861" s="50" t="s">
        <v>867</v>
      </c>
      <c r="G861" s="25">
        <f t="shared" si="11"/>
        <v>4.9553367672949822E-3</v>
      </c>
    </row>
    <row r="862" spans="1:7">
      <c r="A862" s="50">
        <v>149.97492719801554</v>
      </c>
      <c r="B862" s="50">
        <v>153.83831385641881</v>
      </c>
      <c r="C862" s="50">
        <v>149.79095640475822</v>
      </c>
      <c r="D862" s="50">
        <v>151.52415493070859</v>
      </c>
      <c r="E862" s="50">
        <v>3836335.1459430684</v>
      </c>
      <c r="F862" s="50" t="s">
        <v>868</v>
      </c>
      <c r="G862" s="25">
        <f t="shared" si="11"/>
        <v>-1.0224295482139545E-2</v>
      </c>
    </row>
    <row r="863" spans="1:7">
      <c r="A863" s="50">
        <v>149.8393697714049</v>
      </c>
      <c r="B863" s="50">
        <v>150.84636779765538</v>
      </c>
      <c r="C863" s="50">
        <v>146.50853014611488</v>
      </c>
      <c r="D863" s="50">
        <v>147.94156579885592</v>
      </c>
      <c r="E863" s="50">
        <v>4855698.2561391499</v>
      </c>
      <c r="F863" s="50" t="s">
        <v>869</v>
      </c>
      <c r="G863" s="25">
        <f t="shared" si="11"/>
        <v>1.2828064663917838E-2</v>
      </c>
    </row>
    <row r="864" spans="1:7">
      <c r="A864" s="50">
        <v>141.23147318162921</v>
      </c>
      <c r="B864" s="50">
        <v>144.72691825351788</v>
      </c>
      <c r="C864" s="50">
        <v>141.03781971504256</v>
      </c>
      <c r="D864" s="50">
        <v>144.72691825351788</v>
      </c>
      <c r="E864" s="50">
        <v>2504985.8830334609</v>
      </c>
      <c r="F864" s="50" t="s">
        <v>870</v>
      </c>
      <c r="G864" s="25">
        <f t="shared" si="11"/>
        <v>-2.4152003746571227E-2</v>
      </c>
    </row>
    <row r="865" spans="1:7">
      <c r="A865" s="50">
        <v>145.43375340655905</v>
      </c>
      <c r="B865" s="50">
        <v>146.53757816610286</v>
      </c>
      <c r="C865" s="50">
        <v>142.46843469945128</v>
      </c>
      <c r="D865" s="50">
        <v>142.76133556766356</v>
      </c>
      <c r="E865" s="50">
        <v>3972102.403113435</v>
      </c>
      <c r="F865" s="50" t="s">
        <v>871</v>
      </c>
      <c r="G865" s="25">
        <f t="shared" si="11"/>
        <v>1.8719479110146375E-2</v>
      </c>
    </row>
    <row r="866" spans="1:7">
      <c r="A866" s="50">
        <v>142.31593259451432</v>
      </c>
      <c r="B866" s="50">
        <v>142.85816230095688</v>
      </c>
      <c r="C866" s="50">
        <v>139.19811178246957</v>
      </c>
      <c r="D866" s="50">
        <v>141.56068407482647</v>
      </c>
      <c r="E866" s="50">
        <v>3013614.010048877</v>
      </c>
      <c r="F866" s="50" t="s">
        <v>872</v>
      </c>
      <c r="G866" s="25">
        <f t="shared" si="11"/>
        <v>5.3351573187414569E-3</v>
      </c>
    </row>
    <row r="867" spans="1:7">
      <c r="A867" s="50">
        <v>140.1276484220854</v>
      </c>
      <c r="B867" s="50">
        <v>141.71173377876403</v>
      </c>
      <c r="C867" s="50">
        <v>136.52569394357408</v>
      </c>
      <c r="D867" s="50">
        <v>137.88126820968051</v>
      </c>
      <c r="E867" s="50">
        <v>3431128.8700982877</v>
      </c>
      <c r="F867" s="50" t="s">
        <v>873</v>
      </c>
      <c r="G867" s="25">
        <f t="shared" si="11"/>
        <v>1.6292134831460636E-2</v>
      </c>
    </row>
    <row r="868" spans="1:7">
      <c r="A868" s="50">
        <v>134.88932215091708</v>
      </c>
      <c r="B868" s="50">
        <v>137.68761474309386</v>
      </c>
      <c r="C868" s="50">
        <v>134.36645779113317</v>
      </c>
      <c r="D868" s="50">
        <v>136.61283800353809</v>
      </c>
      <c r="E868" s="50">
        <v>4090324.9188449485</v>
      </c>
      <c r="F868" s="50" t="s">
        <v>874</v>
      </c>
      <c r="G868" s="25">
        <f t="shared" si="11"/>
        <v>-1.2616060670494034E-2</v>
      </c>
    </row>
    <row r="869" spans="1:7">
      <c r="A869" s="50">
        <v>138.94636227590698</v>
      </c>
      <c r="B869" s="50">
        <v>144.30088062702728</v>
      </c>
      <c r="C869" s="50">
        <v>138.82058434935897</v>
      </c>
      <c r="D869" s="50">
        <v>141.92862566134107</v>
      </c>
      <c r="E869" s="50">
        <v>2945559.4575934247</v>
      </c>
      <c r="F869" s="50" t="s">
        <v>875</v>
      </c>
      <c r="G869" s="25">
        <f t="shared" si="11"/>
        <v>-2.1012416427889202E-2</v>
      </c>
    </row>
    <row r="870" spans="1:7">
      <c r="A870" s="50">
        <v>142.41275932780766</v>
      </c>
      <c r="B870" s="50">
        <v>145.85010835972031</v>
      </c>
      <c r="C870" s="50">
        <v>141.97703902798773</v>
      </c>
      <c r="D870" s="50">
        <v>145.20136924665513</v>
      </c>
      <c r="E870" s="50">
        <v>2763388.6933834353</v>
      </c>
      <c r="F870" s="50" t="s">
        <v>876</v>
      </c>
      <c r="G870" s="25">
        <f t="shared" si="11"/>
        <v>-1.9205121365697519E-2</v>
      </c>
    </row>
    <row r="871" spans="1:7">
      <c r="A871" s="50">
        <v>143.73928557392605</v>
      </c>
      <c r="B871" s="50">
        <v>145.53058013985239</v>
      </c>
      <c r="C871" s="50">
        <v>143.61341082064473</v>
      </c>
      <c r="D871" s="50">
        <v>145.24009993997245</v>
      </c>
      <c r="E871" s="50">
        <v>3142880.9962858707</v>
      </c>
      <c r="F871" s="50" t="s">
        <v>877</v>
      </c>
      <c r="G871" s="25">
        <f t="shared" si="11"/>
        <v>-1.0333333333333417E-2</v>
      </c>
    </row>
    <row r="872" spans="1:7">
      <c r="A872" s="50">
        <v>145.66613756646302</v>
      </c>
      <c r="B872" s="50">
        <v>146.1212232129416</v>
      </c>
      <c r="C872" s="50">
        <v>141.4154439748865</v>
      </c>
      <c r="D872" s="50">
        <v>141.9092603146824</v>
      </c>
      <c r="E872" s="50">
        <v>3494195.1307507227</v>
      </c>
      <c r="F872" s="50" t="s">
        <v>878</v>
      </c>
      <c r="G872" s="25">
        <f t="shared" si="11"/>
        <v>2.6473799126637498E-2</v>
      </c>
    </row>
    <row r="873" spans="1:7">
      <c r="A873" s="50">
        <v>142.30624992118499</v>
      </c>
      <c r="B873" s="50">
        <v>144.95930241342182</v>
      </c>
      <c r="C873" s="50">
        <v>141.76402021474243</v>
      </c>
      <c r="D873" s="50">
        <v>143.72960290059672</v>
      </c>
      <c r="E873" s="50">
        <v>2170397.5013118531</v>
      </c>
      <c r="F873" s="50" t="s">
        <v>879</v>
      </c>
      <c r="G873" s="25">
        <f t="shared" si="11"/>
        <v>-9.9029911075182442E-3</v>
      </c>
    </row>
    <row r="874" spans="1:7">
      <c r="A874" s="50">
        <v>142.21910586122101</v>
      </c>
      <c r="B874" s="50">
        <v>144.75596627350586</v>
      </c>
      <c r="C874" s="50">
        <v>141.82211625471842</v>
      </c>
      <c r="D874" s="50">
        <v>142.87752764761555</v>
      </c>
      <c r="E874" s="50">
        <v>3677239.6206057123</v>
      </c>
      <c r="F874" s="50" t="s">
        <v>880</v>
      </c>
      <c r="G874" s="25">
        <f t="shared" si="11"/>
        <v>-4.6082949308755561E-3</v>
      </c>
    </row>
    <row r="875" spans="1:7">
      <c r="A875" s="50">
        <v>142.35466328783167</v>
      </c>
      <c r="B875" s="50">
        <v>142.76133556766356</v>
      </c>
      <c r="C875" s="50">
        <v>137.10665434333399</v>
      </c>
      <c r="D875" s="50">
        <v>137.95872959631515</v>
      </c>
      <c r="E875" s="50">
        <v>4016560.1665180917</v>
      </c>
      <c r="F875" s="50" t="s">
        <v>881</v>
      </c>
      <c r="G875" s="25">
        <f t="shared" si="11"/>
        <v>3.1864121280179791E-2</v>
      </c>
    </row>
    <row r="876" spans="1:7">
      <c r="A876" s="50">
        <v>137.13570236332197</v>
      </c>
      <c r="B876" s="50">
        <v>139.22715980245758</v>
      </c>
      <c r="C876" s="50">
        <v>135.91568552382623</v>
      </c>
      <c r="D876" s="50">
        <v>136.81617414345405</v>
      </c>
      <c r="E876" s="50">
        <v>4440477.1841010228</v>
      </c>
      <c r="F876" s="50" t="s">
        <v>882</v>
      </c>
      <c r="G876" s="25">
        <f t="shared" si="11"/>
        <v>2.3354564755837526E-3</v>
      </c>
    </row>
    <row r="877" spans="1:7">
      <c r="A877" s="50">
        <v>135.59615730395825</v>
      </c>
      <c r="B877" s="50">
        <v>136.83553949011269</v>
      </c>
      <c r="C877" s="50">
        <v>128.0146240870917</v>
      </c>
      <c r="D877" s="50">
        <v>136.51601127024477</v>
      </c>
      <c r="E877" s="50">
        <v>12140653.309442598</v>
      </c>
      <c r="F877" s="50" t="s">
        <v>883</v>
      </c>
      <c r="G877" s="25">
        <f t="shared" si="11"/>
        <v>-6.7380665295413422E-3</v>
      </c>
    </row>
    <row r="878" spans="1:7">
      <c r="A878" s="50">
        <v>137.90063355633916</v>
      </c>
      <c r="B878" s="50">
        <v>142.64030215104694</v>
      </c>
      <c r="C878" s="50">
        <v>137.63920137644723</v>
      </c>
      <c r="D878" s="50">
        <v>139.43049594237354</v>
      </c>
      <c r="E878" s="50">
        <v>4460892.0006787134</v>
      </c>
      <c r="F878" s="50" t="s">
        <v>884</v>
      </c>
      <c r="G878" s="25">
        <f t="shared" si="11"/>
        <v>-1.0972222222222272E-2</v>
      </c>
    </row>
    <row r="879" spans="1:7">
      <c r="A879" s="50">
        <v>139.40144792238556</v>
      </c>
      <c r="B879" s="50">
        <v>142.4030766544783</v>
      </c>
      <c r="C879" s="50">
        <v>138.07492167626714</v>
      </c>
      <c r="D879" s="50">
        <v>140.81511822846795</v>
      </c>
      <c r="E879" s="50">
        <v>2895950.2243102067</v>
      </c>
      <c r="F879" s="50" t="s">
        <v>885</v>
      </c>
      <c r="G879" s="25">
        <f t="shared" si="11"/>
        <v>-1.0039194114006667E-2</v>
      </c>
    </row>
    <row r="880" spans="1:7">
      <c r="A880" s="50">
        <v>141.35734793491051</v>
      </c>
      <c r="B880" s="50">
        <v>142.38371130781965</v>
      </c>
      <c r="C880" s="50">
        <v>138.99477564255363</v>
      </c>
      <c r="D880" s="50">
        <v>141.49290536152114</v>
      </c>
      <c r="E880" s="50">
        <v>4093155.7486238452</v>
      </c>
      <c r="F880" s="50" t="s">
        <v>886</v>
      </c>
      <c r="G880" s="25">
        <f t="shared" si="11"/>
        <v>-9.5805105043444971E-4</v>
      </c>
    </row>
    <row r="881" spans="1:7">
      <c r="A881" s="50">
        <v>137.04855830335799</v>
      </c>
      <c r="B881" s="50">
        <v>137.70698008975253</v>
      </c>
      <c r="C881" s="50">
        <v>135.64457067060494</v>
      </c>
      <c r="D881" s="50">
        <v>136.11902166374219</v>
      </c>
      <c r="E881" s="50">
        <v>3242135.6098943576</v>
      </c>
      <c r="F881" s="50" t="s">
        <v>887</v>
      </c>
      <c r="G881" s="25">
        <f t="shared" si="11"/>
        <v>6.8288518992742908E-3</v>
      </c>
    </row>
    <row r="882" spans="1:7">
      <c r="A882" s="50">
        <v>132.46865381858419</v>
      </c>
      <c r="B882" s="50">
        <v>139.31430386242155</v>
      </c>
      <c r="C882" s="50">
        <v>131.81991470551898</v>
      </c>
      <c r="D882" s="50">
        <v>138.42349791612307</v>
      </c>
      <c r="E882" s="50">
        <v>4000547.0268895649</v>
      </c>
      <c r="F882" s="50" t="s">
        <v>888</v>
      </c>
      <c r="G882" s="25">
        <f t="shared" si="11"/>
        <v>-4.3019026301063357E-2</v>
      </c>
    </row>
    <row r="883" spans="1:7">
      <c r="A883" s="50">
        <v>137.05824097668733</v>
      </c>
      <c r="B883" s="50">
        <v>138.02650830962048</v>
      </c>
      <c r="C883" s="50">
        <v>126.504127047716</v>
      </c>
      <c r="D883" s="50">
        <v>127.1819141807692</v>
      </c>
      <c r="E883" s="50">
        <v>5404214.1276713647</v>
      </c>
      <c r="F883" s="50" t="s">
        <v>889</v>
      </c>
      <c r="G883" s="25">
        <f t="shared" si="11"/>
        <v>7.7655119908641046E-2</v>
      </c>
    </row>
    <row r="884" spans="1:7">
      <c r="A884" s="50">
        <v>131.89737609215368</v>
      </c>
      <c r="B884" s="50">
        <v>133.54681673218278</v>
      </c>
      <c r="C884" s="50">
        <v>131.28968743530083</v>
      </c>
      <c r="D884" s="50">
        <v>132.44718963883005</v>
      </c>
      <c r="E884" s="50">
        <v>2485581.4453120325</v>
      </c>
      <c r="F884" s="50" t="s">
        <v>890</v>
      </c>
      <c r="G884" s="25">
        <f t="shared" si="11"/>
        <v>-4.1511907362901113E-3</v>
      </c>
    </row>
    <row r="885" spans="1:7">
      <c r="A885" s="50">
        <v>132.48577304561434</v>
      </c>
      <c r="B885" s="50">
        <v>134.27990146108465</v>
      </c>
      <c r="C885" s="50">
        <v>130.5951861131833</v>
      </c>
      <c r="D885" s="50">
        <v>131.54047957939883</v>
      </c>
      <c r="E885" s="50">
        <v>2683955.8408854445</v>
      </c>
      <c r="F885" s="50" t="s">
        <v>891</v>
      </c>
      <c r="G885" s="25">
        <f t="shared" si="11"/>
        <v>7.1863313045390509E-3</v>
      </c>
    </row>
    <row r="886" spans="1:7">
      <c r="A886" s="50">
        <v>132.64010667275156</v>
      </c>
      <c r="B886" s="50">
        <v>135.40846610952559</v>
      </c>
      <c r="C886" s="50">
        <v>131.81056342688899</v>
      </c>
      <c r="D886" s="50">
        <v>135.05156959677075</v>
      </c>
      <c r="E886" s="50">
        <v>2999640.7690746789</v>
      </c>
      <c r="F886" s="50" t="s">
        <v>892</v>
      </c>
      <c r="G886" s="25">
        <f t="shared" si="11"/>
        <v>-1.7855867438040129E-2</v>
      </c>
    </row>
    <row r="887" spans="1:7">
      <c r="A887" s="50">
        <v>134.07733857546702</v>
      </c>
      <c r="B887" s="50">
        <v>136.28623861386859</v>
      </c>
      <c r="C887" s="50">
        <v>133.18992021942796</v>
      </c>
      <c r="D887" s="50">
        <v>135.4470495163099</v>
      </c>
      <c r="E887" s="50">
        <v>2674339.2717194757</v>
      </c>
      <c r="F887" s="50" t="s">
        <v>893</v>
      </c>
      <c r="G887" s="25">
        <f t="shared" si="11"/>
        <v>-1.011251958410464E-2</v>
      </c>
    </row>
    <row r="888" spans="1:7">
      <c r="A888" s="50">
        <v>137.33763644874097</v>
      </c>
      <c r="B888" s="50">
        <v>139.92272470328953</v>
      </c>
      <c r="C888" s="50">
        <v>137.09649015633903</v>
      </c>
      <c r="D888" s="50">
        <v>137.98390851237812</v>
      </c>
      <c r="E888" s="50">
        <v>2618990.0898305243</v>
      </c>
      <c r="F888" s="50" t="s">
        <v>894</v>
      </c>
      <c r="G888" s="25">
        <f t="shared" si="11"/>
        <v>-4.6836770360014768E-3</v>
      </c>
    </row>
    <row r="889" spans="1:7">
      <c r="A889" s="50">
        <v>139.25716093626025</v>
      </c>
      <c r="B889" s="50">
        <v>140.14457929229928</v>
      </c>
      <c r="C889" s="50">
        <v>137.04826089785868</v>
      </c>
      <c r="D889" s="50">
        <v>137.85851244032909</v>
      </c>
      <c r="E889" s="50">
        <v>2150020.6154356529</v>
      </c>
      <c r="F889" s="50" t="s">
        <v>895</v>
      </c>
      <c r="G889" s="25">
        <f t="shared" si="11"/>
        <v>1.0145535964176E-2</v>
      </c>
    </row>
    <row r="890" spans="1:7">
      <c r="A890" s="50">
        <v>140.30855877113262</v>
      </c>
      <c r="B890" s="50">
        <v>140.39537143639731</v>
      </c>
      <c r="C890" s="50">
        <v>137.96461680898597</v>
      </c>
      <c r="D890" s="50">
        <v>137.96461680898597</v>
      </c>
      <c r="E890" s="50">
        <v>2497326.3905558079</v>
      </c>
      <c r="F890" s="50" t="s">
        <v>896</v>
      </c>
      <c r="G890" s="25">
        <f t="shared" si="11"/>
        <v>1.6989442774243191E-2</v>
      </c>
    </row>
    <row r="891" spans="1:7">
      <c r="A891" s="50">
        <v>135.06121544846687</v>
      </c>
      <c r="B891" s="50">
        <v>135.78465432567262</v>
      </c>
      <c r="C891" s="50">
        <v>130.14183108346768</v>
      </c>
      <c r="D891" s="50">
        <v>133.06452414737893</v>
      </c>
      <c r="E891" s="50">
        <v>2775408.6257503405</v>
      </c>
      <c r="F891" s="50" t="s">
        <v>897</v>
      </c>
      <c r="G891" s="25">
        <f t="shared" si="11"/>
        <v>1.500543675244681E-2</v>
      </c>
    </row>
    <row r="892" spans="1:7">
      <c r="A892" s="50">
        <v>130.13218523177162</v>
      </c>
      <c r="B892" s="50">
        <v>133.75902546949646</v>
      </c>
      <c r="C892" s="50">
        <v>129.84763260673736</v>
      </c>
      <c r="D892" s="50">
        <v>132.53400230409474</v>
      </c>
      <c r="E892" s="50">
        <v>3853689.7695740992</v>
      </c>
      <c r="F892" s="50" t="s">
        <v>898</v>
      </c>
      <c r="G892" s="25">
        <f t="shared" si="11"/>
        <v>-1.8122270742358171E-2</v>
      </c>
    </row>
    <row r="893" spans="1:7">
      <c r="A893" s="50">
        <v>132.91019052024171</v>
      </c>
      <c r="B893" s="50">
        <v>134.02910931698662</v>
      </c>
      <c r="C893" s="50">
        <v>131.02924943950677</v>
      </c>
      <c r="D893" s="50">
        <v>133.48894162200631</v>
      </c>
      <c r="E893" s="50">
        <v>2364665.2176165162</v>
      </c>
      <c r="F893" s="50" t="s">
        <v>899</v>
      </c>
      <c r="G893" s="25">
        <f t="shared" si="11"/>
        <v>-4.3355733795793494E-3</v>
      </c>
    </row>
    <row r="894" spans="1:7">
      <c r="A894" s="50">
        <v>135.582091440055</v>
      </c>
      <c r="B894" s="50">
        <v>136.18013424521175</v>
      </c>
      <c r="C894" s="50">
        <v>131.68516735483999</v>
      </c>
      <c r="D894" s="50">
        <v>133.59504599066318</v>
      </c>
      <c r="E894" s="50">
        <v>5463110.118252499</v>
      </c>
      <c r="F894" s="50" t="s">
        <v>900</v>
      </c>
      <c r="G894" s="25">
        <f t="shared" si="11"/>
        <v>1.487364620938636E-2</v>
      </c>
    </row>
    <row r="895" spans="1:7">
      <c r="A895" s="50">
        <v>132.62081496935943</v>
      </c>
      <c r="B895" s="50">
        <v>135.40846610952559</v>
      </c>
      <c r="C895" s="50">
        <v>131.28004158360474</v>
      </c>
      <c r="D895" s="50">
        <v>134.5017560500944</v>
      </c>
      <c r="E895" s="50">
        <v>2932678.304758261</v>
      </c>
      <c r="F895" s="50" t="s">
        <v>901</v>
      </c>
      <c r="G895" s="25">
        <f t="shared" si="11"/>
        <v>-1.3984509466437145E-2</v>
      </c>
    </row>
    <row r="896" spans="1:7">
      <c r="A896" s="50">
        <v>132.58223156257512</v>
      </c>
      <c r="B896" s="50">
        <v>136.28623861386859</v>
      </c>
      <c r="C896" s="50">
        <v>131.85396975952131</v>
      </c>
      <c r="D896" s="50">
        <v>135.080507151859</v>
      </c>
      <c r="E896" s="50">
        <v>3948542.9799310584</v>
      </c>
      <c r="F896" s="50" t="s">
        <v>902</v>
      </c>
      <c r="G896" s="25">
        <f t="shared" si="11"/>
        <v>-1.8494715795487005E-2</v>
      </c>
    </row>
    <row r="897" spans="1:7">
      <c r="A897" s="50">
        <v>135.29271588917268</v>
      </c>
      <c r="B897" s="50">
        <v>136.93251067750575</v>
      </c>
      <c r="C897" s="50">
        <v>133.19956607112402</v>
      </c>
      <c r="D897" s="50">
        <v>135.78947725152065</v>
      </c>
      <c r="E897" s="50">
        <v>3147037.8102896372</v>
      </c>
      <c r="F897" s="50" t="s">
        <v>903</v>
      </c>
      <c r="G897" s="25">
        <f t="shared" si="11"/>
        <v>-3.6583200142071837E-3</v>
      </c>
    </row>
    <row r="898" spans="1:7">
      <c r="A898" s="50">
        <v>137.96461680898597</v>
      </c>
      <c r="B898" s="50">
        <v>143.61708590288691</v>
      </c>
      <c r="C898" s="50">
        <v>137.41962618815762</v>
      </c>
      <c r="D898" s="50">
        <v>143.54956494101438</v>
      </c>
      <c r="E898" s="50">
        <v>3368911.4267864013</v>
      </c>
      <c r="F898" s="50" t="s">
        <v>904</v>
      </c>
      <c r="G898" s="25">
        <f t="shared" si="11"/>
        <v>-3.8906061013304405E-2</v>
      </c>
    </row>
    <row r="899" spans="1:7">
      <c r="A899" s="50">
        <v>143.44346057235757</v>
      </c>
      <c r="B899" s="50">
        <v>149.32743010696439</v>
      </c>
      <c r="C899" s="50">
        <v>143.39523131387716</v>
      </c>
      <c r="D899" s="50">
        <v>149.19238818321929</v>
      </c>
      <c r="E899" s="50">
        <v>2695304.7609652053</v>
      </c>
      <c r="F899" s="50" t="s">
        <v>905</v>
      </c>
      <c r="G899" s="25">
        <f t="shared" si="11"/>
        <v>-3.8533652291976361E-2</v>
      </c>
    </row>
    <row r="900" spans="1:7">
      <c r="A900" s="50">
        <v>148.04453183138617</v>
      </c>
      <c r="B900" s="50">
        <v>149.1152213696507</v>
      </c>
      <c r="C900" s="50">
        <v>146.74234185241579</v>
      </c>
      <c r="D900" s="50">
        <v>148.14099034834695</v>
      </c>
      <c r="E900" s="50">
        <v>1789309.0774990749</v>
      </c>
      <c r="F900" s="50" t="s">
        <v>906</v>
      </c>
      <c r="G900" s="25">
        <f t="shared" si="11"/>
        <v>-6.5112644875642278E-4</v>
      </c>
    </row>
    <row r="901" spans="1:7">
      <c r="A901" s="50">
        <v>149.85795195024861</v>
      </c>
      <c r="B901" s="50">
        <v>149.97370217060151</v>
      </c>
      <c r="C901" s="50">
        <v>145.36298505987682</v>
      </c>
      <c r="D901" s="50">
        <v>145.89350690316104</v>
      </c>
      <c r="E901" s="50">
        <v>2563415.940767251</v>
      </c>
      <c r="F901" s="50" t="s">
        <v>907</v>
      </c>
      <c r="G901" s="25">
        <f t="shared" si="11"/>
        <v>2.7173553719008314E-2</v>
      </c>
    </row>
    <row r="902" spans="1:7">
      <c r="A902" s="50">
        <v>147.6586977635431</v>
      </c>
      <c r="B902" s="50">
        <v>148.62328293315079</v>
      </c>
      <c r="C902" s="50">
        <v>145.17971387765135</v>
      </c>
      <c r="D902" s="50">
        <v>148.62328293315079</v>
      </c>
      <c r="E902" s="50">
        <v>6766990.8326030457</v>
      </c>
      <c r="F902" s="50" t="s">
        <v>908</v>
      </c>
      <c r="G902" s="25">
        <f t="shared" si="11"/>
        <v>-6.4901349948079945E-3</v>
      </c>
    </row>
    <row r="903" spans="1:7">
      <c r="A903" s="50">
        <v>150.60068253084651</v>
      </c>
      <c r="B903" s="50">
        <v>153.16647908200292</v>
      </c>
      <c r="C903" s="50">
        <v>150.37882794183676</v>
      </c>
      <c r="D903" s="50">
        <v>150.89005808172882</v>
      </c>
      <c r="E903" s="50">
        <v>2458676.6153211715</v>
      </c>
      <c r="F903" s="50" t="s">
        <v>909</v>
      </c>
      <c r="G903" s="25">
        <f t="shared" si="11"/>
        <v>-1.9177907051077803E-3</v>
      </c>
    </row>
    <row r="904" spans="1:7">
      <c r="A904" s="50">
        <v>150.76466200967982</v>
      </c>
      <c r="B904" s="50">
        <v>151.97521639753745</v>
      </c>
      <c r="C904" s="50">
        <v>148.06382353477832</v>
      </c>
      <c r="D904" s="50">
        <v>150.64891178932692</v>
      </c>
      <c r="E904" s="50">
        <v>2944716.6403722358</v>
      </c>
      <c r="F904" s="50" t="s">
        <v>910</v>
      </c>
      <c r="G904" s="25">
        <f t="shared" si="11"/>
        <v>7.6834421820959342E-4</v>
      </c>
    </row>
    <row r="905" spans="1:7">
      <c r="A905" s="50">
        <v>149.84830609855251</v>
      </c>
      <c r="B905" s="50">
        <v>154.15035595500277</v>
      </c>
      <c r="C905" s="50">
        <v>149.35636766205261</v>
      </c>
      <c r="D905" s="50">
        <v>152.53949872175792</v>
      </c>
      <c r="E905" s="50">
        <v>3649061.9085835759</v>
      </c>
      <c r="F905" s="50" t="s">
        <v>911</v>
      </c>
      <c r="G905" s="25">
        <f t="shared" si="11"/>
        <v>-1.7642595168837705E-2</v>
      </c>
    </row>
    <row r="906" spans="1:7">
      <c r="A906" s="50">
        <v>156.69686080276702</v>
      </c>
      <c r="B906" s="50">
        <v>157.66144597237468</v>
      </c>
      <c r="C906" s="50">
        <v>153.69700092528717</v>
      </c>
      <c r="D906" s="50">
        <v>153.85133455242439</v>
      </c>
      <c r="E906" s="50">
        <v>4298503.7823942536</v>
      </c>
      <c r="F906" s="50" t="s">
        <v>912</v>
      </c>
      <c r="G906" s="25">
        <f t="shared" ref="G906:G969" si="12">A906/D906-1</f>
        <v>1.8495297805642519E-2</v>
      </c>
    </row>
    <row r="907" spans="1:7">
      <c r="A907" s="50">
        <v>152.82887427264023</v>
      </c>
      <c r="B907" s="50">
        <v>152.97356204808139</v>
      </c>
      <c r="C907" s="50">
        <v>148.83549167046448</v>
      </c>
      <c r="D907" s="50">
        <v>148.98017944590561</v>
      </c>
      <c r="E907" s="50">
        <v>3673662.1209314927</v>
      </c>
      <c r="F907" s="50" t="s">
        <v>913</v>
      </c>
      <c r="G907" s="25">
        <f t="shared" si="12"/>
        <v>2.5833603107801917E-2</v>
      </c>
    </row>
    <row r="908" spans="1:7">
      <c r="A908" s="50">
        <v>148.08311523817048</v>
      </c>
      <c r="B908" s="50">
        <v>148.24709471700379</v>
      </c>
      <c r="C908" s="50">
        <v>144.21995163389172</v>
      </c>
      <c r="D908" s="50">
        <v>145.57519379719051</v>
      </c>
      <c r="E908" s="50">
        <v>3524048.5828561592</v>
      </c>
      <c r="F908" s="50" t="s">
        <v>914</v>
      </c>
      <c r="G908" s="25">
        <f t="shared" si="12"/>
        <v>1.7227670288894936E-2</v>
      </c>
    </row>
    <row r="909" spans="1:7">
      <c r="A909" s="50">
        <v>146.85809207276873</v>
      </c>
      <c r="B909" s="50">
        <v>147.29215539909217</v>
      </c>
      <c r="C909" s="50">
        <v>143.12514746638701</v>
      </c>
      <c r="D909" s="50">
        <v>143.14443916977919</v>
      </c>
      <c r="E909" s="50">
        <v>1831278.4144488287</v>
      </c>
      <c r="F909" s="50" t="s">
        <v>915</v>
      </c>
      <c r="G909" s="25">
        <f t="shared" si="12"/>
        <v>2.5943396226415061E-2</v>
      </c>
    </row>
    <row r="910" spans="1:7">
      <c r="A910" s="50">
        <v>143.33735620370069</v>
      </c>
      <c r="B910" s="50">
        <v>145.95138201333751</v>
      </c>
      <c r="C910" s="50">
        <v>141.35995660600497</v>
      </c>
      <c r="D910" s="50">
        <v>144.68777544115144</v>
      </c>
      <c r="E910" s="50">
        <v>2900416.7679023119</v>
      </c>
      <c r="F910" s="50" t="s">
        <v>916</v>
      </c>
      <c r="G910" s="25">
        <f t="shared" si="12"/>
        <v>-9.3333333333334156E-3</v>
      </c>
    </row>
    <row r="911" spans="1:7">
      <c r="A911" s="50">
        <v>144.48521255553385</v>
      </c>
      <c r="B911" s="50">
        <v>148.52682441619001</v>
      </c>
      <c r="C911" s="50">
        <v>143.65566930967125</v>
      </c>
      <c r="D911" s="50">
        <v>148.04453183138617</v>
      </c>
      <c r="E911" s="50">
        <v>2103052.2383265304</v>
      </c>
      <c r="F911" s="50" t="s">
        <v>917</v>
      </c>
      <c r="G911" s="25">
        <f t="shared" si="12"/>
        <v>-2.4042220484753685E-2</v>
      </c>
    </row>
    <row r="912" spans="1:7">
      <c r="A912" s="50">
        <v>145.75846497941598</v>
      </c>
      <c r="B912" s="50">
        <v>146.00925712351398</v>
      </c>
      <c r="C912" s="50">
        <v>142.42100029257341</v>
      </c>
      <c r="D912" s="50">
        <v>145.47873528022976</v>
      </c>
      <c r="E912" s="50">
        <v>2514203.075490349</v>
      </c>
      <c r="F912" s="50" t="s">
        <v>918</v>
      </c>
      <c r="G912" s="25">
        <f t="shared" si="12"/>
        <v>1.9228219069089558E-3</v>
      </c>
    </row>
    <row r="913" spans="1:7">
      <c r="A913" s="50">
        <v>146.61694578036682</v>
      </c>
      <c r="B913" s="50">
        <v>150.83218297155236</v>
      </c>
      <c r="C913" s="50">
        <v>146.46261215322957</v>
      </c>
      <c r="D913" s="50">
        <v>150.05086898417014</v>
      </c>
      <c r="E913" s="50">
        <v>3391684.9471474229</v>
      </c>
      <c r="F913" s="50" t="s">
        <v>919</v>
      </c>
      <c r="G913" s="25">
        <f t="shared" si="12"/>
        <v>-2.2885060426844905E-2</v>
      </c>
    </row>
    <row r="914" spans="1:7">
      <c r="A914" s="50">
        <v>149.18274233152323</v>
      </c>
      <c r="B914" s="50">
        <v>150.59103667915045</v>
      </c>
      <c r="C914" s="50">
        <v>147.48507243301373</v>
      </c>
      <c r="D914" s="50">
        <v>150.12803579773873</v>
      </c>
      <c r="E914" s="50">
        <v>2181765.8681772584</v>
      </c>
      <c r="F914" s="50" t="s">
        <v>920</v>
      </c>
      <c r="G914" s="25">
        <f t="shared" si="12"/>
        <v>-6.2965818555640318E-3</v>
      </c>
    </row>
    <row r="915" spans="1:7">
      <c r="A915" s="50">
        <v>149.06699211117029</v>
      </c>
      <c r="B915" s="50">
        <v>150.96722489529742</v>
      </c>
      <c r="C915" s="50">
        <v>148.94159603912129</v>
      </c>
      <c r="D915" s="50">
        <v>150.35953623844458</v>
      </c>
      <c r="E915" s="50">
        <v>2792508.2044290262</v>
      </c>
      <c r="F915" s="50" t="s">
        <v>921</v>
      </c>
      <c r="G915" s="25">
        <f t="shared" si="12"/>
        <v>-8.5963561714138548E-3</v>
      </c>
    </row>
    <row r="916" spans="1:7">
      <c r="A916" s="50">
        <v>151.73889303098358</v>
      </c>
      <c r="B916" s="50">
        <v>157.79648789611977</v>
      </c>
      <c r="C916" s="50">
        <v>151.62314281063064</v>
      </c>
      <c r="D916" s="50">
        <v>157.42994553166886</v>
      </c>
      <c r="E916" s="50">
        <v>2460855.7904383414</v>
      </c>
      <c r="F916" s="50" t="s">
        <v>922</v>
      </c>
      <c r="G916" s="25">
        <f t="shared" si="12"/>
        <v>-3.6149745726364757E-2</v>
      </c>
    </row>
    <row r="917" spans="1:7">
      <c r="A917" s="50">
        <v>156.48465206545333</v>
      </c>
      <c r="B917" s="50">
        <v>156.58111058241411</v>
      </c>
      <c r="C917" s="50">
        <v>153.15683323030686</v>
      </c>
      <c r="D917" s="50">
        <v>154.33362713722823</v>
      </c>
      <c r="E917" s="50">
        <v>2007391.4269152065</v>
      </c>
      <c r="F917" s="50" t="s">
        <v>923</v>
      </c>
      <c r="G917" s="25">
        <f t="shared" si="12"/>
        <v>1.3937499999999936E-2</v>
      </c>
    </row>
    <row r="918" spans="1:7">
      <c r="A918" s="50">
        <v>153.49443803966955</v>
      </c>
      <c r="B918" s="50">
        <v>153.90920966260086</v>
      </c>
      <c r="C918" s="50">
        <v>150.75501615798373</v>
      </c>
      <c r="D918" s="50">
        <v>151.46880918349342</v>
      </c>
      <c r="E918" s="50">
        <v>2103922.0422862382</v>
      </c>
      <c r="F918" s="50" t="s">
        <v>924</v>
      </c>
      <c r="G918" s="25">
        <f t="shared" si="12"/>
        <v>1.3373240782016182E-2</v>
      </c>
    </row>
    <row r="919" spans="1:7">
      <c r="A919" s="50">
        <v>151.75818473437573</v>
      </c>
      <c r="B919" s="50">
        <v>153.94779306938514</v>
      </c>
      <c r="C919" s="50">
        <v>151.6327886623267</v>
      </c>
      <c r="D919" s="50">
        <v>152.40445679801286</v>
      </c>
      <c r="E919" s="50">
        <v>2991144.8889199663</v>
      </c>
      <c r="F919" s="50" t="s">
        <v>925</v>
      </c>
      <c r="G919" s="25">
        <f t="shared" si="12"/>
        <v>-4.240506329113769E-3</v>
      </c>
    </row>
    <row r="920" spans="1:7">
      <c r="A920" s="50">
        <v>152.11508124713055</v>
      </c>
      <c r="B920" s="50">
        <v>153.55231314984599</v>
      </c>
      <c r="C920" s="50">
        <v>151.42057992501302</v>
      </c>
      <c r="D920" s="50">
        <v>153.34975026422839</v>
      </c>
      <c r="E920" s="50">
        <v>2041642.4200270304</v>
      </c>
      <c r="F920" s="50" t="s">
        <v>926</v>
      </c>
      <c r="G920" s="25">
        <f t="shared" si="12"/>
        <v>-8.0513272109700162E-3</v>
      </c>
    </row>
    <row r="921" spans="1:7">
      <c r="A921" s="50">
        <v>156.49429791714942</v>
      </c>
      <c r="B921" s="50">
        <v>158.1244468537864</v>
      </c>
      <c r="C921" s="50">
        <v>156.27244332813964</v>
      </c>
      <c r="D921" s="50">
        <v>157.70967523085508</v>
      </c>
      <c r="E921" s="50">
        <v>1965038.5053825066</v>
      </c>
      <c r="F921" s="50" t="s">
        <v>927</v>
      </c>
      <c r="G921" s="25">
        <f t="shared" si="12"/>
        <v>-7.706422018348591E-3</v>
      </c>
    </row>
    <row r="922" spans="1:7">
      <c r="A922" s="50">
        <v>158.81894817590393</v>
      </c>
      <c r="B922" s="50">
        <v>159.14690713357052</v>
      </c>
      <c r="C922" s="50">
        <v>157.55051867786983</v>
      </c>
      <c r="D922" s="50">
        <v>158.1244468537864</v>
      </c>
      <c r="E922" s="50">
        <v>1449034.3041128139</v>
      </c>
      <c r="F922" s="50" t="s">
        <v>928</v>
      </c>
      <c r="G922" s="25">
        <f t="shared" si="12"/>
        <v>4.3921185872017876E-3</v>
      </c>
    </row>
    <row r="923" spans="1:7">
      <c r="A923" s="50">
        <v>158.09550929869818</v>
      </c>
      <c r="B923" s="50">
        <v>158.65496869707059</v>
      </c>
      <c r="C923" s="50">
        <v>156.45571451036508</v>
      </c>
      <c r="D923" s="50">
        <v>157.51675819693355</v>
      </c>
      <c r="E923" s="50">
        <v>1870363.6100208629</v>
      </c>
      <c r="F923" s="50" t="s">
        <v>929</v>
      </c>
      <c r="G923" s="25">
        <f t="shared" si="12"/>
        <v>3.674219228414044E-3</v>
      </c>
    </row>
    <row r="924" spans="1:7">
      <c r="A924" s="50">
        <v>159.49415779462927</v>
      </c>
      <c r="B924" s="50">
        <v>160.10184645148212</v>
      </c>
      <c r="C924" s="50">
        <v>158.15338440887462</v>
      </c>
      <c r="D924" s="50">
        <v>159.15655298526661</v>
      </c>
      <c r="E924" s="50">
        <v>1944966.6645435325</v>
      </c>
      <c r="F924" s="50" t="s">
        <v>930</v>
      </c>
      <c r="G924" s="25">
        <f t="shared" si="12"/>
        <v>2.1212121212119683E-3</v>
      </c>
    </row>
    <row r="925" spans="1:7">
      <c r="A925" s="50">
        <v>159.54238705310968</v>
      </c>
      <c r="B925" s="50">
        <v>160.17901326505074</v>
      </c>
      <c r="C925" s="50">
        <v>157.96046737495308</v>
      </c>
      <c r="D925" s="50">
        <v>158.46205166314908</v>
      </c>
      <c r="E925" s="50">
        <v>1920829.8638404184</v>
      </c>
      <c r="F925" s="50" t="s">
        <v>931</v>
      </c>
      <c r="G925" s="25">
        <f t="shared" si="12"/>
        <v>6.8176284392500452E-3</v>
      </c>
    </row>
    <row r="926" spans="1:7">
      <c r="A926" s="50">
        <v>159.96680452773705</v>
      </c>
      <c r="B926" s="50">
        <v>160.12113815487427</v>
      </c>
      <c r="C926" s="50">
        <v>157.4974664935414</v>
      </c>
      <c r="D926" s="50">
        <v>158.64532284537452</v>
      </c>
      <c r="E926" s="50">
        <v>2013917.5484007362</v>
      </c>
      <c r="F926" s="50" t="s">
        <v>932</v>
      </c>
      <c r="G926" s="25">
        <f t="shared" si="12"/>
        <v>8.329786587219612E-3</v>
      </c>
    </row>
    <row r="927" spans="1:7">
      <c r="A927" s="50">
        <v>157.21773679435518</v>
      </c>
      <c r="B927" s="50">
        <v>159.08314805385947</v>
      </c>
      <c r="C927" s="50">
        <v>156.43642280697296</v>
      </c>
      <c r="D927" s="50">
        <v>158.53921847671771</v>
      </c>
      <c r="E927" s="50">
        <v>2040468.858546233</v>
      </c>
      <c r="F927" s="50" t="s">
        <v>933</v>
      </c>
      <c r="G927" s="25">
        <f t="shared" si="12"/>
        <v>-8.3353614018010225E-3</v>
      </c>
    </row>
    <row r="928" spans="1:7">
      <c r="A928" s="50">
        <v>156.68721495107096</v>
      </c>
      <c r="B928" s="50">
        <v>158.39453070127655</v>
      </c>
      <c r="C928" s="50">
        <v>155.9155468153848</v>
      </c>
      <c r="D928" s="50">
        <v>156.04094288743383</v>
      </c>
      <c r="E928" s="50">
        <v>3343791.8201788738</v>
      </c>
      <c r="F928" s="50" t="s">
        <v>934</v>
      </c>
      <c r="G928" s="25">
        <f t="shared" si="12"/>
        <v>4.1416826358409153E-3</v>
      </c>
    </row>
    <row r="929" spans="1:7">
      <c r="A929" s="50">
        <v>153.17612493369901</v>
      </c>
      <c r="B929" s="50">
        <v>153.31116685744408</v>
      </c>
      <c r="C929" s="50">
        <v>151.70030962419926</v>
      </c>
      <c r="D929" s="50">
        <v>152.05720613695408</v>
      </c>
      <c r="E929" s="50">
        <v>3107928.7702705548</v>
      </c>
      <c r="F929" s="50" t="s">
        <v>935</v>
      </c>
      <c r="G929" s="25">
        <f t="shared" si="12"/>
        <v>7.3585384420200572E-3</v>
      </c>
    </row>
    <row r="930" spans="1:7">
      <c r="A930" s="50">
        <v>151.70995547589533</v>
      </c>
      <c r="B930" s="50">
        <v>155.09564942121827</v>
      </c>
      <c r="C930" s="50">
        <v>151.38199651822873</v>
      </c>
      <c r="D930" s="50">
        <v>153.36904196762055</v>
      </c>
      <c r="E930" s="50">
        <v>3194033.1419910742</v>
      </c>
      <c r="F930" s="50" t="s">
        <v>936</v>
      </c>
      <c r="G930" s="25">
        <f t="shared" si="12"/>
        <v>-1.0817610062893168E-2</v>
      </c>
    </row>
    <row r="931" spans="1:7">
      <c r="A931" s="50">
        <v>151.93181006490511</v>
      </c>
      <c r="B931" s="50">
        <v>152.44207561962756</v>
      </c>
      <c r="C931" s="50">
        <v>150.47528645879751</v>
      </c>
      <c r="D931" s="50">
        <v>150.9382873402092</v>
      </c>
      <c r="E931" s="50">
        <v>2606057.0690947049</v>
      </c>
      <c r="F931" s="50" t="s">
        <v>937</v>
      </c>
      <c r="G931" s="25">
        <f t="shared" si="12"/>
        <v>6.5823108384457374E-3</v>
      </c>
    </row>
    <row r="932" spans="1:7">
      <c r="A932" s="50">
        <v>151.3144755563562</v>
      </c>
      <c r="B932" s="50">
        <v>152.12472709882664</v>
      </c>
      <c r="C932" s="50">
        <v>149.76149343328782</v>
      </c>
      <c r="D932" s="50">
        <v>150.49457816218967</v>
      </c>
      <c r="E932" s="50">
        <v>3829027.3543208404</v>
      </c>
      <c r="F932" s="50" t="s">
        <v>938</v>
      </c>
      <c r="G932" s="25">
        <f t="shared" si="12"/>
        <v>5.4480194846815433E-3</v>
      </c>
    </row>
    <row r="933" spans="1:7">
      <c r="A933" s="50">
        <v>149.92547291212114</v>
      </c>
      <c r="B933" s="50">
        <v>150.51386986558182</v>
      </c>
      <c r="C933" s="50">
        <v>147.88055235255285</v>
      </c>
      <c r="D933" s="50">
        <v>148.6136370814547</v>
      </c>
      <c r="E933" s="50">
        <v>2705071.6538190851</v>
      </c>
      <c r="F933" s="50" t="s">
        <v>939</v>
      </c>
      <c r="G933" s="25">
        <f t="shared" si="12"/>
        <v>8.8271564873110275E-3</v>
      </c>
    </row>
    <row r="934" spans="1:7">
      <c r="A934" s="50">
        <v>146.23111171252373</v>
      </c>
      <c r="B934" s="50">
        <v>147.87090650085679</v>
      </c>
      <c r="C934" s="50">
        <v>145.49802698362191</v>
      </c>
      <c r="D934" s="50">
        <v>146.63623748375898</v>
      </c>
      <c r="E934" s="50">
        <v>2657215.8485937417</v>
      </c>
      <c r="F934" s="50" t="s">
        <v>940</v>
      </c>
      <c r="G934" s="25">
        <f t="shared" si="12"/>
        <v>-2.7627943691621581E-3</v>
      </c>
    </row>
    <row r="935" spans="1:7">
      <c r="A935" s="50">
        <v>147.89984405594504</v>
      </c>
      <c r="B935" s="50">
        <v>149.28884670018007</v>
      </c>
      <c r="C935" s="50">
        <v>146.42595791678448</v>
      </c>
      <c r="D935" s="50">
        <v>147.42719732283726</v>
      </c>
      <c r="E935" s="50">
        <v>2379973.3526213346</v>
      </c>
      <c r="F935" s="50" t="s">
        <v>941</v>
      </c>
      <c r="G935" s="25">
        <f t="shared" si="12"/>
        <v>3.2059670243393956E-3</v>
      </c>
    </row>
    <row r="936" spans="1:7">
      <c r="A936" s="50">
        <v>148.56540782297432</v>
      </c>
      <c r="B936" s="50">
        <v>148.91265848403307</v>
      </c>
      <c r="C936" s="50">
        <v>145.93209030994535</v>
      </c>
      <c r="D936" s="50">
        <v>146.97384229312166</v>
      </c>
      <c r="E936" s="50">
        <v>3315553.7745835031</v>
      </c>
      <c r="F936" s="50" t="s">
        <v>942</v>
      </c>
      <c r="G936" s="25">
        <f t="shared" si="12"/>
        <v>1.0828903327426698E-2</v>
      </c>
    </row>
    <row r="937" spans="1:7">
      <c r="A937" s="50">
        <v>146.75198770411188</v>
      </c>
      <c r="B937" s="50">
        <v>147.24392614061179</v>
      </c>
      <c r="C937" s="50">
        <v>142.31489592391657</v>
      </c>
      <c r="D937" s="50">
        <v>146.38544533966095</v>
      </c>
      <c r="E937" s="50">
        <v>3719662.2061474482</v>
      </c>
      <c r="F937" s="50" t="s">
        <v>943</v>
      </c>
      <c r="G937" s="25">
        <f t="shared" si="12"/>
        <v>2.503953610964782E-3</v>
      </c>
    </row>
    <row r="938" spans="1:7">
      <c r="A938" s="50">
        <v>146.26004926761198</v>
      </c>
      <c r="B938" s="50">
        <v>147.31144710248432</v>
      </c>
      <c r="C938" s="50">
        <v>142.0544579281225</v>
      </c>
      <c r="D938" s="50">
        <v>146.23111171252373</v>
      </c>
      <c r="E938" s="50">
        <v>5213709.6427114485</v>
      </c>
      <c r="F938" s="50" t="s">
        <v>944</v>
      </c>
      <c r="G938" s="25">
        <f t="shared" si="12"/>
        <v>1.9788918205820849E-4</v>
      </c>
    </row>
    <row r="939" spans="1:7">
      <c r="A939" s="50">
        <v>144.52379596231816</v>
      </c>
      <c r="B939" s="50">
        <v>148.06382353477832</v>
      </c>
      <c r="C939" s="50">
        <v>143.56885664440657</v>
      </c>
      <c r="D939" s="50">
        <v>147.32109295418041</v>
      </c>
      <c r="E939" s="50">
        <v>2915924.9889193159</v>
      </c>
      <c r="F939" s="50" t="s">
        <v>945</v>
      </c>
      <c r="G939" s="25">
        <f t="shared" si="12"/>
        <v>-1.8987756171020664E-2</v>
      </c>
    </row>
    <row r="940" spans="1:7">
      <c r="A940" s="50">
        <v>148.34355323396454</v>
      </c>
      <c r="B940" s="50">
        <v>149.29849255187614</v>
      </c>
      <c r="C940" s="50">
        <v>145.85820308595342</v>
      </c>
      <c r="D940" s="50">
        <v>148.78726241198407</v>
      </c>
      <c r="E940" s="50">
        <v>4368518.3359328164</v>
      </c>
      <c r="F940" s="50" t="s">
        <v>946</v>
      </c>
      <c r="G940" s="25">
        <f t="shared" si="12"/>
        <v>-2.9821717990275998E-3</v>
      </c>
    </row>
    <row r="941" spans="1:7">
      <c r="A941" s="50">
        <v>147.59117680167054</v>
      </c>
      <c r="B941" s="50">
        <v>155.18246208648296</v>
      </c>
      <c r="C941" s="50">
        <v>147.21498858552357</v>
      </c>
      <c r="D941" s="50">
        <v>153.37868781931661</v>
      </c>
      <c r="E941" s="50">
        <v>9639833.0525669754</v>
      </c>
      <c r="F941" s="50" t="s">
        <v>947</v>
      </c>
      <c r="G941" s="25">
        <f t="shared" si="12"/>
        <v>-3.7733475882020029E-2</v>
      </c>
    </row>
    <row r="942" spans="1:7">
      <c r="A942" s="50">
        <v>144.86140077168085</v>
      </c>
      <c r="B942" s="50">
        <v>145.006088547122</v>
      </c>
      <c r="C942" s="50">
        <v>141.25867516319616</v>
      </c>
      <c r="D942" s="50">
        <v>142.96116798755372</v>
      </c>
      <c r="E942" s="50">
        <v>4854977.1938798539</v>
      </c>
      <c r="F942" s="50" t="s">
        <v>948</v>
      </c>
      <c r="G942" s="25">
        <f t="shared" si="12"/>
        <v>1.3291950610620162E-2</v>
      </c>
    </row>
    <row r="943" spans="1:7">
      <c r="A943" s="50">
        <v>143.65566930967125</v>
      </c>
      <c r="B943" s="50">
        <v>143.81964878850454</v>
      </c>
      <c r="C943" s="50">
        <v>141.1863312754756</v>
      </c>
      <c r="D943" s="50">
        <v>141.66862386027944</v>
      </c>
      <c r="E943" s="50">
        <v>2905137.9684178168</v>
      </c>
      <c r="F943" s="50" t="s">
        <v>949</v>
      </c>
      <c r="G943" s="25">
        <f t="shared" si="12"/>
        <v>1.4026009396064465E-2</v>
      </c>
    </row>
    <row r="944" spans="1:7">
      <c r="A944" s="50">
        <v>142.54639636462241</v>
      </c>
      <c r="B944" s="50">
        <v>142.69108414006357</v>
      </c>
      <c r="C944" s="50">
        <v>139.28609849134847</v>
      </c>
      <c r="D944" s="50">
        <v>139.28609849134847</v>
      </c>
      <c r="E944" s="50">
        <v>3496088.3769046525</v>
      </c>
      <c r="F944" s="50" t="s">
        <v>950</v>
      </c>
      <c r="G944" s="25">
        <f t="shared" si="12"/>
        <v>2.3407202216066514E-2</v>
      </c>
    </row>
    <row r="945" spans="1:7">
      <c r="A945" s="50">
        <v>137.28940719026059</v>
      </c>
      <c r="B945" s="50">
        <v>140.87766402120116</v>
      </c>
      <c r="C945" s="50">
        <v>136.50809320287837</v>
      </c>
      <c r="D945" s="50">
        <v>139.228223381172</v>
      </c>
      <c r="E945" s="50">
        <v>3452617.876505963</v>
      </c>
      <c r="F945" s="50" t="s">
        <v>951</v>
      </c>
      <c r="G945" s="25">
        <f t="shared" si="12"/>
        <v>-1.3925453789663145E-2</v>
      </c>
    </row>
    <row r="946" spans="1:7">
      <c r="A946" s="50">
        <v>137.43409496570172</v>
      </c>
      <c r="B946" s="50">
        <v>138.04178362255459</v>
      </c>
      <c r="C946" s="50">
        <v>133.95194250341802</v>
      </c>
      <c r="D946" s="50">
        <v>134.76219404588846</v>
      </c>
      <c r="E946" s="50">
        <v>3417804.9838158777</v>
      </c>
      <c r="F946" s="50" t="s">
        <v>952</v>
      </c>
      <c r="G946" s="25">
        <f t="shared" si="12"/>
        <v>1.9826784052680457E-2</v>
      </c>
    </row>
    <row r="947" spans="1:7">
      <c r="A947" s="50">
        <v>131.64658394805565</v>
      </c>
      <c r="B947" s="50">
        <v>132.37966867695752</v>
      </c>
      <c r="C947" s="50">
        <v>129.37016294778155</v>
      </c>
      <c r="D947" s="50">
        <v>130.89420751576168</v>
      </c>
      <c r="E947" s="50">
        <v>4769167.2492446229</v>
      </c>
      <c r="F947" s="50" t="s">
        <v>953</v>
      </c>
      <c r="G947" s="25">
        <f t="shared" si="12"/>
        <v>5.7479734708916208E-3</v>
      </c>
    </row>
    <row r="948" spans="1:7">
      <c r="A948" s="50">
        <v>134.46317264331009</v>
      </c>
      <c r="B948" s="50">
        <v>135.06121544846687</v>
      </c>
      <c r="C948" s="50">
        <v>131.53083372770277</v>
      </c>
      <c r="D948" s="50">
        <v>131.99383460911443</v>
      </c>
      <c r="E948" s="50">
        <v>2854881.1310462481</v>
      </c>
      <c r="F948" s="50" t="s">
        <v>954</v>
      </c>
      <c r="G948" s="25">
        <f t="shared" si="12"/>
        <v>1.8707980122771195E-2</v>
      </c>
    </row>
    <row r="949" spans="1:7">
      <c r="A949" s="50">
        <v>134.2509639059964</v>
      </c>
      <c r="B949" s="50">
        <v>136.86498971563319</v>
      </c>
      <c r="C949" s="50">
        <v>132.20613980494508</v>
      </c>
      <c r="D949" s="50">
        <v>132.65939837614374</v>
      </c>
      <c r="E949" s="50">
        <v>4196221.4717092086</v>
      </c>
      <c r="F949" s="50" t="s">
        <v>955</v>
      </c>
      <c r="G949" s="25">
        <f t="shared" si="12"/>
        <v>1.1997382389296929E-2</v>
      </c>
    </row>
    <row r="950" spans="1:7">
      <c r="A950" s="50">
        <v>135.60138314344715</v>
      </c>
      <c r="B950" s="50">
        <v>137.27011548686843</v>
      </c>
      <c r="C950" s="50">
        <v>134.88276719208943</v>
      </c>
      <c r="D950" s="50">
        <v>135.49527877479031</v>
      </c>
      <c r="E950" s="50">
        <v>2465179.9290747424</v>
      </c>
      <c r="F950" s="50" t="s">
        <v>956</v>
      </c>
      <c r="G950" s="25">
        <f t="shared" si="12"/>
        <v>7.8308535630378096E-4</v>
      </c>
    </row>
    <row r="951" spans="1:7">
      <c r="A951" s="50">
        <v>136.73959364358419</v>
      </c>
      <c r="B951" s="50">
        <v>138.04178362255459</v>
      </c>
      <c r="C951" s="50">
        <v>134.77183989758456</v>
      </c>
      <c r="D951" s="50">
        <v>136.72030194019206</v>
      </c>
      <c r="E951" s="50">
        <v>3765290.1106464369</v>
      </c>
      <c r="F951" s="50" t="s">
        <v>957</v>
      </c>
      <c r="G951" s="25">
        <f t="shared" si="12"/>
        <v>1.4110342881323845E-4</v>
      </c>
    </row>
    <row r="952" spans="1:7">
      <c r="A952" s="50">
        <v>136.03544646977059</v>
      </c>
      <c r="B952" s="50">
        <v>137.13507356312334</v>
      </c>
      <c r="C952" s="50">
        <v>134.22202635090818</v>
      </c>
      <c r="D952" s="50">
        <v>135.21554907560409</v>
      </c>
      <c r="E952" s="50">
        <v>4414445.8510925388</v>
      </c>
      <c r="F952" s="50" t="s">
        <v>958</v>
      </c>
      <c r="G952" s="25">
        <f t="shared" si="12"/>
        <v>6.0636324725351631E-3</v>
      </c>
    </row>
    <row r="953" spans="1:7">
      <c r="A953" s="50">
        <v>133.25744118130049</v>
      </c>
      <c r="B953" s="50">
        <v>135.52421632987853</v>
      </c>
      <c r="C953" s="50">
        <v>132.96806563041818</v>
      </c>
      <c r="D953" s="50">
        <v>134.35706827465324</v>
      </c>
      <c r="E953" s="50">
        <v>4562960.4711734857</v>
      </c>
      <c r="F953" s="50" t="s">
        <v>959</v>
      </c>
      <c r="G953" s="25">
        <f t="shared" si="12"/>
        <v>-8.1843635580444163E-3</v>
      </c>
    </row>
    <row r="954" spans="1:7">
      <c r="A954" s="50">
        <v>134.70431893571202</v>
      </c>
      <c r="B954" s="50">
        <v>134.70431893571202</v>
      </c>
      <c r="C954" s="50">
        <v>130.8459782572813</v>
      </c>
      <c r="D954" s="50">
        <v>132.36037697356534</v>
      </c>
      <c r="E954" s="50">
        <v>4206462.143358781</v>
      </c>
      <c r="F954" s="50" t="s">
        <v>960</v>
      </c>
      <c r="G954" s="25">
        <f t="shared" si="12"/>
        <v>1.7708788806296782E-2</v>
      </c>
    </row>
    <row r="955" spans="1:7">
      <c r="A955" s="50">
        <v>135.42775781291778</v>
      </c>
      <c r="B955" s="50">
        <v>135.9004045460255</v>
      </c>
      <c r="C955" s="50">
        <v>132.60152326596727</v>
      </c>
      <c r="D955" s="50">
        <v>133.18027436773187</v>
      </c>
      <c r="E955" s="50">
        <v>2721654.9483834272</v>
      </c>
      <c r="F955" s="50" t="s">
        <v>961</v>
      </c>
      <c r="G955" s="25">
        <f t="shared" si="12"/>
        <v>1.6875497935829875E-2</v>
      </c>
    </row>
    <row r="956" spans="1:7">
      <c r="A956" s="50">
        <v>133.71079621101612</v>
      </c>
      <c r="B956" s="50">
        <v>134.91652767302571</v>
      </c>
      <c r="C956" s="50">
        <v>129.54378827831096</v>
      </c>
      <c r="D956" s="50">
        <v>131.85879268536934</v>
      </c>
      <c r="E956" s="50">
        <v>4274877.0455149496</v>
      </c>
      <c r="F956" s="50" t="s">
        <v>962</v>
      </c>
      <c r="G956" s="25">
        <f t="shared" si="12"/>
        <v>1.4045354791514475E-2</v>
      </c>
    </row>
    <row r="957" spans="1:7">
      <c r="A957" s="50">
        <v>134.02910931698665</v>
      </c>
      <c r="B957" s="50">
        <v>136.14808964281985</v>
      </c>
      <c r="C957" s="50">
        <v>133.04890073088691</v>
      </c>
      <c r="D957" s="50">
        <v>136.1240649225723</v>
      </c>
      <c r="E957" s="50">
        <v>4333948.4883555872</v>
      </c>
      <c r="F957" s="50" t="s">
        <v>963</v>
      </c>
      <c r="G957" s="25">
        <f t="shared" si="12"/>
        <v>-1.5390045887751502E-2</v>
      </c>
    </row>
    <row r="958" spans="1:7">
      <c r="A958" s="50">
        <v>136.64299887991919</v>
      </c>
      <c r="B958" s="50">
        <v>143.67743696839946</v>
      </c>
      <c r="C958" s="50">
        <v>136.31626268455264</v>
      </c>
      <c r="D958" s="50">
        <v>140.38124535043673</v>
      </c>
      <c r="E958" s="50">
        <v>2831150.5523965177</v>
      </c>
      <c r="F958" s="50" t="s">
        <v>964</v>
      </c>
      <c r="G958" s="25">
        <f t="shared" si="12"/>
        <v>-2.6629244249726347E-2</v>
      </c>
    </row>
    <row r="959" spans="1:7">
      <c r="A959" s="50">
        <v>138.6610753807127</v>
      </c>
      <c r="B959" s="50">
        <v>142.96630524907224</v>
      </c>
      <c r="C959" s="50">
        <v>138.33433918534615</v>
      </c>
      <c r="D959" s="50">
        <v>142.21673397734892</v>
      </c>
      <c r="E959" s="50">
        <v>3279474.1910912092</v>
      </c>
      <c r="F959" s="50" t="s">
        <v>965</v>
      </c>
      <c r="G959" s="25">
        <f t="shared" si="12"/>
        <v>-2.5001689303331465E-2</v>
      </c>
    </row>
    <row r="960" spans="1:7">
      <c r="A960" s="50">
        <v>140.44851456712985</v>
      </c>
      <c r="B960" s="50">
        <v>140.56383322431805</v>
      </c>
      <c r="C960" s="50">
        <v>135.49942219613621</v>
      </c>
      <c r="D960" s="50">
        <v>136.10484514637426</v>
      </c>
      <c r="E960" s="50">
        <v>9320816.1299156714</v>
      </c>
      <c r="F960" s="50" t="s">
        <v>966</v>
      </c>
      <c r="G960" s="25">
        <f t="shared" si="12"/>
        <v>3.1914142483937091E-2</v>
      </c>
    </row>
    <row r="961" spans="1:7">
      <c r="A961" s="50">
        <v>136.1240649225723</v>
      </c>
      <c r="B961" s="50">
        <v>138.98781157607928</v>
      </c>
      <c r="C961" s="50">
        <v>134.02910931698665</v>
      </c>
      <c r="D961" s="50">
        <v>138.8821028069901</v>
      </c>
      <c r="E961" s="50">
        <v>4073956.9073656234</v>
      </c>
      <c r="F961" s="50" t="s">
        <v>967</v>
      </c>
      <c r="G961" s="25">
        <f t="shared" si="12"/>
        <v>-1.9858843066703491E-2</v>
      </c>
    </row>
    <row r="962" spans="1:7">
      <c r="A962" s="50">
        <v>138.75717426170289</v>
      </c>
      <c r="B962" s="50">
        <v>140.64071232911016</v>
      </c>
      <c r="C962" s="50">
        <v>135.82711938031269</v>
      </c>
      <c r="D962" s="50">
        <v>136.68143843231525</v>
      </c>
      <c r="E962" s="50">
        <v>3558439.9784529051</v>
      </c>
      <c r="F962" s="50" t="s">
        <v>968</v>
      </c>
      <c r="G962" s="25">
        <f t="shared" si="12"/>
        <v>1.5186669479013037E-2</v>
      </c>
    </row>
    <row r="963" spans="1:7">
      <c r="A963" s="50">
        <v>139.1127401213665</v>
      </c>
      <c r="B963" s="50">
        <v>142.89903603237909</v>
      </c>
      <c r="C963" s="50">
        <v>138.53614683542551</v>
      </c>
      <c r="D963" s="50">
        <v>142.89903603237909</v>
      </c>
      <c r="E963" s="50">
        <v>3661647.2156008044</v>
      </c>
      <c r="F963" s="50" t="s">
        <v>969</v>
      </c>
      <c r="G963" s="25">
        <f t="shared" si="12"/>
        <v>-2.6496301277740275E-2</v>
      </c>
    </row>
    <row r="964" spans="1:7">
      <c r="A964" s="50">
        <v>138.55536661162355</v>
      </c>
      <c r="B964" s="50">
        <v>139.88191556481181</v>
      </c>
      <c r="C964" s="50">
        <v>132.22245035437149</v>
      </c>
      <c r="D964" s="50">
        <v>132.61645576643119</v>
      </c>
      <c r="E964" s="50">
        <v>10440892.647882756</v>
      </c>
      <c r="F964" s="50" t="s">
        <v>970</v>
      </c>
      <c r="G964" s="25">
        <f t="shared" si="12"/>
        <v>4.4782608695652204E-2</v>
      </c>
    </row>
    <row r="965" spans="1:7">
      <c r="A965" s="50">
        <v>132.13596136148035</v>
      </c>
      <c r="B965" s="50">
        <v>137.03700429197889</v>
      </c>
      <c r="C965" s="50">
        <v>131.16536266347967</v>
      </c>
      <c r="D965" s="50">
        <v>137.02739440387987</v>
      </c>
      <c r="E965" s="50">
        <v>5010535.971269696</v>
      </c>
      <c r="F965" s="50" t="s">
        <v>971</v>
      </c>
      <c r="G965" s="25">
        <f t="shared" si="12"/>
        <v>-3.569675292797525E-2</v>
      </c>
    </row>
    <row r="966" spans="1:7">
      <c r="A966" s="50">
        <v>140.51578378382294</v>
      </c>
      <c r="B966" s="50">
        <v>142.11583015230923</v>
      </c>
      <c r="C966" s="50">
        <v>137.8442348922963</v>
      </c>
      <c r="D966" s="50">
        <v>140.96744852447674</v>
      </c>
      <c r="E966" s="50">
        <v>3462915.4530326845</v>
      </c>
      <c r="F966" s="50" t="s">
        <v>972</v>
      </c>
      <c r="G966" s="25">
        <f t="shared" si="12"/>
        <v>-3.2040357215897819E-3</v>
      </c>
    </row>
    <row r="967" spans="1:7">
      <c r="A967" s="50">
        <v>138.95898191178225</v>
      </c>
      <c r="B967" s="50">
        <v>141.64975057950693</v>
      </c>
      <c r="C967" s="50">
        <v>137.66164701841498</v>
      </c>
      <c r="D967" s="50">
        <v>140.25631680514948</v>
      </c>
      <c r="E967" s="50">
        <v>3719870.5782700586</v>
      </c>
      <c r="F967" s="50" t="s">
        <v>973</v>
      </c>
      <c r="G967" s="25">
        <f t="shared" si="12"/>
        <v>-9.2497430626925503E-3</v>
      </c>
    </row>
    <row r="968" spans="1:7">
      <c r="A968" s="50">
        <v>140.58305300051606</v>
      </c>
      <c r="B968" s="50">
        <v>145.13813995945</v>
      </c>
      <c r="C968" s="50">
        <v>139.70855318350553</v>
      </c>
      <c r="D968" s="50">
        <v>144.01378305186506</v>
      </c>
      <c r="E968" s="50">
        <v>4325259.5214144895</v>
      </c>
      <c r="F968" s="50" t="s">
        <v>974</v>
      </c>
      <c r="G968" s="25">
        <f t="shared" si="12"/>
        <v>-2.3822234085146277E-2</v>
      </c>
    </row>
    <row r="969" spans="1:7">
      <c r="A969" s="50">
        <v>148.39589202501668</v>
      </c>
      <c r="B969" s="50">
        <v>151.71610836322697</v>
      </c>
      <c r="C969" s="50">
        <v>148.33823269642261</v>
      </c>
      <c r="D969" s="50">
        <v>151.12510024513745</v>
      </c>
      <c r="E969" s="50">
        <v>2844654.3516773102</v>
      </c>
      <c r="F969" s="50" t="s">
        <v>975</v>
      </c>
      <c r="G969" s="25">
        <f t="shared" si="12"/>
        <v>-1.8059264911611361E-2</v>
      </c>
    </row>
    <row r="970" spans="1:7">
      <c r="A970" s="50">
        <v>154.69997861797168</v>
      </c>
      <c r="B970" s="50">
        <v>160.07190606532203</v>
      </c>
      <c r="C970" s="50">
        <v>154.6519291774766</v>
      </c>
      <c r="D970" s="50">
        <v>159.73555998185645</v>
      </c>
      <c r="E970" s="50">
        <v>2366971.3700752999</v>
      </c>
      <c r="F970" s="50" t="s">
        <v>976</v>
      </c>
      <c r="G970" s="25">
        <f t="shared" ref="G970:G1033" si="13">A970/D970-1</f>
        <v>-3.1524485621465481E-2</v>
      </c>
    </row>
    <row r="971" spans="1:7">
      <c r="A971" s="50">
        <v>159.48570289128202</v>
      </c>
      <c r="B971" s="50">
        <v>162.0611529018185</v>
      </c>
      <c r="C971" s="50">
        <v>158.74574150765773</v>
      </c>
      <c r="D971" s="50">
        <v>160.24488405110435</v>
      </c>
      <c r="E971" s="50">
        <v>2407839.6919489107</v>
      </c>
      <c r="F971" s="50" t="s">
        <v>977</v>
      </c>
      <c r="G971" s="25">
        <f t="shared" si="13"/>
        <v>-4.7376311844078423E-3</v>
      </c>
    </row>
    <row r="972" spans="1:7">
      <c r="A972" s="50">
        <v>162.10920234231358</v>
      </c>
      <c r="B972" s="50">
        <v>162.87088207304166</v>
      </c>
      <c r="C972" s="50">
        <v>158.03460978833047</v>
      </c>
      <c r="D972" s="50">
        <v>158.21719766221179</v>
      </c>
      <c r="E972" s="50">
        <v>2167678.7268866706</v>
      </c>
      <c r="F972" s="50" t="s">
        <v>978</v>
      </c>
      <c r="G972" s="25">
        <f t="shared" si="13"/>
        <v>2.459912536443154E-2</v>
      </c>
    </row>
    <row r="973" spans="1:7">
      <c r="A973" s="50">
        <v>160.50435102977781</v>
      </c>
      <c r="B973" s="50">
        <v>163.61699378504932</v>
      </c>
      <c r="C973" s="50">
        <v>159.78360942235156</v>
      </c>
      <c r="D973" s="50">
        <v>162.50320775437328</v>
      </c>
      <c r="E973" s="50">
        <v>1546478.9856939721</v>
      </c>
      <c r="F973" s="50" t="s">
        <v>979</v>
      </c>
      <c r="G973" s="25">
        <f t="shared" si="13"/>
        <v>-1.230041395623882E-2</v>
      </c>
    </row>
    <row r="974" spans="1:7">
      <c r="A974" s="50">
        <v>160.32176315589649</v>
      </c>
      <c r="B974" s="50">
        <v>161.48455961587749</v>
      </c>
      <c r="C974" s="50">
        <v>159.50492266748006</v>
      </c>
      <c r="D974" s="50">
        <v>160.38903237258961</v>
      </c>
      <c r="E974" s="50">
        <v>1447303.0129688042</v>
      </c>
      <c r="F974" s="50" t="s">
        <v>980</v>
      </c>
      <c r="G974" s="25">
        <f t="shared" si="13"/>
        <v>-4.1941282204915886E-4</v>
      </c>
    </row>
    <row r="975" spans="1:7">
      <c r="A975" s="50">
        <v>162.54164730676933</v>
      </c>
      <c r="B975" s="50">
        <v>162.58969674726444</v>
      </c>
      <c r="C975" s="50">
        <v>159.45687322698498</v>
      </c>
      <c r="D975" s="50">
        <v>159.65868087706431</v>
      </c>
      <c r="E975" s="50">
        <v>1776517.0441211232</v>
      </c>
      <c r="F975" s="50" t="s">
        <v>981</v>
      </c>
      <c r="G975" s="25">
        <f t="shared" si="13"/>
        <v>1.8057060310581408E-2</v>
      </c>
    </row>
    <row r="976" spans="1:7">
      <c r="A976" s="50">
        <v>159.29350512930168</v>
      </c>
      <c r="B976" s="50">
        <v>162.76152154647485</v>
      </c>
      <c r="C976" s="50">
        <v>157.44840661429046</v>
      </c>
      <c r="D976" s="50">
        <v>162.1188122304126</v>
      </c>
      <c r="E976" s="50">
        <v>2368785.1268870761</v>
      </c>
      <c r="F976" s="50" t="s">
        <v>982</v>
      </c>
      <c r="G976" s="25">
        <f t="shared" si="13"/>
        <v>-1.7427385892116121E-2</v>
      </c>
    </row>
    <row r="977" spans="1:7">
      <c r="A977" s="50">
        <v>162.2341308876008</v>
      </c>
      <c r="B977" s="50">
        <v>164.1176689550081</v>
      </c>
      <c r="C977" s="50">
        <v>160.52357080597582</v>
      </c>
      <c r="D977" s="50">
        <v>161.38846073488733</v>
      </c>
      <c r="E977" s="50">
        <v>4290900.1202853778</v>
      </c>
      <c r="F977" s="50" t="s">
        <v>983</v>
      </c>
      <c r="G977" s="25">
        <f t="shared" si="13"/>
        <v>5.2399666547575663E-3</v>
      </c>
    </row>
    <row r="978" spans="1:7">
      <c r="A978" s="50">
        <v>162.98370215932411</v>
      </c>
      <c r="B978" s="50">
        <v>163.06058126411625</v>
      </c>
      <c r="C978" s="50">
        <v>159.56258199607416</v>
      </c>
      <c r="D978" s="50">
        <v>160.56201035837191</v>
      </c>
      <c r="E978" s="50">
        <v>2245244.6665021656</v>
      </c>
      <c r="F978" s="50" t="s">
        <v>984</v>
      </c>
      <c r="G978" s="25">
        <f t="shared" si="13"/>
        <v>1.508259516399324E-2</v>
      </c>
    </row>
    <row r="979" spans="1:7">
      <c r="A979" s="50">
        <v>158.91871949344005</v>
      </c>
      <c r="B979" s="50">
        <v>160.26410382730239</v>
      </c>
      <c r="C979" s="50">
        <v>156.35287937100256</v>
      </c>
      <c r="D979" s="50">
        <v>156.35287937100256</v>
      </c>
      <c r="E979" s="50">
        <v>2563980.9481778489</v>
      </c>
      <c r="F979" s="50" t="s">
        <v>985</v>
      </c>
      <c r="G979" s="25">
        <f t="shared" si="13"/>
        <v>1.641057160417958E-2</v>
      </c>
    </row>
    <row r="980" spans="1:7">
      <c r="A980" s="50">
        <v>154.24831387731788</v>
      </c>
      <c r="B980" s="50">
        <v>155.44954988969496</v>
      </c>
      <c r="C980" s="50">
        <v>149.98632850540395</v>
      </c>
      <c r="D980" s="50">
        <v>151.00978158794922</v>
      </c>
      <c r="E980" s="50">
        <v>4558818.9527911823</v>
      </c>
      <c r="F980" s="50" t="s">
        <v>986</v>
      </c>
      <c r="G980" s="25">
        <f t="shared" si="13"/>
        <v>2.14458444698995E-2</v>
      </c>
    </row>
    <row r="981" spans="1:7">
      <c r="A981" s="50">
        <v>149.5586884849977</v>
      </c>
      <c r="B981" s="50">
        <v>151.80740230016764</v>
      </c>
      <c r="C981" s="50">
        <v>146.95748397435588</v>
      </c>
      <c r="D981" s="50">
        <v>151.15392990943448</v>
      </c>
      <c r="E981" s="50">
        <v>2932233.935469354</v>
      </c>
      <c r="F981" s="50" t="s">
        <v>987</v>
      </c>
      <c r="G981" s="25">
        <f t="shared" si="13"/>
        <v>-1.0553754211965138E-2</v>
      </c>
    </row>
    <row r="982" spans="1:7">
      <c r="A982" s="50">
        <v>152.83566032676242</v>
      </c>
      <c r="B982" s="50">
        <v>153.3353745079113</v>
      </c>
      <c r="C982" s="50">
        <v>149.93347412085939</v>
      </c>
      <c r="D982" s="50">
        <v>150.50045751870138</v>
      </c>
      <c r="E982" s="50">
        <v>2837266.1282902695</v>
      </c>
      <c r="F982" s="50" t="s">
        <v>988</v>
      </c>
      <c r="G982" s="25">
        <f t="shared" si="13"/>
        <v>1.551625055871253E-2</v>
      </c>
    </row>
    <row r="983" spans="1:7">
      <c r="A983" s="50">
        <v>147.26192522933272</v>
      </c>
      <c r="B983" s="50">
        <v>148.76106777277934</v>
      </c>
      <c r="C983" s="50">
        <v>143.8696347303798</v>
      </c>
      <c r="D983" s="50">
        <v>148.32862280832356</v>
      </c>
      <c r="E983" s="50">
        <v>3103594.9318755963</v>
      </c>
      <c r="F983" s="50" t="s">
        <v>989</v>
      </c>
      <c r="G983" s="25">
        <f t="shared" si="13"/>
        <v>-7.1914480077743814E-3</v>
      </c>
    </row>
    <row r="984" spans="1:7">
      <c r="A984" s="50">
        <v>147.99227672485799</v>
      </c>
      <c r="B984" s="50">
        <v>150.35630919721612</v>
      </c>
      <c r="C984" s="50">
        <v>147.27153511743174</v>
      </c>
      <c r="D984" s="50">
        <v>147.57905153660025</v>
      </c>
      <c r="E984" s="50">
        <v>2880721.3689441881</v>
      </c>
      <c r="F984" s="50" t="s">
        <v>990</v>
      </c>
      <c r="G984" s="25">
        <f t="shared" si="13"/>
        <v>2.8000260467540006E-3</v>
      </c>
    </row>
    <row r="985" spans="1:7">
      <c r="A985" s="50">
        <v>150.0103532256515</v>
      </c>
      <c r="B985" s="50">
        <v>154.57505007268446</v>
      </c>
      <c r="C985" s="50">
        <v>149.33766105872033</v>
      </c>
      <c r="D985" s="50">
        <v>154.51739074409036</v>
      </c>
      <c r="E985" s="50">
        <v>2807403.1374788196</v>
      </c>
      <c r="F985" s="50" t="s">
        <v>991</v>
      </c>
      <c r="G985" s="25">
        <f t="shared" si="13"/>
        <v>-2.9168480626904691E-2</v>
      </c>
    </row>
    <row r="986" spans="1:7">
      <c r="A986" s="50">
        <v>155.53603888258613</v>
      </c>
      <c r="B986" s="50">
        <v>156.4138060615503</v>
      </c>
      <c r="C986" s="50">
        <v>152.22062748842535</v>
      </c>
      <c r="D986" s="50">
        <v>154.78646761086281</v>
      </c>
      <c r="E986" s="50">
        <v>3046930.3802815233</v>
      </c>
      <c r="F986" s="50" t="s">
        <v>992</v>
      </c>
      <c r="G986" s="25">
        <f t="shared" si="13"/>
        <v>4.8426150121065881E-3</v>
      </c>
    </row>
    <row r="987" spans="1:7">
      <c r="A987" s="50">
        <v>150.32747953291906</v>
      </c>
      <c r="B987" s="50">
        <v>152.54736368379193</v>
      </c>
      <c r="C987" s="50">
        <v>148.29979314402652</v>
      </c>
      <c r="D987" s="50">
        <v>151.26924856662271</v>
      </c>
      <c r="E987" s="50">
        <v>2925667.782008477</v>
      </c>
      <c r="F987" s="50" t="s">
        <v>993</v>
      </c>
      <c r="G987" s="25">
        <f t="shared" si="13"/>
        <v>-6.2257798106855056E-3</v>
      </c>
    </row>
    <row r="988" spans="1:7">
      <c r="A988" s="50">
        <v>152.55697357189095</v>
      </c>
      <c r="B988" s="50">
        <v>153.84469857715919</v>
      </c>
      <c r="C988" s="50">
        <v>149.79893568747312</v>
      </c>
      <c r="D988" s="50">
        <v>149.87581479226529</v>
      </c>
      <c r="E988" s="50">
        <v>3772275.9751707288</v>
      </c>
      <c r="F988" s="50" t="s">
        <v>994</v>
      </c>
      <c r="G988" s="25">
        <f t="shared" si="13"/>
        <v>1.7889202359579359E-2</v>
      </c>
    </row>
    <row r="989" spans="1:7">
      <c r="A989" s="50">
        <v>147.29075489362978</v>
      </c>
      <c r="B989" s="50">
        <v>151.02419642009778</v>
      </c>
      <c r="C989" s="50">
        <v>144.03300282806308</v>
      </c>
      <c r="D989" s="50">
        <v>149.52985882070067</v>
      </c>
      <c r="E989" s="50">
        <v>5530598.21845771</v>
      </c>
      <c r="F989" s="50" t="s">
        <v>995</v>
      </c>
      <c r="G989" s="25">
        <f t="shared" si="13"/>
        <v>-1.4974293059125898E-2</v>
      </c>
    </row>
    <row r="990" spans="1:7">
      <c r="A990" s="50">
        <v>153.17200641022799</v>
      </c>
      <c r="B990" s="50">
        <v>158.50549430518231</v>
      </c>
      <c r="C990" s="50">
        <v>152.83566032676242</v>
      </c>
      <c r="D990" s="50">
        <v>155.42072022539793</v>
      </c>
      <c r="E990" s="50">
        <v>2751636.6192344674</v>
      </c>
      <c r="F990" s="50" t="s">
        <v>996</v>
      </c>
      <c r="G990" s="25">
        <f t="shared" si="13"/>
        <v>-1.4468558708959467E-2</v>
      </c>
    </row>
    <row r="991" spans="1:7">
      <c r="A991" s="50">
        <v>155.51681910638811</v>
      </c>
      <c r="B991" s="50">
        <v>158.30368665510295</v>
      </c>
      <c r="C991" s="50">
        <v>152.21101760032633</v>
      </c>
      <c r="D991" s="50">
        <v>157.04479131413174</v>
      </c>
      <c r="E991" s="50">
        <v>3137418.4266604371</v>
      </c>
      <c r="F991" s="50" t="s">
        <v>997</v>
      </c>
      <c r="G991" s="25">
        <f t="shared" si="13"/>
        <v>-9.729531269122349E-3</v>
      </c>
    </row>
    <row r="992" spans="1:7">
      <c r="A992" s="50">
        <v>154.73841817036777</v>
      </c>
      <c r="B992" s="50">
        <v>159.54336221987614</v>
      </c>
      <c r="C992" s="50">
        <v>154.12338533203067</v>
      </c>
      <c r="D992" s="50">
        <v>158.59198329807347</v>
      </c>
      <c r="E992" s="50">
        <v>4667257.2602160759</v>
      </c>
      <c r="F992" s="50" t="s">
        <v>998</v>
      </c>
      <c r="G992" s="25">
        <f t="shared" si="13"/>
        <v>-2.4298612373507833E-2</v>
      </c>
    </row>
    <row r="993" spans="1:7">
      <c r="A993" s="50">
        <v>160.62927957506503</v>
      </c>
      <c r="B993" s="50">
        <v>163.35848779518579</v>
      </c>
      <c r="C993" s="50">
        <v>158.57276352187543</v>
      </c>
      <c r="D993" s="50">
        <v>162.5704769710664</v>
      </c>
      <c r="E993" s="50">
        <v>3257060.8187625511</v>
      </c>
      <c r="F993" s="50" t="s">
        <v>999</v>
      </c>
      <c r="G993" s="25">
        <f t="shared" si="13"/>
        <v>-1.1940651415735526E-2</v>
      </c>
    </row>
    <row r="994" spans="1:7">
      <c r="A994" s="50">
        <v>164.33869638128547</v>
      </c>
      <c r="B994" s="50">
        <v>169.8643820382201</v>
      </c>
      <c r="C994" s="50">
        <v>162.72423518065068</v>
      </c>
      <c r="D994" s="50">
        <v>169.7490633810319</v>
      </c>
      <c r="E994" s="50">
        <v>3108376.4651803076</v>
      </c>
      <c r="F994" s="50" t="s">
        <v>1000</v>
      </c>
      <c r="G994" s="25">
        <f t="shared" si="13"/>
        <v>-3.1872735507246341E-2</v>
      </c>
    </row>
    <row r="995" spans="1:7">
      <c r="A995" s="50">
        <v>170.88303017671589</v>
      </c>
      <c r="B995" s="50">
        <v>171.21937626018146</v>
      </c>
      <c r="C995" s="50">
        <v>164.52128425516679</v>
      </c>
      <c r="D995" s="50">
        <v>165.5014928412665</v>
      </c>
      <c r="E995" s="50">
        <v>3049376.8187579927</v>
      </c>
      <c r="F995" s="50" t="s">
        <v>1001</v>
      </c>
      <c r="G995" s="25">
        <f t="shared" si="13"/>
        <v>3.2516548600627138E-2</v>
      </c>
    </row>
    <row r="996" spans="1:7">
      <c r="A996" s="50">
        <v>165.39578407217735</v>
      </c>
      <c r="B996" s="50">
        <v>167.2120529228915</v>
      </c>
      <c r="C996" s="50">
        <v>163.68041904650283</v>
      </c>
      <c r="D996" s="50">
        <v>166.25106411298981</v>
      </c>
      <c r="E996" s="50">
        <v>3280296.2610173728</v>
      </c>
      <c r="F996" s="50" t="s">
        <v>1002</v>
      </c>
      <c r="G996" s="25">
        <f t="shared" si="13"/>
        <v>-5.144508670520076E-3</v>
      </c>
    </row>
    <row r="997" spans="1:7">
      <c r="A997" s="50">
        <v>164.92489955532551</v>
      </c>
      <c r="B997" s="50">
        <v>168.05772307560497</v>
      </c>
      <c r="C997" s="50">
        <v>160.97523554662962</v>
      </c>
      <c r="D997" s="50">
        <v>167.83861762694738</v>
      </c>
      <c r="E997" s="50">
        <v>4039419.5645183162</v>
      </c>
      <c r="F997" s="50" t="s">
        <v>1003</v>
      </c>
      <c r="G997" s="25">
        <f t="shared" si="13"/>
        <v>-1.7360236355724479E-2</v>
      </c>
    </row>
    <row r="998" spans="1:7">
      <c r="A998" s="50">
        <v>167.89435497792169</v>
      </c>
      <c r="B998" s="50">
        <v>175.19306498912491</v>
      </c>
      <c r="C998" s="50">
        <v>167.52917923015906</v>
      </c>
      <c r="D998" s="50">
        <v>173.06447477519271</v>
      </c>
      <c r="E998" s="50">
        <v>3341013.9295258853</v>
      </c>
      <c r="F998" s="50" t="s">
        <v>1004</v>
      </c>
      <c r="G998" s="25">
        <f t="shared" si="13"/>
        <v>-2.9873951912932406E-2</v>
      </c>
    </row>
    <row r="999" spans="1:7">
      <c r="A999" s="50">
        <v>174.88074362590686</v>
      </c>
      <c r="B999" s="50">
        <v>176.71623225281905</v>
      </c>
      <c r="C999" s="50">
        <v>170.68122252663656</v>
      </c>
      <c r="D999" s="50">
        <v>173.31433186576712</v>
      </c>
      <c r="E999" s="50">
        <v>2815913.1221068786</v>
      </c>
      <c r="F999" s="50" t="s">
        <v>1005</v>
      </c>
      <c r="G999" s="25">
        <f t="shared" si="13"/>
        <v>9.0379817022456788E-3</v>
      </c>
    </row>
    <row r="1000" spans="1:7">
      <c r="A1000" s="50">
        <v>170.70044230283457</v>
      </c>
      <c r="B1000" s="50">
        <v>172.41100238445955</v>
      </c>
      <c r="C1000" s="50">
        <v>168.653536137744</v>
      </c>
      <c r="D1000" s="50">
        <v>170.72927196713161</v>
      </c>
      <c r="E1000" s="50">
        <v>4251684.26302284</v>
      </c>
      <c r="F1000" s="50" t="s">
        <v>1006</v>
      </c>
      <c r="G1000" s="25">
        <f t="shared" si="13"/>
        <v>-1.6886187098941186E-4</v>
      </c>
    </row>
    <row r="1001" spans="1:7">
      <c r="A1001" s="50">
        <v>171.68065088893428</v>
      </c>
      <c r="B1001" s="50">
        <v>176.7354520290171</v>
      </c>
      <c r="C1001" s="50">
        <v>171.57494211984508</v>
      </c>
      <c r="D1001" s="50">
        <v>176.10119941448198</v>
      </c>
      <c r="E1001" s="50">
        <v>3879395.8489292301</v>
      </c>
      <c r="F1001" s="50" t="s">
        <v>1007</v>
      </c>
      <c r="G1001" s="25">
        <f t="shared" si="13"/>
        <v>-2.5102319236016357E-2</v>
      </c>
    </row>
    <row r="1002" spans="1:7">
      <c r="A1002" s="50">
        <v>176.91803990289841</v>
      </c>
      <c r="B1002" s="50">
        <v>177.07179811248267</v>
      </c>
      <c r="C1002" s="50">
        <v>171.04639827439919</v>
      </c>
      <c r="D1002" s="50">
        <v>172.9587660061035</v>
      </c>
      <c r="E1002" s="50">
        <v>4587849.4677280365</v>
      </c>
      <c r="F1002" s="50" t="s">
        <v>1008</v>
      </c>
      <c r="G1002" s="25">
        <f t="shared" si="13"/>
        <v>2.2891432381375809E-2</v>
      </c>
    </row>
    <row r="1003" spans="1:7">
      <c r="A1003" s="50">
        <v>173.49691973964843</v>
      </c>
      <c r="B1003" s="50">
        <v>178.31147367725586</v>
      </c>
      <c r="C1003" s="50">
        <v>173.28550220147008</v>
      </c>
      <c r="D1003" s="50">
        <v>178.19615502006764</v>
      </c>
      <c r="E1003" s="50">
        <v>4551261.1124446932</v>
      </c>
      <c r="F1003" s="50" t="s">
        <v>1009</v>
      </c>
      <c r="G1003" s="25">
        <f t="shared" si="13"/>
        <v>-2.6371137356414831E-2</v>
      </c>
    </row>
    <row r="1004" spans="1:7">
      <c r="A1004" s="50">
        <v>178.49406155113718</v>
      </c>
      <c r="B1004" s="50">
        <v>184.91346680128035</v>
      </c>
      <c r="C1004" s="50">
        <v>177.37941063053219</v>
      </c>
      <c r="D1004" s="50">
        <v>183.49120336262587</v>
      </c>
      <c r="E1004" s="50">
        <v>4134475.8222590764</v>
      </c>
      <c r="F1004" s="50" t="s">
        <v>1010</v>
      </c>
      <c r="G1004" s="25">
        <f t="shared" si="13"/>
        <v>-2.7233685974651589E-2</v>
      </c>
    </row>
    <row r="1005" spans="1:7">
      <c r="A1005" s="50">
        <v>181.10795111406972</v>
      </c>
      <c r="B1005" s="50">
        <v>182.73202220280356</v>
      </c>
      <c r="C1005" s="50">
        <v>180.31994028995032</v>
      </c>
      <c r="D1005" s="50">
        <v>180.9830225687825</v>
      </c>
      <c r="E1005" s="50">
        <v>2347814.0190111562</v>
      </c>
      <c r="F1005" s="50" t="s">
        <v>1011</v>
      </c>
      <c r="G1005" s="25">
        <f t="shared" si="13"/>
        <v>6.9027770403007338E-4</v>
      </c>
    </row>
    <row r="1006" spans="1:7">
      <c r="A1006" s="50">
        <v>179.86827554929656</v>
      </c>
      <c r="B1006" s="50">
        <v>180.75007888126234</v>
      </c>
      <c r="C1006" s="50">
        <v>177.50424307693845</v>
      </c>
      <c r="D1006" s="50">
        <v>177.79253971990892</v>
      </c>
      <c r="E1006" s="50">
        <v>2823943.3925122018</v>
      </c>
      <c r="F1006" s="50" t="s">
        <v>1012</v>
      </c>
      <c r="G1006" s="25">
        <f t="shared" si="13"/>
        <v>1.1675044592184269E-2</v>
      </c>
    </row>
    <row r="1007" spans="1:7">
      <c r="A1007" s="50">
        <v>177.28321565066105</v>
      </c>
      <c r="B1007" s="50">
        <v>178.63820987262238</v>
      </c>
      <c r="C1007" s="50">
        <v>173.93897459220321</v>
      </c>
      <c r="D1007" s="50">
        <v>174.25610089947079</v>
      </c>
      <c r="E1007" s="50">
        <v>2271255.3752039219</v>
      </c>
      <c r="F1007" s="50" t="s">
        <v>1013</v>
      </c>
      <c r="G1007" s="25">
        <f t="shared" si="13"/>
        <v>1.7371642861081948E-2</v>
      </c>
    </row>
    <row r="1008" spans="1:7">
      <c r="A1008" s="50">
        <v>174.09273280178749</v>
      </c>
      <c r="B1008" s="50">
        <v>175.35162814275867</v>
      </c>
      <c r="C1008" s="50">
        <v>171.70948055323134</v>
      </c>
      <c r="D1008" s="50">
        <v>172.27646395107334</v>
      </c>
      <c r="E1008" s="50">
        <v>2775372.5876088901</v>
      </c>
      <c r="F1008" s="50" t="s">
        <v>1014</v>
      </c>
      <c r="G1008" s="25">
        <f t="shared" si="13"/>
        <v>1.0542756735649972E-2</v>
      </c>
    </row>
    <row r="1009" spans="1:7">
      <c r="A1009" s="50">
        <v>172.58398037024185</v>
      </c>
      <c r="B1009" s="50">
        <v>172.99720555849959</v>
      </c>
      <c r="C1009" s="50">
        <v>167.2120529228915</v>
      </c>
      <c r="D1009" s="50">
        <v>167.43308034916888</v>
      </c>
      <c r="E1009" s="50">
        <v>3101787.4186328794</v>
      </c>
      <c r="F1009" s="50" t="s">
        <v>1015</v>
      </c>
      <c r="G1009" s="25">
        <f t="shared" si="13"/>
        <v>3.0763932732594812E-2</v>
      </c>
    </row>
    <row r="1010" spans="1:7">
      <c r="A1010" s="50">
        <v>168.69197569014005</v>
      </c>
      <c r="B1010" s="50">
        <v>172.2572441748753</v>
      </c>
      <c r="C1010" s="50">
        <v>167.89445107680268</v>
      </c>
      <c r="D1010" s="50">
        <v>169.68179416433878</v>
      </c>
      <c r="E1010" s="50">
        <v>4525401.2899952075</v>
      </c>
      <c r="F1010" s="50" t="s">
        <v>1016</v>
      </c>
      <c r="G1010" s="25">
        <f t="shared" si="13"/>
        <v>-5.8333805289686458E-3</v>
      </c>
    </row>
    <row r="1011" spans="1:7">
      <c r="A1011" s="50">
        <v>170.64278297424048</v>
      </c>
      <c r="B1011" s="50">
        <v>175.32279847846164</v>
      </c>
      <c r="C1011" s="50">
        <v>170.33526655507194</v>
      </c>
      <c r="D1011" s="50">
        <v>173.99663392079731</v>
      </c>
      <c r="E1011" s="50">
        <v>5012511.0202821754</v>
      </c>
      <c r="F1011" s="50" t="s">
        <v>1017</v>
      </c>
      <c r="G1011" s="25">
        <f t="shared" si="13"/>
        <v>-1.9275378327626158E-2</v>
      </c>
    </row>
    <row r="1012" spans="1:7">
      <c r="A1012" s="50">
        <v>176.53364437893774</v>
      </c>
      <c r="B1012" s="50">
        <v>179.4358305848408</v>
      </c>
      <c r="C1012" s="50">
        <v>174.83269418541178</v>
      </c>
      <c r="D1012" s="50">
        <v>175.86095221200657</v>
      </c>
      <c r="E1012" s="50">
        <v>3200564.8435330843</v>
      </c>
      <c r="F1012" s="50" t="s">
        <v>1018</v>
      </c>
      <c r="G1012" s="25">
        <f t="shared" si="13"/>
        <v>3.8251366120218844E-3</v>
      </c>
    </row>
    <row r="1013" spans="1:7">
      <c r="A1013" s="50">
        <v>175.27474903796653</v>
      </c>
      <c r="B1013" s="50">
        <v>176.11561424663049</v>
      </c>
      <c r="C1013" s="50">
        <v>172.12270574148906</v>
      </c>
      <c r="D1013" s="50">
        <v>174.43868877335211</v>
      </c>
      <c r="E1013" s="50">
        <v>4227354.114992924</v>
      </c>
      <c r="F1013" s="50" t="s">
        <v>1019</v>
      </c>
      <c r="G1013" s="25">
        <f t="shared" si="13"/>
        <v>4.792860290876888E-3</v>
      </c>
    </row>
    <row r="1014" spans="1:7">
      <c r="A1014" s="50">
        <v>176.04354008588794</v>
      </c>
      <c r="B1014" s="50">
        <v>177.15513176026403</v>
      </c>
      <c r="C1014" s="50">
        <v>174.14616808997013</v>
      </c>
      <c r="D1014" s="50">
        <v>176.79098966003738</v>
      </c>
      <c r="E1014" s="50">
        <v>3280194.8449700046</v>
      </c>
      <c r="F1014" s="50" t="s">
        <v>1020</v>
      </c>
      <c r="G1014" s="25">
        <f t="shared" si="13"/>
        <v>-4.2278714293457753E-3</v>
      </c>
    </row>
    <row r="1015" spans="1:7">
      <c r="A1015" s="50">
        <v>177.66301416321173</v>
      </c>
      <c r="B1015" s="50">
        <v>182.87599580856161</v>
      </c>
      <c r="C1015" s="50">
        <v>177.08805295232753</v>
      </c>
      <c r="D1015" s="50">
        <v>179.66579571445828</v>
      </c>
      <c r="E1015" s="50">
        <v>3104254.6283344561</v>
      </c>
      <c r="F1015" s="50" t="s">
        <v>1021</v>
      </c>
      <c r="G1015" s="25">
        <f t="shared" si="13"/>
        <v>-1.114726118726328E-2</v>
      </c>
    </row>
    <row r="1016" spans="1:7">
      <c r="A1016" s="50">
        <v>179.82870139087544</v>
      </c>
      <c r="B1016" s="50">
        <v>180.63364708611331</v>
      </c>
      <c r="C1016" s="50">
        <v>177.84508521332504</v>
      </c>
      <c r="D1016" s="50">
        <v>179.79037064348319</v>
      </c>
      <c r="E1016" s="50">
        <v>3100924.6645668908</v>
      </c>
      <c r="F1016" s="50" t="s">
        <v>1022</v>
      </c>
      <c r="G1016" s="25">
        <f t="shared" si="13"/>
        <v>2.1319688732535091E-4</v>
      </c>
    </row>
    <row r="1017" spans="1:7">
      <c r="A1017" s="50">
        <v>179.35914973532002</v>
      </c>
      <c r="B1017" s="50">
        <v>181.51122954765952</v>
      </c>
      <c r="C1017" s="50">
        <v>178.50629060584183</v>
      </c>
      <c r="D1017" s="50">
        <v>180.3461664806712</v>
      </c>
      <c r="E1017" s="50">
        <v>2762248.2524650223</v>
      </c>
      <c r="F1017" s="50" t="s">
        <v>1023</v>
      </c>
      <c r="G1017" s="25">
        <f t="shared" si="13"/>
        <v>-5.4729011689692575E-3</v>
      </c>
    </row>
    <row r="1018" spans="1:7">
      <c r="A1018" s="50">
        <v>179.19624405890286</v>
      </c>
      <c r="B1018" s="50">
        <v>183.13348260416925</v>
      </c>
      <c r="C1018" s="50">
        <v>179.13874793781443</v>
      </c>
      <c r="D1018" s="50">
        <v>181.62066383146447</v>
      </c>
      <c r="E1018" s="50">
        <v>3967362.2443019007</v>
      </c>
      <c r="F1018" s="50" t="s">
        <v>1024</v>
      </c>
      <c r="G1018" s="25">
        <f t="shared" si="13"/>
        <v>-1.3348810214741658E-2</v>
      </c>
    </row>
    <row r="1019" spans="1:7">
      <c r="A1019" s="50">
        <v>181.84106562897009</v>
      </c>
      <c r="B1019" s="50">
        <v>184.08341435141838</v>
      </c>
      <c r="C1019" s="50">
        <v>180.53782021763263</v>
      </c>
      <c r="D1019" s="50">
        <v>183.40304358520544</v>
      </c>
      <c r="E1019" s="50">
        <v>2377402.1170888171</v>
      </c>
      <c r="F1019" s="50" t="s">
        <v>1025</v>
      </c>
      <c r="G1019" s="25">
        <f t="shared" si="13"/>
        <v>-8.5166414128219348E-3</v>
      </c>
    </row>
    <row r="1020" spans="1:7">
      <c r="A1020" s="50">
        <v>182.9718226770423</v>
      </c>
      <c r="B1020" s="50">
        <v>185.90412485255163</v>
      </c>
      <c r="C1020" s="50">
        <v>182.41602683985428</v>
      </c>
      <c r="D1020" s="50">
        <v>184.303816148924</v>
      </c>
      <c r="E1020" s="50">
        <v>2884501.0212942557</v>
      </c>
      <c r="F1020" s="50" t="s">
        <v>1026</v>
      </c>
      <c r="G1020" s="25">
        <f t="shared" si="13"/>
        <v>-7.2271616492487478E-3</v>
      </c>
    </row>
    <row r="1021" spans="1:7">
      <c r="A1021" s="50">
        <v>181.78356950788165</v>
      </c>
      <c r="B1021" s="50">
        <v>182.02313667908339</v>
      </c>
      <c r="C1021" s="50">
        <v>178.51587329268989</v>
      </c>
      <c r="D1021" s="50">
        <v>182.02313667908339</v>
      </c>
      <c r="E1021" s="50">
        <v>3176267.8341232911</v>
      </c>
      <c r="F1021" s="50" t="s">
        <v>1027</v>
      </c>
      <c r="G1021" s="25">
        <f t="shared" si="13"/>
        <v>-1.3161358252171684E-3</v>
      </c>
    </row>
    <row r="1022" spans="1:7">
      <c r="A1022" s="50">
        <v>182.33936534506972</v>
      </c>
      <c r="B1022" s="50">
        <v>183.27846865618054</v>
      </c>
      <c r="C1022" s="50">
        <v>181.1127814285168</v>
      </c>
      <c r="D1022" s="50">
        <v>182.4639402740946</v>
      </c>
      <c r="E1022" s="50">
        <v>1953705.7087252408</v>
      </c>
      <c r="F1022" s="50" t="s">
        <v>1028</v>
      </c>
      <c r="G1022" s="25">
        <f t="shared" si="13"/>
        <v>-6.8273725119460948E-4</v>
      </c>
    </row>
    <row r="1023" spans="1:7">
      <c r="A1023" s="50">
        <v>181.00737187318802</v>
      </c>
      <c r="B1023" s="50">
        <v>181.46734084189538</v>
      </c>
      <c r="C1023" s="50">
        <v>177.95049476865378</v>
      </c>
      <c r="D1023" s="50">
        <v>178.82251927182816</v>
      </c>
      <c r="E1023" s="50">
        <v>2530160.9438363356</v>
      </c>
      <c r="F1023" s="50" t="s">
        <v>1029</v>
      </c>
      <c r="G1023" s="25">
        <f t="shared" si="13"/>
        <v>1.221799474840557E-2</v>
      </c>
    </row>
    <row r="1024" spans="1:7">
      <c r="A1024" s="50">
        <v>178.25714074779205</v>
      </c>
      <c r="B1024" s="50">
        <v>181.70690801309712</v>
      </c>
      <c r="C1024" s="50">
        <v>177.45219505255417</v>
      </c>
      <c r="D1024" s="50">
        <v>180.94987575209962</v>
      </c>
      <c r="E1024" s="50">
        <v>3824183.1942344992</v>
      </c>
      <c r="F1024" s="50" t="s">
        <v>1030</v>
      </c>
      <c r="G1024" s="25">
        <f t="shared" si="13"/>
        <v>-1.4881109993115427E-2</v>
      </c>
    </row>
    <row r="1025" spans="1:7">
      <c r="A1025" s="50">
        <v>183.34554746411703</v>
      </c>
      <c r="B1025" s="50">
        <v>186.23951889223406</v>
      </c>
      <c r="C1025" s="50">
        <v>182.12854623441217</v>
      </c>
      <c r="D1025" s="50">
        <v>182.55018445572725</v>
      </c>
      <c r="E1025" s="50">
        <v>3137927.8564296644</v>
      </c>
      <c r="F1025" s="50" t="s">
        <v>1031</v>
      </c>
      <c r="G1025" s="25">
        <f t="shared" si="13"/>
        <v>4.3569553805773431E-3</v>
      </c>
    </row>
    <row r="1026" spans="1:7">
      <c r="A1026" s="50">
        <v>181.19902561014942</v>
      </c>
      <c r="B1026" s="50">
        <v>183.50845314053421</v>
      </c>
      <c r="C1026" s="50">
        <v>179.73287452239475</v>
      </c>
      <c r="D1026" s="50">
        <v>182.80891700062514</v>
      </c>
      <c r="E1026" s="50">
        <v>3304051.4108397379</v>
      </c>
      <c r="F1026" s="50" t="s">
        <v>1032</v>
      </c>
      <c r="G1026" s="25">
        <f t="shared" si="13"/>
        <v>-8.8064161031610189E-3</v>
      </c>
    </row>
    <row r="1027" spans="1:7">
      <c r="A1027" s="50">
        <v>182.76100356638477</v>
      </c>
      <c r="B1027" s="50">
        <v>183.02931879813073</v>
      </c>
      <c r="C1027" s="50">
        <v>177.12638369971981</v>
      </c>
      <c r="D1027" s="50">
        <v>180.81571813622662</v>
      </c>
      <c r="E1027" s="50">
        <v>9124900.0814019144</v>
      </c>
      <c r="F1027" s="50" t="s">
        <v>1033</v>
      </c>
      <c r="G1027" s="25">
        <f t="shared" si="13"/>
        <v>1.0758386771954065E-2</v>
      </c>
    </row>
    <row r="1028" spans="1:7">
      <c r="A1028" s="50">
        <v>179.16749599835865</v>
      </c>
      <c r="B1028" s="50">
        <v>179.87661482511581</v>
      </c>
      <c r="C1028" s="50">
        <v>172.5458593863425</v>
      </c>
      <c r="D1028" s="50">
        <v>172.66085162851934</v>
      </c>
      <c r="E1028" s="50">
        <v>6677522.8090532683</v>
      </c>
      <c r="F1028" s="50" t="s">
        <v>1034</v>
      </c>
      <c r="G1028" s="25">
        <f t="shared" si="13"/>
        <v>3.7684537684537611E-2</v>
      </c>
    </row>
    <row r="1029" spans="1:7">
      <c r="A1029" s="50">
        <v>173.07290716298635</v>
      </c>
      <c r="B1029" s="50">
        <v>175.13318483532132</v>
      </c>
      <c r="C1029" s="50">
        <v>168.94276913146831</v>
      </c>
      <c r="D1029" s="50">
        <v>171.70258294371237</v>
      </c>
      <c r="E1029" s="50">
        <v>5467426.9159232657</v>
      </c>
      <c r="F1029" s="50" t="s">
        <v>1035</v>
      </c>
      <c r="G1029" s="25">
        <f t="shared" si="13"/>
        <v>7.9808014287310325E-3</v>
      </c>
    </row>
    <row r="1030" spans="1:7">
      <c r="A1030" s="50">
        <v>168.69361927341848</v>
      </c>
      <c r="B1030" s="50">
        <v>170.8545151576582</v>
      </c>
      <c r="C1030" s="50">
        <v>166.13504188498391</v>
      </c>
      <c r="D1030" s="50">
        <v>166.34586099564143</v>
      </c>
      <c r="E1030" s="50">
        <v>3994021.7818669276</v>
      </c>
      <c r="F1030" s="50" t="s">
        <v>1036</v>
      </c>
      <c r="G1030" s="25">
        <f t="shared" si="13"/>
        <v>1.4113716227893258E-2</v>
      </c>
    </row>
    <row r="1031" spans="1:7">
      <c r="A1031" s="50">
        <v>165.57924604779583</v>
      </c>
      <c r="B1031" s="50">
        <v>167.41912192262524</v>
      </c>
      <c r="C1031" s="50">
        <v>162.6277784985904</v>
      </c>
      <c r="D1031" s="50">
        <v>164.18017376797769</v>
      </c>
      <c r="E1031" s="50">
        <v>4815581.5515661621</v>
      </c>
      <c r="F1031" s="50" t="s">
        <v>1037</v>
      </c>
      <c r="G1031" s="25">
        <f t="shared" si="13"/>
        <v>8.5215665674427399E-3</v>
      </c>
    </row>
    <row r="1032" spans="1:7">
      <c r="A1032" s="50">
        <v>160.89331217908978</v>
      </c>
      <c r="B1032" s="50">
        <v>165.1192770790885</v>
      </c>
      <c r="C1032" s="50">
        <v>160.63457963419191</v>
      </c>
      <c r="D1032" s="50">
        <v>164.58264661559662</v>
      </c>
      <c r="E1032" s="50">
        <v>3130653.2787349918</v>
      </c>
      <c r="F1032" s="50" t="s">
        <v>1038</v>
      </c>
      <c r="G1032" s="25">
        <f t="shared" si="13"/>
        <v>-2.2416302765647877E-2</v>
      </c>
    </row>
    <row r="1033" spans="1:7">
      <c r="A1033" s="50">
        <v>162.52236894326163</v>
      </c>
      <c r="B1033" s="50">
        <v>163.82561435459911</v>
      </c>
      <c r="C1033" s="50">
        <v>157.95142731673241</v>
      </c>
      <c r="D1033" s="50">
        <v>158.67971151718569</v>
      </c>
      <c r="E1033" s="50">
        <v>4008405.0130196563</v>
      </c>
      <c r="F1033" s="50" t="s">
        <v>1039</v>
      </c>
      <c r="G1033" s="25">
        <f t="shared" si="13"/>
        <v>2.4216438190711953E-2</v>
      </c>
    </row>
    <row r="1034" spans="1:7">
      <c r="A1034" s="50">
        <v>161.612013692695</v>
      </c>
      <c r="B1034" s="50">
        <v>163.60521255709349</v>
      </c>
      <c r="C1034" s="50">
        <v>159.7529724441695</v>
      </c>
      <c r="D1034" s="50">
        <v>161.00830442126662</v>
      </c>
      <c r="E1034" s="50">
        <v>4996934.6550905732</v>
      </c>
      <c r="F1034" s="50" t="s">
        <v>1040</v>
      </c>
      <c r="G1034" s="25">
        <f t="shared" ref="G1034:G1097" si="14">A1034/D1034-1</f>
        <v>3.7495536245684136E-3</v>
      </c>
    </row>
    <row r="1035" spans="1:7">
      <c r="A1035" s="50">
        <v>153.3709030033551</v>
      </c>
      <c r="B1035" s="50">
        <v>159.35049959655055</v>
      </c>
      <c r="C1035" s="50">
        <v>149.22159959814093</v>
      </c>
      <c r="D1035" s="50">
        <v>153.82128928521436</v>
      </c>
      <c r="E1035" s="50">
        <v>7366265.9668586906</v>
      </c>
      <c r="F1035" s="50" t="s">
        <v>1041</v>
      </c>
      <c r="G1035" s="25">
        <f t="shared" si="14"/>
        <v>-2.9279840518314781E-3</v>
      </c>
    </row>
    <row r="1036" spans="1:7">
      <c r="A1036" s="50">
        <v>152.48929581333269</v>
      </c>
      <c r="B1036" s="50">
        <v>163.62916927421367</v>
      </c>
      <c r="C1036" s="50">
        <v>152.44138237909235</v>
      </c>
      <c r="D1036" s="50">
        <v>163.03025134620933</v>
      </c>
      <c r="E1036" s="50">
        <v>8098368.5714025507</v>
      </c>
      <c r="F1036" s="50" t="s">
        <v>1042</v>
      </c>
      <c r="G1036" s="25">
        <f t="shared" si="14"/>
        <v>-6.4656439193557902E-2</v>
      </c>
    </row>
    <row r="1037" spans="1:7">
      <c r="A1037" s="50">
        <v>165.73256903736495</v>
      </c>
      <c r="B1037" s="50">
        <v>169.45065153441601</v>
      </c>
      <c r="C1037" s="50">
        <v>163.69193587306853</v>
      </c>
      <c r="D1037" s="50">
        <v>169.24941511060655</v>
      </c>
      <c r="E1037" s="50">
        <v>5582801.6555478536</v>
      </c>
      <c r="F1037" s="50" t="s">
        <v>1043</v>
      </c>
      <c r="G1037" s="25">
        <f t="shared" si="14"/>
        <v>-2.0779073717585916E-2</v>
      </c>
    </row>
    <row r="1038" spans="1:7">
      <c r="A1038" s="50">
        <v>172.38295370992532</v>
      </c>
      <c r="B1038" s="50">
        <v>175.79439022783811</v>
      </c>
      <c r="C1038" s="50">
        <v>171.27136203554923</v>
      </c>
      <c r="D1038" s="50">
        <v>174.5103101901968</v>
      </c>
      <c r="E1038" s="50">
        <v>3485358.5982231996</v>
      </c>
      <c r="F1038" s="50" t="s">
        <v>1044</v>
      </c>
      <c r="G1038" s="25">
        <f t="shared" si="14"/>
        <v>-1.2190434352863821E-2</v>
      </c>
    </row>
    <row r="1039" spans="1:7">
      <c r="A1039" s="50">
        <v>172.78542655754424</v>
      </c>
      <c r="B1039" s="50">
        <v>174.63488511922171</v>
      </c>
      <c r="C1039" s="50">
        <v>170.66765276412085</v>
      </c>
      <c r="D1039" s="50">
        <v>172.2871268414446</v>
      </c>
      <c r="E1039" s="50">
        <v>4235590.7736018822</v>
      </c>
      <c r="F1039" s="50" t="s">
        <v>1045</v>
      </c>
      <c r="G1039" s="25">
        <f t="shared" si="14"/>
        <v>2.8922631959509282E-3</v>
      </c>
    </row>
    <row r="1040" spans="1:7">
      <c r="A1040" s="50">
        <v>170.62932201672857</v>
      </c>
      <c r="B1040" s="50">
        <v>186.64199173985301</v>
      </c>
      <c r="C1040" s="50">
        <v>169.39315541332761</v>
      </c>
      <c r="D1040" s="50">
        <v>186.54616487137227</v>
      </c>
      <c r="E1040" s="50">
        <v>8935388.5144695342</v>
      </c>
      <c r="F1040" s="50" t="s">
        <v>1046</v>
      </c>
      <c r="G1040" s="25">
        <f t="shared" si="14"/>
        <v>-8.5323881440386162E-2</v>
      </c>
    </row>
    <row r="1041" spans="1:7">
      <c r="A1041" s="50">
        <v>186.42158994234737</v>
      </c>
      <c r="B1041" s="50">
        <v>186.9869684663835</v>
      </c>
      <c r="C1041" s="50">
        <v>181.33318322602238</v>
      </c>
      <c r="D1041" s="50">
        <v>181.71649069994518</v>
      </c>
      <c r="E1041" s="50">
        <v>6039806.0499763498</v>
      </c>
      <c r="F1041" s="50" t="s">
        <v>1047</v>
      </c>
      <c r="G1041" s="25">
        <f t="shared" si="14"/>
        <v>2.5892527553657008E-2</v>
      </c>
    </row>
    <row r="1042" spans="1:7">
      <c r="A1042" s="50">
        <v>185.62622693395761</v>
      </c>
      <c r="B1042" s="50">
        <v>186.14369202375337</v>
      </c>
      <c r="C1042" s="50">
        <v>181.553585023528</v>
      </c>
      <c r="D1042" s="50">
        <v>181.74523876048937</v>
      </c>
      <c r="E1042" s="50">
        <v>5662465.1165482281</v>
      </c>
      <c r="F1042" s="50" t="s">
        <v>1048</v>
      </c>
      <c r="G1042" s="25">
        <f t="shared" si="14"/>
        <v>2.1354001898133523E-2</v>
      </c>
    </row>
    <row r="1043" spans="1:7">
      <c r="A1043" s="50">
        <v>180.48990678339226</v>
      </c>
      <c r="B1043" s="50">
        <v>180.63364708611331</v>
      </c>
      <c r="C1043" s="50">
        <v>171.57800801468747</v>
      </c>
      <c r="D1043" s="50">
        <v>172.93874954711336</v>
      </c>
      <c r="E1043" s="50">
        <v>6142957.7041701963</v>
      </c>
      <c r="F1043" s="50" t="s">
        <v>1049</v>
      </c>
      <c r="G1043" s="25">
        <f t="shared" si="14"/>
        <v>4.366376683105222E-2</v>
      </c>
    </row>
    <row r="1044" spans="1:7">
      <c r="A1044" s="50">
        <v>181.06486799427643</v>
      </c>
      <c r="B1044" s="50">
        <v>186.33534576071474</v>
      </c>
      <c r="C1044" s="50">
        <v>180.68156052035366</v>
      </c>
      <c r="D1044" s="50">
        <v>186.23951889223406</v>
      </c>
      <c r="E1044" s="50">
        <v>3717218.4132444495</v>
      </c>
      <c r="F1044" s="50" t="s">
        <v>1050</v>
      </c>
      <c r="G1044" s="25">
        <f t="shared" si="14"/>
        <v>-2.7784924105994424E-2</v>
      </c>
    </row>
    <row r="1045" spans="1:7">
      <c r="A1045" s="50">
        <v>184.40922570425275</v>
      </c>
      <c r="B1045" s="50">
        <v>187.96440252488662</v>
      </c>
      <c r="C1045" s="50">
        <v>183.74802031173596</v>
      </c>
      <c r="D1045" s="50">
        <v>187.03488190062384</v>
      </c>
      <c r="E1045" s="50">
        <v>3569536.4507179298</v>
      </c>
      <c r="F1045" s="50" t="s">
        <v>1051</v>
      </c>
      <c r="G1045" s="25">
        <f t="shared" si="14"/>
        <v>-1.4038323598729363E-2</v>
      </c>
    </row>
    <row r="1046" spans="1:7">
      <c r="A1046" s="50">
        <v>186.74740129518176</v>
      </c>
      <c r="B1046" s="50">
        <v>189.49763242057776</v>
      </c>
      <c r="C1046" s="50">
        <v>186.095778589513</v>
      </c>
      <c r="D1046" s="50">
        <v>186.78573204257401</v>
      </c>
      <c r="E1046" s="50">
        <v>2928478.2488382082</v>
      </c>
      <c r="F1046" s="50" t="s">
        <v>1052</v>
      </c>
      <c r="G1046" s="25">
        <f t="shared" si="14"/>
        <v>-2.0521239482851339E-4</v>
      </c>
    </row>
    <row r="1047" spans="1:7">
      <c r="A1047" s="50">
        <v>187.54276430357154</v>
      </c>
      <c r="B1047" s="50">
        <v>189.14307300719918</v>
      </c>
      <c r="C1047" s="50">
        <v>186.16285739744953</v>
      </c>
      <c r="D1047" s="50">
        <v>187.46610280878699</v>
      </c>
      <c r="E1047" s="50">
        <v>3184581.7862812965</v>
      </c>
      <c r="F1047" s="50" t="s">
        <v>1053</v>
      </c>
      <c r="G1047" s="25">
        <f t="shared" si="14"/>
        <v>4.0893523488216843E-4</v>
      </c>
    </row>
    <row r="1048" spans="1:7">
      <c r="A1048" s="50">
        <v>190.10134169200614</v>
      </c>
      <c r="B1048" s="50">
        <v>191.22251605323029</v>
      </c>
      <c r="C1048" s="50">
        <v>189.00891539132621</v>
      </c>
      <c r="D1048" s="50">
        <v>189.25806524937602</v>
      </c>
      <c r="E1048" s="50">
        <v>4302177.5263692997</v>
      </c>
      <c r="F1048" s="50" t="s">
        <v>1054</v>
      </c>
      <c r="G1048" s="25">
        <f t="shared" si="14"/>
        <v>4.4556962025317226E-3</v>
      </c>
    </row>
    <row r="1049" spans="1:7">
      <c r="A1049" s="50">
        <v>189.71803421808335</v>
      </c>
      <c r="B1049" s="50">
        <v>190.08217631831002</v>
      </c>
      <c r="C1049" s="50">
        <v>186.07661321581688</v>
      </c>
      <c r="D1049" s="50">
        <v>186.52699949767617</v>
      </c>
      <c r="E1049" s="50">
        <v>4315230.2329831235</v>
      </c>
      <c r="F1049" s="50" t="s">
        <v>1055</v>
      </c>
      <c r="G1049" s="25">
        <f t="shared" si="14"/>
        <v>1.710762907783181E-2</v>
      </c>
    </row>
    <row r="1050" spans="1:7">
      <c r="A1050" s="50">
        <v>184.32298152262013</v>
      </c>
      <c r="B1050" s="50">
        <v>186.04786515527269</v>
      </c>
      <c r="C1050" s="50">
        <v>182.95265730334614</v>
      </c>
      <c r="D1050" s="50">
        <v>184.2367373409875</v>
      </c>
      <c r="E1050" s="50">
        <v>4008538.5872478755</v>
      </c>
      <c r="F1050" s="50" t="s">
        <v>1056</v>
      </c>
      <c r="G1050" s="25">
        <f t="shared" si="14"/>
        <v>4.6811609279107103E-4</v>
      </c>
    </row>
    <row r="1051" spans="1:7">
      <c r="A1051" s="50">
        <v>183.80551643282436</v>
      </c>
      <c r="B1051" s="50">
        <v>188.9705846439339</v>
      </c>
      <c r="C1051" s="50">
        <v>182.50227102148688</v>
      </c>
      <c r="D1051" s="50">
        <v>187.27444907182559</v>
      </c>
      <c r="E1051" s="50">
        <v>5045475.3209158061</v>
      </c>
      <c r="F1051" s="50" t="s">
        <v>1057</v>
      </c>
      <c r="G1051" s="25">
        <f t="shared" si="14"/>
        <v>-1.8523256408944366E-2</v>
      </c>
    </row>
    <row r="1052" spans="1:7">
      <c r="A1052" s="50">
        <v>187.35111056661015</v>
      </c>
      <c r="B1052" s="50">
        <v>189.95760138928509</v>
      </c>
      <c r="C1052" s="50">
        <v>186.48866875028389</v>
      </c>
      <c r="D1052" s="50">
        <v>188.16563894869608</v>
      </c>
      <c r="E1052" s="50">
        <v>4707593.0493426491</v>
      </c>
      <c r="F1052" s="50" t="s">
        <v>1058</v>
      </c>
      <c r="G1052" s="25">
        <f t="shared" si="14"/>
        <v>-4.3287838663680356E-3</v>
      </c>
    </row>
    <row r="1053" spans="1:7">
      <c r="A1053" s="50">
        <v>188.20396969608836</v>
      </c>
      <c r="B1053" s="50">
        <v>190.42715304484051</v>
      </c>
      <c r="C1053" s="50">
        <v>186.19160545799372</v>
      </c>
      <c r="D1053" s="50">
        <v>186.19160545799372</v>
      </c>
      <c r="E1053" s="50">
        <v>4815114.0417673932</v>
      </c>
      <c r="F1053" s="50" t="s">
        <v>1059</v>
      </c>
      <c r="G1053" s="25">
        <f t="shared" si="14"/>
        <v>1.0808028821410298E-2</v>
      </c>
    </row>
    <row r="1054" spans="1:7">
      <c r="A1054" s="50">
        <v>185.90412485255163</v>
      </c>
      <c r="B1054" s="50">
        <v>186.41200725549933</v>
      </c>
      <c r="C1054" s="50">
        <v>179.78078795663512</v>
      </c>
      <c r="D1054" s="50">
        <v>180.23117423849439</v>
      </c>
      <c r="E1054" s="50">
        <v>5357493.2390013058</v>
      </c>
      <c r="F1054" s="50" t="s">
        <v>1060</v>
      </c>
      <c r="G1054" s="25">
        <f t="shared" si="14"/>
        <v>3.1475967673330496E-2</v>
      </c>
    </row>
    <row r="1055" spans="1:7">
      <c r="A1055" s="50">
        <v>180.02993781468493</v>
      </c>
      <c r="B1055" s="50">
        <v>181.02653724688415</v>
      </c>
      <c r="C1055" s="50">
        <v>177.04013951808719</v>
      </c>
      <c r="D1055" s="50">
        <v>177.88341596071731</v>
      </c>
      <c r="E1055" s="50">
        <v>3402822.247767448</v>
      </c>
      <c r="F1055" s="50" t="s">
        <v>1061</v>
      </c>
      <c r="G1055" s="25">
        <f t="shared" si="14"/>
        <v>1.2067015029898265E-2</v>
      </c>
    </row>
    <row r="1056" spans="1:7">
      <c r="A1056" s="50">
        <v>178.09423507137484</v>
      </c>
      <c r="B1056" s="50">
        <v>180.80613544937856</v>
      </c>
      <c r="C1056" s="50">
        <v>176.49392636774721</v>
      </c>
      <c r="D1056" s="50">
        <v>177.19346250765628</v>
      </c>
      <c r="E1056" s="50">
        <v>4253269.5314164637</v>
      </c>
      <c r="F1056" s="50" t="s">
        <v>1062</v>
      </c>
      <c r="G1056" s="25">
        <f t="shared" si="14"/>
        <v>5.083554161483983E-3</v>
      </c>
    </row>
    <row r="1057" spans="1:7">
      <c r="A1057" s="50">
        <v>176.35976875187421</v>
      </c>
      <c r="B1057" s="50">
        <v>178.0463216371345</v>
      </c>
      <c r="C1057" s="50">
        <v>174.71164244087473</v>
      </c>
      <c r="D1057" s="50">
        <v>177.08805295232753</v>
      </c>
      <c r="E1057" s="50">
        <v>3528266.1883927379</v>
      </c>
      <c r="F1057" s="50" t="s">
        <v>1063</v>
      </c>
      <c r="G1057" s="25">
        <f t="shared" si="14"/>
        <v>-4.1125541125541787E-3</v>
      </c>
    </row>
    <row r="1058" spans="1:7">
      <c r="A1058" s="50">
        <v>176.47476099405105</v>
      </c>
      <c r="B1058" s="50">
        <v>176.87723384167001</v>
      </c>
      <c r="C1058" s="50">
        <v>174.05992390833751</v>
      </c>
      <c r="D1058" s="50">
        <v>174.89361766411957</v>
      </c>
      <c r="E1058" s="50">
        <v>2965134.9825465376</v>
      </c>
      <c r="F1058" s="50" t="s">
        <v>1064</v>
      </c>
      <c r="G1058" s="25">
        <f t="shared" si="14"/>
        <v>9.0406005150400759E-3</v>
      </c>
    </row>
    <row r="1059" spans="1:7">
      <c r="A1059" s="50">
        <v>175.88063440947073</v>
      </c>
      <c r="B1059" s="50">
        <v>176.35976875187421</v>
      </c>
      <c r="C1059" s="50">
        <v>171.53009458044713</v>
      </c>
      <c r="D1059" s="50">
        <v>172.41170177046951</v>
      </c>
      <c r="E1059" s="50">
        <v>3622368.1886247136</v>
      </c>
      <c r="F1059" s="50" t="s">
        <v>1065</v>
      </c>
      <c r="G1059" s="25">
        <f t="shared" si="14"/>
        <v>2.0120053357047585E-2</v>
      </c>
    </row>
    <row r="1060" spans="1:7">
      <c r="A1060" s="50">
        <v>172.31587490198882</v>
      </c>
      <c r="B1060" s="50">
        <v>172.612938194279</v>
      </c>
      <c r="C1060" s="50">
        <v>167.90783895187678</v>
      </c>
      <c r="D1060" s="50">
        <v>168.56904434439357</v>
      </c>
      <c r="E1060" s="50">
        <v>5764832.0221512839</v>
      </c>
      <c r="F1060" s="50" t="s">
        <v>1066</v>
      </c>
      <c r="G1060" s="25">
        <f t="shared" si="14"/>
        <v>2.2227275311238692E-2</v>
      </c>
    </row>
    <row r="1061" spans="1:7">
      <c r="A1061" s="50">
        <v>169.6710533319216</v>
      </c>
      <c r="B1061" s="50">
        <v>169.81479363464265</v>
      </c>
      <c r="C1061" s="50">
        <v>162.68527461967881</v>
      </c>
      <c r="D1061" s="50">
        <v>164.59222930244468</v>
      </c>
      <c r="E1061" s="50">
        <v>4457551.4860536782</v>
      </c>
      <c r="F1061" s="50" t="s">
        <v>1067</v>
      </c>
      <c r="G1061" s="25">
        <f t="shared" si="14"/>
        <v>3.085700978108985E-2</v>
      </c>
    </row>
    <row r="1062" spans="1:7">
      <c r="A1062" s="50">
        <v>164.72638691831764</v>
      </c>
      <c r="B1062" s="50">
        <v>170.76347963260153</v>
      </c>
      <c r="C1062" s="50">
        <v>163.50938568861281</v>
      </c>
      <c r="D1062" s="50">
        <v>169.32607660539108</v>
      </c>
      <c r="E1062" s="50">
        <v>3810440.7019577608</v>
      </c>
      <c r="F1062" s="50" t="s">
        <v>1068</v>
      </c>
      <c r="G1062" s="25">
        <f t="shared" si="14"/>
        <v>-2.7164685908319108E-2</v>
      </c>
    </row>
    <row r="1063" spans="1:7">
      <c r="A1063" s="50">
        <v>168.00366582035747</v>
      </c>
      <c r="B1063" s="50">
        <v>171.74541755392326</v>
      </c>
      <c r="C1063" s="50">
        <v>165.80923053214951</v>
      </c>
      <c r="D1063" s="50">
        <v>169.56564377659282</v>
      </c>
      <c r="E1063" s="50">
        <v>8616875.5495368615</v>
      </c>
      <c r="F1063" s="50" t="s">
        <v>1069</v>
      </c>
      <c r="G1063" s="25">
        <f t="shared" si="14"/>
        <v>-9.2116417066967493E-3</v>
      </c>
    </row>
    <row r="1064" spans="1:7">
      <c r="A1064" s="50">
        <v>165.8858920269341</v>
      </c>
      <c r="B1064" s="50">
        <v>167.18875413079766</v>
      </c>
      <c r="C1064" s="50">
        <v>152.99717821628036</v>
      </c>
      <c r="D1064" s="50">
        <v>159.20675929382952</v>
      </c>
      <c r="E1064" s="50">
        <v>13900923.833990606</v>
      </c>
      <c r="F1064" s="50" t="s">
        <v>1070</v>
      </c>
      <c r="G1064" s="25">
        <f t="shared" si="14"/>
        <v>4.1952570121584376E-2</v>
      </c>
    </row>
    <row r="1065" spans="1:7">
      <c r="A1065" s="50">
        <v>152.29764207637129</v>
      </c>
      <c r="B1065" s="50">
        <v>152.7959417924709</v>
      </c>
      <c r="C1065" s="50">
        <v>146.47136847274493</v>
      </c>
      <c r="D1065" s="50">
        <v>149.31742646662161</v>
      </c>
      <c r="E1065" s="50">
        <v>5641946.8628353234</v>
      </c>
      <c r="F1065" s="50" t="s">
        <v>1071</v>
      </c>
      <c r="G1065" s="25">
        <f t="shared" si="14"/>
        <v>1.9958926967013291E-2</v>
      </c>
    </row>
    <row r="1066" spans="1:7">
      <c r="A1066" s="50">
        <v>152.11557102625798</v>
      </c>
      <c r="B1066" s="50">
        <v>155.12443886968336</v>
      </c>
      <c r="C1066" s="50">
        <v>151.09980622036258</v>
      </c>
      <c r="D1066" s="50">
        <v>153.27507613487438</v>
      </c>
      <c r="E1066" s="50">
        <v>3943650.731695625</v>
      </c>
      <c r="F1066" s="50" t="s">
        <v>1072</v>
      </c>
      <c r="G1066" s="25">
        <f t="shared" si="14"/>
        <v>-7.5648640200061124E-3</v>
      </c>
    </row>
    <row r="1067" spans="1:7">
      <c r="A1067" s="50">
        <v>154.20459675913713</v>
      </c>
      <c r="B1067" s="50">
        <v>157.70227745868257</v>
      </c>
      <c r="C1067" s="50">
        <v>152.80744101668859</v>
      </c>
      <c r="D1067" s="50">
        <v>154.39625049609856</v>
      </c>
      <c r="E1067" s="50">
        <v>4388746.1488394272</v>
      </c>
      <c r="F1067" s="50" t="s">
        <v>1073</v>
      </c>
      <c r="G1067" s="25">
        <f t="shared" si="14"/>
        <v>-1.2413108242306237E-3</v>
      </c>
    </row>
    <row r="1068" spans="1:7">
      <c r="A1068" s="50">
        <v>154.65498304099643</v>
      </c>
      <c r="B1068" s="50">
        <v>159.77213781786563</v>
      </c>
      <c r="C1068" s="50">
        <v>154.44416393033887</v>
      </c>
      <c r="D1068" s="50">
        <v>159.77213781786563</v>
      </c>
      <c r="E1068" s="50">
        <v>3748379.8197199362</v>
      </c>
      <c r="F1068" s="50" t="s">
        <v>1074</v>
      </c>
      <c r="G1068" s="25">
        <f t="shared" si="14"/>
        <v>-3.2027829424818521E-2</v>
      </c>
    </row>
    <row r="1069" spans="1:7">
      <c r="A1069" s="50">
        <v>159.23550735437371</v>
      </c>
      <c r="B1069" s="50">
        <v>161.88991161128902</v>
      </c>
      <c r="C1069" s="50">
        <v>157.96101000358047</v>
      </c>
      <c r="D1069" s="50">
        <v>160.90289486593784</v>
      </c>
      <c r="E1069" s="50">
        <v>4525439.5439975774</v>
      </c>
      <c r="F1069" s="50" t="s">
        <v>1075</v>
      </c>
      <c r="G1069" s="25">
        <f t="shared" si="14"/>
        <v>-1.0362694300518172E-2</v>
      </c>
    </row>
    <row r="1070" spans="1:7">
      <c r="A1070" s="50">
        <v>161.37244652149326</v>
      </c>
      <c r="B1070" s="50">
        <v>161.66950981378343</v>
      </c>
      <c r="C1070" s="50">
        <v>157.83643507455557</v>
      </c>
      <c r="D1070" s="50">
        <v>161.66950981378343</v>
      </c>
      <c r="E1070" s="50">
        <v>6791940.6145585021</v>
      </c>
      <c r="F1070" s="50" t="s">
        <v>1076</v>
      </c>
      <c r="G1070" s="25">
        <f t="shared" si="14"/>
        <v>-1.8374725860945684E-3</v>
      </c>
    </row>
    <row r="1071" spans="1:7">
      <c r="A1071" s="50">
        <v>166.05838039019932</v>
      </c>
      <c r="B1071" s="50">
        <v>169.01463928282882</v>
      </c>
      <c r="C1071" s="50">
        <v>165.63674216888427</v>
      </c>
      <c r="D1071" s="50">
        <v>167.62035834643467</v>
      </c>
      <c r="E1071" s="50">
        <v>3974716.1316945786</v>
      </c>
      <c r="F1071" s="50" t="s">
        <v>1077</v>
      </c>
      <c r="G1071" s="25">
        <f t="shared" si="14"/>
        <v>-9.318545620855212E-3</v>
      </c>
    </row>
    <row r="1072" spans="1:7">
      <c r="A1072" s="50">
        <v>167.18913743827156</v>
      </c>
      <c r="B1072" s="50">
        <v>169.44106884756792</v>
      </c>
      <c r="C1072" s="50">
        <v>166.90165683282945</v>
      </c>
      <c r="D1072" s="50">
        <v>168.87569032353181</v>
      </c>
      <c r="E1072" s="50">
        <v>3364874.6443692162</v>
      </c>
      <c r="F1072" s="50" t="s">
        <v>1078</v>
      </c>
      <c r="G1072" s="25">
        <f t="shared" si="14"/>
        <v>-9.9869488736310519E-3</v>
      </c>
    </row>
    <row r="1073" spans="1:7">
      <c r="A1073" s="50">
        <v>168.0611619414459</v>
      </c>
      <c r="B1073" s="50">
        <v>168.38697329428027</v>
      </c>
      <c r="C1073" s="50">
        <v>165.29176544235378</v>
      </c>
      <c r="D1073" s="50">
        <v>167.25621624620803</v>
      </c>
      <c r="E1073" s="50">
        <v>2883151.7128795073</v>
      </c>
      <c r="F1073" s="50" t="s">
        <v>1079</v>
      </c>
      <c r="G1073" s="25">
        <f t="shared" si="14"/>
        <v>4.8126503953249689E-3</v>
      </c>
    </row>
    <row r="1074" spans="1:7">
      <c r="A1074" s="50">
        <v>166.48960129836249</v>
      </c>
      <c r="B1074" s="50">
        <v>168.85652494983569</v>
      </c>
      <c r="C1074" s="50">
        <v>163.38481075958791</v>
      </c>
      <c r="D1074" s="50">
        <v>168.85652494983569</v>
      </c>
      <c r="E1074" s="50">
        <v>4455511.3484273572</v>
      </c>
      <c r="F1074" s="50" t="s">
        <v>1080</v>
      </c>
      <c r="G1074" s="25">
        <f t="shared" si="14"/>
        <v>-1.4017365643266499E-2</v>
      </c>
    </row>
    <row r="1075" spans="1:7">
      <c r="A1075" s="50">
        <v>167.10289325663894</v>
      </c>
      <c r="B1075" s="50">
        <v>168.04199656774978</v>
      </c>
      <c r="C1075" s="50">
        <v>164.68815199779385</v>
      </c>
      <c r="D1075" s="50">
        <v>165.29176544235378</v>
      </c>
      <c r="E1075" s="50">
        <v>3175536.3065140573</v>
      </c>
      <c r="F1075" s="50" t="s">
        <v>1081</v>
      </c>
      <c r="G1075" s="25">
        <f t="shared" si="14"/>
        <v>1.0957156936634016E-2</v>
      </c>
    </row>
    <row r="1076" spans="1:7">
      <c r="A1076" s="50">
        <v>165.68465560312461</v>
      </c>
      <c r="B1076" s="50">
        <v>166.44168786412212</v>
      </c>
      <c r="C1076" s="50">
        <v>162.66610924598268</v>
      </c>
      <c r="D1076" s="50">
        <v>165.33967887659409</v>
      </c>
      <c r="E1076" s="50">
        <v>2764851.9063666444</v>
      </c>
      <c r="F1076" s="50" t="s">
        <v>1082</v>
      </c>
      <c r="G1076" s="25">
        <f t="shared" si="14"/>
        <v>2.086472701982256E-3</v>
      </c>
    </row>
    <row r="1077" spans="1:7">
      <c r="A1077" s="50">
        <v>164.18017376797772</v>
      </c>
      <c r="B1077" s="50">
        <v>168.52938074657752</v>
      </c>
      <c r="C1077" s="50">
        <v>163.93164765491488</v>
      </c>
      <c r="D1077" s="50">
        <v>166.99998928157541</v>
      </c>
      <c r="E1077" s="50">
        <v>4699319.5427503129</v>
      </c>
      <c r="F1077" s="50" t="s">
        <v>1083</v>
      </c>
      <c r="G1077" s="25">
        <f t="shared" si="14"/>
        <v>-1.6885123919638367E-2</v>
      </c>
    </row>
    <row r="1078" spans="1:7">
      <c r="A1078" s="50">
        <v>165.94853264938646</v>
      </c>
      <c r="B1078" s="50">
        <v>166.36911530226203</v>
      </c>
      <c r="C1078" s="50">
        <v>162.11549529022486</v>
      </c>
      <c r="D1078" s="50">
        <v>162.23019965010005</v>
      </c>
      <c r="E1078" s="50">
        <v>5021321.6012614192</v>
      </c>
      <c r="F1078" s="50" t="s">
        <v>1084</v>
      </c>
      <c r="G1078" s="25">
        <f t="shared" si="14"/>
        <v>2.2920103700212247E-2</v>
      </c>
    </row>
    <row r="1079" spans="1:7">
      <c r="A1079" s="50">
        <v>160.78683645500428</v>
      </c>
      <c r="B1079" s="50">
        <v>160.96845169147329</v>
      </c>
      <c r="C1079" s="50">
        <v>157.144973028968</v>
      </c>
      <c r="D1079" s="50">
        <v>157.25011869218687</v>
      </c>
      <c r="E1079" s="50">
        <v>3270636.2723117862</v>
      </c>
      <c r="F1079" s="50" t="s">
        <v>1085</v>
      </c>
      <c r="G1079" s="25">
        <f t="shared" si="14"/>
        <v>2.2491033979697317E-2</v>
      </c>
    </row>
    <row r="1080" spans="1:7">
      <c r="A1080" s="50">
        <v>156.38027729646691</v>
      </c>
      <c r="B1080" s="50">
        <v>157.88099267150025</v>
      </c>
      <c r="C1080" s="50">
        <v>156.04572291349771</v>
      </c>
      <c r="D1080" s="50">
        <v>156.85821212928008</v>
      </c>
      <c r="E1080" s="50">
        <v>1824181.7506129015</v>
      </c>
      <c r="F1080" s="50" t="s">
        <v>1086</v>
      </c>
      <c r="G1080" s="25">
        <f t="shared" si="14"/>
        <v>-3.0469226081657474E-3</v>
      </c>
    </row>
    <row r="1081" spans="1:7">
      <c r="A1081" s="50">
        <v>156.91556430921767</v>
      </c>
      <c r="B1081" s="50">
        <v>158.48319056084486</v>
      </c>
      <c r="C1081" s="50">
        <v>156.76262516271746</v>
      </c>
      <c r="D1081" s="50">
        <v>157.35526435540578</v>
      </c>
      <c r="E1081" s="50">
        <v>1708425.3834229261</v>
      </c>
      <c r="F1081" s="50" t="s">
        <v>1087</v>
      </c>
      <c r="G1081" s="25">
        <f t="shared" si="14"/>
        <v>-2.7943141781071601E-3</v>
      </c>
    </row>
    <row r="1082" spans="1:7">
      <c r="A1082" s="50">
        <v>156.60012731956098</v>
      </c>
      <c r="B1082" s="50">
        <v>157.65158395174993</v>
      </c>
      <c r="C1082" s="50">
        <v>156.05528161015397</v>
      </c>
      <c r="D1082" s="50">
        <v>157.35526435540578</v>
      </c>
      <c r="E1082" s="50">
        <v>2178289.6506457087</v>
      </c>
      <c r="F1082" s="50" t="s">
        <v>1088</v>
      </c>
      <c r="G1082" s="25">
        <f t="shared" si="14"/>
        <v>-4.7989308710970624E-3</v>
      </c>
    </row>
    <row r="1083" spans="1:7">
      <c r="A1083" s="50">
        <v>157.15453172562425</v>
      </c>
      <c r="B1083" s="50">
        <v>158.79862755050152</v>
      </c>
      <c r="C1083" s="50">
        <v>156.38027729646691</v>
      </c>
      <c r="D1083" s="50">
        <v>156.38027729646691</v>
      </c>
      <c r="E1083" s="50">
        <v>2129294.4772615707</v>
      </c>
      <c r="F1083" s="50" t="s">
        <v>1089</v>
      </c>
      <c r="G1083" s="25">
        <f t="shared" si="14"/>
        <v>4.9511002444988517E-3</v>
      </c>
    </row>
    <row r="1084" spans="1:7">
      <c r="A1084" s="50">
        <v>157.13541433231171</v>
      </c>
      <c r="B1084" s="50">
        <v>157.71849482834378</v>
      </c>
      <c r="C1084" s="50">
        <v>155.35759234121332</v>
      </c>
      <c r="D1084" s="50">
        <v>157.71849482834378</v>
      </c>
      <c r="E1084" s="50">
        <v>1766087.0102974279</v>
      </c>
      <c r="F1084" s="50" t="s">
        <v>1090</v>
      </c>
      <c r="G1084" s="25">
        <f t="shared" si="14"/>
        <v>-3.6969696969697541E-3</v>
      </c>
    </row>
    <row r="1085" spans="1:7">
      <c r="A1085" s="50">
        <v>156.94424039918644</v>
      </c>
      <c r="B1085" s="50">
        <v>159.0531756424578</v>
      </c>
      <c r="C1085" s="50">
        <v>156.37071859981066</v>
      </c>
      <c r="D1085" s="50">
        <v>156.62880340952978</v>
      </c>
      <c r="E1085" s="50">
        <v>3285470.9307489367</v>
      </c>
      <c r="F1085" s="50" t="s">
        <v>1091</v>
      </c>
      <c r="G1085" s="25">
        <f t="shared" si="14"/>
        <v>2.0139143170998519E-3</v>
      </c>
    </row>
    <row r="1086" spans="1:7">
      <c r="A1086" s="50">
        <v>155.30014457430917</v>
      </c>
      <c r="B1086" s="50">
        <v>155.96925334024758</v>
      </c>
      <c r="C1086" s="50">
        <v>153.36928784974398</v>
      </c>
      <c r="D1086" s="50">
        <v>153.44575742299409</v>
      </c>
      <c r="E1086" s="50">
        <v>3010508.7581312042</v>
      </c>
      <c r="F1086" s="50" t="s">
        <v>1092</v>
      </c>
      <c r="G1086" s="25">
        <f t="shared" si="14"/>
        <v>1.208496854170571E-2</v>
      </c>
    </row>
    <row r="1087" spans="1:7">
      <c r="A1087" s="50">
        <v>153.80898789593209</v>
      </c>
      <c r="B1087" s="50">
        <v>153.94280964911979</v>
      </c>
      <c r="C1087" s="50">
        <v>150.56868531642544</v>
      </c>
      <c r="D1087" s="50">
        <v>150.7884397525529</v>
      </c>
      <c r="E1087" s="50">
        <v>3894602.0925987954</v>
      </c>
      <c r="F1087" s="50" t="s">
        <v>1093</v>
      </c>
      <c r="G1087" s="25">
        <f t="shared" si="14"/>
        <v>2.0031695721077547E-2</v>
      </c>
    </row>
    <row r="1088" spans="1:7">
      <c r="A1088" s="50">
        <v>149.01052217448793</v>
      </c>
      <c r="B1088" s="50">
        <v>151.22813979874104</v>
      </c>
      <c r="C1088" s="50">
        <v>146.99363718001641</v>
      </c>
      <c r="D1088" s="50">
        <v>150.07153750333316</v>
      </c>
      <c r="E1088" s="50">
        <v>4016816.4531972711</v>
      </c>
      <c r="F1088" s="50" t="s">
        <v>1094</v>
      </c>
      <c r="G1088" s="25">
        <f t="shared" si="14"/>
        <v>-7.0700636942675477E-3</v>
      </c>
    </row>
    <row r="1089" spans="1:7">
      <c r="A1089" s="50">
        <v>152.94870519686839</v>
      </c>
      <c r="B1089" s="50">
        <v>154.19611511051076</v>
      </c>
      <c r="C1089" s="50">
        <v>150.02374402005185</v>
      </c>
      <c r="D1089" s="50">
        <v>153.89501616583848</v>
      </c>
      <c r="E1089" s="50">
        <v>10024208.680920508</v>
      </c>
      <c r="F1089" s="50" t="s">
        <v>1095</v>
      </c>
      <c r="G1089" s="25">
        <f t="shared" si="14"/>
        <v>-6.1490683229815657E-3</v>
      </c>
    </row>
    <row r="1090" spans="1:7">
      <c r="A1090" s="50">
        <v>155.80675549709113</v>
      </c>
      <c r="B1090" s="50">
        <v>157.89055136815651</v>
      </c>
      <c r="C1090" s="50">
        <v>154.75529886490216</v>
      </c>
      <c r="D1090" s="50">
        <v>156.76262516271746</v>
      </c>
      <c r="E1090" s="50">
        <v>5126368.349380794</v>
      </c>
      <c r="F1090" s="50" t="s">
        <v>1096</v>
      </c>
      <c r="G1090" s="25">
        <f t="shared" si="14"/>
        <v>-6.0975609756097615E-3</v>
      </c>
    </row>
    <row r="1091" spans="1:7">
      <c r="A1091" s="50">
        <v>155.08029455121513</v>
      </c>
      <c r="B1091" s="50">
        <v>155.85454898037244</v>
      </c>
      <c r="C1091" s="50">
        <v>151.53401809174144</v>
      </c>
      <c r="D1091" s="50">
        <v>155.5295532940595</v>
      </c>
      <c r="E1091" s="50">
        <v>5244420.008574374</v>
      </c>
      <c r="F1091" s="50" t="s">
        <v>1097</v>
      </c>
      <c r="G1091" s="25">
        <f t="shared" si="14"/>
        <v>-2.8885747649191051E-3</v>
      </c>
    </row>
    <row r="1092" spans="1:7">
      <c r="A1092" s="50">
        <v>155.66337504724717</v>
      </c>
      <c r="B1092" s="50">
        <v>157.96702094140662</v>
      </c>
      <c r="C1092" s="50">
        <v>153.95236834577605</v>
      </c>
      <c r="D1092" s="50">
        <v>154.98470758465248</v>
      </c>
      <c r="E1092" s="50">
        <v>3101051.4368166826</v>
      </c>
      <c r="F1092" s="50" t="s">
        <v>1098</v>
      </c>
      <c r="G1092" s="25">
        <f t="shared" si="14"/>
        <v>4.3789317873441647E-3</v>
      </c>
    </row>
    <row r="1093" spans="1:7">
      <c r="A1093" s="50">
        <v>156.09351639677902</v>
      </c>
      <c r="B1093" s="50">
        <v>159.05671236022064</v>
      </c>
      <c r="C1093" s="50">
        <v>154.84486385257134</v>
      </c>
      <c r="D1093" s="50">
        <v>159.05671236022064</v>
      </c>
      <c r="E1093" s="50">
        <v>3638159.1811696701</v>
      </c>
      <c r="F1093" s="50" t="s">
        <v>1099</v>
      </c>
      <c r="G1093" s="25">
        <f t="shared" si="14"/>
        <v>-1.8629807692307709E-2</v>
      </c>
    </row>
    <row r="1094" spans="1:7">
      <c r="A1094" s="50">
        <v>159.65891024956522</v>
      </c>
      <c r="B1094" s="50">
        <v>163.0522475625387</v>
      </c>
      <c r="C1094" s="50">
        <v>158.63612970734505</v>
      </c>
      <c r="D1094" s="50">
        <v>161.90520396378707</v>
      </c>
      <c r="E1094" s="50">
        <v>2896327.9195453436</v>
      </c>
      <c r="F1094" s="50" t="s">
        <v>1100</v>
      </c>
      <c r="G1094" s="25">
        <f t="shared" si="14"/>
        <v>-1.3874129176998373E-2</v>
      </c>
    </row>
    <row r="1095" spans="1:7">
      <c r="A1095" s="50">
        <v>160.60522121853529</v>
      </c>
      <c r="B1095" s="50">
        <v>161.37938006072605</v>
      </c>
      <c r="C1095" s="50">
        <v>159.2000928100646</v>
      </c>
      <c r="D1095" s="50">
        <v>160.44272337537879</v>
      </c>
      <c r="E1095" s="50">
        <v>2349004.3472911734</v>
      </c>
      <c r="F1095" s="50" t="s">
        <v>1101</v>
      </c>
      <c r="G1095" s="25">
        <f t="shared" si="14"/>
        <v>1.0128090557046665E-3</v>
      </c>
    </row>
    <row r="1096" spans="1:7">
      <c r="A1096" s="50">
        <v>161.47506261425525</v>
      </c>
      <c r="B1096" s="50">
        <v>163.01401277591361</v>
      </c>
      <c r="C1096" s="50">
        <v>159.89787766597181</v>
      </c>
      <c r="D1096" s="50">
        <v>160.56698643191021</v>
      </c>
      <c r="E1096" s="50">
        <v>4229076.5628086124</v>
      </c>
      <c r="F1096" s="50" t="s">
        <v>1102</v>
      </c>
      <c r="G1096" s="25">
        <f t="shared" si="14"/>
        <v>5.655435170853762E-3</v>
      </c>
    </row>
    <row r="1097" spans="1:7">
      <c r="A1097" s="50">
        <v>159.58244067631509</v>
      </c>
      <c r="B1097" s="50">
        <v>161.69491263734929</v>
      </c>
      <c r="C1097" s="50">
        <v>156.91556430921767</v>
      </c>
      <c r="D1097" s="50">
        <v>157.24055999553062</v>
      </c>
      <c r="E1097" s="50">
        <v>5361061.4336654656</v>
      </c>
      <c r="F1097" s="50" t="s">
        <v>1103</v>
      </c>
      <c r="G1097" s="25">
        <f t="shared" si="14"/>
        <v>1.489361702127634E-2</v>
      </c>
    </row>
    <row r="1098" spans="1:7">
      <c r="A1098" s="50">
        <v>153.58913787283805</v>
      </c>
      <c r="B1098" s="50">
        <v>155.55822938402829</v>
      </c>
      <c r="C1098" s="50">
        <v>151.07520065224082</v>
      </c>
      <c r="D1098" s="50">
        <v>152.05018771117966</v>
      </c>
      <c r="E1098" s="50">
        <v>4333093.881879881</v>
      </c>
      <c r="F1098" s="50" t="s">
        <v>1104</v>
      </c>
      <c r="G1098" s="25">
        <f t="shared" ref="G1098:G1161" si="15">A1098/D1098-1</f>
        <v>1.0121330231973369E-2</v>
      </c>
    </row>
    <row r="1099" spans="1:7">
      <c r="A1099" s="50">
        <v>149.05831565776927</v>
      </c>
      <c r="B1099" s="50">
        <v>151.3428441586162</v>
      </c>
      <c r="C1099" s="50">
        <v>146.85025673017245</v>
      </c>
      <c r="D1099" s="50">
        <v>151.10387674220962</v>
      </c>
      <c r="E1099" s="50">
        <v>4257120.1350276722</v>
      </c>
      <c r="F1099" s="50" t="s">
        <v>1105</v>
      </c>
      <c r="G1099" s="25">
        <f t="shared" si="15"/>
        <v>-1.3537449392712619E-2</v>
      </c>
    </row>
    <row r="1100" spans="1:7">
      <c r="A1100" s="50">
        <v>149.85168748023912</v>
      </c>
      <c r="B1100" s="50">
        <v>150.94137889905312</v>
      </c>
      <c r="C1100" s="50">
        <v>144.77601955576333</v>
      </c>
      <c r="D1100" s="50">
        <v>144.98631088220111</v>
      </c>
      <c r="E1100" s="50">
        <v>6579610.4073237013</v>
      </c>
      <c r="F1100" s="50" t="s">
        <v>1106</v>
      </c>
      <c r="G1100" s="25">
        <f t="shared" si="15"/>
        <v>3.3557489451476963E-2</v>
      </c>
    </row>
    <row r="1101" spans="1:7">
      <c r="A1101" s="50">
        <v>143.43780202388646</v>
      </c>
      <c r="B1101" s="50">
        <v>150.13844837992701</v>
      </c>
      <c r="C1101" s="50">
        <v>143.27530418072999</v>
      </c>
      <c r="D1101" s="50">
        <v>149.21125480426946</v>
      </c>
      <c r="E1101" s="50">
        <v>6443711.1266253404</v>
      </c>
      <c r="F1101" s="50" t="s">
        <v>1107</v>
      </c>
      <c r="G1101" s="25">
        <f t="shared" si="15"/>
        <v>-3.8693145419602781E-2</v>
      </c>
    </row>
    <row r="1102" spans="1:7">
      <c r="A1102" s="50">
        <v>145.57895007488943</v>
      </c>
      <c r="B1102" s="50">
        <v>148.99140478117542</v>
      </c>
      <c r="C1102" s="50">
        <v>145.00542827551362</v>
      </c>
      <c r="D1102" s="50">
        <v>148.24582644198688</v>
      </c>
      <c r="E1102" s="50">
        <v>7788653.9009706564</v>
      </c>
      <c r="F1102" s="50" t="s">
        <v>1108</v>
      </c>
      <c r="G1102" s="25">
        <f t="shared" si="15"/>
        <v>-1.7989554452253476E-2</v>
      </c>
    </row>
    <row r="1103" spans="1:7">
      <c r="A1103" s="50">
        <v>150.89358541577181</v>
      </c>
      <c r="B1103" s="50">
        <v>154.28692272874525</v>
      </c>
      <c r="C1103" s="50">
        <v>147.52901977973372</v>
      </c>
      <c r="D1103" s="50">
        <v>153.6560487494319</v>
      </c>
      <c r="E1103" s="50">
        <v>6547490.9656214863</v>
      </c>
      <c r="F1103" s="50" t="s">
        <v>1109</v>
      </c>
      <c r="G1103" s="25">
        <f t="shared" si="15"/>
        <v>-1.7978227060653218E-2</v>
      </c>
    </row>
    <row r="1104" spans="1:7">
      <c r="A1104" s="50">
        <v>149.89948096352043</v>
      </c>
      <c r="B1104" s="50">
        <v>157.9479035480941</v>
      </c>
      <c r="C1104" s="50">
        <v>147.67708399093922</v>
      </c>
      <c r="D1104" s="50">
        <v>157.80452309825014</v>
      </c>
      <c r="E1104" s="50">
        <v>7118284.2647712165</v>
      </c>
      <c r="F1104" s="50" t="s">
        <v>1110</v>
      </c>
      <c r="G1104" s="25">
        <f t="shared" si="15"/>
        <v>-5.0093888182203616E-2</v>
      </c>
    </row>
    <row r="1105" spans="1:7">
      <c r="A1105" s="50">
        <v>164.03679331813382</v>
      </c>
      <c r="B1105" s="50">
        <v>164.39046509441553</v>
      </c>
      <c r="C1105" s="50">
        <v>160.49051685866013</v>
      </c>
      <c r="D1105" s="50">
        <v>161.04492126472337</v>
      </c>
      <c r="E1105" s="50">
        <v>3756534.1061923807</v>
      </c>
      <c r="F1105" s="50" t="s">
        <v>1111</v>
      </c>
      <c r="G1105" s="25">
        <f t="shared" si="15"/>
        <v>1.8577872744539592E-2</v>
      </c>
    </row>
    <row r="1106" spans="1:7">
      <c r="A1106" s="50">
        <v>163.31033237225779</v>
      </c>
      <c r="B1106" s="50">
        <v>164.36178900444673</v>
      </c>
      <c r="C1106" s="50">
        <v>160.42360598206628</v>
      </c>
      <c r="D1106" s="50">
        <v>163.74047372178964</v>
      </c>
      <c r="E1106" s="50">
        <v>6162484.5016294941</v>
      </c>
      <c r="F1106" s="50" t="s">
        <v>1112</v>
      </c>
      <c r="G1106" s="25">
        <f t="shared" si="15"/>
        <v>-2.6269702276707774E-3</v>
      </c>
    </row>
    <row r="1107" spans="1:7">
      <c r="A1107" s="50">
        <v>163.3581258555391</v>
      </c>
      <c r="B1107" s="50">
        <v>167.51615890101363</v>
      </c>
      <c r="C1107" s="50">
        <v>163.34856715888282</v>
      </c>
      <c r="D1107" s="50">
        <v>167.26763278795079</v>
      </c>
      <c r="E1107" s="50">
        <v>4868122.8909497494</v>
      </c>
      <c r="F1107" s="50" t="s">
        <v>1113</v>
      </c>
      <c r="G1107" s="25">
        <f t="shared" si="15"/>
        <v>-2.3372764157951975E-2</v>
      </c>
    </row>
    <row r="1108" spans="1:7">
      <c r="A1108" s="50">
        <v>165.88162177279258</v>
      </c>
      <c r="B1108" s="50">
        <v>167.53049694599801</v>
      </c>
      <c r="C1108" s="50">
        <v>164.25664334122786</v>
      </c>
      <c r="D1108" s="50">
        <v>166.0632370092616</v>
      </c>
      <c r="E1108" s="50">
        <v>4662605.3323699618</v>
      </c>
      <c r="F1108" s="50" t="s">
        <v>1114</v>
      </c>
      <c r="G1108" s="25">
        <f t="shared" si="15"/>
        <v>-1.0936510677488354E-3</v>
      </c>
    </row>
    <row r="1109" spans="1:7">
      <c r="A1109" s="50">
        <v>168.43379378001489</v>
      </c>
      <c r="B1109" s="50">
        <v>172.41021158902041</v>
      </c>
      <c r="C1109" s="50">
        <v>168.08012200373315</v>
      </c>
      <c r="D1109" s="50">
        <v>172.05653981273866</v>
      </c>
      <c r="E1109" s="50">
        <v>4200904.3119585393</v>
      </c>
      <c r="F1109" s="50" t="s">
        <v>1115</v>
      </c>
      <c r="G1109" s="25">
        <f t="shared" si="15"/>
        <v>-2.1055555555555494E-2</v>
      </c>
    </row>
    <row r="1110" spans="1:7">
      <c r="A1110" s="50">
        <v>171.68375064314441</v>
      </c>
      <c r="B1110" s="50">
        <v>173.71975303092847</v>
      </c>
      <c r="C1110" s="50">
        <v>170.33597441461126</v>
      </c>
      <c r="D1110" s="50">
        <v>173.18446601817774</v>
      </c>
      <c r="E1110" s="50">
        <v>3707113.1425413936</v>
      </c>
      <c r="F1110" s="50" t="s">
        <v>1116</v>
      </c>
      <c r="G1110" s="25">
        <f t="shared" si="15"/>
        <v>-8.6654156087868639E-3</v>
      </c>
    </row>
    <row r="1111" spans="1:7">
      <c r="A1111" s="50">
        <v>172.93593990511488</v>
      </c>
      <c r="B1111" s="50">
        <v>175.30649667586817</v>
      </c>
      <c r="C1111" s="50">
        <v>171.80801369967583</v>
      </c>
      <c r="D1111" s="50">
        <v>175.30649667586817</v>
      </c>
      <c r="E1111" s="50">
        <v>3451508.2114654523</v>
      </c>
      <c r="F1111" s="50" t="s">
        <v>1117</v>
      </c>
      <c r="G1111" s="25">
        <f t="shared" si="15"/>
        <v>-1.3522355507088357E-2</v>
      </c>
    </row>
    <row r="1112" spans="1:7">
      <c r="A1112" s="50">
        <v>175.04841186614905</v>
      </c>
      <c r="B1112" s="50">
        <v>175.81310759865013</v>
      </c>
      <c r="C1112" s="50">
        <v>174.00651393061636</v>
      </c>
      <c r="D1112" s="50">
        <v>174.47489006677327</v>
      </c>
      <c r="E1112" s="50">
        <v>1829305.8801633362</v>
      </c>
      <c r="F1112" s="50" t="s">
        <v>1118</v>
      </c>
      <c r="G1112" s="25">
        <f t="shared" si="15"/>
        <v>3.28713088259458E-3</v>
      </c>
    </row>
    <row r="1113" spans="1:7">
      <c r="A1113" s="50">
        <v>173.8631334807724</v>
      </c>
      <c r="B1113" s="50">
        <v>174.33150961692931</v>
      </c>
      <c r="C1113" s="50">
        <v>171.72198542976946</v>
      </c>
      <c r="D1113" s="50">
        <v>172.73520727533335</v>
      </c>
      <c r="E1113" s="50">
        <v>2500806.4236808689</v>
      </c>
      <c r="F1113" s="50" t="s">
        <v>1119</v>
      </c>
      <c r="G1113" s="25">
        <f t="shared" si="15"/>
        <v>6.5297991256709764E-3</v>
      </c>
    </row>
    <row r="1114" spans="1:7">
      <c r="A1114" s="50">
        <v>173.29917037805291</v>
      </c>
      <c r="B1114" s="50">
        <v>174.66606399989851</v>
      </c>
      <c r="C1114" s="50">
        <v>172.76388336530215</v>
      </c>
      <c r="D1114" s="50">
        <v>173.95872044733505</v>
      </c>
      <c r="E1114" s="50">
        <v>2217918.4843268986</v>
      </c>
      <c r="F1114" s="50" t="s">
        <v>1120</v>
      </c>
      <c r="G1114" s="25">
        <f t="shared" si="15"/>
        <v>-3.7914171108301975E-3</v>
      </c>
    </row>
    <row r="1115" spans="1:7">
      <c r="A1115" s="50">
        <v>173.38519864795924</v>
      </c>
      <c r="B1115" s="50">
        <v>175.38296624911828</v>
      </c>
      <c r="C1115" s="50">
        <v>171.44478322673783</v>
      </c>
      <c r="D1115" s="50">
        <v>171.44478322673783</v>
      </c>
      <c r="E1115" s="50">
        <v>3448883.3766263258</v>
      </c>
      <c r="F1115" s="50" t="s">
        <v>1121</v>
      </c>
      <c r="G1115" s="25">
        <f t="shared" si="15"/>
        <v>1.1318019625334408E-2</v>
      </c>
    </row>
    <row r="1116" spans="1:7">
      <c r="A1116" s="50">
        <v>171.92271805955099</v>
      </c>
      <c r="B1116" s="50">
        <v>173.194024714834</v>
      </c>
      <c r="C1116" s="50">
        <v>170.55582443770533</v>
      </c>
      <c r="D1116" s="50">
        <v>171.82713109298834</v>
      </c>
      <c r="E1116" s="50">
        <v>3351237.2190418169</v>
      </c>
      <c r="F1116" s="50" t="s">
        <v>1122</v>
      </c>
      <c r="G1116" s="25">
        <f t="shared" si="15"/>
        <v>5.5629728526929156E-4</v>
      </c>
    </row>
    <row r="1117" spans="1:7">
      <c r="A1117" s="50">
        <v>172.10433329602</v>
      </c>
      <c r="B1117" s="50">
        <v>174.0543074138977</v>
      </c>
      <c r="C1117" s="50">
        <v>169.94406785170449</v>
      </c>
      <c r="D1117" s="50">
        <v>170.21171135807984</v>
      </c>
      <c r="E1117" s="50">
        <v>3548548.6379332398</v>
      </c>
      <c r="F1117" s="50" t="s">
        <v>1123</v>
      </c>
      <c r="G1117" s="25">
        <f t="shared" si="15"/>
        <v>1.1119222777559612E-2</v>
      </c>
    </row>
    <row r="1118" spans="1:7">
      <c r="A1118" s="50">
        <v>168.89261121951552</v>
      </c>
      <c r="B1118" s="50">
        <v>169.94406785170449</v>
      </c>
      <c r="C1118" s="50">
        <v>167.61174586757625</v>
      </c>
      <c r="D1118" s="50">
        <v>168.4051176900461</v>
      </c>
      <c r="E1118" s="50">
        <v>4117675.3918861868</v>
      </c>
      <c r="F1118" s="50" t="s">
        <v>1124</v>
      </c>
      <c r="G1118" s="25">
        <f t="shared" si="15"/>
        <v>2.8947667158587542E-3</v>
      </c>
    </row>
    <row r="1119" spans="1:7">
      <c r="A1119" s="50">
        <v>164.91619341051</v>
      </c>
      <c r="B1119" s="50">
        <v>166.34043921229323</v>
      </c>
      <c r="C1119" s="50">
        <v>164.0845868014151</v>
      </c>
      <c r="D1119" s="50">
        <v>164.53384554425946</v>
      </c>
      <c r="E1119" s="50">
        <v>3468507.3909397302</v>
      </c>
      <c r="F1119" s="50" t="s">
        <v>1125</v>
      </c>
      <c r="G1119" s="25">
        <f t="shared" si="15"/>
        <v>2.3238250159762774E-3</v>
      </c>
    </row>
    <row r="1120" spans="1:7">
      <c r="A1120" s="50">
        <v>164.99266298376014</v>
      </c>
      <c r="B1120" s="50">
        <v>166.15882397582425</v>
      </c>
      <c r="C1120" s="50">
        <v>164.17061507132146</v>
      </c>
      <c r="D1120" s="50">
        <v>165.07869125366648</v>
      </c>
      <c r="E1120" s="50">
        <v>4008286.0015120436</v>
      </c>
      <c r="F1120" s="50" t="s">
        <v>1126</v>
      </c>
      <c r="G1120" s="25">
        <f t="shared" si="15"/>
        <v>-5.2113491603922313E-4</v>
      </c>
    </row>
    <row r="1121" spans="1:7">
      <c r="A1121" s="50">
        <v>165.52794999651084</v>
      </c>
      <c r="B1121" s="50">
        <v>167.46836541773229</v>
      </c>
      <c r="C1121" s="50">
        <v>164.95442819713506</v>
      </c>
      <c r="D1121" s="50">
        <v>167.27719148460704</v>
      </c>
      <c r="E1121" s="50">
        <v>3403122.9538689628</v>
      </c>
      <c r="F1121" s="50" t="s">
        <v>1127</v>
      </c>
      <c r="G1121" s="25">
        <f t="shared" si="15"/>
        <v>-1.0457142857143054E-2</v>
      </c>
    </row>
    <row r="1122" spans="1:7">
      <c r="A1122" s="50">
        <v>166.52205444876225</v>
      </c>
      <c r="B1122" s="50">
        <v>168.29997202682719</v>
      </c>
      <c r="C1122" s="50">
        <v>165.69044783966734</v>
      </c>
      <c r="D1122" s="50">
        <v>166.87572622504399</v>
      </c>
      <c r="E1122" s="50">
        <v>2354335.6180525078</v>
      </c>
      <c r="F1122" s="50" t="s">
        <v>1128</v>
      </c>
      <c r="G1122" s="25">
        <f t="shared" si="15"/>
        <v>-2.1193722075839583E-3</v>
      </c>
    </row>
    <row r="1123" spans="1:7">
      <c r="A1123" s="50">
        <v>166.11103049254291</v>
      </c>
      <c r="B1123" s="50">
        <v>168.87349382620297</v>
      </c>
      <c r="C1123" s="50">
        <v>165.40368693997942</v>
      </c>
      <c r="D1123" s="50">
        <v>167.87938937395162</v>
      </c>
      <c r="E1123" s="50">
        <v>3614912.2880009869</v>
      </c>
      <c r="F1123" s="50" t="s">
        <v>1129</v>
      </c>
      <c r="G1123" s="25">
        <f t="shared" si="15"/>
        <v>-1.0533507942834475E-2</v>
      </c>
    </row>
    <row r="1124" spans="1:7">
      <c r="A1124" s="50">
        <v>166.90440231501279</v>
      </c>
      <c r="B1124" s="50">
        <v>171.31774814817609</v>
      </c>
      <c r="C1124" s="50">
        <v>165.38456954666691</v>
      </c>
      <c r="D1124" s="50">
        <v>170.52714834773656</v>
      </c>
      <c r="E1124" s="50">
        <v>5090378.0870708609</v>
      </c>
      <c r="F1124" s="50" t="s">
        <v>1130</v>
      </c>
      <c r="G1124" s="25">
        <f t="shared" si="15"/>
        <v>-2.1244394618833984E-2</v>
      </c>
    </row>
    <row r="1125" spans="1:7">
      <c r="A1125" s="50">
        <v>170.17347657145481</v>
      </c>
      <c r="B1125" s="50">
        <v>175.62193366552486</v>
      </c>
      <c r="C1125" s="50">
        <v>170.05877221157965</v>
      </c>
      <c r="D1125" s="50">
        <v>172.15212677930128</v>
      </c>
      <c r="E1125" s="50">
        <v>3462672.9134993926</v>
      </c>
      <c r="F1125" s="50" t="s">
        <v>1131</v>
      </c>
      <c r="G1125" s="25">
        <f t="shared" si="15"/>
        <v>-1.1493614658522944E-2</v>
      </c>
    </row>
    <row r="1126" spans="1:7">
      <c r="A1126" s="50">
        <v>172.96461599508368</v>
      </c>
      <c r="B1126" s="50">
        <v>175.4020836424308</v>
      </c>
      <c r="C1126" s="50">
        <v>169.68598304198539</v>
      </c>
      <c r="D1126" s="50">
        <v>175.32561406918069</v>
      </c>
      <c r="E1126" s="50">
        <v>4009342.6309211776</v>
      </c>
      <c r="F1126" s="50" t="s">
        <v>1132</v>
      </c>
      <c r="G1126" s="25">
        <f t="shared" si="15"/>
        <v>-1.346636135644963E-2</v>
      </c>
    </row>
    <row r="1127" spans="1:7">
      <c r="A1127" s="50">
        <v>174.26459874033549</v>
      </c>
      <c r="B1127" s="50">
        <v>178.94836010190448</v>
      </c>
      <c r="C1127" s="50">
        <v>173.80578130083487</v>
      </c>
      <c r="D1127" s="50">
        <v>178.48954266240384</v>
      </c>
      <c r="E1127" s="50">
        <v>4069139.4861363159</v>
      </c>
      <c r="F1127" s="50" t="s">
        <v>1133</v>
      </c>
      <c r="G1127" s="25">
        <f t="shared" si="15"/>
        <v>-2.3670540352380365E-2</v>
      </c>
    </row>
    <row r="1128" spans="1:7">
      <c r="A1128" s="50">
        <v>178.82409704537307</v>
      </c>
      <c r="B1128" s="50">
        <v>180.6880428933444</v>
      </c>
      <c r="C1128" s="50">
        <v>174.15945307711658</v>
      </c>
      <c r="D1128" s="50">
        <v>176.83588814087028</v>
      </c>
      <c r="E1128" s="50">
        <v>6304297.7685158104</v>
      </c>
      <c r="F1128" s="50" t="s">
        <v>1134</v>
      </c>
      <c r="G1128" s="25">
        <f t="shared" si="15"/>
        <v>1.1243243243243439E-2</v>
      </c>
    </row>
    <row r="1129" spans="1:7">
      <c r="A1129" s="50">
        <v>169.63818955870406</v>
      </c>
      <c r="B1129" s="50">
        <v>171.85580718295714</v>
      </c>
      <c r="C1129" s="50">
        <v>168.24261984688962</v>
      </c>
      <c r="D1129" s="50">
        <v>171.65507455317561</v>
      </c>
      <c r="E1129" s="50">
        <v>3466767.6140017202</v>
      </c>
      <c r="F1129" s="50" t="s">
        <v>1135</v>
      </c>
      <c r="G1129" s="25">
        <f t="shared" si="15"/>
        <v>-1.1749638044325716E-2</v>
      </c>
    </row>
    <row r="1130" spans="1:7">
      <c r="A1130" s="50">
        <v>171.67419194648812</v>
      </c>
      <c r="B1130" s="50">
        <v>171.83668978964462</v>
      </c>
      <c r="C1130" s="50">
        <v>168.43379378001489</v>
      </c>
      <c r="D1130" s="50">
        <v>169.14113733257835</v>
      </c>
      <c r="E1130" s="50">
        <v>2509278.2899731146</v>
      </c>
      <c r="F1130" s="50" t="s">
        <v>1136</v>
      </c>
      <c r="G1130" s="25">
        <f t="shared" si="15"/>
        <v>1.4975981915795522E-2</v>
      </c>
    </row>
    <row r="1131" spans="1:7">
      <c r="A1131" s="50">
        <v>169.48525041220384</v>
      </c>
      <c r="B1131" s="50">
        <v>170.14480048148602</v>
      </c>
      <c r="C1131" s="50">
        <v>168.48158726329621</v>
      </c>
      <c r="D1131" s="50">
        <v>169.88671567176689</v>
      </c>
      <c r="E1131" s="50">
        <v>1464723.7487995871</v>
      </c>
      <c r="F1131" s="50" t="s">
        <v>1137</v>
      </c>
      <c r="G1131" s="25">
        <f t="shared" si="15"/>
        <v>-2.3631350925561456E-3</v>
      </c>
    </row>
    <row r="1132" spans="1:7">
      <c r="A1132" s="50">
        <v>169.01687427604693</v>
      </c>
      <c r="B1132" s="50">
        <v>169.7672319635636</v>
      </c>
      <c r="C1132" s="50">
        <v>166.63675880863741</v>
      </c>
      <c r="D1132" s="50">
        <v>167.83159589067031</v>
      </c>
      <c r="E1132" s="50">
        <v>2744459.9345885441</v>
      </c>
      <c r="F1132" s="50" t="s">
        <v>1138</v>
      </c>
      <c r="G1132" s="25">
        <f t="shared" si="15"/>
        <v>7.0623077799292222E-3</v>
      </c>
    </row>
    <row r="1133" spans="1:7">
      <c r="A1133" s="50">
        <v>168.05144591376435</v>
      </c>
      <c r="B1133" s="50">
        <v>169.92495045839198</v>
      </c>
      <c r="C1133" s="50">
        <v>165.50883260319833</v>
      </c>
      <c r="D1133" s="50">
        <v>166.10147179588665</v>
      </c>
      <c r="E1133" s="50">
        <v>3184470.7594162258</v>
      </c>
      <c r="F1133" s="50" t="s">
        <v>1139</v>
      </c>
      <c r="G1133" s="25">
        <f t="shared" si="15"/>
        <v>1.1739655866950471E-2</v>
      </c>
    </row>
    <row r="1134" spans="1:7">
      <c r="A1134" s="50">
        <v>163.94120635157114</v>
      </c>
      <c r="B1134" s="50">
        <v>164.77281296066604</v>
      </c>
      <c r="C1134" s="50">
        <v>162.31622792000641</v>
      </c>
      <c r="D1134" s="50">
        <v>163.45371282210172</v>
      </c>
      <c r="E1134" s="50">
        <v>3203447.195903636</v>
      </c>
      <c r="F1134" s="50" t="s">
        <v>1140</v>
      </c>
      <c r="G1134" s="25">
        <f t="shared" si="15"/>
        <v>2.9824561403508643E-3</v>
      </c>
    </row>
    <row r="1135" spans="1:7">
      <c r="A1135" s="50">
        <v>161.2743299844737</v>
      </c>
      <c r="B1135" s="50">
        <v>166.40362219719111</v>
      </c>
      <c r="C1135" s="50">
        <v>159.70670373284653</v>
      </c>
      <c r="D1135" s="50">
        <v>165.15516082691659</v>
      </c>
      <c r="E1135" s="50">
        <v>5867622.1264171582</v>
      </c>
      <c r="F1135" s="50" t="s">
        <v>1141</v>
      </c>
      <c r="G1135" s="25">
        <f t="shared" si="15"/>
        <v>-2.3498090056719545E-2</v>
      </c>
    </row>
    <row r="1136" spans="1:7">
      <c r="A1136" s="50">
        <v>167.19116321470065</v>
      </c>
      <c r="B1136" s="50">
        <v>168.7683481629841</v>
      </c>
      <c r="C1136" s="50">
        <v>165.46103911991702</v>
      </c>
      <c r="D1136" s="50">
        <v>165.94853264938646</v>
      </c>
      <c r="E1136" s="50">
        <v>3211300.7770663789</v>
      </c>
      <c r="F1136" s="50" t="s">
        <v>1142</v>
      </c>
      <c r="G1136" s="25">
        <f t="shared" si="15"/>
        <v>7.4880479235064357E-3</v>
      </c>
    </row>
    <row r="1137" spans="1:7">
      <c r="A1137" s="50">
        <v>165.8051521995425</v>
      </c>
      <c r="B1137" s="50">
        <v>168.98819818607817</v>
      </c>
      <c r="C1137" s="50">
        <v>165.68088914301109</v>
      </c>
      <c r="D1137" s="50">
        <v>168.03232852045181</v>
      </c>
      <c r="E1137" s="50">
        <v>2614736.1820110935</v>
      </c>
      <c r="F1137" s="50" t="s">
        <v>1143</v>
      </c>
      <c r="G1137" s="25">
        <f t="shared" si="15"/>
        <v>-1.3254451333977846E-2</v>
      </c>
    </row>
    <row r="1138" spans="1:7">
      <c r="A1138" s="50">
        <v>167.42057193445098</v>
      </c>
      <c r="B1138" s="50">
        <v>169.16981342254715</v>
      </c>
      <c r="C1138" s="50">
        <v>165.87206307613633</v>
      </c>
      <c r="D1138" s="50">
        <v>166.17794136913676</v>
      </c>
      <c r="E1138" s="50">
        <v>2484961.1672147838</v>
      </c>
      <c r="F1138" s="50" t="s">
        <v>1144</v>
      </c>
      <c r="G1138" s="25">
        <f t="shared" si="15"/>
        <v>7.4777106701178209E-3</v>
      </c>
    </row>
    <row r="1139" spans="1:7">
      <c r="A1139" s="50">
        <v>166.59852402201233</v>
      </c>
      <c r="B1139" s="50">
        <v>169.06285160696356</v>
      </c>
      <c r="C1139" s="50">
        <v>166.0345609192928</v>
      </c>
      <c r="D1139" s="50">
        <v>167.75512631742021</v>
      </c>
      <c r="E1139" s="50">
        <v>3744026.1247907886</v>
      </c>
      <c r="F1139" s="50" t="s">
        <v>1145</v>
      </c>
      <c r="G1139" s="25">
        <f t="shared" si="15"/>
        <v>-6.8945868945869959E-3</v>
      </c>
    </row>
    <row r="1140" spans="1:7">
      <c r="A1140" s="50">
        <v>165.3367760633856</v>
      </c>
      <c r="B1140" s="50">
        <v>166.76702499126955</v>
      </c>
      <c r="C1140" s="50">
        <v>161.9995285649897</v>
      </c>
      <c r="D1140" s="50">
        <v>164.52630167091803</v>
      </c>
      <c r="E1140" s="50">
        <v>3064752.1662436365</v>
      </c>
      <c r="F1140" s="50" t="s">
        <v>1146</v>
      </c>
      <c r="G1140" s="25">
        <f t="shared" si="15"/>
        <v>4.9261083743841194E-3</v>
      </c>
    </row>
    <row r="1141" spans="1:7">
      <c r="A1141" s="50">
        <v>166.6335350913337</v>
      </c>
      <c r="B1141" s="50">
        <v>167.87308416216649</v>
      </c>
      <c r="C1141" s="50">
        <v>164.61211660659103</v>
      </c>
      <c r="D1141" s="50">
        <v>165.36538104194327</v>
      </c>
      <c r="E1141" s="50">
        <v>2757891.9467087551</v>
      </c>
      <c r="F1141" s="50" t="s">
        <v>1147</v>
      </c>
      <c r="G1141" s="25">
        <f t="shared" si="15"/>
        <v>7.6688000922562338E-3</v>
      </c>
    </row>
    <row r="1142" spans="1:7">
      <c r="A1142" s="50">
        <v>164.63118659229616</v>
      </c>
      <c r="B1142" s="50">
        <v>168.98867832591597</v>
      </c>
      <c r="C1142" s="50">
        <v>163.88745714979652</v>
      </c>
      <c r="D1142" s="50">
        <v>165.79445572030846</v>
      </c>
      <c r="E1142" s="50">
        <v>3790115.0592156299</v>
      </c>
      <c r="F1142" s="50" t="s">
        <v>1148</v>
      </c>
      <c r="G1142" s="25">
        <f t="shared" si="15"/>
        <v>-7.0163331032897513E-3</v>
      </c>
    </row>
    <row r="1143" spans="1:7">
      <c r="A1143" s="50">
        <v>165.85166567742382</v>
      </c>
      <c r="B1143" s="50">
        <v>166.97679483402587</v>
      </c>
      <c r="C1143" s="50">
        <v>160.64555957992619</v>
      </c>
      <c r="D1143" s="50">
        <v>160.66462956563132</v>
      </c>
      <c r="E1143" s="50">
        <v>4148930.2206849465</v>
      </c>
      <c r="F1143" s="50" t="s">
        <v>1149</v>
      </c>
      <c r="G1143" s="25">
        <f t="shared" si="15"/>
        <v>3.2284866468842877E-2</v>
      </c>
    </row>
    <row r="1144" spans="1:7">
      <c r="A1144" s="50">
        <v>159.73973525893302</v>
      </c>
      <c r="B1144" s="50">
        <v>164.34513680671938</v>
      </c>
      <c r="C1144" s="50">
        <v>159.6253153447023</v>
      </c>
      <c r="D1144" s="50">
        <v>164.17350693537333</v>
      </c>
      <c r="E1144" s="50">
        <v>3242784.8114956236</v>
      </c>
      <c r="F1144" s="50" t="s">
        <v>1150</v>
      </c>
      <c r="G1144" s="25">
        <f t="shared" si="15"/>
        <v>-2.7006620978046403E-2</v>
      </c>
    </row>
    <row r="1145" spans="1:7">
      <c r="A1145" s="50">
        <v>163.56326739280948</v>
      </c>
      <c r="B1145" s="50">
        <v>164.93630636357807</v>
      </c>
      <c r="C1145" s="50">
        <v>162.47627820761767</v>
      </c>
      <c r="D1145" s="50">
        <v>164.85049142790504</v>
      </c>
      <c r="E1145" s="50">
        <v>2859097.056657101</v>
      </c>
      <c r="F1145" s="50" t="s">
        <v>1151</v>
      </c>
      <c r="G1145" s="25">
        <f t="shared" si="15"/>
        <v>-7.8084331077563629E-3</v>
      </c>
    </row>
    <row r="1146" spans="1:7">
      <c r="A1146" s="50">
        <v>165.08886624921902</v>
      </c>
      <c r="B1146" s="50">
        <v>168.99821331876853</v>
      </c>
      <c r="C1146" s="50">
        <v>164.65502407442759</v>
      </c>
      <c r="D1146" s="50">
        <v>167.32958956957057</v>
      </c>
      <c r="E1146" s="50">
        <v>4050810.587616859</v>
      </c>
      <c r="F1146" s="50" t="s">
        <v>1152</v>
      </c>
      <c r="G1146" s="25">
        <f t="shared" si="15"/>
        <v>-1.339107641461057E-2</v>
      </c>
    </row>
    <row r="1147" spans="1:7">
      <c r="A1147" s="50">
        <v>168.55006865469824</v>
      </c>
      <c r="B1147" s="50">
        <v>170.48567220376785</v>
      </c>
      <c r="C1147" s="50">
        <v>168.1305289691856</v>
      </c>
      <c r="D1147" s="50">
        <v>169.40821801142857</v>
      </c>
      <c r="E1147" s="50">
        <v>3883898.0346019133</v>
      </c>
      <c r="F1147" s="50" t="s">
        <v>1153</v>
      </c>
      <c r="G1147" s="25">
        <f t="shared" si="15"/>
        <v>-5.0655710024199996E-3</v>
      </c>
    </row>
    <row r="1148" spans="1:7">
      <c r="A1148" s="50">
        <v>167.54889440517945</v>
      </c>
      <c r="B1148" s="50">
        <v>167.81587420505113</v>
      </c>
      <c r="C1148" s="50">
        <v>165.24142613486001</v>
      </c>
      <c r="D1148" s="50">
        <v>165.3081710848279</v>
      </c>
      <c r="E1148" s="50">
        <v>2811079.1916120229</v>
      </c>
      <c r="F1148" s="50" t="s">
        <v>1154</v>
      </c>
      <c r="G1148" s="25">
        <f t="shared" si="15"/>
        <v>1.3554824940877896E-2</v>
      </c>
    </row>
    <row r="1149" spans="1:7">
      <c r="A1149" s="50">
        <v>165.29863609197537</v>
      </c>
      <c r="B1149" s="50">
        <v>166.00422556306478</v>
      </c>
      <c r="C1149" s="50">
        <v>161.43696398668868</v>
      </c>
      <c r="D1149" s="50">
        <v>161.60859385803474</v>
      </c>
      <c r="E1149" s="50">
        <v>4613777.9734349782</v>
      </c>
      <c r="F1149" s="50" t="s">
        <v>1155</v>
      </c>
      <c r="G1149" s="25">
        <f t="shared" si="15"/>
        <v>2.2833205498849596E-2</v>
      </c>
    </row>
    <row r="1150" spans="1:7">
      <c r="A1150" s="50">
        <v>159.70159528752279</v>
      </c>
      <c r="B1150" s="50">
        <v>160.77904947986204</v>
      </c>
      <c r="C1150" s="50">
        <v>157.23203213870983</v>
      </c>
      <c r="D1150" s="50">
        <v>157.91855162409414</v>
      </c>
      <c r="E1150" s="50">
        <v>3736678.2074131435</v>
      </c>
      <c r="F1150" s="50" t="s">
        <v>1156</v>
      </c>
      <c r="G1150" s="25">
        <f t="shared" si="15"/>
        <v>1.1290906895302433E-2</v>
      </c>
    </row>
    <row r="1151" spans="1:7">
      <c r="A1151" s="50">
        <v>155.67782830374261</v>
      </c>
      <c r="B1151" s="50">
        <v>157.66110681707502</v>
      </c>
      <c r="C1151" s="50">
        <v>154.17129943303814</v>
      </c>
      <c r="D1151" s="50">
        <v>154.38106927579446</v>
      </c>
      <c r="E1151" s="50">
        <v>3650403.365604619</v>
      </c>
      <c r="F1151" s="50" t="s">
        <v>1157</v>
      </c>
      <c r="G1151" s="25">
        <f t="shared" si="15"/>
        <v>8.3997282440864129E-3</v>
      </c>
    </row>
    <row r="1152" spans="1:7">
      <c r="A1152" s="50">
        <v>153.10338023355146</v>
      </c>
      <c r="B1152" s="50">
        <v>154.60037411140334</v>
      </c>
      <c r="C1152" s="50">
        <v>150.6052121061808</v>
      </c>
      <c r="D1152" s="50">
        <v>151.94964609839175</v>
      </c>
      <c r="E1152" s="50">
        <v>6268345.5482564699</v>
      </c>
      <c r="F1152" s="50" t="s">
        <v>1158</v>
      </c>
      <c r="G1152" s="25">
        <f t="shared" si="15"/>
        <v>7.5928714859436752E-3</v>
      </c>
    </row>
    <row r="1153" spans="1:7">
      <c r="A1153" s="50">
        <v>156.29760283915897</v>
      </c>
      <c r="B1153" s="50">
        <v>156.61225760329344</v>
      </c>
      <c r="C1153" s="50">
        <v>154.05687951880742</v>
      </c>
      <c r="D1153" s="50">
        <v>154.05687951880742</v>
      </c>
      <c r="E1153" s="50">
        <v>6707417.7179724751</v>
      </c>
      <c r="F1153" s="50" t="s">
        <v>1159</v>
      </c>
      <c r="G1153" s="25">
        <f t="shared" si="15"/>
        <v>1.4544779352602788E-2</v>
      </c>
    </row>
    <row r="1154" spans="1:7">
      <c r="A1154" s="50">
        <v>155.06758876117877</v>
      </c>
      <c r="B1154" s="50">
        <v>156.85063242460743</v>
      </c>
      <c r="C1154" s="50">
        <v>154.6575840685187</v>
      </c>
      <c r="D1154" s="50">
        <v>155.51573342524907</v>
      </c>
      <c r="E1154" s="50">
        <v>2899802.9078309489</v>
      </c>
      <c r="F1154" s="50" t="s">
        <v>1160</v>
      </c>
      <c r="G1154" s="25">
        <f t="shared" si="15"/>
        <v>-2.8816676885345949E-3</v>
      </c>
    </row>
    <row r="1155" spans="1:7">
      <c r="A1155" s="50">
        <v>153.83757468319857</v>
      </c>
      <c r="B1155" s="50">
        <v>154.76246898989686</v>
      </c>
      <c r="C1155" s="50">
        <v>151.80662120560336</v>
      </c>
      <c r="D1155" s="50">
        <v>152.5789556266607</v>
      </c>
      <c r="E1155" s="50">
        <v>3076147.0358235156</v>
      </c>
      <c r="F1155" s="50" t="s">
        <v>1161</v>
      </c>
      <c r="G1155" s="25">
        <f t="shared" si="15"/>
        <v>8.2489688788900395E-3</v>
      </c>
    </row>
    <row r="1156" spans="1:7">
      <c r="A1156" s="50">
        <v>152.06406601262245</v>
      </c>
      <c r="B1156" s="50">
        <v>158.11878647399789</v>
      </c>
      <c r="C1156" s="50">
        <v>151.39661651294327</v>
      </c>
      <c r="D1156" s="50">
        <v>155.11526372544157</v>
      </c>
      <c r="E1156" s="50">
        <v>4490426.0194076346</v>
      </c>
      <c r="F1156" s="50" t="s">
        <v>1162</v>
      </c>
      <c r="G1156" s="25">
        <f t="shared" si="15"/>
        <v>-1.9670518809933646E-2</v>
      </c>
    </row>
    <row r="1157" spans="1:7">
      <c r="A1157" s="50">
        <v>153.94245960457673</v>
      </c>
      <c r="B1157" s="50">
        <v>154.27618435441633</v>
      </c>
      <c r="C1157" s="50">
        <v>152.32151081964156</v>
      </c>
      <c r="D1157" s="50">
        <v>153.17012518351936</v>
      </c>
      <c r="E1157" s="50">
        <v>3348164.0200107363</v>
      </c>
      <c r="F1157" s="50" t="s">
        <v>1163</v>
      </c>
      <c r="G1157" s="25">
        <f t="shared" si="15"/>
        <v>5.0423306772910959E-3</v>
      </c>
    </row>
    <row r="1158" spans="1:7">
      <c r="A1158" s="50">
        <v>151.33940655582791</v>
      </c>
      <c r="B1158" s="50">
        <v>153.95199459742929</v>
      </c>
      <c r="C1158" s="50">
        <v>151.02475179169343</v>
      </c>
      <c r="D1158" s="50">
        <v>153.67547980470505</v>
      </c>
      <c r="E1158" s="50">
        <v>3087223.0797842252</v>
      </c>
      <c r="F1158" s="50" t="s">
        <v>1164</v>
      </c>
      <c r="G1158" s="25">
        <f t="shared" si="15"/>
        <v>-1.5201340199789137E-2</v>
      </c>
    </row>
    <row r="1159" spans="1:7">
      <c r="A1159" s="50">
        <v>151.97825107694942</v>
      </c>
      <c r="B1159" s="50">
        <v>154.60990910425591</v>
      </c>
      <c r="C1159" s="50">
        <v>151.16777668448185</v>
      </c>
      <c r="D1159" s="50">
        <v>151.39661651294327</v>
      </c>
      <c r="E1159" s="50">
        <v>3456603.5349624883</v>
      </c>
      <c r="F1159" s="50" t="s">
        <v>1165</v>
      </c>
      <c r="G1159" s="25">
        <f t="shared" si="15"/>
        <v>3.8417936767856098E-3</v>
      </c>
    </row>
    <row r="1160" spans="1:7">
      <c r="A1160" s="50">
        <v>151.53964140573169</v>
      </c>
      <c r="B1160" s="50">
        <v>151.85429616986613</v>
      </c>
      <c r="C1160" s="50">
        <v>149.50868792813645</v>
      </c>
      <c r="D1160" s="50">
        <v>151.78755121989823</v>
      </c>
      <c r="E1160" s="50">
        <v>3206123.0115965125</v>
      </c>
      <c r="F1160" s="50" t="s">
        <v>1166</v>
      </c>
      <c r="G1160" s="25">
        <f t="shared" si="15"/>
        <v>-1.6332684213832271E-3</v>
      </c>
    </row>
    <row r="1161" spans="1:7">
      <c r="A1161" s="50">
        <v>152.29290584108389</v>
      </c>
      <c r="B1161" s="50">
        <v>153.18919516922449</v>
      </c>
      <c r="C1161" s="50">
        <v>151.19638166303952</v>
      </c>
      <c r="D1161" s="50">
        <v>151.48243144861632</v>
      </c>
      <c r="E1161" s="50">
        <v>3963773.2911203848</v>
      </c>
      <c r="F1161" s="50" t="s">
        <v>1167</v>
      </c>
      <c r="G1161" s="25">
        <f t="shared" si="15"/>
        <v>5.3502863976835346E-3</v>
      </c>
    </row>
    <row r="1162" spans="1:7">
      <c r="A1162" s="50">
        <v>151.89243614127639</v>
      </c>
      <c r="B1162" s="50">
        <v>153.78227172465373</v>
      </c>
      <c r="C1162" s="50">
        <v>150.81021445251085</v>
      </c>
      <c r="D1162" s="50">
        <v>153.27501010489755</v>
      </c>
      <c r="E1162" s="50">
        <v>4412674.51906949</v>
      </c>
      <c r="F1162" s="50" t="s">
        <v>1168</v>
      </c>
      <c r="G1162" s="25">
        <f t="shared" ref="G1162:G1225" si="16">A1162/D1162-1</f>
        <v>-9.0202177293934316E-3</v>
      </c>
    </row>
    <row r="1163" spans="1:7">
      <c r="A1163" s="50">
        <v>154.51455917573031</v>
      </c>
      <c r="B1163" s="50">
        <v>157.40366201005591</v>
      </c>
      <c r="C1163" s="50">
        <v>153.64687482614735</v>
      </c>
      <c r="D1163" s="50">
        <v>157.37505703149824</v>
      </c>
      <c r="E1163" s="50">
        <v>4562925.2871773448</v>
      </c>
      <c r="F1163" s="50" t="s">
        <v>1169</v>
      </c>
      <c r="G1163" s="25">
        <f t="shared" si="16"/>
        <v>-1.8176310209027657E-2</v>
      </c>
    </row>
    <row r="1164" spans="1:7">
      <c r="A1164" s="50">
        <v>156.79342246749206</v>
      </c>
      <c r="B1164" s="50">
        <v>159.49659294119277</v>
      </c>
      <c r="C1164" s="50">
        <v>156.49783768906272</v>
      </c>
      <c r="D1164" s="50">
        <v>158.60507110947844</v>
      </c>
      <c r="E1164" s="50">
        <v>2694425.7218927038</v>
      </c>
      <c r="F1164" s="50" t="s">
        <v>1170</v>
      </c>
      <c r="G1164" s="25">
        <f t="shared" si="16"/>
        <v>-1.1422387880245521E-2</v>
      </c>
    </row>
    <row r="1165" spans="1:7">
      <c r="A1165" s="50">
        <v>158.24274138108117</v>
      </c>
      <c r="B1165" s="50">
        <v>158.69088604515147</v>
      </c>
      <c r="C1165" s="50">
        <v>156.10509133346579</v>
      </c>
      <c r="D1165" s="50">
        <v>156.46923271050505</v>
      </c>
      <c r="E1165" s="50">
        <v>3708876.4036678122</v>
      </c>
      <c r="F1165" s="50" t="s">
        <v>1171</v>
      </c>
      <c r="G1165" s="25">
        <f t="shared" si="16"/>
        <v>1.133455210237666E-2</v>
      </c>
    </row>
    <row r="1166" spans="1:7">
      <c r="A1166" s="50">
        <v>156.62179259614601</v>
      </c>
      <c r="B1166" s="50">
        <v>160.47392970858016</v>
      </c>
      <c r="C1166" s="50">
        <v>156.57411763188321</v>
      </c>
      <c r="D1166" s="50">
        <v>160.34043980864431</v>
      </c>
      <c r="E1166" s="50">
        <v>2708122.6382952095</v>
      </c>
      <c r="F1166" s="50" t="s">
        <v>1172</v>
      </c>
      <c r="G1166" s="25">
        <f t="shared" si="16"/>
        <v>-2.319219790675553E-2</v>
      </c>
    </row>
    <row r="1167" spans="1:7">
      <c r="A1167" s="50">
        <v>160.80765445841973</v>
      </c>
      <c r="B1167" s="50">
        <v>161.03649428688115</v>
      </c>
      <c r="C1167" s="50">
        <v>157.47994195287637</v>
      </c>
      <c r="D1167" s="50">
        <v>157.66110681707502</v>
      </c>
      <c r="E1167" s="50">
        <v>3148977.7144342056</v>
      </c>
      <c r="F1167" s="50" t="s">
        <v>1173</v>
      </c>
      <c r="G1167" s="25">
        <f t="shared" si="16"/>
        <v>1.9957665557907456E-2</v>
      </c>
    </row>
    <row r="1168" spans="1:7">
      <c r="A1168" s="50">
        <v>157.81366670271595</v>
      </c>
      <c r="B1168" s="50">
        <v>158.75763099511937</v>
      </c>
      <c r="C1168" s="50">
        <v>156.73621251037673</v>
      </c>
      <c r="D1168" s="50">
        <v>158.25227637393371</v>
      </c>
      <c r="E1168" s="50">
        <v>3319038.6704384559</v>
      </c>
      <c r="F1168" s="50" t="s">
        <v>1174</v>
      </c>
      <c r="G1168" s="25">
        <f t="shared" si="16"/>
        <v>-2.7715852262457652E-3</v>
      </c>
    </row>
    <row r="1169" spans="1:7">
      <c r="A1169" s="50">
        <v>158.45251122383749</v>
      </c>
      <c r="B1169" s="50">
        <v>159.45368547335624</v>
      </c>
      <c r="C1169" s="50">
        <v>153.03663528358354</v>
      </c>
      <c r="D1169" s="50">
        <v>154.35246429723679</v>
      </c>
      <c r="E1169" s="50">
        <v>3754769.4637640794</v>
      </c>
      <c r="F1169" s="50" t="s">
        <v>1175</v>
      </c>
      <c r="G1169" s="25">
        <f t="shared" si="16"/>
        <v>2.6562886088460802E-2</v>
      </c>
    </row>
    <row r="1170" spans="1:7">
      <c r="A1170" s="50">
        <v>153.70408478326272</v>
      </c>
      <c r="B1170" s="50">
        <v>154.37153428294192</v>
      </c>
      <c r="C1170" s="50">
        <v>152.74105050515419</v>
      </c>
      <c r="D1170" s="50">
        <v>153.13198521210913</v>
      </c>
      <c r="E1170" s="50">
        <v>2493594.9473330844</v>
      </c>
      <c r="F1170" s="50" t="s">
        <v>1176</v>
      </c>
      <c r="G1170" s="25">
        <f t="shared" si="16"/>
        <v>3.7359900373599153E-3</v>
      </c>
    </row>
    <row r="1171" spans="1:7">
      <c r="A1171" s="50">
        <v>152.98896031932074</v>
      </c>
      <c r="B1171" s="50">
        <v>154.3238593186791</v>
      </c>
      <c r="C1171" s="50">
        <v>152.66477056233373</v>
      </c>
      <c r="D1171" s="50">
        <v>153.73268976182041</v>
      </c>
      <c r="E1171" s="50">
        <v>2104396.9628790366</v>
      </c>
      <c r="F1171" s="50" t="s">
        <v>1177</v>
      </c>
      <c r="G1171" s="25">
        <f t="shared" si="16"/>
        <v>-4.8378093406935552E-3</v>
      </c>
    </row>
    <row r="1172" spans="1:7">
      <c r="A1172" s="50">
        <v>152.32151081964156</v>
      </c>
      <c r="B1172" s="50">
        <v>152.55035064810301</v>
      </c>
      <c r="C1172" s="50">
        <v>150.71009702755899</v>
      </c>
      <c r="D1172" s="50">
        <v>151.46336146291119</v>
      </c>
      <c r="E1172" s="50">
        <v>3224952.6009602635</v>
      </c>
      <c r="F1172" s="50" t="s">
        <v>1178</v>
      </c>
      <c r="G1172" s="25">
        <f t="shared" si="16"/>
        <v>5.6657223796032774E-3</v>
      </c>
    </row>
    <row r="1173" spans="1:7">
      <c r="A1173" s="50">
        <v>151.63499133425728</v>
      </c>
      <c r="B1173" s="50">
        <v>153.59786496288524</v>
      </c>
      <c r="C1173" s="50">
        <v>150.01404254932214</v>
      </c>
      <c r="D1173" s="50">
        <v>152.71244552659653</v>
      </c>
      <c r="E1173" s="50">
        <v>4463962.4442480309</v>
      </c>
      <c r="F1173" s="50" t="s">
        <v>1179</v>
      </c>
      <c r="G1173" s="25">
        <f t="shared" si="16"/>
        <v>-7.05544455544449E-3</v>
      </c>
    </row>
    <row r="1174" spans="1:7">
      <c r="A1174" s="50">
        <v>154.59083911855078</v>
      </c>
      <c r="B1174" s="50">
        <v>157.46087196717124</v>
      </c>
      <c r="C1174" s="50">
        <v>154.52409416858288</v>
      </c>
      <c r="D1174" s="50">
        <v>156.21178790348594</v>
      </c>
      <c r="E1174" s="50">
        <v>3737461.6374707753</v>
      </c>
      <c r="F1174" s="50" t="s">
        <v>1180</v>
      </c>
      <c r="G1174" s="25">
        <f t="shared" si="16"/>
        <v>-1.0376609900506706E-2</v>
      </c>
    </row>
    <row r="1175" spans="1:7">
      <c r="A1175" s="50">
        <v>156.99365731739584</v>
      </c>
      <c r="B1175" s="50">
        <v>158.61460610233098</v>
      </c>
      <c r="C1175" s="50">
        <v>155.75410824656308</v>
      </c>
      <c r="D1175" s="50">
        <v>157.09854223877397</v>
      </c>
      <c r="E1175" s="50">
        <v>8003786.8071933081</v>
      </c>
      <c r="F1175" s="50" t="s">
        <v>1181</v>
      </c>
      <c r="G1175" s="25">
        <f t="shared" si="16"/>
        <v>-6.6763777615908015E-4</v>
      </c>
    </row>
    <row r="1176" spans="1:7">
      <c r="A1176" s="50">
        <v>158.04250653117739</v>
      </c>
      <c r="B1176" s="50">
        <v>158.18076392753952</v>
      </c>
      <c r="C1176" s="50">
        <v>155.06758876117877</v>
      </c>
      <c r="D1176" s="50">
        <v>157.10807723162657</v>
      </c>
      <c r="E1176" s="50">
        <v>4035653.785484469</v>
      </c>
      <c r="F1176" s="50" t="s">
        <v>1182</v>
      </c>
      <c r="G1176" s="25">
        <f t="shared" si="16"/>
        <v>5.947684651331997E-3</v>
      </c>
    </row>
    <row r="1177" spans="1:7">
      <c r="A1177" s="50">
        <v>158.3571612953119</v>
      </c>
      <c r="B1177" s="50">
        <v>160.47392970858016</v>
      </c>
      <c r="C1177" s="50">
        <v>157.90901663124157</v>
      </c>
      <c r="D1177" s="50">
        <v>160.27369485867638</v>
      </c>
      <c r="E1177" s="50">
        <v>4360438.507181312</v>
      </c>
      <c r="F1177" s="50" t="s">
        <v>1183</v>
      </c>
      <c r="G1177" s="25">
        <f t="shared" si="16"/>
        <v>-1.1957879707299557E-2</v>
      </c>
    </row>
    <row r="1178" spans="1:7">
      <c r="A1178" s="50">
        <v>160.68369955133645</v>
      </c>
      <c r="B1178" s="50">
        <v>162.19976341489345</v>
      </c>
      <c r="C1178" s="50">
        <v>160.15927494444566</v>
      </c>
      <c r="D1178" s="50">
        <v>162.11394847922043</v>
      </c>
      <c r="E1178" s="50">
        <v>3537503.4382899376</v>
      </c>
      <c r="F1178" s="50" t="s">
        <v>1184</v>
      </c>
      <c r="G1178" s="25">
        <f t="shared" si="16"/>
        <v>-8.8224914715917535E-3</v>
      </c>
    </row>
    <row r="1179" spans="1:7">
      <c r="A1179" s="50">
        <v>162.73372301463678</v>
      </c>
      <c r="B1179" s="50">
        <v>162.79093297175214</v>
      </c>
      <c r="C1179" s="50">
        <v>160.82672444412484</v>
      </c>
      <c r="D1179" s="50">
        <v>161.57045388662448</v>
      </c>
      <c r="E1179" s="50">
        <v>4030815.8164672591</v>
      </c>
      <c r="F1179" s="50" t="s">
        <v>1185</v>
      </c>
      <c r="G1179" s="25">
        <f t="shared" si="16"/>
        <v>7.1997639421659265E-3</v>
      </c>
    </row>
    <row r="1180" spans="1:7">
      <c r="A1180" s="50">
        <v>161.60859385803474</v>
      </c>
      <c r="B1180" s="50">
        <v>163.71582727845043</v>
      </c>
      <c r="C1180" s="50">
        <v>160.83149194055113</v>
      </c>
      <c r="D1180" s="50">
        <v>162.79093297175214</v>
      </c>
      <c r="E1180" s="50">
        <v>3555016.8232061276</v>
      </c>
      <c r="F1180" s="50" t="s">
        <v>1186</v>
      </c>
      <c r="G1180" s="25">
        <f t="shared" si="16"/>
        <v>-7.2629297721548136E-3</v>
      </c>
    </row>
    <row r="1181" spans="1:7">
      <c r="A1181" s="50">
        <v>162.83860793601494</v>
      </c>
      <c r="B1181" s="50">
        <v>163.16279769300198</v>
      </c>
      <c r="C1181" s="50">
        <v>160.94114435835556</v>
      </c>
      <c r="D1181" s="50">
        <v>162.42860324335487</v>
      </c>
      <c r="E1181" s="50">
        <v>2685397.9227814656</v>
      </c>
      <c r="F1181" s="50" t="s">
        <v>1187</v>
      </c>
      <c r="G1181" s="25">
        <f t="shared" si="16"/>
        <v>2.5242148517756746E-3</v>
      </c>
    </row>
    <row r="1182" spans="1:7">
      <c r="A1182" s="50">
        <v>163.39163752146342</v>
      </c>
      <c r="B1182" s="50">
        <v>164.81235145649481</v>
      </c>
      <c r="C1182" s="50">
        <v>161.84696867934875</v>
      </c>
      <c r="D1182" s="50">
        <v>162.60023311470096</v>
      </c>
      <c r="E1182" s="50">
        <v>2966676.5814518812</v>
      </c>
      <c r="F1182" s="50" t="s">
        <v>1188</v>
      </c>
      <c r="G1182" s="25">
        <f t="shared" si="16"/>
        <v>4.8671787955198997E-3</v>
      </c>
    </row>
    <row r="1183" spans="1:7">
      <c r="A1183" s="50">
        <v>161.74208375797056</v>
      </c>
      <c r="B1183" s="50">
        <v>162.60023311470096</v>
      </c>
      <c r="C1183" s="50">
        <v>160.49309504421379</v>
      </c>
      <c r="D1183" s="50">
        <v>160.81718945127227</v>
      </c>
      <c r="E1183" s="50">
        <v>2659135.7111708112</v>
      </c>
      <c r="F1183" s="50" t="s">
        <v>1189</v>
      </c>
      <c r="G1183" s="25">
        <f t="shared" si="16"/>
        <v>5.7512154630616763E-3</v>
      </c>
    </row>
    <row r="1184" spans="1:7">
      <c r="A1184" s="50">
        <v>160.24508988011871</v>
      </c>
      <c r="B1184" s="50">
        <v>162.51432282909937</v>
      </c>
      <c r="C1184" s="50">
        <v>159.53950040902927</v>
      </c>
      <c r="D1184" s="50">
        <v>160.47392970858016</v>
      </c>
      <c r="E1184" s="50">
        <v>3717288.5756788766</v>
      </c>
      <c r="F1184" s="50" t="s">
        <v>1190</v>
      </c>
      <c r="G1184" s="25">
        <f t="shared" si="16"/>
        <v>-1.4260249554367554E-3</v>
      </c>
    </row>
    <row r="1185" spans="1:7">
      <c r="A1185" s="50">
        <v>161.17951917966954</v>
      </c>
      <c r="B1185" s="50">
        <v>162.37139328623951</v>
      </c>
      <c r="C1185" s="50">
        <v>157.61343185281223</v>
      </c>
      <c r="D1185" s="50">
        <v>161.85650367220128</v>
      </c>
      <c r="E1185" s="50">
        <v>3819638.9408118729</v>
      </c>
      <c r="F1185" s="50" t="s">
        <v>1191</v>
      </c>
      <c r="G1185" s="25">
        <f t="shared" si="16"/>
        <v>-4.1826215022091606E-3</v>
      </c>
    </row>
    <row r="1186" spans="1:7">
      <c r="A1186" s="50">
        <v>161.39882401527845</v>
      </c>
      <c r="B1186" s="50">
        <v>165.29863609197537</v>
      </c>
      <c r="C1186" s="50">
        <v>160.91253937979786</v>
      </c>
      <c r="D1186" s="50">
        <v>163.18186767870708</v>
      </c>
      <c r="E1186" s="50">
        <v>3036872.7536304812</v>
      </c>
      <c r="F1186" s="50" t="s">
        <v>1192</v>
      </c>
      <c r="G1186" s="25">
        <f t="shared" si="16"/>
        <v>-1.0926726656538266E-2</v>
      </c>
    </row>
    <row r="1187" spans="1:7">
      <c r="A1187" s="50">
        <v>162.60023311470096</v>
      </c>
      <c r="B1187" s="50">
        <v>165.18421617774464</v>
      </c>
      <c r="C1187" s="50">
        <v>161.91848112574294</v>
      </c>
      <c r="D1187" s="50">
        <v>164.30699683530915</v>
      </c>
      <c r="E1187" s="50">
        <v>3610080.3149274723</v>
      </c>
      <c r="F1187" s="50" t="s">
        <v>1193</v>
      </c>
      <c r="G1187" s="25">
        <f t="shared" si="16"/>
        <v>-1.0387650882079824E-2</v>
      </c>
    </row>
    <row r="1188" spans="1:7">
      <c r="A1188" s="50">
        <v>163.95420209976442</v>
      </c>
      <c r="B1188" s="50">
        <v>165.7324782667668</v>
      </c>
      <c r="C1188" s="50">
        <v>163.04837777877125</v>
      </c>
      <c r="D1188" s="50">
        <v>163.42024250002106</v>
      </c>
      <c r="E1188" s="50">
        <v>3342323.4283227152</v>
      </c>
      <c r="F1188" s="50" t="s">
        <v>1194</v>
      </c>
      <c r="G1188" s="25">
        <f t="shared" si="16"/>
        <v>3.2674018320788534E-3</v>
      </c>
    </row>
    <row r="1189" spans="1:7">
      <c r="A1189" s="50">
        <v>162.11394847922043</v>
      </c>
      <c r="B1189" s="50">
        <v>165.38445102764837</v>
      </c>
      <c r="C1189" s="50">
        <v>161.81836370079105</v>
      </c>
      <c r="D1189" s="50">
        <v>164.9553763492832</v>
      </c>
      <c r="E1189" s="50">
        <v>8349950.6744387792</v>
      </c>
      <c r="F1189" s="50" t="s">
        <v>1195</v>
      </c>
      <c r="G1189" s="25">
        <f t="shared" si="16"/>
        <v>-1.7225433526011469E-2</v>
      </c>
    </row>
    <row r="1190" spans="1:7">
      <c r="A1190" s="50">
        <v>164.89816639216784</v>
      </c>
      <c r="B1190" s="50">
        <v>166.97679483402587</v>
      </c>
      <c r="C1190" s="50">
        <v>162.05673852210506</v>
      </c>
      <c r="D1190" s="50">
        <v>162.53348816473303</v>
      </c>
      <c r="E1190" s="50">
        <v>8309210.2139049564</v>
      </c>
      <c r="F1190" s="50" t="s">
        <v>1196</v>
      </c>
      <c r="G1190" s="25">
        <f t="shared" si="16"/>
        <v>1.4548867769564655E-2</v>
      </c>
    </row>
    <row r="1191" spans="1:7">
      <c r="A1191" s="50">
        <v>164.58351162803339</v>
      </c>
      <c r="B1191" s="50">
        <v>167.27237961245521</v>
      </c>
      <c r="C1191" s="50">
        <v>164.28792684960402</v>
      </c>
      <c r="D1191" s="50">
        <v>165.19375117059721</v>
      </c>
      <c r="E1191" s="50">
        <v>3267818.9152113828</v>
      </c>
      <c r="F1191" s="50" t="s">
        <v>1197</v>
      </c>
      <c r="G1191" s="25">
        <f t="shared" si="16"/>
        <v>-3.6940836940836386E-3</v>
      </c>
    </row>
    <row r="1192" spans="1:7">
      <c r="A1192" s="50">
        <v>165.12700622062928</v>
      </c>
      <c r="B1192" s="50">
        <v>171.31521658194052</v>
      </c>
      <c r="C1192" s="50">
        <v>164.9077013850204</v>
      </c>
      <c r="D1192" s="50">
        <v>168.32122882623679</v>
      </c>
      <c r="E1192" s="50">
        <v>6635156.5206486592</v>
      </c>
      <c r="F1192" s="50" t="s">
        <v>1198</v>
      </c>
      <c r="G1192" s="25">
        <f t="shared" si="16"/>
        <v>-1.8976944428709008E-2</v>
      </c>
    </row>
    <row r="1193" spans="1:7">
      <c r="A1193" s="50">
        <v>162.95302785024566</v>
      </c>
      <c r="B1193" s="50">
        <v>165.15465769990169</v>
      </c>
      <c r="C1193" s="50">
        <v>161.18905417252213</v>
      </c>
      <c r="D1193" s="50">
        <v>164.24025188534122</v>
      </c>
      <c r="E1193" s="50">
        <v>3498628.7368893498</v>
      </c>
      <c r="F1193" s="50" t="s">
        <v>1199</v>
      </c>
      <c r="G1193" s="25">
        <f t="shared" si="16"/>
        <v>-7.8374455732945769E-3</v>
      </c>
    </row>
    <row r="1194" spans="1:7">
      <c r="A1194" s="50">
        <v>164.48816169950777</v>
      </c>
      <c r="B1194" s="50">
        <v>165.54654590614192</v>
      </c>
      <c r="C1194" s="50">
        <v>161.84696867934875</v>
      </c>
      <c r="D1194" s="50">
        <v>162.80046796460471</v>
      </c>
      <c r="E1194" s="50">
        <v>3549846.3945794543</v>
      </c>
      <c r="F1194" s="50" t="s">
        <v>1200</v>
      </c>
      <c r="G1194" s="25">
        <f t="shared" si="16"/>
        <v>1.0366639334660865E-2</v>
      </c>
    </row>
    <row r="1195" spans="1:7">
      <c r="A1195" s="50">
        <v>161.01742430117605</v>
      </c>
      <c r="B1195" s="50">
        <v>161.69440879370779</v>
      </c>
      <c r="C1195" s="50">
        <v>155.01037880406341</v>
      </c>
      <c r="D1195" s="50">
        <v>155.36317353960811</v>
      </c>
      <c r="E1195" s="50">
        <v>4450618.9628246706</v>
      </c>
      <c r="F1195" s="50" t="s">
        <v>1201</v>
      </c>
      <c r="G1195" s="25">
        <f t="shared" si="16"/>
        <v>3.6393764575917587E-2</v>
      </c>
    </row>
    <row r="1196" spans="1:7">
      <c r="A1196" s="50">
        <v>155.23921863252485</v>
      </c>
      <c r="B1196" s="50">
        <v>158.64321108088868</v>
      </c>
      <c r="C1196" s="50">
        <v>153.97106458313439</v>
      </c>
      <c r="D1196" s="50">
        <v>157.9471566026518</v>
      </c>
      <c r="E1196" s="50">
        <v>7068439.4883323647</v>
      </c>
      <c r="F1196" s="50" t="s">
        <v>1202</v>
      </c>
      <c r="G1196" s="25">
        <f t="shared" si="16"/>
        <v>-1.7144581949894322E-2</v>
      </c>
    </row>
    <row r="1197" spans="1:7">
      <c r="A1197" s="50">
        <v>162.10441348636783</v>
      </c>
      <c r="B1197" s="50">
        <v>165.70864078463541</v>
      </c>
      <c r="C1197" s="50">
        <v>161.65626882229753</v>
      </c>
      <c r="D1197" s="50">
        <v>165.66096582037264</v>
      </c>
      <c r="E1197" s="50">
        <v>4572438.6660967264</v>
      </c>
      <c r="F1197" s="50" t="s">
        <v>1203</v>
      </c>
      <c r="G1197" s="25">
        <f t="shared" si="16"/>
        <v>-2.1468861517209836E-2</v>
      </c>
    </row>
    <row r="1198" spans="1:7">
      <c r="A1198" s="50">
        <v>164.81235145649481</v>
      </c>
      <c r="B1198" s="50">
        <v>165.20328616344975</v>
      </c>
      <c r="C1198" s="50">
        <v>163.14372770729685</v>
      </c>
      <c r="D1198" s="50">
        <v>163.18186767870708</v>
      </c>
      <c r="E1198" s="50">
        <v>3616466.2662272314</v>
      </c>
      <c r="F1198" s="50" t="s">
        <v>1204</v>
      </c>
      <c r="G1198" s="25">
        <f t="shared" si="16"/>
        <v>9.991819562930937E-3</v>
      </c>
    </row>
    <row r="1199" spans="1:7">
      <c r="A1199" s="50">
        <v>164.49769669236034</v>
      </c>
      <c r="B1199" s="50">
        <v>166.43330024142998</v>
      </c>
      <c r="C1199" s="50">
        <v>163.05791277162382</v>
      </c>
      <c r="D1199" s="50">
        <v>164.82188644934737</v>
      </c>
      <c r="E1199" s="50">
        <v>3275357.4630751815</v>
      </c>
      <c r="F1199" s="50" t="s">
        <v>1205</v>
      </c>
      <c r="G1199" s="25">
        <f t="shared" si="16"/>
        <v>-1.9669096378572837E-3</v>
      </c>
    </row>
    <row r="1200" spans="1:7">
      <c r="A1200" s="50">
        <v>164.59304662088593</v>
      </c>
      <c r="B1200" s="50">
        <v>166.6144651056286</v>
      </c>
      <c r="C1200" s="50">
        <v>164.40234676383471</v>
      </c>
      <c r="D1200" s="50">
        <v>165.90887563453919</v>
      </c>
      <c r="E1200" s="50">
        <v>2805415.8417978166</v>
      </c>
      <c r="F1200" s="50" t="s">
        <v>1206</v>
      </c>
      <c r="G1200" s="25">
        <f t="shared" si="16"/>
        <v>-7.9310344827586698E-3</v>
      </c>
    </row>
    <row r="1201" spans="1:7">
      <c r="A1201" s="50">
        <v>165.52747592043679</v>
      </c>
      <c r="B1201" s="50">
        <v>166.00422556306478</v>
      </c>
      <c r="C1201" s="50">
        <v>161.9805539292131</v>
      </c>
      <c r="D1201" s="50">
        <v>162.16162344348319</v>
      </c>
      <c r="E1201" s="50">
        <v>3307887.1151468903</v>
      </c>
      <c r="F1201" s="50" t="s">
        <v>1207</v>
      </c>
      <c r="G1201" s="25">
        <f t="shared" si="16"/>
        <v>2.0756159228553006E-2</v>
      </c>
    </row>
    <row r="1202" spans="1:7">
      <c r="A1202" s="50">
        <v>163.94466710691188</v>
      </c>
      <c r="B1202" s="50">
        <v>164.29746184245658</v>
      </c>
      <c r="C1202" s="50">
        <v>161.34161405816309</v>
      </c>
      <c r="D1202" s="50">
        <v>162.0948784935153</v>
      </c>
      <c r="E1202" s="50">
        <v>3330041.3006052771</v>
      </c>
      <c r="F1202" s="50" t="s">
        <v>1208</v>
      </c>
      <c r="G1202" s="25">
        <f t="shared" si="16"/>
        <v>1.1411764705882232E-2</v>
      </c>
    </row>
    <row r="1203" spans="1:7">
      <c r="A1203" s="50">
        <v>159.71113028037536</v>
      </c>
      <c r="B1203" s="50">
        <v>162.13301846492553</v>
      </c>
      <c r="C1203" s="50">
        <v>157.88994664553644</v>
      </c>
      <c r="D1203" s="50">
        <v>159.18670567348457</v>
      </c>
      <c r="E1203" s="50">
        <v>4854130.5395498825</v>
      </c>
      <c r="F1203" s="50" t="s">
        <v>1209</v>
      </c>
      <c r="G1203" s="25">
        <f t="shared" si="16"/>
        <v>3.2943995208145616E-3</v>
      </c>
    </row>
    <row r="1204" spans="1:7">
      <c r="A1204" s="50">
        <v>163.02930779306612</v>
      </c>
      <c r="B1204" s="50">
        <v>166.6335350913337</v>
      </c>
      <c r="C1204" s="50">
        <v>161.50370893665658</v>
      </c>
      <c r="D1204" s="50">
        <v>161.7134787794129</v>
      </c>
      <c r="E1204" s="50">
        <v>4193936.0226436546</v>
      </c>
      <c r="F1204" s="50" t="s">
        <v>1210</v>
      </c>
      <c r="G1204" s="25">
        <f t="shared" si="16"/>
        <v>8.1367924528301661E-3</v>
      </c>
    </row>
    <row r="1205" spans="1:7">
      <c r="A1205" s="50">
        <v>161.67533880800266</v>
      </c>
      <c r="B1205" s="50">
        <v>164.51676667806544</v>
      </c>
      <c r="C1205" s="50">
        <v>159.99718006595216</v>
      </c>
      <c r="D1205" s="50">
        <v>164.51676667806544</v>
      </c>
      <c r="E1205" s="50">
        <v>4916782.9200222632</v>
      </c>
      <c r="F1205" s="50" t="s">
        <v>1211</v>
      </c>
      <c r="G1205" s="25">
        <f t="shared" si="16"/>
        <v>-1.7271357366407614E-2</v>
      </c>
    </row>
    <row r="1206" spans="1:7">
      <c r="A1206" s="50">
        <v>160.66462956563132</v>
      </c>
      <c r="B1206" s="50">
        <v>161.12230922255418</v>
      </c>
      <c r="C1206" s="50">
        <v>159.24391563059993</v>
      </c>
      <c r="D1206" s="50">
        <v>159.90183013742654</v>
      </c>
      <c r="E1206" s="50">
        <v>2128346.639982223</v>
      </c>
      <c r="F1206" s="50" t="s">
        <v>1212</v>
      </c>
      <c r="G1206" s="25">
        <f t="shared" si="16"/>
        <v>4.7704233750744951E-3</v>
      </c>
    </row>
    <row r="1207" spans="1:7">
      <c r="A1207" s="50">
        <v>159.177170680632</v>
      </c>
      <c r="B1207" s="50">
        <v>159.58717537329207</v>
      </c>
      <c r="C1207" s="50">
        <v>157.03179728880608</v>
      </c>
      <c r="D1207" s="50">
        <v>157.9471566026518</v>
      </c>
      <c r="E1207" s="50">
        <v>2816865.2473388701</v>
      </c>
      <c r="F1207" s="50" t="s">
        <v>1213</v>
      </c>
      <c r="G1207" s="25">
        <f t="shared" si="16"/>
        <v>7.7875037730152918E-3</v>
      </c>
    </row>
    <row r="1208" spans="1:7">
      <c r="A1208" s="50">
        <v>157.13668221018418</v>
      </c>
      <c r="B1208" s="50">
        <v>158.02112882675181</v>
      </c>
      <c r="C1208" s="50">
        <v>155.68162487325031</v>
      </c>
      <c r="D1208" s="50">
        <v>155.68162487325031</v>
      </c>
      <c r="E1208" s="50">
        <v>2451937.1088963277</v>
      </c>
      <c r="F1208" s="50" t="s">
        <v>1214</v>
      </c>
      <c r="G1208" s="25">
        <f t="shared" si="16"/>
        <v>9.34636530238242E-3</v>
      </c>
    </row>
    <row r="1209" spans="1:7">
      <c r="A1209" s="50">
        <v>156.20468470025267</v>
      </c>
      <c r="B1209" s="50">
        <v>158.17329168551615</v>
      </c>
      <c r="C1209" s="50">
        <v>155.23464647563009</v>
      </c>
      <c r="D1209" s="50">
        <v>157.46002828505837</v>
      </c>
      <c r="E1209" s="50">
        <v>2929355.0582561996</v>
      </c>
      <c r="F1209" s="50" t="s">
        <v>1215</v>
      </c>
      <c r="G1209" s="25">
        <f t="shared" si="16"/>
        <v>-7.9724587787644019E-3</v>
      </c>
    </row>
    <row r="1210" spans="1:7">
      <c r="A1210" s="50">
        <v>156.70872416990952</v>
      </c>
      <c r="B1210" s="50">
        <v>160.57461180039064</v>
      </c>
      <c r="C1210" s="50">
        <v>155.20611593961178</v>
      </c>
      <c r="D1210" s="50">
        <v>160.36063278025333</v>
      </c>
      <c r="E1210" s="50">
        <v>3610254.9890367514</v>
      </c>
      <c r="F1210" s="50" t="s">
        <v>1216</v>
      </c>
      <c r="G1210" s="25">
        <f t="shared" si="16"/>
        <v>-2.2773099276479636E-2</v>
      </c>
    </row>
    <row r="1211" spans="1:7">
      <c r="A1211" s="50">
        <v>161.14997761009323</v>
      </c>
      <c r="B1211" s="50">
        <v>162.0629547626792</v>
      </c>
      <c r="C1211" s="50">
        <v>160.19895974281621</v>
      </c>
      <c r="D1211" s="50">
        <v>160.19895974281621</v>
      </c>
      <c r="E1211" s="50">
        <v>9659112.9526319467</v>
      </c>
      <c r="F1211" s="50" t="s">
        <v>1217</v>
      </c>
      <c r="G1211" s="25">
        <f t="shared" si="16"/>
        <v>5.9364796675569487E-3</v>
      </c>
    </row>
    <row r="1212" spans="1:7">
      <c r="A1212" s="50">
        <v>159.97071545466974</v>
      </c>
      <c r="B1212" s="50">
        <v>160.32259206556225</v>
      </c>
      <c r="C1212" s="50">
        <v>158.25888329357107</v>
      </c>
      <c r="D1212" s="50">
        <v>158.87228981796477</v>
      </c>
      <c r="E1212" s="50">
        <v>2541617.8635221031</v>
      </c>
      <c r="F1212" s="50" t="s">
        <v>1218</v>
      </c>
      <c r="G1212" s="25">
        <f t="shared" si="16"/>
        <v>6.9138906348209517E-3</v>
      </c>
    </row>
    <row r="1213" spans="1:7">
      <c r="A1213" s="50">
        <v>157.88798632533303</v>
      </c>
      <c r="B1213" s="50">
        <v>158.68684133384576</v>
      </c>
      <c r="C1213" s="50">
        <v>156.71823434858229</v>
      </c>
      <c r="D1213" s="50">
        <v>156.94647863672878</v>
      </c>
      <c r="E1213" s="50">
        <v>2447534.4576485776</v>
      </c>
      <c r="F1213" s="50" t="s">
        <v>1219</v>
      </c>
      <c r="G1213" s="25">
        <f t="shared" si="16"/>
        <v>5.998909289220089E-3</v>
      </c>
    </row>
    <row r="1214" spans="1:7">
      <c r="A1214" s="50">
        <v>156.44243916707194</v>
      </c>
      <c r="B1214" s="50">
        <v>157.14619238885695</v>
      </c>
      <c r="C1214" s="50">
        <v>154.5023627178268</v>
      </c>
      <c r="D1214" s="50">
        <v>155.41533987041274</v>
      </c>
      <c r="E1214" s="50">
        <v>2836803.6951025142</v>
      </c>
      <c r="F1214" s="50" t="s">
        <v>1220</v>
      </c>
      <c r="G1214" s="25">
        <f t="shared" si="16"/>
        <v>6.6087382205359813E-3</v>
      </c>
    </row>
    <row r="1215" spans="1:7">
      <c r="A1215" s="50">
        <v>156.82284631398275</v>
      </c>
      <c r="B1215" s="50">
        <v>157.11766185283864</v>
      </c>
      <c r="C1215" s="50">
        <v>151.33547321979427</v>
      </c>
      <c r="D1215" s="50">
        <v>152.23894019370746</v>
      </c>
      <c r="E1215" s="50">
        <v>3871016.6513912617</v>
      </c>
      <c r="F1215" s="50" t="s">
        <v>1221</v>
      </c>
      <c r="G1215" s="25">
        <f t="shared" si="16"/>
        <v>3.0109945027486207E-2</v>
      </c>
    </row>
    <row r="1216" spans="1:7">
      <c r="A1216" s="50">
        <v>150.4224960672083</v>
      </c>
      <c r="B1216" s="50">
        <v>151.84902286812385</v>
      </c>
      <c r="C1216" s="50">
        <v>149.54755962931344</v>
      </c>
      <c r="D1216" s="50">
        <v>150.92653553686515</v>
      </c>
      <c r="E1216" s="50">
        <v>7255865.7806897806</v>
      </c>
      <c r="F1216" s="50" t="s">
        <v>1222</v>
      </c>
      <c r="G1216" s="25">
        <f t="shared" si="16"/>
        <v>-3.3396345305609643E-3</v>
      </c>
    </row>
    <row r="1217" spans="1:7">
      <c r="A1217" s="50">
        <v>154.18852682162537</v>
      </c>
      <c r="B1217" s="50">
        <v>157.86620801617238</v>
      </c>
      <c r="C1217" s="50">
        <v>152.66689823398212</v>
      </c>
      <c r="D1217" s="50">
        <v>157.84043543196918</v>
      </c>
      <c r="E1217" s="50">
        <v>4410610.0887567392</v>
      </c>
      <c r="F1217" s="50" t="s">
        <v>1223</v>
      </c>
      <c r="G1217" s="25">
        <f t="shared" si="16"/>
        <v>-2.313671145387719E-2</v>
      </c>
    </row>
    <row r="1218" spans="1:7">
      <c r="A1218" s="50">
        <v>156.61362238318182</v>
      </c>
      <c r="B1218" s="50">
        <v>158.48712758171757</v>
      </c>
      <c r="C1218" s="50">
        <v>156.22370505759824</v>
      </c>
      <c r="D1218" s="50">
        <v>157.65974203718653</v>
      </c>
      <c r="E1218" s="50">
        <v>3450624.9702709978</v>
      </c>
      <c r="F1218" s="50" t="s">
        <v>1224</v>
      </c>
      <c r="G1218" s="25">
        <f t="shared" si="16"/>
        <v>-6.6352997949087333E-3</v>
      </c>
    </row>
    <row r="1219" spans="1:7">
      <c r="A1219" s="50">
        <v>158.1257407921523</v>
      </c>
      <c r="B1219" s="50">
        <v>158.72488204853681</v>
      </c>
      <c r="C1219" s="50">
        <v>155.77672665997804</v>
      </c>
      <c r="D1219" s="50">
        <v>155.90035898272404</v>
      </c>
      <c r="E1219" s="50">
        <v>3918369.0740423095</v>
      </c>
      <c r="F1219" s="50" t="s">
        <v>1225</v>
      </c>
      <c r="G1219" s="25">
        <f t="shared" si="16"/>
        <v>1.4274385408405976E-2</v>
      </c>
    </row>
    <row r="1220" spans="1:7">
      <c r="A1220" s="50">
        <v>155.78623683865078</v>
      </c>
      <c r="B1220" s="50">
        <v>156.80382595663721</v>
      </c>
      <c r="C1220" s="50">
        <v>155.12052433155688</v>
      </c>
      <c r="D1220" s="50">
        <v>156.25223559361655</v>
      </c>
      <c r="E1220" s="50">
        <v>2235204.0620292304</v>
      </c>
      <c r="F1220" s="50" t="s">
        <v>1226</v>
      </c>
      <c r="G1220" s="25">
        <f t="shared" si="16"/>
        <v>-2.9823493609252294E-3</v>
      </c>
    </row>
    <row r="1221" spans="1:7">
      <c r="A1221" s="50">
        <v>156.45194934574471</v>
      </c>
      <c r="B1221" s="50">
        <v>156.48047988176302</v>
      </c>
      <c r="C1221" s="50">
        <v>154.54991361119065</v>
      </c>
      <c r="D1221" s="50">
        <v>155.01591236615639</v>
      </c>
      <c r="E1221" s="50">
        <v>1714083.4637180821</v>
      </c>
      <c r="F1221" s="50" t="s">
        <v>1227</v>
      </c>
      <c r="G1221" s="25">
        <f t="shared" si="16"/>
        <v>9.2638036809815638E-3</v>
      </c>
    </row>
    <row r="1222" spans="1:7">
      <c r="A1222" s="50">
        <v>154.28362860835307</v>
      </c>
      <c r="B1222" s="50">
        <v>157.11766185283864</v>
      </c>
      <c r="C1222" s="50">
        <v>154.1790166429526</v>
      </c>
      <c r="D1222" s="50">
        <v>157.08913131682033</v>
      </c>
      <c r="E1222" s="50">
        <v>3180569.055616783</v>
      </c>
      <c r="F1222" s="50" t="s">
        <v>1228</v>
      </c>
      <c r="G1222" s="25">
        <f t="shared" si="16"/>
        <v>-1.7859305000605508E-2</v>
      </c>
    </row>
    <row r="1223" spans="1:7">
      <c r="A1223" s="50">
        <v>156.05252184148836</v>
      </c>
      <c r="B1223" s="50">
        <v>158.00210846940627</v>
      </c>
      <c r="C1223" s="50">
        <v>155.77672665997804</v>
      </c>
      <c r="D1223" s="50">
        <v>157.17472292487525</v>
      </c>
      <c r="E1223" s="50">
        <v>2839167.4782419801</v>
      </c>
      <c r="F1223" s="50" t="s">
        <v>1229</v>
      </c>
      <c r="G1223" s="25">
        <f t="shared" si="16"/>
        <v>-7.1398317904035613E-3</v>
      </c>
    </row>
    <row r="1224" spans="1:7">
      <c r="A1224" s="50">
        <v>158.35398508029877</v>
      </c>
      <c r="B1224" s="50">
        <v>158.95312633668328</v>
      </c>
      <c r="C1224" s="50">
        <v>155.61505362254093</v>
      </c>
      <c r="D1224" s="50">
        <v>156.78471049750496</v>
      </c>
      <c r="E1224" s="50">
        <v>2614573.3803292224</v>
      </c>
      <c r="F1224" s="50" t="s">
        <v>1230</v>
      </c>
      <c r="G1224" s="25">
        <f t="shared" si="16"/>
        <v>1.0009104700415161E-2</v>
      </c>
    </row>
    <row r="1225" spans="1:7">
      <c r="A1225" s="50">
        <v>157.79288453860531</v>
      </c>
      <c r="B1225" s="50">
        <v>158.48712758171757</v>
      </c>
      <c r="C1225" s="50">
        <v>157.26982471160295</v>
      </c>
      <c r="D1225" s="50">
        <v>157.51708935709499</v>
      </c>
      <c r="E1225" s="50">
        <v>2646052.2841753885</v>
      </c>
      <c r="F1225" s="50" t="s">
        <v>1231</v>
      </c>
      <c r="G1225" s="25">
        <f t="shared" si="16"/>
        <v>1.7508905391534491E-3</v>
      </c>
    </row>
    <row r="1226" spans="1:7">
      <c r="A1226" s="50">
        <v>156.91794810071045</v>
      </c>
      <c r="B1226" s="50">
        <v>157.61219114382268</v>
      </c>
      <c r="C1226" s="50">
        <v>155.32023808368504</v>
      </c>
      <c r="D1226" s="50">
        <v>156.91794810071045</v>
      </c>
      <c r="E1226" s="50">
        <v>3406101.0959496489</v>
      </c>
      <c r="F1226" s="50" t="s">
        <v>1232</v>
      </c>
      <c r="G1226" s="25">
        <f t="shared" ref="G1226:G1289" si="17">A1226/D1226-1</f>
        <v>0</v>
      </c>
    </row>
    <row r="1227" spans="1:7">
      <c r="A1227" s="50">
        <v>156.46145952441748</v>
      </c>
      <c r="B1227" s="50">
        <v>157.3173756049668</v>
      </c>
      <c r="C1227" s="50">
        <v>154.84472915004653</v>
      </c>
      <c r="D1227" s="50">
        <v>155.66260451590477</v>
      </c>
      <c r="E1227" s="50">
        <v>2581271.166890603</v>
      </c>
      <c r="F1227" s="50" t="s">
        <v>1233</v>
      </c>
      <c r="G1227" s="25">
        <f t="shared" si="17"/>
        <v>5.1319648093841597E-3</v>
      </c>
    </row>
    <row r="1228" spans="1:7">
      <c r="A1228" s="50">
        <v>156.08105237750667</v>
      </c>
      <c r="B1228" s="50">
        <v>157.57415042913161</v>
      </c>
      <c r="C1228" s="50">
        <v>155.32023808368504</v>
      </c>
      <c r="D1228" s="50">
        <v>156.54705113247243</v>
      </c>
      <c r="E1228" s="50">
        <v>3558982.5559124267</v>
      </c>
      <c r="F1228" s="50" t="s">
        <v>1234</v>
      </c>
      <c r="G1228" s="25">
        <f t="shared" si="17"/>
        <v>-2.9767328837860818E-3</v>
      </c>
    </row>
    <row r="1229" spans="1:7">
      <c r="A1229" s="50">
        <v>155.73868594528693</v>
      </c>
      <c r="B1229" s="50">
        <v>156.07154219883392</v>
      </c>
      <c r="C1229" s="50">
        <v>153.63693645860471</v>
      </c>
      <c r="D1229" s="50">
        <v>154.54991361119065</v>
      </c>
      <c r="E1229" s="50">
        <v>4025137.8356963126</v>
      </c>
      <c r="F1229" s="50" t="s">
        <v>1235</v>
      </c>
      <c r="G1229" s="25">
        <f t="shared" si="17"/>
        <v>7.6918343486553908E-3</v>
      </c>
    </row>
    <row r="1230" spans="1:7">
      <c r="A1230" s="50">
        <v>152.28649108707131</v>
      </c>
      <c r="B1230" s="50">
        <v>152.7667551100462</v>
      </c>
      <c r="C1230" s="50">
        <v>151.07869839562949</v>
      </c>
      <c r="D1230" s="50">
        <v>152.41012340981732</v>
      </c>
      <c r="E1230" s="50">
        <v>2562543.8636370967</v>
      </c>
      <c r="F1230" s="50" t="s">
        <v>1236</v>
      </c>
      <c r="G1230" s="25">
        <f t="shared" si="17"/>
        <v>-8.111818295269968E-4</v>
      </c>
    </row>
    <row r="1231" spans="1:7">
      <c r="A1231" s="50">
        <v>151.91559411883327</v>
      </c>
      <c r="B1231" s="50">
        <v>152.43865394583563</v>
      </c>
      <c r="C1231" s="50">
        <v>151.06918821695669</v>
      </c>
      <c r="D1231" s="50">
        <v>152.14383840697974</v>
      </c>
      <c r="E1231" s="50">
        <v>2974042.9673505719</v>
      </c>
      <c r="F1231" s="50" t="s">
        <v>1237</v>
      </c>
      <c r="G1231" s="25">
        <f t="shared" si="17"/>
        <v>-1.5001875234402773E-3</v>
      </c>
    </row>
    <row r="1232" spans="1:7">
      <c r="A1232" s="50">
        <v>150.81241339279191</v>
      </c>
      <c r="B1232" s="50">
        <v>151.57322768661354</v>
      </c>
      <c r="C1232" s="50">
        <v>149.6616817733867</v>
      </c>
      <c r="D1232" s="50">
        <v>150.41298588853556</v>
      </c>
      <c r="E1232" s="50">
        <v>3923856.8784039067</v>
      </c>
      <c r="F1232" s="50" t="s">
        <v>1238</v>
      </c>
      <c r="G1232" s="25">
        <f t="shared" si="17"/>
        <v>2.6555386949924653E-3</v>
      </c>
    </row>
    <row r="1233" spans="1:7">
      <c r="A1233" s="50">
        <v>150.27033320844399</v>
      </c>
      <c r="B1233" s="50">
        <v>152.23894019370746</v>
      </c>
      <c r="C1233" s="50">
        <v>150.01355838427921</v>
      </c>
      <c r="D1233" s="50">
        <v>151.27841214775765</v>
      </c>
      <c r="E1233" s="50">
        <v>2612199.082140204</v>
      </c>
      <c r="F1233" s="50" t="s">
        <v>1239</v>
      </c>
      <c r="G1233" s="25">
        <f t="shared" si="17"/>
        <v>-6.6637329477589047E-3</v>
      </c>
    </row>
    <row r="1234" spans="1:7">
      <c r="A1234" s="50">
        <v>150.86947446482853</v>
      </c>
      <c r="B1234" s="50">
        <v>151.12149419965695</v>
      </c>
      <c r="C1234" s="50">
        <v>149.26225426913032</v>
      </c>
      <c r="D1234" s="50">
        <v>149.9755176695881</v>
      </c>
      <c r="E1234" s="50">
        <v>2057728.9526674487</v>
      </c>
      <c r="F1234" s="50" t="s">
        <v>1240</v>
      </c>
      <c r="G1234" s="25">
        <f t="shared" si="17"/>
        <v>5.9606848446418503E-3</v>
      </c>
    </row>
    <row r="1235" spans="1:7">
      <c r="A1235" s="50">
        <v>149.1861728397482</v>
      </c>
      <c r="B1235" s="50">
        <v>151.03114750226564</v>
      </c>
      <c r="C1235" s="50">
        <v>148.68774437550829</v>
      </c>
      <c r="D1235" s="50">
        <v>149.02449980231108</v>
      </c>
      <c r="E1235" s="50">
        <v>3600481.2504774397</v>
      </c>
      <c r="F1235" s="50" t="s">
        <v>1241</v>
      </c>
      <c r="G1235" s="25">
        <f t="shared" si="17"/>
        <v>1.0848755583918734E-3</v>
      </c>
    </row>
    <row r="1236" spans="1:7">
      <c r="A1236" s="50">
        <v>147.91180889759696</v>
      </c>
      <c r="B1236" s="50">
        <v>148.59749277990369</v>
      </c>
      <c r="C1236" s="50">
        <v>146.39018030995371</v>
      </c>
      <c r="D1236" s="50">
        <v>147.85474782556034</v>
      </c>
      <c r="E1236" s="50">
        <v>3187253.472617487</v>
      </c>
      <c r="F1236" s="50" t="s">
        <v>1242</v>
      </c>
      <c r="G1236" s="25">
        <f t="shared" si="17"/>
        <v>3.8592654531410808E-4</v>
      </c>
    </row>
    <row r="1237" spans="1:7">
      <c r="A1237" s="50">
        <v>147.15099460377533</v>
      </c>
      <c r="B1237" s="50">
        <v>147.19379040780279</v>
      </c>
      <c r="C1237" s="50">
        <v>144.28843082327145</v>
      </c>
      <c r="D1237" s="50">
        <v>144.62128707681842</v>
      </c>
      <c r="E1237" s="50">
        <v>3708722.1190688326</v>
      </c>
      <c r="F1237" s="50" t="s">
        <v>1243</v>
      </c>
      <c r="G1237" s="25">
        <f t="shared" si="17"/>
        <v>1.749194449924385E-2</v>
      </c>
    </row>
    <row r="1238" spans="1:7">
      <c r="A1238" s="50">
        <v>147.39825924926737</v>
      </c>
      <c r="B1238" s="50">
        <v>150.54612838995433</v>
      </c>
      <c r="C1238" s="50">
        <v>147.27462692652136</v>
      </c>
      <c r="D1238" s="50">
        <v>149.65217159471393</v>
      </c>
      <c r="E1238" s="50">
        <v>2542324.4748520502</v>
      </c>
      <c r="F1238" s="50" t="s">
        <v>1244</v>
      </c>
      <c r="G1238" s="25">
        <f t="shared" si="17"/>
        <v>-1.5061006609049299E-2</v>
      </c>
    </row>
    <row r="1239" spans="1:7">
      <c r="A1239" s="50">
        <v>149.17666266107543</v>
      </c>
      <c r="B1239" s="50">
        <v>149.6665319645098</v>
      </c>
      <c r="C1239" s="50">
        <v>148.24466515114392</v>
      </c>
      <c r="D1239" s="50">
        <v>149.35735605585805</v>
      </c>
      <c r="E1239" s="50">
        <v>1620883.32200699</v>
      </c>
      <c r="F1239" s="50" t="s">
        <v>1245</v>
      </c>
      <c r="G1239" s="25">
        <f t="shared" si="17"/>
        <v>-1.209805794332941E-3</v>
      </c>
    </row>
    <row r="1240" spans="1:7">
      <c r="A1240" s="50">
        <v>149.45245784258574</v>
      </c>
      <c r="B1240" s="50">
        <v>150.19900686839821</v>
      </c>
      <c r="C1240" s="50">
        <v>146.96079103031991</v>
      </c>
      <c r="D1240" s="50">
        <v>147.77866639617815</v>
      </c>
      <c r="E1240" s="50">
        <v>1990273.8582813905</v>
      </c>
      <c r="F1240" s="50" t="s">
        <v>1246</v>
      </c>
      <c r="G1240" s="25">
        <f t="shared" si="17"/>
        <v>1.1326340176330607E-2</v>
      </c>
    </row>
    <row r="1241" spans="1:7">
      <c r="A1241" s="50">
        <v>146.53283299004528</v>
      </c>
      <c r="B1241" s="50">
        <v>147.22707603315749</v>
      </c>
      <c r="C1241" s="50">
        <v>144.37402243132638</v>
      </c>
      <c r="D1241" s="50">
        <v>144.94463315169261</v>
      </c>
      <c r="E1241" s="50">
        <v>2386676.5053519355</v>
      </c>
      <c r="F1241" s="50" t="s">
        <v>1247</v>
      </c>
      <c r="G1241" s="25">
        <f t="shared" si="17"/>
        <v>1.0957286267305522E-2</v>
      </c>
    </row>
    <row r="1242" spans="1:7">
      <c r="A1242" s="50">
        <v>144.84002118629215</v>
      </c>
      <c r="B1242" s="50">
        <v>148.26368550848946</v>
      </c>
      <c r="C1242" s="50">
        <v>144.62128707681842</v>
      </c>
      <c r="D1242" s="50">
        <v>147.14148442510256</v>
      </c>
      <c r="E1242" s="50">
        <v>3666968.9603046421</v>
      </c>
      <c r="F1242" s="50" t="s">
        <v>1248</v>
      </c>
      <c r="G1242" s="25">
        <f t="shared" si="17"/>
        <v>-1.5641158221302964E-2</v>
      </c>
    </row>
    <row r="1243" spans="1:7">
      <c r="A1243" s="50">
        <v>146.86568924359221</v>
      </c>
      <c r="B1243" s="50">
        <v>150.06110927764306</v>
      </c>
      <c r="C1243" s="50">
        <v>146.12389530711613</v>
      </c>
      <c r="D1243" s="50">
        <v>148.79625551416461</v>
      </c>
      <c r="E1243" s="50">
        <v>4100960.8065164755</v>
      </c>
      <c r="F1243" s="50" t="s">
        <v>1249</v>
      </c>
      <c r="G1243" s="25">
        <f t="shared" si="17"/>
        <v>-1.2974562188418859E-2</v>
      </c>
    </row>
    <row r="1244" spans="1:7">
      <c r="A1244" s="50">
        <v>150.90751517951961</v>
      </c>
      <c r="B1244" s="50">
        <v>152.81906109274644</v>
      </c>
      <c r="C1244" s="50">
        <v>150.73633196340975</v>
      </c>
      <c r="D1244" s="50">
        <v>151.92510429750604</v>
      </c>
      <c r="E1244" s="50">
        <v>3141518.2645876575</v>
      </c>
      <c r="F1244" s="50" t="s">
        <v>1250</v>
      </c>
      <c r="G1244" s="25">
        <f t="shared" si="17"/>
        <v>-6.6979655712050556E-3</v>
      </c>
    </row>
    <row r="1245" spans="1:7">
      <c r="A1245" s="50">
        <v>151.19282053970272</v>
      </c>
      <c r="B1245" s="50">
        <v>151.45910554254027</v>
      </c>
      <c r="C1245" s="50">
        <v>147.73111550281433</v>
      </c>
      <c r="D1245" s="50">
        <v>147.98789032697914</v>
      </c>
      <c r="E1245" s="50">
        <v>2752821.045829392</v>
      </c>
      <c r="F1245" s="50" t="s">
        <v>1251</v>
      </c>
      <c r="G1245" s="25">
        <f t="shared" si="17"/>
        <v>2.1656705867232118E-2</v>
      </c>
    </row>
    <row r="1246" spans="1:7">
      <c r="A1246" s="50">
        <v>149.19568301842094</v>
      </c>
      <c r="B1246" s="50">
        <v>149.79006918546909</v>
      </c>
      <c r="C1246" s="50">
        <v>146.47577191800863</v>
      </c>
      <c r="D1246" s="50">
        <v>149.17666266107543</v>
      </c>
      <c r="E1246" s="50">
        <v>2942978.3564567855</v>
      </c>
      <c r="F1246" s="50" t="s">
        <v>1252</v>
      </c>
      <c r="G1246" s="25">
        <f t="shared" si="17"/>
        <v>1.2750223128876748E-4</v>
      </c>
    </row>
    <row r="1247" spans="1:7">
      <c r="A1247" s="50">
        <v>148.7296842634552</v>
      </c>
      <c r="B1247" s="50">
        <v>149.05303033832939</v>
      </c>
      <c r="C1247" s="50">
        <v>146.76107727819175</v>
      </c>
      <c r="D1247" s="50">
        <v>147.28413710519411</v>
      </c>
      <c r="E1247" s="50">
        <v>3156237.2309516431</v>
      </c>
      <c r="F1247" s="50" t="s">
        <v>1253</v>
      </c>
      <c r="G1247" s="25">
        <f t="shared" si="17"/>
        <v>9.814683282753256E-3</v>
      </c>
    </row>
    <row r="1248" spans="1:7">
      <c r="A1248" s="50">
        <v>146.96079103031991</v>
      </c>
      <c r="B1248" s="50">
        <v>148.11152264972515</v>
      </c>
      <c r="C1248" s="50">
        <v>145.35366593640848</v>
      </c>
      <c r="D1248" s="50">
        <v>146.91324013695606</v>
      </c>
      <c r="E1248" s="50">
        <v>3181073.7779953163</v>
      </c>
      <c r="F1248" s="50" t="s">
        <v>1254</v>
      </c>
      <c r="G1248" s="25">
        <f t="shared" si="17"/>
        <v>3.2366649404447223E-4</v>
      </c>
    </row>
    <row r="1249" spans="1:7">
      <c r="A1249" s="50">
        <v>147.21756585448472</v>
      </c>
      <c r="B1249" s="50">
        <v>148.40633818858103</v>
      </c>
      <c r="C1249" s="50">
        <v>146.46626173933586</v>
      </c>
      <c r="D1249" s="50">
        <v>147.01785210235656</v>
      </c>
      <c r="E1249" s="50">
        <v>2866827.3160905754</v>
      </c>
      <c r="F1249" s="50" t="s">
        <v>1255</v>
      </c>
      <c r="G1249" s="25">
        <f t="shared" si="17"/>
        <v>1.3584319813699786E-3</v>
      </c>
    </row>
    <row r="1250" spans="1:7">
      <c r="A1250" s="50">
        <v>145.83858994693301</v>
      </c>
      <c r="B1250" s="50">
        <v>146.49479227535417</v>
      </c>
      <c r="C1250" s="50">
        <v>145.011204402402</v>
      </c>
      <c r="D1250" s="50">
        <v>146.07634441375228</v>
      </c>
      <c r="E1250" s="50">
        <v>2852571.0119069126</v>
      </c>
      <c r="F1250" s="50" t="s">
        <v>1256</v>
      </c>
      <c r="G1250" s="25">
        <f t="shared" si="17"/>
        <v>-1.6276041666667407E-3</v>
      </c>
    </row>
    <row r="1251" spans="1:7">
      <c r="A1251" s="50">
        <v>147.05589281704763</v>
      </c>
      <c r="B1251" s="50">
        <v>147.4838508573223</v>
      </c>
      <c r="C1251" s="50">
        <v>144.64030743416396</v>
      </c>
      <c r="D1251" s="50">
        <v>146.31409888057152</v>
      </c>
      <c r="E1251" s="50">
        <v>2771959.4875204121</v>
      </c>
      <c r="F1251" s="50" t="s">
        <v>1257</v>
      </c>
      <c r="G1251" s="25">
        <f t="shared" si="17"/>
        <v>5.0698732531688773E-3</v>
      </c>
    </row>
    <row r="1252" spans="1:7">
      <c r="A1252" s="50">
        <v>145.06826547443862</v>
      </c>
      <c r="B1252" s="50">
        <v>145.93844682299712</v>
      </c>
      <c r="C1252" s="50">
        <v>142.12011008587982</v>
      </c>
      <c r="D1252" s="50">
        <v>143.29937224130336</v>
      </c>
      <c r="E1252" s="50">
        <v>2717567.2391937762</v>
      </c>
      <c r="F1252" s="50" t="s">
        <v>1258</v>
      </c>
      <c r="G1252" s="25">
        <f t="shared" si="17"/>
        <v>1.2344040350411367E-2</v>
      </c>
    </row>
    <row r="1253" spans="1:7">
      <c r="A1253" s="50">
        <v>142.9950465237747</v>
      </c>
      <c r="B1253" s="50">
        <v>143.48957581475875</v>
      </c>
      <c r="C1253" s="50">
        <v>141.55900954418638</v>
      </c>
      <c r="D1253" s="50">
        <v>143.31839259864887</v>
      </c>
      <c r="E1253" s="50">
        <v>2830723.8934510951</v>
      </c>
      <c r="F1253" s="50" t="s">
        <v>1259</v>
      </c>
      <c r="G1253" s="25">
        <f t="shared" si="17"/>
        <v>-2.2561380225611938E-3</v>
      </c>
    </row>
    <row r="1254" spans="1:7">
      <c r="A1254" s="50">
        <v>142.97602616642916</v>
      </c>
      <c r="B1254" s="50">
        <v>143.71782010290525</v>
      </c>
      <c r="C1254" s="50">
        <v>138.43016076084493</v>
      </c>
      <c r="D1254" s="50">
        <v>139.60942291626847</v>
      </c>
      <c r="E1254" s="50">
        <v>5069360.0676543545</v>
      </c>
      <c r="F1254" s="50" t="s">
        <v>1260</v>
      </c>
      <c r="G1254" s="25">
        <f t="shared" si="17"/>
        <v>2.4114441416893673E-2</v>
      </c>
    </row>
    <row r="1255" spans="1:7">
      <c r="A1255" s="50">
        <v>137.26040878409421</v>
      </c>
      <c r="B1255" s="50">
        <v>137.87857039782423</v>
      </c>
      <c r="C1255" s="50">
        <v>133.78919356853302</v>
      </c>
      <c r="D1255" s="50">
        <v>134.60706893439126</v>
      </c>
      <c r="E1255" s="50">
        <v>6730162.7237835294</v>
      </c>
      <c r="F1255" s="50" t="s">
        <v>1261</v>
      </c>
      <c r="G1255" s="25">
        <f t="shared" si="17"/>
        <v>1.9711742263671228E-2</v>
      </c>
    </row>
    <row r="1256" spans="1:7">
      <c r="A1256" s="50">
        <v>139.95178934848818</v>
      </c>
      <c r="B1256" s="50">
        <v>141.62558079489577</v>
      </c>
      <c r="C1256" s="50">
        <v>138.72497629970081</v>
      </c>
      <c r="D1256" s="50">
        <v>140.34170667407176</v>
      </c>
      <c r="E1256" s="50">
        <v>3414558.3503049524</v>
      </c>
      <c r="F1256" s="50" t="s">
        <v>1262</v>
      </c>
      <c r="G1256" s="25">
        <f t="shared" si="17"/>
        <v>-2.7783424815341906E-3</v>
      </c>
    </row>
    <row r="1257" spans="1:7">
      <c r="A1257" s="50">
        <v>139.97080970583374</v>
      </c>
      <c r="B1257" s="50">
        <v>140.16101327928914</v>
      </c>
      <c r="C1257" s="50">
        <v>136.01457537796128</v>
      </c>
      <c r="D1257" s="50">
        <v>136.94657288789276</v>
      </c>
      <c r="E1257" s="50">
        <v>2272987.7895872458</v>
      </c>
      <c r="F1257" s="50" t="s">
        <v>1263</v>
      </c>
      <c r="G1257" s="25">
        <f t="shared" si="17"/>
        <v>2.2083333333333455E-2</v>
      </c>
    </row>
    <row r="1258" spans="1:7">
      <c r="A1258" s="50">
        <v>137.9926925418975</v>
      </c>
      <c r="B1258" s="50">
        <v>140.27513542336237</v>
      </c>
      <c r="C1258" s="50">
        <v>137.43159200020403</v>
      </c>
      <c r="D1258" s="50">
        <v>139.99934024185205</v>
      </c>
      <c r="E1258" s="50">
        <v>2657039.4594530915</v>
      </c>
      <c r="F1258" s="50" t="s">
        <v>1264</v>
      </c>
      <c r="G1258" s="25">
        <f t="shared" si="17"/>
        <v>-1.4333265403165707E-2</v>
      </c>
    </row>
    <row r="1259" spans="1:7">
      <c r="A1259" s="50">
        <v>141.26419400533049</v>
      </c>
      <c r="B1259" s="50">
        <v>142.18192624725282</v>
      </c>
      <c r="C1259" s="50">
        <v>140.56044078354549</v>
      </c>
      <c r="D1259" s="50">
        <v>141.88235561906058</v>
      </c>
      <c r="E1259" s="50">
        <v>2375497.9561723717</v>
      </c>
      <c r="F1259" s="50" t="s">
        <v>1265</v>
      </c>
      <c r="G1259" s="25">
        <f t="shared" si="17"/>
        <v>-4.3568603793820992E-3</v>
      </c>
    </row>
    <row r="1260" spans="1:7">
      <c r="A1260" s="50">
        <v>142.6431699128822</v>
      </c>
      <c r="B1260" s="50">
        <v>143.0806381318296</v>
      </c>
      <c r="C1260" s="50">
        <v>141.40684668542204</v>
      </c>
      <c r="D1260" s="50">
        <v>142.37688491004462</v>
      </c>
      <c r="E1260" s="50">
        <v>3659186.7721306272</v>
      </c>
      <c r="F1260" s="50" t="s">
        <v>1266</v>
      </c>
      <c r="G1260" s="25">
        <f t="shared" si="17"/>
        <v>1.8702825462562078E-3</v>
      </c>
    </row>
    <row r="1261" spans="1:7">
      <c r="A1261" s="50">
        <v>141.25468382665773</v>
      </c>
      <c r="B1261" s="50">
        <v>141.31174489869434</v>
      </c>
      <c r="C1261" s="50">
        <v>138.37309968880831</v>
      </c>
      <c r="D1261" s="50">
        <v>140.28464560203514</v>
      </c>
      <c r="E1261" s="50">
        <v>3050658.7729070149</v>
      </c>
      <c r="F1261" s="50" t="s">
        <v>1267</v>
      </c>
      <c r="G1261" s="25">
        <f t="shared" si="17"/>
        <v>6.9147854382753948E-3</v>
      </c>
    </row>
    <row r="1262" spans="1:7">
      <c r="A1262" s="50">
        <v>140.19905399398021</v>
      </c>
      <c r="B1262" s="50">
        <v>141.46390775745866</v>
      </c>
      <c r="C1262" s="50">
        <v>138.5633032622637</v>
      </c>
      <c r="D1262" s="50">
        <v>138.6679152276642</v>
      </c>
      <c r="E1262" s="50">
        <v>2252171.145987601</v>
      </c>
      <c r="F1262" s="50" t="s">
        <v>1268</v>
      </c>
      <c r="G1262" s="25">
        <f t="shared" si="17"/>
        <v>1.1041766682669207E-2</v>
      </c>
    </row>
    <row r="1263" spans="1:7">
      <c r="A1263" s="50">
        <v>138.83909844377408</v>
      </c>
      <c r="B1263" s="50">
        <v>139.42397443214944</v>
      </c>
      <c r="C1263" s="50">
        <v>136.79441002912844</v>
      </c>
      <c r="D1263" s="50">
        <v>139.3716684494492</v>
      </c>
      <c r="E1263" s="50">
        <v>2242249.1452295952</v>
      </c>
      <c r="F1263" s="50" t="s">
        <v>1269</v>
      </c>
      <c r="G1263" s="25">
        <f t="shared" si="17"/>
        <v>-3.8212214261342803E-3</v>
      </c>
    </row>
    <row r="1264" spans="1:7">
      <c r="A1264" s="50">
        <v>140.34170667407176</v>
      </c>
      <c r="B1264" s="50">
        <v>140.53191024752718</v>
      </c>
      <c r="C1264" s="50">
        <v>139.2385259480304</v>
      </c>
      <c r="D1264" s="50">
        <v>140.04689113521587</v>
      </c>
      <c r="E1264" s="50">
        <v>1965276.4309795594</v>
      </c>
      <c r="F1264" s="50" t="s">
        <v>1270</v>
      </c>
      <c r="G1264" s="25">
        <f t="shared" si="17"/>
        <v>2.1051201955724075E-3</v>
      </c>
    </row>
    <row r="1265" spans="1:7">
      <c r="A1265" s="50">
        <v>140.54142042619995</v>
      </c>
      <c r="B1265" s="50">
        <v>141.1690922186028</v>
      </c>
      <c r="C1265" s="50">
        <v>139.50481095086798</v>
      </c>
      <c r="D1265" s="50">
        <v>140.95035810912907</v>
      </c>
      <c r="E1265" s="50">
        <v>1875223.4435996155</v>
      </c>
      <c r="F1265" s="50" t="s">
        <v>1271</v>
      </c>
      <c r="G1265" s="25">
        <f t="shared" si="17"/>
        <v>-2.9012887119627129E-3</v>
      </c>
    </row>
    <row r="1266" spans="1:7">
      <c r="A1266" s="50">
        <v>139.83766720441494</v>
      </c>
      <c r="B1266" s="50">
        <v>139.95178934848818</v>
      </c>
      <c r="C1266" s="50">
        <v>137.59326503764115</v>
      </c>
      <c r="D1266" s="50">
        <v>139.60942291626847</v>
      </c>
      <c r="E1266" s="50">
        <v>2414013.5311792605</v>
      </c>
      <c r="F1266" s="50" t="s">
        <v>1272</v>
      </c>
      <c r="G1266" s="25">
        <f t="shared" si="17"/>
        <v>1.6348773841960984E-3</v>
      </c>
    </row>
    <row r="1267" spans="1:7">
      <c r="A1267" s="50">
        <v>139.92325881246987</v>
      </c>
      <c r="B1267" s="50">
        <v>141.09301078922064</v>
      </c>
      <c r="C1267" s="50">
        <v>138.58232361960927</v>
      </c>
      <c r="D1267" s="50">
        <v>140.19905399398021</v>
      </c>
      <c r="E1267" s="50">
        <v>2523194.4452006724</v>
      </c>
      <c r="F1267" s="50" t="s">
        <v>1273</v>
      </c>
      <c r="G1267" s="25">
        <f t="shared" si="17"/>
        <v>-1.9671686338353922E-3</v>
      </c>
    </row>
    <row r="1268" spans="1:7">
      <c r="A1268" s="50">
        <v>138.99126130253839</v>
      </c>
      <c r="B1268" s="50">
        <v>139.35264809210366</v>
      </c>
      <c r="C1268" s="50">
        <v>137.30795967745803</v>
      </c>
      <c r="D1268" s="50">
        <v>138.82958826510128</v>
      </c>
      <c r="E1268" s="50">
        <v>2998019.3833408277</v>
      </c>
      <c r="F1268" s="50" t="s">
        <v>1274</v>
      </c>
      <c r="G1268" s="25">
        <f t="shared" si="17"/>
        <v>1.1645430880944385E-3</v>
      </c>
    </row>
    <row r="1269" spans="1:7">
      <c r="A1269" s="50">
        <v>138.90566969448346</v>
      </c>
      <c r="B1269" s="50">
        <v>140.25611506601683</v>
      </c>
      <c r="C1269" s="50">
        <v>138.4777116542088</v>
      </c>
      <c r="D1269" s="50">
        <v>139.71403488166894</v>
      </c>
      <c r="E1269" s="50">
        <v>3112539.8395251427</v>
      </c>
      <c r="F1269" s="50" t="s">
        <v>1275</v>
      </c>
      <c r="G1269" s="25">
        <f t="shared" si="17"/>
        <v>-5.7858552855489798E-3</v>
      </c>
    </row>
    <row r="1270" spans="1:7">
      <c r="A1270" s="50">
        <v>137.48865307224065</v>
      </c>
      <c r="B1270" s="50">
        <v>137.5457141442773</v>
      </c>
      <c r="C1270" s="50">
        <v>135.2394958161305</v>
      </c>
      <c r="D1270" s="50">
        <v>135.36788322821289</v>
      </c>
      <c r="E1270" s="50">
        <v>2764792.4297452355</v>
      </c>
      <c r="F1270" s="50" t="s">
        <v>1276</v>
      </c>
      <c r="G1270" s="25">
        <f t="shared" si="17"/>
        <v>1.5666713502880292E-2</v>
      </c>
    </row>
    <row r="1271" spans="1:7">
      <c r="A1271" s="50">
        <v>134.51196714766357</v>
      </c>
      <c r="B1271" s="50">
        <v>136.24281966610775</v>
      </c>
      <c r="C1271" s="50">
        <v>134.42637553960861</v>
      </c>
      <c r="D1271" s="50">
        <v>135.97653466327017</v>
      </c>
      <c r="E1271" s="50">
        <v>3109618.7587593794</v>
      </c>
      <c r="F1271" s="50" t="s">
        <v>1277</v>
      </c>
      <c r="G1271" s="25">
        <f t="shared" si="17"/>
        <v>-1.0770737166037048E-2</v>
      </c>
    </row>
    <row r="1272" spans="1:7">
      <c r="A1272" s="50">
        <v>136.05261609265233</v>
      </c>
      <c r="B1272" s="50">
        <v>136.9913023420894</v>
      </c>
      <c r="C1272" s="50">
        <v>135.21822831537494</v>
      </c>
      <c r="D1272" s="50">
        <v>135.49319701470498</v>
      </c>
      <c r="E1272" s="50">
        <v>2145749.6487328941</v>
      </c>
      <c r="F1272" s="50" t="s">
        <v>1278</v>
      </c>
      <c r="G1272" s="25">
        <f t="shared" si="17"/>
        <v>4.128761371588574E-3</v>
      </c>
    </row>
    <row r="1273" spans="1:7">
      <c r="A1273" s="50">
        <v>134.99066801248108</v>
      </c>
      <c r="B1273" s="50">
        <v>135.65438556258812</v>
      </c>
      <c r="C1273" s="50">
        <v>133.03744207930899</v>
      </c>
      <c r="D1273" s="50">
        <v>134.6208825202786</v>
      </c>
      <c r="E1273" s="50">
        <v>2341964.8911639559</v>
      </c>
      <c r="F1273" s="50" t="s">
        <v>1279</v>
      </c>
      <c r="G1273" s="25">
        <f t="shared" si="17"/>
        <v>2.7468657557401244E-3</v>
      </c>
    </row>
    <row r="1274" spans="1:7">
      <c r="A1274" s="50">
        <v>136.28017639554616</v>
      </c>
      <c r="B1274" s="50">
        <v>136.51721837772723</v>
      </c>
      <c r="C1274" s="50">
        <v>133.73965524732222</v>
      </c>
      <c r="D1274" s="50">
        <v>136.28965807483343</v>
      </c>
      <c r="E1274" s="50">
        <v>2834462.038402705</v>
      </c>
      <c r="F1274" s="50" t="s">
        <v>1280</v>
      </c>
      <c r="G1274" s="25">
        <f t="shared" si="17"/>
        <v>-6.9570057047552147E-5</v>
      </c>
    </row>
    <row r="1275" spans="1:7">
      <c r="A1275" s="50">
        <v>134.90533289889589</v>
      </c>
      <c r="B1275" s="50">
        <v>135.14237488107699</v>
      </c>
      <c r="C1275" s="50">
        <v>129.67144593233766</v>
      </c>
      <c r="D1275" s="50">
        <v>130.7997657675196</v>
      </c>
      <c r="E1275" s="50">
        <v>2917824.9086342943</v>
      </c>
      <c r="F1275" s="50" t="s">
        <v>1281</v>
      </c>
      <c r="G1275" s="25">
        <f t="shared" si="17"/>
        <v>3.1388184124682805E-2</v>
      </c>
    </row>
    <row r="1276" spans="1:7">
      <c r="A1276" s="50">
        <v>131.24540469402001</v>
      </c>
      <c r="B1276" s="50">
        <v>132.78143673855342</v>
      </c>
      <c r="C1276" s="50">
        <v>130.48137097705398</v>
      </c>
      <c r="D1276" s="50">
        <v>130.8187291260941</v>
      </c>
      <c r="E1276" s="50">
        <v>2783183.1472621709</v>
      </c>
      <c r="F1276" s="50" t="s">
        <v>1282</v>
      </c>
      <c r="G1276" s="25">
        <f t="shared" si="17"/>
        <v>3.2615786040441908E-3</v>
      </c>
    </row>
    <row r="1277" spans="1:7">
      <c r="A1277" s="50">
        <v>129.02669174080515</v>
      </c>
      <c r="B1277" s="50">
        <v>132.2694260570423</v>
      </c>
      <c r="C1277" s="50">
        <v>128.12119136887341</v>
      </c>
      <c r="D1277" s="50">
        <v>131.73845201695667</v>
      </c>
      <c r="E1277" s="50">
        <v>5173549.8020902341</v>
      </c>
      <c r="F1277" s="50" t="s">
        <v>1283</v>
      </c>
      <c r="G1277" s="25">
        <f t="shared" si="17"/>
        <v>-2.0584424931624934E-2</v>
      </c>
    </row>
    <row r="1278" spans="1:7">
      <c r="A1278" s="50">
        <v>132.69610162496824</v>
      </c>
      <c r="B1278" s="50">
        <v>133.68219627084153</v>
      </c>
      <c r="C1278" s="50">
        <v>131.61519018622252</v>
      </c>
      <c r="D1278" s="50">
        <v>132.25994437775506</v>
      </c>
      <c r="E1278" s="50">
        <v>2398434.8458818272</v>
      </c>
      <c r="F1278" s="50" t="s">
        <v>1284</v>
      </c>
      <c r="G1278" s="25">
        <f t="shared" si="17"/>
        <v>3.2977274356584818E-3</v>
      </c>
    </row>
    <row r="1279" spans="1:7">
      <c r="A1279" s="50">
        <v>133.41670925079873</v>
      </c>
      <c r="B1279" s="50">
        <v>134.58295580312964</v>
      </c>
      <c r="C1279" s="50">
        <v>132.49300405463549</v>
      </c>
      <c r="D1279" s="50">
        <v>134.54502908598067</v>
      </c>
      <c r="E1279" s="50">
        <v>5377014.8151492151</v>
      </c>
      <c r="F1279" s="50" t="s">
        <v>1285</v>
      </c>
      <c r="G1279" s="25">
        <f t="shared" si="17"/>
        <v>-8.3861874559548744E-3</v>
      </c>
    </row>
    <row r="1280" spans="1:7">
      <c r="A1280" s="50">
        <v>135.18978327751321</v>
      </c>
      <c r="B1280" s="50">
        <v>137.9584336293882</v>
      </c>
      <c r="C1280" s="50">
        <v>134.70621763386379</v>
      </c>
      <c r="D1280" s="50">
        <v>137.94895195010096</v>
      </c>
      <c r="E1280" s="50">
        <v>3347289.9724314436</v>
      </c>
      <c r="F1280" s="50" t="s">
        <v>1286</v>
      </c>
      <c r="G1280" s="25">
        <f t="shared" si="17"/>
        <v>-2.0001374664925353E-2</v>
      </c>
    </row>
    <row r="1281" spans="1:7">
      <c r="A1281" s="50">
        <v>137.18093592783427</v>
      </c>
      <c r="B1281" s="50">
        <v>137.31367943785565</v>
      </c>
      <c r="C1281" s="50">
        <v>134.54502908598067</v>
      </c>
      <c r="D1281" s="50">
        <v>137.2567893621322</v>
      </c>
      <c r="E1281" s="50">
        <v>3457681.8100258927</v>
      </c>
      <c r="F1281" s="50" t="s">
        <v>1287</v>
      </c>
      <c r="G1281" s="25">
        <f t="shared" si="17"/>
        <v>-5.5263885051104467E-4</v>
      </c>
    </row>
    <row r="1282" spans="1:7">
      <c r="A1282" s="50">
        <v>135.87246418619472</v>
      </c>
      <c r="B1282" s="50">
        <v>139.6319500235866</v>
      </c>
      <c r="C1282" s="50">
        <v>135.41734358040702</v>
      </c>
      <c r="D1282" s="50">
        <v>139.61772750465576</v>
      </c>
      <c r="E1282" s="50">
        <v>4251360.8379724324</v>
      </c>
      <c r="F1282" s="50" t="s">
        <v>1288</v>
      </c>
      <c r="G1282" s="25">
        <f t="shared" si="17"/>
        <v>-2.6825127334465071E-2</v>
      </c>
    </row>
    <row r="1283" spans="1:7">
      <c r="A1283" s="50">
        <v>139.37120384318743</v>
      </c>
      <c r="B1283" s="50">
        <v>141.20116794562534</v>
      </c>
      <c r="C1283" s="50">
        <v>138.46096263161209</v>
      </c>
      <c r="D1283" s="50">
        <v>140.36678016834796</v>
      </c>
      <c r="E1283" s="50">
        <v>2729003.9260042706</v>
      </c>
      <c r="F1283" s="50" t="s">
        <v>1289</v>
      </c>
      <c r="G1283" s="25">
        <f t="shared" si="17"/>
        <v>-7.0926776546879067E-3</v>
      </c>
    </row>
    <row r="1284" spans="1:7">
      <c r="A1284" s="50">
        <v>140.84086413271012</v>
      </c>
      <c r="B1284" s="50">
        <v>142.83201678303118</v>
      </c>
      <c r="C1284" s="50">
        <v>140.34781680977349</v>
      </c>
      <c r="D1284" s="50">
        <v>141.37183817279575</v>
      </c>
      <c r="E1284" s="50">
        <v>2552386.4778426271</v>
      </c>
      <c r="F1284" s="50" t="s">
        <v>1290</v>
      </c>
      <c r="G1284" s="25">
        <f t="shared" si="17"/>
        <v>-3.755868544600971E-3</v>
      </c>
    </row>
    <row r="1285" spans="1:7">
      <c r="A1285" s="50">
        <v>140.09181146901793</v>
      </c>
      <c r="B1285" s="50">
        <v>140.15818322402862</v>
      </c>
      <c r="C1285" s="50">
        <v>137.60761149576021</v>
      </c>
      <c r="D1285" s="50">
        <v>138.43251759375036</v>
      </c>
      <c r="E1285" s="50">
        <v>3319770.5856123748</v>
      </c>
      <c r="F1285" s="50" t="s">
        <v>1291</v>
      </c>
      <c r="G1285" s="25">
        <f t="shared" si="17"/>
        <v>1.1986301369863117E-2</v>
      </c>
    </row>
    <row r="1286" spans="1:7">
      <c r="A1286" s="50">
        <v>139.1436435402936</v>
      </c>
      <c r="B1286" s="50">
        <v>140.60382215052906</v>
      </c>
      <c r="C1286" s="50">
        <v>137.90163837045762</v>
      </c>
      <c r="D1286" s="50">
        <v>138.14806721513307</v>
      </c>
      <c r="E1286" s="50">
        <v>3216516.7241031383</v>
      </c>
      <c r="F1286" s="50" t="s">
        <v>1292</v>
      </c>
      <c r="G1286" s="25">
        <f t="shared" si="17"/>
        <v>7.2065888812629098E-3</v>
      </c>
    </row>
    <row r="1287" spans="1:7">
      <c r="A1287" s="50">
        <v>137.57916645789848</v>
      </c>
      <c r="B1287" s="50">
        <v>141.35287481422128</v>
      </c>
      <c r="C1287" s="50">
        <v>136.64048020846141</v>
      </c>
      <c r="D1287" s="50">
        <v>140.87879084985912</v>
      </c>
      <c r="E1287" s="50">
        <v>6123491.2341019912</v>
      </c>
      <c r="F1287" s="50" t="s">
        <v>1293</v>
      </c>
      <c r="G1287" s="25">
        <f t="shared" si="17"/>
        <v>-2.3421725669672933E-2</v>
      </c>
    </row>
    <row r="1288" spans="1:7">
      <c r="A1288" s="50">
        <v>142.48119464940319</v>
      </c>
      <c r="B1288" s="50">
        <v>143.60951448458513</v>
      </c>
      <c r="C1288" s="50">
        <v>139.11519850243187</v>
      </c>
      <c r="D1288" s="50">
        <v>139.64617254251749</v>
      </c>
      <c r="E1288" s="50">
        <v>4517560.5188027956</v>
      </c>
      <c r="F1288" s="50" t="s">
        <v>1294</v>
      </c>
      <c r="G1288" s="25">
        <f t="shared" si="17"/>
        <v>2.0301466594242257E-2</v>
      </c>
    </row>
    <row r="1289" spans="1:7">
      <c r="A1289" s="50">
        <v>139.69358093895372</v>
      </c>
      <c r="B1289" s="50">
        <v>140.29092673405003</v>
      </c>
      <c r="C1289" s="50">
        <v>134.71569931315105</v>
      </c>
      <c r="D1289" s="50">
        <v>137.16197256925977</v>
      </c>
      <c r="E1289" s="50">
        <v>5324318.4535804112</v>
      </c>
      <c r="F1289" s="50" t="s">
        <v>1295</v>
      </c>
      <c r="G1289" s="25">
        <f t="shared" si="17"/>
        <v>1.8457071754458765E-2</v>
      </c>
    </row>
    <row r="1290" spans="1:7">
      <c r="A1290" s="50">
        <v>135.28460007038564</v>
      </c>
      <c r="B1290" s="50">
        <v>136.64048020846141</v>
      </c>
      <c r="C1290" s="50">
        <v>132.69610162496824</v>
      </c>
      <c r="D1290" s="50">
        <v>134.78207106816174</v>
      </c>
      <c r="E1290" s="50">
        <v>4705646.3995812545</v>
      </c>
      <c r="F1290" s="50" t="s">
        <v>1296</v>
      </c>
      <c r="G1290" s="25">
        <f t="shared" ref="G1290:G1353" si="18">A1290/D1290-1</f>
        <v>3.7284558564896209E-3</v>
      </c>
    </row>
    <row r="1291" spans="1:7">
      <c r="A1291" s="50">
        <v>135.19926495680045</v>
      </c>
      <c r="B1291" s="50">
        <v>136.7732237184828</v>
      </c>
      <c r="C1291" s="50">
        <v>132.74351002140446</v>
      </c>
      <c r="D1291" s="50">
        <v>132.74351002140446</v>
      </c>
      <c r="E1291" s="50">
        <v>4633876.4124951521</v>
      </c>
      <c r="F1291" s="50" t="s">
        <v>1297</v>
      </c>
      <c r="G1291" s="25">
        <f t="shared" si="18"/>
        <v>1.8499999999999961E-2</v>
      </c>
    </row>
    <row r="1292" spans="1:7">
      <c r="A1292" s="50">
        <v>132.03238407486123</v>
      </c>
      <c r="B1292" s="50">
        <v>132.92366192786207</v>
      </c>
      <c r="C1292" s="50">
        <v>130.92302759825378</v>
      </c>
      <c r="D1292" s="50">
        <v>131.07473446684966</v>
      </c>
      <c r="E1292" s="50">
        <v>3089262.8945390703</v>
      </c>
      <c r="F1292" s="50" t="s">
        <v>1298</v>
      </c>
      <c r="G1292" s="25">
        <f t="shared" si="18"/>
        <v>7.3061342592593004E-3</v>
      </c>
    </row>
    <row r="1293" spans="1:7">
      <c r="A1293" s="50">
        <v>131.5203733933501</v>
      </c>
      <c r="B1293" s="50">
        <v>132.52543139779786</v>
      </c>
      <c r="C1293" s="50">
        <v>130.96095431540274</v>
      </c>
      <c r="D1293" s="50">
        <v>131.0178443911262</v>
      </c>
      <c r="E1293" s="50">
        <v>3134582.9256202881</v>
      </c>
      <c r="F1293" s="50" t="s">
        <v>1299</v>
      </c>
      <c r="G1293" s="25">
        <f t="shared" si="18"/>
        <v>3.8355767839051147E-3</v>
      </c>
    </row>
    <row r="1294" spans="1:7">
      <c r="A1294" s="50">
        <v>128.24919403925119</v>
      </c>
      <c r="B1294" s="50">
        <v>131.0842161461369</v>
      </c>
      <c r="C1294" s="50">
        <v>126.85538718402644</v>
      </c>
      <c r="D1294" s="50">
        <v>129.99382302810392</v>
      </c>
      <c r="E1294" s="50">
        <v>3854668.4498360255</v>
      </c>
      <c r="F1294" s="50" t="s">
        <v>1300</v>
      </c>
      <c r="G1294" s="25">
        <f t="shared" si="18"/>
        <v>-1.3420860685630753E-2</v>
      </c>
    </row>
    <row r="1295" spans="1:7">
      <c r="A1295" s="50">
        <v>129.97485966952945</v>
      </c>
      <c r="B1295" s="50">
        <v>133.35033749578801</v>
      </c>
      <c r="C1295" s="50">
        <v>129.30166044013518</v>
      </c>
      <c r="D1295" s="50">
        <v>133.33137413721354</v>
      </c>
      <c r="E1295" s="50">
        <v>3804722.6558839823</v>
      </c>
      <c r="F1295" s="50" t="s">
        <v>1301</v>
      </c>
      <c r="G1295" s="25">
        <f t="shared" si="18"/>
        <v>-2.5174228417010447E-2</v>
      </c>
    </row>
    <row r="1296" spans="1:7">
      <c r="A1296" s="50">
        <v>132.63921154924478</v>
      </c>
      <c r="B1296" s="50">
        <v>133.64426955369254</v>
      </c>
      <c r="C1296" s="50">
        <v>129.71885432877389</v>
      </c>
      <c r="D1296" s="50">
        <v>130.08863982097637</v>
      </c>
      <c r="E1296" s="50">
        <v>4323640.2284936933</v>
      </c>
      <c r="F1296" s="50" t="s">
        <v>1302</v>
      </c>
      <c r="G1296" s="25">
        <f t="shared" si="18"/>
        <v>1.9606413994168959E-2</v>
      </c>
    </row>
    <row r="1297" spans="1:7">
      <c r="A1297" s="50">
        <v>129.84211615950804</v>
      </c>
      <c r="B1297" s="50">
        <v>131.14110622186035</v>
      </c>
      <c r="C1297" s="50">
        <v>127.31998946910136</v>
      </c>
      <c r="D1297" s="50">
        <v>129.3964772330076</v>
      </c>
      <c r="E1297" s="50">
        <v>5077610.0458042473</v>
      </c>
      <c r="F1297" s="50" t="s">
        <v>1303</v>
      </c>
      <c r="G1297" s="25">
        <f t="shared" si="18"/>
        <v>3.4439803619843445E-3</v>
      </c>
    </row>
    <row r="1298" spans="1:7">
      <c r="A1298" s="50">
        <v>128.90342991007097</v>
      </c>
      <c r="B1298" s="50">
        <v>129.3964772330076</v>
      </c>
      <c r="C1298" s="50">
        <v>124.5608207965136</v>
      </c>
      <c r="D1298" s="50">
        <v>124.693564306535</v>
      </c>
      <c r="E1298" s="50">
        <v>4137532.9001880269</v>
      </c>
      <c r="F1298" s="50" t="s">
        <v>1304</v>
      </c>
      <c r="G1298" s="25">
        <f t="shared" si="18"/>
        <v>3.3761691126150239E-2</v>
      </c>
    </row>
    <row r="1299" spans="1:7">
      <c r="A1299" s="50">
        <v>124.88319789227987</v>
      </c>
      <c r="B1299" s="50">
        <v>126.447674974675</v>
      </c>
      <c r="C1299" s="50">
        <v>122.77826509051189</v>
      </c>
      <c r="D1299" s="50">
        <v>122.77826509051189</v>
      </c>
      <c r="E1299" s="50">
        <v>3606649.0928468113</v>
      </c>
      <c r="F1299" s="50" t="s">
        <v>1305</v>
      </c>
      <c r="G1299" s="25">
        <f t="shared" si="18"/>
        <v>1.7144181017839211E-2</v>
      </c>
    </row>
    <row r="1300" spans="1:7">
      <c r="A1300" s="50">
        <v>121.83009716178756</v>
      </c>
      <c r="B1300" s="50">
        <v>122.15247425755383</v>
      </c>
      <c r="C1300" s="50">
        <v>119.54027161391834</v>
      </c>
      <c r="D1300" s="50">
        <v>120.88192923306323</v>
      </c>
      <c r="E1300" s="50">
        <v>2393818.5750004775</v>
      </c>
      <c r="F1300" s="50" t="s">
        <v>1306</v>
      </c>
      <c r="G1300" s="25">
        <f t="shared" si="18"/>
        <v>7.8437524511727474E-3</v>
      </c>
    </row>
    <row r="1301" spans="1:7">
      <c r="A1301" s="50">
        <v>121.89646891679827</v>
      </c>
      <c r="B1301" s="50">
        <v>124.36170553148149</v>
      </c>
      <c r="C1301" s="50">
        <v>121.78268876535134</v>
      </c>
      <c r="D1301" s="50">
        <v>123.33768416845923</v>
      </c>
      <c r="E1301" s="50">
        <v>3374329.4864492756</v>
      </c>
      <c r="F1301" s="50" t="s">
        <v>1307</v>
      </c>
      <c r="G1301" s="25">
        <f t="shared" si="18"/>
        <v>-1.1685116851168464E-2</v>
      </c>
    </row>
    <row r="1302" spans="1:7">
      <c r="A1302" s="50">
        <v>123.90658492569382</v>
      </c>
      <c r="B1302" s="50">
        <v>124.12466354930041</v>
      </c>
      <c r="C1302" s="50">
        <v>121.60253685889373</v>
      </c>
      <c r="D1302" s="50">
        <v>122.22832769185177</v>
      </c>
      <c r="E1302" s="50">
        <v>2880102.6877950793</v>
      </c>
      <c r="F1302" s="50" t="s">
        <v>1308</v>
      </c>
      <c r="G1302" s="25">
        <f t="shared" si="18"/>
        <v>1.3730509657900791E-2</v>
      </c>
    </row>
    <row r="1303" spans="1:7">
      <c r="A1303" s="50">
        <v>122.90152692124605</v>
      </c>
      <c r="B1303" s="50">
        <v>123.69798798137447</v>
      </c>
      <c r="C1303" s="50">
        <v>121.36549487671265</v>
      </c>
      <c r="D1303" s="50">
        <v>121.54564678317027</v>
      </c>
      <c r="E1303" s="50">
        <v>3030348.2251986335</v>
      </c>
      <c r="F1303" s="50" t="s">
        <v>1309</v>
      </c>
      <c r="G1303" s="25">
        <f t="shared" si="18"/>
        <v>1.1155316327326581E-2</v>
      </c>
    </row>
    <row r="1304" spans="1:7">
      <c r="A1304" s="50">
        <v>121.65942693461719</v>
      </c>
      <c r="B1304" s="50">
        <v>122.42744295688388</v>
      </c>
      <c r="C1304" s="50">
        <v>120.39836358941385</v>
      </c>
      <c r="D1304" s="50">
        <v>120.84400251591427</v>
      </c>
      <c r="E1304" s="50">
        <v>3937058.9184791739</v>
      </c>
      <c r="F1304" s="50" t="s">
        <v>1310</v>
      </c>
      <c r="G1304" s="25">
        <f t="shared" si="18"/>
        <v>6.7477442134171728E-3</v>
      </c>
    </row>
    <row r="1305" spans="1:7">
      <c r="A1305" s="50">
        <v>121.58357350031923</v>
      </c>
      <c r="B1305" s="50">
        <v>122.02921242681965</v>
      </c>
      <c r="C1305" s="50">
        <v>120.26562007939243</v>
      </c>
      <c r="D1305" s="50">
        <v>121.01467274308465</v>
      </c>
      <c r="E1305" s="50">
        <v>3089204.887936723</v>
      </c>
      <c r="F1305" s="50" t="s">
        <v>1311</v>
      </c>
      <c r="G1305" s="25">
        <f t="shared" si="18"/>
        <v>4.7010890856380438E-3</v>
      </c>
    </row>
    <row r="1306" spans="1:7">
      <c r="A1306" s="50">
        <v>120.11391321079655</v>
      </c>
      <c r="B1306" s="50">
        <v>121.04311778094637</v>
      </c>
      <c r="C1306" s="50">
        <v>119.65879260500887</v>
      </c>
      <c r="D1306" s="50">
        <v>121.03363610165914</v>
      </c>
      <c r="E1306" s="50">
        <v>2293895.3471314749</v>
      </c>
      <c r="F1306" s="50" t="s">
        <v>1312</v>
      </c>
      <c r="G1306" s="25">
        <f t="shared" si="18"/>
        <v>-7.5989032510771493E-3</v>
      </c>
    </row>
    <row r="1307" spans="1:7">
      <c r="A1307" s="50">
        <v>121.3560131974254</v>
      </c>
      <c r="B1307" s="50">
        <v>121.74476204820238</v>
      </c>
      <c r="C1307" s="50">
        <v>120.17554412616363</v>
      </c>
      <c r="D1307" s="50">
        <v>120.29406511725418</v>
      </c>
      <c r="E1307" s="50">
        <v>3544659.0189164691</v>
      </c>
      <c r="F1307" s="50" t="s">
        <v>1313</v>
      </c>
      <c r="G1307" s="25">
        <f t="shared" si="18"/>
        <v>8.8279341057775351E-3</v>
      </c>
    </row>
    <row r="1308" spans="1:7">
      <c r="A1308" s="50">
        <v>119.73464603930682</v>
      </c>
      <c r="B1308" s="50">
        <v>120.7397040437546</v>
      </c>
      <c r="C1308" s="50">
        <v>119.11833688563601</v>
      </c>
      <c r="D1308" s="50">
        <v>120.05702313507309</v>
      </c>
      <c r="E1308" s="50">
        <v>3358224.7443066635</v>
      </c>
      <c r="F1308" s="50" t="s">
        <v>1314</v>
      </c>
      <c r="G1308" s="25">
        <f t="shared" si="18"/>
        <v>-2.6851998104565622E-3</v>
      </c>
    </row>
    <row r="1309" spans="1:7">
      <c r="A1309" s="50">
        <v>118.42617429766727</v>
      </c>
      <c r="B1309" s="50">
        <v>118.90973994131666</v>
      </c>
      <c r="C1309" s="50">
        <v>114.53868578989756</v>
      </c>
      <c r="D1309" s="50">
        <v>114.71883769635518</v>
      </c>
      <c r="E1309" s="50">
        <v>4130214.5763027887</v>
      </c>
      <c r="F1309" s="50" t="s">
        <v>1315</v>
      </c>
      <c r="G1309" s="25">
        <f t="shared" si="18"/>
        <v>3.2316720390114906E-2</v>
      </c>
    </row>
    <row r="1310" spans="1:7">
      <c r="A1310" s="50">
        <v>114.1973453355568</v>
      </c>
      <c r="B1310" s="50">
        <v>114.70935601706795</v>
      </c>
      <c r="C1310" s="50">
        <v>113.3633368254509</v>
      </c>
      <c r="D1310" s="50">
        <v>113.85600488121605</v>
      </c>
      <c r="E1310" s="50">
        <v>2934646.8233150193</v>
      </c>
      <c r="F1310" s="50" t="s">
        <v>1316</v>
      </c>
      <c r="G1310" s="25">
        <f t="shared" si="18"/>
        <v>2.9980013324450994E-3</v>
      </c>
    </row>
    <row r="1311" spans="1:7">
      <c r="A1311" s="50">
        <v>114.44386899702513</v>
      </c>
      <c r="B1311" s="50">
        <v>116.07471783443096</v>
      </c>
      <c r="C1311" s="50">
        <v>112.14930260951228</v>
      </c>
      <c r="D1311" s="50">
        <v>112.15878428879952</v>
      </c>
      <c r="E1311" s="50">
        <v>4257696.2136142571</v>
      </c>
      <c r="F1311" s="50" t="s">
        <v>1317</v>
      </c>
      <c r="G1311" s="25">
        <f t="shared" si="18"/>
        <v>2.0373657959252833E-2</v>
      </c>
    </row>
    <row r="1312" spans="1:7">
      <c r="A1312" s="50">
        <v>110.96409269860688</v>
      </c>
      <c r="B1312" s="50">
        <v>113.10695221752384</v>
      </c>
      <c r="C1312" s="50">
        <v>110.93564766074515</v>
      </c>
      <c r="D1312" s="50">
        <v>111.59936521085218</v>
      </c>
      <c r="E1312" s="50">
        <v>3543417.6776262363</v>
      </c>
      <c r="F1312" s="50" t="s">
        <v>1318</v>
      </c>
      <c r="G1312" s="25">
        <f t="shared" si="18"/>
        <v>-5.6924384027189356E-3</v>
      </c>
    </row>
    <row r="1313" spans="1:7">
      <c r="A1313" s="50">
        <v>110.23400339348916</v>
      </c>
      <c r="B1313" s="50">
        <v>112.25360108167196</v>
      </c>
      <c r="C1313" s="50">
        <v>109.80732782556322</v>
      </c>
      <c r="D1313" s="50">
        <v>111.63729192800115</v>
      </c>
      <c r="E1313" s="50">
        <v>5335835.4008100983</v>
      </c>
      <c r="F1313" s="50" t="s">
        <v>1319</v>
      </c>
      <c r="G1313" s="25">
        <f t="shared" si="18"/>
        <v>-1.2570069644980419E-2</v>
      </c>
    </row>
    <row r="1314" spans="1:7">
      <c r="A1314" s="50">
        <v>112.80353848033205</v>
      </c>
      <c r="B1314" s="50">
        <v>114.14036044304048</v>
      </c>
      <c r="C1314" s="50">
        <v>110.55638048925542</v>
      </c>
      <c r="D1314" s="50">
        <v>111.34335987009662</v>
      </c>
      <c r="E1314" s="50">
        <v>6104890.0987274488</v>
      </c>
      <c r="F1314" s="50" t="s">
        <v>1320</v>
      </c>
      <c r="G1314" s="25">
        <f t="shared" si="18"/>
        <v>1.3114195691049879E-2</v>
      </c>
    </row>
    <row r="1315" spans="1:7">
      <c r="A1315" s="50">
        <v>108.17647898815738</v>
      </c>
      <c r="B1315" s="50">
        <v>110.74601407500029</v>
      </c>
      <c r="C1315" s="50">
        <v>106.28820255810291</v>
      </c>
      <c r="D1315" s="50">
        <v>108.90656829327511</v>
      </c>
      <c r="E1315" s="50">
        <v>6134870.0201515425</v>
      </c>
      <c r="F1315" s="50" t="s">
        <v>1321</v>
      </c>
      <c r="G1315" s="25">
        <f t="shared" si="18"/>
        <v>-6.7038133379767606E-3</v>
      </c>
    </row>
    <row r="1316" spans="1:7">
      <c r="A1316" s="50">
        <v>110.12970492132949</v>
      </c>
      <c r="B1316" s="50">
        <v>114.05512014624816</v>
      </c>
      <c r="C1316" s="50">
        <v>109.72199271197802</v>
      </c>
      <c r="D1316" s="50">
        <v>112.59494153601271</v>
      </c>
      <c r="E1316" s="50">
        <v>9420805.881947469</v>
      </c>
      <c r="F1316" s="50" t="s">
        <v>1322</v>
      </c>
      <c r="G1316" s="25">
        <f t="shared" si="18"/>
        <v>-2.1894736842105189E-2</v>
      </c>
    </row>
    <row r="1317" spans="1:7">
      <c r="A1317" s="50">
        <v>114.87054456495108</v>
      </c>
      <c r="B1317" s="50">
        <v>118.5209910905397</v>
      </c>
      <c r="C1317" s="50">
        <v>114.08356518410989</v>
      </c>
      <c r="D1317" s="50">
        <v>117.80038346470921</v>
      </c>
      <c r="E1317" s="50">
        <v>6493280.1600697078</v>
      </c>
      <c r="F1317" s="50" t="s">
        <v>1323</v>
      </c>
      <c r="G1317" s="25">
        <f t="shared" si="18"/>
        <v>-2.4871216999356016E-2</v>
      </c>
    </row>
    <row r="1318" spans="1:7">
      <c r="A1318" s="50">
        <v>119.60190252928541</v>
      </c>
      <c r="B1318" s="50">
        <v>120.46947618406817</v>
      </c>
      <c r="C1318" s="50">
        <v>118.40721093909276</v>
      </c>
      <c r="D1318" s="50">
        <v>119.22263535779568</v>
      </c>
      <c r="E1318" s="50">
        <v>3116555.5282762363</v>
      </c>
      <c r="F1318" s="50" t="s">
        <v>1324</v>
      </c>
      <c r="G1318" s="25">
        <f t="shared" si="18"/>
        <v>3.1811674884683061E-3</v>
      </c>
    </row>
    <row r="1319" spans="1:7">
      <c r="A1319" s="50">
        <v>120.82503915733979</v>
      </c>
      <c r="B1319" s="50">
        <v>122.20936433327728</v>
      </c>
      <c r="C1319" s="50">
        <v>119.56397581213643</v>
      </c>
      <c r="D1319" s="50">
        <v>121.64046357604269</v>
      </c>
      <c r="E1319" s="50">
        <v>3854973.2481647232</v>
      </c>
      <c r="F1319" s="50" t="s">
        <v>1325</v>
      </c>
      <c r="G1319" s="25">
        <f t="shared" si="18"/>
        <v>-6.7035622417958018E-3</v>
      </c>
    </row>
    <row r="1320" spans="1:7">
      <c r="A1320" s="50">
        <v>122.2567727297135</v>
      </c>
      <c r="B1320" s="50">
        <v>122.82567348694809</v>
      </c>
      <c r="C1320" s="50">
        <v>120.48369870299902</v>
      </c>
      <c r="D1320" s="50">
        <v>120.59747885444595</v>
      </c>
      <c r="E1320" s="50">
        <v>4313769.6141051725</v>
      </c>
      <c r="F1320" s="50" t="s">
        <v>1326</v>
      </c>
      <c r="G1320" s="25">
        <f t="shared" si="18"/>
        <v>1.3758943313153527E-2</v>
      </c>
    </row>
    <row r="1321" spans="1:7">
      <c r="A1321" s="50">
        <v>120.18028496580725</v>
      </c>
      <c r="B1321" s="50">
        <v>121.4223849524361</v>
      </c>
      <c r="C1321" s="50">
        <v>117.80038346470921</v>
      </c>
      <c r="D1321" s="50">
        <v>118.9855933756146</v>
      </c>
      <c r="E1321" s="50">
        <v>6136531.1183096701</v>
      </c>
      <c r="F1321" s="50" t="s">
        <v>1327</v>
      </c>
      <c r="G1321" s="25">
        <f t="shared" si="18"/>
        <v>1.004064068850119E-2</v>
      </c>
    </row>
    <row r="1322" spans="1:7">
      <c r="A1322" s="50">
        <v>115.81871249367539</v>
      </c>
      <c r="B1322" s="50">
        <v>116.49191172306965</v>
      </c>
      <c r="C1322" s="50">
        <v>115.40151860503669</v>
      </c>
      <c r="D1322" s="50">
        <v>116.13160791015441</v>
      </c>
      <c r="E1322" s="50">
        <v>4164146.3293449804</v>
      </c>
      <c r="F1322" s="50" t="s">
        <v>1328</v>
      </c>
      <c r="G1322" s="25">
        <f t="shared" si="18"/>
        <v>-2.694317439581928E-3</v>
      </c>
    </row>
    <row r="1323" spans="1:7">
      <c r="A1323" s="50">
        <v>117.36422621749603</v>
      </c>
      <c r="B1323" s="50">
        <v>118.04690712617753</v>
      </c>
      <c r="C1323" s="50">
        <v>115.7570815783083</v>
      </c>
      <c r="D1323" s="50">
        <v>116.29279645803756</v>
      </c>
      <c r="E1323" s="50">
        <v>3590843.8757054107</v>
      </c>
      <c r="F1323" s="50" t="s">
        <v>1329</v>
      </c>
      <c r="G1323" s="25">
        <f t="shared" si="18"/>
        <v>9.2132083163471989E-3</v>
      </c>
    </row>
    <row r="1324" spans="1:7">
      <c r="A1324" s="50">
        <v>116.05575447585647</v>
      </c>
      <c r="B1324" s="50">
        <v>117.46852468965569</v>
      </c>
      <c r="C1324" s="50">
        <v>114.88002624423831</v>
      </c>
      <c r="D1324" s="50">
        <v>115.297220132877</v>
      </c>
      <c r="E1324" s="50">
        <v>3879438.3237038311</v>
      </c>
      <c r="F1324" s="50" t="s">
        <v>1330</v>
      </c>
      <c r="G1324" s="25">
        <f t="shared" si="18"/>
        <v>6.5789473684212396E-3</v>
      </c>
    </row>
    <row r="1325" spans="1:7">
      <c r="A1325" s="50">
        <v>115.3161834914515</v>
      </c>
      <c r="B1325" s="50">
        <v>115.9751602019149</v>
      </c>
      <c r="C1325" s="50">
        <v>114.46292717239248</v>
      </c>
      <c r="D1325" s="50">
        <v>115.67648730436674</v>
      </c>
      <c r="E1325" s="50">
        <v>2817338.4893897744</v>
      </c>
      <c r="F1325" s="50" t="s">
        <v>1331</v>
      </c>
      <c r="G1325" s="25">
        <f t="shared" si="18"/>
        <v>-3.1147540983607058E-3</v>
      </c>
    </row>
    <row r="1326" spans="1:7">
      <c r="A1326" s="50">
        <v>114.78520945136589</v>
      </c>
      <c r="B1326" s="50">
        <v>115.11706822641939</v>
      </c>
      <c r="C1326" s="50">
        <v>113.20176901039628</v>
      </c>
      <c r="D1326" s="50">
        <v>114.17838197698232</v>
      </c>
      <c r="E1326" s="50">
        <v>3492234.7610459495</v>
      </c>
      <c r="F1326" s="50" t="s">
        <v>1332</v>
      </c>
      <c r="G1326" s="25">
        <f t="shared" si="18"/>
        <v>5.3147317721309317E-3</v>
      </c>
    </row>
    <row r="1327" spans="1:7">
      <c r="A1327" s="50">
        <v>115.46789036004739</v>
      </c>
      <c r="B1327" s="50">
        <v>115.86138005046797</v>
      </c>
      <c r="C1327" s="50">
        <v>113.32503084113043</v>
      </c>
      <c r="D1327" s="50">
        <v>115.74285905937744</v>
      </c>
      <c r="E1327" s="50">
        <v>3094881.0976427831</v>
      </c>
      <c r="F1327" s="50" t="s">
        <v>1333</v>
      </c>
      <c r="G1327" s="25">
        <f t="shared" si="18"/>
        <v>-2.3756860817563119E-3</v>
      </c>
    </row>
    <row r="1328" spans="1:7">
      <c r="A1328" s="50">
        <v>115.35411020860047</v>
      </c>
      <c r="B1328" s="50">
        <v>119.17266690795191</v>
      </c>
      <c r="C1328" s="50">
        <v>111.26760125259153</v>
      </c>
      <c r="D1328" s="50">
        <v>117.6676399546878</v>
      </c>
      <c r="E1328" s="50">
        <v>9172039.8217862211</v>
      </c>
      <c r="F1328" s="50" t="s">
        <v>1334</v>
      </c>
      <c r="G1328" s="25">
        <f t="shared" si="18"/>
        <v>-1.9661563255439107E-2</v>
      </c>
    </row>
    <row r="1329" spans="1:7">
      <c r="A1329" s="50">
        <v>116.27383309946305</v>
      </c>
      <c r="B1329" s="50">
        <v>117.85174063461747</v>
      </c>
      <c r="C1329" s="50">
        <v>114.14790977365618</v>
      </c>
      <c r="D1329" s="50">
        <v>114.32743218783543</v>
      </c>
      <c r="E1329" s="50">
        <v>6203550.9888366368</v>
      </c>
      <c r="F1329" s="50" t="s">
        <v>1335</v>
      </c>
      <c r="G1329" s="25">
        <f t="shared" si="18"/>
        <v>1.7024793388429771E-2</v>
      </c>
    </row>
    <row r="1330" spans="1:7">
      <c r="A1330" s="50">
        <v>112.12592047711099</v>
      </c>
      <c r="B1330" s="50">
        <v>112.70228191210752</v>
      </c>
      <c r="C1330" s="50">
        <v>110.64249842310353</v>
      </c>
      <c r="D1330" s="50">
        <v>111.73853000440842</v>
      </c>
      <c r="E1330" s="50">
        <v>2235981.6284511965</v>
      </c>
      <c r="F1330" s="50" t="s">
        <v>1336</v>
      </c>
      <c r="G1330" s="25">
        <f t="shared" si="18"/>
        <v>3.4669372568916224E-3</v>
      </c>
    </row>
    <row r="1331" spans="1:7">
      <c r="A1331" s="50">
        <v>111.53066194588509</v>
      </c>
      <c r="B1331" s="50">
        <v>115.0833160370112</v>
      </c>
      <c r="C1331" s="50">
        <v>110.40628472023612</v>
      </c>
      <c r="D1331" s="50">
        <v>114.61088863127634</v>
      </c>
      <c r="E1331" s="50">
        <v>3674767.7609845065</v>
      </c>
      <c r="F1331" s="50" t="s">
        <v>1337</v>
      </c>
      <c r="G1331" s="25">
        <f t="shared" si="18"/>
        <v>-2.6875515251442605E-2</v>
      </c>
    </row>
    <row r="1332" spans="1:7">
      <c r="A1332" s="50">
        <v>114.24239525480316</v>
      </c>
      <c r="B1332" s="50">
        <v>114.38412347652361</v>
      </c>
      <c r="C1332" s="50">
        <v>112.58889933473115</v>
      </c>
      <c r="D1332" s="50">
        <v>113.1085694810395</v>
      </c>
      <c r="E1332" s="50">
        <v>1849829.178814552</v>
      </c>
      <c r="F1332" s="50" t="s">
        <v>1338</v>
      </c>
      <c r="G1332" s="25">
        <f t="shared" si="18"/>
        <v>1.0024225210926385E-2</v>
      </c>
    </row>
    <row r="1333" spans="1:7">
      <c r="A1333" s="50">
        <v>112.84401013382798</v>
      </c>
      <c r="B1333" s="50">
        <v>113.33344492616928</v>
      </c>
      <c r="C1333" s="50">
        <v>111.63459597514675</v>
      </c>
      <c r="D1333" s="50">
        <v>111.72908145629371</v>
      </c>
      <c r="E1333" s="50">
        <v>2068275.4390171608</v>
      </c>
      <c r="F1333" s="50" t="s">
        <v>1339</v>
      </c>
      <c r="G1333" s="25">
        <f t="shared" si="18"/>
        <v>9.9788583509514694E-3</v>
      </c>
    </row>
    <row r="1334" spans="1:7">
      <c r="A1334" s="50">
        <v>111.62514742703205</v>
      </c>
      <c r="B1334" s="50">
        <v>112.7684217489104</v>
      </c>
      <c r="C1334" s="50">
        <v>111.49286775342628</v>
      </c>
      <c r="D1334" s="50">
        <v>112.66448771964873</v>
      </c>
      <c r="E1334" s="50">
        <v>1968969.1764454031</v>
      </c>
      <c r="F1334" s="50" t="s">
        <v>1340</v>
      </c>
      <c r="G1334" s="25">
        <f t="shared" si="18"/>
        <v>-9.2250922509224953E-3</v>
      </c>
    </row>
    <row r="1335" spans="1:7">
      <c r="A1335" s="50">
        <v>111.83301548555538</v>
      </c>
      <c r="B1335" s="50">
        <v>112.7684217489104</v>
      </c>
      <c r="C1335" s="50">
        <v>111.11492582883839</v>
      </c>
      <c r="D1335" s="50">
        <v>111.54011049399976</v>
      </c>
      <c r="E1335" s="50">
        <v>1988379.5660389876</v>
      </c>
      <c r="F1335" s="50" t="s">
        <v>1341</v>
      </c>
      <c r="G1335" s="25">
        <f t="shared" si="18"/>
        <v>2.6260059296907556E-3</v>
      </c>
    </row>
    <row r="1336" spans="1:7">
      <c r="A1336" s="50">
        <v>110.87871212597096</v>
      </c>
      <c r="B1336" s="50">
        <v>110.96374905900325</v>
      </c>
      <c r="C1336" s="50">
        <v>109.43308426442231</v>
      </c>
      <c r="D1336" s="50">
        <v>110.4818731051537</v>
      </c>
      <c r="E1336" s="50">
        <v>748227.12592246837</v>
      </c>
      <c r="F1336" s="50" t="s">
        <v>1342</v>
      </c>
      <c r="G1336" s="25">
        <f t="shared" si="18"/>
        <v>3.5918925853073436E-3</v>
      </c>
    </row>
    <row r="1337" spans="1:7">
      <c r="A1337" s="50">
        <v>110.50077020138309</v>
      </c>
      <c r="B1337" s="50">
        <v>111.67239016760553</v>
      </c>
      <c r="C1337" s="50">
        <v>109.39529007196352</v>
      </c>
      <c r="D1337" s="50">
        <v>109.39529007196352</v>
      </c>
      <c r="E1337" s="50">
        <v>2884263.2401489886</v>
      </c>
      <c r="F1337" s="50" t="s">
        <v>1343</v>
      </c>
      <c r="G1337" s="25">
        <f t="shared" si="18"/>
        <v>1.0105372257730227E-2</v>
      </c>
    </row>
    <row r="1338" spans="1:7">
      <c r="A1338" s="50">
        <v>108.23311865385577</v>
      </c>
      <c r="B1338" s="50">
        <v>109.84882038146898</v>
      </c>
      <c r="C1338" s="50">
        <v>108.07249333590592</v>
      </c>
      <c r="D1338" s="50">
        <v>109.78268054466611</v>
      </c>
      <c r="E1338" s="50">
        <v>3846499.9657955323</v>
      </c>
      <c r="F1338" s="50" t="s">
        <v>1344</v>
      </c>
      <c r="G1338" s="25">
        <f t="shared" si="18"/>
        <v>-1.4114811945950656E-2</v>
      </c>
    </row>
    <row r="1339" spans="1:7">
      <c r="A1339" s="50">
        <v>109.99054860318944</v>
      </c>
      <c r="B1339" s="50">
        <v>111.49286775342628</v>
      </c>
      <c r="C1339" s="50">
        <v>107.44888916033591</v>
      </c>
      <c r="D1339" s="50">
        <v>109.38584152384882</v>
      </c>
      <c r="E1339" s="50">
        <v>4792576.5366599355</v>
      </c>
      <c r="F1339" s="50" t="s">
        <v>1345</v>
      </c>
      <c r="G1339" s="25">
        <f t="shared" si="18"/>
        <v>5.5282024704155219E-3</v>
      </c>
    </row>
    <row r="1340" spans="1:7">
      <c r="A1340" s="50">
        <v>111.02988889580612</v>
      </c>
      <c r="B1340" s="50">
        <v>112.7778702970251</v>
      </c>
      <c r="C1340" s="50">
        <v>110.21731375794218</v>
      </c>
      <c r="D1340" s="50">
        <v>112.05033209219341</v>
      </c>
      <c r="E1340" s="50">
        <v>8884013.6051622983</v>
      </c>
      <c r="F1340" s="50" t="s">
        <v>1346</v>
      </c>
      <c r="G1340" s="25">
        <f t="shared" si="18"/>
        <v>-9.1070073362004011E-3</v>
      </c>
    </row>
    <row r="1341" spans="1:7">
      <c r="A1341" s="50">
        <v>112.41882546866661</v>
      </c>
      <c r="B1341" s="50">
        <v>113.06992491925038</v>
      </c>
      <c r="C1341" s="50">
        <v>111.92750096670235</v>
      </c>
      <c r="D1341" s="50">
        <v>112.82511303759858</v>
      </c>
      <c r="E1341" s="50">
        <v>3965719.3407011661</v>
      </c>
      <c r="F1341" s="50" t="s">
        <v>1347</v>
      </c>
      <c r="G1341" s="25">
        <f t="shared" si="18"/>
        <v>-3.6010384389916217E-3</v>
      </c>
    </row>
    <row r="1342" spans="1:7">
      <c r="A1342" s="50">
        <v>112.43772256489601</v>
      </c>
      <c r="B1342" s="50">
        <v>112.99518690366314</v>
      </c>
      <c r="C1342" s="50">
        <v>111.75742710063781</v>
      </c>
      <c r="D1342" s="50">
        <v>112.37158272809313</v>
      </c>
      <c r="E1342" s="50">
        <v>3115566.5021391036</v>
      </c>
      <c r="F1342" s="50" t="s">
        <v>1348</v>
      </c>
      <c r="G1342" s="25">
        <f t="shared" si="18"/>
        <v>5.8858151854024321E-4</v>
      </c>
    </row>
    <row r="1343" spans="1:7">
      <c r="A1343" s="50">
        <v>112.53220804604297</v>
      </c>
      <c r="B1343" s="50">
        <v>112.73062755645161</v>
      </c>
      <c r="C1343" s="50">
        <v>109.18742201344018</v>
      </c>
      <c r="D1343" s="50">
        <v>112.23930305448737</v>
      </c>
      <c r="E1343" s="50">
        <v>4793680.4099612506</v>
      </c>
      <c r="F1343" s="50" t="s">
        <v>1349</v>
      </c>
      <c r="G1343" s="25">
        <f t="shared" si="18"/>
        <v>2.6096472767067613E-3</v>
      </c>
    </row>
    <row r="1344" spans="1:7">
      <c r="A1344" s="50">
        <v>110.88816067408567</v>
      </c>
      <c r="B1344" s="50">
        <v>115.07386748889651</v>
      </c>
      <c r="C1344" s="50">
        <v>110.21731375794218</v>
      </c>
      <c r="D1344" s="50">
        <v>115.01717620020833</v>
      </c>
      <c r="E1344" s="50">
        <v>5647774.5948072011</v>
      </c>
      <c r="F1344" s="50" t="s">
        <v>1350</v>
      </c>
      <c r="G1344" s="25">
        <f t="shared" si="18"/>
        <v>-3.5899121005504075E-2</v>
      </c>
    </row>
    <row r="1345" spans="1:7">
      <c r="A1345" s="50">
        <v>113.59989398300375</v>
      </c>
      <c r="B1345" s="50">
        <v>113.85500478210056</v>
      </c>
      <c r="C1345" s="50">
        <v>112.28654579506085</v>
      </c>
      <c r="D1345" s="50">
        <v>113.48651140562738</v>
      </c>
      <c r="E1345" s="50">
        <v>3114520.8388392967</v>
      </c>
      <c r="F1345" s="50" t="s">
        <v>1351</v>
      </c>
      <c r="G1345" s="25">
        <f t="shared" si="18"/>
        <v>9.9908417284155782E-4</v>
      </c>
    </row>
    <row r="1346" spans="1:7">
      <c r="A1346" s="50">
        <v>115.12111022946999</v>
      </c>
      <c r="B1346" s="50">
        <v>115.3951181247962</v>
      </c>
      <c r="C1346" s="50">
        <v>113.09912093292481</v>
      </c>
      <c r="D1346" s="50">
        <v>114.06287284062391</v>
      </c>
      <c r="E1346" s="50">
        <v>2983357.8299879921</v>
      </c>
      <c r="F1346" s="50" t="s">
        <v>1352</v>
      </c>
      <c r="G1346" s="25">
        <f t="shared" si="18"/>
        <v>9.2776673293570866E-3</v>
      </c>
    </row>
    <row r="1347" spans="1:7">
      <c r="A1347" s="50">
        <v>114.97938200774954</v>
      </c>
      <c r="B1347" s="50">
        <v>117.12420242978578</v>
      </c>
      <c r="C1347" s="50">
        <v>114.33357374410998</v>
      </c>
      <c r="D1347" s="50">
        <v>116.48170115798638</v>
      </c>
      <c r="E1347" s="50">
        <v>3834291.7409339184</v>
      </c>
      <c r="F1347" s="50" t="s">
        <v>1353</v>
      </c>
      <c r="G1347" s="25">
        <f t="shared" si="18"/>
        <v>-1.2897469175859766E-2</v>
      </c>
    </row>
    <row r="1348" spans="1:7">
      <c r="A1348" s="50">
        <v>116.70846631273911</v>
      </c>
      <c r="B1348" s="50">
        <v>117.68166676855292</v>
      </c>
      <c r="C1348" s="50">
        <v>115.29118409553453</v>
      </c>
      <c r="D1348" s="50">
        <v>115.71636876069591</v>
      </c>
      <c r="E1348" s="50">
        <v>3834791.2885832191</v>
      </c>
      <c r="F1348" s="50" t="s">
        <v>1354</v>
      </c>
      <c r="G1348" s="25">
        <f t="shared" si="18"/>
        <v>8.5735282109904443E-3</v>
      </c>
    </row>
    <row r="1349" spans="1:7">
      <c r="A1349" s="50">
        <v>117.10530533355639</v>
      </c>
      <c r="B1349" s="50">
        <v>117.98402030822322</v>
      </c>
      <c r="C1349" s="50">
        <v>115.86754553053106</v>
      </c>
      <c r="D1349" s="50">
        <v>117.64387257609413</v>
      </c>
      <c r="E1349" s="50">
        <v>4501943.5244060718</v>
      </c>
      <c r="F1349" s="50" t="s">
        <v>1355</v>
      </c>
      <c r="G1349" s="25">
        <f t="shared" si="18"/>
        <v>-4.5779455465424501E-3</v>
      </c>
    </row>
    <row r="1350" spans="1:7">
      <c r="A1350" s="50">
        <v>118.14464562617307</v>
      </c>
      <c r="B1350" s="50">
        <v>118.40920497338459</v>
      </c>
      <c r="C1350" s="50">
        <v>117.0202684005241</v>
      </c>
      <c r="D1350" s="50">
        <v>117.49269580625896</v>
      </c>
      <c r="E1350" s="50">
        <v>5343261.1431029625</v>
      </c>
      <c r="F1350" s="50" t="s">
        <v>1356</v>
      </c>
      <c r="G1350" s="25">
        <f t="shared" si="18"/>
        <v>5.5488540410133513E-3</v>
      </c>
    </row>
    <row r="1351" spans="1:7">
      <c r="A1351" s="50">
        <v>116.33052438815123</v>
      </c>
      <c r="B1351" s="50">
        <v>117.11475388167109</v>
      </c>
      <c r="C1351" s="50">
        <v>115.38094530262416</v>
      </c>
      <c r="D1351" s="50">
        <v>116.07541358905439</v>
      </c>
      <c r="E1351" s="50">
        <v>4535551.8625491625</v>
      </c>
      <c r="F1351" s="50" t="s">
        <v>1357</v>
      </c>
      <c r="G1351" s="25">
        <f t="shared" si="18"/>
        <v>2.197802197802412E-3</v>
      </c>
    </row>
    <row r="1352" spans="1:7">
      <c r="A1352" s="50">
        <v>115.58408908709015</v>
      </c>
      <c r="B1352" s="50">
        <v>116.07541358905439</v>
      </c>
      <c r="C1352" s="50">
        <v>112.34323708374903</v>
      </c>
      <c r="D1352" s="50">
        <v>112.70228191210752</v>
      </c>
      <c r="E1352" s="50">
        <v>3462899.2309522429</v>
      </c>
      <c r="F1352" s="50" t="s">
        <v>1358</v>
      </c>
      <c r="G1352" s="25">
        <f t="shared" si="18"/>
        <v>2.5570087189805468E-2</v>
      </c>
    </row>
    <row r="1353" spans="1:7">
      <c r="A1353" s="50">
        <v>113.31643753956284</v>
      </c>
      <c r="B1353" s="50">
        <v>115.81085424184288</v>
      </c>
      <c r="C1353" s="50">
        <v>113.24084915464525</v>
      </c>
      <c r="D1353" s="50">
        <v>113.68493091603601</v>
      </c>
      <c r="E1353" s="50">
        <v>3793637.8758810959</v>
      </c>
      <c r="F1353" s="50" t="s">
        <v>1359</v>
      </c>
      <c r="G1353" s="25">
        <f t="shared" si="18"/>
        <v>-3.2413563829785108E-3</v>
      </c>
    </row>
    <row r="1354" spans="1:7">
      <c r="A1354" s="50">
        <v>112.05033209219341</v>
      </c>
      <c r="B1354" s="50">
        <v>114.78549780043595</v>
      </c>
      <c r="C1354" s="50">
        <v>111.49286775342628</v>
      </c>
      <c r="D1354" s="50">
        <v>113.4109230207098</v>
      </c>
      <c r="E1354" s="50">
        <v>3722970.9340510173</v>
      </c>
      <c r="F1354" s="50" t="s">
        <v>1360</v>
      </c>
      <c r="G1354" s="25">
        <f t="shared" ref="G1354:G1417" si="19">A1354/D1354-1</f>
        <v>-1.1997000749812581E-2</v>
      </c>
    </row>
    <row r="1355" spans="1:7">
      <c r="A1355" s="50">
        <v>113.94004171513285</v>
      </c>
      <c r="B1355" s="50">
        <v>114.97938200774954</v>
      </c>
      <c r="C1355" s="50">
        <v>113.18415786595708</v>
      </c>
      <c r="D1355" s="50">
        <v>113.88335042644466</v>
      </c>
      <c r="E1355" s="50">
        <v>2590572.6152704861</v>
      </c>
      <c r="F1355" s="50" t="s">
        <v>1361</v>
      </c>
      <c r="G1355" s="25">
        <f t="shared" si="19"/>
        <v>4.9780137725052853E-4</v>
      </c>
    </row>
    <row r="1356" spans="1:7">
      <c r="A1356" s="50">
        <v>113.93059316701815</v>
      </c>
      <c r="B1356" s="50">
        <v>114.30853509160603</v>
      </c>
      <c r="C1356" s="50">
        <v>111.72908145629371</v>
      </c>
      <c r="D1356" s="50">
        <v>112.91014997063085</v>
      </c>
      <c r="E1356" s="50">
        <v>4917805.3004484689</v>
      </c>
      <c r="F1356" s="50" t="s">
        <v>1362</v>
      </c>
      <c r="G1356" s="25">
        <f t="shared" si="19"/>
        <v>9.0376569037657895E-3</v>
      </c>
    </row>
    <row r="1357" spans="1:7">
      <c r="A1357" s="50">
        <v>113.7510707528389</v>
      </c>
      <c r="B1357" s="50">
        <v>114.17625541800028</v>
      </c>
      <c r="C1357" s="50">
        <v>111.38893372416462</v>
      </c>
      <c r="D1357" s="50">
        <v>112.43772256489601</v>
      </c>
      <c r="E1357" s="50">
        <v>6529223.2469070116</v>
      </c>
      <c r="F1357" s="50" t="s">
        <v>1363</v>
      </c>
      <c r="G1357" s="25">
        <f t="shared" si="19"/>
        <v>1.1680672268907566E-2</v>
      </c>
    </row>
    <row r="1358" spans="1:7">
      <c r="A1358" s="50">
        <v>109.68819506351913</v>
      </c>
      <c r="B1358" s="50">
        <v>110.34014488343324</v>
      </c>
      <c r="C1358" s="50">
        <v>107.44888916033591</v>
      </c>
      <c r="D1358" s="50">
        <v>107.94021366230015</v>
      </c>
      <c r="E1358" s="50">
        <v>3200589.0887045898</v>
      </c>
      <c r="F1358" s="50" t="s">
        <v>1364</v>
      </c>
      <c r="G1358" s="25">
        <f t="shared" si="19"/>
        <v>1.6193977591036468E-2</v>
      </c>
    </row>
    <row r="1359" spans="1:7">
      <c r="A1359" s="50">
        <v>106.37175467526043</v>
      </c>
      <c r="B1359" s="50">
        <v>108.22367010574108</v>
      </c>
      <c r="C1359" s="50">
        <v>105.72925340346103</v>
      </c>
      <c r="D1359" s="50">
        <v>107.4677862565653</v>
      </c>
      <c r="E1359" s="50">
        <v>3919073.0205840645</v>
      </c>
      <c r="F1359" s="50" t="s">
        <v>1365</v>
      </c>
      <c r="G1359" s="25">
        <f t="shared" si="19"/>
        <v>-1.0198698786706539E-2</v>
      </c>
    </row>
    <row r="1360" spans="1:7">
      <c r="A1360" s="50">
        <v>107.84572818115319</v>
      </c>
      <c r="B1360" s="50">
        <v>108.4693323567232</v>
      </c>
      <c r="C1360" s="50">
        <v>106.32451193468695</v>
      </c>
      <c r="D1360" s="50">
        <v>107.50558044902409</v>
      </c>
      <c r="E1360" s="50">
        <v>3439499.8687099004</v>
      </c>
      <c r="F1360" s="50" t="s">
        <v>1366</v>
      </c>
      <c r="G1360" s="25">
        <f t="shared" si="19"/>
        <v>3.1640007031112916E-3</v>
      </c>
    </row>
    <row r="1361" spans="1:7">
      <c r="A1361" s="50">
        <v>107.94021366230015</v>
      </c>
      <c r="B1361" s="50">
        <v>112.21095741014328</v>
      </c>
      <c r="C1361" s="50">
        <v>107.89297092172667</v>
      </c>
      <c r="D1361" s="50">
        <v>110.49132165326839</v>
      </c>
      <c r="E1361" s="50">
        <v>3454777.3481964539</v>
      </c>
      <c r="F1361" s="50" t="s">
        <v>1367</v>
      </c>
      <c r="G1361" s="25">
        <f t="shared" si="19"/>
        <v>-2.308876346844535E-2</v>
      </c>
    </row>
    <row r="1362" spans="1:7">
      <c r="A1362" s="50">
        <v>110.05668843999233</v>
      </c>
      <c r="B1362" s="50">
        <v>111.29444824301765</v>
      </c>
      <c r="C1362" s="50">
        <v>107.84572818115319</v>
      </c>
      <c r="D1362" s="50">
        <v>110.51966729761247</v>
      </c>
      <c r="E1362" s="50">
        <v>4258052.0849990491</v>
      </c>
      <c r="F1362" s="50" t="s">
        <v>1368</v>
      </c>
      <c r="G1362" s="25">
        <f t="shared" si="19"/>
        <v>-4.1891083183720479E-3</v>
      </c>
    </row>
    <row r="1363" spans="1:7">
      <c r="A1363" s="50">
        <v>112.12592047711099</v>
      </c>
      <c r="B1363" s="50">
        <v>113.7510707528389</v>
      </c>
      <c r="C1363" s="50">
        <v>110.31179923908914</v>
      </c>
      <c r="D1363" s="50">
        <v>112.53220804604297</v>
      </c>
      <c r="E1363" s="50">
        <v>5650704.1454285225</v>
      </c>
      <c r="F1363" s="50" t="s">
        <v>1369</v>
      </c>
      <c r="G1363" s="25">
        <f t="shared" si="19"/>
        <v>-3.6104114189755565E-3</v>
      </c>
    </row>
    <row r="1364" spans="1:7">
      <c r="A1364" s="50">
        <v>108.64885477090245</v>
      </c>
      <c r="B1364" s="50">
        <v>109.25828612430041</v>
      </c>
      <c r="C1364" s="50">
        <v>106.02215839501663</v>
      </c>
      <c r="D1364" s="50">
        <v>106.14498952050771</v>
      </c>
      <c r="E1364" s="50">
        <v>5093824.9364614366</v>
      </c>
      <c r="F1364" s="50" t="s">
        <v>1370</v>
      </c>
      <c r="G1364" s="25">
        <f t="shared" si="19"/>
        <v>2.3589104504183611E-2</v>
      </c>
    </row>
    <row r="1365" spans="1:7">
      <c r="A1365" s="50">
        <v>104.97336955428526</v>
      </c>
      <c r="B1365" s="50">
        <v>105.93712146198438</v>
      </c>
      <c r="C1365" s="50">
        <v>103.51101776257359</v>
      </c>
      <c r="D1365" s="50">
        <v>103.76395539560401</v>
      </c>
      <c r="E1365" s="50">
        <v>5231395.2789332187</v>
      </c>
      <c r="F1365" s="50" t="s">
        <v>1371</v>
      </c>
      <c r="G1365" s="25">
        <f t="shared" si="19"/>
        <v>1.1655436168275468E-2</v>
      </c>
    </row>
    <row r="1366" spans="1:7">
      <c r="A1366" s="50">
        <v>104.99226665051465</v>
      </c>
      <c r="B1366" s="50">
        <v>109.60315813048686</v>
      </c>
      <c r="C1366" s="50">
        <v>104.21937541473243</v>
      </c>
      <c r="D1366" s="50">
        <v>109.53701829368399</v>
      </c>
      <c r="E1366" s="50">
        <v>5971982.0775669152</v>
      </c>
      <c r="F1366" s="50" t="s">
        <v>1372</v>
      </c>
      <c r="G1366" s="25">
        <f t="shared" si="19"/>
        <v>-4.1490554645044475E-2</v>
      </c>
    </row>
    <row r="1367" spans="1:7">
      <c r="A1367" s="50">
        <v>109.55591538991338</v>
      </c>
      <c r="B1367" s="50">
        <v>113.27864334710405</v>
      </c>
      <c r="C1367" s="50">
        <v>108.77168589639351</v>
      </c>
      <c r="D1367" s="50">
        <v>112.05033209219341</v>
      </c>
      <c r="E1367" s="50">
        <v>7468659.6441449076</v>
      </c>
      <c r="F1367" s="50" t="s">
        <v>1373</v>
      </c>
      <c r="G1367" s="25">
        <f t="shared" si="19"/>
        <v>-2.2261573488489672E-2</v>
      </c>
    </row>
    <row r="1368" spans="1:7">
      <c r="A1368" s="50">
        <v>110.89760922220037</v>
      </c>
      <c r="B1368" s="50">
        <v>113.20305496218647</v>
      </c>
      <c r="C1368" s="50">
        <v>104.11355167584782</v>
      </c>
      <c r="D1368" s="50">
        <v>104.44425085986222</v>
      </c>
      <c r="E1368" s="50">
        <v>18269141.237847518</v>
      </c>
      <c r="F1368" s="50" t="s">
        <v>1374</v>
      </c>
      <c r="G1368" s="25">
        <f t="shared" si="19"/>
        <v>6.1787588203365384E-2</v>
      </c>
    </row>
    <row r="1369" spans="1:7">
      <c r="A1369" s="50">
        <v>91.358011721006676</v>
      </c>
      <c r="B1369" s="50">
        <v>93.200478603372616</v>
      </c>
      <c r="C1369" s="50">
        <v>90.961172700189394</v>
      </c>
      <c r="D1369" s="50">
        <v>93.087096025996246</v>
      </c>
      <c r="E1369" s="50">
        <v>3309034.3215130218</v>
      </c>
      <c r="F1369" s="50" t="s">
        <v>1375</v>
      </c>
      <c r="G1369" s="25">
        <f t="shared" si="19"/>
        <v>-1.8574908647990163E-2</v>
      </c>
    </row>
    <row r="1370" spans="1:7">
      <c r="A1370" s="50">
        <v>92.699705553293668</v>
      </c>
      <c r="B1370" s="50">
        <v>92.898125063702295</v>
      </c>
      <c r="C1370" s="50">
        <v>91.499739942727132</v>
      </c>
      <c r="D1370" s="50">
        <v>91.849336222970919</v>
      </c>
      <c r="E1370" s="50">
        <v>4442219.0044957353</v>
      </c>
      <c r="F1370" s="50" t="s">
        <v>1376</v>
      </c>
      <c r="G1370" s="25">
        <f t="shared" si="19"/>
        <v>9.2583067585640944E-3</v>
      </c>
    </row>
    <row r="1371" spans="1:7">
      <c r="A1371" s="50">
        <v>91.084003825680469</v>
      </c>
      <c r="B1371" s="50">
        <v>92.425697657967447</v>
      </c>
      <c r="C1371" s="50">
        <v>87.739217793077671</v>
      </c>
      <c r="D1371" s="50">
        <v>88.816352278153147</v>
      </c>
      <c r="E1371" s="50">
        <v>4810821.667859707</v>
      </c>
      <c r="F1371" s="50" t="s">
        <v>1377</v>
      </c>
      <c r="G1371" s="25">
        <f t="shared" si="19"/>
        <v>2.5531914893617058E-2</v>
      </c>
    </row>
    <row r="1372" spans="1:7">
      <c r="A1372" s="50">
        <v>90.980069796418789</v>
      </c>
      <c r="B1372" s="50">
        <v>91.507393266700035</v>
      </c>
      <c r="C1372" s="50">
        <v>89.194294202741034</v>
      </c>
      <c r="D1372" s="50">
        <v>89.524993386755426</v>
      </c>
      <c r="E1372" s="50">
        <v>4238006.6772072008</v>
      </c>
      <c r="F1372" s="50" t="s">
        <v>1378</v>
      </c>
      <c r="G1372" s="25">
        <f t="shared" si="19"/>
        <v>1.6253298153034335E-2</v>
      </c>
    </row>
    <row r="1373" spans="1:7">
      <c r="A1373" s="50">
        <v>88.249439391271324</v>
      </c>
      <c r="B1373" s="50">
        <v>88.939183403644208</v>
      </c>
      <c r="C1373" s="50">
        <v>87.181753454310538</v>
      </c>
      <c r="D1373" s="50">
        <v>87.833703274224632</v>
      </c>
      <c r="E1373" s="50">
        <v>3781807.4868474486</v>
      </c>
      <c r="F1373" s="50" t="s">
        <v>1379</v>
      </c>
      <c r="G1373" s="25">
        <f t="shared" si="19"/>
        <v>4.7332185886403977E-3</v>
      </c>
    </row>
    <row r="1374" spans="1:7">
      <c r="A1374" s="50">
        <v>86.208552998496728</v>
      </c>
      <c r="B1374" s="50">
        <v>86.284141383414308</v>
      </c>
      <c r="C1374" s="50">
        <v>84.196012250066232</v>
      </c>
      <c r="D1374" s="50">
        <v>85.792816881450051</v>
      </c>
      <c r="E1374" s="50">
        <v>5012908.8009113865</v>
      </c>
      <c r="F1374" s="50" t="s">
        <v>1380</v>
      </c>
      <c r="G1374" s="25">
        <f t="shared" si="19"/>
        <v>4.8458149779735393E-3</v>
      </c>
    </row>
    <row r="1375" spans="1:7">
      <c r="A1375" s="50">
        <v>86.047927680546877</v>
      </c>
      <c r="B1375" s="50">
        <v>87.143959261851748</v>
      </c>
      <c r="C1375" s="50">
        <v>85.159764157765338</v>
      </c>
      <c r="D1375" s="50">
        <v>86.369178316446579</v>
      </c>
      <c r="E1375" s="50">
        <v>5735784.9419955164</v>
      </c>
      <c r="F1375" s="50" t="s">
        <v>1381</v>
      </c>
      <c r="G1375" s="25">
        <f t="shared" si="19"/>
        <v>-3.7195055245596853E-3</v>
      </c>
    </row>
    <row r="1376" spans="1:7">
      <c r="A1376" s="50">
        <v>86.548700730625825</v>
      </c>
      <c r="B1376" s="50">
        <v>88.41006470922116</v>
      </c>
      <c r="C1376" s="50">
        <v>85.981787843744002</v>
      </c>
      <c r="D1376" s="50">
        <v>86.888848462754922</v>
      </c>
      <c r="E1376" s="50">
        <v>7448514.7501686653</v>
      </c>
      <c r="F1376" s="50" t="s">
        <v>1382</v>
      </c>
      <c r="G1376" s="25">
        <f t="shared" si="19"/>
        <v>-3.9147455415398102E-3</v>
      </c>
    </row>
    <row r="1377" spans="1:7">
      <c r="A1377" s="50">
        <v>89.695067252819982</v>
      </c>
      <c r="B1377" s="50">
        <v>92.312315080591091</v>
      </c>
      <c r="C1377" s="50">
        <v>89.666721608475896</v>
      </c>
      <c r="D1377" s="50">
        <v>92.236726695673511</v>
      </c>
      <c r="E1377" s="50">
        <v>4000925.8079765528</v>
      </c>
      <c r="F1377" s="50" t="s">
        <v>1383</v>
      </c>
      <c r="G1377" s="25">
        <f t="shared" si="19"/>
        <v>-2.7555828723622167E-2</v>
      </c>
    </row>
    <row r="1378" spans="1:7">
      <c r="A1378" s="50">
        <v>91.537534135185922</v>
      </c>
      <c r="B1378" s="50">
        <v>94.579966628118399</v>
      </c>
      <c r="C1378" s="50">
        <v>90.498193842569236</v>
      </c>
      <c r="D1378" s="50">
        <v>94.268164540333387</v>
      </c>
      <c r="E1378" s="50">
        <v>6066026.1560023967</v>
      </c>
      <c r="F1378" s="50" t="s">
        <v>1384</v>
      </c>
      <c r="G1378" s="25">
        <f t="shared" si="19"/>
        <v>-2.8966623233436795E-2</v>
      </c>
    </row>
    <row r="1379" spans="1:7">
      <c r="A1379" s="50">
        <v>95.411438862211753</v>
      </c>
      <c r="B1379" s="50">
        <v>97.924752660721182</v>
      </c>
      <c r="C1379" s="50">
        <v>94.485481146971424</v>
      </c>
      <c r="D1379" s="50">
        <v>95.080739678197347</v>
      </c>
      <c r="E1379" s="50">
        <v>9441903.5514282864</v>
      </c>
      <c r="F1379" s="50" t="s">
        <v>1385</v>
      </c>
      <c r="G1379" s="25">
        <f t="shared" si="19"/>
        <v>3.4780880453146867E-3</v>
      </c>
    </row>
    <row r="1380" spans="1:7">
      <c r="A1380" s="50">
        <v>99.011335693911363</v>
      </c>
      <c r="B1380" s="50">
        <v>99.077475530714239</v>
      </c>
      <c r="C1380" s="50">
        <v>95.968997686460028</v>
      </c>
      <c r="D1380" s="50">
        <v>96.091734326469947</v>
      </c>
      <c r="E1380" s="50">
        <v>3967597.9362043622</v>
      </c>
      <c r="F1380" s="50" t="s">
        <v>1386</v>
      </c>
      <c r="G1380" s="25">
        <f t="shared" si="19"/>
        <v>3.0383480825958653E-2</v>
      </c>
    </row>
    <row r="1381" spans="1:7">
      <c r="A1381" s="50">
        <v>95.836623527373121</v>
      </c>
      <c r="B1381" s="50">
        <v>97.683814683796413</v>
      </c>
      <c r="C1381" s="50">
        <v>95.765759416512893</v>
      </c>
      <c r="D1381" s="50">
        <v>97.48067089933042</v>
      </c>
      <c r="E1381" s="50">
        <v>2739461.09876265</v>
      </c>
      <c r="F1381" s="50" t="s">
        <v>1387</v>
      </c>
      <c r="G1381" s="25">
        <f t="shared" si="19"/>
        <v>-1.6865367839488221E-2</v>
      </c>
    </row>
    <row r="1382" spans="1:7">
      <c r="A1382" s="50">
        <v>97.452325254986334</v>
      </c>
      <c r="B1382" s="50">
        <v>98.841261827846807</v>
      </c>
      <c r="C1382" s="50">
        <v>97.159420263430718</v>
      </c>
      <c r="D1382" s="50">
        <v>97.263354292692384</v>
      </c>
      <c r="E1382" s="50">
        <v>3127542.9453583513</v>
      </c>
      <c r="F1382" s="50" t="s">
        <v>1388</v>
      </c>
      <c r="G1382" s="25">
        <f t="shared" si="19"/>
        <v>1.9428793471927275E-3</v>
      </c>
    </row>
    <row r="1383" spans="1:7">
      <c r="A1383" s="50">
        <v>96.819272531301621</v>
      </c>
      <c r="B1383" s="50">
        <v>99.417623262843335</v>
      </c>
      <c r="C1383" s="50">
        <v>96.61140447277829</v>
      </c>
      <c r="D1383" s="50">
        <v>99.332586329811065</v>
      </c>
      <c r="E1383" s="50">
        <v>3383363.2016197522</v>
      </c>
      <c r="F1383" s="50" t="s">
        <v>1389</v>
      </c>
      <c r="G1383" s="25">
        <f t="shared" si="19"/>
        <v>-2.5302007038904284E-2</v>
      </c>
    </row>
    <row r="1384" spans="1:7">
      <c r="A1384" s="50">
        <v>99.124718271287719</v>
      </c>
      <c r="B1384" s="50">
        <v>99.852256476119408</v>
      </c>
      <c r="C1384" s="50">
        <v>98.45387135514423</v>
      </c>
      <c r="D1384" s="50">
        <v>98.879056020305612</v>
      </c>
      <c r="E1384" s="50">
        <v>2534081.3963529742</v>
      </c>
      <c r="F1384" s="50" t="s">
        <v>1390</v>
      </c>
      <c r="G1384" s="25">
        <f t="shared" si="19"/>
        <v>2.484472049689268E-3</v>
      </c>
    </row>
    <row r="1385" spans="1:7">
      <c r="A1385" s="50">
        <v>98.671187961782266</v>
      </c>
      <c r="B1385" s="50">
        <v>99.105821175058338</v>
      </c>
      <c r="C1385" s="50">
        <v>97.338942677609964</v>
      </c>
      <c r="D1385" s="50">
        <v>97.735781698427246</v>
      </c>
      <c r="E1385" s="50">
        <v>2856880.1970762075</v>
      </c>
      <c r="F1385" s="50" t="s">
        <v>1391</v>
      </c>
      <c r="G1385" s="25">
        <f t="shared" si="19"/>
        <v>9.5707656612529224E-3</v>
      </c>
    </row>
    <row r="1386" spans="1:7">
      <c r="A1386" s="50">
        <v>99.030232790140758</v>
      </c>
      <c r="B1386" s="50">
        <v>100.40972081488653</v>
      </c>
      <c r="C1386" s="50">
        <v>98.982990049567277</v>
      </c>
      <c r="D1386" s="50">
        <v>99.568800032678482</v>
      </c>
      <c r="E1386" s="50">
        <v>2991565.4402005463</v>
      </c>
      <c r="F1386" s="50" t="s">
        <v>1392</v>
      </c>
      <c r="G1386" s="25">
        <f t="shared" si="19"/>
        <v>-5.4089960144239058E-3</v>
      </c>
    </row>
    <row r="1387" spans="1:7">
      <c r="A1387" s="50">
        <v>99.219203752434709</v>
      </c>
      <c r="B1387" s="50">
        <v>100.71207435455685</v>
      </c>
      <c r="C1387" s="50">
        <v>98.982990049567277</v>
      </c>
      <c r="D1387" s="50">
        <v>100.05067598652805</v>
      </c>
      <c r="E1387" s="50">
        <v>2754503.6215158459</v>
      </c>
      <c r="F1387" s="50" t="s">
        <v>1393</v>
      </c>
      <c r="G1387" s="25">
        <f t="shared" si="19"/>
        <v>-8.3105109075455319E-3</v>
      </c>
    </row>
    <row r="1388" spans="1:7">
      <c r="A1388" s="50">
        <v>100.73097145078624</v>
      </c>
      <c r="B1388" s="50">
        <v>101.10891337537413</v>
      </c>
      <c r="C1388" s="50">
        <v>100.15461001578971</v>
      </c>
      <c r="D1388" s="50">
        <v>100.58924322906577</v>
      </c>
      <c r="E1388" s="50">
        <v>2780063.1039959476</v>
      </c>
      <c r="F1388" s="50" t="s">
        <v>1394</v>
      </c>
      <c r="G1388" s="25">
        <f t="shared" si="19"/>
        <v>1.4089798985534863E-3</v>
      </c>
    </row>
    <row r="1389" spans="1:7">
      <c r="A1389" s="50">
        <v>100.47586065168942</v>
      </c>
      <c r="B1389" s="50">
        <v>101.29788433766807</v>
      </c>
      <c r="C1389" s="50">
        <v>99.431796085015378</v>
      </c>
      <c r="D1389" s="50">
        <v>100.14516146767501</v>
      </c>
      <c r="E1389" s="50">
        <v>3715687.275316936</v>
      </c>
      <c r="F1389" s="50" t="s">
        <v>1395</v>
      </c>
      <c r="G1389" s="25">
        <f t="shared" si="19"/>
        <v>3.3021983205963057E-3</v>
      </c>
    </row>
    <row r="1390" spans="1:7">
      <c r="A1390" s="50">
        <v>100.2113013044779</v>
      </c>
      <c r="B1390" s="50">
        <v>100.28688968939548</v>
      </c>
      <c r="C1390" s="50">
        <v>98.321591681538465</v>
      </c>
      <c r="D1390" s="50">
        <v>98.576702480635291</v>
      </c>
      <c r="E1390" s="50">
        <v>3093503.8532041055</v>
      </c>
      <c r="F1390" s="50" t="s">
        <v>1396</v>
      </c>
      <c r="G1390" s="25">
        <f t="shared" si="19"/>
        <v>1.6581999424901683E-2</v>
      </c>
    </row>
    <row r="1391" spans="1:7">
      <c r="A1391" s="50">
        <v>97.272802840807131</v>
      </c>
      <c r="B1391" s="50">
        <v>98.001643168534841</v>
      </c>
      <c r="C1391" s="50">
        <v>96.341287317375148</v>
      </c>
      <c r="D1391" s="50">
        <v>96.736475721255388</v>
      </c>
      <c r="E1391" s="50">
        <v>3240131.5105087063</v>
      </c>
      <c r="F1391" s="50" t="s">
        <v>1397</v>
      </c>
      <c r="G1391" s="25">
        <f t="shared" si="19"/>
        <v>5.5442077618907959E-3</v>
      </c>
    </row>
    <row r="1392" spans="1:7">
      <c r="A1392" s="50">
        <v>95.748504711554801</v>
      </c>
      <c r="B1392" s="50">
        <v>99.069969153691076</v>
      </c>
      <c r="C1392" s="50">
        <v>95.334497812251684</v>
      </c>
      <c r="D1392" s="50">
        <v>98.806510217770921</v>
      </c>
      <c r="E1392" s="50">
        <v>3516931.5353220613</v>
      </c>
      <c r="F1392" s="50" t="s">
        <v>1398</v>
      </c>
      <c r="G1392" s="25">
        <f t="shared" si="19"/>
        <v>-3.0949433387296388E-2</v>
      </c>
    </row>
    <row r="1393" spans="1:7">
      <c r="A1393" s="50">
        <v>97.752674474090284</v>
      </c>
      <c r="B1393" s="50">
        <v>97.931450180607527</v>
      </c>
      <c r="C1393" s="50">
        <v>96.22837634483794</v>
      </c>
      <c r="D1393" s="50">
        <v>97.225756602249959</v>
      </c>
      <c r="E1393" s="50">
        <v>3043243.294063014</v>
      </c>
      <c r="F1393" s="50" t="s">
        <v>1399</v>
      </c>
      <c r="G1393" s="25">
        <f t="shared" si="19"/>
        <v>5.4195296622472355E-3</v>
      </c>
    </row>
    <row r="1394" spans="1:7">
      <c r="A1394" s="50">
        <v>95.607365995883271</v>
      </c>
      <c r="B1394" s="50">
        <v>97.046980895732716</v>
      </c>
      <c r="C1394" s="50">
        <v>92.803410177875875</v>
      </c>
      <c r="D1394" s="50">
        <v>93.885473664690807</v>
      </c>
      <c r="E1394" s="50">
        <v>4021169.50901622</v>
      </c>
      <c r="F1394" s="50" t="s">
        <v>1400</v>
      </c>
      <c r="G1394" s="25">
        <f t="shared" si="19"/>
        <v>1.8340348767287962E-2</v>
      </c>
    </row>
    <row r="1395" spans="1:7">
      <c r="A1395" s="50">
        <v>95.343907059963115</v>
      </c>
      <c r="B1395" s="50">
        <v>95.485045775634632</v>
      </c>
      <c r="C1395" s="50">
        <v>93.499694508522012</v>
      </c>
      <c r="D1395" s="50">
        <v>94.4029822888197</v>
      </c>
      <c r="E1395" s="50">
        <v>4441671.7767152498</v>
      </c>
      <c r="F1395" s="50" t="s">
        <v>1401</v>
      </c>
      <c r="G1395" s="25">
        <f t="shared" si="19"/>
        <v>9.9671085418118199E-3</v>
      </c>
    </row>
    <row r="1396" spans="1:7">
      <c r="A1396" s="50">
        <v>94.327708307128219</v>
      </c>
      <c r="B1396" s="50">
        <v>95.522682766480372</v>
      </c>
      <c r="C1396" s="50">
        <v>92.427040269418512</v>
      </c>
      <c r="D1396" s="50">
        <v>92.427040269418512</v>
      </c>
      <c r="E1396" s="50">
        <v>5378691.426998863</v>
      </c>
      <c r="F1396" s="50" t="s">
        <v>1402</v>
      </c>
      <c r="G1396" s="25">
        <f t="shared" si="19"/>
        <v>2.0563982490074295E-2</v>
      </c>
    </row>
    <row r="1397" spans="1:7">
      <c r="A1397" s="50">
        <v>91.975396379269668</v>
      </c>
      <c r="B1397" s="50">
        <v>93.480876013099135</v>
      </c>
      <c r="C1397" s="50">
        <v>91.486115498275083</v>
      </c>
      <c r="D1397" s="50">
        <v>92.906911902701651</v>
      </c>
      <c r="E1397" s="50">
        <v>3401637.5146660102</v>
      </c>
      <c r="F1397" s="50" t="s">
        <v>1403</v>
      </c>
      <c r="G1397" s="25">
        <f t="shared" si="19"/>
        <v>-1.002633178043344E-2</v>
      </c>
    </row>
    <row r="1398" spans="1:7">
      <c r="A1398" s="50">
        <v>92.982185884393118</v>
      </c>
      <c r="B1398" s="50">
        <v>93.833722802277919</v>
      </c>
      <c r="C1398" s="50">
        <v>92.803410177875875</v>
      </c>
      <c r="D1398" s="50">
        <v>93.151552343198944</v>
      </c>
      <c r="E1398" s="50">
        <v>4177898.2980997432</v>
      </c>
      <c r="F1398" s="50" t="s">
        <v>1404</v>
      </c>
      <c r="G1398" s="25">
        <f t="shared" si="19"/>
        <v>-1.8181818181819409E-3</v>
      </c>
    </row>
    <row r="1399" spans="1:7">
      <c r="A1399" s="50">
        <v>90.573418470265963</v>
      </c>
      <c r="B1399" s="50">
        <v>91.128564085240569</v>
      </c>
      <c r="C1399" s="50">
        <v>88.879753882207794</v>
      </c>
      <c r="D1399" s="50">
        <v>89.08675733185936</v>
      </c>
      <c r="E1399" s="50">
        <v>2950129.5801010234</v>
      </c>
      <c r="F1399" s="50" t="s">
        <v>1405</v>
      </c>
      <c r="G1399" s="25">
        <f t="shared" si="19"/>
        <v>1.6687790452049045E-2</v>
      </c>
    </row>
    <row r="1400" spans="1:7">
      <c r="A1400" s="50">
        <v>89.811269405639791</v>
      </c>
      <c r="B1400" s="50">
        <v>91.174481214072372</v>
      </c>
      <c r="C1400" s="50">
        <v>88.174060303850226</v>
      </c>
      <c r="D1400" s="50">
        <v>89.707767680814015</v>
      </c>
      <c r="E1400" s="50">
        <v>4515789.2855095519</v>
      </c>
      <c r="F1400" s="50" t="s">
        <v>1406</v>
      </c>
      <c r="G1400" s="25">
        <f t="shared" si="19"/>
        <v>1.1537654709461442E-3</v>
      </c>
    </row>
    <row r="1401" spans="1:7">
      <c r="A1401" s="50">
        <v>89.914771130465567</v>
      </c>
      <c r="B1401" s="50">
        <v>91.36379527802643</v>
      </c>
      <c r="C1401" s="50">
        <v>89.472536488028155</v>
      </c>
      <c r="D1401" s="50">
        <v>90.102956084694256</v>
      </c>
      <c r="E1401" s="50">
        <v>10019124.045957359</v>
      </c>
      <c r="F1401" s="50" t="s">
        <v>1407</v>
      </c>
      <c r="G1401" s="25">
        <f t="shared" si="19"/>
        <v>-2.0885547201336951E-3</v>
      </c>
    </row>
    <row r="1402" spans="1:7">
      <c r="A1402" s="50">
        <v>92.662271462204359</v>
      </c>
      <c r="B1402" s="50">
        <v>93.889896011115184</v>
      </c>
      <c r="C1402" s="50">
        <v>90.714557185937466</v>
      </c>
      <c r="D1402" s="50">
        <v>92.22003681976696</v>
      </c>
      <c r="E1402" s="50">
        <v>5191108.949192998</v>
      </c>
      <c r="F1402" s="50" t="s">
        <v>1408</v>
      </c>
      <c r="G1402" s="25">
        <f t="shared" si="19"/>
        <v>4.7954290378531272E-3</v>
      </c>
    </row>
    <row r="1403" spans="1:7">
      <c r="A1403" s="50">
        <v>92.370584783149909</v>
      </c>
      <c r="B1403" s="50">
        <v>94.685259720162719</v>
      </c>
      <c r="C1403" s="50">
        <v>90.531076855564507</v>
      </c>
      <c r="D1403" s="50">
        <v>94.65703197702841</v>
      </c>
      <c r="E1403" s="50">
        <v>8863827.6467787009</v>
      </c>
      <c r="F1403" s="50" t="s">
        <v>1409</v>
      </c>
      <c r="G1403" s="25">
        <f t="shared" si="19"/>
        <v>-2.4155069582504796E-2</v>
      </c>
    </row>
    <row r="1404" spans="1:7">
      <c r="A1404" s="50">
        <v>97.329258327075735</v>
      </c>
      <c r="B1404" s="50">
        <v>99.850936713740126</v>
      </c>
      <c r="C1404" s="50">
        <v>97.206938106827096</v>
      </c>
      <c r="D1404" s="50">
        <v>98.289001593642027</v>
      </c>
      <c r="E1404" s="50">
        <v>7046527.2074225806</v>
      </c>
      <c r="F1404" s="50" t="s">
        <v>1410</v>
      </c>
      <c r="G1404" s="25">
        <f t="shared" si="19"/>
        <v>-9.7645031591039322E-3</v>
      </c>
    </row>
    <row r="1405" spans="1:7">
      <c r="A1405" s="50">
        <v>98.477186547870716</v>
      </c>
      <c r="B1405" s="50">
        <v>99.12642463995968</v>
      </c>
      <c r="C1405" s="50">
        <v>97.21644144701564</v>
      </c>
      <c r="D1405" s="50">
        <v>98.110225887124784</v>
      </c>
      <c r="E1405" s="50">
        <v>3417515.5109290322</v>
      </c>
      <c r="F1405" s="50" t="s">
        <v>1411</v>
      </c>
      <c r="G1405" s="25">
        <f t="shared" si="19"/>
        <v>3.7402896326843571E-3</v>
      </c>
    </row>
    <row r="1406" spans="1:7">
      <c r="A1406" s="50">
        <v>99.719207245780041</v>
      </c>
      <c r="B1406" s="50">
        <v>101.14000365020661</v>
      </c>
      <c r="C1406" s="50">
        <v>98.505414291005025</v>
      </c>
      <c r="D1406" s="50">
        <v>100.42490082413761</v>
      </c>
      <c r="E1406" s="50">
        <v>6163202.6043408848</v>
      </c>
      <c r="F1406" s="50" t="s">
        <v>1412</v>
      </c>
      <c r="G1406" s="25">
        <f t="shared" si="19"/>
        <v>-7.0270776726318873E-3</v>
      </c>
    </row>
    <row r="1407" spans="1:7">
      <c r="A1407" s="50">
        <v>100.37785458558044</v>
      </c>
      <c r="B1407" s="50">
        <v>101.73278625602697</v>
      </c>
      <c r="C1407" s="50">
        <v>99.963847686277319</v>
      </c>
      <c r="D1407" s="50">
        <v>101.46932732010681</v>
      </c>
      <c r="E1407" s="50">
        <v>3583325.7911817334</v>
      </c>
      <c r="F1407" s="50" t="s">
        <v>1413</v>
      </c>
      <c r="G1407" s="25">
        <f t="shared" si="19"/>
        <v>-1.0756676557863609E-2</v>
      </c>
    </row>
    <row r="1408" spans="1:7">
      <c r="A1408" s="50">
        <v>100.93300020055506</v>
      </c>
      <c r="B1408" s="50">
        <v>101.3281886044353</v>
      </c>
      <c r="C1408" s="50">
        <v>98.063179648567612</v>
      </c>
      <c r="D1408" s="50">
        <v>98.467777300159284</v>
      </c>
      <c r="E1408" s="50">
        <v>3847725.2497034594</v>
      </c>
      <c r="F1408" s="50" t="s">
        <v>1414</v>
      </c>
      <c r="G1408" s="25">
        <f t="shared" si="19"/>
        <v>2.503583373148599E-2</v>
      </c>
    </row>
    <row r="1409" spans="1:7">
      <c r="A1409" s="50">
        <v>97.253984345384268</v>
      </c>
      <c r="B1409" s="50">
        <v>97.715037483244544</v>
      </c>
      <c r="C1409" s="50">
        <v>95.984206366726212</v>
      </c>
      <c r="D1409" s="50">
        <v>96.830568198369718</v>
      </c>
      <c r="E1409" s="50">
        <v>2768365.8459056029</v>
      </c>
      <c r="F1409" s="50" t="s">
        <v>1415</v>
      </c>
      <c r="G1409" s="25">
        <f t="shared" si="19"/>
        <v>4.3727528908756863E-3</v>
      </c>
    </row>
    <row r="1410" spans="1:7">
      <c r="A1410" s="50">
        <v>96.698838730409648</v>
      </c>
      <c r="B1410" s="50">
        <v>98.900602694885265</v>
      </c>
      <c r="C1410" s="50">
        <v>96.266013335683681</v>
      </c>
      <c r="D1410" s="50">
        <v>98.034951905433303</v>
      </c>
      <c r="E1410" s="50">
        <v>3495540.8773042671</v>
      </c>
      <c r="F1410" s="50" t="s">
        <v>1416</v>
      </c>
      <c r="G1410" s="25">
        <f t="shared" si="19"/>
        <v>-1.3628947115845946E-2</v>
      </c>
    </row>
    <row r="1411" spans="1:7">
      <c r="A1411" s="50">
        <v>97.649172749264508</v>
      </c>
      <c r="B1411" s="50">
        <v>98.524232786427888</v>
      </c>
      <c r="C1411" s="50">
        <v>96.623564748718167</v>
      </c>
      <c r="D1411" s="50">
        <v>98.392503318467803</v>
      </c>
      <c r="E1411" s="50">
        <v>2630094.4303896772</v>
      </c>
      <c r="F1411" s="50" t="s">
        <v>1417</v>
      </c>
      <c r="G1411" s="25">
        <f t="shared" si="19"/>
        <v>-7.5547480156831215E-3</v>
      </c>
    </row>
    <row r="1412" spans="1:7">
      <c r="A1412" s="50">
        <v>97.545671024438732</v>
      </c>
      <c r="B1412" s="50">
        <v>98.872374951750956</v>
      </c>
      <c r="C1412" s="50">
        <v>97.197528859115664</v>
      </c>
      <c r="D1412" s="50">
        <v>98.251364602796301</v>
      </c>
      <c r="E1412" s="50">
        <v>4800630.3357396424</v>
      </c>
      <c r="F1412" s="50" t="s">
        <v>1418</v>
      </c>
      <c r="G1412" s="25">
        <f t="shared" si="19"/>
        <v>-7.1825320819766114E-3</v>
      </c>
    </row>
    <row r="1413" spans="1:7">
      <c r="A1413" s="50">
        <v>99.427520566725576</v>
      </c>
      <c r="B1413" s="50">
        <v>101.8786295955542</v>
      </c>
      <c r="C1413" s="50">
        <v>98.307820089064904</v>
      </c>
      <c r="D1413" s="50">
        <v>100.06734941110309</v>
      </c>
      <c r="E1413" s="50">
        <v>5564045.2462931117</v>
      </c>
      <c r="F1413" s="50" t="s">
        <v>1419</v>
      </c>
      <c r="G1413" s="25">
        <f t="shared" si="19"/>
        <v>-6.3939821344616288E-3</v>
      </c>
    </row>
    <row r="1414" spans="1:7">
      <c r="A1414" s="50">
        <v>98.289001593642027</v>
      </c>
      <c r="B1414" s="50">
        <v>102.58902779776749</v>
      </c>
      <c r="C1414" s="50">
        <v>97.715037483244544</v>
      </c>
      <c r="D1414" s="50">
        <v>98.76887322692518</v>
      </c>
      <c r="E1414" s="50">
        <v>7171520.1968802605</v>
      </c>
      <c r="F1414" s="50" t="s">
        <v>1420</v>
      </c>
      <c r="G1414" s="25">
        <f t="shared" si="19"/>
        <v>-4.858531008859801E-3</v>
      </c>
    </row>
    <row r="1415" spans="1:7">
      <c r="A1415" s="50">
        <v>98.232546107373437</v>
      </c>
      <c r="B1415" s="50">
        <v>98.67478074981085</v>
      </c>
      <c r="C1415" s="50">
        <v>96.247194840260818</v>
      </c>
      <c r="D1415" s="50">
        <v>96.520063023892391</v>
      </c>
      <c r="E1415" s="50">
        <v>3758913.6862684241</v>
      </c>
      <c r="F1415" s="50" t="s">
        <v>1421</v>
      </c>
      <c r="G1415" s="25">
        <f t="shared" si="19"/>
        <v>1.7742249951257616E-2</v>
      </c>
    </row>
    <row r="1416" spans="1:7">
      <c r="A1416" s="50">
        <v>96.416561299066615</v>
      </c>
      <c r="B1416" s="50">
        <v>96.708247978121079</v>
      </c>
      <c r="C1416" s="50">
        <v>94.243025077725306</v>
      </c>
      <c r="D1416" s="50">
        <v>94.600576490759821</v>
      </c>
      <c r="E1416" s="50">
        <v>3340759.1089137732</v>
      </c>
      <c r="F1416" s="50" t="s">
        <v>1422</v>
      </c>
      <c r="G1416" s="25">
        <f t="shared" si="19"/>
        <v>1.9196339765267467E-2</v>
      </c>
    </row>
    <row r="1417" spans="1:7">
      <c r="A1417" s="50">
        <v>95.588547500460407</v>
      </c>
      <c r="B1417" s="50">
        <v>96.821158950658301</v>
      </c>
      <c r="C1417" s="50">
        <v>95.372134803097424</v>
      </c>
      <c r="D1417" s="50">
        <v>96.821158950658301</v>
      </c>
      <c r="E1417" s="50">
        <v>4958688.6678837435</v>
      </c>
      <c r="F1417" s="50" t="s">
        <v>1423</v>
      </c>
      <c r="G1417" s="25">
        <f t="shared" si="19"/>
        <v>-1.2730806608357681E-2</v>
      </c>
    </row>
    <row r="1418" spans="1:7">
      <c r="A1418" s="50">
        <v>96.482426033046664</v>
      </c>
      <c r="B1418" s="50">
        <v>96.821158950658301</v>
      </c>
      <c r="C1418" s="50">
        <v>94.788761444988495</v>
      </c>
      <c r="D1418" s="50">
        <v>96.115465372300733</v>
      </c>
      <c r="E1418" s="50">
        <v>4658045.0790703287</v>
      </c>
      <c r="F1418" s="50" t="s">
        <v>1424</v>
      </c>
      <c r="G1418" s="25">
        <f t="shared" ref="G1418:G1455" si="20">A1418/D1418-1</f>
        <v>3.8179148311305866E-3</v>
      </c>
    </row>
    <row r="1419" spans="1:7">
      <c r="A1419" s="50">
        <v>95.532092014191804</v>
      </c>
      <c r="B1419" s="50">
        <v>96.106056124589287</v>
      </c>
      <c r="C1419" s="50">
        <v>92.709317700761531</v>
      </c>
      <c r="D1419" s="50">
        <v>92.925730398124529</v>
      </c>
      <c r="E1419" s="50">
        <v>4242833.3512238646</v>
      </c>
      <c r="F1419" s="50" t="s">
        <v>1425</v>
      </c>
      <c r="G1419" s="25">
        <f t="shared" si="20"/>
        <v>2.804779262859447E-2</v>
      </c>
    </row>
    <row r="1420" spans="1:7">
      <c r="A1420" s="50">
        <v>92.586997480512892</v>
      </c>
      <c r="B1420" s="50">
        <v>93.283281811159029</v>
      </c>
      <c r="C1420" s="50">
        <v>92.031851865538272</v>
      </c>
      <c r="D1420" s="50">
        <v>92.73754544389584</v>
      </c>
      <c r="E1420" s="50">
        <v>3120850.9862393625</v>
      </c>
      <c r="F1420" s="50" t="s">
        <v>1426</v>
      </c>
      <c r="G1420" s="25">
        <f t="shared" si="20"/>
        <v>-1.6233766233766378E-3</v>
      </c>
    </row>
    <row r="1421" spans="1:7">
      <c r="A1421" s="50">
        <v>93.198598581756116</v>
      </c>
      <c r="B1421" s="50">
        <v>94.835807683545681</v>
      </c>
      <c r="C1421" s="50">
        <v>92.237161650601763</v>
      </c>
      <c r="D1421" s="50">
        <v>94.675850472451287</v>
      </c>
      <c r="E1421" s="50">
        <v>3131626.5554569513</v>
      </c>
      <c r="F1421" s="50" t="s">
        <v>1427</v>
      </c>
      <c r="G1421" s="25">
        <f t="shared" si="20"/>
        <v>-1.5603259789306212E-2</v>
      </c>
    </row>
    <row r="1422" spans="1:7">
      <c r="A1422" s="50">
        <v>93.462057517676271</v>
      </c>
      <c r="B1422" s="50">
        <v>93.499694508522012</v>
      </c>
      <c r="C1422" s="50">
        <v>90.695738690514602</v>
      </c>
      <c r="D1422" s="50">
        <v>90.968606874146204</v>
      </c>
      <c r="E1422" s="50">
        <v>4401091.4868015302</v>
      </c>
      <c r="F1422" s="50" t="s">
        <v>1428</v>
      </c>
      <c r="G1422" s="25">
        <f t="shared" si="20"/>
        <v>2.7410012412081075E-2</v>
      </c>
    </row>
    <row r="1423" spans="1:7">
      <c r="A1423" s="50">
        <v>90.469916745440187</v>
      </c>
      <c r="B1423" s="50">
        <v>91.881303902155324</v>
      </c>
      <c r="C1423" s="50">
        <v>90.29114103892293</v>
      </c>
      <c r="D1423" s="50">
        <v>90.789831167628947</v>
      </c>
      <c r="E1423" s="50">
        <v>3024079.1689883946</v>
      </c>
      <c r="F1423" s="50" t="s">
        <v>1429</v>
      </c>
      <c r="G1423" s="25">
        <f t="shared" si="20"/>
        <v>-3.5236812104880721E-3</v>
      </c>
    </row>
    <row r="1424" spans="1:7">
      <c r="A1424" s="50">
        <v>91.00624386499193</v>
      </c>
      <c r="B1424" s="50">
        <v>91.811205006705137</v>
      </c>
      <c r="C1424" s="50">
        <v>90.027682103002775</v>
      </c>
      <c r="D1424" s="50">
        <v>90.084137589271378</v>
      </c>
      <c r="E1424" s="50">
        <v>3297281.6692133741</v>
      </c>
      <c r="F1424" s="50" t="s">
        <v>1430</v>
      </c>
      <c r="G1424" s="25">
        <f t="shared" si="20"/>
        <v>1.0236055984959247E-2</v>
      </c>
    </row>
    <row r="1425" spans="1:7">
      <c r="A1425" s="50">
        <v>91.166201076086324</v>
      </c>
      <c r="B1425" s="50">
        <v>92.130460781554092</v>
      </c>
      <c r="C1425" s="50">
        <v>90.225276304942895</v>
      </c>
      <c r="D1425" s="50">
        <v>91.100336342106274</v>
      </c>
      <c r="E1425" s="50">
        <v>3272991.735840458</v>
      </c>
      <c r="F1425" s="50" t="s">
        <v>1431</v>
      </c>
      <c r="G1425" s="25">
        <f t="shared" si="20"/>
        <v>7.2299111753770795E-4</v>
      </c>
    </row>
    <row r="1426" spans="1:7">
      <c r="A1426" s="50">
        <v>90.959197626434772</v>
      </c>
      <c r="B1426" s="50">
        <v>92.991595132104564</v>
      </c>
      <c r="C1426" s="50">
        <v>90.771012672206083</v>
      </c>
      <c r="D1426" s="50">
        <v>92.389403278572772</v>
      </c>
      <c r="E1426" s="50">
        <v>3547127.360611551</v>
      </c>
      <c r="F1426" s="50" t="s">
        <v>1432</v>
      </c>
      <c r="G1426" s="25">
        <f t="shared" si="20"/>
        <v>-1.5480191465525928E-2</v>
      </c>
    </row>
    <row r="1427" spans="1:7">
      <c r="A1427" s="50">
        <v>91.787211425040979</v>
      </c>
      <c r="B1427" s="50">
        <v>94.092477114342358</v>
      </c>
      <c r="C1427" s="50">
        <v>91.683709700215203</v>
      </c>
      <c r="D1427" s="50">
        <v>94.017203132650891</v>
      </c>
      <c r="E1427" s="50">
        <v>7958677.7069327869</v>
      </c>
      <c r="F1427" s="50" t="s">
        <v>1433</v>
      </c>
      <c r="G1427" s="25">
        <f t="shared" si="20"/>
        <v>-2.3718975180144097E-2</v>
      </c>
    </row>
    <row r="1428" spans="1:7">
      <c r="A1428" s="50">
        <v>94.478256270511167</v>
      </c>
      <c r="B1428" s="50">
        <v>95.306270069117389</v>
      </c>
      <c r="C1428" s="50">
        <v>93.405602031407668</v>
      </c>
      <c r="D1428" s="50">
        <v>93.772562692153599</v>
      </c>
      <c r="E1428" s="50">
        <v>2079327.7634963817</v>
      </c>
      <c r="F1428" s="50" t="s">
        <v>1434</v>
      </c>
      <c r="G1428" s="25">
        <f t="shared" si="20"/>
        <v>7.5255869957857602E-3</v>
      </c>
    </row>
    <row r="1429" spans="1:7">
      <c r="A1429" s="50">
        <v>94.487665518222599</v>
      </c>
      <c r="B1429" s="50">
        <v>95.814369445534822</v>
      </c>
      <c r="C1429" s="50">
        <v>93.622014728770651</v>
      </c>
      <c r="D1429" s="50">
        <v>94.591167243048375</v>
      </c>
      <c r="E1429" s="50">
        <v>3470807.7629111586</v>
      </c>
      <c r="F1429" s="50" t="s">
        <v>1435</v>
      </c>
      <c r="G1429" s="25">
        <f t="shared" si="20"/>
        <v>-1.0942007360986716E-3</v>
      </c>
    </row>
    <row r="1430" spans="1:7">
      <c r="A1430" s="50">
        <v>95.67323072986332</v>
      </c>
      <c r="B1430" s="50">
        <v>98.6089160158308</v>
      </c>
      <c r="C1430" s="50">
        <v>94.732305958719905</v>
      </c>
      <c r="D1430" s="50">
        <v>98.57127902498506</v>
      </c>
      <c r="E1430" s="50">
        <v>3622191.8101468412</v>
      </c>
      <c r="F1430" s="50" t="s">
        <v>1436</v>
      </c>
      <c r="G1430" s="25">
        <f t="shared" si="20"/>
        <v>-2.9400534555173663E-2</v>
      </c>
    </row>
    <row r="1431" spans="1:7">
      <c r="A1431" s="50">
        <v>97.159891868269938</v>
      </c>
      <c r="B1431" s="50">
        <v>99.455748309859885</v>
      </c>
      <c r="C1431" s="50">
        <v>96.877614436926891</v>
      </c>
      <c r="D1431" s="50">
        <v>97.846766951204614</v>
      </c>
      <c r="E1431" s="50">
        <v>5042120.4175916426</v>
      </c>
      <c r="F1431" s="50" t="s">
        <v>1437</v>
      </c>
      <c r="G1431" s="25">
        <f t="shared" si="20"/>
        <v>-7.0199057601689763E-3</v>
      </c>
    </row>
    <row r="1432" spans="1:7">
      <c r="A1432" s="50">
        <v>95.616775243594716</v>
      </c>
      <c r="B1432" s="50">
        <v>96.58122313401671</v>
      </c>
      <c r="C1432" s="50">
        <v>93.396192783696236</v>
      </c>
      <c r="D1432" s="50">
        <v>93.612605481059219</v>
      </c>
      <c r="E1432" s="50">
        <v>5584682.3902981551</v>
      </c>
      <c r="F1432" s="50" t="s">
        <v>1438</v>
      </c>
      <c r="G1432" s="25">
        <f t="shared" si="20"/>
        <v>2.1409186852950013E-2</v>
      </c>
    </row>
    <row r="1433" spans="1:7">
      <c r="A1433" s="50">
        <v>93.302100306581892</v>
      </c>
      <c r="B1433" s="50">
        <v>93.433829774541962</v>
      </c>
      <c r="C1433" s="50">
        <v>89.340807020068084</v>
      </c>
      <c r="D1433" s="50">
        <v>89.660721442256843</v>
      </c>
      <c r="E1433" s="50">
        <v>4985233.8293738039</v>
      </c>
      <c r="F1433" s="50" t="s">
        <v>1439</v>
      </c>
      <c r="G1433" s="25">
        <f t="shared" si="20"/>
        <v>4.0612865988036484E-2</v>
      </c>
    </row>
    <row r="1434" spans="1:7">
      <c r="A1434" s="50">
        <v>90.253504048077204</v>
      </c>
      <c r="B1434" s="50">
        <v>90.578123094121679</v>
      </c>
      <c r="C1434" s="50">
        <v>88.898572377630671</v>
      </c>
      <c r="D1434" s="50">
        <v>89.557219717431067</v>
      </c>
      <c r="E1434" s="50">
        <v>2868217.6118292776</v>
      </c>
      <c r="F1434" s="50" t="s">
        <v>1440</v>
      </c>
      <c r="G1434" s="25">
        <f t="shared" si="20"/>
        <v>7.7747425929817204E-3</v>
      </c>
    </row>
    <row r="1435" spans="1:7">
      <c r="A1435" s="50">
        <v>89.754813919371188</v>
      </c>
      <c r="B1435" s="50">
        <v>89.93358962588843</v>
      </c>
      <c r="C1435" s="50">
        <v>88.26815278096457</v>
      </c>
      <c r="D1435" s="50">
        <v>88.277562028676002</v>
      </c>
      <c r="E1435" s="50">
        <v>3031416.6312507712</v>
      </c>
      <c r="F1435" s="50" t="s">
        <v>1441</v>
      </c>
      <c r="G1435" s="25">
        <f t="shared" si="20"/>
        <v>1.6734171818375776E-2</v>
      </c>
    </row>
    <row r="1436" spans="1:7">
      <c r="A1436" s="50">
        <v>87.684779422855655</v>
      </c>
      <c r="B1436" s="50">
        <v>88.255544389031243</v>
      </c>
      <c r="C1436" s="50">
        <v>87.026132083055245</v>
      </c>
      <c r="D1436" s="50">
        <v>87.967056854198674</v>
      </c>
      <c r="E1436" s="50">
        <v>2566755.6791656264</v>
      </c>
      <c r="F1436" s="50" t="s">
        <v>1442</v>
      </c>
      <c r="G1436" s="25">
        <f t="shared" si="20"/>
        <v>-3.2088993475236638E-3</v>
      </c>
    </row>
    <row r="1437" spans="1:7">
      <c r="A1437" s="50">
        <v>88.01410309275586</v>
      </c>
      <c r="B1437" s="50">
        <v>88.823298395939204</v>
      </c>
      <c r="C1437" s="50">
        <v>86.979085844498087</v>
      </c>
      <c r="D1437" s="50">
        <v>87.797690395392863</v>
      </c>
      <c r="E1437" s="50">
        <v>3050023.8573935414</v>
      </c>
      <c r="F1437" s="50" t="s">
        <v>1443</v>
      </c>
      <c r="G1437" s="25">
        <f t="shared" si="20"/>
        <v>2.4649019397706695E-3</v>
      </c>
    </row>
    <row r="1438" spans="1:7">
      <c r="A1438" s="50">
        <v>87.807099643104294</v>
      </c>
      <c r="B1438" s="50">
        <v>88.870344634496362</v>
      </c>
      <c r="C1438" s="50">
        <v>86.781491642557967</v>
      </c>
      <c r="D1438" s="50">
        <v>88.738615166536292</v>
      </c>
      <c r="E1438" s="50">
        <v>4345504.6836860795</v>
      </c>
      <c r="F1438" s="50" t="s">
        <v>1444</v>
      </c>
      <c r="G1438" s="25">
        <f t="shared" si="20"/>
        <v>-1.0497296150991486E-2</v>
      </c>
    </row>
    <row r="1439" spans="1:7">
      <c r="A1439" s="50">
        <v>89.058529588725051</v>
      </c>
      <c r="B1439" s="50">
        <v>89.18084980897369</v>
      </c>
      <c r="C1439" s="50">
        <v>87.035541330766691</v>
      </c>
      <c r="D1439" s="50">
        <v>89.08675733185936</v>
      </c>
      <c r="E1439" s="50">
        <v>4098413.7289889571</v>
      </c>
      <c r="F1439" s="50" t="s">
        <v>1445</v>
      </c>
      <c r="G1439" s="25">
        <f t="shared" si="20"/>
        <v>-3.1685678073523071E-4</v>
      </c>
    </row>
    <row r="1440" spans="1:7">
      <c r="A1440" s="50">
        <v>90.978016121857635</v>
      </c>
      <c r="B1440" s="50">
        <v>91.034471608126239</v>
      </c>
      <c r="C1440" s="50">
        <v>88.860935386784931</v>
      </c>
      <c r="D1440" s="50">
        <v>89.114985074993655</v>
      </c>
      <c r="E1440" s="50">
        <v>2967244.6571973893</v>
      </c>
      <c r="F1440" s="50" t="s">
        <v>1446</v>
      </c>
      <c r="G1440" s="25">
        <f t="shared" si="20"/>
        <v>2.0905923344947785E-2</v>
      </c>
    </row>
    <row r="1441" spans="1:7">
      <c r="A1441" s="50">
        <v>88.842116891362068</v>
      </c>
      <c r="B1441" s="50">
        <v>90.601646213400272</v>
      </c>
      <c r="C1441" s="50">
        <v>88.616294946287653</v>
      </c>
      <c r="D1441" s="50">
        <v>90.102956084694256</v>
      </c>
      <c r="E1441" s="50">
        <v>3791644.2519252035</v>
      </c>
      <c r="F1441" s="50" t="s">
        <v>1447</v>
      </c>
      <c r="G1441" s="25">
        <f t="shared" si="20"/>
        <v>-1.3993316624895558E-2</v>
      </c>
    </row>
    <row r="1442" spans="1:7">
      <c r="A1442" s="50">
        <v>90.131183827828565</v>
      </c>
      <c r="B1442" s="50">
        <v>90.309959534345808</v>
      </c>
      <c r="C1442" s="50">
        <v>88.108289662347303</v>
      </c>
      <c r="D1442" s="50">
        <v>89.049120341013619</v>
      </c>
      <c r="E1442" s="50">
        <v>3721687.5433564517</v>
      </c>
      <c r="F1442" s="50" t="s">
        <v>1448</v>
      </c>
      <c r="G1442" s="25">
        <f t="shared" si="20"/>
        <v>1.2151310228233347E-2</v>
      </c>
    </row>
    <row r="1443" spans="1:7">
      <c r="A1443" s="50">
        <v>89.69835843310257</v>
      </c>
      <c r="B1443" s="50">
        <v>91.410841516583616</v>
      </c>
      <c r="C1443" s="50">
        <v>87.788281147681431</v>
      </c>
      <c r="D1443" s="50">
        <v>89.670130689968275</v>
      </c>
      <c r="E1443" s="50">
        <v>5091210.420763596</v>
      </c>
      <c r="F1443" s="50" t="s">
        <v>1449</v>
      </c>
      <c r="G1443" s="25">
        <f t="shared" si="20"/>
        <v>3.1479538300094312E-4</v>
      </c>
    </row>
    <row r="1444" spans="1:7">
      <c r="A1444" s="50">
        <v>90.959197626434772</v>
      </c>
      <c r="B1444" s="50">
        <v>92.003624122403963</v>
      </c>
      <c r="C1444" s="50">
        <v>89.867724891908395</v>
      </c>
      <c r="D1444" s="50">
        <v>89.867724891908395</v>
      </c>
      <c r="E1444" s="50">
        <v>4506005.2939702366</v>
      </c>
      <c r="F1444" s="50" t="s">
        <v>1450</v>
      </c>
      <c r="G1444" s="25">
        <f t="shared" si="20"/>
        <v>1.2145325096848625E-2</v>
      </c>
    </row>
    <row r="1445" spans="1:7">
      <c r="A1445" s="50">
        <v>90.836877406186119</v>
      </c>
      <c r="B1445" s="50">
        <v>91.655481957080895</v>
      </c>
      <c r="C1445" s="50">
        <v>89.745404671659742</v>
      </c>
      <c r="D1445" s="50">
        <v>90.150002323251428</v>
      </c>
      <c r="E1445" s="50">
        <v>4634273.7843973031</v>
      </c>
      <c r="F1445" s="50" t="s">
        <v>1451</v>
      </c>
      <c r="G1445" s="25">
        <f t="shared" si="20"/>
        <v>7.6192464252164971E-3</v>
      </c>
    </row>
    <row r="1446" spans="1:7">
      <c r="A1446" s="50">
        <v>90.639283204245999</v>
      </c>
      <c r="B1446" s="50">
        <v>91.702528195638067</v>
      </c>
      <c r="C1446" s="50">
        <v>89.133803570416532</v>
      </c>
      <c r="D1446" s="50">
        <v>89.623084451411103</v>
      </c>
      <c r="E1446" s="50">
        <v>4492952.1781668607</v>
      </c>
      <c r="F1446" s="50" t="s">
        <v>1452</v>
      </c>
      <c r="G1446" s="25">
        <f t="shared" si="20"/>
        <v>1.1338582677165254E-2</v>
      </c>
    </row>
    <row r="1447" spans="1:7">
      <c r="A1447" s="50">
        <v>88.446928487481827</v>
      </c>
      <c r="B1447" s="50">
        <v>89.726586176236879</v>
      </c>
      <c r="C1447" s="50">
        <v>88.051740083601587</v>
      </c>
      <c r="D1447" s="50">
        <v>89.199668304396553</v>
      </c>
      <c r="E1447" s="50">
        <v>3783920.998990573</v>
      </c>
      <c r="F1447" s="50" t="s">
        <v>1453</v>
      </c>
      <c r="G1447" s="25">
        <f t="shared" si="20"/>
        <v>-8.4388185654007408E-3</v>
      </c>
    </row>
    <row r="1448" spans="1:7">
      <c r="A1448" s="50">
        <v>89.557219717431067</v>
      </c>
      <c r="B1448" s="50">
        <v>90.827468158474687</v>
      </c>
      <c r="C1448" s="50">
        <v>89.397262506336688</v>
      </c>
      <c r="D1448" s="50">
        <v>90.658101699668862</v>
      </c>
      <c r="E1448" s="50">
        <v>3054212.2900088402</v>
      </c>
      <c r="F1448" s="50" t="s">
        <v>1454</v>
      </c>
      <c r="G1448" s="25">
        <f t="shared" si="20"/>
        <v>-1.2143227815256785E-2</v>
      </c>
    </row>
    <row r="1449" spans="1:7">
      <c r="A1449" s="50">
        <v>90.629873956534567</v>
      </c>
      <c r="B1449" s="50">
        <v>92.013033370115409</v>
      </c>
      <c r="C1449" s="50">
        <v>90.018272855291343</v>
      </c>
      <c r="D1449" s="50">
        <v>90.799240415340378</v>
      </c>
      <c r="E1449" s="50">
        <v>2833401.8635307276</v>
      </c>
      <c r="F1449" s="50" t="s">
        <v>1455</v>
      </c>
      <c r="G1449" s="25">
        <f t="shared" si="20"/>
        <v>-1.8652849740932176E-3</v>
      </c>
    </row>
    <row r="1450" spans="1:7">
      <c r="A1450" s="50">
        <v>91.608435718523722</v>
      </c>
      <c r="B1450" s="50">
        <v>92.003624122403963</v>
      </c>
      <c r="C1450" s="50">
        <v>90.695738690514602</v>
      </c>
      <c r="D1450" s="50">
        <v>90.949788378723326</v>
      </c>
      <c r="E1450" s="50">
        <v>5745007.6411858331</v>
      </c>
      <c r="F1450" s="50" t="s">
        <v>1456</v>
      </c>
      <c r="G1450" s="25">
        <f t="shared" si="20"/>
        <v>7.2418787502586124E-3</v>
      </c>
    </row>
    <row r="1451" spans="1:7">
      <c r="A1451" s="50">
        <v>89.237305295242308</v>
      </c>
      <c r="B1451" s="50">
        <v>89.594856708276794</v>
      </c>
      <c r="C1451" s="50">
        <v>86.837947128826571</v>
      </c>
      <c r="D1451" s="50">
        <v>87.684779422855655</v>
      </c>
      <c r="E1451" s="50">
        <v>4298300.0597223323</v>
      </c>
      <c r="F1451" s="50" t="s">
        <v>1457</v>
      </c>
      <c r="G1451" s="25">
        <f t="shared" si="20"/>
        <v>1.7705762420860749E-2</v>
      </c>
    </row>
    <row r="1452" spans="1:7">
      <c r="A1452" s="50">
        <v>88.032921588178723</v>
      </c>
      <c r="B1452" s="50">
        <v>90.102956084694256</v>
      </c>
      <c r="C1452" s="50">
        <v>87.299000266686846</v>
      </c>
      <c r="D1452" s="50">
        <v>88.672750432556242</v>
      </c>
      <c r="E1452" s="50">
        <v>5122300.0475830184</v>
      </c>
      <c r="F1452" s="50" t="s">
        <v>1458</v>
      </c>
      <c r="G1452" s="25">
        <f t="shared" si="20"/>
        <v>-7.2156196943972128E-3</v>
      </c>
    </row>
    <row r="1453" spans="1:7">
      <c r="A1453" s="50">
        <v>87.722416413701396</v>
      </c>
      <c r="B1453" s="50">
        <v>87.792985771537147</v>
      </c>
      <c r="C1453" s="50">
        <v>84.5138629441023</v>
      </c>
      <c r="D1453" s="50">
        <v>84.984325329674022</v>
      </c>
      <c r="E1453" s="50">
        <v>4677158.1905023362</v>
      </c>
      <c r="F1453" s="50" t="s">
        <v>1459</v>
      </c>
      <c r="G1453" s="25">
        <f t="shared" si="20"/>
        <v>3.221877767936232E-2</v>
      </c>
    </row>
    <row r="1454" spans="1:7">
      <c r="A1454" s="50">
        <v>85.219556522459868</v>
      </c>
      <c r="B1454" s="50">
        <v>87.703597918278518</v>
      </c>
      <c r="C1454" s="50">
        <v>84.288040999027885</v>
      </c>
      <c r="D1454" s="50">
        <v>87.044950578478122</v>
      </c>
      <c r="E1454" s="50">
        <v>4766081.346280585</v>
      </c>
      <c r="F1454" s="50" t="s">
        <v>1460</v>
      </c>
      <c r="G1454" s="25">
        <f t="shared" si="20"/>
        <v>-2.0970705869635897E-2</v>
      </c>
    </row>
    <row r="1455" spans="1:7">
      <c r="A1455" s="50">
        <v>87.411911239224068</v>
      </c>
      <c r="B1455" s="50">
        <v>87.595391569597027</v>
      </c>
      <c r="C1455" s="50">
        <v>85.351285990419953</v>
      </c>
      <c r="D1455" s="50">
        <v>86.536851202060674</v>
      </c>
      <c r="E1455" s="50">
        <v>6782793.0518232547</v>
      </c>
      <c r="F1455" s="50" t="s">
        <v>1461</v>
      </c>
      <c r="G1455" s="25">
        <f t="shared" si="20"/>
        <v>1.0111993041209244E-2</v>
      </c>
    </row>
    <row r="1503" spans="7:7">
      <c r="G1503" s="25"/>
    </row>
    <row r="1504" spans="7: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row r="1546" spans="7:7">
      <c r="G1546" s="25"/>
    </row>
    <row r="1547" spans="7:7">
      <c r="G1547" s="25"/>
    </row>
    <row r="1548" spans="7:7">
      <c r="G1548" s="25"/>
    </row>
    <row r="1549" spans="7:7">
      <c r="G1549" s="25"/>
    </row>
    <row r="1550" spans="7:7">
      <c r="G1550" s="25"/>
    </row>
    <row r="1551" spans="7:7">
      <c r="G1551" s="25"/>
    </row>
    <row r="1552" spans="7:7">
      <c r="G1552" s="25"/>
    </row>
    <row r="1553" spans="7:7">
      <c r="G1553" s="25"/>
    </row>
    <row r="1554" spans="7:7">
      <c r="G1554" s="25"/>
    </row>
    <row r="1555" spans="7:7">
      <c r="G1555" s="25"/>
    </row>
    <row r="1556" spans="7:7">
      <c r="G1556" s="25"/>
    </row>
    <row r="1557" spans="7:7">
      <c r="G1557" s="25"/>
    </row>
    <row r="1558" spans="7:7">
      <c r="G1558" s="25"/>
    </row>
    <row r="1559" spans="7:7">
      <c r="G1559" s="25"/>
    </row>
    <row r="1560" spans="7:7">
      <c r="G1560" s="25"/>
    </row>
    <row r="1561" spans="7:7">
      <c r="G1561" s="25"/>
    </row>
    <row r="1562" spans="7:7">
      <c r="G1562" s="25"/>
    </row>
    <row r="1563" spans="7:7">
      <c r="G1563" s="25"/>
    </row>
    <row r="1564" spans="7:7">
      <c r="G1564" s="25"/>
    </row>
    <row r="1565" spans="7:7">
      <c r="G1565" s="25"/>
    </row>
    <row r="1566" spans="7:7">
      <c r="G1566" s="25"/>
    </row>
    <row r="1567" spans="7:7">
      <c r="G1567" s="25"/>
    </row>
    <row r="1568" spans="7:7">
      <c r="G1568" s="25"/>
    </row>
    <row r="1569" spans="7:7">
      <c r="G1569" s="25"/>
    </row>
    <row r="1570" spans="7:7">
      <c r="G1570" s="25"/>
    </row>
    <row r="1571" spans="7:7">
      <c r="G1571" s="25"/>
    </row>
    <row r="1572" spans="7:7">
      <c r="G1572" s="25"/>
    </row>
    <row r="1573" spans="7:7">
      <c r="G1573" s="25"/>
    </row>
    <row r="1574" spans="7:7">
      <c r="G1574" s="25"/>
    </row>
    <row r="1575" spans="7:7">
      <c r="G1575" s="25"/>
    </row>
    <row r="1576" spans="7:7">
      <c r="G1576" s="25"/>
    </row>
    <row r="1577" spans="7:7">
      <c r="G1577" s="25"/>
    </row>
    <row r="1578" spans="7:7">
      <c r="G1578" s="25"/>
    </row>
    <row r="1579" spans="7:7">
      <c r="G1579" s="25"/>
    </row>
    <row r="1580" spans="7:7">
      <c r="G1580" s="25"/>
    </row>
    <row r="1581" spans="7:7">
      <c r="G1581" s="25"/>
    </row>
    <row r="1582" spans="7:7">
      <c r="G1582" s="25"/>
    </row>
    <row r="1583" spans="7:7">
      <c r="G1583" s="25"/>
    </row>
    <row r="1584" spans="7:7">
      <c r="G1584" s="25"/>
    </row>
    <row r="1585" spans="7:7">
      <c r="G1585" s="25"/>
    </row>
    <row r="1586" spans="7:7">
      <c r="G1586" s="25"/>
    </row>
    <row r="1587" spans="7:7">
      <c r="G1587" s="25"/>
    </row>
    <row r="1588" spans="7:7">
      <c r="G1588" s="25"/>
    </row>
    <row r="1589" spans="7:7">
      <c r="G1589" s="25"/>
    </row>
    <row r="1590" spans="7:7">
      <c r="G1590" s="25"/>
    </row>
    <row r="1591" spans="7:7">
      <c r="G1591" s="25"/>
    </row>
    <row r="1592" spans="7:7">
      <c r="G1592" s="25"/>
    </row>
    <row r="1593" spans="7:7">
      <c r="G1593" s="25"/>
    </row>
    <row r="1594" spans="7:7">
      <c r="G1594" s="25"/>
    </row>
    <row r="1595" spans="7:7">
      <c r="G1595" s="25"/>
    </row>
    <row r="1596" spans="7:7">
      <c r="G1596" s="25"/>
    </row>
    <row r="1597" spans="7:7">
      <c r="G1597" s="25"/>
    </row>
    <row r="1598" spans="7:7">
      <c r="G1598" s="25"/>
    </row>
    <row r="1599" spans="7:7">
      <c r="G1599" s="25"/>
    </row>
    <row r="1600" spans="7:7">
      <c r="G1600" s="25"/>
    </row>
    <row r="1601" spans="7:7">
      <c r="G1601" s="25"/>
    </row>
    <row r="1602" spans="7:7">
      <c r="G1602" s="25"/>
    </row>
    <row r="1603" spans="7:7">
      <c r="G1603" s="25"/>
    </row>
    <row r="1604" spans="7:7">
      <c r="G1604" s="25"/>
    </row>
    <row r="1605" spans="7:7">
      <c r="G1605" s="25"/>
    </row>
    <row r="1606" spans="7:7">
      <c r="G1606" s="25"/>
    </row>
    <row r="1607" spans="7:7">
      <c r="G1607" s="25"/>
    </row>
    <row r="1608" spans="7:7">
      <c r="G1608" s="25"/>
    </row>
    <row r="1609" spans="7:7">
      <c r="G1609" s="25"/>
    </row>
    <row r="1610" spans="7:7">
      <c r="G1610" s="25"/>
    </row>
    <row r="1611" spans="7:7">
      <c r="G1611" s="25"/>
    </row>
    <row r="1612" spans="7:7">
      <c r="G1612" s="25"/>
    </row>
    <row r="1613" spans="7:7">
      <c r="G1613" s="25"/>
    </row>
    <row r="1614" spans="7:7">
      <c r="G1614" s="25"/>
    </row>
    <row r="1615" spans="7:7">
      <c r="G1615" s="25"/>
    </row>
    <row r="1616" spans="7:7">
      <c r="G1616" s="25"/>
    </row>
    <row r="1617" spans="7:7">
      <c r="G1617" s="25"/>
    </row>
    <row r="1618" spans="7:7">
      <c r="G1618" s="25"/>
    </row>
  </sheetData>
  <sortState xmlns:xlrd2="http://schemas.microsoft.com/office/spreadsheetml/2017/richdata2" ref="I212:I250">
    <sortCondition ref="I212"/>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RowHeight="14.25"/>
  <cols>
    <col min="1" max="1" width="3" style="1" customWidth="1"/>
    <col min="2" max="16384" width="9.140625" style="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RowHeight="14.25"/>
  <cols>
    <col min="1" max="1" width="3.140625" style="1" customWidth="1"/>
    <col min="2" max="16384" width="9.140625" style="1"/>
  </cols>
  <sheetData>
    <row r="2" spans="2:26" ht="15">
      <c r="B2" s="3" t="s">
        <v>11</v>
      </c>
      <c r="C2" s="4"/>
      <c r="D2" s="4"/>
      <c r="E2" s="4"/>
      <c r="F2" s="4"/>
      <c r="G2" s="3" t="s">
        <v>11</v>
      </c>
      <c r="H2" s="5"/>
      <c r="I2" s="5"/>
      <c r="J2" s="5"/>
      <c r="K2" s="5"/>
      <c r="L2" s="5"/>
      <c r="M2" s="5"/>
      <c r="N2" s="5"/>
      <c r="O2" s="5"/>
      <c r="P2" s="5"/>
      <c r="Q2" s="5"/>
      <c r="R2" s="5"/>
      <c r="S2" s="5"/>
      <c r="T2" s="5"/>
      <c r="U2" s="5"/>
      <c r="V2" s="5"/>
      <c r="W2" s="5"/>
      <c r="X2" s="5"/>
      <c r="Y2" s="5"/>
      <c r="Z2" s="6"/>
    </row>
    <row r="3" spans="2:26" ht="15">
      <c r="B3" s="7" t="s">
        <v>12</v>
      </c>
      <c r="C3" s="8"/>
      <c r="D3" s="8"/>
      <c r="E3" s="8"/>
      <c r="F3" s="9"/>
      <c r="G3" s="10" t="s">
        <v>13</v>
      </c>
      <c r="H3" s="10"/>
      <c r="I3" s="10"/>
      <c r="J3" s="10"/>
      <c r="K3" s="10"/>
      <c r="L3" s="10"/>
      <c r="M3" s="10"/>
      <c r="N3" s="10"/>
      <c r="O3" s="10"/>
      <c r="P3" s="10"/>
      <c r="Q3" s="10"/>
      <c r="R3" s="10"/>
      <c r="S3" s="10"/>
      <c r="T3" s="10"/>
      <c r="U3" s="10"/>
      <c r="V3" s="10"/>
      <c r="W3" s="10"/>
      <c r="X3" s="10"/>
      <c r="Y3" s="10"/>
      <c r="Z3" s="11"/>
    </row>
    <row r="4" spans="2:26" ht="15">
      <c r="B4" s="12" t="s">
        <v>12</v>
      </c>
      <c r="C4" s="13"/>
      <c r="D4" s="13"/>
      <c r="E4" s="13"/>
      <c r="F4" s="14"/>
      <c r="G4" s="15" t="s">
        <v>14</v>
      </c>
      <c r="H4" s="15"/>
      <c r="I4" s="15"/>
      <c r="J4" s="15"/>
      <c r="K4" s="15"/>
      <c r="L4" s="15"/>
      <c r="M4" s="15"/>
      <c r="N4" s="15"/>
      <c r="O4" s="15"/>
      <c r="P4" s="15"/>
      <c r="Q4" s="15"/>
      <c r="R4" s="15"/>
      <c r="S4" s="15"/>
      <c r="T4" s="15"/>
      <c r="U4" s="15"/>
      <c r="V4" s="15"/>
      <c r="W4" s="15"/>
      <c r="X4" s="15"/>
      <c r="Y4" s="15"/>
      <c r="Z4" s="16"/>
    </row>
    <row r="5" spans="2:26" ht="15">
      <c r="B5" s="12" t="s">
        <v>12</v>
      </c>
      <c r="C5" s="13"/>
      <c r="D5" s="13"/>
      <c r="E5" s="13"/>
      <c r="F5" s="14"/>
      <c r="G5" s="17" t="s">
        <v>13</v>
      </c>
      <c r="H5" s="17"/>
      <c r="I5" s="17"/>
      <c r="J5" s="17"/>
      <c r="K5" s="17"/>
      <c r="L5" s="17"/>
      <c r="M5" s="17"/>
      <c r="N5" s="17"/>
      <c r="O5" s="17"/>
      <c r="P5" s="17"/>
      <c r="Q5" s="17"/>
      <c r="R5" s="17"/>
      <c r="S5" s="17"/>
      <c r="T5" s="17"/>
      <c r="U5" s="17"/>
      <c r="V5" s="17"/>
      <c r="W5" s="17"/>
      <c r="X5" s="17"/>
      <c r="Y5" s="17"/>
      <c r="Z5" s="18"/>
    </row>
    <row r="6" spans="2:26" ht="15">
      <c r="B6" s="12" t="s">
        <v>12</v>
      </c>
      <c r="C6" s="13"/>
      <c r="D6" s="13"/>
      <c r="E6" s="13"/>
      <c r="F6" s="14"/>
      <c r="G6" s="15" t="s">
        <v>14</v>
      </c>
      <c r="H6" s="15"/>
      <c r="I6" s="15"/>
      <c r="J6" s="15"/>
      <c r="K6" s="15"/>
      <c r="L6" s="15"/>
      <c r="M6" s="15"/>
      <c r="N6" s="15"/>
      <c r="O6" s="15"/>
      <c r="P6" s="15"/>
      <c r="Q6" s="15"/>
      <c r="R6" s="15"/>
      <c r="S6" s="15"/>
      <c r="T6" s="15"/>
      <c r="U6" s="15"/>
      <c r="V6" s="15"/>
      <c r="W6" s="15"/>
      <c r="X6" s="15"/>
      <c r="Y6" s="15"/>
      <c r="Z6" s="16"/>
    </row>
    <row r="7" spans="2:26" ht="15">
      <c r="B7" s="12" t="s">
        <v>12</v>
      </c>
      <c r="C7" s="13"/>
      <c r="D7" s="13"/>
      <c r="E7" s="13"/>
      <c r="F7" s="14"/>
      <c r="G7" s="17" t="s">
        <v>13</v>
      </c>
      <c r="H7" s="17"/>
      <c r="I7" s="17"/>
      <c r="J7" s="17"/>
      <c r="K7" s="17"/>
      <c r="L7" s="17"/>
      <c r="M7" s="17"/>
      <c r="N7" s="17"/>
      <c r="O7" s="17"/>
      <c r="P7" s="17"/>
      <c r="Q7" s="17"/>
      <c r="R7" s="17"/>
      <c r="S7" s="17"/>
      <c r="T7" s="17"/>
      <c r="U7" s="17"/>
      <c r="V7" s="17"/>
      <c r="W7" s="17"/>
      <c r="X7" s="17"/>
      <c r="Y7" s="17"/>
      <c r="Z7" s="18"/>
    </row>
    <row r="8" spans="2:26" ht="15">
      <c r="B8" s="19" t="s">
        <v>12</v>
      </c>
      <c r="C8" s="20"/>
      <c r="D8" s="20"/>
      <c r="E8" s="20"/>
      <c r="F8" s="21"/>
      <c r="G8" s="22" t="s">
        <v>14</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2025-10-06T07:28:06Z</dcterms:modified>
</cp:coreProperties>
</file>