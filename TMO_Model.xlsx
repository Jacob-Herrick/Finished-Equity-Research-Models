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1C74CBD1-8F83-4C40-963B-3E8224F9F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Consumables" sheetId="5" r:id="rId4"/>
    <sheet name="Instruments" sheetId="8" r:id="rId5"/>
    <sheet name="Services" sheetId="7" r:id="rId6"/>
    <sheet name="Management" sheetId="6" r:id="rId7"/>
    <sheet name="Table Formatting" sheetId="4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100" i="2" l="1"/>
  <c r="BQ133" i="2"/>
  <c r="BQ132" i="2"/>
  <c r="BQ74" i="2"/>
  <c r="BQ135" i="2"/>
  <c r="BQ127" i="2"/>
  <c r="BQ124" i="2"/>
  <c r="BQ123" i="2"/>
  <c r="BQ122" i="2"/>
  <c r="BQ118" i="2"/>
  <c r="BQ120" i="2" s="1"/>
  <c r="BQ107" i="2"/>
  <c r="BQ56" i="2"/>
  <c r="BQ50" i="2"/>
  <c r="BQ43" i="2"/>
  <c r="BQ39" i="2"/>
  <c r="BQ27" i="2"/>
  <c r="BQ26" i="2"/>
  <c r="BQ25" i="2"/>
  <c r="BQ24" i="2"/>
  <c r="BQ22" i="2"/>
  <c r="BQ11" i="2"/>
  <c r="BQ10" i="2"/>
  <c r="BQ9" i="2"/>
  <c r="BQ7" i="2"/>
  <c r="C7" i="1"/>
  <c r="C6" i="1"/>
  <c r="DC99" i="2"/>
  <c r="DJ107" i="2"/>
  <c r="DJ105" i="2"/>
  <c r="DE105" i="2"/>
  <c r="BQ134" i="2" l="1"/>
  <c r="BQ136" i="2"/>
  <c r="BQ63" i="2"/>
  <c r="BQ62" i="2"/>
  <c r="BQ61" i="2"/>
  <c r="BQ58" i="2"/>
  <c r="BQ71" i="2" s="1"/>
  <c r="BQ60" i="2"/>
  <c r="BQ32" i="2"/>
  <c r="BQ30" i="2"/>
  <c r="BQ33" i="2"/>
  <c r="BQ28" i="2"/>
  <c r="BQ31" i="2"/>
  <c r="BQ16" i="2"/>
  <c r="BQ15" i="2"/>
  <c r="BQ12" i="2"/>
  <c r="BQ14" i="2"/>
  <c r="DE109" i="2"/>
  <c r="DJ101" i="2"/>
  <c r="CQ79" i="2"/>
  <c r="CQ78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CM129" i="2"/>
  <c r="CM128" i="2"/>
  <c r="CM127" i="2"/>
  <c r="CM126" i="2"/>
  <c r="CM125" i="2"/>
  <c r="CM124" i="2"/>
  <c r="CM123" i="2"/>
  <c r="CM122" i="2"/>
  <c r="CN129" i="2"/>
  <c r="CN128" i="2"/>
  <c r="CN127" i="2"/>
  <c r="CN126" i="2"/>
  <c r="CN125" i="2"/>
  <c r="CN124" i="2"/>
  <c r="CN123" i="2"/>
  <c r="CN122" i="2"/>
  <c r="CO129" i="2"/>
  <c r="CO128" i="2"/>
  <c r="CO127" i="2"/>
  <c r="CO126" i="2"/>
  <c r="CO125" i="2"/>
  <c r="CO124" i="2"/>
  <c r="CO123" i="2"/>
  <c r="CO122" i="2"/>
  <c r="CP129" i="2"/>
  <c r="CP128" i="2"/>
  <c r="CP127" i="2"/>
  <c r="CP126" i="2"/>
  <c r="CP125" i="2"/>
  <c r="CP124" i="2"/>
  <c r="CP123" i="2"/>
  <c r="CP122" i="2"/>
  <c r="CP120" i="2"/>
  <c r="CO120" i="2"/>
  <c r="CN120" i="2"/>
  <c r="CM120" i="2"/>
  <c r="CP119" i="2"/>
  <c r="CO119" i="2"/>
  <c r="CN119" i="2"/>
  <c r="CM119" i="2"/>
  <c r="CP118" i="2"/>
  <c r="CO118" i="2"/>
  <c r="CN118" i="2"/>
  <c r="CM118" i="2"/>
  <c r="CP117" i="2"/>
  <c r="CO117" i="2"/>
  <c r="CN117" i="2"/>
  <c r="CM117" i="2"/>
  <c r="CP116" i="2"/>
  <c r="CO116" i="2"/>
  <c r="CN116" i="2"/>
  <c r="CM116" i="2"/>
  <c r="CP115" i="2"/>
  <c r="CO115" i="2"/>
  <c r="CN115" i="2"/>
  <c r="CM115" i="2"/>
  <c r="CP114" i="2"/>
  <c r="CO114" i="2"/>
  <c r="CN114" i="2"/>
  <c r="CM114" i="2"/>
  <c r="CP113" i="2"/>
  <c r="CO113" i="2"/>
  <c r="CN113" i="2"/>
  <c r="CM113" i="2"/>
  <c r="CP112" i="2"/>
  <c r="CO112" i="2"/>
  <c r="CN112" i="2"/>
  <c r="CM112" i="2"/>
  <c r="CP111" i="2"/>
  <c r="CO111" i="2"/>
  <c r="CN111" i="2"/>
  <c r="CM111" i="2"/>
  <c r="CP110" i="2"/>
  <c r="CO110" i="2"/>
  <c r="CN110" i="2"/>
  <c r="CM110" i="2"/>
  <c r="CP109" i="2"/>
  <c r="CO109" i="2"/>
  <c r="CN109" i="2"/>
  <c r="CM109" i="2"/>
  <c r="CP107" i="2"/>
  <c r="CO107" i="2"/>
  <c r="CN107" i="2"/>
  <c r="CM107" i="2"/>
  <c r="CP106" i="2"/>
  <c r="CO106" i="2"/>
  <c r="CN106" i="2"/>
  <c r="CM106" i="2"/>
  <c r="CP105" i="2"/>
  <c r="CO105" i="2"/>
  <c r="CN105" i="2"/>
  <c r="CM105" i="2"/>
  <c r="CP104" i="2"/>
  <c r="CO104" i="2"/>
  <c r="CN104" i="2"/>
  <c r="CM104" i="2"/>
  <c r="CP103" i="2"/>
  <c r="CO103" i="2"/>
  <c r="CN103" i="2"/>
  <c r="CM103" i="2"/>
  <c r="CP102" i="2"/>
  <c r="CO102" i="2"/>
  <c r="CN102" i="2"/>
  <c r="CM102" i="2"/>
  <c r="CP101" i="2"/>
  <c r="CO101" i="2"/>
  <c r="CN101" i="2"/>
  <c r="CM101" i="2"/>
  <c r="CP100" i="2"/>
  <c r="CO100" i="2"/>
  <c r="CN100" i="2"/>
  <c r="CM100" i="2"/>
  <c r="CP99" i="2"/>
  <c r="CO99" i="2"/>
  <c r="CN99" i="2"/>
  <c r="CM99" i="2"/>
  <c r="CP98" i="2"/>
  <c r="CO98" i="2"/>
  <c r="CN98" i="2"/>
  <c r="CM98" i="2"/>
  <c r="BC107" i="2"/>
  <c r="C140" i="2"/>
  <c r="C139" i="2"/>
  <c r="C138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P13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BO131" i="2"/>
  <c r="BN131" i="2"/>
  <c r="BM131" i="2"/>
  <c r="BL131" i="2"/>
  <c r="BK131" i="2"/>
  <c r="BH131" i="2"/>
  <c r="BG131" i="2"/>
  <c r="BE131" i="2"/>
  <c r="BC131" i="2"/>
  <c r="BB131" i="2"/>
  <c r="BA131" i="2"/>
  <c r="AZ131" i="2"/>
  <c r="AY131" i="2"/>
  <c r="AW131" i="2"/>
  <c r="AV131" i="2"/>
  <c r="AU131" i="2"/>
  <c r="BP131" i="2"/>
  <c r="AX84" i="2"/>
  <c r="AX82" i="2"/>
  <c r="AX80" i="2"/>
  <c r="AX79" i="2"/>
  <c r="AX78" i="2"/>
  <c r="BB84" i="2"/>
  <c r="BB82" i="2"/>
  <c r="BB80" i="2"/>
  <c r="BB79" i="2"/>
  <c r="BB78" i="2"/>
  <c r="BG73" i="2"/>
  <c r="BG82" i="2"/>
  <c r="BJ82" i="2"/>
  <c r="BB127" i="2"/>
  <c r="BB125" i="2"/>
  <c r="BB124" i="2"/>
  <c r="BB123" i="2"/>
  <c r="BB122" i="2"/>
  <c r="BB118" i="2"/>
  <c r="BB120" i="2" s="1"/>
  <c r="BB107" i="2"/>
  <c r="AX21" i="2"/>
  <c r="AX20" i="2"/>
  <c r="AX19" i="2"/>
  <c r="AX18" i="2"/>
  <c r="AX6" i="2"/>
  <c r="AX5" i="2"/>
  <c r="AX10" i="2" s="1"/>
  <c r="AX4" i="2"/>
  <c r="BB21" i="2"/>
  <c r="BB20" i="2"/>
  <c r="BB19" i="2"/>
  <c r="BB18" i="2"/>
  <c r="BB6" i="2"/>
  <c r="BB5" i="2"/>
  <c r="BB4" i="2"/>
  <c r="BF84" i="2"/>
  <c r="BF82" i="2"/>
  <c r="BF80" i="2"/>
  <c r="BF79" i="2"/>
  <c r="BF78" i="2"/>
  <c r="CQ6" i="2"/>
  <c r="CQ5" i="2"/>
  <c r="CQ4" i="2"/>
  <c r="BF21" i="2"/>
  <c r="BF20" i="2"/>
  <c r="BF19" i="2"/>
  <c r="BF18" i="2"/>
  <c r="BF6" i="2"/>
  <c r="BF5" i="2"/>
  <c r="BF4" i="2"/>
  <c r="BJ21" i="2"/>
  <c r="BJ20" i="2"/>
  <c r="BJ19" i="2"/>
  <c r="BJ18" i="2"/>
  <c r="BJ6" i="2"/>
  <c r="BJ5" i="2"/>
  <c r="BJ4" i="2"/>
  <c r="BN21" i="2"/>
  <c r="BN20" i="2"/>
  <c r="BN19" i="2"/>
  <c r="BN18" i="2"/>
  <c r="BN6" i="2"/>
  <c r="BN5" i="2"/>
  <c r="BN4" i="2"/>
  <c r="BN57" i="2"/>
  <c r="BN55" i="2"/>
  <c r="BN54" i="2"/>
  <c r="BN53" i="2"/>
  <c r="BN52" i="2"/>
  <c r="BN51" i="2"/>
  <c r="BN49" i="2"/>
  <c r="BN48" i="2"/>
  <c r="BN47" i="2"/>
  <c r="BN46" i="2"/>
  <c r="BN45" i="2"/>
  <c r="BN44" i="2"/>
  <c r="BN42" i="2"/>
  <c r="BN41" i="2"/>
  <c r="BN40" i="2"/>
  <c r="BN38" i="2"/>
  <c r="BN37" i="2"/>
  <c r="BN36" i="2"/>
  <c r="BN35" i="2"/>
  <c r="BD82" i="2"/>
  <c r="BH82" i="2"/>
  <c r="BJ84" i="2"/>
  <c r="BJ80" i="2"/>
  <c r="BJ79" i="2"/>
  <c r="BJ78" i="2"/>
  <c r="BN82" i="2"/>
  <c r="BN84" i="2"/>
  <c r="BN80" i="2"/>
  <c r="BN79" i="2"/>
  <c r="BN78" i="2"/>
  <c r="BL58" i="2"/>
  <c r="BP58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P127" i="2"/>
  <c r="BP125" i="2"/>
  <c r="BP124" i="2"/>
  <c r="BP123" i="2"/>
  <c r="BP122" i="2"/>
  <c r="BQ139" i="2" l="1"/>
  <c r="BQ91" i="2"/>
  <c r="BQ125" i="2"/>
  <c r="BQ92" i="2"/>
  <c r="BQ138" i="2"/>
  <c r="BQ73" i="2"/>
  <c r="BQ90" i="2"/>
  <c r="BQ126" i="2"/>
  <c r="BQ140" i="2"/>
  <c r="BQ64" i="2"/>
  <c r="BQ68" i="2"/>
  <c r="BQ67" i="2"/>
  <c r="BQ69" i="2"/>
  <c r="BQ66" i="2"/>
  <c r="CQ7" i="2"/>
  <c r="CQ12" i="2" s="1"/>
  <c r="CQ116" i="2"/>
  <c r="BB126" i="2"/>
  <c r="AX7" i="2"/>
  <c r="AX12" i="2" s="1"/>
  <c r="AX22" i="2"/>
  <c r="BB22" i="2"/>
  <c r="BF22" i="2"/>
  <c r="BJ22" i="2"/>
  <c r="AX9" i="2"/>
  <c r="AX11" i="2"/>
  <c r="AX14" i="2"/>
  <c r="BB9" i="2"/>
  <c r="BB10" i="2"/>
  <c r="BB11" i="2"/>
  <c r="BF10" i="2"/>
  <c r="BB7" i="2"/>
  <c r="BB12" i="2" s="1"/>
  <c r="BF9" i="2"/>
  <c r="BF11" i="2"/>
  <c r="BJ9" i="2"/>
  <c r="BJ10" i="2"/>
  <c r="BJ11" i="2"/>
  <c r="BF7" i="2"/>
  <c r="BJ7" i="2"/>
  <c r="BQ77" i="2" l="1"/>
  <c r="BQ89" i="2"/>
  <c r="CQ71" i="2"/>
  <c r="CQ76" i="2"/>
  <c r="CQ72" i="2"/>
  <c r="CQ75" i="2"/>
  <c r="CQ74" i="2"/>
  <c r="CQ73" i="2"/>
  <c r="CR79" i="2"/>
  <c r="AX16" i="2"/>
  <c r="AX15" i="2"/>
  <c r="BB15" i="2"/>
  <c r="BJ12" i="2"/>
  <c r="BB16" i="2"/>
  <c r="BF12" i="2"/>
  <c r="BB14" i="2"/>
  <c r="BF16" i="2"/>
  <c r="BF15" i="2"/>
  <c r="BF14" i="2"/>
  <c r="BJ16" i="2"/>
  <c r="BJ15" i="2"/>
  <c r="BJ14" i="2"/>
  <c r="BQ81" i="2" l="1"/>
  <c r="BQ93" i="2"/>
  <c r="CQ77" i="2"/>
  <c r="CQ81" i="2" s="1"/>
  <c r="CQ82" i="2" s="1"/>
  <c r="CQ83" i="2" s="1"/>
  <c r="CQ85" i="2" s="1"/>
  <c r="CQ97" i="2" s="1"/>
  <c r="CR78" i="2" s="1"/>
  <c r="DG99" i="2"/>
  <c r="CR116" i="2"/>
  <c r="BM118" i="2"/>
  <c r="BM120" i="2" s="1"/>
  <c r="BL118" i="2"/>
  <c r="BL120" i="2" s="1"/>
  <c r="BK118" i="2"/>
  <c r="BK120" i="2" s="1"/>
  <c r="BJ118" i="2"/>
  <c r="BJ120" i="2" s="1"/>
  <c r="BI118" i="2"/>
  <c r="BI120" i="2" s="1"/>
  <c r="BH118" i="2"/>
  <c r="BH120" i="2" s="1"/>
  <c r="BG118" i="2"/>
  <c r="BG120" i="2" s="1"/>
  <c r="BF118" i="2"/>
  <c r="BF120" i="2" s="1"/>
  <c r="BE118" i="2"/>
  <c r="BE120" i="2" s="1"/>
  <c r="BD118" i="2"/>
  <c r="BD120" i="2" s="1"/>
  <c r="BC118" i="2"/>
  <c r="BC120" i="2" s="1"/>
  <c r="BM107" i="2"/>
  <c r="BM126" i="2" s="1"/>
  <c r="BL107" i="2"/>
  <c r="BL126" i="2" s="1"/>
  <c r="BK107" i="2"/>
  <c r="BK126" i="2" s="1"/>
  <c r="BJ107" i="2"/>
  <c r="BJ126" i="2" s="1"/>
  <c r="BI107" i="2"/>
  <c r="BI126" i="2" s="1"/>
  <c r="BH107" i="2"/>
  <c r="BH126" i="2" s="1"/>
  <c r="BG107" i="2"/>
  <c r="BG126" i="2" s="1"/>
  <c r="BF107" i="2"/>
  <c r="BF126" i="2" s="1"/>
  <c r="BE107" i="2"/>
  <c r="BE126" i="2" s="1"/>
  <c r="BD107" i="2"/>
  <c r="BD126" i="2" s="1"/>
  <c r="BC126" i="2"/>
  <c r="BO22" i="2"/>
  <c r="BN22" i="2"/>
  <c r="BM22" i="2"/>
  <c r="BL22" i="2"/>
  <c r="BK22" i="2"/>
  <c r="BI22" i="2"/>
  <c r="BH22" i="2"/>
  <c r="BG22" i="2"/>
  <c r="BE22" i="2"/>
  <c r="BD22" i="2"/>
  <c r="BC22" i="2"/>
  <c r="BA22" i="2"/>
  <c r="AZ22" i="2"/>
  <c r="AY22" i="2"/>
  <c r="AW22" i="2"/>
  <c r="AV22" i="2"/>
  <c r="AU22" i="2"/>
  <c r="BP22" i="2"/>
  <c r="CL22" i="2"/>
  <c r="CP57" i="2"/>
  <c r="CP55" i="2"/>
  <c r="CP54" i="2"/>
  <c r="CP53" i="2"/>
  <c r="CP52" i="2"/>
  <c r="CP51" i="2"/>
  <c r="CN68" i="2"/>
  <c r="CP49" i="2"/>
  <c r="CP48" i="2"/>
  <c r="CP47" i="2"/>
  <c r="CP46" i="2"/>
  <c r="CP45" i="2"/>
  <c r="CP44" i="2"/>
  <c r="CP42" i="2"/>
  <c r="CP41" i="2"/>
  <c r="CP40" i="2"/>
  <c r="CP38" i="2"/>
  <c r="CP37" i="2"/>
  <c r="CP36" i="2"/>
  <c r="CP35" i="2"/>
  <c r="CP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CP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O93" i="2"/>
  <c r="BN93" i="2"/>
  <c r="BM93" i="2"/>
  <c r="BL93" i="2"/>
  <c r="BK93" i="2"/>
  <c r="BJ93" i="2"/>
  <c r="BI93" i="2"/>
  <c r="BH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Q94" i="2" l="1"/>
  <c r="BQ83" i="2"/>
  <c r="BQ85" i="2" s="1"/>
  <c r="CS79" i="2"/>
  <c r="CS116" i="2"/>
  <c r="CM22" i="2"/>
  <c r="CN66" i="2"/>
  <c r="CN22" i="2"/>
  <c r="CO22" i="2"/>
  <c r="CP22" i="2"/>
  <c r="CN67" i="2"/>
  <c r="CN69" i="2"/>
  <c r="CM28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CP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CP73" i="2"/>
  <c r="CO73" i="2"/>
  <c r="CO89" i="2" s="1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P93" i="2"/>
  <c r="BP92" i="2"/>
  <c r="BP91" i="2"/>
  <c r="BP90" i="2"/>
  <c r="C3" i="2" a="1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73" i="2"/>
  <c r="C77" i="2" s="1"/>
  <c r="C81" i="2" s="1"/>
  <c r="D73" i="2"/>
  <c r="D77" i="2" s="1"/>
  <c r="D81" i="2" s="1"/>
  <c r="E73" i="2"/>
  <c r="E77" i="2" s="1"/>
  <c r="E81" i="2" s="1"/>
  <c r="F73" i="2"/>
  <c r="F77" i="2" s="1"/>
  <c r="F81" i="2" s="1"/>
  <c r="G73" i="2"/>
  <c r="G77" i="2" s="1"/>
  <c r="G81" i="2" s="1"/>
  <c r="H73" i="2"/>
  <c r="H77" i="2" s="1"/>
  <c r="H81" i="2" s="1"/>
  <c r="I73" i="2"/>
  <c r="I77" i="2" s="1"/>
  <c r="I81" i="2" s="1"/>
  <c r="J73" i="2"/>
  <c r="J77" i="2" s="1"/>
  <c r="J81" i="2" s="1"/>
  <c r="K73" i="2"/>
  <c r="K77" i="2" s="1"/>
  <c r="K81" i="2" s="1"/>
  <c r="L73" i="2"/>
  <c r="L77" i="2" s="1"/>
  <c r="L81" i="2" s="1"/>
  <c r="M73" i="2"/>
  <c r="M77" i="2" s="1"/>
  <c r="M81" i="2" s="1"/>
  <c r="N73" i="2"/>
  <c r="N77" i="2" s="1"/>
  <c r="N81" i="2" s="1"/>
  <c r="O73" i="2"/>
  <c r="O77" i="2" s="1"/>
  <c r="O81" i="2" s="1"/>
  <c r="CD81" i="2" s="1"/>
  <c r="P73" i="2"/>
  <c r="P77" i="2" s="1"/>
  <c r="P81" i="2" s="1"/>
  <c r="Q73" i="2"/>
  <c r="Q77" i="2" s="1"/>
  <c r="Q81" i="2" s="1"/>
  <c r="R73" i="2"/>
  <c r="R77" i="2" s="1"/>
  <c r="R81" i="2" s="1"/>
  <c r="S73" i="2"/>
  <c r="S77" i="2" s="1"/>
  <c r="S81" i="2" s="1"/>
  <c r="T73" i="2"/>
  <c r="T77" i="2" s="1"/>
  <c r="T81" i="2" s="1"/>
  <c r="U73" i="2"/>
  <c r="U77" i="2" s="1"/>
  <c r="U81" i="2" s="1"/>
  <c r="V73" i="2"/>
  <c r="V77" i="2" s="1"/>
  <c r="V81" i="2" s="1"/>
  <c r="W73" i="2"/>
  <c r="W77" i="2" s="1"/>
  <c r="W81" i="2" s="1"/>
  <c r="CF81" i="2" s="1"/>
  <c r="X73" i="2"/>
  <c r="X77" i="2" s="1"/>
  <c r="X81" i="2" s="1"/>
  <c r="Y73" i="2"/>
  <c r="Y77" i="2" s="1"/>
  <c r="Y81" i="2" s="1"/>
  <c r="Z73" i="2"/>
  <c r="Z77" i="2" s="1"/>
  <c r="Z81" i="2" s="1"/>
  <c r="AA73" i="2"/>
  <c r="AA77" i="2" s="1"/>
  <c r="AA81" i="2" s="1"/>
  <c r="AB73" i="2"/>
  <c r="AB77" i="2" s="1"/>
  <c r="AB81" i="2" s="1"/>
  <c r="AC73" i="2"/>
  <c r="AC77" i="2" s="1"/>
  <c r="AC81" i="2" s="1"/>
  <c r="AD73" i="2"/>
  <c r="AD77" i="2" s="1"/>
  <c r="AD81" i="2" s="1"/>
  <c r="AE73" i="2"/>
  <c r="AE77" i="2" s="1"/>
  <c r="AE81" i="2" s="1"/>
  <c r="AF73" i="2"/>
  <c r="AF77" i="2" s="1"/>
  <c r="AF81" i="2" s="1"/>
  <c r="AG73" i="2"/>
  <c r="AG77" i="2" s="1"/>
  <c r="AG81" i="2" s="1"/>
  <c r="AH73" i="2"/>
  <c r="AH77" i="2" s="1"/>
  <c r="AH81" i="2" s="1"/>
  <c r="AI73" i="2"/>
  <c r="AI77" i="2" s="1"/>
  <c r="AI81" i="2" s="1"/>
  <c r="AJ73" i="2"/>
  <c r="AJ77" i="2" s="1"/>
  <c r="AJ81" i="2" s="1"/>
  <c r="AK73" i="2"/>
  <c r="AK77" i="2" s="1"/>
  <c r="AK81" i="2" s="1"/>
  <c r="AL73" i="2"/>
  <c r="AL77" i="2" s="1"/>
  <c r="AL81" i="2" s="1"/>
  <c r="AM73" i="2"/>
  <c r="AM77" i="2" s="1"/>
  <c r="AM81" i="2" s="1"/>
  <c r="AN73" i="2"/>
  <c r="AN77" i="2" s="1"/>
  <c r="AN81" i="2" s="1"/>
  <c r="AO73" i="2"/>
  <c r="AO77" i="2" s="1"/>
  <c r="AO81" i="2" s="1"/>
  <c r="AP73" i="2"/>
  <c r="AP77" i="2" s="1"/>
  <c r="AP81" i="2" s="1"/>
  <c r="AQ73" i="2"/>
  <c r="AQ77" i="2" s="1"/>
  <c r="AQ81" i="2" s="1"/>
  <c r="AR73" i="2"/>
  <c r="AR77" i="2" s="1"/>
  <c r="AR81" i="2" s="1"/>
  <c r="AS73" i="2"/>
  <c r="AS77" i="2" s="1"/>
  <c r="AS81" i="2" s="1"/>
  <c r="AT73" i="2"/>
  <c r="AT77" i="2" s="1"/>
  <c r="AT81" i="2" s="1"/>
  <c r="CK81" i="2" s="1"/>
  <c r="AU73" i="2"/>
  <c r="AU77" i="2" s="1"/>
  <c r="AU81" i="2" s="1"/>
  <c r="AV73" i="2"/>
  <c r="AV77" i="2" s="1"/>
  <c r="AV81" i="2" s="1"/>
  <c r="AW73" i="2"/>
  <c r="AW77" i="2" s="1"/>
  <c r="AW81" i="2" s="1"/>
  <c r="AX73" i="2"/>
  <c r="AX77" i="2" s="1"/>
  <c r="AX81" i="2" s="1"/>
  <c r="AY73" i="2"/>
  <c r="AY77" i="2" s="1"/>
  <c r="AY81" i="2" s="1"/>
  <c r="AZ73" i="2"/>
  <c r="AZ77" i="2" s="1"/>
  <c r="AZ81" i="2" s="1"/>
  <c r="BA73" i="2"/>
  <c r="BA77" i="2" s="1"/>
  <c r="BA81" i="2" s="1"/>
  <c r="BB73" i="2"/>
  <c r="BB77" i="2" s="1"/>
  <c r="BB81" i="2" s="1"/>
  <c r="BC73" i="2"/>
  <c r="BC77" i="2" s="1"/>
  <c r="BC81" i="2" s="1"/>
  <c r="BD73" i="2"/>
  <c r="BD77" i="2" s="1"/>
  <c r="BD81" i="2" s="1"/>
  <c r="BE73" i="2"/>
  <c r="BE77" i="2" s="1"/>
  <c r="BE81" i="2" s="1"/>
  <c r="BF73" i="2"/>
  <c r="BF77" i="2" s="1"/>
  <c r="BF81" i="2" s="1"/>
  <c r="BG77" i="2"/>
  <c r="CO77" i="2" s="1"/>
  <c r="CO93" i="2" s="1"/>
  <c r="BH73" i="2"/>
  <c r="BH77" i="2" s="1"/>
  <c r="BH81" i="2" s="1"/>
  <c r="BI73" i="2"/>
  <c r="BI77" i="2" s="1"/>
  <c r="BI81" i="2" s="1"/>
  <c r="BJ73" i="2"/>
  <c r="BJ77" i="2" s="1"/>
  <c r="BJ81" i="2" s="1"/>
  <c r="BK73" i="2"/>
  <c r="BK77" i="2" s="1"/>
  <c r="BL73" i="2"/>
  <c r="BL77" i="2" s="1"/>
  <c r="BL81" i="2" s="1"/>
  <c r="BM73" i="2"/>
  <c r="BM77" i="2" s="1"/>
  <c r="BM81" i="2" s="1"/>
  <c r="BN73" i="2"/>
  <c r="BN77" i="2" s="1"/>
  <c r="BN81" i="2" s="1"/>
  <c r="BO73" i="2"/>
  <c r="BO77" i="2" s="1"/>
  <c r="BO81" i="2" s="1"/>
  <c r="BP73" i="2"/>
  <c r="BP77" i="2" s="1"/>
  <c r="BP81" i="2" s="1"/>
  <c r="BP83" i="2" s="1"/>
  <c r="BP85" i="2" s="1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BP33" i="2"/>
  <c r="BP32" i="2"/>
  <c r="BP31" i="2"/>
  <c r="BP30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BO56" i="2"/>
  <c r="BN56" i="2"/>
  <c r="BM56" i="2"/>
  <c r="BL56" i="2"/>
  <c r="BK56" i="2"/>
  <c r="BO50" i="2"/>
  <c r="BN50" i="2"/>
  <c r="BM50" i="2"/>
  <c r="BL50" i="2"/>
  <c r="BK50" i="2"/>
  <c r="BO43" i="2"/>
  <c r="BO61" i="2" s="1"/>
  <c r="BN43" i="2"/>
  <c r="BM43" i="2"/>
  <c r="BL43" i="2"/>
  <c r="BK43" i="2"/>
  <c r="BO39" i="2"/>
  <c r="BN39" i="2"/>
  <c r="BM39" i="2"/>
  <c r="BL39" i="2"/>
  <c r="BK39" i="2"/>
  <c r="BP56" i="2"/>
  <c r="BP50" i="2"/>
  <c r="BP43" i="2"/>
  <c r="BP39" i="2"/>
  <c r="BP134" i="2"/>
  <c r="BP136" i="2" s="1"/>
  <c r="BP118" i="2"/>
  <c r="BP120" i="2" s="1"/>
  <c r="BP107" i="2"/>
  <c r="BP27" i="2"/>
  <c r="BP26" i="2"/>
  <c r="BP25" i="2"/>
  <c r="BP24" i="2"/>
  <c r="BP11" i="2"/>
  <c r="BP10" i="2"/>
  <c r="BP9" i="2"/>
  <c r="BP7" i="2"/>
  <c r="BO134" i="2"/>
  <c r="BO136" i="2" s="1"/>
  <c r="BN134" i="2"/>
  <c r="BN136" i="2" s="1"/>
  <c r="BM134" i="2"/>
  <c r="BM136" i="2" s="1"/>
  <c r="BL134" i="2"/>
  <c r="BL136" i="2" s="1"/>
  <c r="BK134" i="2"/>
  <c r="BK136" i="2" s="1"/>
  <c r="BJ134" i="2"/>
  <c r="BJ136" i="2" s="1"/>
  <c r="BI134" i="2"/>
  <c r="BI136" i="2" s="1"/>
  <c r="BH134" i="2"/>
  <c r="BH136" i="2" s="1"/>
  <c r="BG134" i="2"/>
  <c r="BG136" i="2" s="1"/>
  <c r="BF134" i="2"/>
  <c r="BF136" i="2" s="1"/>
  <c r="BE134" i="2"/>
  <c r="BE136" i="2" s="1"/>
  <c r="BD134" i="2"/>
  <c r="BD136" i="2" s="1"/>
  <c r="BC134" i="2"/>
  <c r="BC136" i="2" s="1"/>
  <c r="BB134" i="2"/>
  <c r="BB136" i="2" s="1"/>
  <c r="BA134" i="2"/>
  <c r="BA136" i="2" s="1"/>
  <c r="AZ134" i="2"/>
  <c r="AZ136" i="2" s="1"/>
  <c r="AY134" i="2"/>
  <c r="AY136" i="2" s="1"/>
  <c r="AX134" i="2"/>
  <c r="AX136" i="2" s="1"/>
  <c r="AW134" i="2"/>
  <c r="AW136" i="2" s="1"/>
  <c r="AV134" i="2"/>
  <c r="AV136" i="2" s="1"/>
  <c r="AU134" i="2"/>
  <c r="AU136" i="2" s="1"/>
  <c r="AT134" i="2"/>
  <c r="AT136" i="2" s="1"/>
  <c r="AS134" i="2"/>
  <c r="AS136" i="2" s="1"/>
  <c r="AR134" i="2"/>
  <c r="AR136" i="2" s="1"/>
  <c r="AQ134" i="2"/>
  <c r="AQ136" i="2" s="1"/>
  <c r="AP134" i="2"/>
  <c r="AP136" i="2" s="1"/>
  <c r="AO134" i="2"/>
  <c r="AO136" i="2" s="1"/>
  <c r="AN134" i="2"/>
  <c r="AN136" i="2" s="1"/>
  <c r="AM134" i="2"/>
  <c r="AM136" i="2" s="1"/>
  <c r="AL134" i="2"/>
  <c r="AL136" i="2" s="1"/>
  <c r="AK134" i="2"/>
  <c r="AK136" i="2" s="1"/>
  <c r="AJ134" i="2"/>
  <c r="AJ136" i="2" s="1"/>
  <c r="AI134" i="2"/>
  <c r="AI136" i="2" s="1"/>
  <c r="AH134" i="2"/>
  <c r="AH136" i="2" s="1"/>
  <c r="AG134" i="2"/>
  <c r="AG136" i="2" s="1"/>
  <c r="AF134" i="2"/>
  <c r="AF136" i="2" s="1"/>
  <c r="AE134" i="2"/>
  <c r="AE136" i="2" s="1"/>
  <c r="AD134" i="2"/>
  <c r="AD136" i="2" s="1"/>
  <c r="AC134" i="2"/>
  <c r="AC136" i="2" s="1"/>
  <c r="AB134" i="2"/>
  <c r="AB136" i="2" s="1"/>
  <c r="AA134" i="2"/>
  <c r="AA136" i="2" s="1"/>
  <c r="Z134" i="2"/>
  <c r="Z136" i="2" s="1"/>
  <c r="Y134" i="2"/>
  <c r="Y136" i="2" s="1"/>
  <c r="X134" i="2"/>
  <c r="X136" i="2" s="1"/>
  <c r="W134" i="2"/>
  <c r="W136" i="2" s="1"/>
  <c r="V134" i="2"/>
  <c r="V136" i="2" s="1"/>
  <c r="U134" i="2"/>
  <c r="U136" i="2" s="1"/>
  <c r="T134" i="2"/>
  <c r="T136" i="2" s="1"/>
  <c r="S134" i="2"/>
  <c r="S136" i="2" s="1"/>
  <c r="R134" i="2"/>
  <c r="R136" i="2" s="1"/>
  <c r="Q134" i="2"/>
  <c r="Q136" i="2" s="1"/>
  <c r="P134" i="2"/>
  <c r="P136" i="2" s="1"/>
  <c r="O134" i="2"/>
  <c r="O136" i="2" s="1"/>
  <c r="N134" i="2"/>
  <c r="N136" i="2" s="1"/>
  <c r="M134" i="2"/>
  <c r="M136" i="2" s="1"/>
  <c r="L134" i="2"/>
  <c r="L136" i="2" s="1"/>
  <c r="K134" i="2"/>
  <c r="K136" i="2" s="1"/>
  <c r="J134" i="2"/>
  <c r="J136" i="2" s="1"/>
  <c r="I134" i="2"/>
  <c r="I136" i="2" s="1"/>
  <c r="H134" i="2"/>
  <c r="H136" i="2" s="1"/>
  <c r="G134" i="2"/>
  <c r="G136" i="2" s="1"/>
  <c r="F134" i="2"/>
  <c r="F136" i="2" s="1"/>
  <c r="E134" i="2"/>
  <c r="E136" i="2" s="1"/>
  <c r="D134" i="2"/>
  <c r="D136" i="2" s="1"/>
  <c r="C134" i="2"/>
  <c r="C136" i="2" s="1"/>
  <c r="DE116" i="2"/>
  <c r="BO118" i="2"/>
  <c r="BO120" i="2" s="1"/>
  <c r="BN118" i="2"/>
  <c r="BN120" i="2" s="1"/>
  <c r="DE111" i="2"/>
  <c r="BO107" i="2"/>
  <c r="BO126" i="2" s="1"/>
  <c r="BN107" i="2"/>
  <c r="DJ99" i="2"/>
  <c r="CP97" i="2"/>
  <c r="CO97" i="2"/>
  <c r="DB99" i="2" s="1"/>
  <c r="CN97" i="2"/>
  <c r="CM9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CP21" i="2"/>
  <c r="CO21" i="2"/>
  <c r="CN21" i="2"/>
  <c r="CM21" i="2"/>
  <c r="CM33" i="2" s="1"/>
  <c r="CL21" i="2"/>
  <c r="CP20" i="2"/>
  <c r="CO20" i="2"/>
  <c r="CN20" i="2"/>
  <c r="CM20" i="2"/>
  <c r="CM32" i="2" s="1"/>
  <c r="CL20" i="2"/>
  <c r="CP19" i="2"/>
  <c r="CO19" i="2"/>
  <c r="CN19" i="2"/>
  <c r="CM19" i="2"/>
  <c r="CM31" i="2" s="1"/>
  <c r="CL19" i="2"/>
  <c r="CP18" i="2"/>
  <c r="CO18" i="2"/>
  <c r="CN18" i="2"/>
  <c r="CM18" i="2"/>
  <c r="CL18" i="2"/>
  <c r="BO11" i="2"/>
  <c r="BN11" i="2"/>
  <c r="BM11" i="2"/>
  <c r="BL11" i="2"/>
  <c r="BK11" i="2"/>
  <c r="BI11" i="2"/>
  <c r="BH11" i="2"/>
  <c r="BG11" i="2"/>
  <c r="BE11" i="2"/>
  <c r="BD11" i="2"/>
  <c r="BC11" i="2"/>
  <c r="BA11" i="2"/>
  <c r="AZ11" i="2"/>
  <c r="AY11" i="2"/>
  <c r="BO10" i="2"/>
  <c r="BN10" i="2"/>
  <c r="BM10" i="2"/>
  <c r="BL10" i="2"/>
  <c r="BK10" i="2"/>
  <c r="BI10" i="2"/>
  <c r="BH10" i="2"/>
  <c r="BG10" i="2"/>
  <c r="BE10" i="2"/>
  <c r="BD10" i="2"/>
  <c r="BC10" i="2"/>
  <c r="BA10" i="2"/>
  <c r="AZ10" i="2"/>
  <c r="AY10" i="2"/>
  <c r="BO9" i="2"/>
  <c r="BN9" i="2"/>
  <c r="BM9" i="2"/>
  <c r="BL9" i="2"/>
  <c r="BK9" i="2"/>
  <c r="BI9" i="2"/>
  <c r="BH9" i="2"/>
  <c r="BG9" i="2"/>
  <c r="BE9" i="2"/>
  <c r="BD9" i="2"/>
  <c r="BC9" i="2"/>
  <c r="BA9" i="2"/>
  <c r="AZ9" i="2"/>
  <c r="AY9" i="2"/>
  <c r="BO7" i="2"/>
  <c r="BN7" i="2"/>
  <c r="BN14" i="2" s="1"/>
  <c r="BM7" i="2"/>
  <c r="BM16" i="2" s="1"/>
  <c r="BL7" i="2"/>
  <c r="BK7" i="2"/>
  <c r="BK14" i="2" s="1"/>
  <c r="BI7" i="2"/>
  <c r="BI14" i="2" s="1"/>
  <c r="BH7" i="2"/>
  <c r="BG7" i="2"/>
  <c r="BE7" i="2"/>
  <c r="BE16" i="2" s="1"/>
  <c r="BD7" i="2"/>
  <c r="BC7" i="2"/>
  <c r="BC14" i="2" s="1"/>
  <c r="BA7" i="2"/>
  <c r="BA14" i="2" s="1"/>
  <c r="AZ7" i="2"/>
  <c r="AZ15" i="2" s="1"/>
  <c r="AY7" i="2"/>
  <c r="AW7" i="2"/>
  <c r="AW16" i="2" s="1"/>
  <c r="AV7" i="2"/>
  <c r="AU7" i="2"/>
  <c r="AU14" i="2" s="1"/>
  <c r="CP6" i="2"/>
  <c r="CO6" i="2"/>
  <c r="CN6" i="2"/>
  <c r="CM6" i="2"/>
  <c r="CL6" i="2"/>
  <c r="CP5" i="2"/>
  <c r="CO5" i="2"/>
  <c r="CN5" i="2"/>
  <c r="CM5" i="2"/>
  <c r="CL5" i="2"/>
  <c r="CP4" i="2"/>
  <c r="CO4" i="2"/>
  <c r="CN4" i="2"/>
  <c r="CM4" i="2"/>
  <c r="CL4" i="2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BQ131" i="2" l="1"/>
  <c r="BQ128" i="2"/>
  <c r="BQ87" i="2"/>
  <c r="BQ95" i="2"/>
  <c r="BQ129" i="2"/>
  <c r="CT79" i="2"/>
  <c r="AQ83" i="2"/>
  <c r="AQ131" i="2" s="1"/>
  <c r="AQ94" i="2"/>
  <c r="AI83" i="2"/>
  <c r="AI131" i="2" s="1"/>
  <c r="AI94" i="2"/>
  <c r="AA83" i="2"/>
  <c r="AA131" i="2" s="1"/>
  <c r="AA94" i="2"/>
  <c r="S83" i="2"/>
  <c r="S131" i="2" s="1"/>
  <c r="S94" i="2"/>
  <c r="K83" i="2"/>
  <c r="K131" i="2" s="1"/>
  <c r="K94" i="2"/>
  <c r="C83" i="2"/>
  <c r="C94" i="2"/>
  <c r="AP83" i="2"/>
  <c r="AP131" i="2" s="1"/>
  <c r="AP94" i="2"/>
  <c r="AH83" i="2"/>
  <c r="AH131" i="2" s="1"/>
  <c r="AH94" i="2"/>
  <c r="Z83" i="2"/>
  <c r="Z131" i="2" s="1"/>
  <c r="Z94" i="2"/>
  <c r="R83" i="2"/>
  <c r="R131" i="2" s="1"/>
  <c r="R94" i="2"/>
  <c r="J83" i="2"/>
  <c r="J131" i="2" s="1"/>
  <c r="J94" i="2"/>
  <c r="CE81" i="2"/>
  <c r="AO83" i="2"/>
  <c r="AO131" i="2" s="1"/>
  <c r="AO94" i="2"/>
  <c r="AG83" i="2"/>
  <c r="AG131" i="2" s="1"/>
  <c r="AG94" i="2"/>
  <c r="Y83" i="2"/>
  <c r="Y131" i="2" s="1"/>
  <c r="Y94" i="2"/>
  <c r="Q83" i="2"/>
  <c r="Q131" i="2" s="1"/>
  <c r="Q94" i="2"/>
  <c r="I83" i="2"/>
  <c r="I131" i="2" s="1"/>
  <c r="I94" i="2"/>
  <c r="CD94" i="2"/>
  <c r="AN83" i="2"/>
  <c r="AN131" i="2" s="1"/>
  <c r="AN94" i="2"/>
  <c r="AF83" i="2"/>
  <c r="AF131" i="2" s="1"/>
  <c r="AF94" i="2"/>
  <c r="X83" i="2"/>
  <c r="X94" i="2"/>
  <c r="P83" i="2"/>
  <c r="P131" i="2" s="1"/>
  <c r="P94" i="2"/>
  <c r="H83" i="2"/>
  <c r="H131" i="2" s="1"/>
  <c r="H94" i="2"/>
  <c r="CG81" i="2"/>
  <c r="CG94" i="2" s="1"/>
  <c r="CE94" i="2"/>
  <c r="AM83" i="2"/>
  <c r="AM131" i="2" s="1"/>
  <c r="AM94" i="2"/>
  <c r="AE83" i="2"/>
  <c r="AE131" i="2" s="1"/>
  <c r="AE94" i="2"/>
  <c r="W83" i="2"/>
  <c r="W131" i="2" s="1"/>
  <c r="W94" i="2"/>
  <c r="O83" i="2"/>
  <c r="O131" i="2" s="1"/>
  <c r="O94" i="2"/>
  <c r="G83" i="2"/>
  <c r="G131" i="2" s="1"/>
  <c r="G94" i="2"/>
  <c r="CH81" i="2"/>
  <c r="CF94" i="2"/>
  <c r="AL83" i="2"/>
  <c r="AL131" i="2" s="1"/>
  <c r="AL94" i="2"/>
  <c r="AD83" i="2"/>
  <c r="AD131" i="2" s="1"/>
  <c r="AD94" i="2"/>
  <c r="V83" i="2"/>
  <c r="V131" i="2" s="1"/>
  <c r="V94" i="2"/>
  <c r="N83" i="2"/>
  <c r="N131" i="2" s="1"/>
  <c r="N94" i="2"/>
  <c r="F83" i="2"/>
  <c r="F131" i="2" s="1"/>
  <c r="F94" i="2"/>
  <c r="CA81" i="2"/>
  <c r="CI81" i="2"/>
  <c r="AS83" i="2"/>
  <c r="AS131" i="2" s="1"/>
  <c r="AS94" i="2"/>
  <c r="AK83" i="2"/>
  <c r="AK131" i="2" s="1"/>
  <c r="AK94" i="2"/>
  <c r="AC83" i="2"/>
  <c r="AC131" i="2" s="1"/>
  <c r="AC94" i="2"/>
  <c r="U83" i="2"/>
  <c r="U131" i="2" s="1"/>
  <c r="U94" i="2"/>
  <c r="M83" i="2"/>
  <c r="M131" i="2" s="1"/>
  <c r="M94" i="2"/>
  <c r="E83" i="2"/>
  <c r="E131" i="2" s="1"/>
  <c r="E94" i="2"/>
  <c r="CB81" i="2"/>
  <c r="CB94" i="2" s="1"/>
  <c r="CJ81" i="2"/>
  <c r="CJ94" i="2" s="1"/>
  <c r="CH94" i="2"/>
  <c r="AR83" i="2"/>
  <c r="AR131" i="2" s="1"/>
  <c r="AR94" i="2"/>
  <c r="AJ83" i="2"/>
  <c r="AJ131" i="2" s="1"/>
  <c r="AJ94" i="2"/>
  <c r="AB83" i="2"/>
  <c r="AB131" i="2" s="1"/>
  <c r="AB94" i="2"/>
  <c r="T83" i="2"/>
  <c r="T131" i="2" s="1"/>
  <c r="T94" i="2"/>
  <c r="L83" i="2"/>
  <c r="L131" i="2" s="1"/>
  <c r="L94" i="2"/>
  <c r="D83" i="2"/>
  <c r="D131" i="2" s="1"/>
  <c r="D94" i="2"/>
  <c r="CC81" i="2"/>
  <c r="CC94" i="2" s="1"/>
  <c r="CA94" i="2"/>
  <c r="CI94" i="2"/>
  <c r="C95" i="2"/>
  <c r="C87" i="2"/>
  <c r="C131" i="2"/>
  <c r="X131" i="2"/>
  <c r="AW83" i="2"/>
  <c r="AW85" i="2" s="1"/>
  <c r="AW94" i="2"/>
  <c r="AU83" i="2"/>
  <c r="AU94" i="2"/>
  <c r="AY83" i="2"/>
  <c r="AY85" i="2" s="1"/>
  <c r="AY94" i="2"/>
  <c r="AV83" i="2"/>
  <c r="AV85" i="2" s="1"/>
  <c r="AV94" i="2"/>
  <c r="AZ83" i="2"/>
  <c r="AZ85" i="2" s="1"/>
  <c r="AZ94" i="2"/>
  <c r="BA83" i="2"/>
  <c r="BA85" i="2" s="1"/>
  <c r="BA94" i="2"/>
  <c r="BE83" i="2"/>
  <c r="BE85" i="2" s="1"/>
  <c r="BE94" i="2"/>
  <c r="BC83" i="2"/>
  <c r="BC85" i="2" s="1"/>
  <c r="BC87" i="2" s="1"/>
  <c r="BC94" i="2"/>
  <c r="BG81" i="2"/>
  <c r="BG83" i="2" s="1"/>
  <c r="BG85" i="2" s="1"/>
  <c r="BG93" i="2"/>
  <c r="BG94" i="2"/>
  <c r="CN28" i="2"/>
  <c r="CN24" i="2"/>
  <c r="CN81" i="2"/>
  <c r="CN94" i="2" s="1"/>
  <c r="CN31" i="2"/>
  <c r="CO28" i="2"/>
  <c r="CP28" i="2"/>
  <c r="CO24" i="2"/>
  <c r="CN30" i="2"/>
  <c r="CN32" i="2"/>
  <c r="BD83" i="2"/>
  <c r="BD85" i="2" s="1"/>
  <c r="BD131" i="2" s="1"/>
  <c r="BD94" i="2"/>
  <c r="BH83" i="2"/>
  <c r="BH85" i="2" s="1"/>
  <c r="BH94" i="2"/>
  <c r="CO63" i="2"/>
  <c r="CO62" i="2"/>
  <c r="CO61" i="2"/>
  <c r="CO60" i="2"/>
  <c r="BM58" i="2"/>
  <c r="BM66" i="2" s="1"/>
  <c r="CP27" i="2"/>
  <c r="CO30" i="2"/>
  <c r="BI83" i="2"/>
  <c r="BI85" i="2" s="1"/>
  <c r="BI94" i="2"/>
  <c r="BM83" i="2"/>
  <c r="BM85" i="2" s="1"/>
  <c r="BM87" i="2" s="1"/>
  <c r="BM94" i="2"/>
  <c r="CK94" i="2"/>
  <c r="AT83" i="2"/>
  <c r="AT131" i="2" s="1"/>
  <c r="AT94" i="2"/>
  <c r="AX83" i="2"/>
  <c r="AX85" i="2" s="1"/>
  <c r="AX94" i="2"/>
  <c r="CL81" i="2"/>
  <c r="CL94" i="2" s="1"/>
  <c r="BB83" i="2"/>
  <c r="BB85" i="2" s="1"/>
  <c r="BB87" i="2" s="1"/>
  <c r="BB94" i="2"/>
  <c r="CM81" i="2"/>
  <c r="CM94" i="2" s="1"/>
  <c r="BF83" i="2"/>
  <c r="BF85" i="2" s="1"/>
  <c r="BF94" i="2"/>
  <c r="BJ83" i="2"/>
  <c r="BJ85" i="2" s="1"/>
  <c r="BJ131" i="2" s="1"/>
  <c r="BJ94" i="2"/>
  <c r="CO81" i="2"/>
  <c r="CO94" i="2" s="1"/>
  <c r="BN83" i="2"/>
  <c r="BN85" i="2" s="1"/>
  <c r="BN87" i="2" s="1"/>
  <c r="BN94" i="2"/>
  <c r="CM26" i="2"/>
  <c r="CL31" i="2"/>
  <c r="CL33" i="2"/>
  <c r="CM27" i="2"/>
  <c r="CM25" i="2"/>
  <c r="CM24" i="2"/>
  <c r="CL32" i="2"/>
  <c r="CL30" i="2"/>
  <c r="CN27" i="2"/>
  <c r="CN26" i="2"/>
  <c r="CN25" i="2"/>
  <c r="CM30" i="2"/>
  <c r="CN33" i="2"/>
  <c r="CO27" i="2"/>
  <c r="CO26" i="2"/>
  <c r="CO25" i="2"/>
  <c r="CO33" i="2"/>
  <c r="CP26" i="2"/>
  <c r="CO31" i="2"/>
  <c r="CP24" i="2"/>
  <c r="CO32" i="2"/>
  <c r="CP25" i="2"/>
  <c r="BN58" i="2"/>
  <c r="BN66" i="2" s="1"/>
  <c r="BO63" i="2"/>
  <c r="BO62" i="2"/>
  <c r="BK58" i="2"/>
  <c r="BK66" i="2" s="1"/>
  <c r="BO58" i="2"/>
  <c r="BO66" i="2" s="1"/>
  <c r="BO60" i="2"/>
  <c r="CP33" i="2"/>
  <c r="CP32" i="2"/>
  <c r="CP31" i="2"/>
  <c r="CP30" i="2"/>
  <c r="BO83" i="2"/>
  <c r="BO85" i="2" s="1"/>
  <c r="BO87" i="2" s="1"/>
  <c r="BO94" i="2"/>
  <c r="CD85" i="2"/>
  <c r="CD95" i="2" s="1"/>
  <c r="M87" i="2"/>
  <c r="M95" i="2"/>
  <c r="AI87" i="2"/>
  <c r="CI87" i="2" s="1"/>
  <c r="AI95" i="2"/>
  <c r="AA87" i="2"/>
  <c r="CG87" i="2" s="1"/>
  <c r="AA95" i="2"/>
  <c r="K87" i="2"/>
  <c r="CC87" i="2" s="1"/>
  <c r="K95" i="2"/>
  <c r="CE83" i="2"/>
  <c r="AH87" i="2"/>
  <c r="AH95" i="2"/>
  <c r="BE87" i="2"/>
  <c r="BE129" i="2"/>
  <c r="BE128" i="2"/>
  <c r="BE95" i="2"/>
  <c r="AG87" i="2"/>
  <c r="AG95" i="2"/>
  <c r="I87" i="2"/>
  <c r="I95" i="2"/>
  <c r="CH85" i="2"/>
  <c r="CH95" i="2" s="1"/>
  <c r="AV87" i="2"/>
  <c r="AV95" i="2"/>
  <c r="AF87" i="2"/>
  <c r="AF95" i="2"/>
  <c r="H87" i="2"/>
  <c r="H95" i="2"/>
  <c r="CA85" i="2"/>
  <c r="CA95" i="2" s="1"/>
  <c r="BC128" i="2"/>
  <c r="BC95" i="2"/>
  <c r="AM87" i="2"/>
  <c r="CJ87" i="2" s="1"/>
  <c r="AM95" i="2"/>
  <c r="W87" i="2"/>
  <c r="CF87" i="2" s="1"/>
  <c r="W95" i="2"/>
  <c r="AT95" i="2"/>
  <c r="AL87" i="2"/>
  <c r="AL95" i="2"/>
  <c r="AD87" i="2"/>
  <c r="AD95" i="2"/>
  <c r="V87" i="2"/>
  <c r="V95" i="2"/>
  <c r="N87" i="2"/>
  <c r="N95" i="2"/>
  <c r="F87" i="2"/>
  <c r="F95" i="2"/>
  <c r="CJ83" i="2"/>
  <c r="CC85" i="2"/>
  <c r="CC95" i="2" s="1"/>
  <c r="AQ87" i="2"/>
  <c r="CK87" i="2" s="1"/>
  <c r="AQ95" i="2"/>
  <c r="R87" i="2"/>
  <c r="R95" i="2"/>
  <c r="AO87" i="2"/>
  <c r="AO95" i="2"/>
  <c r="AN87" i="2"/>
  <c r="AN95" i="2"/>
  <c r="P87" i="2"/>
  <c r="P95" i="2"/>
  <c r="AU87" i="2"/>
  <c r="AU95" i="2"/>
  <c r="G87" i="2"/>
  <c r="CB87" i="2" s="1"/>
  <c r="G95" i="2"/>
  <c r="CI83" i="2"/>
  <c r="CJ85" i="2"/>
  <c r="CJ95" i="2" s="1"/>
  <c r="BA87" i="2"/>
  <c r="BA95" i="2"/>
  <c r="AS87" i="2"/>
  <c r="AS95" i="2"/>
  <c r="AK87" i="2"/>
  <c r="AK95" i="2"/>
  <c r="U87" i="2"/>
  <c r="U95" i="2"/>
  <c r="E87" i="2"/>
  <c r="E95" i="2"/>
  <c r="CC83" i="2"/>
  <c r="CK83" i="2"/>
  <c r="AY87" i="2"/>
  <c r="CM87" i="2" s="1"/>
  <c r="AY95" i="2"/>
  <c r="Z87" i="2"/>
  <c r="Z95" i="2"/>
  <c r="AW87" i="2"/>
  <c r="AW95" i="2"/>
  <c r="Q87" i="2"/>
  <c r="Q95" i="2"/>
  <c r="BD87" i="2"/>
  <c r="BD129" i="2"/>
  <c r="BD128" i="2"/>
  <c r="BD95" i="2"/>
  <c r="X87" i="2"/>
  <c r="X95" i="2"/>
  <c r="CH83" i="2"/>
  <c r="CI85" i="2"/>
  <c r="CI95" i="2" s="1"/>
  <c r="AE87" i="2"/>
  <c r="CH87" i="2" s="1"/>
  <c r="AE95" i="2"/>
  <c r="O87" i="2"/>
  <c r="CD87" i="2" s="1"/>
  <c r="O95" i="2"/>
  <c r="CA83" i="2"/>
  <c r="BH87" i="2"/>
  <c r="BH128" i="2"/>
  <c r="BH129" i="2"/>
  <c r="BH95" i="2"/>
  <c r="AZ87" i="2"/>
  <c r="AZ95" i="2"/>
  <c r="AR87" i="2"/>
  <c r="AR95" i="2"/>
  <c r="AJ87" i="2"/>
  <c r="AJ95" i="2"/>
  <c r="AB87" i="2"/>
  <c r="AB95" i="2"/>
  <c r="T87" i="2"/>
  <c r="T95" i="2"/>
  <c r="L87" i="2"/>
  <c r="L95" i="2"/>
  <c r="D87" i="2"/>
  <c r="CA87" i="2" s="1"/>
  <c r="D95" i="2"/>
  <c r="CD83" i="2"/>
  <c r="CL83" i="2"/>
  <c r="CE85" i="2"/>
  <c r="CE95" i="2" s="1"/>
  <c r="BL83" i="2"/>
  <c r="BL94" i="2"/>
  <c r="BP87" i="2"/>
  <c r="BP129" i="2"/>
  <c r="CP56" i="2"/>
  <c r="CP63" i="2" s="1"/>
  <c r="BP63" i="2"/>
  <c r="BP62" i="2"/>
  <c r="CP50" i="2"/>
  <c r="CP62" i="2" s="1"/>
  <c r="BP61" i="2"/>
  <c r="CP43" i="2"/>
  <c r="CP39" i="2"/>
  <c r="BP60" i="2"/>
  <c r="BN126" i="2"/>
  <c r="BP128" i="2"/>
  <c r="BP126" i="2"/>
  <c r="BP94" i="2"/>
  <c r="BP95" i="2"/>
  <c r="BP89" i="2"/>
  <c r="BK81" i="2"/>
  <c r="BK94" i="2" s="1"/>
  <c r="BP66" i="2"/>
  <c r="BL66" i="2"/>
  <c r="AW15" i="2"/>
  <c r="BA15" i="2"/>
  <c r="BD14" i="2"/>
  <c r="BK15" i="2"/>
  <c r="BE14" i="2"/>
  <c r="BL15" i="2"/>
  <c r="BC15" i="2"/>
  <c r="BM15" i="2"/>
  <c r="BL14" i="2"/>
  <c r="BD15" i="2"/>
  <c r="BN16" i="2"/>
  <c r="BM14" i="2"/>
  <c r="BE15" i="2"/>
  <c r="AV14" i="2"/>
  <c r="AU15" i="2"/>
  <c r="BG16" i="2"/>
  <c r="AW14" i="2"/>
  <c r="AV15" i="2"/>
  <c r="BI15" i="2"/>
  <c r="BH16" i="2"/>
  <c r="AY16" i="2"/>
  <c r="AZ16" i="2"/>
  <c r="AY14" i="2"/>
  <c r="BG14" i="2"/>
  <c r="BA16" i="2"/>
  <c r="BI16" i="2"/>
  <c r="AZ14" i="2"/>
  <c r="BH14" i="2"/>
  <c r="BP12" i="2"/>
  <c r="BO16" i="2"/>
  <c r="AU16" i="2"/>
  <c r="BC16" i="2"/>
  <c r="BK16" i="2"/>
  <c r="BP14" i="2"/>
  <c r="BP16" i="2"/>
  <c r="AY15" i="2"/>
  <c r="BG15" i="2"/>
  <c r="AV16" i="2"/>
  <c r="BD16" i="2"/>
  <c r="BL16" i="2"/>
  <c r="BP15" i="2"/>
  <c r="BH15" i="2"/>
  <c r="CM11" i="2"/>
  <c r="CM10" i="2"/>
  <c r="BO14" i="2"/>
  <c r="AZ12" i="2"/>
  <c r="BO15" i="2"/>
  <c r="CM9" i="2"/>
  <c r="BN12" i="2"/>
  <c r="DJ102" i="2"/>
  <c r="CN11" i="2"/>
  <c r="BD12" i="2"/>
  <c r="BH12" i="2"/>
  <c r="CO10" i="2"/>
  <c r="BL12" i="2"/>
  <c r="CP10" i="2"/>
  <c r="CN9" i="2"/>
  <c r="BA12" i="2"/>
  <c r="CM7" i="2"/>
  <c r="CM14" i="2" s="1"/>
  <c r="BI12" i="2"/>
  <c r="CN10" i="2"/>
  <c r="CO9" i="2"/>
  <c r="BK12" i="2"/>
  <c r="CO11" i="2"/>
  <c r="BC12" i="2"/>
  <c r="CN7" i="2"/>
  <c r="CN16" i="2" s="1"/>
  <c r="BE12" i="2"/>
  <c r="BM12" i="2"/>
  <c r="CL7" i="2"/>
  <c r="CP11" i="2"/>
  <c r="DE99" i="2"/>
  <c r="CP7" i="2"/>
  <c r="CP14" i="2" s="1"/>
  <c r="CP9" i="2"/>
  <c r="AY12" i="2"/>
  <c r="CO7" i="2"/>
  <c r="CO15" i="2" s="1"/>
  <c r="BO12" i="2"/>
  <c r="BG12" i="2"/>
  <c r="BN15" i="2"/>
  <c r="CT116" i="2" l="1"/>
  <c r="BI87" i="2"/>
  <c r="BI131" i="2"/>
  <c r="BF87" i="2"/>
  <c r="BF131" i="2"/>
  <c r="CL85" i="2"/>
  <c r="CL95" i="2" s="1"/>
  <c r="AX131" i="2"/>
  <c r="CF83" i="2"/>
  <c r="AP95" i="2"/>
  <c r="CB83" i="2"/>
  <c r="AC95" i="2"/>
  <c r="Y95" i="2"/>
  <c r="AP87" i="2"/>
  <c r="AC87" i="2"/>
  <c r="Y87" i="2"/>
  <c r="S95" i="2"/>
  <c r="CG83" i="2"/>
  <c r="CF85" i="2"/>
  <c r="CF95" i="2" s="1"/>
  <c r="S87" i="2"/>
  <c r="CE87" i="2" s="1"/>
  <c r="J95" i="2"/>
  <c r="CB85" i="2"/>
  <c r="CB95" i="2" s="1"/>
  <c r="J87" i="2"/>
  <c r="CG85" i="2"/>
  <c r="CG95" i="2" s="1"/>
  <c r="AT87" i="2"/>
  <c r="CK85" i="2"/>
  <c r="CK95" i="2" s="1"/>
  <c r="AX95" i="2"/>
  <c r="AX87" i="2"/>
  <c r="CL87" i="2" s="1"/>
  <c r="CN87" i="2"/>
  <c r="CM83" i="2"/>
  <c r="CM85" i="2"/>
  <c r="CM95" i="2" s="1"/>
  <c r="BB95" i="2"/>
  <c r="BB129" i="2"/>
  <c r="BB128" i="2"/>
  <c r="BC129" i="2"/>
  <c r="BG87" i="2"/>
  <c r="BG128" i="2"/>
  <c r="BG129" i="2"/>
  <c r="BG95" i="2"/>
  <c r="BF95" i="2"/>
  <c r="BF128" i="2"/>
  <c r="BF129" i="2"/>
  <c r="CN83" i="2"/>
  <c r="CP61" i="2"/>
  <c r="CN85" i="2"/>
  <c r="CN95" i="2" s="1"/>
  <c r="CO85" i="2"/>
  <c r="CO95" i="2" s="1"/>
  <c r="BM69" i="2"/>
  <c r="BM68" i="2"/>
  <c r="BM67" i="2"/>
  <c r="CO16" i="2"/>
  <c r="BI95" i="2"/>
  <c r="BI129" i="2"/>
  <c r="BI128" i="2"/>
  <c r="BJ128" i="2"/>
  <c r="BJ95" i="2"/>
  <c r="CO83" i="2"/>
  <c r="BJ129" i="2"/>
  <c r="BJ87" i="2"/>
  <c r="BM95" i="2"/>
  <c r="BM128" i="2"/>
  <c r="BN95" i="2"/>
  <c r="BN129" i="2"/>
  <c r="BN128" i="2"/>
  <c r="BM129" i="2"/>
  <c r="CL16" i="2"/>
  <c r="CL15" i="2"/>
  <c r="CL14" i="2"/>
  <c r="CM15" i="2"/>
  <c r="CM16" i="2"/>
  <c r="CN14" i="2"/>
  <c r="CN15" i="2"/>
  <c r="CO14" i="2"/>
  <c r="BN69" i="2"/>
  <c r="BN67" i="2"/>
  <c r="BN68" i="2"/>
  <c r="BK67" i="2"/>
  <c r="BK69" i="2"/>
  <c r="BK68" i="2"/>
  <c r="BO69" i="2"/>
  <c r="BO67" i="2"/>
  <c r="BO64" i="2"/>
  <c r="BO68" i="2"/>
  <c r="CP16" i="2"/>
  <c r="CP15" i="2"/>
  <c r="CP81" i="2"/>
  <c r="CP94" i="2" s="1"/>
  <c r="BO95" i="2"/>
  <c r="BO129" i="2"/>
  <c r="BO128" i="2"/>
  <c r="BL85" i="2"/>
  <c r="BL68" i="2"/>
  <c r="BL69" i="2"/>
  <c r="BL67" i="2"/>
  <c r="CP58" i="2"/>
  <c r="CP66" i="2" s="1"/>
  <c r="CP60" i="2"/>
  <c r="BP69" i="2"/>
  <c r="BP68" i="2"/>
  <c r="BP67" i="2"/>
  <c r="BP64" i="2"/>
  <c r="BK83" i="2"/>
  <c r="CP83" i="2" s="1"/>
  <c r="CN12" i="2"/>
  <c r="CM12" i="2"/>
  <c r="CP12" i="2"/>
  <c r="CO12" i="2"/>
  <c r="CU79" i="2" l="1"/>
  <c r="CO87" i="2"/>
  <c r="CO66" i="2"/>
  <c r="CO68" i="2"/>
  <c r="CO67" i="2"/>
  <c r="CO64" i="2"/>
  <c r="CO69" i="2"/>
  <c r="BL87" i="2"/>
  <c r="BL129" i="2"/>
  <c r="BL128" i="2"/>
  <c r="BL95" i="2"/>
  <c r="CP68" i="2"/>
  <c r="CP67" i="2"/>
  <c r="CP69" i="2"/>
  <c r="CP64" i="2"/>
  <c r="BK85" i="2"/>
  <c r="CP85" i="2" s="1"/>
  <c r="CP95" i="2" s="1"/>
  <c r="CU116" i="2" l="1"/>
  <c r="CV79" i="2" s="1"/>
  <c r="BK129" i="2"/>
  <c r="BK128" i="2"/>
  <c r="BK95" i="2"/>
  <c r="BK87" i="2"/>
  <c r="DG100" i="2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CV116" i="2" l="1"/>
  <c r="CW79" i="2" s="1"/>
  <c r="CP87" i="2"/>
  <c r="G197" i="3"/>
  <c r="C5" i="1"/>
  <c r="DE102" i="2" s="1"/>
  <c r="K209" i="3" l="1"/>
  <c r="K208" i="3"/>
  <c r="K207" i="3"/>
  <c r="K211" i="3"/>
  <c r="K210" i="3"/>
  <c r="CW116" i="2"/>
  <c r="CX79" i="2" s="1"/>
  <c r="DE104" i="2"/>
  <c r="DE118" i="2" s="1"/>
  <c r="DE103" i="2"/>
  <c r="C8" i="1"/>
  <c r="P231" i="3" l="1"/>
  <c r="P223" i="3"/>
  <c r="P230" i="3"/>
  <c r="P222" i="3"/>
  <c r="P225" i="3"/>
  <c r="P224" i="3"/>
  <c r="P229" i="3"/>
  <c r="P221" i="3"/>
  <c r="P228" i="3"/>
  <c r="P220" i="3"/>
  <c r="P227" i="3"/>
  <c r="P226" i="3"/>
  <c r="M222" i="3"/>
  <c r="M230" i="3"/>
  <c r="M238" i="3"/>
  <c r="M246" i="3"/>
  <c r="M254" i="3"/>
  <c r="M262" i="3"/>
  <c r="M270" i="3"/>
  <c r="M278" i="3"/>
  <c r="M286" i="3"/>
  <c r="M294" i="3"/>
  <c r="M302" i="3"/>
  <c r="M218" i="3"/>
  <c r="M223" i="3"/>
  <c r="M231" i="3"/>
  <c r="M239" i="3"/>
  <c r="M247" i="3"/>
  <c r="M255" i="3"/>
  <c r="M263" i="3"/>
  <c r="M271" i="3"/>
  <c r="M279" i="3"/>
  <c r="M287" i="3"/>
  <c r="M295" i="3"/>
  <c r="M303" i="3"/>
  <c r="M236" i="3"/>
  <c r="M260" i="3"/>
  <c r="M276" i="3"/>
  <c r="M300" i="3"/>
  <c r="M237" i="3"/>
  <c r="M261" i="3"/>
  <c r="M293" i="3"/>
  <c r="M224" i="3"/>
  <c r="M232" i="3"/>
  <c r="M240" i="3"/>
  <c r="M248" i="3"/>
  <c r="M256" i="3"/>
  <c r="M264" i="3"/>
  <c r="M272" i="3"/>
  <c r="M280" i="3"/>
  <c r="M288" i="3"/>
  <c r="M296" i="3"/>
  <c r="M304" i="3"/>
  <c r="M225" i="3"/>
  <c r="M233" i="3"/>
  <c r="M241" i="3"/>
  <c r="M249" i="3"/>
  <c r="M257" i="3"/>
  <c r="M265" i="3"/>
  <c r="M273" i="3"/>
  <c r="M281" i="3"/>
  <c r="M289" i="3"/>
  <c r="M297" i="3"/>
  <c r="M305" i="3"/>
  <c r="M244" i="3"/>
  <c r="M292" i="3"/>
  <c r="M221" i="3"/>
  <c r="M253" i="3"/>
  <c r="M277" i="3"/>
  <c r="M301" i="3"/>
  <c r="P219" i="3"/>
  <c r="M226" i="3"/>
  <c r="M234" i="3"/>
  <c r="M242" i="3"/>
  <c r="M250" i="3"/>
  <c r="M258" i="3"/>
  <c r="M266" i="3"/>
  <c r="M274" i="3"/>
  <c r="M282" i="3"/>
  <c r="M290" i="3"/>
  <c r="M298" i="3"/>
  <c r="M306" i="3"/>
  <c r="P218" i="3"/>
  <c r="M227" i="3"/>
  <c r="M235" i="3"/>
  <c r="M243" i="3"/>
  <c r="M251" i="3"/>
  <c r="M259" i="3"/>
  <c r="M267" i="3"/>
  <c r="M275" i="3"/>
  <c r="M283" i="3"/>
  <c r="M291" i="3"/>
  <c r="M299" i="3"/>
  <c r="M307" i="3"/>
  <c r="M220" i="3"/>
  <c r="M228" i="3"/>
  <c r="M252" i="3"/>
  <c r="M268" i="3"/>
  <c r="M284" i="3"/>
  <c r="M308" i="3"/>
  <c r="M229" i="3"/>
  <c r="M245" i="3"/>
  <c r="M269" i="3"/>
  <c r="M285" i="3"/>
  <c r="M219" i="3"/>
  <c r="K212" i="3"/>
  <c r="CX116" i="2"/>
  <c r="CR4" i="2"/>
  <c r="CR5" i="2"/>
  <c r="CS5" i="2" s="1"/>
  <c r="CT5" i="2" s="1"/>
  <c r="CU5" i="2" s="1"/>
  <c r="CV5" i="2" s="1"/>
  <c r="CW5" i="2" s="1"/>
  <c r="CX5" i="2" s="1"/>
  <c r="CY5" i="2" s="1"/>
  <c r="CZ5" i="2" s="1"/>
  <c r="CR6" i="2"/>
  <c r="CS6" i="2" s="1"/>
  <c r="CT6" i="2" s="1"/>
  <c r="CU6" i="2" s="1"/>
  <c r="CV6" i="2" s="1"/>
  <c r="CW6" i="2" s="1"/>
  <c r="CX6" i="2" s="1"/>
  <c r="CY6" i="2" s="1"/>
  <c r="CZ6" i="2" s="1"/>
  <c r="CY79" i="2" l="1"/>
  <c r="CR7" i="2"/>
  <c r="CS4" i="2"/>
  <c r="CR12" i="2" l="1"/>
  <c r="CR71" i="2"/>
  <c r="CY116" i="2"/>
  <c r="CZ79" i="2" s="1"/>
  <c r="CT4" i="2"/>
  <c r="CS7" i="2"/>
  <c r="CR75" i="2" l="1"/>
  <c r="CR74" i="2"/>
  <c r="CR73" i="2"/>
  <c r="CR76" i="2"/>
  <c r="CR72" i="2"/>
  <c r="CS12" i="2"/>
  <c r="CS71" i="2"/>
  <c r="CZ116" i="2"/>
  <c r="CT7" i="2"/>
  <c r="CU4" i="2"/>
  <c r="CS75" i="2" l="1"/>
  <c r="CS74" i="2"/>
  <c r="CS73" i="2"/>
  <c r="CS76" i="2"/>
  <c r="CS72" i="2"/>
  <c r="CR77" i="2"/>
  <c r="CR81" i="2" s="1"/>
  <c r="CR82" i="2" s="1"/>
  <c r="CR83" i="2" s="1"/>
  <c r="CR85" i="2" s="1"/>
  <c r="CR97" i="2" s="1"/>
  <c r="CT12" i="2"/>
  <c r="CT71" i="2"/>
  <c r="CV4" i="2"/>
  <c r="CU7" i="2"/>
  <c r="CS78" i="2" l="1"/>
  <c r="CT74" i="2"/>
  <c r="CT73" i="2"/>
  <c r="CT76" i="2"/>
  <c r="CT72" i="2"/>
  <c r="CT75" i="2"/>
  <c r="CS77" i="2"/>
  <c r="CU12" i="2"/>
  <c r="CU71" i="2"/>
  <c r="CW4" i="2"/>
  <c r="CV7" i="2"/>
  <c r="CS81" i="2" l="1"/>
  <c r="CS82" i="2" s="1"/>
  <c r="CS83" i="2" s="1"/>
  <c r="CS85" i="2" s="1"/>
  <c r="CS97" i="2" s="1"/>
  <c r="CT78" i="2" s="1"/>
  <c r="CV12" i="2"/>
  <c r="CV71" i="2"/>
  <c r="CT77" i="2"/>
  <c r="CU74" i="2"/>
  <c r="CU73" i="2"/>
  <c r="CU76" i="2"/>
  <c r="CU72" i="2"/>
  <c r="CU75" i="2"/>
  <c r="CW7" i="2"/>
  <c r="CX4" i="2"/>
  <c r="CU77" i="2" l="1"/>
  <c r="CW12" i="2"/>
  <c r="CW71" i="2"/>
  <c r="CV73" i="2"/>
  <c r="CV76" i="2"/>
  <c r="CV72" i="2"/>
  <c r="CV75" i="2"/>
  <c r="CV74" i="2"/>
  <c r="CT81" i="2"/>
  <c r="CT82" i="2" s="1"/>
  <c r="CT83" i="2" s="1"/>
  <c r="CT85" i="2" s="1"/>
  <c r="CT97" i="2" s="1"/>
  <c r="CX7" i="2"/>
  <c r="CY4" i="2"/>
  <c r="CV77" i="2" l="1"/>
  <c r="CW73" i="2"/>
  <c r="CW76" i="2"/>
  <c r="CW72" i="2"/>
  <c r="CW75" i="2"/>
  <c r="CW74" i="2"/>
  <c r="CX12" i="2"/>
  <c r="CX71" i="2"/>
  <c r="CU78" i="2"/>
  <c r="CU81" i="2" s="1"/>
  <c r="CU82" i="2" s="1"/>
  <c r="CU83" i="2" s="1"/>
  <c r="CU85" i="2" s="1"/>
  <c r="CU97" i="2" s="1"/>
  <c r="CV78" i="2" s="1"/>
  <c r="CZ4" i="2"/>
  <c r="CZ7" i="2" s="1"/>
  <c r="CZ71" i="2" s="1"/>
  <c r="CY7" i="2"/>
  <c r="CY12" i="2" l="1"/>
  <c r="CY71" i="2"/>
  <c r="CX76" i="2"/>
  <c r="CX72" i="2"/>
  <c r="CX75" i="2"/>
  <c r="CX74" i="2"/>
  <c r="CX73" i="2"/>
  <c r="CZ75" i="2"/>
  <c r="CZ74" i="2"/>
  <c r="CZ73" i="2"/>
  <c r="CZ76" i="2"/>
  <c r="CZ72" i="2"/>
  <c r="CW77" i="2"/>
  <c r="CV81" i="2"/>
  <c r="CZ12" i="2"/>
  <c r="CX77" i="2" l="1"/>
  <c r="CV82" i="2"/>
  <c r="CV83" i="2" s="1"/>
  <c r="CV85" i="2" s="1"/>
  <c r="CV97" i="2" s="1"/>
  <c r="CW78" i="2" s="1"/>
  <c r="CW81" i="2" s="1"/>
  <c r="CZ77" i="2"/>
  <c r="CY76" i="2"/>
  <c r="CY72" i="2"/>
  <c r="CY75" i="2"/>
  <c r="CY74" i="2"/>
  <c r="CY73" i="2"/>
  <c r="CW82" i="2" l="1"/>
  <c r="CW83" i="2" s="1"/>
  <c r="CW85" i="2" s="1"/>
  <c r="CW97" i="2" s="1"/>
  <c r="CX78" i="2" s="1"/>
  <c r="CX81" i="2" s="1"/>
  <c r="CX82" i="2" s="1"/>
  <c r="CX83" i="2" s="1"/>
  <c r="CX85" i="2" s="1"/>
  <c r="CX97" i="2" s="1"/>
  <c r="CY77" i="2"/>
  <c r="CY78" i="2" l="1"/>
  <c r="CY81" i="2" s="1"/>
  <c r="CY82" i="2" s="1"/>
  <c r="CY83" i="2" s="1"/>
  <c r="CY85" i="2" s="1"/>
  <c r="CY97" i="2" s="1"/>
  <c r="CZ78" i="2" l="1"/>
  <c r="CZ81" i="2" s="1"/>
  <c r="CZ82" i="2" s="1"/>
  <c r="CZ83" i="2" s="1"/>
  <c r="CZ85" i="2" s="1"/>
  <c r="DA85" i="2" s="1"/>
  <c r="DB85" i="2" s="1"/>
  <c r="DC85" i="2" s="1"/>
  <c r="DD85" i="2" s="1"/>
  <c r="DE85" i="2" s="1"/>
  <c r="DF85" i="2" s="1"/>
  <c r="DG85" i="2" s="1"/>
  <c r="DH85" i="2" s="1"/>
  <c r="DI85" i="2" s="1"/>
  <c r="DJ85" i="2" s="1"/>
  <c r="DK85" i="2" s="1"/>
  <c r="DL85" i="2" s="1"/>
  <c r="DM85" i="2" s="1"/>
  <c r="DN85" i="2" s="1"/>
  <c r="DO85" i="2" s="1"/>
  <c r="DP85" i="2" s="1"/>
  <c r="DQ85" i="2" s="1"/>
  <c r="DR85" i="2" s="1"/>
  <c r="DS85" i="2" s="1"/>
  <c r="DT85" i="2" s="1"/>
  <c r="DU85" i="2" s="1"/>
  <c r="DV85" i="2" s="1"/>
  <c r="DW85" i="2" s="1"/>
  <c r="DX85" i="2" s="1"/>
  <c r="DY85" i="2" s="1"/>
  <c r="DZ85" i="2" s="1"/>
  <c r="EA85" i="2" s="1"/>
  <c r="EB85" i="2" s="1"/>
  <c r="EC85" i="2" s="1"/>
  <c r="ED85" i="2" s="1"/>
  <c r="EE85" i="2" s="1"/>
  <c r="EF85" i="2" s="1"/>
  <c r="EG85" i="2" s="1"/>
  <c r="EH85" i="2" s="1"/>
  <c r="EI85" i="2" s="1"/>
  <c r="EJ85" i="2" s="1"/>
  <c r="EK85" i="2" s="1"/>
  <c r="EL85" i="2" s="1"/>
  <c r="EM85" i="2" s="1"/>
  <c r="EN85" i="2" s="1"/>
  <c r="EO85" i="2" s="1"/>
  <c r="EP85" i="2" s="1"/>
  <c r="EQ85" i="2" s="1"/>
  <c r="ER85" i="2" s="1"/>
  <c r="ES85" i="2" s="1"/>
  <c r="ET85" i="2" s="1"/>
  <c r="EU85" i="2" s="1"/>
  <c r="EV85" i="2" s="1"/>
  <c r="EW85" i="2" s="1"/>
  <c r="EX85" i="2" s="1"/>
  <c r="DJ104" i="2" s="1"/>
  <c r="DJ106" i="2" s="1"/>
  <c r="DJ108" i="2" l="1"/>
  <c r="CZ97" i="2"/>
  <c r="DI109" i="2" l="1" a="1"/>
  <c r="DK10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<sst xmlns="http://schemas.openxmlformats.org/spreadsheetml/2006/main" count="1567" uniqueCount="1526">
  <si>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</si>
  <si>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</si>
  <si>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</si>
  <si>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</si>
  <si>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</si>
  <si>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</si>
  <si>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</si>
  <si>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</si>
  <si>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</si>
  <si>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</si>
  <si>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</si>
  <si>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</si>
  <si>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</si>
  <si>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</si>
  <si>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</si>
  <si>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Revenue Breakdown by Segment (Build graph for this section if applicable…. See example below)</t>
  </si>
  <si>
    <t>Notes:</t>
  </si>
  <si>
    <t>[X]</t>
  </si>
  <si>
    <t>[Y]</t>
  </si>
  <si>
    <t>[Z]</t>
  </si>
  <si>
    <t>Total Revenues, Net Income, FCF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</si>
  <si>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</si>
  <si>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</si>
  <si>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</si>
  <si>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</si>
  <si>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</si>
  <si>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</si>
  <si>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</si>
  <si>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</si>
  <si>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</si>
  <si>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</si>
  <si>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</si>
  <si>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</si>
  <si>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</si>
  <si>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&lt;- Shapre Ratio (Risk Adjusted Return)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</si>
  <si>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</si>
  <si>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</si>
  <si>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</si>
  <si>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</si>
  <si>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</si>
  <si>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</si>
  <si>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</si>
  <si>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</si>
  <si>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</si>
  <si>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</si>
  <si>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</si>
  <si>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</si>
  <si>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</si>
  <si>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</si>
  <si>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</si>
  <si>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</si>
  <si>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</si>
  <si>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</si>
  <si>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</si>
  <si>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</si>
  <si>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</si>
  <si>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</si>
  <si>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</si>
  <si>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</si>
  <si>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</si>
  <si>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</si>
  <si>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</si>
  <si>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</si>
  <si>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</si>
  <si>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</si>
  <si>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</si>
  <si>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</si>
  <si>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</si>
  <si>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</si>
  <si>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</si>
  <si>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</si>
  <si>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</si>
  <si>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</si>
  <si>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</si>
  <si>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</si>
  <si>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</si>
  <si>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</si>
  <si>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</si>
  <si>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</si>
  <si>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</si>
  <si>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</si>
  <si>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</si>
  <si>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</si>
  <si>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</si>
  <si>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</si>
  <si>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</si>
  <si>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</si>
  <si>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</si>
  <si>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</si>
  <si>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</si>
  <si>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</si>
  <si>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TMO</t>
  </si>
  <si>
    <t>Thermo Fisher Scientific, Inc.</t>
  </si>
  <si>
    <t>Founded: 1956</t>
  </si>
  <si>
    <t>Headquarters: Waltham, Massachusetts</t>
  </si>
  <si>
    <t>Employees: 125,000</t>
  </si>
  <si>
    <t>Registered Exchange: NYSE</t>
  </si>
  <si>
    <t>Address: 168 THIRD AVENUE, WALTHAM, MA, 02451</t>
  </si>
  <si>
    <t>immunodiagnostics offers develops, manufactures, and markets complete blood test systems to support the clinical diagnosis and monitoring of allergy, asthma, and autoimmune diseases</t>
  </si>
  <si>
    <t>microbiology offers dehydrated and prepared culture media, collection and transport systems, instrumentation, and consumables; transplant diagnostics products include human leukocyte antigen typing and testing for organ transplant market</t>
  </si>
  <si>
    <t>healthcare market channel offers consumables, diagnostic kits and reagents, equipment, instruments, solutions, and services</t>
  </si>
  <si>
    <t>Thermo Fisher Scientific Inc. was founded in 1956 and is headquartered in Waltham, Massachusetts</t>
  </si>
  <si>
    <t>Business Segments and Geographical Info:</t>
  </si>
  <si>
    <t>Sector: Healthcare</t>
  </si>
  <si>
    <t>Industry: Medical Devices</t>
  </si>
  <si>
    <t>IPO: May 19, 1992 -- $1.6B valuation</t>
  </si>
  <si>
    <t>Resources:</t>
  </si>
  <si>
    <t>Thermofisher Homepage</t>
  </si>
  <si>
    <t>TMO IR page</t>
  </si>
  <si>
    <t>Earnings Calls</t>
  </si>
  <si>
    <t>https://seekingalpha.com/symbol/BSX/earnings/transcripts</t>
  </si>
  <si>
    <t>https://app.godelterminal.com/</t>
  </si>
  <si>
    <t>FDA Med Device Reporting's</t>
  </si>
  <si>
    <t>https://www.fda.gov/medical-devices</t>
  </si>
  <si>
    <t>U.S. Patent Office Search</t>
  </si>
  <si>
    <t>https://ppubs.uspto.gov/pubThe Companybapp/static/pages/ppubsbasic.html</t>
  </si>
  <si>
    <t>MedTech News</t>
  </si>
  <si>
    <t>https://www.medtechdive.com/</t>
  </si>
  <si>
    <t>MacroTrends</t>
  </si>
  <si>
    <t>https://www.macrotrends.net/stocks/charts/BSX/boston-scientific/income-statement?freq=Q</t>
  </si>
  <si>
    <t>ROIC, WACC</t>
  </si>
  <si>
    <t>https://www.gurufocus.com/term/wacc/BSX</t>
  </si>
  <si>
    <t>Investors Relation Department</t>
  </si>
  <si>
    <t>Phone:</t>
  </si>
  <si>
    <t xml:space="preserve">Email: </t>
  </si>
  <si>
    <t>BSXInvestorRelations@bsci.com</t>
  </si>
  <si>
    <t>https://www.sec.gov/edgar/browse/?CIK=97745&amp;owner=exclude</t>
  </si>
  <si>
    <t>https://www.thermofisher.com/us/en/home.html</t>
  </si>
  <si>
    <t>https://ir.thermofisher.com/investors/overview/default.aspx</t>
  </si>
  <si>
    <t>Fiscal Year: [January - December]</t>
  </si>
  <si>
    <t>Current CEO: Marc Casper</t>
  </si>
  <si>
    <t>Founder(s): George Hatsopoulos &amp; Peter Nomikos</t>
  </si>
  <si>
    <t>(781) 622 - 1000</t>
  </si>
  <si>
    <t>Equity Analysis</t>
  </si>
  <si>
    <t>https://stockanalysis.com/stocks/tmo/company/</t>
  </si>
  <si>
    <t>1256 Trading Days? (From: 9/21/20 - 9/21/25)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</si>
  <si>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</si>
  <si>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</si>
  <si>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</si>
  <si>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</si>
  <si>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</si>
  <si>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</si>
  <si>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</si>
  <si>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</si>
  <si>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</si>
  <si>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</si>
  <si>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</si>
  <si>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</si>
  <si>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</si>
  <si>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</si>
  <si>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</si>
  <si>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</si>
  <si>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</si>
  <si>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</si>
  <si>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</si>
  <si>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</si>
  <si>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</si>
  <si>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</si>
  <si>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</si>
  <si>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</si>
  <si>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</si>
  <si>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</si>
  <si>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</si>
  <si>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</si>
  <si>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</si>
  <si>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</si>
  <si>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</si>
  <si>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</si>
  <si>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</si>
  <si>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</si>
  <si>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</si>
  <si>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</si>
  <si>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</si>
  <si>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</si>
  <si>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</si>
  <si>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</si>
  <si>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</si>
  <si>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</si>
  <si>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</si>
  <si>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</si>
  <si>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</si>
  <si>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</si>
  <si>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</si>
  <si>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</si>
  <si>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</si>
  <si>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</si>
  <si>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</si>
  <si>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</si>
  <si>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</si>
  <si>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</si>
  <si>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</si>
  <si>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</si>
  <si>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</si>
  <si>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</si>
  <si>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</si>
  <si>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</si>
  <si>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</si>
  <si>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</si>
  <si>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</si>
  <si>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</si>
  <si>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</si>
  <si>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</si>
  <si>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</si>
  <si>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</si>
  <si>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</si>
  <si>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</si>
  <si>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</si>
  <si>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</si>
  <si>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</si>
  <si>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</si>
  <si>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</si>
  <si>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</si>
  <si>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</si>
  <si>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</si>
  <si>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</si>
  <si>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</si>
  <si>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</si>
  <si>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</si>
  <si>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</si>
  <si>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</si>
  <si>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</si>
  <si>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</si>
  <si>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</si>
  <si>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</si>
  <si>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</si>
  <si>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</si>
  <si>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</si>
  <si>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</si>
  <si>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</si>
  <si>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</si>
  <si>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</si>
  <si>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</si>
  <si>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</si>
  <si>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</si>
  <si>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</si>
  <si>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</si>
  <si>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</si>
  <si>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</si>
  <si>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</si>
  <si>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</si>
  <si>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</si>
  <si>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</si>
  <si>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</si>
  <si>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</si>
  <si>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</si>
  <si>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</si>
  <si>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</si>
  <si>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</si>
  <si>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</si>
  <si>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</si>
  <si>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</si>
  <si>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</si>
  <si>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</si>
  <si>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</si>
  <si>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</si>
  <si>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</si>
  <si>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</si>
  <si>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</si>
  <si>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</si>
  <si>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</si>
  <si>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</si>
  <si>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</si>
  <si>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</si>
  <si>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</si>
  <si>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</si>
  <si>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</si>
  <si>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</si>
  <si>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</si>
  <si>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</si>
  <si>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</si>
  <si>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</si>
  <si>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</si>
  <si>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</si>
  <si>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</si>
  <si>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</si>
  <si>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</si>
  <si>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</si>
  <si>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</si>
  <si>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</si>
  <si>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</si>
  <si>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</si>
  <si>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</si>
  <si>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</si>
  <si>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</si>
  <si>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</si>
  <si>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</si>
  <si>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</si>
  <si>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</si>
  <si>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</si>
  <si>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</si>
  <si>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</si>
  <si>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</si>
  <si>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</si>
  <si>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</si>
  <si>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</si>
  <si>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</si>
  <si>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</si>
  <si>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</si>
  <si>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</si>
  <si>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</si>
  <si>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</si>
  <si>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</si>
  <si>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</si>
  <si>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</si>
  <si>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</si>
  <si>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</si>
  <si>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</si>
  <si>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</si>
  <si>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</si>
  <si>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</si>
  <si>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</si>
  <si>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</si>
  <si>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</si>
  <si>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</si>
  <si>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</si>
  <si>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</si>
  <si>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</si>
  <si>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</si>
  <si>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</si>
  <si>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</si>
  <si>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</si>
  <si>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</si>
  <si>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</si>
  <si>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</si>
  <si>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</si>
  <si>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</si>
  <si>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</si>
  <si>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</si>
  <si>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</si>
  <si>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</si>
  <si>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</si>
  <si>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</si>
  <si>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</si>
  <si>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</si>
  <si>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</si>
  <si>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</si>
  <si>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</si>
  <si>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</si>
  <si>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</si>
  <si>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</si>
  <si>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</si>
  <si>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</si>
  <si>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</si>
  <si>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</si>
  <si>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</si>
  <si>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</si>
  <si>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</si>
  <si>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</si>
  <si>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</si>
  <si>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</si>
  <si>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</si>
  <si>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</si>
  <si>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</si>
  <si>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</si>
  <si>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</si>
  <si>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</si>
  <si>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</si>
  <si>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</si>
  <si>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</si>
  <si>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</si>
  <si>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</si>
  <si>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</si>
  <si>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</si>
  <si>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</si>
  <si>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</si>
  <si>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</si>
  <si>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</si>
  <si>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</si>
  <si>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</si>
  <si>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</si>
  <si>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</si>
  <si>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</si>
  <si>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</si>
  <si>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</si>
  <si>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</si>
  <si>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</si>
  <si>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</si>
  <si>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</si>
  <si>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</si>
  <si>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</si>
  <si>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</si>
  <si>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</si>
  <si>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</si>
  <si>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</si>
  <si>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</si>
  <si>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</si>
  <si>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</si>
  <si>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</si>
  <si>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</si>
  <si>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</si>
  <si>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</si>
  <si>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</si>
  <si>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</si>
  <si>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</si>
  <si>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</si>
  <si>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</si>
  <si>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</si>
  <si>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</si>
  <si>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</si>
  <si>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</si>
  <si>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</si>
  <si>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</si>
  <si>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</si>
  <si>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</si>
  <si>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</si>
  <si>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</si>
  <si>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</si>
  <si>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</si>
  <si>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</si>
  <si>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</si>
  <si>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</si>
  <si>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</si>
  <si>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</si>
  <si>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</si>
  <si>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</si>
  <si>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</si>
  <si>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</si>
  <si>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</si>
  <si>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</si>
  <si>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</si>
  <si>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</si>
  <si>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</si>
  <si>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</si>
  <si>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</si>
  <si>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</si>
  <si>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</si>
  <si>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</si>
  <si>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</si>
  <si>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</si>
  <si>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</si>
  <si>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</si>
  <si>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</si>
  <si>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</si>
  <si>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</si>
  <si>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</si>
  <si>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</si>
  <si>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</si>
  <si>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</si>
  <si>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</si>
  <si>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</si>
  <si>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</si>
  <si>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</si>
  <si>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</si>
  <si>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</si>
  <si>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</si>
  <si>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</si>
  <si>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</si>
  <si>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</si>
  <si>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</si>
  <si>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</si>
  <si>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</si>
  <si>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</si>
  <si>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</si>
  <si>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</si>
  <si>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</si>
  <si>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</si>
  <si>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</si>
  <si>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</si>
  <si>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</si>
  <si>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</si>
  <si>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</si>
  <si>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</si>
  <si>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</si>
  <si>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</si>
  <si>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</si>
  <si>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</si>
  <si>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</si>
  <si>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</si>
  <si>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</si>
  <si>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</si>
  <si>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</si>
  <si>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</si>
  <si>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</si>
  <si>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</si>
  <si>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</si>
  <si>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</si>
  <si>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</si>
  <si>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</si>
  <si>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</si>
  <si>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</si>
  <si>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</si>
  <si>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</si>
  <si>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</si>
  <si>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</si>
  <si>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</si>
  <si>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</si>
  <si>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</si>
  <si>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</si>
  <si>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</si>
  <si>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</si>
  <si>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</si>
  <si>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</si>
  <si>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</si>
  <si>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</si>
  <si>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</si>
  <si>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</si>
  <si>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</si>
  <si>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</si>
  <si>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</si>
  <si>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</si>
  <si>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</si>
  <si>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</si>
  <si>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</si>
  <si>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</si>
  <si>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</si>
  <si>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</si>
  <si>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</si>
  <si>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</si>
  <si>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</si>
  <si>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</si>
  <si>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</si>
  <si>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</si>
  <si>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</si>
  <si>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</si>
  <si>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</si>
  <si>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</si>
  <si>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</si>
  <si>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</si>
  <si>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</si>
  <si>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</si>
  <si>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</si>
  <si>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</si>
  <si>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</si>
  <si>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</si>
  <si>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</si>
  <si>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</si>
  <si>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</si>
  <si>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</si>
  <si>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</si>
  <si>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</si>
  <si>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</si>
  <si>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</si>
  <si>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</si>
  <si>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</si>
  <si>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</si>
  <si>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</si>
  <si>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</si>
  <si>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</si>
  <si>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</si>
  <si>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</si>
  <si>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</si>
  <si>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</si>
  <si>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</si>
  <si>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</si>
  <si>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</si>
  <si>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</si>
  <si>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</si>
  <si>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</si>
  <si>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</si>
  <si>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</si>
  <si>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</si>
  <si>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</si>
  <si>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</si>
  <si>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</si>
  <si>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</si>
  <si>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</si>
  <si>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</si>
  <si>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</si>
  <si>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</si>
  <si>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</si>
  <si>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</si>
  <si>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</si>
  <si>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</si>
  <si>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</si>
  <si>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</si>
  <si>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</si>
  <si>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</si>
  <si>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</si>
  <si>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</si>
  <si>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</si>
  <si>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</si>
  <si>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</si>
  <si>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</si>
  <si>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</si>
  <si>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</si>
  <si>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</si>
  <si>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</si>
  <si>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</si>
  <si>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</si>
  <si>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</si>
  <si>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</si>
  <si>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</si>
  <si>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</si>
  <si>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</si>
  <si>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</si>
  <si>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</si>
  <si>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</si>
  <si>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</si>
  <si>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</si>
  <si>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</si>
  <si>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</si>
  <si>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</si>
  <si>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</si>
  <si>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</si>
  <si>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</si>
  <si>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</si>
  <si>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</si>
  <si>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</si>
  <si>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</si>
  <si>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</si>
  <si>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</si>
  <si>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</si>
  <si>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</si>
  <si>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</si>
  <si>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</si>
  <si>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</si>
  <si>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</si>
  <si>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</si>
  <si>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</si>
  <si>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</si>
  <si>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</si>
  <si>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</si>
  <si>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</si>
  <si>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</si>
  <si>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</si>
  <si>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</si>
  <si>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</si>
  <si>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</si>
  <si>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</si>
  <si>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</si>
  <si>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</si>
  <si>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</si>
  <si>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</si>
  <si>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</si>
  <si>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</si>
  <si>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</si>
  <si>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</si>
  <si>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</si>
  <si>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</si>
  <si>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</si>
  <si>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</si>
  <si>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</si>
  <si>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</si>
  <si>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</si>
  <si>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</si>
  <si>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</si>
  <si>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</si>
  <si>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</si>
  <si>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</si>
  <si>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</si>
  <si>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</si>
  <si>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</si>
  <si>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</si>
  <si>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</si>
  <si>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</si>
  <si>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</si>
  <si>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</si>
  <si>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</si>
  <si>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</si>
  <si>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</si>
  <si>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</si>
  <si>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</si>
  <si>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</si>
  <si>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</si>
  <si>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</si>
  <si>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</si>
  <si>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</si>
  <si>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</si>
  <si>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</si>
  <si>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</si>
  <si>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</si>
  <si>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</si>
  <si>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</si>
  <si>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</si>
  <si>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</si>
  <si>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</si>
  <si>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</si>
  <si>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</si>
  <si>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</si>
  <si>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</si>
  <si>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</si>
  <si>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</si>
  <si>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</si>
  <si>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</si>
  <si>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</si>
  <si>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</si>
  <si>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</si>
  <si>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</si>
  <si>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</si>
  <si>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</si>
  <si>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</si>
  <si>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</si>
  <si>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</si>
  <si>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</si>
  <si>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</si>
  <si>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</si>
  <si>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</si>
  <si>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</si>
  <si>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</si>
  <si>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</si>
  <si>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</si>
  <si>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</si>
  <si>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</si>
  <si>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</si>
  <si>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</si>
  <si>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</si>
  <si>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</si>
  <si>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</si>
  <si>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</si>
  <si>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</si>
  <si>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</si>
  <si>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</si>
  <si>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</si>
  <si>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</si>
  <si>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</si>
  <si>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</si>
  <si>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</si>
  <si>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</si>
  <si>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</si>
  <si>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</si>
  <si>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</si>
  <si>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</si>
  <si>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</si>
  <si>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</si>
  <si>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</si>
  <si>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</si>
  <si>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</si>
  <si>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</si>
  <si>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</si>
  <si>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</si>
  <si>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</si>
  <si>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</si>
  <si>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</si>
  <si>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</si>
  <si>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</si>
  <si>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</si>
  <si>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</si>
  <si>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</si>
  <si>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</si>
  <si>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</si>
  <si>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</si>
  <si>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</si>
  <si>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</si>
  <si>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</si>
  <si>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</si>
  <si>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</si>
  <si>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</si>
  <si>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</si>
  <si>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</si>
  <si>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</si>
  <si>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</si>
  <si>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</si>
  <si>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</si>
  <si>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</si>
  <si>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</si>
  <si>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</si>
  <si>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</si>
  <si>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</si>
  <si>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</si>
  <si>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</si>
  <si>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</si>
  <si>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</si>
  <si>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</si>
  <si>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</si>
  <si>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</si>
  <si>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</si>
  <si>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</si>
  <si>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</si>
  <si>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</si>
  <si>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</si>
  <si>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</si>
  <si>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</si>
  <si>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</si>
  <si>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</si>
  <si>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</si>
  <si>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</si>
  <si>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</si>
  <si>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</si>
  <si>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</si>
  <si>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</si>
  <si>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</si>
  <si>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</si>
  <si>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</si>
  <si>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</si>
  <si>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</si>
  <si>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</si>
  <si>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</si>
  <si>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</si>
  <si>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</si>
  <si>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</si>
  <si>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</si>
  <si>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</si>
  <si>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</si>
  <si>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</si>
  <si>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</si>
  <si>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</si>
  <si>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</si>
  <si>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</si>
  <si>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</si>
  <si>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</si>
  <si>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</si>
  <si>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</si>
  <si>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</si>
  <si>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</si>
  <si>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</si>
  <si>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</si>
  <si>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</si>
  <si>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</si>
  <si>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</si>
  <si>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</si>
  <si>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</si>
  <si>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</si>
  <si>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</si>
  <si>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</si>
  <si>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</si>
  <si>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</si>
  <si>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</si>
  <si>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</si>
  <si>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</si>
  <si>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</si>
  <si>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</si>
  <si>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</si>
  <si>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</si>
  <si>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</si>
  <si>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</si>
  <si>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</si>
  <si>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</si>
  <si>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</si>
  <si>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</si>
  <si>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</si>
  <si>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</si>
  <si>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</si>
  <si>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</si>
  <si>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</si>
  <si>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</si>
  <si>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</si>
  <si>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</si>
  <si>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</si>
  <si>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</si>
  <si>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</si>
  <si>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</si>
  <si>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</si>
  <si>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</si>
  <si>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</si>
  <si>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</si>
  <si>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</si>
  <si>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</si>
  <si>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</si>
  <si>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</si>
  <si>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</si>
  <si>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</si>
  <si>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</si>
  <si>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</si>
  <si>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</si>
  <si>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</si>
  <si>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</si>
  <si>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</si>
  <si>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</si>
  <si>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</si>
  <si>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</si>
  <si>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</si>
  <si>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</si>
  <si>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</si>
  <si>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</si>
  <si>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</si>
  <si>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</si>
  <si>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</si>
  <si>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</si>
  <si>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</si>
  <si>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</si>
  <si>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</si>
  <si>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</si>
  <si>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</si>
  <si>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</si>
  <si>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</si>
  <si>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</si>
  <si>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</si>
  <si>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</si>
  <si>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</si>
  <si>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</si>
  <si>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</si>
  <si>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</si>
  <si>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</si>
  <si>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</si>
  <si>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</si>
  <si>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</si>
  <si>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</si>
  <si>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</si>
  <si>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</si>
  <si>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</si>
  <si>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</si>
  <si>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</si>
  <si>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</si>
  <si>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</si>
  <si>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</si>
  <si>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</si>
  <si>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</si>
  <si>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</si>
  <si>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</si>
  <si>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</si>
  <si>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</si>
  <si>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</si>
  <si>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</si>
  <si>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</si>
  <si>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</si>
  <si>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</si>
  <si>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</si>
  <si>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</si>
  <si>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</si>
  <si>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</si>
  <si>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</si>
  <si>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</si>
  <si>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</si>
  <si>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</si>
  <si>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</si>
  <si>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</si>
  <si>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</si>
  <si>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</si>
  <si>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</si>
  <si>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</si>
  <si>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</si>
  <si>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</si>
  <si>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</si>
  <si>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</si>
  <si>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</si>
  <si>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</si>
  <si>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</si>
  <si>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</si>
  <si>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</si>
  <si>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</si>
  <si>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</si>
  <si>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</si>
  <si>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</si>
  <si>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</si>
  <si>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</si>
  <si>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</si>
  <si>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</si>
  <si>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</si>
  <si>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</si>
  <si>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</si>
  <si>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</si>
  <si>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</si>
  <si>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</si>
  <si>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</si>
  <si>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</si>
  <si>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</si>
  <si>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</si>
  <si>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</si>
  <si>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</si>
  <si>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</si>
  <si>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</si>
  <si>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</si>
  <si>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</si>
  <si>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</si>
  <si>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</si>
  <si>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</si>
  <si>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</si>
  <si>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</si>
  <si>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</si>
  <si>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</si>
  <si>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</si>
  <si>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</si>
  <si>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</si>
  <si>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</si>
  <si>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</si>
  <si>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</si>
  <si>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</si>
  <si>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</si>
  <si>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</si>
  <si>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</si>
  <si>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</si>
  <si>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</si>
  <si>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</si>
  <si>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</si>
  <si>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</si>
  <si>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</si>
  <si>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</si>
  <si>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</si>
  <si>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</si>
  <si>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</si>
  <si>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</si>
  <si>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</si>
  <si>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</si>
  <si>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</si>
  <si>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</si>
  <si>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</si>
  <si>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</si>
  <si>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</si>
  <si>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</si>
  <si>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</si>
  <si>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</si>
  <si>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</si>
  <si>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</si>
  <si>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</si>
  <si>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</si>
  <si>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</si>
  <si>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</si>
  <si>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</si>
  <si>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</si>
  <si>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</si>
  <si>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</si>
  <si>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</si>
  <si>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</si>
  <si>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</si>
  <si>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</si>
  <si>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</si>
  <si>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</si>
  <si>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</si>
  <si>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</si>
  <si>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</si>
  <si>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</si>
  <si>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</si>
  <si>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</si>
  <si>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</si>
  <si>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</si>
  <si>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</si>
  <si>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</si>
  <si>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</si>
  <si>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</si>
  <si>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</si>
  <si>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</si>
  <si>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</si>
  <si>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</si>
  <si>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</si>
  <si>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</si>
  <si>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</si>
  <si>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</si>
  <si>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</si>
  <si>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</si>
  <si>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</si>
  <si>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</si>
  <si>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</si>
  <si>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</si>
  <si>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</si>
  <si>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</si>
  <si>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</si>
  <si>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</si>
  <si>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</si>
  <si>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</si>
  <si>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</si>
  <si>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</si>
  <si>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</si>
  <si>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</si>
  <si>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</si>
  <si>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</si>
  <si>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</si>
  <si>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</si>
  <si>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</si>
  <si>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</si>
  <si>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</si>
  <si>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</si>
  <si>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</si>
  <si>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</si>
  <si>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</si>
  <si>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</si>
  <si>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</si>
  <si>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</si>
  <si>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</si>
  <si>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</si>
  <si>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</si>
  <si>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</si>
  <si>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</si>
  <si>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</si>
  <si>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</si>
  <si>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</si>
  <si>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</si>
  <si>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</si>
  <si>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</si>
  <si>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</si>
  <si>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</si>
  <si>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</si>
  <si>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</si>
  <si>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</si>
  <si>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</si>
  <si>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</si>
  <si>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</si>
  <si>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</si>
  <si>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</si>
  <si>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</si>
  <si>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</si>
  <si>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</si>
  <si>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</si>
  <si>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</si>
  <si>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</si>
  <si>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</si>
  <si>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</si>
  <si>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</si>
  <si>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</si>
  <si>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</si>
  <si>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</si>
  <si>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</si>
  <si>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</si>
  <si>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</si>
  <si>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</si>
  <si>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</si>
  <si>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</si>
  <si>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</si>
  <si>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</si>
  <si>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</si>
  <si>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</si>
  <si>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</si>
  <si>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</si>
  <si>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</si>
  <si>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</si>
  <si>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</si>
  <si>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</si>
  <si>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</si>
  <si>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</si>
  <si>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</si>
  <si>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</si>
  <si>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</si>
  <si>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</si>
  <si>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</si>
  <si>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</si>
  <si>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</si>
  <si>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</si>
  <si>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</si>
  <si>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</si>
  <si>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</si>
  <si>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</si>
  <si>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</si>
  <si>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</si>
  <si>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</si>
  <si>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</si>
  <si>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</si>
  <si>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</si>
  <si>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</si>
  <si>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</si>
  <si>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</si>
  <si>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</si>
  <si>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</si>
  <si>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</si>
  <si>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</si>
  <si>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</si>
  <si>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</si>
  <si>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</si>
  <si>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</si>
  <si>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</si>
  <si>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</si>
  <si>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</si>
  <si>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</si>
  <si>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</si>
  <si>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</si>
  <si>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</si>
  <si>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</si>
  <si>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</si>
  <si>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</si>
  <si>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</si>
  <si>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</si>
  <si>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</si>
  <si>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</si>
  <si>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</si>
  <si>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</si>
  <si>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</si>
  <si>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</si>
  <si>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</si>
  <si>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</si>
  <si>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</si>
  <si>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</si>
  <si>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</si>
  <si>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</si>
  <si>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</si>
  <si>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</si>
  <si>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</si>
  <si>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</si>
  <si>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</si>
  <si>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</si>
  <si>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</si>
  <si>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</si>
  <si>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</si>
  <si>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</si>
  <si>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</si>
  <si>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</si>
  <si>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</si>
  <si>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</si>
  <si>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</si>
  <si>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</si>
  <si>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</si>
  <si>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</si>
  <si>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</si>
  <si>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</si>
  <si>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</si>
  <si>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</si>
  <si>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</si>
  <si>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</si>
  <si>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</si>
  <si>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</si>
  <si>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</si>
  <si>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</si>
  <si>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</si>
  <si>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</si>
  <si>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</si>
  <si>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</si>
  <si>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</si>
  <si>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</si>
  <si>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</si>
  <si>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</si>
  <si>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</si>
  <si>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</si>
  <si>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</si>
  <si>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</si>
  <si>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</si>
  <si>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</si>
  <si>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</si>
  <si>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</si>
  <si>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</si>
  <si>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</si>
  <si>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</si>
  <si>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</si>
  <si>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</si>
  <si>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</si>
  <si>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</si>
  <si>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</si>
  <si>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</si>
  <si>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</si>
  <si>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</si>
  <si>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</si>
  <si>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</si>
  <si>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</si>
  <si>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</si>
  <si>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</si>
  <si>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</si>
  <si>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</si>
  <si>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</si>
  <si>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</si>
  <si>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</si>
  <si>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</si>
  <si>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</si>
  <si>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</si>
  <si>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</si>
  <si>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</si>
  <si>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</si>
  <si>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</si>
  <si>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</si>
  <si>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</si>
  <si>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</si>
  <si>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</si>
  <si>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</si>
  <si>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</si>
  <si>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</si>
  <si>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</si>
  <si>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</si>
  <si>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</si>
  <si>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</si>
  <si>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</si>
  <si>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</si>
  <si>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</si>
  <si>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</si>
  <si>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</si>
  <si>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</si>
  <si>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</si>
  <si>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</si>
  <si>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</si>
  <si>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</si>
  <si>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</si>
  <si>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</si>
  <si>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</si>
  <si>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</si>
  <si>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</si>
  <si>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</si>
  <si>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</si>
  <si>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</si>
  <si>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</si>
  <si>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</si>
  <si>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</si>
  <si>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</si>
  <si>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</si>
  <si>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</si>
  <si>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</si>
  <si>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</si>
  <si>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</si>
  <si>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</si>
  <si>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</si>
  <si>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</si>
  <si>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</si>
  <si>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</si>
  <si>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</si>
  <si>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</si>
  <si>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</si>
  <si>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</si>
  <si>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</si>
  <si>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</si>
  <si>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</si>
  <si>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</si>
  <si>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</si>
  <si>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</si>
  <si>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</si>
  <si>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</si>
  <si>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</si>
  <si>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</si>
  <si>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</si>
  <si>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</si>
  <si>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</si>
  <si>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</si>
  <si>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</si>
  <si>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</si>
  <si>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</si>
  <si>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</si>
  <si>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</si>
  <si>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</si>
  <si>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</si>
  <si>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</si>
  <si>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</si>
  <si>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</si>
  <si>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</si>
  <si>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</si>
  <si>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</si>
  <si>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</si>
  <si>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</si>
  <si>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</si>
  <si>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</si>
  <si>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</si>
  <si>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</si>
  <si>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</si>
  <si>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</si>
  <si>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</si>
  <si>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</si>
  <si>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</si>
  <si>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</si>
  <si>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</si>
  <si>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</si>
  <si>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</si>
  <si>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</si>
  <si>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</si>
  <si>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</si>
  <si>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</si>
  <si>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</si>
  <si>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</si>
  <si>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</si>
  <si>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</si>
  <si>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</si>
  <si>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</si>
  <si>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</si>
  <si>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</si>
  <si>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</si>
  <si>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</si>
  <si>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</si>
  <si>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</si>
  <si>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</si>
  <si>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</si>
  <si>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</si>
  <si>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</si>
  <si>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</si>
  <si>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</si>
  <si>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</si>
  <si>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</si>
  <si>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</si>
  <si>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</si>
  <si>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</si>
  <si>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</si>
  <si>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</si>
  <si>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</si>
  <si>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</si>
  <si>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</si>
  <si>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</si>
  <si>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</si>
  <si>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</si>
  <si>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</si>
  <si>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</si>
  <si>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</si>
  <si>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</si>
  <si>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</si>
  <si>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</si>
  <si>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</si>
  <si>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</si>
  <si>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</si>
  <si>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</si>
  <si>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</si>
  <si>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</si>
  <si>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</si>
  <si>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</si>
  <si>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</si>
  <si>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</si>
  <si>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</si>
  <si>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</si>
  <si>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</si>
  <si>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</si>
  <si>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</si>
  <si>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</si>
  <si>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</si>
  <si>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</si>
  <si>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</si>
  <si>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</si>
  <si>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</si>
  <si>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</si>
  <si>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</si>
  <si>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</si>
  <si>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</si>
  <si>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</si>
  <si>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</si>
  <si>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</si>
  <si>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</si>
  <si>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</si>
  <si>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</si>
  <si>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</si>
  <si>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</si>
  <si>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</si>
  <si>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</si>
  <si>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</si>
  <si>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</si>
  <si>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</si>
  <si>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</si>
  <si>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More</t>
  </si>
  <si>
    <t>Ttl Revenue Growth Y/y</t>
  </si>
  <si>
    <t>EPS</t>
  </si>
  <si>
    <t>Invested Capital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</si>
  <si>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</si>
  <si>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Projected ROIC:</t>
  </si>
  <si>
    <t>ROIC</t>
  </si>
  <si>
    <t>2024-2025</t>
  </si>
  <si>
    <t>Terminal</t>
  </si>
  <si>
    <t>RFR (10-year yield)</t>
  </si>
  <si>
    <t>ERP 
(Avg. market return - (less) RFR)</t>
  </si>
  <si>
    <t>Capital Structure</t>
  </si>
  <si>
    <t>Equity β (1-year avg.)</t>
  </si>
  <si>
    <t>Mkt Cap</t>
  </si>
  <si>
    <t>Discount (Cost of Equity)</t>
  </si>
  <si>
    <t>Ttl Assets</t>
  </si>
  <si>
    <t>Debt to Ttl Mkt Cap</t>
  </si>
  <si>
    <t>Mkt Equity to Ttl Mkt Cap</t>
  </si>
  <si>
    <t>NPV</t>
  </si>
  <si>
    <t>LT Debt / Equity</t>
  </si>
  <si>
    <t>FV</t>
  </si>
  <si>
    <t>Cost of Equity</t>
  </si>
  <si>
    <t>CP</t>
  </si>
  <si>
    <t>Change Δ</t>
  </si>
  <si>
    <t>Market Return(1-year avg.)</t>
  </si>
  <si>
    <t xml:space="preserve">Cost of Equity </t>
  </si>
  <si>
    <t>Cost of Debt</t>
  </si>
  <si>
    <t>Ttl Liabilities</t>
  </si>
  <si>
    <t>Tax Rate</t>
  </si>
  <si>
    <t>Ttl SE</t>
  </si>
  <si>
    <t>After Tax Cost of Debt</t>
  </si>
  <si>
    <t>Ttl L + SE</t>
  </si>
  <si>
    <t>WACC</t>
  </si>
  <si>
    <t>Fixed Asset Turnover Ratio</t>
  </si>
  <si>
    <t>Ttl Asset Turnover Ratio</t>
  </si>
  <si>
    <t>CFFO Margin</t>
  </si>
  <si>
    <t>FCF Margin</t>
  </si>
  <si>
    <t>CapEx as % of Revenue</t>
  </si>
  <si>
    <t>The Company offers products and services through a direct sales force, customer-service professionals, electronic commerce, and third-party distributors under Thermo Scientific; Applied Biosystems; Invitrogen; Fisher Scientific; Unity Lab Services; and Patheon and PPD</t>
  </si>
  <si>
    <t>SG&amp;A</t>
  </si>
  <si>
    <t>R&amp;D</t>
  </si>
  <si>
    <t>Restructuring &amp; Other</t>
  </si>
  <si>
    <t>Operating Income</t>
  </si>
  <si>
    <t>Interest Income</t>
  </si>
  <si>
    <t>Interest Expenses</t>
  </si>
  <si>
    <t>Other Income</t>
  </si>
  <si>
    <t>Pretax Income</t>
  </si>
  <si>
    <t>Taxes</t>
  </si>
  <si>
    <t>Non-controlling Int.</t>
  </si>
  <si>
    <t>Attr. Net Income</t>
  </si>
  <si>
    <t>A/R</t>
  </si>
  <si>
    <t>Inventories</t>
  </si>
  <si>
    <t>PP&amp;E</t>
  </si>
  <si>
    <t>Acquisition Related Intangibles</t>
  </si>
  <si>
    <t>Other Assets</t>
  </si>
  <si>
    <t>Goodwill</t>
  </si>
  <si>
    <t>ST Debt</t>
  </si>
  <si>
    <t>A/P</t>
  </si>
  <si>
    <t>Accrued Payroll</t>
  </si>
  <si>
    <t>ST Contract Liabilities</t>
  </si>
  <si>
    <t>Other ST Liabilities</t>
  </si>
  <si>
    <t>LT Deferred Income Taxes</t>
  </si>
  <si>
    <t>Other LT Liabilities</t>
  </si>
  <si>
    <t>LT Debt</t>
  </si>
  <si>
    <t>RNCI</t>
  </si>
  <si>
    <t>Consumables</t>
  </si>
  <si>
    <t>Instruments</t>
  </si>
  <si>
    <t>Services</t>
  </si>
  <si>
    <t>Consumables Growth Y/y</t>
  </si>
  <si>
    <t>Instruments Growth Y/y</t>
  </si>
  <si>
    <t>Services Growth Y/y</t>
  </si>
  <si>
    <t>Consumables % of Ttl Revenues</t>
  </si>
  <si>
    <t>Instruments % of Ttl Revenues</t>
  </si>
  <si>
    <t>Services % of Ttl Revenues</t>
  </si>
  <si>
    <t>North America % of Ttl Revenues</t>
  </si>
  <si>
    <t>Euro % of Ttl Revenues</t>
  </si>
  <si>
    <t>APAC % of Ttl Revenues</t>
  </si>
  <si>
    <t>Other Regions % of Ttl Revenues</t>
  </si>
  <si>
    <t xml:space="preserve">U.S. </t>
  </si>
  <si>
    <t xml:space="preserve">Euro </t>
  </si>
  <si>
    <t xml:space="preserve">APAC </t>
  </si>
  <si>
    <t xml:space="preserve">Other Regions </t>
  </si>
  <si>
    <t>U.S. Growth Y/y</t>
  </si>
  <si>
    <t>Euro Growth Y/y</t>
  </si>
  <si>
    <t>APAC Growth Y/y</t>
  </si>
  <si>
    <t>Other Regions Growth Y/y</t>
  </si>
  <si>
    <t>Ttl Revenue  Growth Y/y</t>
  </si>
  <si>
    <t>Bioscience</t>
  </si>
  <si>
    <t>Genetic Sciences</t>
  </si>
  <si>
    <t>Bioproduction</t>
  </si>
  <si>
    <t>Other</t>
  </si>
  <si>
    <t>Life Science Solutions</t>
  </si>
  <si>
    <t>Chromatography &amp; Spectrometry</t>
  </si>
  <si>
    <t>Chemical Analysis</t>
  </si>
  <si>
    <t>Electronic Microscopy</t>
  </si>
  <si>
    <t>Analytical Instruments</t>
  </si>
  <si>
    <t>Clinical Diagnostics</t>
  </si>
  <si>
    <t>ImmunoDiagnostics</t>
  </si>
  <si>
    <t>Microbiology</t>
  </si>
  <si>
    <t>Transplant Diagnostics</t>
  </si>
  <si>
    <t>Elimination of Intrasegment Revenues</t>
  </si>
  <si>
    <t>Specialty Diagnostics</t>
  </si>
  <si>
    <t>Lab Products</t>
  </si>
  <si>
    <t>Healthcare Channel</t>
  </si>
  <si>
    <t>Research &amp; Safety Channel</t>
  </si>
  <si>
    <t>Pharma Services</t>
  </si>
  <si>
    <t>Clinical Research</t>
  </si>
  <si>
    <t>Lab Products &amp; Biopharma Services</t>
  </si>
  <si>
    <t>Ttl Revenue</t>
  </si>
  <si>
    <t>Life Science Solutions Growth Y/y</t>
  </si>
  <si>
    <t>Analytical Instruments Growth Y/y</t>
  </si>
  <si>
    <t>Specialty Diagnostics Growth Y/y</t>
  </si>
  <si>
    <t>Lab Products &amp; Biopharma Services Growth Y/y</t>
  </si>
  <si>
    <t>Life Science Solutions % of Ttl Revenues</t>
  </si>
  <si>
    <t>Analytical Instruments % of Ttl Revenues</t>
  </si>
  <si>
    <t>Specialty Diagnostics % of Ttl Revenues</t>
  </si>
  <si>
    <t>Lab Products &amp; Biopharma Services % of Ttl Revenues</t>
  </si>
  <si>
    <t>Q1 2026</t>
  </si>
  <si>
    <t>Other Op Ex as % of Revenue</t>
  </si>
  <si>
    <t>Thermo Fisher Scientific is a life sciences and lab equipment maker that sells scientific instruments, reagents, consumables, and software. It also provides contract drug development, manufacturing, and clinical research services</t>
  </si>
  <si>
    <t>Brands include Thermo Scientific, Applied Biosystems, Invitrogen, Fisher Scientific, Patheon, and PPD in the North America, Europe, Asia-Pacific, and internationally</t>
  </si>
  <si>
    <r>
      <t xml:space="preserve">Its </t>
    </r>
    <r>
      <rPr>
        <b/>
        <sz val="11"/>
        <color theme="1"/>
        <rFont val="Calibre"/>
      </rPr>
      <t>Analytical Instruments</t>
    </r>
    <r>
      <rPr>
        <sz val="11"/>
        <color theme="1"/>
        <rFont val="Calibre"/>
      </rPr>
      <t xml:space="preserve"> segment provides instruments, consumables, software, and services for pharmaceutical, biotechnology, academic, government, environmental, and other research and industrial markets, as well as clinical laboratories</t>
    </r>
  </si>
  <si>
    <r>
      <t>The Company’s</t>
    </r>
    <r>
      <rPr>
        <b/>
        <sz val="11"/>
        <color theme="1"/>
        <rFont val="Calibre"/>
      </rPr>
      <t xml:space="preserve"> Specialty Diagnostics</t>
    </r>
    <r>
      <rPr>
        <sz val="11"/>
        <color theme="1"/>
        <rFont val="Calibre"/>
      </rPr>
      <t xml:space="preserve"> segment includes clinical diagnostics offering liquid, ready-to-use, and lyophilized immunodiagnostic reagent kits, as well as calibrators, controls, protein detection assays, and instruments</t>
    </r>
  </si>
  <si>
    <r>
      <t>The Company’s</t>
    </r>
    <r>
      <rPr>
        <b/>
        <sz val="11"/>
        <color theme="1"/>
        <rFont val="Calibre"/>
      </rPr>
      <t xml:space="preserve"> Life Sciences Solutions</t>
    </r>
    <r>
      <rPr>
        <sz val="11"/>
        <color theme="1"/>
        <rFont val="Calibre"/>
      </rPr>
      <t xml:space="preserve"> segment offers reagents, instruments, and consumables for biological and medical research, discovery and production of drugs and vaccines, as well as diagnosis of infections and diseases</t>
    </r>
  </si>
  <si>
    <r>
      <rPr>
        <b/>
        <sz val="11"/>
        <color theme="1"/>
        <rFont val="Calibre"/>
      </rPr>
      <t>Laboratory Products and Biopharma Services</t>
    </r>
    <r>
      <rPr>
        <sz val="11"/>
        <color theme="1"/>
        <rFont val="Calibre"/>
      </rPr>
      <t xml:space="preserve"> segment provides laboratory products, research and safety market channel, and pharma services and clinical research</t>
    </r>
  </si>
  <si>
    <t>ST Contract Assets</t>
  </si>
  <si>
    <t>Other ST Assets</t>
  </si>
  <si>
    <t>TMO Employee Snapshot (Q4'25)</t>
  </si>
  <si>
    <t>Institutional Ownership Snapshot (8/24/2026)</t>
  </si>
  <si>
    <t>General Notes/Observations (Updated Q2'25)</t>
  </si>
  <si>
    <t>Financial Stmts. Notes/Observations (Updated Q2'25)</t>
  </si>
  <si>
    <t>[TMO] Historical Return Histogram</t>
  </si>
  <si>
    <t>10/21/2026</t>
  </si>
  <si>
    <t>Q3'26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</si>
</sst>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u/>
      <sz val="11"/>
      <color rgb="FF00B0F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0" fontId="16" fillId="0" borderId="0" xfId="2" applyFont="1"/>
    <xf numFmtId="0" fontId="17" fillId="0" borderId="0" xfId="2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0" fontId="2" fillId="0" borderId="0" xfId="1" applyNumberFormat="1" applyFont="1"/>
    <xf numFmtId="49" fontId="2" fillId="0" borderId="0" xfId="0" applyNumberFormat="1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 indent="1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0" fontId="13" fillId="0" borderId="0" xfId="0" applyFont="1" applyAlignment="1">
      <alignment horizontal="left" indent="1"/>
    </xf>
    <xf numFmtId="10" fontId="13" fillId="0" borderId="0" xfId="1" applyNumberFormat="1" applyFont="1"/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2" fillId="0" borderId="0" xfId="0" applyFont="1" applyAlignment="1">
      <alignment vertical="top" wrapText="1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2" fillId="0" borderId="0" xfId="0" applyFont="1" applyAlignment="1">
      <alignment horizontal="left" indent="1"/>
    </xf>
    <xf numFmtId="1" fontId="2" fillId="0" borderId="0" xfId="0" applyNumberFormat="1" applyFont="1"/>
    <xf numFmtId="1" fontId="3" fillId="0" borderId="0" xfId="0" applyNumberFormat="1" applyFont="1"/>
    <xf numFmtId="165" fontId="2" fillId="0" borderId="0" xfId="1" applyNumberFormat="1" applyFont="1"/>
    <xf numFmtId="43" fontId="2" fillId="0" borderId="0" xfId="3" applyFont="1"/>
    <xf numFmtId="1" fontId="2" fillId="0" borderId="0" xfId="3" applyNumberFormat="1" applyFont="1"/>
    <xf numFmtId="9" fontId="2" fillId="0" borderId="0" xfId="1" applyFont="1"/>
    <xf numFmtId="165" fontId="3" fillId="0" borderId="0" xfId="1" applyNumberFormat="1" applyFont="1"/>
    <xf numFmtId="1" fontId="12" fillId="0" borderId="0" xfId="0" applyNumberFormat="1" applyFont="1"/>
    <xf numFmtId="165" fontId="13" fillId="0" borderId="0" xfId="1" applyNumberFormat="1" applyFont="1"/>
    <xf numFmtId="165" fontId="13" fillId="0" borderId="0" xfId="0" applyNumberFormat="1" applyFont="1"/>
    <xf numFmtId="165" fontId="12" fillId="0" borderId="0" xfId="0" applyNumberFormat="1" applyFont="1"/>
    <xf numFmtId="0" fontId="3" fillId="0" borderId="0" xfId="0" applyFont="1" applyAlignment="1">
      <alignment vertical="top"/>
    </xf>
    <xf numFmtId="0" fontId="13" fillId="0" borderId="0" xfId="0" applyFont="1" applyAlignment="1">
      <alignment horizontal="center"/>
    </xf>
  </cellXfs>
  <cellStyles count="5">
    <cellStyle name="Comma" xfId="3" builtinId="3"/>
    <cellStyle name="Hyperlink" xfId="2" builtinId="8"/>
    <cellStyle name="Normal" xfId="0" builtinId="0"/>
    <cellStyle name="Normal 2" xfId="4" xr:uid="{903EF205-8874-4C0A-ADB3-BAC44C114F80}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(TMO) Revenue</a:t>
            </a:r>
            <a:r>
              <a:rPr lang="en-US" baseline="0"/>
              <a:t> by Segment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(in $ millions)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633357178109E-2"/>
          <c:y val="0.14901473139105822"/>
          <c:w val="0.91230188559511793"/>
          <c:h val="0.72540809322799749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Model!$B$39</c:f>
              <c:strCache>
                <c:ptCount val="1"/>
                <c:pt idx="0">
                  <c:v>Life Science Solutions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Model!$BK$1:$BP$1</c:f>
              <c:strCache>
                <c:ptCount val="5"/>
                <c:pt idx="0">
                  <c:v>Q1 2025</c:v>
                </c:pt>
                <c:pt idx="4">
                  <c:v>Q1 2026</c:v>
                </c:pt>
              </c:strCache>
            </c:strRef>
          </c:cat>
          <c:val>
            <c:numRef>
              <c:f>Model!$BK$39:$BQ$39</c:f>
              <c:numCache>
                <c:formatCode>General</c:formatCode>
                <c:ptCount val="7"/>
                <c:pt idx="0">
                  <c:v>2341</c:v>
                </c:pt>
                <c:pt idx="1">
                  <c:v>2499</c:v>
                </c:pt>
                <c:pt idx="2">
                  <c:v>2588</c:v>
                </c:pt>
                <c:pt idx="3">
                  <c:v>2947</c:v>
                </c:pt>
                <c:pt idx="4">
                  <c:v>2636</c:v>
                </c:pt>
                <c:pt idx="5">
                  <c:v>2816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9-48EF-8E73-FB13163B6C32}"/>
            </c:ext>
          </c:extLst>
        </c:ser>
        <c:ser>
          <c:idx val="7"/>
          <c:order val="1"/>
          <c:tx>
            <c:strRef>
              <c:f>Model!$B$43</c:f>
              <c:strCache>
                <c:ptCount val="1"/>
                <c:pt idx="0">
                  <c:v>Analytical Instruments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Model!$BK$1:$BP$1</c:f>
              <c:strCache>
                <c:ptCount val="5"/>
                <c:pt idx="0">
                  <c:v>Q1 2025</c:v>
                </c:pt>
                <c:pt idx="4">
                  <c:v>Q1 2026</c:v>
                </c:pt>
              </c:strCache>
            </c:strRef>
          </c:cat>
          <c:val>
            <c:numRef>
              <c:f>Model!$BK$43:$BQ$43</c:f>
              <c:numCache>
                <c:formatCode>General</c:formatCode>
                <c:ptCount val="7"/>
                <c:pt idx="0">
                  <c:v>1718</c:v>
                </c:pt>
                <c:pt idx="1">
                  <c:v>1728</c:v>
                </c:pt>
                <c:pt idx="2">
                  <c:v>1893</c:v>
                </c:pt>
                <c:pt idx="3">
                  <c:v>2215</c:v>
                </c:pt>
                <c:pt idx="4">
                  <c:v>1716</c:v>
                </c:pt>
                <c:pt idx="5">
                  <c:v>1846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89-48EF-8E73-FB13163B6C32}"/>
            </c:ext>
          </c:extLst>
        </c:ser>
        <c:ser>
          <c:idx val="1"/>
          <c:order val="2"/>
          <c:tx>
            <c:strRef>
              <c:f>Model!$B$50</c:f>
              <c:strCache>
                <c:ptCount val="1"/>
                <c:pt idx="0">
                  <c:v>Specialty Diagnostics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Model!$BK$1:$BP$1</c:f>
              <c:strCache>
                <c:ptCount val="5"/>
                <c:pt idx="0">
                  <c:v>Q1 2025</c:v>
                </c:pt>
                <c:pt idx="4">
                  <c:v>Q1 2026</c:v>
                </c:pt>
              </c:strCache>
            </c:strRef>
          </c:cat>
          <c:val>
            <c:numRef>
              <c:f>Model!$BK$50:$BQ$50</c:f>
              <c:numCache>
                <c:formatCode>General</c:formatCode>
                <c:ptCount val="7"/>
                <c:pt idx="0">
                  <c:v>1147</c:v>
                </c:pt>
                <c:pt idx="1">
                  <c:v>1135</c:v>
                </c:pt>
                <c:pt idx="2">
                  <c:v>1174</c:v>
                </c:pt>
                <c:pt idx="3">
                  <c:v>1221</c:v>
                </c:pt>
                <c:pt idx="4">
                  <c:v>1141</c:v>
                </c:pt>
                <c:pt idx="5">
                  <c:v>1205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89-48EF-8E73-FB13163B6C32}"/>
            </c:ext>
          </c:extLst>
        </c:ser>
        <c:ser>
          <c:idx val="0"/>
          <c:order val="3"/>
          <c:tx>
            <c:strRef>
              <c:f>Model!$B$56</c:f>
              <c:strCache>
                <c:ptCount val="1"/>
                <c:pt idx="0">
                  <c:v>Lab Products &amp; Biopharma Services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Model!$BK$1:$BP$1</c:f>
              <c:strCache>
                <c:ptCount val="5"/>
                <c:pt idx="0">
                  <c:v>Q1 2025</c:v>
                </c:pt>
                <c:pt idx="4">
                  <c:v>Q1 2026</c:v>
                </c:pt>
              </c:strCache>
            </c:strRef>
          </c:cat>
          <c:val>
            <c:numRef>
              <c:f>Model!$BK$56:$BQ$56</c:f>
              <c:numCache>
                <c:formatCode>General</c:formatCode>
                <c:ptCount val="7"/>
                <c:pt idx="0">
                  <c:v>5641</c:v>
                </c:pt>
                <c:pt idx="1">
                  <c:v>5995</c:v>
                </c:pt>
                <c:pt idx="2">
                  <c:v>5970</c:v>
                </c:pt>
                <c:pt idx="3">
                  <c:v>6378</c:v>
                </c:pt>
                <c:pt idx="4">
                  <c:v>6036</c:v>
                </c:pt>
                <c:pt idx="5">
                  <c:v>6693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89-48EF-8E73-FB13163B6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(TMO) Annual Ttl Revenues, Net Income, Free Cash Flows (in $ millions)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696565868628952E-2"/>
          <c:y val="0.11926285133821504"/>
          <c:w val="0.91977768729031639"/>
          <c:h val="0.79540493468968432"/>
        </c:manualLayout>
      </c:layout>
      <c:barChart>
        <c:barDir val="col"/>
        <c:grouping val="clustered"/>
        <c:varyColors val="0"/>
        <c:ser>
          <c:idx val="1"/>
          <c:order val="1"/>
          <c:tx>
            <c:v>Net 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Model!$CA$85:$CP$85</c:f>
              <c:numCache>
                <c:formatCode>0</c:formatCode>
                <c:ptCount val="16"/>
                <c:pt idx="0">
                  <c:v>986.10000000000014</c:v>
                </c:pt>
                <c:pt idx="1">
                  <c:v>1023.4000000000003</c:v>
                </c:pt>
                <c:pt idx="2">
                  <c:v>1258.4000000000003</c:v>
                </c:pt>
                <c:pt idx="3">
                  <c:v>1279.0999999999999</c:v>
                </c:pt>
                <c:pt idx="4">
                  <c:v>1895.4999999999991</c:v>
                </c:pt>
                <c:pt idx="5">
                  <c:v>1979.9999999999998</c:v>
                </c:pt>
                <c:pt idx="6">
                  <c:v>2025.0000000000002</c:v>
                </c:pt>
                <c:pt idx="7">
                  <c:v>2228</c:v>
                </c:pt>
                <c:pt idx="8">
                  <c:v>2938</c:v>
                </c:pt>
                <c:pt idx="9">
                  <c:v>3698</c:v>
                </c:pt>
                <c:pt idx="10">
                  <c:v>6380</c:v>
                </c:pt>
                <c:pt idx="11">
                  <c:v>7725</c:v>
                </c:pt>
                <c:pt idx="12">
                  <c:v>6950</c:v>
                </c:pt>
                <c:pt idx="13">
                  <c:v>5995</c:v>
                </c:pt>
                <c:pt idx="14">
                  <c:v>6336</c:v>
                </c:pt>
                <c:pt idx="15">
                  <c:v>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5-4CA8-9859-855DC88FC5CC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Model!$CA$134:$CP$134</c:f>
              <c:numCache>
                <c:formatCode>0</c:formatCode>
                <c:ptCount val="16"/>
                <c:pt idx="0">
                  <c:v>1204.7</c:v>
                </c:pt>
                <c:pt idx="1">
                  <c:v>1415.6999999999998</c:v>
                </c:pt>
                <c:pt idx="2">
                  <c:v>1752.8000000000002</c:v>
                </c:pt>
                <c:pt idx="3">
                  <c:v>1733.2000000000003</c:v>
                </c:pt>
                <c:pt idx="4">
                  <c:v>2196.3000000000002</c:v>
                </c:pt>
                <c:pt idx="5">
                  <c:v>2528</c:v>
                </c:pt>
                <c:pt idx="6">
                  <c:v>2816</c:v>
                </c:pt>
                <c:pt idx="7">
                  <c:v>3498</c:v>
                </c:pt>
                <c:pt idx="8">
                  <c:v>3785</c:v>
                </c:pt>
                <c:pt idx="9">
                  <c:v>4047</c:v>
                </c:pt>
                <c:pt idx="10">
                  <c:v>6815</c:v>
                </c:pt>
                <c:pt idx="11">
                  <c:v>6789</c:v>
                </c:pt>
                <c:pt idx="12">
                  <c:v>6911</c:v>
                </c:pt>
                <c:pt idx="13">
                  <c:v>6927</c:v>
                </c:pt>
                <c:pt idx="14">
                  <c:v>7267</c:v>
                </c:pt>
                <c:pt idx="15">
                  <c:v>6294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5-4CA8-9859-855DC88F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507743"/>
        <c:axId val="1962491423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Model!$CA$3:$CP$3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Model!$CA$71:$CP$71</c:f>
              <c:numCache>
                <c:formatCode>General</c:formatCode>
                <c:ptCount val="16"/>
                <c:pt idx="0">
                  <c:v>10393.1</c:v>
                </c:pt>
                <c:pt idx="1">
                  <c:v>11558.8</c:v>
                </c:pt>
                <c:pt idx="2">
                  <c:v>12509.899999999998</c:v>
                </c:pt>
                <c:pt idx="3">
                  <c:v>13090.300000000001</c:v>
                </c:pt>
                <c:pt idx="4">
                  <c:v>16889.599999999999</c:v>
                </c:pt>
                <c:pt idx="5">
                  <c:v>16965</c:v>
                </c:pt>
                <c:pt idx="6">
                  <c:v>18274</c:v>
                </c:pt>
                <c:pt idx="7">
                  <c:v>20918</c:v>
                </c:pt>
                <c:pt idx="8">
                  <c:v>24358</c:v>
                </c:pt>
                <c:pt idx="9">
                  <c:v>25542</c:v>
                </c:pt>
                <c:pt idx="10">
                  <c:v>32218</c:v>
                </c:pt>
                <c:pt idx="11">
                  <c:v>39211</c:v>
                </c:pt>
                <c:pt idx="12">
                  <c:v>44915</c:v>
                </c:pt>
                <c:pt idx="13">
                  <c:v>42857</c:v>
                </c:pt>
                <c:pt idx="14">
                  <c:v>42879</c:v>
                </c:pt>
                <c:pt idx="15">
                  <c:v>44556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5-4CA8-9859-855DC88F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507743"/>
        <c:axId val="1962491423"/>
      </c:lineChart>
      <c:catAx>
        <c:axId val="196250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91423"/>
        <c:crosses val="autoZero"/>
        <c:auto val="1"/>
        <c:lblAlgn val="ctr"/>
        <c:lblOffset val="100"/>
        <c:noMultiLvlLbl val="0"/>
      </c:catAx>
      <c:valAx>
        <c:axId val="1962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57258071268574"/>
          <c:y val="5.4326583577150166E-2"/>
          <c:w val="0.49091764700383861"/>
          <c:h val="7.4900808734515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(TMO) Quarterly Ttl Revenues, Net Income, Free Cash Flows (in $ millions)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696565868628952E-2"/>
          <c:y val="0.11926285133821504"/>
          <c:w val="0.91977768729031639"/>
          <c:h val="0.79540493468968432"/>
        </c:manualLayout>
      </c:layout>
      <c:barChart>
        <c:barDir val="col"/>
        <c:grouping val="clustered"/>
        <c:varyColors val="0"/>
        <c:ser>
          <c:idx val="1"/>
          <c:order val="1"/>
          <c:tx>
            <c:v>Net 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Model!$AU$85:$BQ$85</c:f>
              <c:numCache>
                <c:formatCode>0</c:formatCode>
                <c:ptCount val="23"/>
                <c:pt idx="0">
                  <c:v>2337</c:v>
                </c:pt>
                <c:pt idx="1">
                  <c:v>1828</c:v>
                </c:pt>
                <c:pt idx="2">
                  <c:v>1902</c:v>
                </c:pt>
                <c:pt idx="3">
                  <c:v>1658</c:v>
                </c:pt>
                <c:pt idx="4">
                  <c:v>2215</c:v>
                </c:pt>
                <c:pt idx="5">
                  <c:v>1664</c:v>
                </c:pt>
                <c:pt idx="6">
                  <c:v>1495</c:v>
                </c:pt>
                <c:pt idx="7">
                  <c:v>1576</c:v>
                </c:pt>
                <c:pt idx="8">
                  <c:v>1289</c:v>
                </c:pt>
                <c:pt idx="9">
                  <c:v>1361</c:v>
                </c:pt>
                <c:pt idx="10">
                  <c:v>1715</c:v>
                </c:pt>
                <c:pt idx="11">
                  <c:v>1630</c:v>
                </c:pt>
                <c:pt idx="12">
                  <c:v>1326</c:v>
                </c:pt>
                <c:pt idx="13">
                  <c:v>1548</c:v>
                </c:pt>
                <c:pt idx="14">
                  <c:v>1630</c:v>
                </c:pt>
                <c:pt idx="15">
                  <c:v>1832</c:v>
                </c:pt>
                <c:pt idx="16">
                  <c:v>1507</c:v>
                </c:pt>
                <c:pt idx="17">
                  <c:v>1617</c:v>
                </c:pt>
                <c:pt idx="18">
                  <c:v>1615</c:v>
                </c:pt>
                <c:pt idx="19">
                  <c:v>1965</c:v>
                </c:pt>
                <c:pt idx="20">
                  <c:v>1651</c:v>
                </c:pt>
                <c:pt idx="21">
                  <c:v>1737</c:v>
                </c:pt>
                <c:pt idx="22">
                  <c:v>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E-4407-9B86-335E60947FE3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Model!$AU$134:$BQ$134</c:f>
              <c:numCache>
                <c:formatCode>0</c:formatCode>
                <c:ptCount val="23"/>
                <c:pt idx="0">
                  <c:v>1350</c:v>
                </c:pt>
                <c:pt idx="1">
                  <c:v>1687</c:v>
                </c:pt>
                <c:pt idx="2">
                  <c:v>2126</c:v>
                </c:pt>
                <c:pt idx="3">
                  <c:v>1626</c:v>
                </c:pt>
                <c:pt idx="4">
                  <c:v>1562</c:v>
                </c:pt>
                <c:pt idx="5">
                  <c:v>1022</c:v>
                </c:pt>
                <c:pt idx="6">
                  <c:v>1390</c:v>
                </c:pt>
                <c:pt idx="7">
                  <c:v>2937</c:v>
                </c:pt>
                <c:pt idx="8">
                  <c:v>271</c:v>
                </c:pt>
                <c:pt idx="9">
                  <c:v>1256</c:v>
                </c:pt>
                <c:pt idx="10">
                  <c:v>2082</c:v>
                </c:pt>
                <c:pt idx="11">
                  <c:v>3318</c:v>
                </c:pt>
                <c:pt idx="12">
                  <c:v>903</c:v>
                </c:pt>
                <c:pt idx="13">
                  <c:v>1662</c:v>
                </c:pt>
                <c:pt idx="14">
                  <c:v>1891</c:v>
                </c:pt>
                <c:pt idx="15">
                  <c:v>2811</c:v>
                </c:pt>
                <c:pt idx="16">
                  <c:v>360</c:v>
                </c:pt>
                <c:pt idx="17">
                  <c:v>1107</c:v>
                </c:pt>
                <c:pt idx="18">
                  <c:v>1834</c:v>
                </c:pt>
                <c:pt idx="19">
                  <c:v>2993</c:v>
                </c:pt>
                <c:pt idx="20">
                  <c:v>817</c:v>
                </c:pt>
                <c:pt idx="21">
                  <c:v>1674</c:v>
                </c:pt>
                <c:pt idx="22">
                  <c:v>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E-4407-9B86-335E6094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507743"/>
        <c:axId val="1962491423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Model!$AU$1:$BP$1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Model!$AU$71:$BQ$71</c:f>
              <c:numCache>
                <c:formatCode>0</c:formatCode>
                <c:ptCount val="23"/>
                <c:pt idx="0">
                  <c:v>9906</c:v>
                </c:pt>
                <c:pt idx="1">
                  <c:v>9273</c:v>
                </c:pt>
                <c:pt idx="2">
                  <c:v>9330</c:v>
                </c:pt>
                <c:pt idx="3">
                  <c:v>10702</c:v>
                </c:pt>
                <c:pt idx="4">
                  <c:v>11818</c:v>
                </c:pt>
                <c:pt idx="5">
                  <c:v>10970</c:v>
                </c:pt>
                <c:pt idx="6">
                  <c:v>10677</c:v>
                </c:pt>
                <c:pt idx="7">
                  <c:v>11450</c:v>
                </c:pt>
                <c:pt idx="8">
                  <c:v>10710</c:v>
                </c:pt>
                <c:pt idx="9">
                  <c:v>10687</c:v>
                </c:pt>
                <c:pt idx="10">
                  <c:v>10574</c:v>
                </c:pt>
                <c:pt idx="11">
                  <c:v>10886</c:v>
                </c:pt>
                <c:pt idx="12">
                  <c:v>10345</c:v>
                </c:pt>
                <c:pt idx="13">
                  <c:v>10541</c:v>
                </c:pt>
                <c:pt idx="14">
                  <c:v>10598</c:v>
                </c:pt>
                <c:pt idx="15">
                  <c:v>11395</c:v>
                </c:pt>
                <c:pt idx="16">
                  <c:v>10364</c:v>
                </c:pt>
                <c:pt idx="17">
                  <c:v>10855</c:v>
                </c:pt>
                <c:pt idx="18">
                  <c:v>11122</c:v>
                </c:pt>
                <c:pt idx="19">
                  <c:v>12215</c:v>
                </c:pt>
                <c:pt idx="20">
                  <c:v>11005</c:v>
                </c:pt>
                <c:pt idx="21">
                  <c:v>11994</c:v>
                </c:pt>
                <c:pt idx="22">
                  <c:v>12137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E-4407-9B86-335E6094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507743"/>
        <c:axId val="1962491423"/>
      </c:lineChart>
      <c:catAx>
        <c:axId val="196250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91423"/>
        <c:crosses val="autoZero"/>
        <c:auto val="1"/>
        <c:lblAlgn val="ctr"/>
        <c:lblOffset val="100"/>
        <c:noMultiLvlLbl val="0"/>
      </c:catAx>
      <c:valAx>
        <c:axId val="1962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557258071268574"/>
          <c:y val="5.4326583577150166E-2"/>
          <c:w val="0.49091764700383861"/>
          <c:h val="7.4900808734515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(TMO)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'[1]Notes | Quant Analysis'!$R$257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63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Analysis'!$I$218:$I$306</c:f>
              <c:numCache>
                <c:formatCode>0.00%</c:formatCode>
                <c:ptCount val="89"/>
                <c:pt idx="0">
                  <c:v>-4.3999999999999997E-2</c:v>
                </c:pt>
                <c:pt idx="1">
                  <c:v>-4.2999999999999997E-2</c:v>
                </c:pt>
                <c:pt idx="2">
                  <c:v>-4.2000000000000003E-2</c:v>
                </c:pt>
                <c:pt idx="3">
                  <c:v>-4.1000000000000002E-2</c:v>
                </c:pt>
                <c:pt idx="4">
                  <c:v>-0.04</c:v>
                </c:pt>
                <c:pt idx="5">
                  <c:v>-3.9E-2</c:v>
                </c:pt>
                <c:pt idx="6">
                  <c:v>-3.7999999999999999E-2</c:v>
                </c:pt>
                <c:pt idx="7">
                  <c:v>-3.6999999999999998E-2</c:v>
                </c:pt>
                <c:pt idx="8">
                  <c:v>-3.5999999999999997E-2</c:v>
                </c:pt>
                <c:pt idx="9">
                  <c:v>-3.4999999999999996E-2</c:v>
                </c:pt>
                <c:pt idx="10">
                  <c:v>-3.3999999999999996E-2</c:v>
                </c:pt>
                <c:pt idx="11">
                  <c:v>-3.2999999999999995E-2</c:v>
                </c:pt>
                <c:pt idx="12">
                  <c:v>-3.1999999999999994E-2</c:v>
                </c:pt>
                <c:pt idx="13">
                  <c:v>-3.0999999999999993E-2</c:v>
                </c:pt>
                <c:pt idx="14">
                  <c:v>-2.9999999999999992E-2</c:v>
                </c:pt>
                <c:pt idx="15">
                  <c:v>-2.8999999999999991E-2</c:v>
                </c:pt>
                <c:pt idx="16">
                  <c:v>-2.799999999999999E-2</c:v>
                </c:pt>
                <c:pt idx="17">
                  <c:v>-2.6999999999999989E-2</c:v>
                </c:pt>
                <c:pt idx="18">
                  <c:v>-2.5999999999999988E-2</c:v>
                </c:pt>
                <c:pt idx="19">
                  <c:v>-2.4999999999999988E-2</c:v>
                </c:pt>
                <c:pt idx="20">
                  <c:v>-2.3999999999999987E-2</c:v>
                </c:pt>
                <c:pt idx="21">
                  <c:v>-2.2999999999999986E-2</c:v>
                </c:pt>
                <c:pt idx="22">
                  <c:v>-2.1999999999999985E-2</c:v>
                </c:pt>
                <c:pt idx="23">
                  <c:v>-2.0999999999999984E-2</c:v>
                </c:pt>
                <c:pt idx="24">
                  <c:v>-1.9999999999999983E-2</c:v>
                </c:pt>
                <c:pt idx="25">
                  <c:v>-1.8999999999999982E-2</c:v>
                </c:pt>
                <c:pt idx="26">
                  <c:v>-1.7999999999999981E-2</c:v>
                </c:pt>
                <c:pt idx="27">
                  <c:v>-1.699999999999998E-2</c:v>
                </c:pt>
                <c:pt idx="28">
                  <c:v>-1.599999999999998E-2</c:v>
                </c:pt>
                <c:pt idx="29">
                  <c:v>-1.4999999999999979E-2</c:v>
                </c:pt>
                <c:pt idx="30">
                  <c:v>-1.3999999999999978E-2</c:v>
                </c:pt>
                <c:pt idx="31">
                  <c:v>-1.2999999999999977E-2</c:v>
                </c:pt>
                <c:pt idx="32">
                  <c:v>-1.1999999999999976E-2</c:v>
                </c:pt>
                <c:pt idx="33">
                  <c:v>-1.0999999999999975E-2</c:v>
                </c:pt>
                <c:pt idx="34">
                  <c:v>-9.9999999999999742E-3</c:v>
                </c:pt>
                <c:pt idx="35">
                  <c:v>-8.9999999999999733E-3</c:v>
                </c:pt>
                <c:pt idx="36">
                  <c:v>-7.9999999999999724E-3</c:v>
                </c:pt>
                <c:pt idx="37">
                  <c:v>-6.9999999999999724E-3</c:v>
                </c:pt>
                <c:pt idx="38">
                  <c:v>-5.9999999999999724E-3</c:v>
                </c:pt>
                <c:pt idx="39">
                  <c:v>-4.9999999999999723E-3</c:v>
                </c:pt>
                <c:pt idx="40">
                  <c:v>-3.9999999999999723E-3</c:v>
                </c:pt>
                <c:pt idx="41">
                  <c:v>-2.9999999999999723E-3</c:v>
                </c:pt>
                <c:pt idx="42">
                  <c:v>-1.9999999999999723E-3</c:v>
                </c:pt>
                <c:pt idx="43">
                  <c:v>-9.9999999999997227E-4</c:v>
                </c:pt>
                <c:pt idx="44">
                  <c:v>2.7755575615628914E-17</c:v>
                </c:pt>
                <c:pt idx="45">
                  <c:v>1.0000000000000278E-3</c:v>
                </c:pt>
                <c:pt idx="46">
                  <c:v>2.0000000000000278E-3</c:v>
                </c:pt>
                <c:pt idx="47">
                  <c:v>3.0000000000000278E-3</c:v>
                </c:pt>
                <c:pt idx="48">
                  <c:v>4.0000000000000278E-3</c:v>
                </c:pt>
                <c:pt idx="49">
                  <c:v>5.0000000000000279E-3</c:v>
                </c:pt>
                <c:pt idx="50">
                  <c:v>6.0000000000000279E-3</c:v>
                </c:pt>
                <c:pt idx="51">
                  <c:v>7.0000000000000279E-3</c:v>
                </c:pt>
                <c:pt idx="52">
                  <c:v>8.0000000000000279E-3</c:v>
                </c:pt>
                <c:pt idx="53">
                  <c:v>9.0000000000000288E-3</c:v>
                </c:pt>
                <c:pt idx="54">
                  <c:v>1.000000000000003E-2</c:v>
                </c:pt>
                <c:pt idx="55">
                  <c:v>1.1000000000000031E-2</c:v>
                </c:pt>
                <c:pt idx="56">
                  <c:v>1.2000000000000031E-2</c:v>
                </c:pt>
                <c:pt idx="57">
                  <c:v>1.3000000000000032E-2</c:v>
                </c:pt>
                <c:pt idx="58">
                  <c:v>1.4000000000000033E-2</c:v>
                </c:pt>
                <c:pt idx="59">
                  <c:v>1.5000000000000034E-2</c:v>
                </c:pt>
                <c:pt idx="60">
                  <c:v>1.6000000000000035E-2</c:v>
                </c:pt>
                <c:pt idx="61">
                  <c:v>1.7000000000000036E-2</c:v>
                </c:pt>
                <c:pt idx="62">
                  <c:v>1.8000000000000037E-2</c:v>
                </c:pt>
                <c:pt idx="63">
                  <c:v>1.9000000000000038E-2</c:v>
                </c:pt>
                <c:pt idx="64">
                  <c:v>2.0000000000000039E-2</c:v>
                </c:pt>
                <c:pt idx="65">
                  <c:v>2.1000000000000039E-2</c:v>
                </c:pt>
                <c:pt idx="66">
                  <c:v>2.200000000000004E-2</c:v>
                </c:pt>
                <c:pt idx="67">
                  <c:v>2.3000000000000041E-2</c:v>
                </c:pt>
                <c:pt idx="68">
                  <c:v>2.4000000000000042E-2</c:v>
                </c:pt>
                <c:pt idx="69">
                  <c:v>2.5000000000000043E-2</c:v>
                </c:pt>
                <c:pt idx="70">
                  <c:v>2.6000000000000044E-2</c:v>
                </c:pt>
                <c:pt idx="71">
                  <c:v>2.7000000000000045E-2</c:v>
                </c:pt>
                <c:pt idx="72">
                  <c:v>2.8000000000000046E-2</c:v>
                </c:pt>
                <c:pt idx="73">
                  <c:v>2.9000000000000047E-2</c:v>
                </c:pt>
                <c:pt idx="74">
                  <c:v>3.0000000000000047E-2</c:v>
                </c:pt>
                <c:pt idx="75">
                  <c:v>3.1000000000000048E-2</c:v>
                </c:pt>
                <c:pt idx="76">
                  <c:v>3.2000000000000049E-2</c:v>
                </c:pt>
                <c:pt idx="77">
                  <c:v>3.300000000000005E-2</c:v>
                </c:pt>
                <c:pt idx="78">
                  <c:v>3.4000000000000051E-2</c:v>
                </c:pt>
                <c:pt idx="79">
                  <c:v>3.5000000000000052E-2</c:v>
                </c:pt>
                <c:pt idx="80">
                  <c:v>3.6000000000000053E-2</c:v>
                </c:pt>
                <c:pt idx="81">
                  <c:v>3.7000000000000054E-2</c:v>
                </c:pt>
                <c:pt idx="82">
                  <c:v>3.8000000000000055E-2</c:v>
                </c:pt>
                <c:pt idx="83">
                  <c:v>3.9000000000000055E-2</c:v>
                </c:pt>
                <c:pt idx="84">
                  <c:v>4.0000000000000056E-2</c:v>
                </c:pt>
                <c:pt idx="85">
                  <c:v>4.1000000000000002E-2</c:v>
                </c:pt>
                <c:pt idx="86">
                  <c:v>4.2000000000000003E-2</c:v>
                </c:pt>
                <c:pt idx="87">
                  <c:v>4.2999999999999997E-2</c:v>
                </c:pt>
                <c:pt idx="88">
                  <c:v>4.3999999999999997E-2</c:v>
                </c:pt>
              </c:numCache>
            </c:numRef>
          </c:xVal>
          <c:yVal>
            <c:numRef>
              <c:f>'Notes | Quant Analysis'!$J$218:$J$306</c:f>
              <c:numCache>
                <c:formatCode>General</c:formatCode>
                <c:ptCount val="89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3</c:v>
                </c:pt>
                <c:pt idx="20">
                  <c:v>10</c:v>
                </c:pt>
                <c:pt idx="21">
                  <c:v>6</c:v>
                </c:pt>
                <c:pt idx="22">
                  <c:v>8</c:v>
                </c:pt>
                <c:pt idx="23">
                  <c:v>10</c:v>
                </c:pt>
                <c:pt idx="24">
                  <c:v>7</c:v>
                </c:pt>
                <c:pt idx="25">
                  <c:v>9</c:v>
                </c:pt>
                <c:pt idx="26">
                  <c:v>18</c:v>
                </c:pt>
                <c:pt idx="27">
                  <c:v>7</c:v>
                </c:pt>
                <c:pt idx="28">
                  <c:v>14</c:v>
                </c:pt>
                <c:pt idx="29">
                  <c:v>17</c:v>
                </c:pt>
                <c:pt idx="30">
                  <c:v>14</c:v>
                </c:pt>
                <c:pt idx="31">
                  <c:v>19</c:v>
                </c:pt>
                <c:pt idx="32">
                  <c:v>25</c:v>
                </c:pt>
                <c:pt idx="33">
                  <c:v>17</c:v>
                </c:pt>
                <c:pt idx="34">
                  <c:v>28</c:v>
                </c:pt>
                <c:pt idx="35">
                  <c:v>31</c:v>
                </c:pt>
                <c:pt idx="36">
                  <c:v>22</c:v>
                </c:pt>
                <c:pt idx="37">
                  <c:v>32</c:v>
                </c:pt>
                <c:pt idx="38">
                  <c:v>40</c:v>
                </c:pt>
                <c:pt idx="39">
                  <c:v>39</c:v>
                </c:pt>
                <c:pt idx="40">
                  <c:v>36</c:v>
                </c:pt>
                <c:pt idx="41">
                  <c:v>34</c:v>
                </c:pt>
                <c:pt idx="42">
                  <c:v>48</c:v>
                </c:pt>
                <c:pt idx="43">
                  <c:v>47</c:v>
                </c:pt>
                <c:pt idx="44">
                  <c:v>47</c:v>
                </c:pt>
                <c:pt idx="45">
                  <c:v>37</c:v>
                </c:pt>
                <c:pt idx="46">
                  <c:v>43</c:v>
                </c:pt>
                <c:pt idx="47">
                  <c:v>54</c:v>
                </c:pt>
                <c:pt idx="48">
                  <c:v>42</c:v>
                </c:pt>
                <c:pt idx="49">
                  <c:v>43</c:v>
                </c:pt>
                <c:pt idx="50">
                  <c:v>43</c:v>
                </c:pt>
                <c:pt idx="51">
                  <c:v>31</c:v>
                </c:pt>
                <c:pt idx="52">
                  <c:v>23</c:v>
                </c:pt>
                <c:pt idx="53">
                  <c:v>38</c:v>
                </c:pt>
                <c:pt idx="54">
                  <c:v>25</c:v>
                </c:pt>
                <c:pt idx="55">
                  <c:v>22</c:v>
                </c:pt>
                <c:pt idx="56">
                  <c:v>17</c:v>
                </c:pt>
                <c:pt idx="57">
                  <c:v>29</c:v>
                </c:pt>
                <c:pt idx="58">
                  <c:v>18</c:v>
                </c:pt>
                <c:pt idx="59">
                  <c:v>20</c:v>
                </c:pt>
                <c:pt idx="60">
                  <c:v>15</c:v>
                </c:pt>
                <c:pt idx="61">
                  <c:v>10</c:v>
                </c:pt>
                <c:pt idx="62">
                  <c:v>14</c:v>
                </c:pt>
                <c:pt idx="63">
                  <c:v>10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7</c:v>
                </c:pt>
                <c:pt idx="68">
                  <c:v>7</c:v>
                </c:pt>
                <c:pt idx="69">
                  <c:v>5</c:v>
                </c:pt>
                <c:pt idx="70">
                  <c:v>2</c:v>
                </c:pt>
                <c:pt idx="71">
                  <c:v>3</c:v>
                </c:pt>
                <c:pt idx="72">
                  <c:v>7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4</c:v>
                </c:pt>
                <c:pt idx="81">
                  <c:v>1</c:v>
                </c:pt>
                <c:pt idx="82">
                  <c:v>3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'[1]Notes | Quant Analysis'!$U$257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143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Analysis'!$L$218:$L$308</c:f>
              <c:numCache>
                <c:formatCode>0.00%</c:formatCode>
                <c:ptCount val="91"/>
                <c:pt idx="0">
                  <c:v>-4.4999999999999998E-2</c:v>
                </c:pt>
                <c:pt idx="1">
                  <c:v>-4.3999999999999997E-2</c:v>
                </c:pt>
                <c:pt idx="2">
                  <c:v>-4.2999999999999997E-2</c:v>
                </c:pt>
                <c:pt idx="3">
                  <c:v>-4.2000000000000003E-2</c:v>
                </c:pt>
                <c:pt idx="4">
                  <c:v>-4.1000000000000002E-2</c:v>
                </c:pt>
                <c:pt idx="5">
                  <c:v>-0.04</c:v>
                </c:pt>
                <c:pt idx="6">
                  <c:v>-3.9E-2</c:v>
                </c:pt>
                <c:pt idx="7">
                  <c:v>-3.7999999999999999E-2</c:v>
                </c:pt>
                <c:pt idx="8">
                  <c:v>-3.6999999999999998E-2</c:v>
                </c:pt>
                <c:pt idx="9">
                  <c:v>-3.5999999999999997E-2</c:v>
                </c:pt>
                <c:pt idx="10">
                  <c:v>-3.4999999999999996E-2</c:v>
                </c:pt>
                <c:pt idx="11">
                  <c:v>-3.3999999999999996E-2</c:v>
                </c:pt>
                <c:pt idx="12">
                  <c:v>-3.2999999999999995E-2</c:v>
                </c:pt>
                <c:pt idx="13">
                  <c:v>-3.1999999999999994E-2</c:v>
                </c:pt>
                <c:pt idx="14">
                  <c:v>-3.0999999999999993E-2</c:v>
                </c:pt>
                <c:pt idx="15">
                  <c:v>-2.9999999999999992E-2</c:v>
                </c:pt>
                <c:pt idx="16">
                  <c:v>-2.8999999999999991E-2</c:v>
                </c:pt>
                <c:pt idx="17">
                  <c:v>-2.799999999999999E-2</c:v>
                </c:pt>
                <c:pt idx="18">
                  <c:v>-2.6999999999999989E-2</c:v>
                </c:pt>
                <c:pt idx="19">
                  <c:v>-2.5999999999999988E-2</c:v>
                </c:pt>
                <c:pt idx="20">
                  <c:v>-2.4999999999999988E-2</c:v>
                </c:pt>
                <c:pt idx="21">
                  <c:v>-2.3999999999999987E-2</c:v>
                </c:pt>
                <c:pt idx="22">
                  <c:v>-2.2999999999999986E-2</c:v>
                </c:pt>
                <c:pt idx="23">
                  <c:v>-2.1999999999999985E-2</c:v>
                </c:pt>
                <c:pt idx="24">
                  <c:v>-2.0999999999999984E-2</c:v>
                </c:pt>
                <c:pt idx="25">
                  <c:v>-1.9999999999999983E-2</c:v>
                </c:pt>
                <c:pt idx="26">
                  <c:v>-1.8999999999999982E-2</c:v>
                </c:pt>
                <c:pt idx="27">
                  <c:v>-1.7999999999999981E-2</c:v>
                </c:pt>
                <c:pt idx="28">
                  <c:v>-1.699999999999998E-2</c:v>
                </c:pt>
                <c:pt idx="29">
                  <c:v>-1.599999999999998E-2</c:v>
                </c:pt>
                <c:pt idx="30">
                  <c:v>-1.4999999999999979E-2</c:v>
                </c:pt>
                <c:pt idx="31">
                  <c:v>-1.3999999999999978E-2</c:v>
                </c:pt>
                <c:pt idx="32">
                  <c:v>-1.2999999999999977E-2</c:v>
                </c:pt>
                <c:pt idx="33">
                  <c:v>-1.1999999999999976E-2</c:v>
                </c:pt>
                <c:pt idx="34">
                  <c:v>-1.0999999999999975E-2</c:v>
                </c:pt>
                <c:pt idx="35">
                  <c:v>-9.9999999999999742E-3</c:v>
                </c:pt>
                <c:pt idx="36">
                  <c:v>-8.9999999999999733E-3</c:v>
                </c:pt>
                <c:pt idx="37">
                  <c:v>-7.9999999999999724E-3</c:v>
                </c:pt>
                <c:pt idx="38">
                  <c:v>-6.9999999999999724E-3</c:v>
                </c:pt>
                <c:pt idx="39">
                  <c:v>-5.9999999999999724E-3</c:v>
                </c:pt>
                <c:pt idx="40">
                  <c:v>-4.9999999999999723E-3</c:v>
                </c:pt>
                <c:pt idx="41">
                  <c:v>-3.9999999999999723E-3</c:v>
                </c:pt>
                <c:pt idx="42">
                  <c:v>-2.9999999999999723E-3</c:v>
                </c:pt>
                <c:pt idx="43">
                  <c:v>-1.9999999999999723E-3</c:v>
                </c:pt>
                <c:pt idx="44">
                  <c:v>-9.9999999999997227E-4</c:v>
                </c:pt>
                <c:pt idx="45">
                  <c:v>2.7755575615628914E-17</c:v>
                </c:pt>
                <c:pt idx="46">
                  <c:v>1.0000000000000278E-3</c:v>
                </c:pt>
                <c:pt idx="47">
                  <c:v>2.0000000000000278E-3</c:v>
                </c:pt>
                <c:pt idx="48">
                  <c:v>3.0000000000000278E-3</c:v>
                </c:pt>
                <c:pt idx="49">
                  <c:v>4.0000000000000278E-3</c:v>
                </c:pt>
                <c:pt idx="50">
                  <c:v>5.0000000000000279E-3</c:v>
                </c:pt>
                <c:pt idx="51">
                  <c:v>6.0000000000000279E-3</c:v>
                </c:pt>
                <c:pt idx="52">
                  <c:v>7.0000000000000279E-3</c:v>
                </c:pt>
                <c:pt idx="53">
                  <c:v>8.0000000000000279E-3</c:v>
                </c:pt>
                <c:pt idx="54">
                  <c:v>9.0000000000000288E-3</c:v>
                </c:pt>
                <c:pt idx="55">
                  <c:v>1.000000000000003E-2</c:v>
                </c:pt>
                <c:pt idx="56">
                  <c:v>1.1000000000000031E-2</c:v>
                </c:pt>
                <c:pt idx="57">
                  <c:v>1.2000000000000031E-2</c:v>
                </c:pt>
                <c:pt idx="58">
                  <c:v>1.3000000000000032E-2</c:v>
                </c:pt>
                <c:pt idx="59">
                  <c:v>1.4000000000000033E-2</c:v>
                </c:pt>
                <c:pt idx="60">
                  <c:v>1.5000000000000034E-2</c:v>
                </c:pt>
                <c:pt idx="61">
                  <c:v>1.6000000000000035E-2</c:v>
                </c:pt>
                <c:pt idx="62">
                  <c:v>1.7000000000000036E-2</c:v>
                </c:pt>
                <c:pt idx="63">
                  <c:v>1.8000000000000037E-2</c:v>
                </c:pt>
                <c:pt idx="64">
                  <c:v>1.9000000000000038E-2</c:v>
                </c:pt>
                <c:pt idx="65">
                  <c:v>2.0000000000000039E-2</c:v>
                </c:pt>
                <c:pt idx="66">
                  <c:v>2.1000000000000039E-2</c:v>
                </c:pt>
                <c:pt idx="67">
                  <c:v>2.200000000000004E-2</c:v>
                </c:pt>
                <c:pt idx="68">
                  <c:v>2.3000000000000041E-2</c:v>
                </c:pt>
                <c:pt idx="69">
                  <c:v>2.4000000000000042E-2</c:v>
                </c:pt>
                <c:pt idx="70">
                  <c:v>2.5000000000000043E-2</c:v>
                </c:pt>
                <c:pt idx="71">
                  <c:v>2.6000000000000044E-2</c:v>
                </c:pt>
                <c:pt idx="72">
                  <c:v>2.7000000000000045E-2</c:v>
                </c:pt>
                <c:pt idx="73">
                  <c:v>2.8000000000000046E-2</c:v>
                </c:pt>
                <c:pt idx="74">
                  <c:v>2.9000000000000047E-2</c:v>
                </c:pt>
                <c:pt idx="75">
                  <c:v>3.0000000000000047E-2</c:v>
                </c:pt>
                <c:pt idx="76">
                  <c:v>3.1000000000000048E-2</c:v>
                </c:pt>
                <c:pt idx="77">
                  <c:v>3.2000000000000049E-2</c:v>
                </c:pt>
                <c:pt idx="78">
                  <c:v>3.300000000000005E-2</c:v>
                </c:pt>
                <c:pt idx="79">
                  <c:v>3.4000000000000051E-2</c:v>
                </c:pt>
                <c:pt idx="80">
                  <c:v>3.5000000000000052E-2</c:v>
                </c:pt>
                <c:pt idx="81">
                  <c:v>3.6000000000000053E-2</c:v>
                </c:pt>
                <c:pt idx="82">
                  <c:v>3.7000000000000054E-2</c:v>
                </c:pt>
                <c:pt idx="83">
                  <c:v>3.8000000000000055E-2</c:v>
                </c:pt>
                <c:pt idx="84">
                  <c:v>3.9000000000000055E-2</c:v>
                </c:pt>
                <c:pt idx="85">
                  <c:v>4.0000000000000056E-2</c:v>
                </c:pt>
                <c:pt idx="86">
                  <c:v>4.1000000000000002E-2</c:v>
                </c:pt>
                <c:pt idx="87">
                  <c:v>4.2000000000000003E-2</c:v>
                </c:pt>
                <c:pt idx="88">
                  <c:v>4.2999999999999997E-2</c:v>
                </c:pt>
                <c:pt idx="89">
                  <c:v>4.3999999999999997E-2</c:v>
                </c:pt>
                <c:pt idx="90">
                  <c:v>4.4999999999999998E-2</c:v>
                </c:pt>
              </c:numCache>
            </c:numRef>
          </c:xVal>
          <c:yVal>
            <c:numRef>
              <c:f>'Notes | Quant Analysis'!$M$218:$M$308</c:f>
              <c:numCache>
                <c:formatCode>General</c:formatCode>
                <c:ptCount val="91"/>
                <c:pt idx="0">
                  <c:v>0.20883865812241276</c:v>
                </c:pt>
                <c:pt idx="1">
                  <c:v>0.25903476777597906</c:v>
                </c:pt>
                <c:pt idx="2">
                  <c:v>0.31974115026177341</c:v>
                </c:pt>
                <c:pt idx="3">
                  <c:v>0.39276457971655632</c:v>
                </c:pt>
                <c:pt idx="4">
                  <c:v>0.48013062287661901</c:v>
                </c:pt>
                <c:pt idx="5">
                  <c:v>0.5840900469429815</c:v>
                </c:pt>
                <c:pt idx="6">
                  <c:v>0.70712063990232188</c:v>
                </c:pt>
                <c:pt idx="7">
                  <c:v>0.85192336722851825</c:v>
                </c:pt>
                <c:pt idx="8">
                  <c:v>1.0214117648262269</c:v>
                </c:pt>
                <c:pt idx="9">
                  <c:v>1.218693485649043</c:v>
                </c:pt>
                <c:pt idx="10">
                  <c:v>1.4470429846474733</c:v>
                </c:pt>
                <c:pt idx="11">
                  <c:v>1.7098644506438339</c:v>
                </c:pt>
                <c:pt idx="12">
                  <c:v>2.0106442799029671</c:v>
                </c:pt>
                <c:pt idx="13">
                  <c:v>2.3528926378909598</c:v>
                </c:pt>
                <c:pt idx="14">
                  <c:v>2.7400739735018504</c:v>
                </c:pt>
                <c:pt idx="15">
                  <c:v>3.17552673102771</c:v>
                </c:pt>
                <c:pt idx="16">
                  <c:v>3.6623729426694678</c:v>
                </c:pt>
                <c:pt idx="17">
                  <c:v>4.2034188676326609</c:v>
                </c:pt>
                <c:pt idx="18">
                  <c:v>4.8010483578105774</c:v>
                </c:pt>
                <c:pt idx="19">
                  <c:v>5.4571111556591632</c:v>
                </c:pt>
                <c:pt idx="20">
                  <c:v>6.1728088444243845</c:v>
                </c:pt>
                <c:pt idx="21">
                  <c:v>6.9485816488130165</c:v>
                </c:pt>
                <c:pt idx="22">
                  <c:v>7.7839996980458173</c:v>
                </c:pt>
                <c:pt idx="23">
                  <c:v>8.6776626849513008</c:v>
                </c:pt>
                <c:pt idx="24">
                  <c:v>9.6271120572123952</c:v>
                </c:pt>
                <c:pt idx="25">
                  <c:v>10.628759935490256</c:v>
                </c:pt>
                <c:pt idx="26">
                  <c:v>11.677838847610664</c:v>
                </c:pt>
                <c:pt idx="27">
                  <c:v>12.768376083927404</c:v>
                </c:pt>
                <c:pt idx="28">
                  <c:v>13.893196009418123</c:v>
                </c:pt>
                <c:pt idx="29">
                  <c:v>15.043953014707128</c:v>
                </c:pt>
                <c:pt idx="30">
                  <c:v>16.211196962197945</c:v>
                </c:pt>
                <c:pt idx="31">
                  <c:v>17.384472005790393</c:v>
                </c:pt>
                <c:pt idx="32">
                  <c:v>18.552448563784754</c:v>
                </c:pt>
                <c:pt idx="33">
                  <c:v>19.703087043831889</c:v>
                </c:pt>
                <c:pt idx="34">
                  <c:v>20.823830702802084</c:v>
                </c:pt>
                <c:pt idx="35">
                  <c:v>21.901823825211366</c:v>
                </c:pt>
                <c:pt idx="36">
                  <c:v>22.924150276267234</c:v>
                </c:pt>
                <c:pt idx="37">
                  <c:v>23.878086484695103</c:v>
                </c:pt>
                <c:pt idx="38">
                  <c:v>24.751362088420255</c:v>
                </c:pt>
                <c:pt idx="39">
                  <c:v>25.532420879155676</c:v>
                </c:pt>
                <c:pt idx="40">
                  <c:v>26.210674347515575</c:v>
                </c:pt>
                <c:pt idx="41">
                  <c:v>26.776740084790955</c:v>
                </c:pt>
                <c:pt idx="42">
                  <c:v>27.222657554248819</c:v>
                </c:pt>
                <c:pt idx="43">
                  <c:v>27.542074302696292</c:v>
                </c:pt>
                <c:pt idx="44">
                  <c:v>27.730396526285706</c:v>
                </c:pt>
                <c:pt idx="45">
                  <c:v>27.784899003002362</c:v>
                </c:pt>
                <c:pt idx="46">
                  <c:v>27.704790714794932</c:v>
                </c:pt>
                <c:pt idx="47">
                  <c:v>27.49123395069871</c:v>
                </c:pt>
                <c:pt idx="48">
                  <c:v>27.147316246114485</c:v>
                </c:pt>
                <c:pt idx="49">
                  <c:v>26.677976105158919</c:v>
                </c:pt>
                <c:pt idx="50">
                  <c:v>26.089885003738591</c:v>
                </c:pt>
                <c:pt idx="51">
                  <c:v>25.391289613927377</c:v>
                </c:pt>
                <c:pt idx="52">
                  <c:v>24.591819464235471</c:v>
                </c:pt>
                <c:pt idx="53">
                  <c:v>23.702266303169985</c:v>
                </c:pt>
                <c:pt idx="54">
                  <c:v>22.734342224274268</c:v>
                </c:pt>
                <c:pt idx="55">
                  <c:v>21.70042411212728</c:v>
                </c:pt>
                <c:pt idx="56">
                  <c:v>20.613292167588348</c:v>
                </c:pt>
                <c:pt idx="57">
                  <c:v>19.485870168616753</c:v>
                </c:pt>
                <c:pt idx="58">
                  <c:v>18.330974736151951</c:v>
                </c:pt>
                <c:pt idx="59">
                  <c:v>17.161080231457539</c:v>
                </c:pt>
                <c:pt idx="60">
                  <c:v>15.98810505140559</c:v>
                </c:pt>
                <c:pt idx="61">
                  <c:v>14.823224059003017</c:v>
                </c:pt>
                <c:pt idx="62">
                  <c:v>13.676710740959974</c:v>
                </c:pt>
                <c:pt idx="63">
                  <c:v>12.557811477495111</c:v>
                </c:pt>
                <c:pt idx="64">
                  <c:v>11.474653096423102</c:v>
                </c:pt>
                <c:pt idx="65">
                  <c:v>10.434183715023476</c:v>
                </c:pt>
                <c:pt idx="66">
                  <c:v>9.4421457946157883</c:v>
                </c:pt>
                <c:pt idx="67">
                  <c:v>8.5030793818791004</c:v>
                </c:pt>
                <c:pt idx="68">
                  <c:v>7.6203527165074991</c:v>
                </c:pt>
                <c:pt idx="69">
                  <c:v>6.7962167658739574</c:v>
                </c:pt>
                <c:pt idx="70">
                  <c:v>6.0318798132894615</c:v>
                </c:pt>
                <c:pt idx="71">
                  <c:v>5.3275979771557385</c:v>
                </c:pt>
                <c:pt idx="72">
                  <c:v>4.6827774653446035</c:v>
                </c:pt>
                <c:pt idx="73">
                  <c:v>4.0960844568624326</c:v>
                </c:pt>
                <c:pt idx="74">
                  <c:v>3.5655587300220231</c:v>
                </c:pt>
                <c:pt idx="75">
                  <c:v>3.0887274977505377</c:v>
                </c:pt>
                <c:pt idx="76">
                  <c:v>2.6627163388780346</c:v>
                </c:pt>
                <c:pt idx="77">
                  <c:v>2.2843546012317093</c:v>
                </c:pt>
                <c:pt idx="78">
                  <c:v>1.9502731709169858</c:v>
                </c:pt>
                <c:pt idx="79">
                  <c:v>1.6569930271974196</c:v>
                </c:pt>
                <c:pt idx="80">
                  <c:v>1.4010035118450495</c:v>
                </c:pt>
                <c:pt idx="81">
                  <c:v>1.1788297174007201</c:v>
                </c:pt>
                <c:pt idx="82">
                  <c:v>0.98708882624474004</c:v>
                </c:pt>
                <c:pt idx="83">
                  <c:v>0.82253560172899953</c:v>
                </c:pt>
                <c:pt idx="84">
                  <c:v>0.68209753793797745</c:v>
                </c:pt>
                <c:pt idx="85">
                  <c:v>0.56290041375178235</c:v>
                </c:pt>
                <c:pt idx="86">
                  <c:v>0.46228517087307813</c:v>
                </c:pt>
                <c:pt idx="87">
                  <c:v>0.37781714813864375</c:v>
                </c:pt>
                <c:pt idx="88">
                  <c:v>0.30728876162130597</c:v>
                </c:pt>
                <c:pt idx="89">
                  <c:v>0.24871672903244654</c:v>
                </c:pt>
                <c:pt idx="90">
                  <c:v>0.20033490589317532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'[1]Notes | Quant Analysis'!$X$259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4826405998940476E-2"/>
                  <c:y val="-2.45460331369081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96337501151356"/>
                      <c:h val="7.7448447199466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-9.5221811870318832E-5</c:v>
                </c:pt>
                <c:pt idx="1">
                  <c:v>-9.5221811870318832E-5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'[1]Notes | Quant Analysis'!$X$261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-4.3168998004657289E-2</c:v>
                </c:pt>
                <c:pt idx="1">
                  <c:v>-4.3168998004657289E-2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'[1]Notes | Quant Analysis'!$X$263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-2.8811072607061634E-2</c:v>
                </c:pt>
                <c:pt idx="1">
                  <c:v>-2.8811072607061634E-2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'[1]Notes | Quant Analysis'!$X$265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Analysis'!$P$224:$P$225</c:f>
              <c:numCache>
                <c:formatCode>0.00%</c:formatCode>
                <c:ptCount val="2"/>
                <c:pt idx="0">
                  <c:v>-1.4453147209465975E-2</c:v>
                </c:pt>
                <c:pt idx="1">
                  <c:v>-1.4453147209465975E-2</c:v>
                </c:pt>
              </c:numCache>
            </c:numRef>
          </c:xVal>
          <c:yVal>
            <c:numRef>
              <c:f>'Notes | Quant Analysis'!$Q$224:$Q$225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'[1]Notes | Quant Analysis'!$X$267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Analysis'!$P$226:$P$227</c:f>
              <c:numCache>
                <c:formatCode>0.00%</c:formatCode>
                <c:ptCount val="2"/>
                <c:pt idx="0">
                  <c:v>1.4262703585725338E-2</c:v>
                </c:pt>
                <c:pt idx="1">
                  <c:v>1.4262703585725338E-2</c:v>
                </c:pt>
              </c:numCache>
            </c:numRef>
          </c:xVal>
          <c:yVal>
            <c:numRef>
              <c:f>'Notes | Quant Analysis'!$Q$226:$Q$227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'[1]Notes | Quant Analysis'!$X$269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Analysis'!$P$228:$P$229</c:f>
              <c:numCache>
                <c:formatCode>0.00%</c:formatCode>
                <c:ptCount val="2"/>
                <c:pt idx="0">
                  <c:v>2.8620628983320993E-2</c:v>
                </c:pt>
                <c:pt idx="1">
                  <c:v>2.8620628983320993E-2</c:v>
                </c:pt>
              </c:numCache>
            </c:numRef>
          </c:xVal>
          <c:yVal>
            <c:numRef>
              <c:f>'Notes | Quant Analysis'!$Q$228:$Q$229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'[1]Notes | Quant Analysis'!$X$271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Analysis'!$P$230:$P$231</c:f>
              <c:numCache>
                <c:formatCode>0.00%</c:formatCode>
                <c:ptCount val="2"/>
                <c:pt idx="0">
                  <c:v>4.2978554380916648E-2</c:v>
                </c:pt>
                <c:pt idx="1">
                  <c:v>4.2978554380916648E-2</c:v>
                </c:pt>
              </c:numCache>
            </c:numRef>
          </c:xVal>
          <c:yVal>
            <c:numRef>
              <c:f>'Notes | Quant Analysis'!$Q$230:$Q$231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2</xdr:row>
      <xdr:rowOff>9524</xdr:rowOff>
    </xdr:from>
    <xdr:to>
      <xdr:col>8</xdr:col>
      <xdr:colOff>0</xdr:colOff>
      <xdr:row>8</xdr:row>
      <xdr:rowOff>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6A4CF-A0C8-4D42-3F24-2AF9E44E3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29" r="4392"/>
        <a:stretch>
          <a:fillRect/>
        </a:stretch>
      </xdr:blipFill>
      <xdr:spPr>
        <a:xfrm>
          <a:off x="3324225" y="390524"/>
          <a:ext cx="1809750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0</xdr:colOff>
      <xdr:row>0</xdr:row>
      <xdr:rowOff>0</xdr:rowOff>
    </xdr:from>
    <xdr:to>
      <xdr:col>94</xdr:col>
      <xdr:colOff>0</xdr:colOff>
      <xdr:row>143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CEF399-6F4C-459F-A38F-6A42B4FE08A9}"/>
            </a:ext>
          </a:extLst>
        </xdr:cNvPr>
        <xdr:cNvCxnSpPr/>
      </xdr:nvCxnSpPr>
      <xdr:spPr>
        <a:xfrm>
          <a:off x="58973357" y="0"/>
          <a:ext cx="0" cy="255351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</xdr:colOff>
      <xdr:row>0</xdr:row>
      <xdr:rowOff>0</xdr:rowOff>
    </xdr:from>
    <xdr:to>
      <xdr:col>69</xdr:col>
      <xdr:colOff>2</xdr:colOff>
      <xdr:row>144</xdr:row>
      <xdr:rowOff>152400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BDA40E8-C415-4CF0-B603-41C666EA989E}"/>
            </a:ext>
          </a:extLst>
        </xdr:cNvPr>
        <xdr:cNvCxnSpPr/>
      </xdr:nvCxnSpPr>
      <xdr:spPr>
        <a:xfrm>
          <a:off x="43665323" y="0"/>
          <a:ext cx="0" cy="258971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74</xdr:row>
      <xdr:rowOff>190499</xdr:rowOff>
    </xdr:from>
    <xdr:to>
      <xdr:col>23</xdr:col>
      <xdr:colOff>0</xdr:colOff>
      <xdr:row>105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144</xdr:row>
      <xdr:rowOff>0</xdr:rowOff>
    </xdr:from>
    <xdr:to>
      <xdr:col>23</xdr:col>
      <xdr:colOff>0</xdr:colOff>
      <xdr:row>172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111</xdr:row>
      <xdr:rowOff>0</xdr:rowOff>
    </xdr:from>
    <xdr:to>
      <xdr:col>23</xdr:col>
      <xdr:colOff>0</xdr:colOff>
      <xdr:row>139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850A93-8F66-4A02-98CC-7CEBF0DC7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18</xdr:col>
      <xdr:colOff>13608</xdr:colOff>
      <xdr:row>70</xdr:row>
      <xdr:rowOff>10329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787923-F4E6-E298-2855-EEB545AC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107" y="6585857"/>
          <a:ext cx="6136822" cy="6038294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2</xdr:row>
      <xdr:rowOff>13607</xdr:rowOff>
    </xdr:from>
    <xdr:to>
      <xdr:col>18</xdr:col>
      <xdr:colOff>887</xdr:colOff>
      <xdr:row>31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CDAF9E-B795-20D0-5360-633E328B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714" y="381000"/>
          <a:ext cx="6110494" cy="511628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13607</xdr:rowOff>
    </xdr:from>
    <xdr:to>
      <xdr:col>30</xdr:col>
      <xdr:colOff>6554</xdr:colOff>
      <xdr:row>34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F1FCF6-ECAB-1FE2-8825-D34404A08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27321" y="381000"/>
          <a:ext cx="7354412" cy="5646964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23</xdr:col>
      <xdr:colOff>0</xdr:colOff>
      <xdr:row>205</xdr:row>
      <xdr:rowOff>13607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E6CC7A-E690-4D0C-BC92-8A1C9E82F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19050</xdr:rowOff>
    </xdr:from>
    <xdr:to>
      <xdr:col>12</xdr:col>
      <xdr:colOff>609599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4058-9832-4930-1FF7-885F7403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00025"/>
          <a:ext cx="7296149" cy="6315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Communication%20Services\GOOGL_Model.xlsx" TargetMode="External"/><Relationship Id="rId1" Type="http://schemas.openxmlformats.org/officeDocument/2006/relationships/externalLinkPath" Target="file:///C:\Users\User\OneDrive\Desktop\Equity%20Research\Models\Communication%20Services\GOOGL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&amp;A"/>
      <sheetName val="Closed Product Lines"/>
      <sheetName val="Management"/>
      <sheetName val="Table Formatting"/>
    </sheetNames>
    <sheetDataSet>
      <sheetData sheetId="0">
        <row r="3">
          <cell r="C3">
            <v>348.06</v>
          </cell>
        </row>
      </sheetData>
      <sheetData sheetId="1">
        <row r="84">
          <cell r="DA84">
            <v>416.21416769079838</v>
          </cell>
        </row>
      </sheetData>
      <sheetData sheetId="2">
        <row r="257">
          <cell r="R257" t="str">
            <v>Histogram Data</v>
          </cell>
          <cell r="U257" t="str">
            <v>Distribution Overlay</v>
          </cell>
        </row>
        <row r="259">
          <cell r="X259" t="str">
            <v>Mean</v>
          </cell>
        </row>
        <row r="261">
          <cell r="X261" t="str">
            <v>-3σ</v>
          </cell>
        </row>
        <row r="263">
          <cell r="X263" t="str">
            <v>-2σ</v>
          </cell>
        </row>
        <row r="265">
          <cell r="X265" t="str">
            <v>-1σ</v>
          </cell>
        </row>
        <row r="267">
          <cell r="X267" t="str">
            <v>1σ</v>
          </cell>
        </row>
        <row r="269">
          <cell r="X269" t="str">
            <v>2σ</v>
          </cell>
        </row>
        <row r="271">
          <cell r="X271" t="str">
            <v>3σ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rmofisher.com/us/en/home.html" TargetMode="External"/><Relationship Id="rId3" Type="http://schemas.openxmlformats.org/officeDocument/2006/relationships/hyperlink" Target="https://www.fda.gov/medical-devices" TargetMode="External"/><Relationship Id="rId7" Type="http://schemas.openxmlformats.org/officeDocument/2006/relationships/hyperlink" Target="https://www.sec.gov/edgar/browse/?CIK=97745&amp;owner=exclude" TargetMode="External"/><Relationship Id="rId2" Type="http://schemas.openxmlformats.org/officeDocument/2006/relationships/hyperlink" Target="https://seekingalpha.com/symbol/BSX/earnings/transcripts" TargetMode="External"/><Relationship Id="rId1" Type="http://schemas.openxmlformats.org/officeDocument/2006/relationships/hyperlink" Target="000%20Med-Devices%20Master%20List%20000.xlsx" TargetMode="External"/><Relationship Id="rId6" Type="http://schemas.openxmlformats.org/officeDocument/2006/relationships/hyperlink" Target="mailto:BSXInvestorRelations@bsci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app.godelterminal.com/" TargetMode="External"/><Relationship Id="rId10" Type="http://schemas.openxmlformats.org/officeDocument/2006/relationships/hyperlink" Target="https://stockanalysis.com/stocks/tmo/company/" TargetMode="External"/><Relationship Id="rId4" Type="http://schemas.openxmlformats.org/officeDocument/2006/relationships/hyperlink" Target="https://ppubs.uspto.gov/pubwebapp/static/pages/ppubsbasic.html" TargetMode="External"/><Relationship Id="rId9" Type="http://schemas.openxmlformats.org/officeDocument/2006/relationships/hyperlink" Target="https://ir.thermofisher.com/investors/overview/default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zoomScale="85" zoomScaleNormal="85" workbookViewId="0">
      <selection activeCell="Q11" sqref="Q11"/>
    </sheetView>
  </sheetViews>
  <sheetFormatPr defaultRowHeight="14.25"/>
  <cols>
    <col min="1" max="1" width="3.42578125" style="1" customWidth="1"/>
    <col min="2" max="2" width="9.140625" style="1" customWidth="1"/>
    <col min="3" max="3" width="9.85546875" style="1" customWidth="1"/>
    <col min="4" max="4" width="9.140625" style="1" customWidth="1"/>
    <col min="5" max="16384" width="9.140625" style="1"/>
  </cols>
  <sheetData>
    <row r="1" spans="1:18" ht="15">
      <c r="A1" s="43" t="s">
        <v>0</v>
      </c>
    </row>
    <row r="2" spans="1:18" ht="15">
      <c r="B2" s="2" t="s">
        <v>91</v>
      </c>
    </row>
    <row r="3" spans="1:18">
      <c r="B3" s="1" t="s">
        <v>1</v>
      </c>
      <c r="C3" s="82">
        <v>694.02</v>
      </c>
      <c r="D3" s="49" t="s">
        <v>1524</v>
      </c>
    </row>
    <row r="4" spans="1:18">
      <c r="B4" s="1" t="s">
        <v>2</v>
      </c>
      <c r="C4" s="83">
        <v>370</v>
      </c>
      <c r="D4" s="1" t="s">
        <v>1525</v>
      </c>
    </row>
    <row r="5" spans="1:18">
      <c r="B5" s="1" t="s">
        <v>3</v>
      </c>
      <c r="C5" s="84">
        <f>C3*C4</f>
        <v>256787.4</v>
      </c>
    </row>
    <row r="6" spans="1:18">
      <c r="B6" s="1" t="s">
        <v>4</v>
      </c>
      <c r="C6" s="84">
        <f>5461+600</f>
        <v>6061</v>
      </c>
      <c r="D6" s="1" t="s">
        <v>1525</v>
      </c>
    </row>
    <row r="7" spans="1:18">
      <c r="B7" s="1" t="s">
        <v>5</v>
      </c>
      <c r="C7" s="84">
        <f>2262+39108</f>
        <v>41370</v>
      </c>
      <c r="D7" s="1" t="s">
        <v>1525</v>
      </c>
    </row>
    <row r="8" spans="1:18">
      <c r="B8" s="1" t="s">
        <v>6</v>
      </c>
      <c r="C8" s="84">
        <f>C5-C6+C7</f>
        <v>292096.40000000002</v>
      </c>
    </row>
    <row r="10" spans="1:18" ht="15">
      <c r="B10" s="2" t="s">
        <v>92</v>
      </c>
      <c r="N10" s="1" t="s">
        <v>106</v>
      </c>
      <c r="R10" s="42"/>
    </row>
    <row r="11" spans="1:18">
      <c r="N11" s="1" t="s">
        <v>8</v>
      </c>
      <c r="Q11" s="42" t="s">
        <v>126</v>
      </c>
      <c r="R11" s="42"/>
    </row>
    <row r="12" spans="1:18">
      <c r="B12" s="1" t="s">
        <v>131</v>
      </c>
      <c r="F12" s="1" t="s">
        <v>96</v>
      </c>
      <c r="N12" s="1" t="s">
        <v>107</v>
      </c>
      <c r="Q12" s="42" t="s">
        <v>127</v>
      </c>
    </row>
    <row r="13" spans="1:18">
      <c r="B13" s="1" t="s">
        <v>93</v>
      </c>
      <c r="F13" s="1" t="s">
        <v>97</v>
      </c>
      <c r="O13" s="1" t="s">
        <v>108</v>
      </c>
      <c r="Q13" s="42"/>
      <c r="R13" s="42" t="s">
        <v>128</v>
      </c>
    </row>
    <row r="14" spans="1:18">
      <c r="B14" s="1" t="s">
        <v>94</v>
      </c>
      <c r="F14" s="1" t="s">
        <v>7</v>
      </c>
      <c r="N14" s="1" t="s">
        <v>112</v>
      </c>
      <c r="Q14" s="42" t="s">
        <v>113</v>
      </c>
    </row>
    <row r="15" spans="1:18">
      <c r="B15" s="1" t="s">
        <v>130</v>
      </c>
      <c r="F15" s="1" t="s">
        <v>122</v>
      </c>
      <c r="N15" s="1" t="s">
        <v>114</v>
      </c>
      <c r="Q15" s="42" t="s">
        <v>115</v>
      </c>
    </row>
    <row r="16" spans="1:18">
      <c r="B16" s="1" t="s">
        <v>95</v>
      </c>
      <c r="F16" s="1" t="s">
        <v>123</v>
      </c>
      <c r="G16" s="1" t="s">
        <v>132</v>
      </c>
      <c r="I16" s="1" t="s">
        <v>124</v>
      </c>
      <c r="J16" s="42" t="s">
        <v>125</v>
      </c>
      <c r="N16" s="1" t="s">
        <v>116</v>
      </c>
      <c r="Q16" s="42" t="s">
        <v>117</v>
      </c>
    </row>
    <row r="17" spans="1:17">
      <c r="B17" s="1" t="s">
        <v>103</v>
      </c>
      <c r="N17" s="1" t="s">
        <v>109</v>
      </c>
      <c r="Q17" s="42" t="s">
        <v>110</v>
      </c>
    </row>
    <row r="18" spans="1:17" ht="15">
      <c r="B18" s="1" t="s">
        <v>104</v>
      </c>
      <c r="N18" s="1" t="s">
        <v>133</v>
      </c>
      <c r="Q18" s="43" t="s">
        <v>134</v>
      </c>
    </row>
    <row r="19" spans="1:17">
      <c r="B19" s="1" t="s">
        <v>105</v>
      </c>
      <c r="N19" s="1" t="s">
        <v>118</v>
      </c>
      <c r="Q19" s="42" t="s">
        <v>119</v>
      </c>
    </row>
    <row r="20" spans="1:17">
      <c r="B20" s="1" t="s">
        <v>129</v>
      </c>
      <c r="N20" s="1" t="s">
        <v>120</v>
      </c>
      <c r="Q20" s="42" t="s">
        <v>121</v>
      </c>
    </row>
    <row r="21" spans="1:17">
      <c r="N21" s="1" t="s">
        <v>9</v>
      </c>
      <c r="Q21" s="42" t="s">
        <v>111</v>
      </c>
    </row>
    <row r="23" spans="1:17" ht="15">
      <c r="A23" s="2" t="s">
        <v>10</v>
      </c>
    </row>
    <row r="24" spans="1:17">
      <c r="B24" s="1" t="s">
        <v>1511</v>
      </c>
    </row>
    <row r="25" spans="1:17">
      <c r="C25" s="1" t="s">
        <v>1512</v>
      </c>
    </row>
    <row r="26" spans="1:17" ht="15">
      <c r="B26" s="1" t="s">
        <v>1515</v>
      </c>
    </row>
    <row r="27" spans="1:17" ht="15">
      <c r="B27" s="1" t="s">
        <v>1513</v>
      </c>
    </row>
    <row r="28" spans="1:17" ht="15">
      <c r="B28" s="1" t="s">
        <v>1514</v>
      </c>
    </row>
    <row r="29" spans="1:17">
      <c r="C29" s="1" t="s">
        <v>98</v>
      </c>
    </row>
    <row r="30" spans="1:17">
      <c r="C30" s="1" t="s">
        <v>99</v>
      </c>
    </row>
    <row r="31" spans="1:17">
      <c r="C31" s="1" t="s">
        <v>100</v>
      </c>
    </row>
    <row r="32" spans="1:17" ht="15">
      <c r="B32" s="1" t="s">
        <v>1516</v>
      </c>
    </row>
    <row r="33" spans="1:2">
      <c r="B33" s="1" t="s">
        <v>1430</v>
      </c>
    </row>
    <row r="34" spans="1:2">
      <c r="B34" s="1" t="s">
        <v>101</v>
      </c>
    </row>
    <row r="36" spans="1:2" ht="15">
      <c r="A36" s="2" t="s">
        <v>102</v>
      </c>
    </row>
  </sheetData>
  <hyperlinks>
    <hyperlink ref="A1" r:id="rId1" xr:uid="{D68730F6-1FA2-4D50-BE30-708F3FB18653}"/>
    <hyperlink ref="Q17" r:id="rId2" xr:uid="{3D2B7613-CCA6-4818-A6D2-760D6CE61D20}"/>
    <hyperlink ref="Q14" r:id="rId3" xr:uid="{BBFA7742-545B-4C58-9D0E-98BE4792CC9F}"/>
    <hyperlink ref="Q15" r:id="rId4" display="https://ppubs.uspto.gov/pubwebapp/static/pages/ppubsbasic.html" xr:uid="{6C0A6E1C-949A-4E5C-83F9-653C550C85B5}"/>
    <hyperlink ref="Q21" r:id="rId5" xr:uid="{B7A860F2-37F1-4BF7-9B46-68D02572FC6C}"/>
    <hyperlink ref="J16" r:id="rId6" xr:uid="{4449B7A2-23F1-491B-8D0F-9DADA2B01460}"/>
    <hyperlink ref="Q11" r:id="rId7" xr:uid="{562B6F06-2E97-403B-9E0F-A70BB26A21C8}"/>
    <hyperlink ref="Q12" r:id="rId8" xr:uid="{006084FC-D26F-4A78-8278-35E1EED06338}"/>
    <hyperlink ref="R13" r:id="rId9" xr:uid="{5F286452-AA8D-4028-8198-D7CEA6E9BDC7}"/>
    <hyperlink ref="Q18" r:id="rId10" xr:uid="{EC7A53FD-8888-4899-B553-6634EAFE25FF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A140"/>
  <sheetViews>
    <sheetView zoomScale="70" zoomScaleNormal="70" workbookViewId="0">
      <pane xSplit="2" ySplit="3" topLeftCell="AU4" activePane="bottomRight" state="frozen"/>
      <selection pane="topRight" activeCell="C1" sqref="C1"/>
      <selection pane="bottomLeft" activeCell="A4" sqref="A4"/>
      <selection pane="bottomRight" activeCell="DJ98" sqref="DJ98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69" width="9.140625" style="1"/>
    <col min="70" max="70" width="9.140625" style="35"/>
    <col min="71" max="94" width="9.140625" style="1"/>
    <col min="95" max="95" width="9.140625" style="1" customWidth="1"/>
    <col min="96" max="104" width="9.140625" style="35" customWidth="1"/>
    <col min="105" max="156" width="9.140625" style="35"/>
    <col min="157" max="16384" width="9.140625" style="1"/>
  </cols>
  <sheetData>
    <row r="1" spans="2:157" ht="15">
      <c r="B1" s="1" t="s">
        <v>53</v>
      </c>
      <c r="AQ1" s="33" t="s">
        <v>47</v>
      </c>
      <c r="AU1" s="33" t="s">
        <v>48</v>
      </c>
      <c r="AY1" s="33" t="s">
        <v>49</v>
      </c>
      <c r="BC1" s="33" t="s">
        <v>50</v>
      </c>
      <c r="BG1" s="33" t="s">
        <v>51</v>
      </c>
      <c r="BK1" s="33" t="s">
        <v>52</v>
      </c>
      <c r="BO1" s="33" t="s">
        <v>1509</v>
      </c>
    </row>
    <row r="2" spans="2:157">
      <c r="B2" s="1" t="s">
        <v>54</v>
      </c>
    </row>
    <row r="3" spans="2:157" ht="15">
      <c r="B3" s="2" t="s">
        <v>55</v>
      </c>
      <c r="C3" s="2" t="str" cm="1">
        <f t="array" ref="C3:BR3">"Q"&amp;MOD(_xlfn.SEQUENCE(1,68)-1,4)+1&amp;" "&amp;(2010+INT((_xlfn.SEQUENCE(1,68)-1)/4))</f>
        <v>Q1 2010</v>
      </c>
      <c r="D3" s="33" t="str">
        <v>Q2 2010</v>
      </c>
      <c r="E3" s="33" t="str">
        <v>Q3 2010</v>
      </c>
      <c r="F3" s="33" t="str">
        <v>Q4 2010</v>
      </c>
      <c r="G3" s="33" t="str">
        <v>Q1 2011</v>
      </c>
      <c r="H3" s="33" t="str">
        <v>Q2 2011</v>
      </c>
      <c r="I3" s="33" t="str">
        <v>Q3 2011</v>
      </c>
      <c r="J3" s="33" t="str">
        <v>Q4 2011</v>
      </c>
      <c r="K3" s="33" t="str">
        <v>Q1 2012</v>
      </c>
      <c r="L3" s="33" t="str">
        <v>Q2 2012</v>
      </c>
      <c r="M3" s="33" t="str">
        <v>Q3 2012</v>
      </c>
      <c r="N3" s="33" t="str">
        <v>Q4 2012</v>
      </c>
      <c r="O3" s="33" t="str">
        <v>Q1 2013</v>
      </c>
      <c r="P3" s="33" t="str">
        <v>Q2 2013</v>
      </c>
      <c r="Q3" s="33" t="str">
        <v>Q3 2013</v>
      </c>
      <c r="R3" s="33" t="str">
        <v>Q4 2013</v>
      </c>
      <c r="S3" s="33" t="str">
        <v>Q1 2014</v>
      </c>
      <c r="T3" s="33" t="str">
        <v>Q2 2014</v>
      </c>
      <c r="U3" s="33" t="str">
        <v>Q3 2014</v>
      </c>
      <c r="V3" s="33" t="str">
        <v>Q4 2014</v>
      </c>
      <c r="W3" s="33" t="str">
        <v>Q1 2015</v>
      </c>
      <c r="X3" s="33" t="str">
        <v>Q2 2015</v>
      </c>
      <c r="Y3" s="33" t="str">
        <v>Q3 2015</v>
      </c>
      <c r="Z3" s="33" t="str">
        <v>Q4 2015</v>
      </c>
      <c r="AA3" s="33" t="str">
        <v>Q1 2016</v>
      </c>
      <c r="AB3" s="33" t="str">
        <v>Q2 2016</v>
      </c>
      <c r="AC3" s="33" t="str">
        <v>Q3 2016</v>
      </c>
      <c r="AD3" s="33" t="str">
        <v>Q4 2016</v>
      </c>
      <c r="AE3" s="33" t="str">
        <v>Q1 2017</v>
      </c>
      <c r="AF3" s="33" t="str">
        <v>Q2 2017</v>
      </c>
      <c r="AG3" s="33" t="str">
        <v>Q3 2017</v>
      </c>
      <c r="AH3" s="33" t="str">
        <v>Q4 2017</v>
      </c>
      <c r="AI3" s="33" t="str">
        <v>Q1 2018</v>
      </c>
      <c r="AJ3" s="33" t="str">
        <v>Q2 2018</v>
      </c>
      <c r="AK3" s="33" t="str">
        <v>Q3 2018</v>
      </c>
      <c r="AL3" s="33" t="str">
        <v>Q4 2018</v>
      </c>
      <c r="AM3" s="33" t="str">
        <v>Q1 2019</v>
      </c>
      <c r="AN3" s="33" t="str">
        <v>Q2 2019</v>
      </c>
      <c r="AO3" s="33" t="str">
        <v>Q3 2019</v>
      </c>
      <c r="AP3" s="33" t="str">
        <v>Q4 2019</v>
      </c>
      <c r="AQ3" s="33" t="str">
        <v>Q1 2020</v>
      </c>
      <c r="AR3" s="33" t="str">
        <v>Q2 2020</v>
      </c>
      <c r="AS3" s="33" t="str">
        <v>Q3 2020</v>
      </c>
      <c r="AT3" s="33" t="str">
        <v>Q4 2020</v>
      </c>
      <c r="AU3" s="33" t="str">
        <v>Q1 2021</v>
      </c>
      <c r="AV3" s="33" t="str">
        <v>Q2 2021</v>
      </c>
      <c r="AW3" s="33" t="str">
        <v>Q3 2021</v>
      </c>
      <c r="AX3" s="33" t="str">
        <v>Q4 2021</v>
      </c>
      <c r="AY3" s="33" t="str">
        <v>Q1 2022</v>
      </c>
      <c r="AZ3" s="33" t="str">
        <v>Q2 2022</v>
      </c>
      <c r="BA3" s="33" t="str">
        <v>Q3 2022</v>
      </c>
      <c r="BB3" s="33" t="str">
        <v>Q4 2022</v>
      </c>
      <c r="BC3" s="33" t="str">
        <v>Q1 2023</v>
      </c>
      <c r="BD3" s="33" t="str">
        <v>Q2 2023</v>
      </c>
      <c r="BE3" s="33" t="str">
        <v>Q3 2023</v>
      </c>
      <c r="BF3" s="33" t="str">
        <v>Q4 2023</v>
      </c>
      <c r="BG3" s="33" t="str">
        <v>Q1 2024</v>
      </c>
      <c r="BH3" s="33" t="str">
        <v>Q2 2024</v>
      </c>
      <c r="BI3" s="33" t="str">
        <v>Q3 2024</v>
      </c>
      <c r="BJ3" s="33" t="str">
        <v>Q4 2024</v>
      </c>
      <c r="BK3" s="33" t="str">
        <v>Q1 2025</v>
      </c>
      <c r="BL3" s="33" t="str">
        <v>Q2 2025</v>
      </c>
      <c r="BM3" s="33" t="str">
        <v>Q3 2025</v>
      </c>
      <c r="BN3" s="33" t="str">
        <v>Q4 2025</v>
      </c>
      <c r="BO3" s="33" t="str">
        <v>Q1 2026</v>
      </c>
      <c r="BP3" s="33" t="str">
        <v>Q2 2026</v>
      </c>
      <c r="BQ3" s="2" t="str">
        <v>Q3 2026</v>
      </c>
      <c r="BR3" s="34" t="str">
        <v>Q4 2026</v>
      </c>
      <c r="CA3" s="2">
        <v>2010</v>
      </c>
      <c r="CB3" s="2">
        <f t="shared" ref="CB3:EL3" si="0">CA3+1</f>
        <v>2011</v>
      </c>
      <c r="CC3" s="2">
        <f t="shared" si="0"/>
        <v>2012</v>
      </c>
      <c r="CD3" s="2">
        <f t="shared" si="0"/>
        <v>2013</v>
      </c>
      <c r="CE3" s="2">
        <f t="shared" si="0"/>
        <v>2014</v>
      </c>
      <c r="CF3" s="2">
        <f t="shared" si="0"/>
        <v>2015</v>
      </c>
      <c r="CG3" s="2">
        <f t="shared" si="0"/>
        <v>2016</v>
      </c>
      <c r="CH3" s="2">
        <f t="shared" si="0"/>
        <v>2017</v>
      </c>
      <c r="CI3" s="2">
        <f t="shared" si="0"/>
        <v>2018</v>
      </c>
      <c r="CJ3" s="2">
        <f t="shared" si="0"/>
        <v>2019</v>
      </c>
      <c r="CK3" s="2">
        <f t="shared" si="0"/>
        <v>2020</v>
      </c>
      <c r="CL3" s="2">
        <f t="shared" si="0"/>
        <v>2021</v>
      </c>
      <c r="CM3" s="2">
        <f t="shared" si="0"/>
        <v>2022</v>
      </c>
      <c r="CN3" s="2">
        <f t="shared" si="0"/>
        <v>2023</v>
      </c>
      <c r="CO3" s="2">
        <f t="shared" si="0"/>
        <v>2024</v>
      </c>
      <c r="CP3" s="2">
        <f t="shared" si="0"/>
        <v>2025</v>
      </c>
      <c r="CQ3" s="34">
        <f>CP3+1</f>
        <v>2026</v>
      </c>
      <c r="CR3" s="34">
        <f t="shared" si="0"/>
        <v>2027</v>
      </c>
      <c r="CS3" s="34">
        <f t="shared" si="0"/>
        <v>2028</v>
      </c>
      <c r="CT3" s="34">
        <f t="shared" si="0"/>
        <v>2029</v>
      </c>
      <c r="CU3" s="34">
        <f t="shared" si="0"/>
        <v>2030</v>
      </c>
      <c r="CV3" s="34">
        <f t="shared" si="0"/>
        <v>2031</v>
      </c>
      <c r="CW3" s="34">
        <f t="shared" si="0"/>
        <v>2032</v>
      </c>
      <c r="CX3" s="34">
        <f t="shared" si="0"/>
        <v>2033</v>
      </c>
      <c r="CY3" s="34">
        <f t="shared" si="0"/>
        <v>2034</v>
      </c>
      <c r="CZ3" s="34">
        <f t="shared" si="0"/>
        <v>2035</v>
      </c>
      <c r="DA3" s="34">
        <f t="shared" si="0"/>
        <v>2036</v>
      </c>
      <c r="DB3" s="34">
        <f t="shared" si="0"/>
        <v>2037</v>
      </c>
      <c r="DC3" s="34">
        <f t="shared" si="0"/>
        <v>2038</v>
      </c>
      <c r="DD3" s="34">
        <f t="shared" si="0"/>
        <v>2039</v>
      </c>
      <c r="DE3" s="34">
        <f t="shared" si="0"/>
        <v>2040</v>
      </c>
      <c r="DF3" s="34">
        <f t="shared" si="0"/>
        <v>2041</v>
      </c>
      <c r="DG3" s="34">
        <f t="shared" si="0"/>
        <v>2042</v>
      </c>
      <c r="DH3" s="34">
        <f t="shared" si="0"/>
        <v>2043</v>
      </c>
      <c r="DI3" s="34">
        <f t="shared" si="0"/>
        <v>2044</v>
      </c>
      <c r="DJ3" s="34">
        <f t="shared" si="0"/>
        <v>2045</v>
      </c>
      <c r="DK3" s="34">
        <f t="shared" si="0"/>
        <v>2046</v>
      </c>
      <c r="DL3" s="34">
        <f t="shared" si="0"/>
        <v>2047</v>
      </c>
      <c r="DM3" s="34">
        <f t="shared" si="0"/>
        <v>2048</v>
      </c>
      <c r="DN3" s="34">
        <f t="shared" si="0"/>
        <v>2049</v>
      </c>
      <c r="DO3" s="34">
        <f t="shared" si="0"/>
        <v>2050</v>
      </c>
      <c r="DP3" s="34">
        <f t="shared" si="0"/>
        <v>2051</v>
      </c>
      <c r="DQ3" s="34">
        <f t="shared" si="0"/>
        <v>2052</v>
      </c>
      <c r="DR3" s="34">
        <f t="shared" si="0"/>
        <v>2053</v>
      </c>
      <c r="DS3" s="34">
        <f t="shared" si="0"/>
        <v>2054</v>
      </c>
      <c r="DT3" s="34">
        <f t="shared" si="0"/>
        <v>2055</v>
      </c>
      <c r="DU3" s="34">
        <f t="shared" si="0"/>
        <v>2056</v>
      </c>
      <c r="DV3" s="34">
        <f t="shared" si="0"/>
        <v>2057</v>
      </c>
      <c r="DW3" s="34">
        <f t="shared" si="0"/>
        <v>2058</v>
      </c>
      <c r="DX3" s="34">
        <f t="shared" si="0"/>
        <v>2059</v>
      </c>
      <c r="DY3" s="34">
        <f t="shared" si="0"/>
        <v>2060</v>
      </c>
      <c r="DZ3" s="34">
        <f t="shared" si="0"/>
        <v>2061</v>
      </c>
      <c r="EA3" s="34">
        <f t="shared" si="0"/>
        <v>2062</v>
      </c>
      <c r="EB3" s="34">
        <f t="shared" si="0"/>
        <v>2063</v>
      </c>
      <c r="EC3" s="34">
        <f t="shared" si="0"/>
        <v>2064</v>
      </c>
      <c r="ED3" s="34">
        <f t="shared" si="0"/>
        <v>2065</v>
      </c>
      <c r="EE3" s="34">
        <f t="shared" si="0"/>
        <v>2066</v>
      </c>
      <c r="EF3" s="34">
        <f t="shared" si="0"/>
        <v>2067</v>
      </c>
      <c r="EG3" s="34">
        <f t="shared" si="0"/>
        <v>2068</v>
      </c>
      <c r="EH3" s="34">
        <f t="shared" si="0"/>
        <v>2069</v>
      </c>
      <c r="EI3" s="34">
        <f t="shared" si="0"/>
        <v>2070</v>
      </c>
      <c r="EJ3" s="34">
        <f t="shared" si="0"/>
        <v>2071</v>
      </c>
      <c r="EK3" s="34">
        <f t="shared" si="0"/>
        <v>2072</v>
      </c>
      <c r="EL3" s="34">
        <f t="shared" si="0"/>
        <v>2073</v>
      </c>
      <c r="EM3" s="34">
        <f t="shared" ref="EM3:EX3" si="1">EL3+1</f>
        <v>2074</v>
      </c>
      <c r="EN3" s="34">
        <f t="shared" si="1"/>
        <v>2075</v>
      </c>
      <c r="EO3" s="34">
        <f t="shared" si="1"/>
        <v>2076</v>
      </c>
      <c r="EP3" s="34">
        <f t="shared" si="1"/>
        <v>2077</v>
      </c>
      <c r="EQ3" s="34">
        <f t="shared" si="1"/>
        <v>2078</v>
      </c>
      <c r="ER3" s="34">
        <f t="shared" si="1"/>
        <v>2079</v>
      </c>
      <c r="ES3" s="34">
        <f t="shared" si="1"/>
        <v>2080</v>
      </c>
      <c r="ET3" s="34">
        <f t="shared" si="1"/>
        <v>2081</v>
      </c>
      <c r="EU3" s="34">
        <f t="shared" si="1"/>
        <v>2082</v>
      </c>
      <c r="EV3" s="34">
        <f t="shared" si="1"/>
        <v>2083</v>
      </c>
      <c r="EW3" s="34">
        <f t="shared" si="1"/>
        <v>2084</v>
      </c>
      <c r="EX3" s="34">
        <f t="shared" si="1"/>
        <v>2085</v>
      </c>
      <c r="EY3" s="34"/>
      <c r="EZ3" s="34"/>
      <c r="FA3" s="2"/>
    </row>
    <row r="4" spans="2:157">
      <c r="B4" s="36" t="s">
        <v>1457</v>
      </c>
      <c r="AU4" s="1">
        <v>5964</v>
      </c>
      <c r="AV4" s="1">
        <v>5372</v>
      </c>
      <c r="AW4" s="1">
        <v>5544</v>
      </c>
      <c r="AX4" s="1">
        <f>22608-SUM(AU4:AW4)</f>
        <v>5728</v>
      </c>
      <c r="AY4" s="1">
        <v>6110</v>
      </c>
      <c r="AZ4" s="1">
        <v>4993</v>
      </c>
      <c r="BA4" s="1">
        <v>4651</v>
      </c>
      <c r="BB4" s="1">
        <f>20624-SUM(AY4:BA4)</f>
        <v>4870</v>
      </c>
      <c r="BC4" s="1">
        <v>4506</v>
      </c>
      <c r="BD4" s="1">
        <v>4433</v>
      </c>
      <c r="BE4" s="1">
        <v>4289</v>
      </c>
      <c r="BF4" s="1">
        <f>17597-SUM(BC4:BE4)</f>
        <v>4369</v>
      </c>
      <c r="BG4" s="1">
        <v>4328</v>
      </c>
      <c r="BH4" s="1">
        <v>4363</v>
      </c>
      <c r="BI4" s="1">
        <v>4379</v>
      </c>
      <c r="BJ4" s="1">
        <f>17587-SUM(BG4:BI4)</f>
        <v>4517</v>
      </c>
      <c r="BK4" s="1">
        <v>4354</v>
      </c>
      <c r="BL4" s="1">
        <v>4606</v>
      </c>
      <c r="BM4" s="1">
        <v>4679</v>
      </c>
      <c r="BN4" s="1">
        <f>18664-SUM(BK4:BM4)</f>
        <v>5025</v>
      </c>
      <c r="BO4" s="1">
        <v>4722</v>
      </c>
      <c r="BP4" s="1">
        <v>5073</v>
      </c>
      <c r="BQ4" s="1">
        <v>5132</v>
      </c>
      <c r="CL4" s="1">
        <f>SUM(AU4:AX4)</f>
        <v>22608</v>
      </c>
      <c r="CM4" s="1">
        <f>SUM(AY4:BB4)</f>
        <v>20624</v>
      </c>
      <c r="CN4" s="1">
        <f>SUM(BC4:BF4)</f>
        <v>17597</v>
      </c>
      <c r="CO4" s="1">
        <f>SUM(BG4:BJ4)</f>
        <v>17587</v>
      </c>
      <c r="CP4" s="1">
        <f>SUM(BK4:BN4)</f>
        <v>18664</v>
      </c>
      <c r="CQ4" s="72">
        <f t="shared" ref="CQ4:CZ4" si="2">CP4*(1+CQ9)</f>
        <v>20390.420000000002</v>
      </c>
      <c r="CR4" s="72">
        <f t="shared" si="2"/>
        <v>22327.509900000001</v>
      </c>
      <c r="CS4" s="72">
        <f t="shared" si="2"/>
        <v>24381.640810800003</v>
      </c>
      <c r="CT4" s="72">
        <f t="shared" si="2"/>
        <v>26454.080279718004</v>
      </c>
      <c r="CU4" s="72">
        <f t="shared" si="2"/>
        <v>28570.406702095446</v>
      </c>
      <c r="CV4" s="72">
        <f t="shared" si="2"/>
        <v>30713.187204752605</v>
      </c>
      <c r="CW4" s="72">
        <f t="shared" si="2"/>
        <v>32709.544373061522</v>
      </c>
      <c r="CX4" s="72">
        <f t="shared" si="2"/>
        <v>34672.117035445219</v>
      </c>
      <c r="CY4" s="72">
        <f t="shared" si="2"/>
        <v>36579.083472394705</v>
      </c>
      <c r="CZ4" s="72">
        <f t="shared" si="2"/>
        <v>38408.03764601444</v>
      </c>
    </row>
    <row r="5" spans="2:157">
      <c r="B5" s="36" t="s">
        <v>1458</v>
      </c>
      <c r="AU5" s="1">
        <v>1892</v>
      </c>
      <c r="AV5" s="1">
        <v>1842</v>
      </c>
      <c r="AW5" s="1">
        <v>1816</v>
      </c>
      <c r="AX5" s="1">
        <f>7753-SUM(AU5:AW5)</f>
        <v>2203</v>
      </c>
      <c r="AY5" s="1">
        <v>1907</v>
      </c>
      <c r="AZ5" s="1">
        <v>2010</v>
      </c>
      <c r="BA5" s="1">
        <v>1932</v>
      </c>
      <c r="BB5" s="1">
        <f>7924-SUM(AY5:BA5)</f>
        <v>2075</v>
      </c>
      <c r="BC5" s="1">
        <v>1898</v>
      </c>
      <c r="BD5" s="1">
        <v>1838</v>
      </c>
      <c r="BE5" s="1">
        <v>1868</v>
      </c>
      <c r="BF5" s="1">
        <f>7646-SUM(BC5:BE5)</f>
        <v>2042</v>
      </c>
      <c r="BG5" s="1">
        <v>1627</v>
      </c>
      <c r="BH5" s="1">
        <v>1800</v>
      </c>
      <c r="BI5" s="1">
        <v>1769</v>
      </c>
      <c r="BJ5" s="1">
        <f>7446-SUM(BG5:BI5)</f>
        <v>2250</v>
      </c>
      <c r="BK5" s="1">
        <v>1626</v>
      </c>
      <c r="BL5" s="1">
        <v>1644</v>
      </c>
      <c r="BM5" s="1">
        <v>1811</v>
      </c>
      <c r="BN5" s="1">
        <f>7301-SUM(BK5:BM5)</f>
        <v>2220</v>
      </c>
      <c r="BO5" s="1">
        <v>1555</v>
      </c>
      <c r="BP5" s="1">
        <v>1750</v>
      </c>
      <c r="BQ5" s="1">
        <v>1840</v>
      </c>
      <c r="CL5" s="1">
        <f t="shared" ref="CL5:CL7" si="3">SUM(AU5:AX5)</f>
        <v>7753</v>
      </c>
      <c r="CM5" s="1">
        <f t="shared" ref="CM5:CM7" si="4">SUM(AY5:BB5)</f>
        <v>7924</v>
      </c>
      <c r="CN5" s="1">
        <f t="shared" ref="CN5:CN7" si="5">SUM(BC5:BF5)</f>
        <v>7646</v>
      </c>
      <c r="CO5" s="1">
        <f t="shared" ref="CO5:CO7" si="6">SUM(BG5:BJ5)</f>
        <v>7446</v>
      </c>
      <c r="CP5" s="1">
        <f t="shared" ref="CP5:CP7" si="7">SUM(BK5:BN5)</f>
        <v>7301</v>
      </c>
      <c r="CQ5" s="72">
        <f t="shared" ref="CQ5:CZ5" si="8">CP5*(1+CQ10)</f>
        <v>7483.5249999999996</v>
      </c>
      <c r="CR5" s="72">
        <f t="shared" si="8"/>
        <v>7708.0307499999999</v>
      </c>
      <c r="CS5" s="72">
        <f t="shared" si="8"/>
        <v>8016.3519800000004</v>
      </c>
      <c r="CT5" s="72">
        <f t="shared" si="8"/>
        <v>8296.9242992999989</v>
      </c>
      <c r="CU5" s="72">
        <f t="shared" si="8"/>
        <v>8545.8320282789991</v>
      </c>
      <c r="CV5" s="72">
        <f t="shared" si="8"/>
        <v>8759.4778289859732</v>
      </c>
      <c r="CW5" s="72">
        <f t="shared" si="8"/>
        <v>8956.5660801381582</v>
      </c>
      <c r="CX5" s="72">
        <f t="shared" si="8"/>
        <v>9135.6974017409211</v>
      </c>
      <c r="CY5" s="72">
        <f t="shared" si="8"/>
        <v>9295.5721062713874</v>
      </c>
      <c r="CZ5" s="72">
        <f t="shared" si="8"/>
        <v>9435.0056878654577</v>
      </c>
    </row>
    <row r="6" spans="2:157">
      <c r="B6" s="36" t="s">
        <v>1459</v>
      </c>
      <c r="AU6" s="1">
        <v>2050</v>
      </c>
      <c r="AV6" s="1">
        <v>2059</v>
      </c>
      <c r="AW6" s="1">
        <v>1970</v>
      </c>
      <c r="AX6" s="1">
        <f>8850-SUM(AU6:AW6)</f>
        <v>2771</v>
      </c>
      <c r="AY6" s="1">
        <v>3801</v>
      </c>
      <c r="AZ6" s="1">
        <v>3967</v>
      </c>
      <c r="BA6" s="1">
        <v>4094</v>
      </c>
      <c r="BB6" s="1">
        <f>16367-SUM(AY6:BA6)</f>
        <v>4505</v>
      </c>
      <c r="BC6" s="1">
        <v>4306</v>
      </c>
      <c r="BD6" s="1">
        <v>4416</v>
      </c>
      <c r="BE6" s="1">
        <v>4417</v>
      </c>
      <c r="BF6" s="1">
        <f>17614-SUM(BC6:BE6)</f>
        <v>4475</v>
      </c>
      <c r="BG6" s="1">
        <v>4390</v>
      </c>
      <c r="BH6" s="1">
        <v>4378</v>
      </c>
      <c r="BI6" s="1">
        <v>4450</v>
      </c>
      <c r="BJ6" s="1">
        <f>17845-SUM(BG6:BI6)</f>
        <v>4627</v>
      </c>
      <c r="BK6" s="1">
        <v>4384</v>
      </c>
      <c r="BL6" s="1">
        <v>4605</v>
      </c>
      <c r="BM6" s="1">
        <v>4633</v>
      </c>
      <c r="BN6" s="1">
        <f>18592-SUM(BK6:BM6)</f>
        <v>4970</v>
      </c>
      <c r="BO6" s="1">
        <v>4728</v>
      </c>
      <c r="BP6" s="1">
        <v>5171</v>
      </c>
      <c r="BQ6" s="1">
        <v>5165</v>
      </c>
      <c r="BR6" s="1"/>
      <c r="CL6" s="1">
        <f t="shared" si="3"/>
        <v>8850</v>
      </c>
      <c r="CM6" s="1">
        <f t="shared" si="4"/>
        <v>16367</v>
      </c>
      <c r="CN6" s="1">
        <f t="shared" si="5"/>
        <v>17614</v>
      </c>
      <c r="CO6" s="1">
        <f t="shared" si="6"/>
        <v>17845</v>
      </c>
      <c r="CP6" s="1">
        <f t="shared" si="7"/>
        <v>18592</v>
      </c>
      <c r="CQ6" s="72">
        <f t="shared" ref="CQ6:CZ6" si="9">CP6*(1+CQ11)</f>
        <v>20404.719999999998</v>
      </c>
      <c r="CR6" s="72">
        <f t="shared" si="9"/>
        <v>22853.286400000001</v>
      </c>
      <c r="CS6" s="72">
        <f t="shared" si="9"/>
        <v>25824.213631999999</v>
      </c>
      <c r="CT6" s="72">
        <f t="shared" si="9"/>
        <v>28664.877131520003</v>
      </c>
      <c r="CU6" s="72">
        <f t="shared" si="9"/>
        <v>31531.364844672007</v>
      </c>
      <c r="CV6" s="72">
        <f t="shared" si="9"/>
        <v>34369.187680692492</v>
      </c>
      <c r="CW6" s="72">
        <f t="shared" si="9"/>
        <v>37118.722695147895</v>
      </c>
      <c r="CX6" s="72">
        <f t="shared" si="9"/>
        <v>39717.033283808247</v>
      </c>
      <c r="CY6" s="72">
        <f t="shared" si="9"/>
        <v>42100.055280836743</v>
      </c>
      <c r="CZ6" s="72">
        <f t="shared" si="9"/>
        <v>44415.558321282762</v>
      </c>
    </row>
    <row r="7" spans="2:157" s="2" customFormat="1" ht="15">
      <c r="B7" s="33" t="s">
        <v>1500</v>
      </c>
      <c r="AU7" s="2">
        <f t="shared" ref="AU7:BP7" si="10">SUM(AU4:AU6)</f>
        <v>9906</v>
      </c>
      <c r="AV7" s="2">
        <f t="shared" si="10"/>
        <v>9273</v>
      </c>
      <c r="AW7" s="2">
        <f t="shared" si="10"/>
        <v>9330</v>
      </c>
      <c r="AX7" s="2">
        <f t="shared" si="10"/>
        <v>10702</v>
      </c>
      <c r="AY7" s="2">
        <f t="shared" si="10"/>
        <v>11818</v>
      </c>
      <c r="AZ7" s="2">
        <f t="shared" si="10"/>
        <v>10970</v>
      </c>
      <c r="BA7" s="2">
        <f t="shared" si="10"/>
        <v>10677</v>
      </c>
      <c r="BB7" s="2">
        <f t="shared" si="10"/>
        <v>11450</v>
      </c>
      <c r="BC7" s="2">
        <f t="shared" si="10"/>
        <v>10710</v>
      </c>
      <c r="BD7" s="2">
        <f t="shared" si="10"/>
        <v>10687</v>
      </c>
      <c r="BE7" s="2">
        <f t="shared" si="10"/>
        <v>10574</v>
      </c>
      <c r="BF7" s="2">
        <f t="shared" si="10"/>
        <v>10886</v>
      </c>
      <c r="BG7" s="2">
        <f t="shared" si="10"/>
        <v>10345</v>
      </c>
      <c r="BH7" s="2">
        <f t="shared" si="10"/>
        <v>10541</v>
      </c>
      <c r="BI7" s="2">
        <f t="shared" si="10"/>
        <v>10598</v>
      </c>
      <c r="BJ7" s="2">
        <f t="shared" si="10"/>
        <v>11394</v>
      </c>
      <c r="BK7" s="2">
        <f t="shared" si="10"/>
        <v>10364</v>
      </c>
      <c r="BL7" s="2">
        <f t="shared" si="10"/>
        <v>10855</v>
      </c>
      <c r="BM7" s="2">
        <f t="shared" si="10"/>
        <v>11123</v>
      </c>
      <c r="BN7" s="2">
        <f t="shared" si="10"/>
        <v>12215</v>
      </c>
      <c r="BO7" s="2">
        <f t="shared" si="10"/>
        <v>11005</v>
      </c>
      <c r="BP7" s="2">
        <f t="shared" si="10"/>
        <v>11994</v>
      </c>
      <c r="BQ7" s="2">
        <f t="shared" ref="BQ7" si="11">SUM(BQ4:BQ6)</f>
        <v>12137</v>
      </c>
      <c r="BR7" s="34"/>
      <c r="CL7" s="2">
        <f t="shared" si="3"/>
        <v>39211</v>
      </c>
      <c r="CM7" s="2">
        <f t="shared" si="4"/>
        <v>44915</v>
      </c>
      <c r="CN7" s="2">
        <f t="shared" si="5"/>
        <v>42857</v>
      </c>
      <c r="CO7" s="2">
        <f t="shared" si="6"/>
        <v>42878</v>
      </c>
      <c r="CP7" s="2">
        <f t="shared" si="7"/>
        <v>44557</v>
      </c>
      <c r="CQ7" s="93">
        <f t="shared" ref="CQ7:CZ7" si="12">SUM(CQ4:CQ6)</f>
        <v>48278.664999999994</v>
      </c>
      <c r="CR7" s="93">
        <f t="shared" si="12"/>
        <v>52888.827050000007</v>
      </c>
      <c r="CS7" s="93">
        <f t="shared" si="12"/>
        <v>58222.206422800002</v>
      </c>
      <c r="CT7" s="93">
        <f t="shared" si="12"/>
        <v>63415.881710538</v>
      </c>
      <c r="CU7" s="93">
        <f t="shared" si="12"/>
        <v>68647.603575046451</v>
      </c>
      <c r="CV7" s="93">
        <f t="shared" si="12"/>
        <v>73841.852714431065</v>
      </c>
      <c r="CW7" s="93">
        <f t="shared" si="12"/>
        <v>78784.833148347578</v>
      </c>
      <c r="CX7" s="93">
        <f t="shared" si="12"/>
        <v>83524.847720994381</v>
      </c>
      <c r="CY7" s="93">
        <f t="shared" si="12"/>
        <v>87974.71085950284</v>
      </c>
      <c r="CZ7" s="93">
        <f t="shared" si="12"/>
        <v>92258.601655162667</v>
      </c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</row>
    <row r="8" spans="2:157">
      <c r="B8" s="36"/>
      <c r="CQ8" s="35"/>
    </row>
    <row r="9" spans="2:157">
      <c r="B9" s="36" t="s">
        <v>1460</v>
      </c>
      <c r="AU9" s="88"/>
      <c r="AV9" s="88"/>
      <c r="AW9" s="88"/>
      <c r="AX9" s="88" t="e">
        <f t="shared" ref="AX9:BG12" si="13">AX4/AT4-1</f>
        <v>#DIV/0!</v>
      </c>
      <c r="AY9" s="88">
        <f t="shared" si="13"/>
        <v>2.4480214621059648E-2</v>
      </c>
      <c r="AZ9" s="88">
        <f t="shared" si="13"/>
        <v>-7.0551005212211471E-2</v>
      </c>
      <c r="BA9" s="88">
        <f t="shared" si="13"/>
        <v>-0.16107503607503604</v>
      </c>
      <c r="BB9" s="88">
        <f t="shared" si="13"/>
        <v>-0.14979050279329609</v>
      </c>
      <c r="BC9" s="88">
        <f t="shared" si="13"/>
        <v>-0.26252045826513914</v>
      </c>
      <c r="BD9" s="88">
        <f t="shared" si="13"/>
        <v>-0.11215701982775883</v>
      </c>
      <c r="BE9" s="88">
        <f t="shared" si="13"/>
        <v>-7.7832724145345034E-2</v>
      </c>
      <c r="BF9" s="88">
        <f t="shared" si="13"/>
        <v>-0.10287474332648872</v>
      </c>
      <c r="BG9" s="88">
        <f t="shared" si="13"/>
        <v>-3.9502885042166036E-2</v>
      </c>
      <c r="BH9" s="88">
        <f t="shared" ref="BH9:BQ12" si="14">BH4/BD4-1</f>
        <v>-1.5790660951951252E-2</v>
      </c>
      <c r="BI9" s="88">
        <f t="shared" si="14"/>
        <v>2.0983912333877308E-2</v>
      </c>
      <c r="BJ9" s="88">
        <f t="shared" si="14"/>
        <v>3.3875028610666158E-2</v>
      </c>
      <c r="BK9" s="88">
        <f t="shared" si="14"/>
        <v>6.0073937153419799E-3</v>
      </c>
      <c r="BL9" s="88">
        <f t="shared" si="14"/>
        <v>5.569562227824898E-2</v>
      </c>
      <c r="BM9" s="88">
        <f t="shared" si="14"/>
        <v>6.8508791961635174E-2</v>
      </c>
      <c r="BN9" s="88">
        <f t="shared" si="14"/>
        <v>0.112464024795218</v>
      </c>
      <c r="BO9" s="88">
        <f t="shared" si="14"/>
        <v>8.4519981626090868E-2</v>
      </c>
      <c r="BP9" s="88">
        <f t="shared" si="14"/>
        <v>0.10138949196699953</v>
      </c>
      <c r="BQ9" s="88">
        <f t="shared" si="14"/>
        <v>9.6815558880102515E-2</v>
      </c>
      <c r="BR9" s="50"/>
      <c r="CL9" s="88"/>
      <c r="CM9" s="88">
        <f t="shared" ref="CM9:CP12" si="15">CM4/CL4-1</f>
        <v>-8.7756546355272524E-2</v>
      </c>
      <c r="CN9" s="88">
        <f t="shared" si="15"/>
        <v>-0.14677075252133431</v>
      </c>
      <c r="CO9" s="88">
        <f t="shared" si="15"/>
        <v>-5.6827868386655211E-4</v>
      </c>
      <c r="CP9" s="88">
        <f t="shared" si="15"/>
        <v>6.1238414738158831E-2</v>
      </c>
      <c r="CQ9" s="95">
        <v>9.2499999999999999E-2</v>
      </c>
      <c r="CR9" s="95">
        <v>9.5000000000000001E-2</v>
      </c>
      <c r="CS9" s="95">
        <v>9.1999999999999998E-2</v>
      </c>
      <c r="CT9" s="95">
        <v>8.5000000000000006E-2</v>
      </c>
      <c r="CU9" s="95">
        <v>0.08</v>
      </c>
      <c r="CV9" s="95">
        <v>7.4999999999999997E-2</v>
      </c>
      <c r="CW9" s="95">
        <v>6.5000000000000002E-2</v>
      </c>
      <c r="CX9" s="95">
        <v>0.06</v>
      </c>
      <c r="CY9" s="95">
        <v>5.5E-2</v>
      </c>
      <c r="CZ9" s="95">
        <v>0.05</v>
      </c>
    </row>
    <row r="10" spans="2:157">
      <c r="B10" s="36" t="s">
        <v>1461</v>
      </c>
      <c r="AU10" s="88"/>
      <c r="AV10" s="88"/>
      <c r="AW10" s="88"/>
      <c r="AX10" s="88" t="e">
        <f t="shared" si="13"/>
        <v>#DIV/0!</v>
      </c>
      <c r="AY10" s="88">
        <f t="shared" si="13"/>
        <v>7.9281183932347066E-3</v>
      </c>
      <c r="AZ10" s="88">
        <f t="shared" si="13"/>
        <v>9.1205211726384405E-2</v>
      </c>
      <c r="BA10" s="88">
        <f t="shared" si="13"/>
        <v>6.3876651982378796E-2</v>
      </c>
      <c r="BB10" s="88">
        <f t="shared" si="13"/>
        <v>-5.8102587380844284E-2</v>
      </c>
      <c r="BC10" s="88">
        <f t="shared" si="13"/>
        <v>-4.7194546407970384E-3</v>
      </c>
      <c r="BD10" s="88">
        <f t="shared" si="13"/>
        <v>-8.5572139303482619E-2</v>
      </c>
      <c r="BE10" s="88">
        <f t="shared" si="13"/>
        <v>-3.3126293995859202E-2</v>
      </c>
      <c r="BF10" s="88">
        <f t="shared" si="13"/>
        <v>-1.5903614457831283E-2</v>
      </c>
      <c r="BG10" s="88">
        <f t="shared" si="13"/>
        <v>-0.14278187565858802</v>
      </c>
      <c r="BH10" s="88">
        <f t="shared" si="14"/>
        <v>-2.0674646354733373E-2</v>
      </c>
      <c r="BI10" s="88">
        <f t="shared" si="14"/>
        <v>-5.299785867237683E-2</v>
      </c>
      <c r="BJ10" s="88">
        <f t="shared" si="14"/>
        <v>0.10186092066601371</v>
      </c>
      <c r="BK10" s="88">
        <f t="shared" si="14"/>
        <v>-6.1462814996926518E-4</v>
      </c>
      <c r="BL10" s="88">
        <f t="shared" si="14"/>
        <v>-8.666666666666667E-2</v>
      </c>
      <c r="BM10" s="88">
        <f t="shared" si="14"/>
        <v>2.3742227247032233E-2</v>
      </c>
      <c r="BN10" s="88">
        <f t="shared" si="14"/>
        <v>-1.3333333333333308E-2</v>
      </c>
      <c r="BO10" s="88">
        <f t="shared" si="14"/>
        <v>-4.3665436654366507E-2</v>
      </c>
      <c r="BP10" s="88">
        <f t="shared" si="14"/>
        <v>6.4476885644768833E-2</v>
      </c>
      <c r="BQ10" s="88">
        <f t="shared" si="14"/>
        <v>1.6013252346769757E-2</v>
      </c>
      <c r="BR10" s="50"/>
      <c r="CL10" s="88"/>
      <c r="CM10" s="88">
        <f t="shared" si="15"/>
        <v>2.2055978330968617E-2</v>
      </c>
      <c r="CN10" s="88">
        <f t="shared" si="15"/>
        <v>-3.5083291267036798E-2</v>
      </c>
      <c r="CO10" s="88">
        <f t="shared" si="15"/>
        <v>-2.6157467957101721E-2</v>
      </c>
      <c r="CP10" s="88">
        <f t="shared" si="15"/>
        <v>-1.9473542841794256E-2</v>
      </c>
      <c r="CQ10" s="95">
        <v>2.5000000000000001E-2</v>
      </c>
      <c r="CR10" s="95">
        <v>0.03</v>
      </c>
      <c r="CS10" s="95">
        <v>0.04</v>
      </c>
      <c r="CT10" s="95">
        <v>3.5000000000000003E-2</v>
      </c>
      <c r="CU10" s="95">
        <v>0.03</v>
      </c>
      <c r="CV10" s="95">
        <v>2.5000000000000001E-2</v>
      </c>
      <c r="CW10" s="95">
        <v>2.2499999999999999E-2</v>
      </c>
      <c r="CX10" s="95">
        <v>0.02</v>
      </c>
      <c r="CY10" s="95">
        <v>1.7500000000000002E-2</v>
      </c>
      <c r="CZ10" s="95">
        <v>1.4999999999999999E-2</v>
      </c>
    </row>
    <row r="11" spans="2:157">
      <c r="B11" s="36" t="s">
        <v>1462</v>
      </c>
      <c r="AU11" s="88"/>
      <c r="AV11" s="88"/>
      <c r="AW11" s="88"/>
      <c r="AX11" s="88" t="e">
        <f t="shared" si="13"/>
        <v>#DIV/0!</v>
      </c>
      <c r="AY11" s="88">
        <f t="shared" si="13"/>
        <v>0.85414634146341473</v>
      </c>
      <c r="AZ11" s="88">
        <f t="shared" si="13"/>
        <v>0.92666342884895569</v>
      </c>
      <c r="BA11" s="88">
        <f t="shared" si="13"/>
        <v>1.0781725888324871</v>
      </c>
      <c r="BB11" s="88">
        <f t="shared" si="13"/>
        <v>0.62576687116564411</v>
      </c>
      <c r="BC11" s="88">
        <f t="shared" si="13"/>
        <v>0.13285977374375157</v>
      </c>
      <c r="BD11" s="88">
        <f t="shared" si="13"/>
        <v>0.11318376607007807</v>
      </c>
      <c r="BE11" s="88">
        <f t="shared" si="13"/>
        <v>7.889594528578403E-2</v>
      </c>
      <c r="BF11" s="88">
        <f t="shared" si="13"/>
        <v>-6.6592674805771024E-3</v>
      </c>
      <c r="BG11" s="88">
        <f t="shared" si="13"/>
        <v>1.9507663725034874E-2</v>
      </c>
      <c r="BH11" s="88">
        <f t="shared" si="14"/>
        <v>-8.6050724637680709E-3</v>
      </c>
      <c r="BI11" s="88">
        <f t="shared" si="14"/>
        <v>7.4711342540185743E-3</v>
      </c>
      <c r="BJ11" s="88">
        <f t="shared" si="14"/>
        <v>3.3966480446927294E-2</v>
      </c>
      <c r="BK11" s="88">
        <f t="shared" si="14"/>
        <v>-1.3667425968109104E-3</v>
      </c>
      <c r="BL11" s="88">
        <f t="shared" si="14"/>
        <v>5.1850159890360903E-2</v>
      </c>
      <c r="BM11" s="88">
        <f t="shared" si="14"/>
        <v>4.1123595505617949E-2</v>
      </c>
      <c r="BN11" s="88">
        <f t="shared" si="14"/>
        <v>7.4130105900151344E-2</v>
      </c>
      <c r="BO11" s="88">
        <f t="shared" si="14"/>
        <v>7.8467153284671465E-2</v>
      </c>
      <c r="BP11" s="88">
        <f t="shared" si="14"/>
        <v>0.12290988056460361</v>
      </c>
      <c r="BQ11" s="88">
        <f t="shared" si="14"/>
        <v>0.11482840492121738</v>
      </c>
      <c r="BR11" s="50"/>
      <c r="CL11" s="88"/>
      <c r="CM11" s="88">
        <f t="shared" si="15"/>
        <v>0.8493785310734463</v>
      </c>
      <c r="CN11" s="88">
        <f t="shared" si="15"/>
        <v>7.6189894299505179E-2</v>
      </c>
      <c r="CO11" s="88">
        <f t="shared" si="15"/>
        <v>1.3114567957306589E-2</v>
      </c>
      <c r="CP11" s="88">
        <f t="shared" si="15"/>
        <v>4.1860465116279055E-2</v>
      </c>
      <c r="CQ11" s="95">
        <v>9.7500000000000003E-2</v>
      </c>
      <c r="CR11" s="95">
        <v>0.12</v>
      </c>
      <c r="CS11" s="95">
        <v>0.13</v>
      </c>
      <c r="CT11" s="95">
        <v>0.11</v>
      </c>
      <c r="CU11" s="95">
        <v>0.1</v>
      </c>
      <c r="CV11" s="95">
        <v>0.09</v>
      </c>
      <c r="CW11" s="95">
        <v>0.08</v>
      </c>
      <c r="CX11" s="95">
        <v>7.0000000000000007E-2</v>
      </c>
      <c r="CY11" s="95">
        <v>0.06</v>
      </c>
      <c r="CZ11" s="95">
        <v>5.5E-2</v>
      </c>
    </row>
    <row r="12" spans="2:157" s="2" customFormat="1" ht="15">
      <c r="B12" s="33" t="s">
        <v>1393</v>
      </c>
      <c r="AU12" s="88"/>
      <c r="AV12" s="88"/>
      <c r="AW12" s="88"/>
      <c r="AX12" s="88" t="e">
        <f t="shared" si="13"/>
        <v>#DIV/0!</v>
      </c>
      <c r="AY12" s="88">
        <f t="shared" si="13"/>
        <v>0.19301433474661822</v>
      </c>
      <c r="AZ12" s="88">
        <f t="shared" si="13"/>
        <v>0.18300442143858509</v>
      </c>
      <c r="BA12" s="88">
        <f t="shared" si="13"/>
        <v>0.14437299035369766</v>
      </c>
      <c r="BB12" s="88">
        <f t="shared" si="13"/>
        <v>6.9893477854606534E-2</v>
      </c>
      <c r="BC12" s="88">
        <f t="shared" si="13"/>
        <v>-9.3755288542900606E-2</v>
      </c>
      <c r="BD12" s="88">
        <f t="shared" si="13"/>
        <v>-2.579762989972656E-2</v>
      </c>
      <c r="BE12" s="88">
        <f t="shared" si="13"/>
        <v>-9.6469045612063153E-3</v>
      </c>
      <c r="BF12" s="88">
        <f t="shared" si="13"/>
        <v>-4.9257641921397366E-2</v>
      </c>
      <c r="BG12" s="88">
        <f t="shared" si="13"/>
        <v>-3.4080298786181129E-2</v>
      </c>
      <c r="BH12" s="88">
        <f t="shared" si="14"/>
        <v>-1.3661457845981051E-2</v>
      </c>
      <c r="BI12" s="88">
        <f t="shared" si="14"/>
        <v>2.269718176659774E-3</v>
      </c>
      <c r="BJ12" s="88">
        <f t="shared" si="14"/>
        <v>4.6665441851919898E-2</v>
      </c>
      <c r="BK12" s="88">
        <f t="shared" si="14"/>
        <v>1.8366360560657657E-3</v>
      </c>
      <c r="BL12" s="88">
        <f t="shared" si="14"/>
        <v>2.9788445119058871E-2</v>
      </c>
      <c r="BM12" s="88">
        <f t="shared" si="14"/>
        <v>4.9537648612945739E-2</v>
      </c>
      <c r="BN12" s="88">
        <f t="shared" si="14"/>
        <v>7.2055467790064887E-2</v>
      </c>
      <c r="BO12" s="88">
        <f t="shared" si="14"/>
        <v>6.1848707062910124E-2</v>
      </c>
      <c r="BP12" s="88">
        <f t="shared" si="14"/>
        <v>0.10492860432980189</v>
      </c>
      <c r="BQ12" s="88">
        <f t="shared" si="14"/>
        <v>9.1162456171896E-2</v>
      </c>
      <c r="BR12" s="51"/>
      <c r="CL12" s="92"/>
      <c r="CM12" s="92">
        <f t="shared" si="15"/>
        <v>0.14546938359133921</v>
      </c>
      <c r="CN12" s="92">
        <f t="shared" si="15"/>
        <v>-4.5819881999332068E-2</v>
      </c>
      <c r="CO12" s="92">
        <f t="shared" si="15"/>
        <v>4.9000163333867697E-4</v>
      </c>
      <c r="CP12" s="92">
        <f t="shared" si="15"/>
        <v>3.9157609963151208E-2</v>
      </c>
      <c r="CQ12" s="96">
        <f t="shared" ref="CQ12:CZ12" si="16">CQ7/CP7-1</f>
        <v>8.3525933074488634E-2</v>
      </c>
      <c r="CR12" s="96">
        <f t="shared" si="16"/>
        <v>9.5490669636370651E-2</v>
      </c>
      <c r="CS12" s="96">
        <f t="shared" si="16"/>
        <v>0.10084132453453587</v>
      </c>
      <c r="CT12" s="96">
        <f t="shared" si="16"/>
        <v>8.9204370751984063E-2</v>
      </c>
      <c r="CU12" s="96">
        <f t="shared" si="16"/>
        <v>8.2498606396244067E-2</v>
      </c>
      <c r="CV12" s="96">
        <f t="shared" si="16"/>
        <v>7.5665411010395811E-2</v>
      </c>
      <c r="CW12" s="96">
        <f t="shared" si="16"/>
        <v>6.694009226762665E-2</v>
      </c>
      <c r="CX12" s="96">
        <f t="shared" si="16"/>
        <v>6.0164049135213782E-2</v>
      </c>
      <c r="CY12" s="96">
        <f t="shared" si="16"/>
        <v>5.3275920398834442E-2</v>
      </c>
      <c r="CZ12" s="96">
        <f t="shared" si="16"/>
        <v>4.8694570903464296E-2</v>
      </c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</row>
    <row r="13" spans="2:157"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CL13" s="88"/>
      <c r="CM13" s="88"/>
      <c r="CN13" s="88"/>
      <c r="CO13" s="88"/>
      <c r="CP13" s="88"/>
      <c r="CQ13" s="35"/>
    </row>
    <row r="14" spans="2:157">
      <c r="B14" s="36" t="s">
        <v>1463</v>
      </c>
      <c r="AU14" s="88">
        <f t="shared" ref="AU14:BM14" si="17">AU4/AU7</f>
        <v>0.60205935796486976</v>
      </c>
      <c r="AV14" s="88">
        <f t="shared" si="17"/>
        <v>0.57931629461878575</v>
      </c>
      <c r="AW14" s="88">
        <f t="shared" si="17"/>
        <v>0.59421221864951768</v>
      </c>
      <c r="AX14" s="88">
        <f>AX4/AX7</f>
        <v>0.53522706036254908</v>
      </c>
      <c r="AY14" s="88">
        <f t="shared" si="17"/>
        <v>0.51700795396852262</v>
      </c>
      <c r="AZ14" s="88">
        <f t="shared" si="17"/>
        <v>0.45515041020966274</v>
      </c>
      <c r="BA14" s="88">
        <f t="shared" si="17"/>
        <v>0.43560925353563734</v>
      </c>
      <c r="BB14" s="88">
        <f>BB4/BB7</f>
        <v>0.42532751091703058</v>
      </c>
      <c r="BC14" s="88">
        <f t="shared" si="17"/>
        <v>0.42072829131652661</v>
      </c>
      <c r="BD14" s="88">
        <f t="shared" si="17"/>
        <v>0.41480303172078226</v>
      </c>
      <c r="BE14" s="88">
        <f t="shared" si="17"/>
        <v>0.40561755248723286</v>
      </c>
      <c r="BF14" s="88">
        <f>BF4/BF7</f>
        <v>0.40134117214771264</v>
      </c>
      <c r="BG14" s="88">
        <f t="shared" si="17"/>
        <v>0.41836636056065735</v>
      </c>
      <c r="BH14" s="88">
        <f t="shared" si="17"/>
        <v>0.41390759889953516</v>
      </c>
      <c r="BI14" s="88">
        <f t="shared" si="17"/>
        <v>0.41319116814493301</v>
      </c>
      <c r="BJ14" s="88">
        <f>BJ4/BJ7</f>
        <v>0.39643672108127087</v>
      </c>
      <c r="BK14" s="88">
        <f t="shared" si="17"/>
        <v>0.42010806638363568</v>
      </c>
      <c r="BL14" s="88">
        <f t="shared" si="17"/>
        <v>0.42432058959005065</v>
      </c>
      <c r="BM14" s="88">
        <f t="shared" si="17"/>
        <v>0.42065989391351255</v>
      </c>
      <c r="BN14" s="88">
        <f>BN4/BN7</f>
        <v>0.41137945149406469</v>
      </c>
      <c r="BO14" s="88">
        <f>BO4/BO7</f>
        <v>0.42907769195820084</v>
      </c>
      <c r="BP14" s="88">
        <f>BP4/BP7</f>
        <v>0.42296148074037021</v>
      </c>
      <c r="BQ14" s="88">
        <f>BQ4/BQ7</f>
        <v>0.42283925187443355</v>
      </c>
      <c r="CL14" s="88">
        <f t="shared" ref="CL14:CP14" si="18">CL4/CL7</f>
        <v>0.57657290046160514</v>
      </c>
      <c r="CM14" s="88">
        <f t="shared" si="18"/>
        <v>0.45917844817989534</v>
      </c>
      <c r="CN14" s="88">
        <f t="shared" si="18"/>
        <v>0.41059803532678441</v>
      </c>
      <c r="CO14" s="88">
        <f t="shared" si="18"/>
        <v>0.41016372032277626</v>
      </c>
      <c r="CP14" s="88">
        <f t="shared" si="18"/>
        <v>0.41887918845523714</v>
      </c>
      <c r="CQ14" s="35"/>
    </row>
    <row r="15" spans="2:157">
      <c r="B15" s="36" t="s">
        <v>1464</v>
      </c>
      <c r="AU15" s="88">
        <f t="shared" ref="AU15:BM15" si="19">AU5/AU7</f>
        <v>0.19099535634968706</v>
      </c>
      <c r="AV15" s="88">
        <f t="shared" si="19"/>
        <v>0.19864121643481075</v>
      </c>
      <c r="AW15" s="88">
        <f t="shared" si="19"/>
        <v>0.19464094319399786</v>
      </c>
      <c r="AX15" s="88">
        <f>AX5/AX7</f>
        <v>0.20584937394879463</v>
      </c>
      <c r="AY15" s="88">
        <f t="shared" si="19"/>
        <v>0.16136402098493824</v>
      </c>
      <c r="AZ15" s="88">
        <f t="shared" si="19"/>
        <v>0.18322698268003645</v>
      </c>
      <c r="BA15" s="88">
        <f t="shared" si="19"/>
        <v>0.18094970497330712</v>
      </c>
      <c r="BB15" s="88">
        <f>BB5/BB7</f>
        <v>0.18122270742358079</v>
      </c>
      <c r="BC15" s="88">
        <f t="shared" si="19"/>
        <v>0.17721755368814193</v>
      </c>
      <c r="BD15" s="88">
        <f t="shared" si="19"/>
        <v>0.17198465425283055</v>
      </c>
      <c r="BE15" s="88">
        <f t="shared" si="19"/>
        <v>0.17665973141668243</v>
      </c>
      <c r="BF15" s="88">
        <f>BF5/BF7</f>
        <v>0.18758037846775674</v>
      </c>
      <c r="BG15" s="88">
        <f t="shared" si="19"/>
        <v>0.15727404543257612</v>
      </c>
      <c r="BH15" s="88">
        <f t="shared" si="19"/>
        <v>0.17076178730670713</v>
      </c>
      <c r="BI15" s="88">
        <f t="shared" si="19"/>
        <v>0.16691828646914511</v>
      </c>
      <c r="BJ15" s="88">
        <f>BJ5/BJ7</f>
        <v>0.19747235387045814</v>
      </c>
      <c r="BK15" s="88">
        <f t="shared" si="19"/>
        <v>0.15688923195677346</v>
      </c>
      <c r="BL15" s="88">
        <f t="shared" si="19"/>
        <v>0.15145094426531552</v>
      </c>
      <c r="BM15" s="88">
        <f t="shared" si="19"/>
        <v>0.16281578710779465</v>
      </c>
      <c r="BN15" s="88">
        <f>BN5/BN7</f>
        <v>0.18174375767498976</v>
      </c>
      <c r="BO15" s="88">
        <f>BO5/BO7</f>
        <v>0.14129940935938209</v>
      </c>
      <c r="BP15" s="88">
        <f>BP5/BP7</f>
        <v>0.14590628647657161</v>
      </c>
      <c r="BQ15" s="88">
        <f>BQ5/BQ7</f>
        <v>0.15160253769465271</v>
      </c>
      <c r="CL15" s="88">
        <f t="shared" ref="CL15:CP15" si="20">CL5/CL7</f>
        <v>0.19772512815281426</v>
      </c>
      <c r="CM15" s="88">
        <f t="shared" si="20"/>
        <v>0.1764221306913058</v>
      </c>
      <c r="CN15" s="88">
        <f t="shared" si="20"/>
        <v>0.17840726135753787</v>
      </c>
      <c r="CO15" s="88">
        <f t="shared" si="20"/>
        <v>0.17365548766267083</v>
      </c>
      <c r="CP15" s="88">
        <f t="shared" si="20"/>
        <v>0.16385753080324078</v>
      </c>
      <c r="CQ15" s="35"/>
    </row>
    <row r="16" spans="2:157">
      <c r="B16" s="36" t="s">
        <v>1465</v>
      </c>
      <c r="AU16" s="88">
        <f t="shared" ref="AU16:BM16" si="21">AU6/AU7</f>
        <v>0.20694528568544315</v>
      </c>
      <c r="AV16" s="88">
        <f t="shared" si="21"/>
        <v>0.22204248894640355</v>
      </c>
      <c r="AW16" s="88">
        <f t="shared" si="21"/>
        <v>0.21114683815648447</v>
      </c>
      <c r="AX16" s="88">
        <f>AX6/AX7</f>
        <v>0.25892356568865632</v>
      </c>
      <c r="AY16" s="88">
        <f t="shared" si="21"/>
        <v>0.3216280250465392</v>
      </c>
      <c r="AZ16" s="88">
        <f t="shared" si="21"/>
        <v>0.36162260711030081</v>
      </c>
      <c r="BA16" s="88">
        <f t="shared" si="21"/>
        <v>0.38344104149105557</v>
      </c>
      <c r="BB16" s="88">
        <f>BB6/BB7</f>
        <v>0.39344978165938865</v>
      </c>
      <c r="BC16" s="88">
        <f t="shared" si="21"/>
        <v>0.40205415499533148</v>
      </c>
      <c r="BD16" s="88">
        <f t="shared" si="21"/>
        <v>0.4132123140263872</v>
      </c>
      <c r="BE16" s="88">
        <f t="shared" si="21"/>
        <v>0.41772271609608475</v>
      </c>
      <c r="BF16" s="88">
        <f>BF6/BF7</f>
        <v>0.41107844938453059</v>
      </c>
      <c r="BG16" s="88">
        <f t="shared" si="21"/>
        <v>0.42435959400676654</v>
      </c>
      <c r="BH16" s="88">
        <f t="shared" si="21"/>
        <v>0.41533061379375769</v>
      </c>
      <c r="BI16" s="88">
        <f t="shared" si="21"/>
        <v>0.41989054538592185</v>
      </c>
      <c r="BJ16" s="88">
        <f>BJ6/BJ7</f>
        <v>0.40609092504827105</v>
      </c>
      <c r="BK16" s="88">
        <f t="shared" si="21"/>
        <v>0.42300270165959092</v>
      </c>
      <c r="BL16" s="88">
        <f t="shared" si="21"/>
        <v>0.42422846614463383</v>
      </c>
      <c r="BM16" s="88">
        <f t="shared" si="21"/>
        <v>0.4165243189786928</v>
      </c>
      <c r="BN16" s="88">
        <f>BN6/BN7</f>
        <v>0.40687679083094558</v>
      </c>
      <c r="BO16" s="88">
        <f t="shared" ref="BO16:BP16" si="22">BO6/BO7</f>
        <v>0.4296228986824171</v>
      </c>
      <c r="BP16" s="88">
        <f t="shared" si="22"/>
        <v>0.43113223278305818</v>
      </c>
      <c r="BQ16" s="88">
        <f t="shared" ref="BQ16" si="23">BQ6/BQ7</f>
        <v>0.42555821043091374</v>
      </c>
      <c r="CL16" s="88">
        <f t="shared" ref="CL16:CP16" si="24">CL6/CL7</f>
        <v>0.22570197138558057</v>
      </c>
      <c r="CM16" s="88">
        <f t="shared" si="24"/>
        <v>0.36439942112879886</v>
      </c>
      <c r="CN16" s="88">
        <f t="shared" si="24"/>
        <v>0.41099470331567772</v>
      </c>
      <c r="CO16" s="88">
        <f t="shared" si="24"/>
        <v>0.41618079201455294</v>
      </c>
      <c r="CP16" s="88">
        <f t="shared" si="24"/>
        <v>0.41726328074152208</v>
      </c>
      <c r="CQ16" s="35"/>
    </row>
    <row r="17" spans="2:95">
      <c r="CQ17" s="35"/>
    </row>
    <row r="18" spans="2:95">
      <c r="B18" s="85" t="s">
        <v>1470</v>
      </c>
      <c r="AU18" s="1">
        <v>5101</v>
      </c>
      <c r="AV18" s="1">
        <v>4529</v>
      </c>
      <c r="AW18" s="1">
        <v>4662</v>
      </c>
      <c r="AX18" s="1">
        <f>19659-SUM(AU18:AW18)</f>
        <v>5367</v>
      </c>
      <c r="AY18" s="1">
        <v>6323</v>
      </c>
      <c r="AZ18" s="1">
        <v>6032</v>
      </c>
      <c r="BA18" s="1">
        <v>5962</v>
      </c>
      <c r="BB18" s="1">
        <f>24594-SUM(AY18:BA18)</f>
        <v>6277</v>
      </c>
      <c r="BC18" s="1">
        <v>5778</v>
      </c>
      <c r="BD18" s="1">
        <v>5714</v>
      </c>
      <c r="BE18" s="1">
        <v>5668</v>
      </c>
      <c r="BF18" s="1">
        <f>22764-SUM(BC18:BE18)</f>
        <v>5604</v>
      </c>
      <c r="BG18" s="1">
        <v>5519</v>
      </c>
      <c r="BH18" s="1">
        <v>5529</v>
      </c>
      <c r="BI18" s="1">
        <v>5591</v>
      </c>
      <c r="BJ18" s="1">
        <f>22504-SUM(BG18:BI18)</f>
        <v>5865</v>
      </c>
      <c r="BK18" s="1">
        <v>5513</v>
      </c>
      <c r="BL18" s="1">
        <v>5722</v>
      </c>
      <c r="BM18" s="1">
        <v>5689</v>
      </c>
      <c r="BN18" s="1">
        <f>23033-SUM(BK18:BM18)</f>
        <v>6109</v>
      </c>
      <c r="BO18" s="1">
        <v>5705</v>
      </c>
      <c r="BP18" s="1">
        <v>6149</v>
      </c>
      <c r="CL18" s="1">
        <f t="shared" ref="CL18:CL21" si="25">SUM(AU18:AX18)</f>
        <v>19659</v>
      </c>
      <c r="CM18" s="1">
        <f t="shared" ref="CM18:CM21" si="26">SUM(AY18:BB18)</f>
        <v>24594</v>
      </c>
      <c r="CN18" s="1">
        <f t="shared" ref="CN18:CN21" si="27">SUM(BC18:BF18)</f>
        <v>22764</v>
      </c>
      <c r="CO18" s="1">
        <f t="shared" ref="CO18:CO21" si="28">SUM(BG18:BJ18)</f>
        <v>22504</v>
      </c>
      <c r="CP18" s="1">
        <f t="shared" ref="CP18:CP21" si="29">SUM(BK18:BN18)</f>
        <v>23033</v>
      </c>
      <c r="CQ18" s="35"/>
    </row>
    <row r="19" spans="2:95">
      <c r="B19" s="85" t="s">
        <v>1471</v>
      </c>
      <c r="AU19" s="1">
        <v>2785</v>
      </c>
      <c r="AV19" s="1">
        <v>2695</v>
      </c>
      <c r="AW19" s="1">
        <v>2557</v>
      </c>
      <c r="AX19" s="1">
        <f>11134-SUM(AU19:AW19)</f>
        <v>3097</v>
      </c>
      <c r="AY19" s="1">
        <v>3050</v>
      </c>
      <c r="AZ19" s="1">
        <v>2551</v>
      </c>
      <c r="BA19" s="1">
        <v>2406</v>
      </c>
      <c r="BB19" s="1">
        <f>10762-SUM(AY19:BA19)</f>
        <v>2755</v>
      </c>
      <c r="BC19" s="1">
        <v>2601</v>
      </c>
      <c r="BD19" s="1">
        <v>2654</v>
      </c>
      <c r="BE19" s="1">
        <v>2643</v>
      </c>
      <c r="BF19" s="1">
        <f>10741-SUM(BC19:BE19)</f>
        <v>2843</v>
      </c>
      <c r="BG19" s="1">
        <v>2619</v>
      </c>
      <c r="BH19" s="1">
        <v>2663</v>
      </c>
      <c r="BI19" s="1">
        <v>2686</v>
      </c>
      <c r="BJ19" s="1">
        <f>10857-SUM(BG19:BI19)</f>
        <v>2889</v>
      </c>
      <c r="BK19" s="1">
        <v>2624</v>
      </c>
      <c r="BL19" s="1">
        <v>2830</v>
      </c>
      <c r="BM19" s="1">
        <v>3005</v>
      </c>
      <c r="BN19" s="1">
        <f>11826-SUM(BK19:BM19)</f>
        <v>3367</v>
      </c>
      <c r="BO19" s="1">
        <v>2957</v>
      </c>
      <c r="BP19" s="1">
        <v>3311</v>
      </c>
      <c r="CL19" s="1">
        <f t="shared" si="25"/>
        <v>11134</v>
      </c>
      <c r="CM19" s="1">
        <f t="shared" si="26"/>
        <v>10762</v>
      </c>
      <c r="CN19" s="1">
        <f t="shared" si="27"/>
        <v>10741</v>
      </c>
      <c r="CO19" s="1">
        <f t="shared" si="28"/>
        <v>10857</v>
      </c>
      <c r="CP19" s="1">
        <f t="shared" si="29"/>
        <v>11826</v>
      </c>
      <c r="CQ19" s="35"/>
    </row>
    <row r="20" spans="2:95">
      <c r="B20" s="85" t="s">
        <v>1472</v>
      </c>
      <c r="AU20" s="1">
        <v>1709</v>
      </c>
      <c r="AV20" s="1">
        <v>1749</v>
      </c>
      <c r="AW20" s="1">
        <v>1836</v>
      </c>
      <c r="AX20" s="1">
        <f>7218-SUM(AU20:AW20)</f>
        <v>1924</v>
      </c>
      <c r="AY20" s="1">
        <v>2064</v>
      </c>
      <c r="AZ20" s="1">
        <v>2042</v>
      </c>
      <c r="BA20" s="1">
        <v>1971</v>
      </c>
      <c r="BB20" s="1">
        <f>8115-SUM(AY20:BA20)</f>
        <v>2038</v>
      </c>
      <c r="BC20" s="1">
        <v>1986</v>
      </c>
      <c r="BD20" s="1">
        <v>1902</v>
      </c>
      <c r="BE20" s="1">
        <v>1913</v>
      </c>
      <c r="BF20" s="1">
        <f>7873-SUM(BC20:BE20)</f>
        <v>2072</v>
      </c>
      <c r="BG20" s="1">
        <v>1861</v>
      </c>
      <c r="BH20" s="1">
        <v>1971</v>
      </c>
      <c r="BI20" s="1">
        <v>1923</v>
      </c>
      <c r="BJ20" s="1">
        <f>7956-SUM(BG20:BI20)</f>
        <v>2201</v>
      </c>
      <c r="BK20" s="1">
        <v>1891</v>
      </c>
      <c r="BL20" s="1">
        <v>1920</v>
      </c>
      <c r="BM20" s="1">
        <v>2013</v>
      </c>
      <c r="BN20" s="1">
        <f>8101-SUM(BK20:BM20)</f>
        <v>2277</v>
      </c>
      <c r="BO20" s="1">
        <v>1970</v>
      </c>
      <c r="BP20" s="1">
        <v>2104</v>
      </c>
      <c r="CL20" s="1">
        <f t="shared" si="25"/>
        <v>7218</v>
      </c>
      <c r="CM20" s="1">
        <f t="shared" si="26"/>
        <v>8115</v>
      </c>
      <c r="CN20" s="1">
        <f t="shared" si="27"/>
        <v>7873</v>
      </c>
      <c r="CO20" s="1">
        <f t="shared" si="28"/>
        <v>7956</v>
      </c>
      <c r="CP20" s="1">
        <f t="shared" si="29"/>
        <v>8101</v>
      </c>
      <c r="CQ20" s="35"/>
    </row>
    <row r="21" spans="2:95">
      <c r="B21" s="85" t="s">
        <v>1473</v>
      </c>
      <c r="AU21" s="1">
        <v>311</v>
      </c>
      <c r="AV21" s="1">
        <v>300</v>
      </c>
      <c r="AW21" s="1">
        <v>275</v>
      </c>
      <c r="AX21" s="1">
        <f>1200-SUM(AU21:AW21)</f>
        <v>314</v>
      </c>
      <c r="AY21" s="1">
        <v>381</v>
      </c>
      <c r="AZ21" s="1">
        <v>345</v>
      </c>
      <c r="BA21" s="1">
        <v>338</v>
      </c>
      <c r="BB21" s="1">
        <f>1444-SUM(AY21:BA21)</f>
        <v>380</v>
      </c>
      <c r="BC21" s="1">
        <v>345</v>
      </c>
      <c r="BD21" s="1">
        <v>417</v>
      </c>
      <c r="BE21" s="1">
        <v>350</v>
      </c>
      <c r="BF21" s="1">
        <f>1479-SUM(BC21:BE21)</f>
        <v>367</v>
      </c>
      <c r="BG21" s="1">
        <v>346</v>
      </c>
      <c r="BH21" s="1">
        <v>379</v>
      </c>
      <c r="BI21" s="1">
        <v>397</v>
      </c>
      <c r="BJ21" s="1">
        <f>1561-SUM(BG21:BI21)</f>
        <v>439</v>
      </c>
      <c r="BK21" s="1">
        <v>336</v>
      </c>
      <c r="BL21" s="1">
        <v>383</v>
      </c>
      <c r="BM21" s="1">
        <v>415</v>
      </c>
      <c r="BN21" s="1">
        <f>1597-SUM(BK21:BM21)</f>
        <v>463</v>
      </c>
      <c r="BO21" s="1">
        <v>373</v>
      </c>
      <c r="BP21" s="1">
        <v>430</v>
      </c>
      <c r="BQ21" s="1">
        <v>12137</v>
      </c>
      <c r="CL21" s="1">
        <f t="shared" si="25"/>
        <v>1200</v>
      </c>
      <c r="CM21" s="1">
        <f t="shared" si="26"/>
        <v>1444</v>
      </c>
      <c r="CN21" s="1">
        <f t="shared" si="27"/>
        <v>1479</v>
      </c>
      <c r="CO21" s="1">
        <f t="shared" si="28"/>
        <v>1561</v>
      </c>
      <c r="CP21" s="1">
        <f t="shared" si="29"/>
        <v>1597</v>
      </c>
      <c r="CQ21" s="35"/>
    </row>
    <row r="22" spans="2:95">
      <c r="B22" s="1" t="s">
        <v>1500</v>
      </c>
      <c r="AU22" s="1">
        <f t="shared" ref="AU22:BO22" si="30">SUM(AU18:AU21)</f>
        <v>9906</v>
      </c>
      <c r="AV22" s="1">
        <f t="shared" si="30"/>
        <v>9273</v>
      </c>
      <c r="AW22" s="1">
        <f t="shared" si="30"/>
        <v>9330</v>
      </c>
      <c r="AX22" s="1">
        <f t="shared" si="30"/>
        <v>10702</v>
      </c>
      <c r="AY22" s="1">
        <f t="shared" si="30"/>
        <v>11818</v>
      </c>
      <c r="AZ22" s="1">
        <f t="shared" si="30"/>
        <v>10970</v>
      </c>
      <c r="BA22" s="1">
        <f t="shared" si="30"/>
        <v>10677</v>
      </c>
      <c r="BB22" s="1">
        <f t="shared" si="30"/>
        <v>11450</v>
      </c>
      <c r="BC22" s="1">
        <f t="shared" si="30"/>
        <v>10710</v>
      </c>
      <c r="BD22" s="1">
        <f t="shared" si="30"/>
        <v>10687</v>
      </c>
      <c r="BE22" s="1">
        <f t="shared" si="30"/>
        <v>10574</v>
      </c>
      <c r="BF22" s="1">
        <f t="shared" si="30"/>
        <v>10886</v>
      </c>
      <c r="BG22" s="1">
        <f t="shared" si="30"/>
        <v>10345</v>
      </c>
      <c r="BH22" s="1">
        <f t="shared" si="30"/>
        <v>10542</v>
      </c>
      <c r="BI22" s="1">
        <f t="shared" si="30"/>
        <v>10597</v>
      </c>
      <c r="BJ22" s="1">
        <f t="shared" si="30"/>
        <v>11394</v>
      </c>
      <c r="BK22" s="1">
        <f t="shared" si="30"/>
        <v>10364</v>
      </c>
      <c r="BL22" s="1">
        <f t="shared" si="30"/>
        <v>10855</v>
      </c>
      <c r="BM22" s="1">
        <f t="shared" si="30"/>
        <v>11122</v>
      </c>
      <c r="BN22" s="1">
        <f t="shared" si="30"/>
        <v>12216</v>
      </c>
      <c r="BO22" s="1">
        <f t="shared" si="30"/>
        <v>11005</v>
      </c>
      <c r="BP22" s="1">
        <f>SUM(BP18:BP21)</f>
        <v>11994</v>
      </c>
      <c r="BQ22" s="1">
        <f>SUM(BQ18:BQ21)</f>
        <v>12137</v>
      </c>
      <c r="CL22" s="1">
        <f t="shared" ref="CL22" si="31">SUM(AU22:AX22)</f>
        <v>39211</v>
      </c>
      <c r="CM22" s="1">
        <f t="shared" ref="CM22" si="32">SUM(AY22:BB22)</f>
        <v>44915</v>
      </c>
      <c r="CN22" s="1">
        <f t="shared" ref="CN22" si="33">SUM(BC22:BF22)</f>
        <v>42857</v>
      </c>
      <c r="CO22" s="1">
        <f t="shared" ref="CO22" si="34">SUM(BG22:BJ22)</f>
        <v>42878</v>
      </c>
      <c r="CP22" s="1">
        <f t="shared" ref="CP22" si="35">SUM(BK22:BN22)</f>
        <v>44557</v>
      </c>
      <c r="CQ22" s="35"/>
    </row>
    <row r="23" spans="2:95">
      <c r="CQ23" s="35"/>
    </row>
    <row r="24" spans="2:95">
      <c r="B24" s="85" t="s">
        <v>1474</v>
      </c>
      <c r="AU24" s="88"/>
      <c r="AV24" s="88"/>
      <c r="AW24" s="88"/>
      <c r="AX24" s="88"/>
      <c r="AY24" s="88">
        <f t="shared" ref="AY24:BH28" si="36">AY18/AU18-1</f>
        <v>0.23956087041756513</v>
      </c>
      <c r="AZ24" s="88">
        <f t="shared" si="36"/>
        <v>0.33186133804371831</v>
      </c>
      <c r="BA24" s="88">
        <f t="shared" si="36"/>
        <v>0.27885027885027891</v>
      </c>
      <c r="BB24" s="88">
        <f t="shared" si="36"/>
        <v>0.16955468604434509</v>
      </c>
      <c r="BC24" s="88">
        <f t="shared" si="36"/>
        <v>-8.6193262691760197E-2</v>
      </c>
      <c r="BD24" s="88">
        <f t="shared" si="36"/>
        <v>-5.2718832891246681E-2</v>
      </c>
      <c r="BE24" s="88">
        <f t="shared" si="36"/>
        <v>-4.9312311304931189E-2</v>
      </c>
      <c r="BF24" s="88">
        <f t="shared" si="36"/>
        <v>-0.10721682332324356</v>
      </c>
      <c r="BG24" s="88">
        <f t="shared" si="36"/>
        <v>-4.4825199030806506E-2</v>
      </c>
      <c r="BH24" s="88">
        <f t="shared" si="36"/>
        <v>-3.2376618830941561E-2</v>
      </c>
      <c r="BI24" s="88">
        <f t="shared" ref="BI24:BQ28" si="37">BI18/BE18-1</f>
        <v>-1.3585038814396655E-2</v>
      </c>
      <c r="BJ24" s="88">
        <f t="shared" si="37"/>
        <v>4.6573875802997877E-2</v>
      </c>
      <c r="BK24" s="88">
        <f t="shared" si="37"/>
        <v>-1.0871534698314589E-3</v>
      </c>
      <c r="BL24" s="88">
        <f t="shared" si="37"/>
        <v>3.4906854765780482E-2</v>
      </c>
      <c r="BM24" s="88">
        <f t="shared" si="37"/>
        <v>1.7528170273654053E-2</v>
      </c>
      <c r="BN24" s="88">
        <f t="shared" si="37"/>
        <v>4.16027280477409E-2</v>
      </c>
      <c r="BO24" s="88">
        <f t="shared" si="37"/>
        <v>3.4826773081806595E-2</v>
      </c>
      <c r="BP24" s="88">
        <f t="shared" si="37"/>
        <v>7.4624257252708937E-2</v>
      </c>
      <c r="BQ24" s="88">
        <f t="shared" si="37"/>
        <v>-1</v>
      </c>
      <c r="CK24" s="91"/>
      <c r="CL24" s="88"/>
      <c r="CM24" s="88">
        <f t="shared" ref="CM24:CP28" si="38">CM18/CL18-1</f>
        <v>0.25103006256676341</v>
      </c>
      <c r="CN24" s="88">
        <f t="shared" si="38"/>
        <v>-7.440839229080265E-2</v>
      </c>
      <c r="CO24" s="88">
        <f t="shared" si="38"/>
        <v>-1.1421542786856476E-2</v>
      </c>
      <c r="CP24" s="88">
        <f t="shared" si="38"/>
        <v>2.3506932100959776E-2</v>
      </c>
      <c r="CQ24" s="35"/>
    </row>
    <row r="25" spans="2:95">
      <c r="B25" s="85" t="s">
        <v>1475</v>
      </c>
      <c r="AU25" s="88"/>
      <c r="AV25" s="88"/>
      <c r="AW25" s="88"/>
      <c r="AX25" s="88"/>
      <c r="AY25" s="88">
        <f t="shared" si="36"/>
        <v>9.515260323159791E-2</v>
      </c>
      <c r="AZ25" s="88">
        <f t="shared" si="36"/>
        <v>-5.3432282003710529E-2</v>
      </c>
      <c r="BA25" s="88">
        <f t="shared" si="36"/>
        <v>-5.9053578412201824E-2</v>
      </c>
      <c r="BB25" s="88">
        <f t="shared" si="36"/>
        <v>-0.11042944785276076</v>
      </c>
      <c r="BC25" s="88">
        <f t="shared" si="36"/>
        <v>-0.14721311475409837</v>
      </c>
      <c r="BD25" s="88">
        <f t="shared" si="36"/>
        <v>4.0376323010584025E-2</v>
      </c>
      <c r="BE25" s="88">
        <f t="shared" si="36"/>
        <v>9.8503740648379079E-2</v>
      </c>
      <c r="BF25" s="88">
        <f t="shared" si="36"/>
        <v>3.1941923774954528E-2</v>
      </c>
      <c r="BG25" s="88">
        <f t="shared" si="36"/>
        <v>6.9204152249136008E-3</v>
      </c>
      <c r="BH25" s="88">
        <f t="shared" si="36"/>
        <v>3.3911077618689056E-3</v>
      </c>
      <c r="BI25" s="88">
        <f t="shared" si="37"/>
        <v>1.626939084373813E-2</v>
      </c>
      <c r="BJ25" s="88">
        <f t="shared" si="37"/>
        <v>1.6180091452690837E-2</v>
      </c>
      <c r="BK25" s="88">
        <f t="shared" si="37"/>
        <v>1.9091256204657459E-3</v>
      </c>
      <c r="BL25" s="88">
        <f t="shared" si="37"/>
        <v>6.2711227938415215E-2</v>
      </c>
      <c r="BM25" s="88">
        <f t="shared" si="37"/>
        <v>0.11876396128071476</v>
      </c>
      <c r="BN25" s="88">
        <f t="shared" si="37"/>
        <v>0.16545517480096916</v>
      </c>
      <c r="BO25" s="88">
        <f t="shared" si="37"/>
        <v>0.12690548780487809</v>
      </c>
      <c r="BP25" s="88">
        <f t="shared" si="37"/>
        <v>0.16996466431095403</v>
      </c>
      <c r="BQ25" s="88">
        <f t="shared" si="37"/>
        <v>-1</v>
      </c>
      <c r="CK25" s="91"/>
      <c r="CL25" s="88"/>
      <c r="CM25" s="88">
        <f t="shared" si="38"/>
        <v>-3.3411172983653703E-2</v>
      </c>
      <c r="CN25" s="88">
        <f t="shared" si="38"/>
        <v>-1.9513101653967357E-3</v>
      </c>
      <c r="CO25" s="88">
        <f t="shared" si="38"/>
        <v>1.0799739316637247E-2</v>
      </c>
      <c r="CP25" s="88">
        <f t="shared" si="38"/>
        <v>8.925117435755725E-2</v>
      </c>
      <c r="CQ25" s="35"/>
    </row>
    <row r="26" spans="2:95">
      <c r="B26" s="85" t="s">
        <v>1476</v>
      </c>
      <c r="AU26" s="88"/>
      <c r="AV26" s="88"/>
      <c r="AW26" s="88"/>
      <c r="AX26" s="88"/>
      <c r="AY26" s="88">
        <f t="shared" si="36"/>
        <v>0.20772381509654769</v>
      </c>
      <c r="AZ26" s="88">
        <f t="shared" si="36"/>
        <v>0.16752429959977122</v>
      </c>
      <c r="BA26" s="88">
        <f t="shared" si="36"/>
        <v>7.3529411764705843E-2</v>
      </c>
      <c r="BB26" s="88">
        <f t="shared" si="36"/>
        <v>5.9251559251559227E-2</v>
      </c>
      <c r="BC26" s="88">
        <f t="shared" si="36"/>
        <v>-3.7790697674418561E-2</v>
      </c>
      <c r="BD26" s="88">
        <f t="shared" si="36"/>
        <v>-6.8560235063663044E-2</v>
      </c>
      <c r="BE26" s="88">
        <f t="shared" si="36"/>
        <v>-2.9426686960933535E-2</v>
      </c>
      <c r="BF26" s="88">
        <f t="shared" si="36"/>
        <v>1.6683022571148287E-2</v>
      </c>
      <c r="BG26" s="88">
        <f t="shared" si="36"/>
        <v>-6.2940584088620355E-2</v>
      </c>
      <c r="BH26" s="88">
        <f t="shared" si="36"/>
        <v>3.6277602523659302E-2</v>
      </c>
      <c r="BI26" s="88">
        <f t="shared" si="37"/>
        <v>5.2273915316256581E-3</v>
      </c>
      <c r="BJ26" s="88">
        <f t="shared" si="37"/>
        <v>6.2258687258687218E-2</v>
      </c>
      <c r="BK26" s="88">
        <f t="shared" si="37"/>
        <v>1.6120365394948877E-2</v>
      </c>
      <c r="BL26" s="88">
        <f t="shared" si="37"/>
        <v>-2.5875190258751957E-2</v>
      </c>
      <c r="BM26" s="88">
        <f t="shared" si="37"/>
        <v>4.6801872074883066E-2</v>
      </c>
      <c r="BN26" s="88">
        <f t="shared" si="37"/>
        <v>3.4529759200363497E-2</v>
      </c>
      <c r="BO26" s="88">
        <f t="shared" si="37"/>
        <v>4.1776837652035992E-2</v>
      </c>
      <c r="BP26" s="88">
        <f t="shared" si="37"/>
        <v>9.5833333333333437E-2</v>
      </c>
      <c r="BQ26" s="88">
        <f t="shared" si="37"/>
        <v>-1</v>
      </c>
      <c r="CK26" s="91"/>
      <c r="CL26" s="88"/>
      <c r="CM26" s="88">
        <f t="shared" si="38"/>
        <v>0.12427265170407309</v>
      </c>
      <c r="CN26" s="88">
        <f t="shared" si="38"/>
        <v>-2.9821318545902642E-2</v>
      </c>
      <c r="CO26" s="88">
        <f t="shared" si="38"/>
        <v>1.0542359964435422E-2</v>
      </c>
      <c r="CP26" s="88">
        <f t="shared" si="38"/>
        <v>1.8225238813474043E-2</v>
      </c>
      <c r="CQ26" s="35"/>
    </row>
    <row r="27" spans="2:95">
      <c r="B27" s="85" t="s">
        <v>1477</v>
      </c>
      <c r="AU27" s="88"/>
      <c r="AV27" s="88"/>
      <c r="AW27" s="88"/>
      <c r="AX27" s="88"/>
      <c r="AY27" s="88">
        <f t="shared" si="36"/>
        <v>0.22508038585209</v>
      </c>
      <c r="AZ27" s="88">
        <f t="shared" si="36"/>
        <v>0.14999999999999991</v>
      </c>
      <c r="BA27" s="88">
        <f t="shared" si="36"/>
        <v>0.22909090909090901</v>
      </c>
      <c r="BB27" s="88">
        <f t="shared" si="36"/>
        <v>0.21019108280254772</v>
      </c>
      <c r="BC27" s="88">
        <f t="shared" si="36"/>
        <v>-9.4488188976378007E-2</v>
      </c>
      <c r="BD27" s="88">
        <f t="shared" si="36"/>
        <v>0.20869565217391295</v>
      </c>
      <c r="BE27" s="88">
        <f t="shared" si="36"/>
        <v>3.5502958579881616E-2</v>
      </c>
      <c r="BF27" s="88">
        <f t="shared" si="36"/>
        <v>-3.4210526315789469E-2</v>
      </c>
      <c r="BG27" s="88">
        <f t="shared" si="36"/>
        <v>2.8985507246377384E-3</v>
      </c>
      <c r="BH27" s="88">
        <f t="shared" si="36"/>
        <v>-9.1127098321342914E-2</v>
      </c>
      <c r="BI27" s="88">
        <f t="shared" si="37"/>
        <v>0.13428571428571434</v>
      </c>
      <c r="BJ27" s="88">
        <f t="shared" si="37"/>
        <v>0.19618528610354224</v>
      </c>
      <c r="BK27" s="88">
        <f t="shared" si="37"/>
        <v>-2.8901734104046284E-2</v>
      </c>
      <c r="BL27" s="88">
        <f t="shared" si="37"/>
        <v>1.055408970976246E-2</v>
      </c>
      <c r="BM27" s="88">
        <f t="shared" si="37"/>
        <v>4.534005037783384E-2</v>
      </c>
      <c r="BN27" s="88">
        <f t="shared" si="37"/>
        <v>5.4669703872437303E-2</v>
      </c>
      <c r="BO27" s="88">
        <f t="shared" si="37"/>
        <v>0.11011904761904767</v>
      </c>
      <c r="BP27" s="88">
        <f t="shared" si="37"/>
        <v>0.12271540469973896</v>
      </c>
      <c r="BQ27" s="88">
        <f t="shared" si="37"/>
        <v>28.245783132530121</v>
      </c>
      <c r="CK27" s="91"/>
      <c r="CL27" s="88"/>
      <c r="CM27" s="88">
        <f t="shared" si="38"/>
        <v>0.20333333333333337</v>
      </c>
      <c r="CN27" s="88">
        <f t="shared" si="38"/>
        <v>2.4238227146814451E-2</v>
      </c>
      <c r="CO27" s="88">
        <f t="shared" si="38"/>
        <v>5.5442866801893143E-2</v>
      </c>
      <c r="CP27" s="88">
        <f t="shared" si="38"/>
        <v>2.3062139654068003E-2</v>
      </c>
      <c r="CQ27" s="35"/>
    </row>
    <row r="28" spans="2:95">
      <c r="B28" s="1" t="s">
        <v>1478</v>
      </c>
      <c r="AU28" s="88"/>
      <c r="AV28" s="88"/>
      <c r="AW28" s="88"/>
      <c r="AX28" s="88"/>
      <c r="AY28" s="88">
        <f t="shared" si="36"/>
        <v>0.19301433474661822</v>
      </c>
      <c r="AZ28" s="88">
        <f t="shared" si="36"/>
        <v>0.18300442143858509</v>
      </c>
      <c r="BA28" s="88">
        <f t="shared" si="36"/>
        <v>0.14437299035369766</v>
      </c>
      <c r="BB28" s="88">
        <f t="shared" si="36"/>
        <v>6.9893477854606534E-2</v>
      </c>
      <c r="BC28" s="88">
        <f t="shared" si="36"/>
        <v>-9.3755288542900606E-2</v>
      </c>
      <c r="BD28" s="88">
        <f t="shared" si="36"/>
        <v>-2.579762989972656E-2</v>
      </c>
      <c r="BE28" s="88">
        <f t="shared" si="36"/>
        <v>-9.6469045612063153E-3</v>
      </c>
      <c r="BF28" s="88">
        <f t="shared" si="36"/>
        <v>-4.9257641921397366E-2</v>
      </c>
      <c r="BG28" s="88">
        <f t="shared" si="36"/>
        <v>-3.4080298786181129E-2</v>
      </c>
      <c r="BH28" s="88">
        <f t="shared" si="36"/>
        <v>-1.3567886216899083E-2</v>
      </c>
      <c r="BI28" s="88">
        <f t="shared" si="37"/>
        <v>2.175146585965626E-3</v>
      </c>
      <c r="BJ28" s="88">
        <f t="shared" si="37"/>
        <v>4.6665441851919898E-2</v>
      </c>
      <c r="BK28" s="88">
        <f t="shared" si="37"/>
        <v>1.8366360560657657E-3</v>
      </c>
      <c r="BL28" s="88">
        <f t="shared" si="37"/>
        <v>2.9690760766458046E-2</v>
      </c>
      <c r="BM28" s="88">
        <f t="shared" si="37"/>
        <v>4.9542323299046842E-2</v>
      </c>
      <c r="BN28" s="88">
        <f t="shared" si="37"/>
        <v>7.2143233280673957E-2</v>
      </c>
      <c r="BO28" s="88">
        <f t="shared" si="37"/>
        <v>6.1848707062910124E-2</v>
      </c>
      <c r="BP28" s="88">
        <f t="shared" si="37"/>
        <v>0.10492860432980189</v>
      </c>
      <c r="BQ28" s="88">
        <f t="shared" si="37"/>
        <v>9.1260564646646225E-2</v>
      </c>
      <c r="CK28" s="91"/>
      <c r="CL28" s="88"/>
      <c r="CM28" s="88">
        <f t="shared" si="38"/>
        <v>0.14546938359133921</v>
      </c>
      <c r="CN28" s="88">
        <f t="shared" si="38"/>
        <v>-4.5819881999332068E-2</v>
      </c>
      <c r="CO28" s="88">
        <f t="shared" si="38"/>
        <v>4.9000163333867697E-4</v>
      </c>
      <c r="CP28" s="88">
        <f t="shared" si="38"/>
        <v>3.9157609963151208E-2</v>
      </c>
      <c r="CQ28" s="35"/>
    </row>
    <row r="29" spans="2:95"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CK29" s="91"/>
      <c r="CL29" s="88"/>
      <c r="CM29" s="88"/>
      <c r="CN29" s="88"/>
      <c r="CO29" s="88"/>
      <c r="CP29" s="88"/>
      <c r="CQ29" s="35"/>
    </row>
    <row r="30" spans="2:95">
      <c r="B30" s="36" t="s">
        <v>1466</v>
      </c>
      <c r="AU30" s="88">
        <f t="shared" ref="AU30:BO30" si="39">AU18/AU22</f>
        <v>0.51494044013729057</v>
      </c>
      <c r="AV30" s="88">
        <f t="shared" si="39"/>
        <v>0.48840720370969481</v>
      </c>
      <c r="AW30" s="88">
        <f t="shared" si="39"/>
        <v>0.4996784565916399</v>
      </c>
      <c r="AX30" s="88">
        <f t="shared" si="39"/>
        <v>0.50149504765464403</v>
      </c>
      <c r="AY30" s="88">
        <f t="shared" si="39"/>
        <v>0.53503130817397193</v>
      </c>
      <c r="AZ30" s="88">
        <f t="shared" si="39"/>
        <v>0.5498632634457612</v>
      </c>
      <c r="BA30" s="88">
        <f t="shared" si="39"/>
        <v>0.55839655333895288</v>
      </c>
      <c r="BB30" s="88">
        <f t="shared" si="39"/>
        <v>0.54820960698689958</v>
      </c>
      <c r="BC30" s="88">
        <f t="shared" si="39"/>
        <v>0.5394957983193277</v>
      </c>
      <c r="BD30" s="88">
        <f t="shared" si="39"/>
        <v>0.53466828857490412</v>
      </c>
      <c r="BE30" s="88">
        <f t="shared" si="39"/>
        <v>0.53603177605447327</v>
      </c>
      <c r="BF30" s="88">
        <f t="shared" si="39"/>
        <v>0.51478963806724232</v>
      </c>
      <c r="BG30" s="88">
        <f t="shared" si="39"/>
        <v>0.53349444175930405</v>
      </c>
      <c r="BH30" s="88">
        <f t="shared" si="39"/>
        <v>0.52447353443369382</v>
      </c>
      <c r="BI30" s="88">
        <f t="shared" si="39"/>
        <v>0.52760215155232615</v>
      </c>
      <c r="BJ30" s="88">
        <f t="shared" si="39"/>
        <v>0.51474460242232756</v>
      </c>
      <c r="BK30" s="88">
        <f t="shared" si="39"/>
        <v>0.53193747587803941</v>
      </c>
      <c r="BL30" s="88">
        <f t="shared" si="39"/>
        <v>0.52713035467526481</v>
      </c>
      <c r="BM30" s="88">
        <f t="shared" si="39"/>
        <v>0.5115087214529761</v>
      </c>
      <c r="BN30" s="88">
        <f t="shared" si="39"/>
        <v>0.50008185985592668</v>
      </c>
      <c r="BO30" s="88">
        <f t="shared" si="39"/>
        <v>0.51840072694229899</v>
      </c>
      <c r="BP30" s="88">
        <f>BP18/BP22</f>
        <v>0.51267300316825082</v>
      </c>
      <c r="BQ30" s="88">
        <f>BQ18/BQ22</f>
        <v>0</v>
      </c>
      <c r="CK30" s="91"/>
      <c r="CL30" s="88">
        <f t="shared" ref="CL30:CP30" si="40">CL18/CL22</f>
        <v>0.50136441304735913</v>
      </c>
      <c r="CM30" s="88">
        <f t="shared" si="40"/>
        <v>0.54756762774128909</v>
      </c>
      <c r="CN30" s="88">
        <f t="shared" si="40"/>
        <v>0.53116177053923508</v>
      </c>
      <c r="CO30" s="88">
        <f t="shared" si="40"/>
        <v>0.5248379122160548</v>
      </c>
      <c r="CP30" s="88">
        <f t="shared" si="40"/>
        <v>0.51693336624997199</v>
      </c>
      <c r="CQ30" s="35"/>
    </row>
    <row r="31" spans="2:95">
      <c r="B31" s="85" t="s">
        <v>1467</v>
      </c>
      <c r="AU31" s="88">
        <f t="shared" ref="AU31:BO31" si="41">AU19/AU22</f>
        <v>0.28114274177266302</v>
      </c>
      <c r="AV31" s="88">
        <f t="shared" si="41"/>
        <v>0.29062870699881377</v>
      </c>
      <c r="AW31" s="88">
        <f t="shared" si="41"/>
        <v>0.27406216505894965</v>
      </c>
      <c r="AX31" s="88">
        <f t="shared" si="41"/>
        <v>0.28938516165202766</v>
      </c>
      <c r="AY31" s="88">
        <f t="shared" si="41"/>
        <v>0.25808089355220848</v>
      </c>
      <c r="AZ31" s="88">
        <f t="shared" si="41"/>
        <v>0.23254329990884229</v>
      </c>
      <c r="BA31" s="88">
        <f t="shared" si="41"/>
        <v>0.22534419780837314</v>
      </c>
      <c r="BB31" s="88">
        <f t="shared" si="41"/>
        <v>0.2406113537117904</v>
      </c>
      <c r="BC31" s="88">
        <f t="shared" si="41"/>
        <v>0.24285714285714285</v>
      </c>
      <c r="BD31" s="88">
        <f t="shared" si="41"/>
        <v>0.24833910358379338</v>
      </c>
      <c r="BE31" s="88">
        <f t="shared" si="41"/>
        <v>0.24995271420465293</v>
      </c>
      <c r="BF31" s="88">
        <f t="shared" si="41"/>
        <v>0.26116112437993755</v>
      </c>
      <c r="BG31" s="88">
        <f t="shared" si="41"/>
        <v>0.25316578057032385</v>
      </c>
      <c r="BH31" s="88">
        <f t="shared" si="41"/>
        <v>0.25260861316638211</v>
      </c>
      <c r="BI31" s="88">
        <f t="shared" si="41"/>
        <v>0.2534679626309333</v>
      </c>
      <c r="BJ31" s="88">
        <f t="shared" si="41"/>
        <v>0.25355450236966826</v>
      </c>
      <c r="BK31" s="88">
        <f t="shared" si="41"/>
        <v>0.25318409880355075</v>
      </c>
      <c r="BL31" s="88">
        <f t="shared" si="41"/>
        <v>0.26070935052970984</v>
      </c>
      <c r="BM31" s="88">
        <f t="shared" si="41"/>
        <v>0.27018521848588384</v>
      </c>
      <c r="BN31" s="88">
        <f t="shared" si="41"/>
        <v>0.27562213490504256</v>
      </c>
      <c r="BO31" s="88">
        <f t="shared" si="41"/>
        <v>0.26869604725124946</v>
      </c>
      <c r="BP31" s="88">
        <f>BP19/BP22</f>
        <v>0.2760546940136735</v>
      </c>
      <c r="BQ31" s="88">
        <f>BQ19/BQ22</f>
        <v>0</v>
      </c>
      <c r="CK31" s="91"/>
      <c r="CL31" s="88">
        <f t="shared" ref="CL31:CP31" si="42">CL19/CL22</f>
        <v>0.28395093213639028</v>
      </c>
      <c r="CM31" s="88">
        <f t="shared" si="42"/>
        <v>0.23960814872537015</v>
      </c>
      <c r="CN31" s="88">
        <f t="shared" si="42"/>
        <v>0.25062416874722915</v>
      </c>
      <c r="CO31" s="88">
        <f t="shared" si="42"/>
        <v>0.25320677270395076</v>
      </c>
      <c r="CP31" s="88">
        <f t="shared" si="42"/>
        <v>0.26541284197769149</v>
      </c>
      <c r="CQ31" s="35"/>
    </row>
    <row r="32" spans="2:95">
      <c r="B32" s="85" t="s">
        <v>1468</v>
      </c>
      <c r="AU32" s="88">
        <f t="shared" ref="AU32:BO32" si="43">AU20/AU22</f>
        <v>0.17252170401776701</v>
      </c>
      <c r="AV32" s="88">
        <f t="shared" si="43"/>
        <v>0.18861209964412812</v>
      </c>
      <c r="AW32" s="88">
        <f t="shared" si="43"/>
        <v>0.1967845659163987</v>
      </c>
      <c r="AX32" s="88">
        <f t="shared" si="43"/>
        <v>0.17977948047094</v>
      </c>
      <c r="AY32" s="88">
        <f t="shared" si="43"/>
        <v>0.17464884075139617</v>
      </c>
      <c r="AZ32" s="88">
        <f t="shared" si="43"/>
        <v>0.18614402917046491</v>
      </c>
      <c r="BA32" s="88">
        <f t="shared" si="43"/>
        <v>0.18460241640910369</v>
      </c>
      <c r="BB32" s="88">
        <f t="shared" si="43"/>
        <v>0.17799126637554585</v>
      </c>
      <c r="BC32" s="88">
        <f t="shared" si="43"/>
        <v>0.18543417366946779</v>
      </c>
      <c r="BD32" s="88">
        <f t="shared" si="43"/>
        <v>0.17797323851408253</v>
      </c>
      <c r="BE32" s="88">
        <f t="shared" si="43"/>
        <v>0.18091545299791942</v>
      </c>
      <c r="BF32" s="88">
        <f t="shared" si="43"/>
        <v>0.19033621164798825</v>
      </c>
      <c r="BG32" s="88">
        <f t="shared" si="43"/>
        <v>0.17989366843885934</v>
      </c>
      <c r="BH32" s="88">
        <f t="shared" si="43"/>
        <v>0.18696642003414912</v>
      </c>
      <c r="BI32" s="88">
        <f t="shared" si="43"/>
        <v>0.18146645276965179</v>
      </c>
      <c r="BJ32" s="88">
        <f t="shared" si="43"/>
        <v>0.19317184483061262</v>
      </c>
      <c r="BK32" s="88">
        <f t="shared" si="43"/>
        <v>0.18245851022771131</v>
      </c>
      <c r="BL32" s="88">
        <f t="shared" si="43"/>
        <v>0.1768770152003685</v>
      </c>
      <c r="BM32" s="88">
        <f t="shared" si="43"/>
        <v>0.1809926272253192</v>
      </c>
      <c r="BN32" s="88">
        <f t="shared" si="43"/>
        <v>0.18639489194499018</v>
      </c>
      <c r="BO32" s="88">
        <f t="shared" si="43"/>
        <v>0.17900954111767378</v>
      </c>
      <c r="BP32" s="88">
        <f>BP20/BP22</f>
        <v>0.17542104385526097</v>
      </c>
      <c r="BQ32" s="88">
        <f>BQ20/BQ22</f>
        <v>0</v>
      </c>
      <c r="CK32" s="91"/>
      <c r="CL32" s="88">
        <f t="shared" ref="CL32:CP32" si="44">CL20/CL22</f>
        <v>0.18408099767922267</v>
      </c>
      <c r="CM32" s="88">
        <f t="shared" si="44"/>
        <v>0.18067460759211845</v>
      </c>
      <c r="CN32" s="88">
        <f t="shared" si="44"/>
        <v>0.18370394567981893</v>
      </c>
      <c r="CO32" s="88">
        <f t="shared" si="44"/>
        <v>0.18554969914641542</v>
      </c>
      <c r="CP32" s="88">
        <f t="shared" si="44"/>
        <v>0.18181206095562988</v>
      </c>
      <c r="CQ32" s="35"/>
    </row>
    <row r="33" spans="2:156">
      <c r="B33" s="85" t="s">
        <v>1469</v>
      </c>
      <c r="AU33" s="88">
        <f t="shared" ref="AU33:BO33" si="45">AU21/AU22</f>
        <v>3.1395114072279427E-2</v>
      </c>
      <c r="AV33" s="88">
        <f t="shared" si="45"/>
        <v>3.2351989647363313E-2</v>
      </c>
      <c r="AW33" s="88">
        <f t="shared" si="45"/>
        <v>2.9474812433011789E-2</v>
      </c>
      <c r="AX33" s="88">
        <f t="shared" si="45"/>
        <v>2.9340310222388338E-2</v>
      </c>
      <c r="AY33" s="88">
        <f t="shared" si="45"/>
        <v>3.2238957522423423E-2</v>
      </c>
      <c r="AZ33" s="88">
        <f t="shared" si="45"/>
        <v>3.1449407474931634E-2</v>
      </c>
      <c r="BA33" s="88">
        <f t="shared" si="45"/>
        <v>3.1656832443570294E-2</v>
      </c>
      <c r="BB33" s="88">
        <f t="shared" si="45"/>
        <v>3.3187772925764192E-2</v>
      </c>
      <c r="BC33" s="88">
        <f t="shared" si="45"/>
        <v>3.2212885154061621E-2</v>
      </c>
      <c r="BD33" s="88">
        <f t="shared" si="45"/>
        <v>3.9019369327219985E-2</v>
      </c>
      <c r="BE33" s="88">
        <f t="shared" si="45"/>
        <v>3.3100056742954416E-2</v>
      </c>
      <c r="BF33" s="88">
        <f t="shared" si="45"/>
        <v>3.3713025904831898E-2</v>
      </c>
      <c r="BG33" s="88">
        <f t="shared" si="45"/>
        <v>3.3446109231512811E-2</v>
      </c>
      <c r="BH33" s="88">
        <f t="shared" si="45"/>
        <v>3.5951432365774992E-2</v>
      </c>
      <c r="BI33" s="88">
        <f t="shared" si="45"/>
        <v>3.7463433047088796E-2</v>
      </c>
      <c r="BJ33" s="88">
        <f t="shared" si="45"/>
        <v>3.8529050377391606E-2</v>
      </c>
      <c r="BK33" s="88">
        <f t="shared" si="45"/>
        <v>3.2419915090698574E-2</v>
      </c>
      <c r="BL33" s="88">
        <f t="shared" si="45"/>
        <v>3.5283279594656838E-2</v>
      </c>
      <c r="BM33" s="88">
        <f t="shared" si="45"/>
        <v>3.7313432835820892E-2</v>
      </c>
      <c r="BN33" s="88">
        <f t="shared" si="45"/>
        <v>3.7901113294040605E-2</v>
      </c>
      <c r="BO33" s="88">
        <f t="shared" si="45"/>
        <v>3.3893684688777827E-2</v>
      </c>
      <c r="BP33" s="88">
        <f>BP21/BP22</f>
        <v>3.5851258962814742E-2</v>
      </c>
      <c r="BQ33" s="88">
        <f>BQ21/BQ22</f>
        <v>1</v>
      </c>
      <c r="CK33" s="91"/>
      <c r="CL33" s="88">
        <f t="shared" ref="CL33:CP33" si="46">CL21/CL22</f>
        <v>3.0603657137027875E-2</v>
      </c>
      <c r="CM33" s="88">
        <f t="shared" si="46"/>
        <v>3.2149615941222308E-2</v>
      </c>
      <c r="CN33" s="88">
        <f t="shared" si="46"/>
        <v>3.451011503371678E-2</v>
      </c>
      <c r="CO33" s="88">
        <f t="shared" si="46"/>
        <v>3.6405615933578994E-2</v>
      </c>
      <c r="CP33" s="88">
        <f t="shared" si="46"/>
        <v>3.5841730816706691E-2</v>
      </c>
      <c r="CQ33" s="35"/>
    </row>
    <row r="34" spans="2:156">
      <c r="CQ34" s="35"/>
    </row>
    <row r="35" spans="2:156">
      <c r="B35" s="85" t="s">
        <v>1479</v>
      </c>
      <c r="BK35" s="1">
        <v>993</v>
      </c>
      <c r="BL35" s="1">
        <v>1075</v>
      </c>
      <c r="BM35" s="1">
        <v>1023</v>
      </c>
      <c r="BN35" s="1">
        <f>4169-SUM(BK35:BM35)</f>
        <v>1078</v>
      </c>
      <c r="BO35" s="1">
        <v>981</v>
      </c>
      <c r="BP35" s="1">
        <v>1060</v>
      </c>
      <c r="CN35" s="1">
        <v>4238</v>
      </c>
      <c r="CO35" s="1">
        <v>4192</v>
      </c>
      <c r="CP35" s="1">
        <f t="shared" ref="CP35:CP58" si="47">SUM(BK35:BN35)</f>
        <v>4169</v>
      </c>
      <c r="CQ35" s="35"/>
    </row>
    <row r="36" spans="2:156">
      <c r="B36" s="85" t="s">
        <v>1480</v>
      </c>
      <c r="BK36" s="1">
        <v>677</v>
      </c>
      <c r="BL36" s="1">
        <v>679</v>
      </c>
      <c r="BM36" s="1">
        <v>720</v>
      </c>
      <c r="BN36" s="1">
        <f>2870-SUM(BK36:BM36)</f>
        <v>794</v>
      </c>
      <c r="BO36" s="1">
        <v>655</v>
      </c>
      <c r="BP36" s="1">
        <v>703</v>
      </c>
      <c r="CN36" s="1">
        <v>2816</v>
      </c>
      <c r="CO36" s="1">
        <v>2787</v>
      </c>
      <c r="CP36" s="1">
        <f t="shared" si="47"/>
        <v>2870</v>
      </c>
      <c r="CQ36" s="35"/>
    </row>
    <row r="37" spans="2:156">
      <c r="B37" s="85" t="s">
        <v>1481</v>
      </c>
      <c r="BK37" s="1">
        <v>671</v>
      </c>
      <c r="BL37" s="1">
        <v>745</v>
      </c>
      <c r="BM37" s="1">
        <v>817</v>
      </c>
      <c r="BN37" s="1">
        <f>3200-SUM(BK37:BM37)</f>
        <v>967</v>
      </c>
      <c r="BO37" s="1">
        <v>893</v>
      </c>
      <c r="BP37" s="1">
        <v>941</v>
      </c>
      <c r="CN37" s="1">
        <v>2923</v>
      </c>
      <c r="CO37" s="1">
        <v>2652</v>
      </c>
      <c r="CP37" s="1">
        <f t="shared" si="47"/>
        <v>3200</v>
      </c>
      <c r="CQ37" s="35"/>
    </row>
    <row r="38" spans="2:156">
      <c r="B38" s="85" t="s">
        <v>1482</v>
      </c>
      <c r="BK38" s="1">
        <v>0</v>
      </c>
      <c r="BL38" s="1">
        <v>0</v>
      </c>
      <c r="BM38" s="1">
        <v>28</v>
      </c>
      <c r="BN38" s="1">
        <f>136-SUM(BK38:BM38)</f>
        <v>108</v>
      </c>
      <c r="BO38" s="1">
        <v>107</v>
      </c>
      <c r="BP38" s="1">
        <v>112</v>
      </c>
      <c r="CN38" s="1">
        <v>1</v>
      </c>
      <c r="CO38" s="1">
        <v>0</v>
      </c>
      <c r="CP38" s="1">
        <f t="shared" si="47"/>
        <v>136</v>
      </c>
      <c r="CQ38" s="35"/>
    </row>
    <row r="39" spans="2:156" s="2" customFormat="1" ht="15">
      <c r="B39" s="2" t="s">
        <v>1483</v>
      </c>
      <c r="BK39" s="2">
        <f t="shared" ref="BK39:BO39" si="48">SUM(BK35:BK38)</f>
        <v>2341</v>
      </c>
      <c r="BL39" s="2">
        <f t="shared" si="48"/>
        <v>2499</v>
      </c>
      <c r="BM39" s="2">
        <f t="shared" si="48"/>
        <v>2588</v>
      </c>
      <c r="BN39" s="2">
        <f t="shared" si="48"/>
        <v>2947</v>
      </c>
      <c r="BO39" s="2">
        <f t="shared" si="48"/>
        <v>2636</v>
      </c>
      <c r="BP39" s="2">
        <f>SUM(BP35:BP38)</f>
        <v>2816</v>
      </c>
      <c r="BQ39" s="2">
        <f>SUM(BQ35:BQ38)</f>
        <v>0</v>
      </c>
      <c r="BR39" s="34"/>
      <c r="CN39" s="2">
        <v>9977</v>
      </c>
      <c r="CO39" s="2">
        <v>9631</v>
      </c>
      <c r="CP39" s="2">
        <f t="shared" si="47"/>
        <v>10375</v>
      </c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</row>
    <row r="40" spans="2:156">
      <c r="B40" s="85" t="s">
        <v>1484</v>
      </c>
      <c r="BK40" s="1">
        <v>773</v>
      </c>
      <c r="BL40" s="1">
        <v>784</v>
      </c>
      <c r="BM40" s="1">
        <v>841</v>
      </c>
      <c r="BN40" s="1">
        <f>3360-SUM(BK40:BM40)</f>
        <v>962</v>
      </c>
      <c r="BO40" s="1">
        <v>798</v>
      </c>
      <c r="BP40" s="1">
        <v>821</v>
      </c>
      <c r="CN40" s="1">
        <v>3329</v>
      </c>
      <c r="CO40" s="1">
        <v>3278</v>
      </c>
      <c r="CP40" s="1">
        <f t="shared" si="47"/>
        <v>3360</v>
      </c>
      <c r="CQ40" s="35"/>
    </row>
    <row r="41" spans="2:156">
      <c r="B41" s="85" t="s">
        <v>1485</v>
      </c>
      <c r="BK41" s="1">
        <v>286</v>
      </c>
      <c r="BL41" s="1">
        <v>292</v>
      </c>
      <c r="BM41" s="1">
        <v>320</v>
      </c>
      <c r="BN41" s="1">
        <f>1237-SUM(BK41:BM41)</f>
        <v>339</v>
      </c>
      <c r="BO41" s="1">
        <v>285</v>
      </c>
      <c r="BP41" s="1">
        <v>318</v>
      </c>
      <c r="CN41" s="1">
        <v>1371</v>
      </c>
      <c r="CO41" s="1">
        <v>1315</v>
      </c>
      <c r="CP41" s="1">
        <f t="shared" si="47"/>
        <v>1237</v>
      </c>
      <c r="CQ41" s="35"/>
    </row>
    <row r="42" spans="2:156">
      <c r="B42" s="85" t="s">
        <v>1486</v>
      </c>
      <c r="BK42" s="1">
        <v>659</v>
      </c>
      <c r="BL42" s="1">
        <v>652</v>
      </c>
      <c r="BM42" s="1">
        <v>732</v>
      </c>
      <c r="BN42" s="1">
        <f>2957-SUM(BK42:BM42)</f>
        <v>914</v>
      </c>
      <c r="BO42" s="1">
        <v>633</v>
      </c>
      <c r="BP42" s="1">
        <v>707</v>
      </c>
      <c r="CN42" s="1">
        <v>2564</v>
      </c>
      <c r="CO42" s="1">
        <v>2870</v>
      </c>
      <c r="CP42" s="1">
        <f t="shared" si="47"/>
        <v>2957</v>
      </c>
      <c r="CQ42" s="35"/>
    </row>
    <row r="43" spans="2:156" s="2" customFormat="1" ht="15">
      <c r="B43" s="2" t="s">
        <v>1487</v>
      </c>
      <c r="BK43" s="2">
        <f t="shared" ref="BK43:BO43" si="49">SUM(BK40:BK42)</f>
        <v>1718</v>
      </c>
      <c r="BL43" s="2">
        <f t="shared" si="49"/>
        <v>1728</v>
      </c>
      <c r="BM43" s="2">
        <f t="shared" si="49"/>
        <v>1893</v>
      </c>
      <c r="BN43" s="2">
        <f t="shared" si="49"/>
        <v>2215</v>
      </c>
      <c r="BO43" s="2">
        <f t="shared" si="49"/>
        <v>1716</v>
      </c>
      <c r="BP43" s="2">
        <f>SUM(BP40:BP42)</f>
        <v>1846</v>
      </c>
      <c r="BQ43" s="2">
        <f>SUM(BQ40:BQ42)</f>
        <v>0</v>
      </c>
      <c r="BR43" s="34"/>
      <c r="CN43" s="2">
        <v>7263</v>
      </c>
      <c r="CO43" s="2">
        <v>7463</v>
      </c>
      <c r="CP43" s="2">
        <f t="shared" si="47"/>
        <v>7554</v>
      </c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</row>
    <row r="44" spans="2:156">
      <c r="B44" s="85" t="s">
        <v>1488</v>
      </c>
      <c r="BK44" s="1">
        <v>263</v>
      </c>
      <c r="BL44" s="1">
        <v>276</v>
      </c>
      <c r="BM44" s="1">
        <v>283</v>
      </c>
      <c r="BN44" s="1">
        <f>1115-SUM(BK44:BM44)</f>
        <v>293</v>
      </c>
      <c r="BO44" s="1">
        <v>271</v>
      </c>
      <c r="BP44" s="1">
        <v>290</v>
      </c>
      <c r="CN44" s="1">
        <v>1104</v>
      </c>
      <c r="CO44" s="1">
        <v>1063</v>
      </c>
      <c r="CP44" s="1">
        <f t="shared" si="47"/>
        <v>1115</v>
      </c>
      <c r="CQ44" s="35"/>
    </row>
    <row r="45" spans="2:156">
      <c r="B45" s="85" t="s">
        <v>1489</v>
      </c>
      <c r="BK45" s="1">
        <v>217</v>
      </c>
      <c r="BL45" s="1">
        <v>234</v>
      </c>
      <c r="BM45" s="1">
        <v>230</v>
      </c>
      <c r="BN45" s="1">
        <f>912-SUM(BK45:BM45)</f>
        <v>231</v>
      </c>
      <c r="BO45" s="1">
        <v>230</v>
      </c>
      <c r="BP45" s="1">
        <v>248</v>
      </c>
      <c r="CN45" s="1">
        <v>802</v>
      </c>
      <c r="CO45" s="1">
        <v>864</v>
      </c>
      <c r="CP45" s="1">
        <f t="shared" si="47"/>
        <v>912</v>
      </c>
      <c r="CQ45" s="35"/>
    </row>
    <row r="46" spans="2:156">
      <c r="B46" s="85" t="s">
        <v>1490</v>
      </c>
      <c r="BK46" s="1">
        <v>152</v>
      </c>
      <c r="BL46" s="1">
        <v>159</v>
      </c>
      <c r="BM46" s="1">
        <v>162</v>
      </c>
      <c r="BN46" s="1">
        <f>645-SUM(BK46:BM46)</f>
        <v>172</v>
      </c>
      <c r="BO46" s="1">
        <v>160</v>
      </c>
      <c r="BP46" s="1">
        <v>166</v>
      </c>
      <c r="CN46" s="1">
        <v>618</v>
      </c>
      <c r="CO46" s="1">
        <v>633</v>
      </c>
      <c r="CP46" s="1">
        <f t="shared" si="47"/>
        <v>645</v>
      </c>
      <c r="CQ46" s="35"/>
    </row>
    <row r="47" spans="2:156">
      <c r="B47" s="85" t="s">
        <v>1491</v>
      </c>
      <c r="BK47" s="1">
        <v>113</v>
      </c>
      <c r="BL47" s="1">
        <v>124</v>
      </c>
      <c r="BM47" s="1">
        <v>125</v>
      </c>
      <c r="BN47" s="1">
        <f>492-SUM(BK47:BM47)</f>
        <v>130</v>
      </c>
      <c r="BO47" s="1">
        <v>121</v>
      </c>
      <c r="BP47" s="1">
        <v>134</v>
      </c>
      <c r="CN47" s="1">
        <v>393</v>
      </c>
      <c r="CO47" s="1">
        <v>454</v>
      </c>
      <c r="CP47" s="1">
        <f t="shared" si="47"/>
        <v>492</v>
      </c>
      <c r="CQ47" s="35"/>
    </row>
    <row r="48" spans="2:156">
      <c r="B48" s="85" t="s">
        <v>1495</v>
      </c>
      <c r="BK48" s="1">
        <v>474</v>
      </c>
      <c r="BL48" s="1">
        <v>407</v>
      </c>
      <c r="BM48" s="1">
        <v>444</v>
      </c>
      <c r="BN48" s="1">
        <f>1788-SUM(BK48:BM48)</f>
        <v>463</v>
      </c>
      <c r="BO48" s="1">
        <v>430</v>
      </c>
      <c r="BP48" s="1">
        <v>442</v>
      </c>
      <c r="CN48" s="1">
        <v>1712</v>
      </c>
      <c r="CO48" s="1">
        <v>1764</v>
      </c>
      <c r="CP48" s="1">
        <f t="shared" si="47"/>
        <v>1788</v>
      </c>
      <c r="CQ48" s="35"/>
    </row>
    <row r="49" spans="2:156">
      <c r="B49" s="85" t="s">
        <v>1492</v>
      </c>
      <c r="BK49" s="1">
        <v>-72</v>
      </c>
      <c r="BL49" s="1">
        <v>-65</v>
      </c>
      <c r="BM49" s="1">
        <v>-70</v>
      </c>
      <c r="BN49" s="1">
        <f>-275-SUM(BK49:BM49)</f>
        <v>-68</v>
      </c>
      <c r="BO49" s="1">
        <v>-71</v>
      </c>
      <c r="BP49" s="1">
        <v>-75</v>
      </c>
      <c r="CN49" s="1">
        <v>-222</v>
      </c>
      <c r="CO49" s="1">
        <v>-266</v>
      </c>
      <c r="CP49" s="1">
        <f t="shared" si="47"/>
        <v>-275</v>
      </c>
      <c r="CQ49" s="35"/>
    </row>
    <row r="50" spans="2:156" s="2" customFormat="1" ht="15">
      <c r="B50" s="2" t="s">
        <v>1493</v>
      </c>
      <c r="BK50" s="2">
        <f t="shared" ref="BK50:BO50" si="50">SUM(BK44:BK49)</f>
        <v>1147</v>
      </c>
      <c r="BL50" s="2">
        <f t="shared" si="50"/>
        <v>1135</v>
      </c>
      <c r="BM50" s="2">
        <f t="shared" si="50"/>
        <v>1174</v>
      </c>
      <c r="BN50" s="2">
        <f t="shared" si="50"/>
        <v>1221</v>
      </c>
      <c r="BO50" s="2">
        <f t="shared" si="50"/>
        <v>1141</v>
      </c>
      <c r="BP50" s="2">
        <f>SUM(BP44:BP49)</f>
        <v>1205</v>
      </c>
      <c r="BQ50" s="2">
        <f>SUM(BQ44:BQ49)</f>
        <v>0</v>
      </c>
      <c r="BR50" s="34"/>
      <c r="CN50" s="2">
        <v>4405</v>
      </c>
      <c r="CO50" s="2">
        <v>4512</v>
      </c>
      <c r="CP50" s="2">
        <f t="shared" si="47"/>
        <v>4677</v>
      </c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</row>
    <row r="51" spans="2:156">
      <c r="B51" s="85" t="s">
        <v>1494</v>
      </c>
      <c r="BK51" s="1">
        <v>582</v>
      </c>
      <c r="BL51" s="1">
        <v>601</v>
      </c>
      <c r="BM51" s="1">
        <v>594</v>
      </c>
      <c r="BN51" s="1">
        <f>2407-SUM(BK51:BM51)</f>
        <v>630</v>
      </c>
      <c r="BO51" s="1">
        <v>569</v>
      </c>
      <c r="BP51" s="1">
        <v>608</v>
      </c>
      <c r="CN51" s="1">
        <v>2613</v>
      </c>
      <c r="CO51" s="1">
        <v>2525</v>
      </c>
      <c r="CP51" s="1">
        <f t="shared" si="47"/>
        <v>2407</v>
      </c>
      <c r="CQ51" s="35"/>
    </row>
    <row r="52" spans="2:156">
      <c r="B52" s="85" t="s">
        <v>1496</v>
      </c>
      <c r="BK52" s="1">
        <v>1727</v>
      </c>
      <c r="BL52" s="1">
        <v>1883</v>
      </c>
      <c r="BM52" s="1">
        <v>1861</v>
      </c>
      <c r="BN52" s="1">
        <f>7440-SUM(BK52:BM52)</f>
        <v>1969</v>
      </c>
      <c r="BO52" s="1">
        <v>1827</v>
      </c>
      <c r="BP52" s="1">
        <v>2036</v>
      </c>
      <c r="CN52" s="1">
        <v>6841</v>
      </c>
      <c r="CO52" s="1">
        <v>7019</v>
      </c>
      <c r="CP52" s="1">
        <f t="shared" si="47"/>
        <v>7440</v>
      </c>
      <c r="CQ52" s="35"/>
    </row>
    <row r="53" spans="2:156">
      <c r="B53" s="85" t="s">
        <v>1497</v>
      </c>
      <c r="BK53" s="1">
        <v>1607</v>
      </c>
      <c r="BL53" s="1">
        <v>1794</v>
      </c>
      <c r="BM53" s="1">
        <v>1722</v>
      </c>
      <c r="BN53" s="1">
        <f>7142-SUM(BK53:BM53)</f>
        <v>2019</v>
      </c>
      <c r="BO53" s="1">
        <v>1741</v>
      </c>
      <c r="BP53" s="1">
        <v>1893</v>
      </c>
      <c r="CN53" s="1">
        <v>6806</v>
      </c>
      <c r="CO53" s="1">
        <v>6685</v>
      </c>
      <c r="CP53" s="1">
        <f t="shared" si="47"/>
        <v>7142</v>
      </c>
      <c r="CQ53" s="35"/>
    </row>
    <row r="54" spans="2:156">
      <c r="B54" s="85" t="s">
        <v>1498</v>
      </c>
      <c r="BK54" s="1">
        <v>1939</v>
      </c>
      <c r="BL54" s="1">
        <v>1955</v>
      </c>
      <c r="BM54" s="1">
        <v>2019</v>
      </c>
      <c r="BN54" s="1">
        <f>7915-SUM(BK54:BM54)</f>
        <v>2002</v>
      </c>
      <c r="BO54" s="1">
        <v>2128</v>
      </c>
      <c r="BP54" s="1">
        <v>2396</v>
      </c>
      <c r="CN54" s="1">
        <v>7691</v>
      </c>
      <c r="CO54" s="1">
        <v>7836</v>
      </c>
      <c r="CP54" s="1">
        <f t="shared" si="47"/>
        <v>7915</v>
      </c>
      <c r="CQ54" s="35"/>
    </row>
    <row r="55" spans="2:156">
      <c r="B55" s="85" t="s">
        <v>1492</v>
      </c>
      <c r="BK55" s="1">
        <v>-214</v>
      </c>
      <c r="BL55" s="1">
        <v>-238</v>
      </c>
      <c r="BM55" s="1">
        <v>-226</v>
      </c>
      <c r="BN55" s="1">
        <f>-920-SUM(BK55:BM55)</f>
        <v>-242</v>
      </c>
      <c r="BO55" s="1">
        <v>-229</v>
      </c>
      <c r="BP55" s="1">
        <v>-240</v>
      </c>
      <c r="CN55" s="1">
        <v>-910</v>
      </c>
      <c r="CO55" s="1">
        <v>-907</v>
      </c>
      <c r="CP55" s="1">
        <f t="shared" si="47"/>
        <v>-920</v>
      </c>
      <c r="CQ55" s="35"/>
    </row>
    <row r="56" spans="2:156" s="2" customFormat="1" ht="15">
      <c r="B56" s="2" t="s">
        <v>1499</v>
      </c>
      <c r="BK56" s="2">
        <f t="shared" ref="BK56:BO56" si="51">SUM(BK51:BK55)</f>
        <v>5641</v>
      </c>
      <c r="BL56" s="2">
        <f t="shared" si="51"/>
        <v>5995</v>
      </c>
      <c r="BM56" s="2">
        <f t="shared" si="51"/>
        <v>5970</v>
      </c>
      <c r="BN56" s="2">
        <f t="shared" si="51"/>
        <v>6378</v>
      </c>
      <c r="BO56" s="2">
        <f t="shared" si="51"/>
        <v>6036</v>
      </c>
      <c r="BP56" s="2">
        <f>SUM(BP51:BP55)</f>
        <v>6693</v>
      </c>
      <c r="BQ56" s="2">
        <f>SUM(BQ51:BQ55)</f>
        <v>0</v>
      </c>
      <c r="BR56" s="34"/>
      <c r="CN56" s="2">
        <v>23041</v>
      </c>
      <c r="CO56" s="2">
        <v>23157</v>
      </c>
      <c r="CP56" s="2">
        <f t="shared" si="47"/>
        <v>23984</v>
      </c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</row>
    <row r="57" spans="2:156">
      <c r="B57" s="85" t="s">
        <v>1492</v>
      </c>
      <c r="BK57" s="1">
        <v>-483</v>
      </c>
      <c r="BL57" s="1">
        <v>-502</v>
      </c>
      <c r="BM57" s="1">
        <v>-503</v>
      </c>
      <c r="BN57" s="1">
        <f>-2034-SUM(BK57:BM57)</f>
        <v>-546</v>
      </c>
      <c r="BO57" s="1">
        <v>-524</v>
      </c>
      <c r="BP57" s="1">
        <v>-565</v>
      </c>
      <c r="BQ57" s="1">
        <v>12137</v>
      </c>
      <c r="CN57" s="1">
        <v>-1829</v>
      </c>
      <c r="CO57" s="1">
        <v>-1885</v>
      </c>
      <c r="CP57" s="1">
        <f t="shared" si="47"/>
        <v>-2034</v>
      </c>
      <c r="CQ57" s="35"/>
    </row>
    <row r="58" spans="2:156" s="2" customFormat="1" ht="15">
      <c r="B58" s="2" t="s">
        <v>1500</v>
      </c>
      <c r="BK58" s="2">
        <f t="shared" ref="BK58:BO58" si="52">BK39+BK43+BK50+BK56+BK57</f>
        <v>10364</v>
      </c>
      <c r="BL58" s="2">
        <f t="shared" si="52"/>
        <v>10855</v>
      </c>
      <c r="BM58" s="2">
        <f t="shared" si="52"/>
        <v>11122</v>
      </c>
      <c r="BN58" s="2">
        <f t="shared" si="52"/>
        <v>12215</v>
      </c>
      <c r="BO58" s="2">
        <f t="shared" si="52"/>
        <v>11005</v>
      </c>
      <c r="BP58" s="2">
        <f>BP39+BP43+BP50+BP56+BP57</f>
        <v>11995</v>
      </c>
      <c r="BQ58" s="2">
        <f>BQ39+BQ43+BQ50+BQ56+BQ57</f>
        <v>12137</v>
      </c>
      <c r="BR58" s="34"/>
      <c r="CN58" s="2">
        <v>42857</v>
      </c>
      <c r="CO58" s="2">
        <v>42879</v>
      </c>
      <c r="CP58" s="2">
        <f t="shared" si="47"/>
        <v>44556</v>
      </c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</row>
    <row r="59" spans="2:156">
      <c r="CQ59" s="35"/>
    </row>
    <row r="60" spans="2:156">
      <c r="B60" s="85" t="s">
        <v>1501</v>
      </c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>
        <f t="shared" ref="BO60" si="53">BO39/BK39-1</f>
        <v>0.12601452370781718</v>
      </c>
      <c r="BP60" s="88">
        <f>BP39/BL39-1</f>
        <v>0.12685074029611854</v>
      </c>
      <c r="BQ60" s="88">
        <f>BQ39/BM39-1</f>
        <v>-1</v>
      </c>
      <c r="CN60" s="88"/>
      <c r="CO60" s="88">
        <f t="shared" ref="CO60:CP60" si="54">CO39/CN39-1</f>
        <v>-3.4679763455948698E-2</v>
      </c>
      <c r="CP60" s="88">
        <f t="shared" si="54"/>
        <v>7.7250545114733615E-2</v>
      </c>
      <c r="CQ60" s="35"/>
    </row>
    <row r="61" spans="2:156">
      <c r="B61" s="85" t="s">
        <v>1502</v>
      </c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>
        <f t="shared" ref="BO61" si="55">BO43/BK43-1</f>
        <v>-1.1641443538998875E-3</v>
      </c>
      <c r="BP61" s="88">
        <f>BP43/BL43-1</f>
        <v>6.8287037037036979E-2</v>
      </c>
      <c r="BQ61" s="88">
        <f>BQ43/BM43-1</f>
        <v>-1</v>
      </c>
      <c r="CN61" s="88"/>
      <c r="CO61" s="88">
        <f t="shared" ref="CO61:CP61" si="56">CO43/CN43-1</f>
        <v>2.753683051080813E-2</v>
      </c>
      <c r="CP61" s="88">
        <f t="shared" si="56"/>
        <v>1.2193487873509268E-2</v>
      </c>
      <c r="CQ61" s="35"/>
    </row>
    <row r="62" spans="2:156">
      <c r="B62" s="85" t="s">
        <v>1503</v>
      </c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>
        <f t="shared" ref="BO62" si="57">BO50/BK50-1</f>
        <v>-5.2310374891020306E-3</v>
      </c>
      <c r="BP62" s="88">
        <f>BP50/BL50-1</f>
        <v>6.1674008810572722E-2</v>
      </c>
      <c r="BQ62" s="88">
        <f>BQ50/BM50-1</f>
        <v>-1</v>
      </c>
      <c r="CN62" s="88"/>
      <c r="CO62" s="88">
        <f t="shared" ref="CO62:CP62" si="58">CO50/CN50-1</f>
        <v>2.4290578887627756E-2</v>
      </c>
      <c r="CP62" s="88">
        <f t="shared" si="58"/>
        <v>3.6569148936170137E-2</v>
      </c>
      <c r="CQ62" s="35"/>
    </row>
    <row r="63" spans="2:156">
      <c r="B63" s="85" t="s">
        <v>1504</v>
      </c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>
        <f t="shared" ref="BO63" si="59">BO56/BK56-1</f>
        <v>7.0023045559298058E-2</v>
      </c>
      <c r="BP63" s="88">
        <f>BP56/BL56-1</f>
        <v>0.11643035863219353</v>
      </c>
      <c r="BQ63" s="88">
        <f>BQ56/BM56-1</f>
        <v>-1</v>
      </c>
      <c r="CN63" s="88"/>
      <c r="CO63" s="88">
        <f t="shared" ref="CO63:CP63" si="60">CO56/CN56-1</f>
        <v>5.0345037107764057E-3</v>
      </c>
      <c r="CP63" s="88">
        <f t="shared" si="60"/>
        <v>3.5712743446906003E-2</v>
      </c>
      <c r="CQ63" s="35"/>
    </row>
    <row r="64" spans="2:156">
      <c r="B64" s="1" t="s">
        <v>1393</v>
      </c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>
        <f t="shared" ref="BO64" si="61">BO58/BK58-1</f>
        <v>6.1848707062910124E-2</v>
      </c>
      <c r="BP64" s="88">
        <f>BP58/BL58-1</f>
        <v>0.10502072777521887</v>
      </c>
      <c r="BQ64" s="88">
        <f>BQ58/BM58-1</f>
        <v>9.1260564646646225E-2</v>
      </c>
      <c r="CN64" s="88"/>
      <c r="CO64" s="88">
        <f t="shared" ref="CO64:CP64" si="62">CO58/CN58-1</f>
        <v>5.1333504445016942E-4</v>
      </c>
      <c r="CP64" s="88">
        <f t="shared" si="62"/>
        <v>3.9110053872525086E-2</v>
      </c>
      <c r="CQ64" s="35"/>
    </row>
    <row r="65" spans="2:156"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CN65" s="88"/>
      <c r="CO65" s="88"/>
      <c r="CP65" s="88"/>
      <c r="CQ65" s="35"/>
    </row>
    <row r="66" spans="2:156">
      <c r="B66" s="85" t="s">
        <v>1505</v>
      </c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>
        <f t="shared" ref="BK66:BO66" si="63">BK39/BK58</f>
        <v>0.22587803936703976</v>
      </c>
      <c r="BL66" s="88">
        <f t="shared" si="63"/>
        <v>0.23021649009672962</v>
      </c>
      <c r="BM66" s="88">
        <f t="shared" si="63"/>
        <v>0.23269196187736019</v>
      </c>
      <c r="BN66" s="88">
        <f t="shared" si="63"/>
        <v>0.24126074498567335</v>
      </c>
      <c r="BO66" s="88">
        <f t="shared" si="63"/>
        <v>0.23952748750567923</v>
      </c>
      <c r="BP66" s="88">
        <f>BP39/BP58</f>
        <v>0.23476448520216758</v>
      </c>
      <c r="BQ66" s="88">
        <f>BQ39/BQ58</f>
        <v>0</v>
      </c>
      <c r="CN66" s="88">
        <f t="shared" ref="CN66:CP66" si="64">CN39/CN58</f>
        <v>0.2327974426581422</v>
      </c>
      <c r="CO66" s="88">
        <f t="shared" si="64"/>
        <v>0.22460878285407776</v>
      </c>
      <c r="CP66" s="88">
        <f t="shared" si="64"/>
        <v>0.2328530388724302</v>
      </c>
      <c r="CQ66" s="35"/>
    </row>
    <row r="67" spans="2:156">
      <c r="B67" s="85" t="s">
        <v>1506</v>
      </c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>
        <f t="shared" ref="BK67:BO67" si="65">BK43/BK58</f>
        <v>0.16576611346970282</v>
      </c>
      <c r="BL67" s="88">
        <f t="shared" si="65"/>
        <v>0.15918931368033165</v>
      </c>
      <c r="BM67" s="88">
        <f t="shared" si="65"/>
        <v>0.1702032008631541</v>
      </c>
      <c r="BN67" s="88">
        <f t="shared" si="65"/>
        <v>0.18133442488743348</v>
      </c>
      <c r="BO67" s="88">
        <f t="shared" si="65"/>
        <v>0.15592912312585189</v>
      </c>
      <c r="BP67" s="88">
        <f t="shared" ref="BP67:BQ67" si="66">BP43/BP58</f>
        <v>0.15389745727386411</v>
      </c>
      <c r="BQ67" s="88">
        <f t="shared" si="66"/>
        <v>0</v>
      </c>
      <c r="CN67" s="88">
        <f t="shared" ref="CN67:CP67" si="67">CN43/CN58</f>
        <v>0.169470564901883</v>
      </c>
      <c r="CO67" s="88">
        <f t="shared" si="67"/>
        <v>0.17404790223652603</v>
      </c>
      <c r="CP67" s="88">
        <f t="shared" si="67"/>
        <v>0.16953945596552653</v>
      </c>
      <c r="CQ67" s="35"/>
    </row>
    <row r="68" spans="2:156">
      <c r="B68" s="85" t="s">
        <v>1507</v>
      </c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>
        <f t="shared" ref="BK68:BO68" si="68">BK50/BK58</f>
        <v>0.11067155538402161</v>
      </c>
      <c r="BL68" s="88">
        <f t="shared" si="68"/>
        <v>0.10456011054813449</v>
      </c>
      <c r="BM68" s="88">
        <f t="shared" si="68"/>
        <v>0.10555655457651501</v>
      </c>
      <c r="BN68" s="88">
        <f t="shared" si="68"/>
        <v>9.9959066721244369E-2</v>
      </c>
      <c r="BO68" s="88">
        <f t="shared" si="68"/>
        <v>0.10368014538845979</v>
      </c>
      <c r="BP68" s="88">
        <f t="shared" ref="BP68:BQ68" si="69">BP50/BP58</f>
        <v>0.10045852438516048</v>
      </c>
      <c r="BQ68" s="88">
        <f t="shared" si="69"/>
        <v>0</v>
      </c>
      <c r="CN68" s="88">
        <f t="shared" ref="CN68:CP68" si="70">CN50/CN58</f>
        <v>0.10278367594558649</v>
      </c>
      <c r="CO68" s="88">
        <f t="shared" si="70"/>
        <v>0.10522633456936963</v>
      </c>
      <c r="CP68" s="88">
        <f t="shared" si="70"/>
        <v>0.10496902774037167</v>
      </c>
      <c r="CQ68" s="35"/>
    </row>
    <row r="69" spans="2:156">
      <c r="B69" s="85" t="s">
        <v>1508</v>
      </c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>
        <f t="shared" ref="BK69:BO69" si="71">BK56/BK58</f>
        <v>0.54428791972211499</v>
      </c>
      <c r="BL69" s="88">
        <f t="shared" si="71"/>
        <v>0.55228005527406721</v>
      </c>
      <c r="BM69" s="88">
        <f t="shared" si="71"/>
        <v>0.53677396151771262</v>
      </c>
      <c r="BN69" s="88">
        <f t="shared" si="71"/>
        <v>0.5221449038067949</v>
      </c>
      <c r="BO69" s="88">
        <f t="shared" si="71"/>
        <v>0.54847796456156295</v>
      </c>
      <c r="BP69" s="88">
        <f t="shared" ref="BP69:BQ69" si="72">BP56/BP58</f>
        <v>0.55798249270529388</v>
      </c>
      <c r="BQ69" s="88">
        <f t="shared" si="72"/>
        <v>0</v>
      </c>
      <c r="CN69" s="88">
        <f t="shared" ref="CN69:CP69" si="73">CN56/CN58</f>
        <v>0.53762512541708474</v>
      </c>
      <c r="CO69" s="88">
        <f t="shared" si="73"/>
        <v>0.54005457216819419</v>
      </c>
      <c r="CP69" s="88">
        <f t="shared" si="73"/>
        <v>0.53828889487386655</v>
      </c>
      <c r="CQ69" s="35"/>
    </row>
    <row r="70" spans="2:156">
      <c r="CQ70" s="35"/>
    </row>
    <row r="71" spans="2:156" s="2" customFormat="1" ht="15">
      <c r="B71" s="2" t="s">
        <v>55</v>
      </c>
      <c r="C71" s="87">
        <v>2626.9</v>
      </c>
      <c r="D71" s="87">
        <v>2595.6999999999998</v>
      </c>
      <c r="E71" s="87">
        <v>2628.7</v>
      </c>
      <c r="F71" s="87">
        <v>2541.8000000000002</v>
      </c>
      <c r="G71" s="87">
        <v>2721.4</v>
      </c>
      <c r="H71" s="87">
        <v>2854</v>
      </c>
      <c r="I71" s="87">
        <v>2932.9</v>
      </c>
      <c r="J71" s="87">
        <v>3050.5</v>
      </c>
      <c r="K71" s="87">
        <v>3056.8</v>
      </c>
      <c r="L71" s="87">
        <v>3108.1</v>
      </c>
      <c r="M71" s="87">
        <v>3085.7</v>
      </c>
      <c r="N71" s="87">
        <v>3259.3</v>
      </c>
      <c r="O71" s="87">
        <v>3191.5</v>
      </c>
      <c r="P71" s="87">
        <v>3240.1</v>
      </c>
      <c r="Q71" s="87">
        <v>3191.8</v>
      </c>
      <c r="R71" s="87">
        <v>3466.9</v>
      </c>
      <c r="S71" s="87">
        <v>3903.5</v>
      </c>
      <c r="T71" s="87">
        <v>4321.8999999999996</v>
      </c>
      <c r="U71" s="87">
        <v>4171.3999999999996</v>
      </c>
      <c r="V71" s="87">
        <v>4492.8</v>
      </c>
      <c r="W71" s="87">
        <v>3918.8</v>
      </c>
      <c r="X71" s="87">
        <v>4270.8999999999996</v>
      </c>
      <c r="Y71" s="87">
        <v>4123.2</v>
      </c>
      <c r="Z71" s="87">
        <v>4652.1000000000004</v>
      </c>
      <c r="AA71" s="87">
        <v>4294.8</v>
      </c>
      <c r="AB71" s="87">
        <v>4535.2</v>
      </c>
      <c r="AC71" s="87">
        <v>4490.8999999999996</v>
      </c>
      <c r="AD71" s="87">
        <v>4953.1000000000004</v>
      </c>
      <c r="AE71" s="87">
        <v>4765</v>
      </c>
      <c r="AF71" s="87">
        <v>4990</v>
      </c>
      <c r="AG71" s="87">
        <v>5116</v>
      </c>
      <c r="AH71" s="87">
        <v>6047</v>
      </c>
      <c r="AI71" s="87">
        <v>5853</v>
      </c>
      <c r="AJ71" s="87">
        <v>6078</v>
      </c>
      <c r="AK71" s="87">
        <v>5920</v>
      </c>
      <c r="AL71" s="87">
        <v>6507</v>
      </c>
      <c r="AM71" s="87">
        <v>6125</v>
      </c>
      <c r="AN71" s="87">
        <v>6316</v>
      </c>
      <c r="AO71" s="87">
        <v>6272</v>
      </c>
      <c r="AP71" s="87">
        <v>6829</v>
      </c>
      <c r="AQ71" s="87">
        <v>6230</v>
      </c>
      <c r="AR71" s="87">
        <v>6917</v>
      </c>
      <c r="AS71" s="87">
        <v>8521</v>
      </c>
      <c r="AT71" s="87">
        <v>10550</v>
      </c>
      <c r="AU71" s="87">
        <v>9906</v>
      </c>
      <c r="AV71" s="87">
        <v>9273</v>
      </c>
      <c r="AW71" s="87">
        <v>9330</v>
      </c>
      <c r="AX71" s="87">
        <v>10702</v>
      </c>
      <c r="AY71" s="87">
        <v>11818</v>
      </c>
      <c r="AZ71" s="87">
        <v>10970</v>
      </c>
      <c r="BA71" s="87">
        <v>10677</v>
      </c>
      <c r="BB71" s="87">
        <v>11450</v>
      </c>
      <c r="BC71" s="87">
        <v>10710</v>
      </c>
      <c r="BD71" s="87">
        <v>10687</v>
      </c>
      <c r="BE71" s="87">
        <v>10574</v>
      </c>
      <c r="BF71" s="87">
        <v>10886</v>
      </c>
      <c r="BG71" s="87">
        <v>10345</v>
      </c>
      <c r="BH71" s="87">
        <v>10541</v>
      </c>
      <c r="BI71" s="87">
        <v>10598</v>
      </c>
      <c r="BJ71" s="87">
        <v>11395</v>
      </c>
      <c r="BK71" s="87">
        <v>10364</v>
      </c>
      <c r="BL71" s="87">
        <v>10855</v>
      </c>
      <c r="BM71" s="87">
        <v>11122</v>
      </c>
      <c r="BN71" s="87">
        <v>12215</v>
      </c>
      <c r="BO71" s="87">
        <v>11005</v>
      </c>
      <c r="BP71" s="87">
        <v>11994</v>
      </c>
      <c r="BQ71" s="87">
        <f>BQ58</f>
        <v>12137</v>
      </c>
      <c r="BR71" s="34"/>
      <c r="CA71" s="2">
        <f>SUM(C71:F71)</f>
        <v>10393.1</v>
      </c>
      <c r="CB71" s="2">
        <f>SUM(G71:J71)</f>
        <v>11558.8</v>
      </c>
      <c r="CC71" s="2">
        <f>SUM(K71:N71)</f>
        <v>12509.899999999998</v>
      </c>
      <c r="CD71" s="2">
        <f>SUM(O71:R71)</f>
        <v>13090.300000000001</v>
      </c>
      <c r="CE71" s="2">
        <f>SUM(S71:V71)</f>
        <v>16889.599999999999</v>
      </c>
      <c r="CF71" s="2">
        <f>SUM(W71:Z71)</f>
        <v>16965</v>
      </c>
      <c r="CG71" s="2">
        <f>SUM(AA71:AD71)</f>
        <v>18274</v>
      </c>
      <c r="CH71" s="2">
        <f>SUM(AE71:AH71)</f>
        <v>20918</v>
      </c>
      <c r="CI71" s="2">
        <f>SUM(AI71:AL71)</f>
        <v>24358</v>
      </c>
      <c r="CJ71" s="2">
        <f>SUM(AM71:AP71)</f>
        <v>25542</v>
      </c>
      <c r="CK71" s="2">
        <f>SUM(AQ71:AT71)</f>
        <v>32218</v>
      </c>
      <c r="CL71" s="2">
        <f>SUM(AU71:AX71)</f>
        <v>39211</v>
      </c>
      <c r="CM71" s="2">
        <f>SUM(AY71:BB71)</f>
        <v>44915</v>
      </c>
      <c r="CN71" s="2">
        <f>SUM(BC71:BF71)</f>
        <v>42857</v>
      </c>
      <c r="CO71" s="2">
        <f>SUM(BG71:BJ71)</f>
        <v>42879</v>
      </c>
      <c r="CP71" s="2">
        <f>SUM(BK71:BN71)</f>
        <v>44556</v>
      </c>
      <c r="CQ71" s="93">
        <f>CQ7</f>
        <v>48278.664999999994</v>
      </c>
      <c r="CR71" s="93">
        <f t="shared" ref="CR71:CZ71" si="74">CR7</f>
        <v>52888.827050000007</v>
      </c>
      <c r="CS71" s="93">
        <f t="shared" si="74"/>
        <v>58222.206422800002</v>
      </c>
      <c r="CT71" s="93">
        <f t="shared" si="74"/>
        <v>63415.881710538</v>
      </c>
      <c r="CU71" s="93">
        <f t="shared" si="74"/>
        <v>68647.603575046451</v>
      </c>
      <c r="CV71" s="93">
        <f t="shared" si="74"/>
        <v>73841.852714431065</v>
      </c>
      <c r="CW71" s="93">
        <f t="shared" si="74"/>
        <v>78784.833148347578</v>
      </c>
      <c r="CX71" s="93">
        <f t="shared" si="74"/>
        <v>83524.847720994381</v>
      </c>
      <c r="CY71" s="93">
        <f t="shared" si="74"/>
        <v>87974.71085950284</v>
      </c>
      <c r="CZ71" s="93">
        <f t="shared" si="74"/>
        <v>92258.601655162667</v>
      </c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</row>
    <row r="72" spans="2:156">
      <c r="B72" s="1" t="s">
        <v>56</v>
      </c>
      <c r="C72" s="86">
        <v>1560.5</v>
      </c>
      <c r="D72" s="86">
        <v>1546.8</v>
      </c>
      <c r="E72" s="86">
        <v>1567.2</v>
      </c>
      <c r="F72" s="86">
        <v>1457.1</v>
      </c>
      <c r="G72" s="86">
        <v>1601.1</v>
      </c>
      <c r="H72" s="86">
        <v>1693</v>
      </c>
      <c r="I72" s="86">
        <v>1714</v>
      </c>
      <c r="J72" s="86">
        <v>1756.7</v>
      </c>
      <c r="K72" s="86">
        <v>1767.1</v>
      </c>
      <c r="L72" s="86">
        <v>1786.8</v>
      </c>
      <c r="M72" s="86">
        <v>1787.3</v>
      </c>
      <c r="N72" s="86">
        <v>1873.2</v>
      </c>
      <c r="O72" s="86">
        <v>1855.2</v>
      </c>
      <c r="P72" s="86">
        <v>1876.9</v>
      </c>
      <c r="Q72" s="86">
        <v>1843.9</v>
      </c>
      <c r="R72" s="86">
        <v>1985.2</v>
      </c>
      <c r="S72" s="86">
        <v>2283.5</v>
      </c>
      <c r="T72" s="86">
        <v>2475.4</v>
      </c>
      <c r="U72" s="86">
        <v>2237.8000000000002</v>
      </c>
      <c r="V72" s="86">
        <v>2400.9</v>
      </c>
      <c r="W72" s="86">
        <v>2096.3000000000002</v>
      </c>
      <c r="X72" s="86">
        <v>2329.1</v>
      </c>
      <c r="Y72" s="86">
        <v>2239.9</v>
      </c>
      <c r="Z72" s="86">
        <v>2543.6999999999998</v>
      </c>
      <c r="AA72" s="86">
        <v>2336.9</v>
      </c>
      <c r="AB72" s="86">
        <v>2456.6999999999998</v>
      </c>
      <c r="AC72" s="86">
        <v>2437</v>
      </c>
      <c r="AD72" s="86">
        <v>2671.4</v>
      </c>
      <c r="AE72" s="86">
        <v>2572</v>
      </c>
      <c r="AF72" s="86">
        <v>2706</v>
      </c>
      <c r="AG72" s="86">
        <v>2816</v>
      </c>
      <c r="AH72" s="86">
        <v>3376</v>
      </c>
      <c r="AI72" s="86">
        <v>3273</v>
      </c>
      <c r="AJ72" s="86">
        <v>3340</v>
      </c>
      <c r="AK72" s="86">
        <v>3305</v>
      </c>
      <c r="AL72" s="86">
        <v>3583</v>
      </c>
      <c r="AM72" s="86">
        <v>3418</v>
      </c>
      <c r="AN72" s="86">
        <v>3493</v>
      </c>
      <c r="AO72" s="86">
        <v>3509</v>
      </c>
      <c r="AP72" s="86">
        <v>3794</v>
      </c>
      <c r="AQ72" s="86">
        <v>3490</v>
      </c>
      <c r="AR72" s="86">
        <v>3540</v>
      </c>
      <c r="AS72" s="86">
        <v>4190</v>
      </c>
      <c r="AT72" s="86">
        <v>4994</v>
      </c>
      <c r="AU72" s="86">
        <v>4697</v>
      </c>
      <c r="AV72" s="86">
        <v>4749</v>
      </c>
      <c r="AW72" s="86">
        <v>4679</v>
      </c>
      <c r="AX72" s="86">
        <v>5448</v>
      </c>
      <c r="AY72" s="86">
        <v>6354</v>
      </c>
      <c r="AZ72" s="86">
        <v>6371</v>
      </c>
      <c r="BA72" s="86">
        <v>6375</v>
      </c>
      <c r="BB72" s="86">
        <v>6844</v>
      </c>
      <c r="BC72" s="86">
        <v>6570</v>
      </c>
      <c r="BD72" s="86">
        <v>6436</v>
      </c>
      <c r="BE72" s="86">
        <v>6258</v>
      </c>
      <c r="BF72" s="86">
        <v>6493</v>
      </c>
      <c r="BG72" s="86">
        <v>6140</v>
      </c>
      <c r="BH72" s="86">
        <v>6194</v>
      </c>
      <c r="BI72" s="86">
        <v>6270</v>
      </c>
      <c r="BJ72" s="86">
        <v>6573</v>
      </c>
      <c r="BK72" s="86">
        <v>6129</v>
      </c>
      <c r="BL72" s="86">
        <v>6446</v>
      </c>
      <c r="BM72" s="86">
        <v>6539</v>
      </c>
      <c r="BN72" s="86">
        <v>7204</v>
      </c>
      <c r="BO72" s="86">
        <v>6575</v>
      </c>
      <c r="BP72" s="86">
        <v>7112</v>
      </c>
      <c r="BQ72" s="86">
        <v>6945</v>
      </c>
      <c r="CA72" s="86">
        <f>SUM(C72:F72)</f>
        <v>6131.6</v>
      </c>
      <c r="CB72" s="86">
        <f>SUM(G72:J72)</f>
        <v>6764.8</v>
      </c>
      <c r="CC72" s="86">
        <f>SUM(K72:N72)</f>
        <v>7214.4</v>
      </c>
      <c r="CD72" s="86">
        <f>SUM(O72:R72)</f>
        <v>7561.2</v>
      </c>
      <c r="CE72" s="86">
        <f>SUM(S72:V72)</f>
        <v>9397.6</v>
      </c>
      <c r="CF72" s="86">
        <f>SUM(W72:Z72)</f>
        <v>9209</v>
      </c>
      <c r="CG72" s="86">
        <f>SUM(AA72:AD72)</f>
        <v>9902</v>
      </c>
      <c r="CH72" s="86">
        <f>SUM(AE72:AH72)</f>
        <v>11470</v>
      </c>
      <c r="CI72" s="86">
        <f>SUM(AI72:AL72)</f>
        <v>13501</v>
      </c>
      <c r="CJ72" s="86">
        <f>SUM(AM72:AP72)</f>
        <v>14214</v>
      </c>
      <c r="CK72" s="86">
        <f>SUM(AQ72:AT72)</f>
        <v>16214</v>
      </c>
      <c r="CL72" s="86">
        <f>SUM(AU72:AX72)</f>
        <v>19573</v>
      </c>
      <c r="CM72" s="86">
        <f>SUM(AY72:BB72)</f>
        <v>25944</v>
      </c>
      <c r="CN72" s="86">
        <f>SUM(BC72:BF72)</f>
        <v>25757</v>
      </c>
      <c r="CO72" s="86">
        <f>SUM(BG72:BJ72)</f>
        <v>25177</v>
      </c>
      <c r="CP72" s="86">
        <f>SUM(BK72:BN72)</f>
        <v>26318</v>
      </c>
      <c r="CQ72" s="72">
        <f>CQ71*(1-CQ89)</f>
        <v>28516.875515531017</v>
      </c>
      <c r="CR72" s="72">
        <f t="shared" ref="CR72:CZ72" si="75">CR71*(1-CR89)</f>
        <v>31204.407959500008</v>
      </c>
      <c r="CS72" s="72">
        <f t="shared" si="75"/>
        <v>34059.990757337997</v>
      </c>
      <c r="CT72" s="72">
        <f t="shared" si="75"/>
        <v>36781.211392112047</v>
      </c>
      <c r="CU72" s="72">
        <f t="shared" si="75"/>
        <v>39643.991064589325</v>
      </c>
      <c r="CV72" s="72">
        <f t="shared" si="75"/>
        <v>42459.065310797858</v>
      </c>
      <c r="CW72" s="72">
        <f t="shared" si="75"/>
        <v>45104.316977428985</v>
      </c>
      <c r="CX72" s="72">
        <f t="shared" si="75"/>
        <v>47609.163200966803</v>
      </c>
      <c r="CY72" s="72">
        <f t="shared" si="75"/>
        <v>50145.585189916623</v>
      </c>
      <c r="CZ72" s="72">
        <f t="shared" si="75"/>
        <v>52587.402943442728</v>
      </c>
    </row>
    <row r="73" spans="2:156">
      <c r="B73" s="1" t="s">
        <v>57</v>
      </c>
      <c r="C73" s="86">
        <f t="shared" ref="C73:AP73" si="76">C71-C72</f>
        <v>1066.4000000000001</v>
      </c>
      <c r="D73" s="86">
        <f t="shared" si="76"/>
        <v>1048.8999999999999</v>
      </c>
      <c r="E73" s="86">
        <f t="shared" si="76"/>
        <v>1061.4999999999998</v>
      </c>
      <c r="F73" s="86">
        <f t="shared" si="76"/>
        <v>1084.7000000000003</v>
      </c>
      <c r="G73" s="86">
        <f t="shared" si="76"/>
        <v>1120.3000000000002</v>
      </c>
      <c r="H73" s="86">
        <f t="shared" si="76"/>
        <v>1161</v>
      </c>
      <c r="I73" s="86">
        <f t="shared" si="76"/>
        <v>1218.9000000000001</v>
      </c>
      <c r="J73" s="86">
        <f t="shared" si="76"/>
        <v>1293.8</v>
      </c>
      <c r="K73" s="86">
        <f t="shared" si="76"/>
        <v>1289.7000000000003</v>
      </c>
      <c r="L73" s="86">
        <f t="shared" si="76"/>
        <v>1321.3</v>
      </c>
      <c r="M73" s="86">
        <f t="shared" si="76"/>
        <v>1298.3999999999999</v>
      </c>
      <c r="N73" s="86">
        <f t="shared" si="76"/>
        <v>1386.1000000000001</v>
      </c>
      <c r="O73" s="86">
        <f t="shared" si="76"/>
        <v>1336.3</v>
      </c>
      <c r="P73" s="86">
        <f t="shared" si="76"/>
        <v>1363.1999999999998</v>
      </c>
      <c r="Q73" s="86">
        <f t="shared" si="76"/>
        <v>1347.9</v>
      </c>
      <c r="R73" s="86">
        <f t="shared" si="76"/>
        <v>1481.7</v>
      </c>
      <c r="S73" s="86">
        <f t="shared" si="76"/>
        <v>1620</v>
      </c>
      <c r="T73" s="86">
        <f t="shared" si="76"/>
        <v>1846.4999999999995</v>
      </c>
      <c r="U73" s="86">
        <f t="shared" si="76"/>
        <v>1933.5999999999995</v>
      </c>
      <c r="V73" s="86">
        <f t="shared" si="76"/>
        <v>2091.9</v>
      </c>
      <c r="W73" s="86">
        <f t="shared" si="76"/>
        <v>1822.5</v>
      </c>
      <c r="X73" s="86">
        <f t="shared" si="76"/>
        <v>1941.7999999999997</v>
      </c>
      <c r="Y73" s="86">
        <f t="shared" si="76"/>
        <v>1883.2999999999997</v>
      </c>
      <c r="Z73" s="86">
        <f t="shared" si="76"/>
        <v>2108.4000000000005</v>
      </c>
      <c r="AA73" s="86">
        <f t="shared" si="76"/>
        <v>1957.9</v>
      </c>
      <c r="AB73" s="86">
        <f t="shared" si="76"/>
        <v>2078.5</v>
      </c>
      <c r="AC73" s="86">
        <f t="shared" si="76"/>
        <v>2053.8999999999996</v>
      </c>
      <c r="AD73" s="86">
        <f t="shared" si="76"/>
        <v>2281.7000000000003</v>
      </c>
      <c r="AE73" s="86">
        <f t="shared" si="76"/>
        <v>2193</v>
      </c>
      <c r="AF73" s="86">
        <f t="shared" si="76"/>
        <v>2284</v>
      </c>
      <c r="AG73" s="86">
        <f t="shared" si="76"/>
        <v>2300</v>
      </c>
      <c r="AH73" s="86">
        <f t="shared" si="76"/>
        <v>2671</v>
      </c>
      <c r="AI73" s="86">
        <f t="shared" si="76"/>
        <v>2580</v>
      </c>
      <c r="AJ73" s="86">
        <f t="shared" si="76"/>
        <v>2738</v>
      </c>
      <c r="AK73" s="86">
        <f t="shared" si="76"/>
        <v>2615</v>
      </c>
      <c r="AL73" s="86">
        <f t="shared" si="76"/>
        <v>2924</v>
      </c>
      <c r="AM73" s="86">
        <f t="shared" si="76"/>
        <v>2707</v>
      </c>
      <c r="AN73" s="86">
        <f t="shared" si="76"/>
        <v>2823</v>
      </c>
      <c r="AO73" s="86">
        <f t="shared" si="76"/>
        <v>2763</v>
      </c>
      <c r="AP73" s="86">
        <f t="shared" si="76"/>
        <v>3035</v>
      </c>
      <c r="AQ73" s="86">
        <f t="shared" ref="AQ73:BJ73" si="77">AQ71-AQ72</f>
        <v>2740</v>
      </c>
      <c r="AR73" s="86">
        <f t="shared" si="77"/>
        <v>3377</v>
      </c>
      <c r="AS73" s="86">
        <f t="shared" si="77"/>
        <v>4331</v>
      </c>
      <c r="AT73" s="86">
        <f t="shared" si="77"/>
        <v>5556</v>
      </c>
      <c r="AU73" s="86">
        <f t="shared" si="77"/>
        <v>5209</v>
      </c>
      <c r="AV73" s="86">
        <f t="shared" si="77"/>
        <v>4524</v>
      </c>
      <c r="AW73" s="86">
        <f t="shared" si="77"/>
        <v>4651</v>
      </c>
      <c r="AX73" s="86">
        <f t="shared" si="77"/>
        <v>5254</v>
      </c>
      <c r="AY73" s="86">
        <f t="shared" si="77"/>
        <v>5464</v>
      </c>
      <c r="AZ73" s="86">
        <f t="shared" si="77"/>
        <v>4599</v>
      </c>
      <c r="BA73" s="86">
        <f t="shared" si="77"/>
        <v>4302</v>
      </c>
      <c r="BB73" s="86">
        <f t="shared" si="77"/>
        <v>4606</v>
      </c>
      <c r="BC73" s="86">
        <f t="shared" si="77"/>
        <v>4140</v>
      </c>
      <c r="BD73" s="86">
        <f t="shared" si="77"/>
        <v>4251</v>
      </c>
      <c r="BE73" s="86">
        <f t="shared" si="77"/>
        <v>4316</v>
      </c>
      <c r="BF73" s="86">
        <f t="shared" si="77"/>
        <v>4393</v>
      </c>
      <c r="BG73" s="86">
        <f t="shared" si="77"/>
        <v>4205</v>
      </c>
      <c r="BH73" s="86">
        <f t="shared" si="77"/>
        <v>4347</v>
      </c>
      <c r="BI73" s="86">
        <f t="shared" si="77"/>
        <v>4328</v>
      </c>
      <c r="BJ73" s="86">
        <f t="shared" si="77"/>
        <v>4822</v>
      </c>
      <c r="BK73" s="86">
        <f>BK71-BK72</f>
        <v>4235</v>
      </c>
      <c r="BL73" s="86">
        <f t="shared" ref="BL73:BO73" si="78">BL71-BL72</f>
        <v>4409</v>
      </c>
      <c r="BM73" s="86">
        <f t="shared" si="78"/>
        <v>4583</v>
      </c>
      <c r="BN73" s="86">
        <f t="shared" si="78"/>
        <v>5011</v>
      </c>
      <c r="BO73" s="86">
        <f t="shared" si="78"/>
        <v>4430</v>
      </c>
      <c r="BP73" s="86">
        <f t="shared" ref="BP73:BQ73" si="79">BP71-BP72</f>
        <v>4882</v>
      </c>
      <c r="BQ73" s="86">
        <f t="shared" si="79"/>
        <v>5192</v>
      </c>
      <c r="CA73" s="86">
        <f t="shared" ref="CA73:CA85" si="80">SUM(C73:F73)</f>
        <v>4261.5</v>
      </c>
      <c r="CB73" s="86">
        <f t="shared" ref="CB73:CB85" si="81">SUM(G73:J73)</f>
        <v>4794</v>
      </c>
      <c r="CC73" s="86">
        <f t="shared" ref="CC73:CC85" si="82">SUM(K73:N73)</f>
        <v>5295.5</v>
      </c>
      <c r="CD73" s="86">
        <f t="shared" ref="CD73:CD85" si="83">SUM(O73:R73)</f>
        <v>5529.1</v>
      </c>
      <c r="CE73" s="86">
        <f t="shared" ref="CE73:CE85" si="84">SUM(S73:V73)</f>
        <v>7491.9999999999982</v>
      </c>
      <c r="CF73" s="86">
        <f t="shared" ref="CF73:CF85" si="85">SUM(W73:Z73)</f>
        <v>7756</v>
      </c>
      <c r="CG73" s="86">
        <f t="shared" ref="CG73:CG85" si="86">SUM(AA73:AD73)</f>
        <v>8372</v>
      </c>
      <c r="CH73" s="86">
        <f t="shared" ref="CH73:CH85" si="87">SUM(AE73:AH73)</f>
        <v>9448</v>
      </c>
      <c r="CI73" s="86">
        <f t="shared" ref="CI73:CI85" si="88">SUM(AI73:AL73)</f>
        <v>10857</v>
      </c>
      <c r="CJ73" s="86">
        <f t="shared" ref="CJ73:CJ85" si="89">SUM(AM73:AP73)</f>
        <v>11328</v>
      </c>
      <c r="CK73" s="86">
        <f t="shared" ref="CK73:CK85" si="90">SUM(AQ73:AT73)</f>
        <v>16004</v>
      </c>
      <c r="CL73" s="86">
        <f t="shared" ref="CL73:CL85" si="91">SUM(AU73:AX73)</f>
        <v>19638</v>
      </c>
      <c r="CM73" s="86">
        <f t="shared" ref="CM73:CM85" si="92">SUM(AY73:BB73)</f>
        <v>18971</v>
      </c>
      <c r="CN73" s="86">
        <f t="shared" ref="CN73:CN85" si="93">SUM(BC73:BF73)</f>
        <v>17100</v>
      </c>
      <c r="CO73" s="86">
        <f t="shared" ref="CO73:CO85" si="94">SUM(BG73:BJ73)</f>
        <v>17702</v>
      </c>
      <c r="CP73" s="86">
        <f t="shared" ref="CP73:CP85" si="95">SUM(BK73:BN73)</f>
        <v>18238</v>
      </c>
      <c r="CQ73" s="72">
        <f>CQ71*CQ89</f>
        <v>19761.78948446898</v>
      </c>
      <c r="CR73" s="72">
        <f t="shared" ref="CR73:CZ73" si="96">CR71*CR89</f>
        <v>21684.419090500003</v>
      </c>
      <c r="CS73" s="72">
        <f t="shared" si="96"/>
        <v>24162.215665462001</v>
      </c>
      <c r="CT73" s="72">
        <f t="shared" si="96"/>
        <v>26634.67031842596</v>
      </c>
      <c r="CU73" s="72">
        <f t="shared" si="96"/>
        <v>29003.612510457126</v>
      </c>
      <c r="CV73" s="72">
        <f t="shared" si="96"/>
        <v>31382.787403633203</v>
      </c>
      <c r="CW73" s="72">
        <f t="shared" si="96"/>
        <v>33680.516170918592</v>
      </c>
      <c r="CX73" s="72">
        <f t="shared" si="96"/>
        <v>35915.684520027586</v>
      </c>
      <c r="CY73" s="72">
        <f t="shared" si="96"/>
        <v>37829.125669586218</v>
      </c>
      <c r="CZ73" s="72">
        <f t="shared" si="96"/>
        <v>39671.198711719946</v>
      </c>
    </row>
    <row r="74" spans="2:156">
      <c r="B74" s="1" t="s">
        <v>1431</v>
      </c>
      <c r="C74" s="86">
        <v>698.3</v>
      </c>
      <c r="D74" s="86">
        <v>673.2</v>
      </c>
      <c r="E74" s="86">
        <v>677</v>
      </c>
      <c r="F74" s="86">
        <v>680.3</v>
      </c>
      <c r="G74" s="86">
        <v>708.7</v>
      </c>
      <c r="H74" s="86">
        <v>772.9</v>
      </c>
      <c r="I74" s="86">
        <v>804.5</v>
      </c>
      <c r="J74" s="86">
        <v>820.4</v>
      </c>
      <c r="K74" s="86">
        <v>824.3</v>
      </c>
      <c r="L74" s="86">
        <v>835</v>
      </c>
      <c r="M74" s="86">
        <v>839</v>
      </c>
      <c r="N74" s="86">
        <v>856.6</v>
      </c>
      <c r="O74" s="86">
        <v>829.5</v>
      </c>
      <c r="P74" s="86">
        <v>869.6</v>
      </c>
      <c r="Q74" s="86">
        <v>848.5</v>
      </c>
      <c r="R74" s="86">
        <v>898.7</v>
      </c>
      <c r="S74" s="86">
        <v>1177</v>
      </c>
      <c r="T74" s="86">
        <v>1253.8</v>
      </c>
      <c r="U74" s="86">
        <v>1228.7</v>
      </c>
      <c r="V74" s="86">
        <v>1236.5999999999999</v>
      </c>
      <c r="W74" s="86">
        <v>1137.4000000000001</v>
      </c>
      <c r="X74" s="86">
        <v>1151</v>
      </c>
      <c r="Y74" s="86">
        <v>1133.3</v>
      </c>
      <c r="Z74" s="86">
        <v>1190.3</v>
      </c>
      <c r="AA74" s="86">
        <v>1212.9000000000001</v>
      </c>
      <c r="AB74" s="86">
        <v>1223.0999999999999</v>
      </c>
      <c r="AC74" s="86">
        <v>1274.5999999999999</v>
      </c>
      <c r="AD74" s="86">
        <v>1260.4000000000001</v>
      </c>
      <c r="AE74" s="86">
        <v>1334</v>
      </c>
      <c r="AF74" s="86">
        <v>1291</v>
      </c>
      <c r="AG74" s="86">
        <v>1400</v>
      </c>
      <c r="AH74" s="86">
        <v>1479</v>
      </c>
      <c r="AI74" s="86">
        <v>1515</v>
      </c>
      <c r="AJ74" s="86">
        <v>1542</v>
      </c>
      <c r="AK74" s="86">
        <v>1490</v>
      </c>
      <c r="AL74" s="86">
        <v>1510</v>
      </c>
      <c r="AM74" s="86">
        <v>1528</v>
      </c>
      <c r="AN74" s="86">
        <v>1565</v>
      </c>
      <c r="AO74" s="86">
        <v>1539</v>
      </c>
      <c r="AP74" s="86">
        <v>1512</v>
      </c>
      <c r="AQ74" s="86">
        <v>1551</v>
      </c>
      <c r="AR74" s="86">
        <v>1710</v>
      </c>
      <c r="AS74" s="86">
        <v>1592</v>
      </c>
      <c r="AT74" s="86">
        <v>2077</v>
      </c>
      <c r="AU74" s="86">
        <v>1826</v>
      </c>
      <c r="AV74" s="86">
        <v>1899</v>
      </c>
      <c r="AW74" s="86">
        <v>2004</v>
      </c>
      <c r="AX74" s="86">
        <v>2278</v>
      </c>
      <c r="AY74" s="86">
        <v>2277</v>
      </c>
      <c r="AZ74" s="86">
        <v>2209</v>
      </c>
      <c r="BA74" s="86">
        <v>2208</v>
      </c>
      <c r="BB74" s="86">
        <v>2299</v>
      </c>
      <c r="BC74" s="86">
        <v>2119</v>
      </c>
      <c r="BD74" s="86">
        <v>2145</v>
      </c>
      <c r="BE74" s="86">
        <v>2049</v>
      </c>
      <c r="BF74" s="86">
        <v>2132</v>
      </c>
      <c r="BG74" s="86">
        <v>2183</v>
      </c>
      <c r="BH74" s="86">
        <v>2111</v>
      </c>
      <c r="BI74" s="86">
        <v>2098</v>
      </c>
      <c r="BJ74" s="86">
        <v>2203</v>
      </c>
      <c r="BK74" s="86">
        <v>2078</v>
      </c>
      <c r="BL74" s="86">
        <v>2140</v>
      </c>
      <c r="BM74" s="86">
        <v>2162</v>
      </c>
      <c r="BN74" s="86">
        <v>2352</v>
      </c>
      <c r="BO74" s="86">
        <v>2181</v>
      </c>
      <c r="BP74" s="86">
        <v>2333</v>
      </c>
      <c r="BQ74" s="86">
        <f>1863+519</f>
        <v>2382</v>
      </c>
      <c r="CA74" s="86">
        <f t="shared" si="80"/>
        <v>2728.8</v>
      </c>
      <c r="CB74" s="86">
        <f t="shared" si="81"/>
        <v>3106.5</v>
      </c>
      <c r="CC74" s="86">
        <f t="shared" si="82"/>
        <v>3354.9</v>
      </c>
      <c r="CD74" s="86">
        <f t="shared" si="83"/>
        <v>3446.3</v>
      </c>
      <c r="CE74" s="86">
        <f t="shared" si="84"/>
        <v>4896.1000000000004</v>
      </c>
      <c r="CF74" s="86">
        <f t="shared" si="85"/>
        <v>4612</v>
      </c>
      <c r="CG74" s="86">
        <f t="shared" si="86"/>
        <v>4971</v>
      </c>
      <c r="CH74" s="86">
        <f t="shared" si="87"/>
        <v>5504</v>
      </c>
      <c r="CI74" s="86">
        <f t="shared" si="88"/>
        <v>6057</v>
      </c>
      <c r="CJ74" s="86">
        <f t="shared" si="89"/>
        <v>6144</v>
      </c>
      <c r="CK74" s="86">
        <f t="shared" si="90"/>
        <v>6930</v>
      </c>
      <c r="CL74" s="86">
        <f t="shared" si="91"/>
        <v>8007</v>
      </c>
      <c r="CM74" s="86">
        <f t="shared" si="92"/>
        <v>8993</v>
      </c>
      <c r="CN74" s="86">
        <f t="shared" si="93"/>
        <v>8445</v>
      </c>
      <c r="CO74" s="86">
        <f t="shared" si="94"/>
        <v>8595</v>
      </c>
      <c r="CP74" s="86">
        <f t="shared" si="95"/>
        <v>8732</v>
      </c>
      <c r="CQ74" s="72">
        <f>CQ71*CQ90</f>
        <v>9461.5607949546629</v>
      </c>
      <c r="CR74" s="72">
        <f t="shared" ref="CR74:CZ74" si="97">CR71*CR90</f>
        <v>10365.051571070115</v>
      </c>
      <c r="CS74" s="72">
        <f t="shared" si="97"/>
        <v>11410.277100365598</v>
      </c>
      <c r="CT74" s="72">
        <f t="shared" si="97"/>
        <v>12428.123689209484</v>
      </c>
      <c r="CU74" s="72">
        <f t="shared" si="97"/>
        <v>13453.426573689416</v>
      </c>
      <c r="CV74" s="72">
        <f t="shared" si="97"/>
        <v>14471.385624885806</v>
      </c>
      <c r="CW74" s="72">
        <f t="shared" si="97"/>
        <v>15440.101513856069</v>
      </c>
      <c r="CX74" s="72">
        <f t="shared" si="97"/>
        <v>16369.040539988395</v>
      </c>
      <c r="CY74" s="72">
        <f t="shared" si="97"/>
        <v>17241.116240802108</v>
      </c>
      <c r="CZ74" s="72">
        <f t="shared" si="97"/>
        <v>18080.664998044715</v>
      </c>
    </row>
    <row r="75" spans="2:156">
      <c r="B75" s="1" t="s">
        <v>1432</v>
      </c>
      <c r="C75" s="86">
        <v>66.099999999999994</v>
      </c>
      <c r="D75" s="86">
        <v>69.599999999999994</v>
      </c>
      <c r="E75" s="86">
        <v>71.5</v>
      </c>
      <c r="F75" s="86">
        <v>77.2</v>
      </c>
      <c r="G75" s="86">
        <v>74.8</v>
      </c>
      <c r="H75" s="86">
        <v>83.2</v>
      </c>
      <c r="I75" s="86">
        <v>86.8</v>
      </c>
      <c r="J75" s="86">
        <v>95.4</v>
      </c>
      <c r="K75" s="86">
        <v>91.7</v>
      </c>
      <c r="L75" s="86">
        <v>94.2</v>
      </c>
      <c r="M75" s="86">
        <v>92</v>
      </c>
      <c r="N75" s="86">
        <v>98.5</v>
      </c>
      <c r="O75" s="86">
        <v>98.2</v>
      </c>
      <c r="P75" s="86">
        <v>96.7</v>
      </c>
      <c r="Q75" s="86">
        <v>95.9</v>
      </c>
      <c r="R75" s="86">
        <v>104.7</v>
      </c>
      <c r="S75" s="86">
        <v>149.69999999999999</v>
      </c>
      <c r="T75" s="86">
        <v>183.7</v>
      </c>
      <c r="U75" s="86">
        <v>175.2</v>
      </c>
      <c r="V75" s="86">
        <v>182.5</v>
      </c>
      <c r="W75" s="86">
        <v>165.8</v>
      </c>
      <c r="X75" s="86">
        <v>174.6</v>
      </c>
      <c r="Y75" s="86">
        <v>171.6</v>
      </c>
      <c r="Z75" s="86">
        <v>180</v>
      </c>
      <c r="AA75" s="86">
        <v>176.5</v>
      </c>
      <c r="AB75" s="86">
        <v>182.4</v>
      </c>
      <c r="AC75" s="86">
        <v>183.3</v>
      </c>
      <c r="AD75" s="86">
        <v>211.8</v>
      </c>
      <c r="AE75" s="86">
        <v>215</v>
      </c>
      <c r="AF75" s="86">
        <v>222</v>
      </c>
      <c r="AG75" s="86">
        <v>217</v>
      </c>
      <c r="AH75" s="86">
        <v>233</v>
      </c>
      <c r="AI75" s="86">
        <v>234</v>
      </c>
      <c r="AJ75" s="86">
        <v>242</v>
      </c>
      <c r="AK75" s="86">
        <v>240</v>
      </c>
      <c r="AL75" s="86">
        <v>251</v>
      </c>
      <c r="AM75" s="86">
        <v>248</v>
      </c>
      <c r="AN75" s="86">
        <v>246</v>
      </c>
      <c r="AO75" s="86">
        <v>247</v>
      </c>
      <c r="AP75" s="86">
        <v>262</v>
      </c>
      <c r="AQ75" s="86">
        <v>245</v>
      </c>
      <c r="AR75" s="86">
        <v>264</v>
      </c>
      <c r="AS75" s="86">
        <v>296</v>
      </c>
      <c r="AT75" s="86">
        <v>376</v>
      </c>
      <c r="AU75" s="86">
        <v>320</v>
      </c>
      <c r="AV75" s="86">
        <v>343</v>
      </c>
      <c r="AW75" s="86">
        <v>351</v>
      </c>
      <c r="AX75" s="86">
        <v>392</v>
      </c>
      <c r="AY75" s="86">
        <v>364</v>
      </c>
      <c r="AZ75" s="86">
        <v>365</v>
      </c>
      <c r="BA75" s="86">
        <v>351</v>
      </c>
      <c r="BB75" s="86">
        <v>391</v>
      </c>
      <c r="BC75" s="86">
        <v>346</v>
      </c>
      <c r="BD75" s="86">
        <v>345</v>
      </c>
      <c r="BE75" s="86">
        <v>319</v>
      </c>
      <c r="BF75" s="86">
        <v>327</v>
      </c>
      <c r="BG75" s="86">
        <v>331</v>
      </c>
      <c r="BH75" s="86">
        <v>339</v>
      </c>
      <c r="BI75" s="86">
        <v>346</v>
      </c>
      <c r="BJ75" s="86">
        <v>374</v>
      </c>
      <c r="BK75" s="86">
        <v>342</v>
      </c>
      <c r="BL75" s="86">
        <v>352</v>
      </c>
      <c r="BM75" s="86">
        <v>346</v>
      </c>
      <c r="BN75" s="86">
        <v>357</v>
      </c>
      <c r="BO75" s="86">
        <v>336</v>
      </c>
      <c r="BP75" s="86">
        <v>364</v>
      </c>
      <c r="BQ75" s="86">
        <v>348</v>
      </c>
      <c r="CA75" s="86">
        <f t="shared" si="80"/>
        <v>284.39999999999998</v>
      </c>
      <c r="CB75" s="86">
        <f t="shared" si="81"/>
        <v>340.20000000000005</v>
      </c>
      <c r="CC75" s="86">
        <f t="shared" si="82"/>
        <v>376.4</v>
      </c>
      <c r="CD75" s="86">
        <f t="shared" si="83"/>
        <v>395.5</v>
      </c>
      <c r="CE75" s="86">
        <f t="shared" si="84"/>
        <v>691.09999999999991</v>
      </c>
      <c r="CF75" s="86">
        <f t="shared" si="85"/>
        <v>692</v>
      </c>
      <c r="CG75" s="86">
        <f t="shared" si="86"/>
        <v>754</v>
      </c>
      <c r="CH75" s="86">
        <f t="shared" si="87"/>
        <v>887</v>
      </c>
      <c r="CI75" s="86">
        <f t="shared" si="88"/>
        <v>967</v>
      </c>
      <c r="CJ75" s="86">
        <f t="shared" si="89"/>
        <v>1003</v>
      </c>
      <c r="CK75" s="86">
        <f t="shared" si="90"/>
        <v>1181</v>
      </c>
      <c r="CL75" s="86">
        <f t="shared" si="91"/>
        <v>1406</v>
      </c>
      <c r="CM75" s="86">
        <f t="shared" si="92"/>
        <v>1471</v>
      </c>
      <c r="CN75" s="86">
        <f t="shared" si="93"/>
        <v>1337</v>
      </c>
      <c r="CO75" s="86">
        <f t="shared" si="94"/>
        <v>1390</v>
      </c>
      <c r="CP75" s="86">
        <f t="shared" si="95"/>
        <v>1397</v>
      </c>
      <c r="CQ75" s="72">
        <f>CQ71*CQ91</f>
        <v>1513.7197011625817</v>
      </c>
      <c r="CR75" s="72">
        <f t="shared" ref="CR75:CZ75" si="98">CR71*CR91</f>
        <v>1586.6648115000003</v>
      </c>
      <c r="CS75" s="72">
        <f t="shared" si="98"/>
        <v>1746.666192684</v>
      </c>
      <c r="CT75" s="72">
        <f t="shared" si="98"/>
        <v>1839.060569605602</v>
      </c>
      <c r="CU75" s="72">
        <f t="shared" si="98"/>
        <v>1990.7805036763473</v>
      </c>
      <c r="CV75" s="72">
        <f t="shared" si="98"/>
        <v>2067.57187600407</v>
      </c>
      <c r="CW75" s="72">
        <f t="shared" si="98"/>
        <v>2205.9753281537323</v>
      </c>
      <c r="CX75" s="72">
        <f t="shared" si="98"/>
        <v>2255.1708884668483</v>
      </c>
      <c r="CY75" s="72">
        <f t="shared" si="98"/>
        <v>2375.3171932065766</v>
      </c>
      <c r="CZ75" s="72">
        <f t="shared" si="98"/>
        <v>2398.7236430342291</v>
      </c>
    </row>
    <row r="76" spans="2:156">
      <c r="B76" s="1" t="s">
        <v>1433</v>
      </c>
      <c r="C76" s="86">
        <v>17.399999999999977</v>
      </c>
      <c r="D76" s="86">
        <v>8.1999999999999318</v>
      </c>
      <c r="E76" s="86">
        <v>10.299999999999955</v>
      </c>
      <c r="F76" s="86">
        <v>24.299999999999955</v>
      </c>
      <c r="G76" s="86">
        <v>15.299999999999955</v>
      </c>
      <c r="H76" s="86">
        <v>39.799999999999955</v>
      </c>
      <c r="I76" s="86">
        <v>11.600000000000023</v>
      </c>
      <c r="J76" s="86">
        <v>29.800000000000068</v>
      </c>
      <c r="K76" s="86">
        <v>12.200000000000045</v>
      </c>
      <c r="L76" s="86">
        <v>24.299999999999955</v>
      </c>
      <c r="M76" s="86">
        <v>15.200000000000045</v>
      </c>
      <c r="N76" s="86">
        <v>30.399999999999977</v>
      </c>
      <c r="O76" s="86">
        <v>21.5</v>
      </c>
      <c r="P76" s="86">
        <v>21.499999999999886</v>
      </c>
      <c r="Q76" s="86">
        <v>11.399999999999977</v>
      </c>
      <c r="R76" s="86">
        <v>23.299999999999955</v>
      </c>
      <c r="S76" s="86">
        <v>-582.20000000000005</v>
      </c>
      <c r="T76" s="86">
        <v>60.900000000000091</v>
      </c>
      <c r="U76" s="86">
        <v>-110.60000000000014</v>
      </c>
      <c r="V76" s="86">
        <v>33.700000000000045</v>
      </c>
      <c r="W76" s="86">
        <v>32</v>
      </c>
      <c r="X76" s="86">
        <v>20.400000000000091</v>
      </c>
      <c r="Y76" s="86">
        <v>15.500000000000227</v>
      </c>
      <c r="Z76" s="86">
        <v>48.100000000000136</v>
      </c>
      <c r="AA76" s="86">
        <v>50.599999999999909</v>
      </c>
      <c r="AB76" s="86">
        <v>35.400000000000091</v>
      </c>
      <c r="AC76" s="86">
        <v>54.900000000000091</v>
      </c>
      <c r="AD76" s="86">
        <v>48.099999999999909</v>
      </c>
      <c r="AE76" s="86">
        <v>24</v>
      </c>
      <c r="AF76" s="86">
        <v>22</v>
      </c>
      <c r="AG76" s="86">
        <v>49</v>
      </c>
      <c r="AH76" s="86">
        <v>2</v>
      </c>
      <c r="AI76" s="86">
        <v>45</v>
      </c>
      <c r="AJ76" s="86">
        <v>17</v>
      </c>
      <c r="AK76" s="86">
        <v>-27</v>
      </c>
      <c r="AL76" s="86">
        <v>15</v>
      </c>
      <c r="AM76" s="86">
        <v>11</v>
      </c>
      <c r="AN76" s="86">
        <v>-484</v>
      </c>
      <c r="AO76" s="86">
        <v>31</v>
      </c>
      <c r="AP76" s="86">
        <v>29</v>
      </c>
      <c r="AQ76" s="86">
        <v>38</v>
      </c>
      <c r="AR76" s="86">
        <v>12</v>
      </c>
      <c r="AS76" s="86">
        <v>17</v>
      </c>
      <c r="AT76" s="86">
        <v>32</v>
      </c>
      <c r="AU76" s="86">
        <v>14</v>
      </c>
      <c r="AV76" s="86">
        <v>119</v>
      </c>
      <c r="AW76" s="86">
        <v>18</v>
      </c>
      <c r="AX76" s="86">
        <v>46</v>
      </c>
      <c r="AY76" s="86">
        <v>2</v>
      </c>
      <c r="AZ76" s="86">
        <v>24</v>
      </c>
      <c r="BA76" s="86">
        <v>33</v>
      </c>
      <c r="BB76" s="86">
        <v>55</v>
      </c>
      <c r="BC76" s="86">
        <v>112</v>
      </c>
      <c r="BD76" s="86">
        <v>183</v>
      </c>
      <c r="BE76" s="86">
        <v>84</v>
      </c>
      <c r="BF76" s="86">
        <v>80</v>
      </c>
      <c r="BG76" s="86">
        <v>29</v>
      </c>
      <c r="BH76" s="86">
        <v>77</v>
      </c>
      <c r="BI76" s="86">
        <v>45</v>
      </c>
      <c r="BJ76" s="86">
        <v>228</v>
      </c>
      <c r="BK76" s="86">
        <v>98</v>
      </c>
      <c r="BL76" s="86">
        <v>82</v>
      </c>
      <c r="BM76" s="86">
        <v>135</v>
      </c>
      <c r="BN76" s="86">
        <v>47</v>
      </c>
      <c r="BO76" s="86">
        <v>49</v>
      </c>
      <c r="BP76" s="86">
        <v>98</v>
      </c>
      <c r="BQ76" s="86">
        <v>199</v>
      </c>
      <c r="CA76" s="86">
        <f t="shared" si="80"/>
        <v>60.199999999999818</v>
      </c>
      <c r="CB76" s="86">
        <f t="shared" si="81"/>
        <v>96.5</v>
      </c>
      <c r="CC76" s="86">
        <f t="shared" si="82"/>
        <v>82.100000000000023</v>
      </c>
      <c r="CD76" s="86">
        <f t="shared" si="83"/>
        <v>77.699999999999818</v>
      </c>
      <c r="CE76" s="86">
        <f t="shared" si="84"/>
        <v>-598.20000000000005</v>
      </c>
      <c r="CF76" s="86">
        <f t="shared" si="85"/>
        <v>116.00000000000045</v>
      </c>
      <c r="CG76" s="86">
        <f t="shared" si="86"/>
        <v>189</v>
      </c>
      <c r="CH76" s="86">
        <f t="shared" si="87"/>
        <v>97</v>
      </c>
      <c r="CI76" s="86">
        <f t="shared" si="88"/>
        <v>50</v>
      </c>
      <c r="CJ76" s="86">
        <f t="shared" si="89"/>
        <v>-413</v>
      </c>
      <c r="CK76" s="86">
        <f t="shared" si="90"/>
        <v>99</v>
      </c>
      <c r="CL76" s="86">
        <f t="shared" si="91"/>
        <v>197</v>
      </c>
      <c r="CM76" s="86">
        <f t="shared" si="92"/>
        <v>114</v>
      </c>
      <c r="CN76" s="86">
        <f t="shared" si="93"/>
        <v>459</v>
      </c>
      <c r="CO76" s="86">
        <f t="shared" si="94"/>
        <v>379</v>
      </c>
      <c r="CP76" s="86">
        <f t="shared" si="95"/>
        <v>362</v>
      </c>
      <c r="CQ76" s="72">
        <f>CQ71*CQ92</f>
        <v>579.34397999999999</v>
      </c>
      <c r="CR76" s="72">
        <f t="shared" ref="CR76:CZ76" si="99">CR71*CR92</f>
        <v>528.88827050000009</v>
      </c>
      <c r="CS76" s="72">
        <f t="shared" si="99"/>
        <v>523.99985780520001</v>
      </c>
      <c r="CT76" s="72">
        <f t="shared" si="99"/>
        <v>515.22913141248659</v>
      </c>
      <c r="CU76" s="72">
        <f t="shared" si="99"/>
        <v>557.73481672876414</v>
      </c>
      <c r="CV76" s="72">
        <f t="shared" si="99"/>
        <v>599.93605087135393</v>
      </c>
      <c r="CW76" s="72">
        <f t="shared" si="99"/>
        <v>551.49383203843308</v>
      </c>
      <c r="CX76" s="72">
        <f t="shared" si="99"/>
        <v>584.67393404696065</v>
      </c>
      <c r="CY76" s="72">
        <f t="shared" si="99"/>
        <v>527.84826515701707</v>
      </c>
      <c r="CZ76" s="72">
        <f t="shared" si="99"/>
        <v>553.55160993097604</v>
      </c>
    </row>
    <row r="77" spans="2:156">
      <c r="B77" s="1" t="s">
        <v>1434</v>
      </c>
      <c r="C77" s="86">
        <f>C73-SUM(C74:C76)</f>
        <v>284.60000000000014</v>
      </c>
      <c r="D77" s="86">
        <f t="shared" ref="D77:BO77" si="100">D73-SUM(D74:D76)</f>
        <v>297.89999999999986</v>
      </c>
      <c r="E77" s="86">
        <f t="shared" si="100"/>
        <v>302.69999999999982</v>
      </c>
      <c r="F77" s="86">
        <f t="shared" si="100"/>
        <v>302.90000000000032</v>
      </c>
      <c r="G77" s="86">
        <f t="shared" si="100"/>
        <v>321.50000000000023</v>
      </c>
      <c r="H77" s="86">
        <f t="shared" si="100"/>
        <v>265.10000000000002</v>
      </c>
      <c r="I77" s="86">
        <f t="shared" si="100"/>
        <v>316.00000000000011</v>
      </c>
      <c r="J77" s="86">
        <f t="shared" si="100"/>
        <v>348.19999999999993</v>
      </c>
      <c r="K77" s="86">
        <f t="shared" si="100"/>
        <v>361.50000000000023</v>
      </c>
      <c r="L77" s="86">
        <f t="shared" si="100"/>
        <v>367.79999999999995</v>
      </c>
      <c r="M77" s="86">
        <f t="shared" si="100"/>
        <v>352.19999999999982</v>
      </c>
      <c r="N77" s="86">
        <f t="shared" si="100"/>
        <v>400.60000000000014</v>
      </c>
      <c r="O77" s="86">
        <f t="shared" si="100"/>
        <v>387.09999999999991</v>
      </c>
      <c r="P77" s="86">
        <f t="shared" si="100"/>
        <v>375.39999999999986</v>
      </c>
      <c r="Q77" s="86">
        <f t="shared" si="100"/>
        <v>392.10000000000014</v>
      </c>
      <c r="R77" s="86">
        <f t="shared" si="100"/>
        <v>455</v>
      </c>
      <c r="S77" s="86">
        <f t="shared" si="100"/>
        <v>875.5</v>
      </c>
      <c r="T77" s="86">
        <f t="shared" si="100"/>
        <v>348.09999999999945</v>
      </c>
      <c r="U77" s="86">
        <f t="shared" si="100"/>
        <v>640.2999999999995</v>
      </c>
      <c r="V77" s="86">
        <f t="shared" si="100"/>
        <v>639.10000000000014</v>
      </c>
      <c r="W77" s="86">
        <f t="shared" si="100"/>
        <v>487.29999999999995</v>
      </c>
      <c r="X77" s="86">
        <f t="shared" si="100"/>
        <v>595.79999999999973</v>
      </c>
      <c r="Y77" s="86">
        <f t="shared" si="100"/>
        <v>562.89999999999964</v>
      </c>
      <c r="Z77" s="86">
        <f t="shared" si="100"/>
        <v>690.00000000000045</v>
      </c>
      <c r="AA77" s="86">
        <f t="shared" si="100"/>
        <v>517.90000000000009</v>
      </c>
      <c r="AB77" s="86">
        <f t="shared" si="100"/>
        <v>637.59999999999991</v>
      </c>
      <c r="AC77" s="86">
        <f t="shared" si="100"/>
        <v>541.09999999999968</v>
      </c>
      <c r="AD77" s="86">
        <f t="shared" si="100"/>
        <v>761.40000000000032</v>
      </c>
      <c r="AE77" s="86">
        <f t="shared" si="100"/>
        <v>620</v>
      </c>
      <c r="AF77" s="86">
        <f t="shared" si="100"/>
        <v>749</v>
      </c>
      <c r="AG77" s="86">
        <f t="shared" si="100"/>
        <v>634</v>
      </c>
      <c r="AH77" s="86">
        <f t="shared" si="100"/>
        <v>957</v>
      </c>
      <c r="AI77" s="86">
        <f t="shared" si="100"/>
        <v>786</v>
      </c>
      <c r="AJ77" s="86">
        <f t="shared" si="100"/>
        <v>937</v>
      </c>
      <c r="AK77" s="86">
        <f t="shared" si="100"/>
        <v>912</v>
      </c>
      <c r="AL77" s="86">
        <f t="shared" si="100"/>
        <v>1148</v>
      </c>
      <c r="AM77" s="86">
        <f t="shared" si="100"/>
        <v>920</v>
      </c>
      <c r="AN77" s="86">
        <f t="shared" si="100"/>
        <v>1496</v>
      </c>
      <c r="AO77" s="86">
        <f t="shared" si="100"/>
        <v>946</v>
      </c>
      <c r="AP77" s="86">
        <f t="shared" si="100"/>
        <v>1232</v>
      </c>
      <c r="AQ77" s="86">
        <f t="shared" si="100"/>
        <v>906</v>
      </c>
      <c r="AR77" s="86">
        <f t="shared" si="100"/>
        <v>1391</v>
      </c>
      <c r="AS77" s="86">
        <f t="shared" si="100"/>
        <v>2426</v>
      </c>
      <c r="AT77" s="86">
        <f t="shared" si="100"/>
        <v>3071</v>
      </c>
      <c r="AU77" s="86">
        <f t="shared" si="100"/>
        <v>3049</v>
      </c>
      <c r="AV77" s="86">
        <f t="shared" si="100"/>
        <v>2163</v>
      </c>
      <c r="AW77" s="86">
        <f t="shared" si="100"/>
        <v>2278</v>
      </c>
      <c r="AX77" s="86">
        <f t="shared" si="100"/>
        <v>2538</v>
      </c>
      <c r="AY77" s="86">
        <f t="shared" si="100"/>
        <v>2821</v>
      </c>
      <c r="AZ77" s="86">
        <f t="shared" si="100"/>
        <v>2001</v>
      </c>
      <c r="BA77" s="86">
        <f t="shared" si="100"/>
        <v>1710</v>
      </c>
      <c r="BB77" s="86">
        <f t="shared" si="100"/>
        <v>1861</v>
      </c>
      <c r="BC77" s="86">
        <f t="shared" si="100"/>
        <v>1563</v>
      </c>
      <c r="BD77" s="86">
        <f t="shared" si="100"/>
        <v>1578</v>
      </c>
      <c r="BE77" s="86">
        <f t="shared" si="100"/>
        <v>1864</v>
      </c>
      <c r="BF77" s="86">
        <f t="shared" si="100"/>
        <v>1854</v>
      </c>
      <c r="BG77" s="86">
        <f t="shared" si="100"/>
        <v>1662</v>
      </c>
      <c r="BH77" s="86">
        <f t="shared" si="100"/>
        <v>1820</v>
      </c>
      <c r="BI77" s="86">
        <f t="shared" si="100"/>
        <v>1839</v>
      </c>
      <c r="BJ77" s="86">
        <f t="shared" si="100"/>
        <v>2017</v>
      </c>
      <c r="BK77" s="86">
        <f t="shared" si="100"/>
        <v>1717</v>
      </c>
      <c r="BL77" s="86">
        <f t="shared" si="100"/>
        <v>1835</v>
      </c>
      <c r="BM77" s="86">
        <f t="shared" si="100"/>
        <v>1940</v>
      </c>
      <c r="BN77" s="86">
        <f t="shared" si="100"/>
        <v>2255</v>
      </c>
      <c r="BO77" s="86">
        <f t="shared" si="100"/>
        <v>1864</v>
      </c>
      <c r="BP77" s="86">
        <f>BP73-SUM(BP74:BP76)</f>
        <v>2087</v>
      </c>
      <c r="BQ77" s="86">
        <f>BQ73-SUM(BQ74:BQ76)</f>
        <v>2263</v>
      </c>
      <c r="CA77" s="86">
        <f t="shared" si="80"/>
        <v>1188.1000000000001</v>
      </c>
      <c r="CB77" s="86">
        <f t="shared" si="81"/>
        <v>1250.8000000000002</v>
      </c>
      <c r="CC77" s="86">
        <f t="shared" si="82"/>
        <v>1482.1000000000001</v>
      </c>
      <c r="CD77" s="86">
        <f t="shared" si="83"/>
        <v>1609.6</v>
      </c>
      <c r="CE77" s="86">
        <f t="shared" si="84"/>
        <v>2502.9999999999991</v>
      </c>
      <c r="CF77" s="86">
        <f t="shared" si="85"/>
        <v>2336</v>
      </c>
      <c r="CG77" s="86">
        <f t="shared" si="86"/>
        <v>2458</v>
      </c>
      <c r="CH77" s="86">
        <f t="shared" si="87"/>
        <v>2960</v>
      </c>
      <c r="CI77" s="86">
        <f t="shared" si="88"/>
        <v>3783</v>
      </c>
      <c r="CJ77" s="86">
        <f t="shared" si="89"/>
        <v>4594</v>
      </c>
      <c r="CK77" s="86">
        <f t="shared" si="90"/>
        <v>7794</v>
      </c>
      <c r="CL77" s="86">
        <f t="shared" si="91"/>
        <v>10028</v>
      </c>
      <c r="CM77" s="86">
        <f t="shared" si="92"/>
        <v>8393</v>
      </c>
      <c r="CN77" s="86">
        <f t="shared" si="93"/>
        <v>6859</v>
      </c>
      <c r="CO77" s="86">
        <f t="shared" si="94"/>
        <v>7338</v>
      </c>
      <c r="CP77" s="86">
        <f t="shared" si="95"/>
        <v>7747</v>
      </c>
      <c r="CQ77" s="72">
        <f>CQ73-SUM(CQ74:CQ76)</f>
        <v>8207.1650083517361</v>
      </c>
      <c r="CR77" s="72">
        <f t="shared" ref="CR77:CZ77" si="101">CR73-SUM(CR74:CR76)</f>
        <v>9203.8144374298881</v>
      </c>
      <c r="CS77" s="72">
        <f t="shared" si="101"/>
        <v>10481.272514607203</v>
      </c>
      <c r="CT77" s="72">
        <f t="shared" si="101"/>
        <v>11852.256928198387</v>
      </c>
      <c r="CU77" s="72">
        <f t="shared" si="101"/>
        <v>13001.670616362599</v>
      </c>
      <c r="CV77" s="72">
        <f t="shared" si="101"/>
        <v>14243.893851871973</v>
      </c>
      <c r="CW77" s="72">
        <f t="shared" si="101"/>
        <v>15482.945496870358</v>
      </c>
      <c r="CX77" s="72">
        <f t="shared" si="101"/>
        <v>16706.79915752538</v>
      </c>
      <c r="CY77" s="72">
        <f t="shared" si="101"/>
        <v>17684.843970420516</v>
      </c>
      <c r="CZ77" s="72">
        <f t="shared" si="101"/>
        <v>18638.258460710029</v>
      </c>
    </row>
    <row r="78" spans="2:156">
      <c r="B78" s="1" t="s">
        <v>1435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>
        <v>0</v>
      </c>
      <c r="AK78" s="90">
        <v>0</v>
      </c>
      <c r="AL78" s="90">
        <v>0</v>
      </c>
      <c r="AM78" s="90">
        <v>0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0</v>
      </c>
      <c r="AU78" s="86">
        <v>12</v>
      </c>
      <c r="AV78" s="86">
        <v>11</v>
      </c>
      <c r="AW78" s="86">
        <v>9</v>
      </c>
      <c r="AX78" s="86">
        <f>43-SUM(AU78:AW78)</f>
        <v>11</v>
      </c>
      <c r="AY78" s="86">
        <v>18</v>
      </c>
      <c r="AZ78" s="86">
        <v>36</v>
      </c>
      <c r="BA78" s="86">
        <v>68</v>
      </c>
      <c r="BB78" s="86">
        <f>272-SUM(AY78:BA78)</f>
        <v>150</v>
      </c>
      <c r="BC78" s="86">
        <v>146</v>
      </c>
      <c r="BD78" s="86">
        <v>178</v>
      </c>
      <c r="BE78" s="86">
        <v>246</v>
      </c>
      <c r="BF78" s="86">
        <f>879-SUM(BC78:BE78)</f>
        <v>309</v>
      </c>
      <c r="BG78" s="86">
        <v>279</v>
      </c>
      <c r="BH78" s="86">
        <v>295</v>
      </c>
      <c r="BI78" s="86">
        <v>277</v>
      </c>
      <c r="BJ78" s="86">
        <f>1078-SUM(BG78:BI78)</f>
        <v>227</v>
      </c>
      <c r="BK78" s="86">
        <v>203</v>
      </c>
      <c r="BL78" s="86">
        <v>297</v>
      </c>
      <c r="BM78" s="86">
        <v>234</v>
      </c>
      <c r="BN78" s="86">
        <f>993-SUM(BK78:BM78)</f>
        <v>259</v>
      </c>
      <c r="BO78" s="86">
        <v>233</v>
      </c>
      <c r="BP78" s="86">
        <v>207</v>
      </c>
      <c r="BQ78" s="86">
        <v>252</v>
      </c>
      <c r="CA78" s="86">
        <f t="shared" si="80"/>
        <v>0</v>
      </c>
      <c r="CB78" s="86">
        <f t="shared" si="81"/>
        <v>0</v>
      </c>
      <c r="CC78" s="86">
        <f t="shared" si="82"/>
        <v>0</v>
      </c>
      <c r="CD78" s="86">
        <f t="shared" si="83"/>
        <v>0</v>
      </c>
      <c r="CE78" s="86">
        <f t="shared" si="84"/>
        <v>0</v>
      </c>
      <c r="CF78" s="86">
        <f t="shared" si="85"/>
        <v>0</v>
      </c>
      <c r="CG78" s="86">
        <f t="shared" si="86"/>
        <v>0</v>
      </c>
      <c r="CH78" s="86">
        <f t="shared" si="87"/>
        <v>0</v>
      </c>
      <c r="CI78" s="86">
        <f t="shared" si="88"/>
        <v>0</v>
      </c>
      <c r="CJ78" s="86">
        <f t="shared" si="89"/>
        <v>0</v>
      </c>
      <c r="CK78" s="86">
        <f t="shared" si="90"/>
        <v>0</v>
      </c>
      <c r="CL78" s="86">
        <f t="shared" si="91"/>
        <v>43</v>
      </c>
      <c r="CM78" s="86">
        <f t="shared" si="92"/>
        <v>272</v>
      </c>
      <c r="CN78" s="86">
        <f t="shared" si="93"/>
        <v>879</v>
      </c>
      <c r="CO78" s="86">
        <f t="shared" si="94"/>
        <v>1078</v>
      </c>
      <c r="CP78" s="86">
        <f t="shared" si="95"/>
        <v>993</v>
      </c>
      <c r="CQ78" s="72">
        <f>(BP97+BP98)*($DJ$97)</f>
        <v>355.59999999999997</v>
      </c>
      <c r="CR78" s="72">
        <f>(CQ97)*($DJ$97)</f>
        <v>908.82741232200715</v>
      </c>
      <c r="CS78" s="72">
        <f t="shared" ref="CS78:CZ78" si="102">(CR97)*($DJ$97)</f>
        <v>1584.9130821779031</v>
      </c>
      <c r="CT78" s="72">
        <f t="shared" si="102"/>
        <v>2397.148865165701</v>
      </c>
      <c r="CU78" s="72">
        <f t="shared" si="102"/>
        <v>3377.9804786887298</v>
      </c>
      <c r="CV78" s="72">
        <f t="shared" si="102"/>
        <v>4523.2276789229663</v>
      </c>
      <c r="CW78" s="72">
        <f t="shared" si="102"/>
        <v>5852.0614989569867</v>
      </c>
      <c r="CX78" s="72">
        <f t="shared" si="102"/>
        <v>7377.8813436168184</v>
      </c>
      <c r="CY78" s="72">
        <f t="shared" si="102"/>
        <v>9114.1978939815217</v>
      </c>
      <c r="CZ78" s="72">
        <f t="shared" si="102"/>
        <v>11058.192641512109</v>
      </c>
    </row>
    <row r="79" spans="2:156">
      <c r="B79" s="1" t="s">
        <v>1436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86">
        <v>-125</v>
      </c>
      <c r="AV79" s="86">
        <v>-122</v>
      </c>
      <c r="AW79" s="86">
        <v>-128</v>
      </c>
      <c r="AX79" s="86">
        <f>-536-SUM(AU79:AW79)</f>
        <v>-161</v>
      </c>
      <c r="AY79" s="86">
        <v>-136</v>
      </c>
      <c r="AZ79" s="86">
        <v>-148</v>
      </c>
      <c r="BA79" s="86">
        <v>-173</v>
      </c>
      <c r="BB79" s="86">
        <f>-726-SUM(AY79:BA79)</f>
        <v>-269</v>
      </c>
      <c r="BC79" s="86">
        <v>-300</v>
      </c>
      <c r="BD79" s="86">
        <v>-326</v>
      </c>
      <c r="BE79" s="86">
        <v>-359</v>
      </c>
      <c r="BF79" s="86">
        <f>-1375-SUM(BC79:BE79)</f>
        <v>-390</v>
      </c>
      <c r="BG79" s="86">
        <v>-363</v>
      </c>
      <c r="BH79" s="86">
        <v>-354</v>
      </c>
      <c r="BI79" s="86">
        <v>-356</v>
      </c>
      <c r="BJ79" s="86">
        <f>-1390-SUM(BG79:BI79)</f>
        <v>-317</v>
      </c>
      <c r="BK79" s="86">
        <v>-303</v>
      </c>
      <c r="BL79" s="86">
        <v>-404</v>
      </c>
      <c r="BM79" s="86">
        <v>-347</v>
      </c>
      <c r="BN79" s="86">
        <f>-1419-SUM(BK79:BM79)</f>
        <v>-365</v>
      </c>
      <c r="BO79" s="86">
        <v>-354</v>
      </c>
      <c r="BP79" s="86">
        <v>-401</v>
      </c>
      <c r="BQ79" s="86">
        <v>-417</v>
      </c>
      <c r="CA79" s="86">
        <f t="shared" si="80"/>
        <v>0</v>
      </c>
      <c r="CB79" s="86">
        <f t="shared" si="81"/>
        <v>0</v>
      </c>
      <c r="CC79" s="86">
        <f t="shared" si="82"/>
        <v>0</v>
      </c>
      <c r="CD79" s="86">
        <f t="shared" si="83"/>
        <v>0</v>
      </c>
      <c r="CE79" s="86">
        <f t="shared" si="84"/>
        <v>0</v>
      </c>
      <c r="CF79" s="86">
        <f t="shared" si="85"/>
        <v>0</v>
      </c>
      <c r="CG79" s="86">
        <f t="shared" si="86"/>
        <v>0</v>
      </c>
      <c r="CH79" s="86">
        <f t="shared" si="87"/>
        <v>0</v>
      </c>
      <c r="CI79" s="86">
        <f t="shared" si="88"/>
        <v>0</v>
      </c>
      <c r="CJ79" s="86">
        <f t="shared" si="89"/>
        <v>0</v>
      </c>
      <c r="CK79" s="86">
        <f t="shared" si="90"/>
        <v>0</v>
      </c>
      <c r="CL79" s="86">
        <f t="shared" si="91"/>
        <v>-536</v>
      </c>
      <c r="CM79" s="86">
        <f t="shared" si="92"/>
        <v>-726</v>
      </c>
      <c r="CN79" s="86">
        <f t="shared" si="93"/>
        <v>-1375</v>
      </c>
      <c r="CO79" s="86">
        <f t="shared" si="94"/>
        <v>-1390</v>
      </c>
      <c r="CP79" s="86">
        <f t="shared" si="95"/>
        <v>-1419</v>
      </c>
      <c r="CQ79" s="72">
        <f>BP116*-($DE$114)</f>
        <v>-1763.145</v>
      </c>
      <c r="CR79" s="72">
        <f>CQ116*-($DE$114)</f>
        <v>-1332.308475</v>
      </c>
      <c r="CS79" s="72">
        <f t="shared" ref="CS79:CZ79" si="103">CR116*-($DE$114)</f>
        <v>-1272.3545936249998</v>
      </c>
      <c r="CT79" s="72">
        <f t="shared" si="103"/>
        <v>-1215.0986369118748</v>
      </c>
      <c r="CU79" s="72">
        <f t="shared" si="103"/>
        <v>-1160.4191982508403</v>
      </c>
      <c r="CV79" s="72">
        <f t="shared" si="103"/>
        <v>-1108.2003343295526</v>
      </c>
      <c r="CW79" s="72">
        <f t="shared" si="103"/>
        <v>-1058.3313192847227</v>
      </c>
      <c r="CX79" s="72">
        <f t="shared" si="103"/>
        <v>-1010.7064099169102</v>
      </c>
      <c r="CY79" s="72">
        <f t="shared" si="103"/>
        <v>-965.22462147064914</v>
      </c>
      <c r="CZ79" s="72">
        <f t="shared" si="103"/>
        <v>-921.78951350446994</v>
      </c>
    </row>
    <row r="80" spans="2:156">
      <c r="B80" s="1" t="s">
        <v>1437</v>
      </c>
      <c r="C80" s="86">
        <v>-24.9</v>
      </c>
      <c r="D80" s="86">
        <v>-36.799999999999997</v>
      </c>
      <c r="E80" s="86">
        <v>-15.4</v>
      </c>
      <c r="F80" s="86">
        <v>-23.3</v>
      </c>
      <c r="G80" s="86">
        <v>-22.5</v>
      </c>
      <c r="H80" s="86">
        <v>-10.3</v>
      </c>
      <c r="I80" s="86">
        <v>-49.6</v>
      </c>
      <c r="J80" s="86">
        <v>-35.6</v>
      </c>
      <c r="K80" s="86">
        <v>-50.4</v>
      </c>
      <c r="L80" s="86">
        <v>-49.4</v>
      </c>
      <c r="M80" s="86">
        <v>-55.8</v>
      </c>
      <c r="N80" s="86">
        <v>-57.1</v>
      </c>
      <c r="O80" s="86">
        <v>-44.2</v>
      </c>
      <c r="P80" s="86">
        <v>-95.4</v>
      </c>
      <c r="Q80" s="86">
        <v>-73.099999999999994</v>
      </c>
      <c r="R80" s="86">
        <v>-77.400000000000006</v>
      </c>
      <c r="S80" s="86">
        <v>-101.1</v>
      </c>
      <c r="T80" s="86">
        <v>-111.6</v>
      </c>
      <c r="U80" s="86">
        <v>-101.1</v>
      </c>
      <c r="V80" s="86">
        <v>-102</v>
      </c>
      <c r="W80" s="86">
        <v>-105.3</v>
      </c>
      <c r="X80" s="86">
        <v>-92.2</v>
      </c>
      <c r="Y80" s="86">
        <v>-94.8</v>
      </c>
      <c r="Z80" s="86">
        <v>-107.7</v>
      </c>
      <c r="AA80" s="86">
        <v>-94.9</v>
      </c>
      <c r="AB80" s="86">
        <v>-116.5</v>
      </c>
      <c r="AC80" s="86">
        <v>-113.2</v>
      </c>
      <c r="AD80" s="86">
        <v>-109.4</v>
      </c>
      <c r="AE80" s="86">
        <v>-117</v>
      </c>
      <c r="AF80" s="86">
        <v>-123</v>
      </c>
      <c r="AG80" s="86">
        <v>-154</v>
      </c>
      <c r="AH80" s="86">
        <v>-137</v>
      </c>
      <c r="AI80" s="86">
        <v>-152</v>
      </c>
      <c r="AJ80" s="86">
        <v>-131</v>
      </c>
      <c r="AK80" s="86">
        <v>-102</v>
      </c>
      <c r="AL80" s="86">
        <v>-136</v>
      </c>
      <c r="AM80" s="86">
        <v>-103</v>
      </c>
      <c r="AN80" s="86">
        <v>-103</v>
      </c>
      <c r="AO80" s="86">
        <v>-124</v>
      </c>
      <c r="AP80" s="86">
        <v>-192</v>
      </c>
      <c r="AQ80" s="86">
        <v>-78</v>
      </c>
      <c r="AR80" s="86">
        <v>-138</v>
      </c>
      <c r="AS80" s="86">
        <v>-174</v>
      </c>
      <c r="AT80" s="86">
        <v>-174</v>
      </c>
      <c r="AU80" s="86">
        <v>-183</v>
      </c>
      <c r="AV80" s="86">
        <v>-3</v>
      </c>
      <c r="AW80" s="86">
        <v>14</v>
      </c>
      <c r="AX80" s="86">
        <f>-694-SUM(AU80:AW80)</f>
        <v>-522</v>
      </c>
      <c r="AY80" s="86">
        <v>-163</v>
      </c>
      <c r="AZ80" s="86">
        <v>28</v>
      </c>
      <c r="BA80" s="86">
        <v>-4</v>
      </c>
      <c r="BB80" s="86">
        <f>-104-SUM(AY80:BA80)</f>
        <v>35</v>
      </c>
      <c r="BC80" s="86">
        <v>-46</v>
      </c>
      <c r="BD80" s="90">
        <v>0</v>
      </c>
      <c r="BE80" s="86">
        <v>14</v>
      </c>
      <c r="BF80" s="86">
        <f>-65-SUM(BC80:BE80)</f>
        <v>-33</v>
      </c>
      <c r="BG80" s="86">
        <v>10</v>
      </c>
      <c r="BH80" s="86">
        <v>5</v>
      </c>
      <c r="BI80" s="86">
        <v>-16</v>
      </c>
      <c r="BJ80" s="86">
        <f>12-SUM(BG80:BI80)</f>
        <v>13</v>
      </c>
      <c r="BK80" s="86">
        <v>3</v>
      </c>
      <c r="BL80" s="86">
        <v>-19</v>
      </c>
      <c r="BM80" s="86">
        <v>-2</v>
      </c>
      <c r="BN80" s="86">
        <f>-12-SUM(BK80:BM80)</f>
        <v>6</v>
      </c>
      <c r="BO80" s="86">
        <v>-9</v>
      </c>
      <c r="BP80" s="86">
        <v>31</v>
      </c>
      <c r="BQ80" s="86">
        <v>-10</v>
      </c>
      <c r="CA80" s="86">
        <f t="shared" si="80"/>
        <v>-100.39999999999999</v>
      </c>
      <c r="CB80" s="86">
        <f t="shared" si="81"/>
        <v>-118</v>
      </c>
      <c r="CC80" s="86">
        <f t="shared" si="82"/>
        <v>-212.7</v>
      </c>
      <c r="CD80" s="86">
        <f t="shared" si="83"/>
        <v>-290.10000000000002</v>
      </c>
      <c r="CE80" s="86">
        <f t="shared" si="84"/>
        <v>-415.79999999999995</v>
      </c>
      <c r="CF80" s="86">
        <f t="shared" si="85"/>
        <v>-400</v>
      </c>
      <c r="CG80" s="86">
        <f t="shared" si="86"/>
        <v>-434</v>
      </c>
      <c r="CH80" s="86">
        <f t="shared" si="87"/>
        <v>-531</v>
      </c>
      <c r="CI80" s="86">
        <f t="shared" si="88"/>
        <v>-521</v>
      </c>
      <c r="CJ80" s="86">
        <f t="shared" si="89"/>
        <v>-522</v>
      </c>
      <c r="CK80" s="86">
        <f t="shared" si="90"/>
        <v>-564</v>
      </c>
      <c r="CL80" s="86">
        <f t="shared" si="91"/>
        <v>-694</v>
      </c>
      <c r="CM80" s="86">
        <f t="shared" si="92"/>
        <v>-104</v>
      </c>
      <c r="CN80" s="86">
        <f t="shared" si="93"/>
        <v>-65</v>
      </c>
      <c r="CO80" s="86">
        <f t="shared" si="94"/>
        <v>12</v>
      </c>
      <c r="CP80" s="86">
        <f t="shared" si="95"/>
        <v>-12</v>
      </c>
      <c r="CQ80" s="35">
        <v>0</v>
      </c>
      <c r="CR80" s="35">
        <v>0</v>
      </c>
      <c r="CS80" s="35">
        <v>0</v>
      </c>
      <c r="CT80" s="35">
        <v>0</v>
      </c>
      <c r="CU80" s="35">
        <v>0</v>
      </c>
      <c r="CV80" s="35">
        <v>0</v>
      </c>
      <c r="CW80" s="35">
        <v>0</v>
      </c>
      <c r="CX80" s="35">
        <v>0</v>
      </c>
      <c r="CY80" s="35">
        <v>0</v>
      </c>
      <c r="CZ80" s="35">
        <v>0</v>
      </c>
    </row>
    <row r="81" spans="2:156">
      <c r="B81" s="1" t="s">
        <v>1438</v>
      </c>
      <c r="C81" s="86">
        <f t="shared" ref="C81:BF81" si="104">C77+SUM(C78:C80)</f>
        <v>259.70000000000016</v>
      </c>
      <c r="D81" s="86">
        <f t="shared" si="104"/>
        <v>261.09999999999985</v>
      </c>
      <c r="E81" s="86">
        <f t="shared" si="104"/>
        <v>287.29999999999984</v>
      </c>
      <c r="F81" s="86">
        <f t="shared" si="104"/>
        <v>279.60000000000031</v>
      </c>
      <c r="G81" s="86">
        <f t="shared" si="104"/>
        <v>299.00000000000023</v>
      </c>
      <c r="H81" s="86">
        <f t="shared" si="104"/>
        <v>254.8</v>
      </c>
      <c r="I81" s="86">
        <f t="shared" si="104"/>
        <v>266.40000000000009</v>
      </c>
      <c r="J81" s="86">
        <f t="shared" si="104"/>
        <v>312.59999999999991</v>
      </c>
      <c r="K81" s="86">
        <f t="shared" si="104"/>
        <v>311.10000000000025</v>
      </c>
      <c r="L81" s="86">
        <f t="shared" si="104"/>
        <v>318.39999999999998</v>
      </c>
      <c r="M81" s="86">
        <f t="shared" si="104"/>
        <v>296.39999999999981</v>
      </c>
      <c r="N81" s="86">
        <f t="shared" si="104"/>
        <v>343.50000000000011</v>
      </c>
      <c r="O81" s="86">
        <f t="shared" si="104"/>
        <v>342.89999999999992</v>
      </c>
      <c r="P81" s="86">
        <f t="shared" si="104"/>
        <v>279.99999999999989</v>
      </c>
      <c r="Q81" s="86">
        <f t="shared" si="104"/>
        <v>319.00000000000011</v>
      </c>
      <c r="R81" s="86">
        <f t="shared" si="104"/>
        <v>377.6</v>
      </c>
      <c r="S81" s="86">
        <f t="shared" si="104"/>
        <v>774.4</v>
      </c>
      <c r="T81" s="86">
        <f t="shared" si="104"/>
        <v>236.49999999999946</v>
      </c>
      <c r="U81" s="86">
        <f t="shared" si="104"/>
        <v>539.19999999999948</v>
      </c>
      <c r="V81" s="86">
        <f t="shared" si="104"/>
        <v>537.10000000000014</v>
      </c>
      <c r="W81" s="86">
        <f t="shared" si="104"/>
        <v>381.99999999999994</v>
      </c>
      <c r="X81" s="86">
        <f t="shared" si="104"/>
        <v>503.59999999999974</v>
      </c>
      <c r="Y81" s="86">
        <f t="shared" si="104"/>
        <v>468.09999999999962</v>
      </c>
      <c r="Z81" s="86">
        <f t="shared" si="104"/>
        <v>582.30000000000041</v>
      </c>
      <c r="AA81" s="86">
        <f t="shared" si="104"/>
        <v>423.00000000000011</v>
      </c>
      <c r="AB81" s="86">
        <f t="shared" si="104"/>
        <v>521.09999999999991</v>
      </c>
      <c r="AC81" s="86">
        <f t="shared" si="104"/>
        <v>427.89999999999969</v>
      </c>
      <c r="AD81" s="86">
        <f t="shared" si="104"/>
        <v>652.00000000000034</v>
      </c>
      <c r="AE81" s="86">
        <f t="shared" si="104"/>
        <v>503</v>
      </c>
      <c r="AF81" s="86">
        <f t="shared" si="104"/>
        <v>626</v>
      </c>
      <c r="AG81" s="86">
        <f t="shared" si="104"/>
        <v>480</v>
      </c>
      <c r="AH81" s="86">
        <f t="shared" si="104"/>
        <v>820</v>
      </c>
      <c r="AI81" s="86">
        <f t="shared" si="104"/>
        <v>634</v>
      </c>
      <c r="AJ81" s="86">
        <f t="shared" si="104"/>
        <v>806</v>
      </c>
      <c r="AK81" s="86">
        <f t="shared" si="104"/>
        <v>810</v>
      </c>
      <c r="AL81" s="86">
        <f t="shared" si="104"/>
        <v>1012</v>
      </c>
      <c r="AM81" s="86">
        <f t="shared" si="104"/>
        <v>817</v>
      </c>
      <c r="AN81" s="86">
        <f t="shared" si="104"/>
        <v>1393</v>
      </c>
      <c r="AO81" s="86">
        <f t="shared" si="104"/>
        <v>822</v>
      </c>
      <c r="AP81" s="86">
        <f t="shared" si="104"/>
        <v>1040</v>
      </c>
      <c r="AQ81" s="86">
        <f t="shared" si="104"/>
        <v>828</v>
      </c>
      <c r="AR81" s="86">
        <f t="shared" si="104"/>
        <v>1253</v>
      </c>
      <c r="AS81" s="86">
        <f t="shared" si="104"/>
        <v>2252</v>
      </c>
      <c r="AT81" s="86">
        <f t="shared" si="104"/>
        <v>2897</v>
      </c>
      <c r="AU81" s="86">
        <f t="shared" si="104"/>
        <v>2753</v>
      </c>
      <c r="AV81" s="86">
        <f t="shared" si="104"/>
        <v>2049</v>
      </c>
      <c r="AW81" s="86">
        <f t="shared" si="104"/>
        <v>2173</v>
      </c>
      <c r="AX81" s="86">
        <f t="shared" si="104"/>
        <v>1866</v>
      </c>
      <c r="AY81" s="86">
        <f t="shared" si="104"/>
        <v>2540</v>
      </c>
      <c r="AZ81" s="86">
        <f t="shared" si="104"/>
        <v>1917</v>
      </c>
      <c r="BA81" s="86">
        <f t="shared" si="104"/>
        <v>1601</v>
      </c>
      <c r="BB81" s="86">
        <f t="shared" si="104"/>
        <v>1777</v>
      </c>
      <c r="BC81" s="86">
        <f t="shared" si="104"/>
        <v>1363</v>
      </c>
      <c r="BD81" s="86">
        <f t="shared" si="104"/>
        <v>1430</v>
      </c>
      <c r="BE81" s="86">
        <f t="shared" si="104"/>
        <v>1765</v>
      </c>
      <c r="BF81" s="86">
        <f t="shared" si="104"/>
        <v>1740</v>
      </c>
      <c r="BG81" s="86">
        <f t="shared" ref="BG81:BO81" si="105">BG77+SUM(BG78:BG80)</f>
        <v>1588</v>
      </c>
      <c r="BH81" s="86">
        <f t="shared" si="105"/>
        <v>1766</v>
      </c>
      <c r="BI81" s="86">
        <f t="shared" si="105"/>
        <v>1744</v>
      </c>
      <c r="BJ81" s="86">
        <f t="shared" si="105"/>
        <v>1940</v>
      </c>
      <c r="BK81" s="86">
        <f t="shared" si="105"/>
        <v>1620</v>
      </c>
      <c r="BL81" s="86">
        <f t="shared" si="105"/>
        <v>1709</v>
      </c>
      <c r="BM81" s="86">
        <f t="shared" si="105"/>
        <v>1825</v>
      </c>
      <c r="BN81" s="86">
        <f t="shared" si="105"/>
        <v>2155</v>
      </c>
      <c r="BO81" s="86">
        <f t="shared" si="105"/>
        <v>1734</v>
      </c>
      <c r="BP81" s="86">
        <f>BP77+SUM(BP78:BP80)</f>
        <v>1924</v>
      </c>
      <c r="BQ81" s="86">
        <f>BQ77+SUM(BQ78:BQ80)</f>
        <v>2088</v>
      </c>
      <c r="CA81" s="86">
        <f t="shared" si="80"/>
        <v>1087.7</v>
      </c>
      <c r="CB81" s="86">
        <f t="shared" si="81"/>
        <v>1132.8000000000002</v>
      </c>
      <c r="CC81" s="86">
        <f t="shared" si="82"/>
        <v>1269.4000000000001</v>
      </c>
      <c r="CD81" s="86">
        <f t="shared" si="83"/>
        <v>1319.5</v>
      </c>
      <c r="CE81" s="86">
        <f t="shared" si="84"/>
        <v>2087.1999999999989</v>
      </c>
      <c r="CF81" s="86">
        <f t="shared" si="85"/>
        <v>1935.9999999999998</v>
      </c>
      <c r="CG81" s="86">
        <f t="shared" si="86"/>
        <v>2024</v>
      </c>
      <c r="CH81" s="86">
        <f t="shared" si="87"/>
        <v>2429</v>
      </c>
      <c r="CI81" s="86">
        <f t="shared" si="88"/>
        <v>3262</v>
      </c>
      <c r="CJ81" s="86">
        <f t="shared" si="89"/>
        <v>4072</v>
      </c>
      <c r="CK81" s="86">
        <f t="shared" si="90"/>
        <v>7230</v>
      </c>
      <c r="CL81" s="86">
        <f t="shared" si="91"/>
        <v>8841</v>
      </c>
      <c r="CM81" s="86">
        <f t="shared" si="92"/>
        <v>7835</v>
      </c>
      <c r="CN81" s="86">
        <f t="shared" si="93"/>
        <v>6298</v>
      </c>
      <c r="CO81" s="86">
        <f t="shared" si="94"/>
        <v>7038</v>
      </c>
      <c r="CP81" s="86">
        <f t="shared" si="95"/>
        <v>7309</v>
      </c>
      <c r="CQ81" s="72">
        <f>CQ77+SUM(CQ78:CQ80)</f>
        <v>6799.620008351736</v>
      </c>
      <c r="CR81" s="72">
        <f t="shared" ref="CR81:CZ81" si="106">CR77+SUM(CR78:CR80)</f>
        <v>8780.3333747518955</v>
      </c>
      <c r="CS81" s="72">
        <f t="shared" si="106"/>
        <v>10793.831003160107</v>
      </c>
      <c r="CT81" s="72">
        <f t="shared" si="106"/>
        <v>13034.307156452212</v>
      </c>
      <c r="CU81" s="72">
        <f t="shared" si="106"/>
        <v>15219.231896800487</v>
      </c>
      <c r="CV81" s="72">
        <f t="shared" si="106"/>
        <v>17658.921196465388</v>
      </c>
      <c r="CW81" s="72">
        <f t="shared" si="106"/>
        <v>20276.675676542622</v>
      </c>
      <c r="CX81" s="72">
        <f t="shared" si="106"/>
        <v>23073.974091225289</v>
      </c>
      <c r="CY81" s="72">
        <f t="shared" si="106"/>
        <v>25833.817242931389</v>
      </c>
      <c r="CZ81" s="72">
        <f t="shared" si="106"/>
        <v>28774.661588717667</v>
      </c>
    </row>
    <row r="82" spans="2:156">
      <c r="B82" s="1" t="s">
        <v>1439</v>
      </c>
      <c r="C82" s="86">
        <v>35.1</v>
      </c>
      <c r="D82" s="86">
        <v>32.4</v>
      </c>
      <c r="E82" s="86">
        <v>28.5</v>
      </c>
      <c r="F82" s="86">
        <v>5.6</v>
      </c>
      <c r="G82" s="86">
        <v>51.8</v>
      </c>
      <c r="H82" s="86">
        <v>37.700000000000003</v>
      </c>
      <c r="I82" s="86">
        <v>0.1</v>
      </c>
      <c r="J82" s="86">
        <v>19.8</v>
      </c>
      <c r="K82" s="86">
        <v>30.3</v>
      </c>
      <c r="L82" s="86">
        <v>26</v>
      </c>
      <c r="M82" s="86">
        <v>-3</v>
      </c>
      <c r="N82" s="86">
        <v>-42.3</v>
      </c>
      <c r="O82" s="86">
        <v>2.1</v>
      </c>
      <c r="P82" s="86">
        <v>2.4</v>
      </c>
      <c r="Q82" s="86">
        <v>1.3</v>
      </c>
      <c r="R82" s="86">
        <v>34.6</v>
      </c>
      <c r="S82" s="86">
        <v>231.3</v>
      </c>
      <c r="T82" s="86">
        <v>-42</v>
      </c>
      <c r="U82" s="86">
        <v>69.3</v>
      </c>
      <c r="V82" s="86">
        <v>-66.900000000000006</v>
      </c>
      <c r="W82" s="86">
        <v>-3.1</v>
      </c>
      <c r="X82" s="86">
        <v>-8</v>
      </c>
      <c r="Y82" s="86">
        <v>-9.1999999999999993</v>
      </c>
      <c r="Z82" s="86">
        <v>-23.7</v>
      </c>
      <c r="AA82" s="86">
        <v>20.7</v>
      </c>
      <c r="AB82" s="86">
        <v>4.3</v>
      </c>
      <c r="AC82" s="86">
        <v>-45.6</v>
      </c>
      <c r="AD82" s="86">
        <v>19.600000000000001</v>
      </c>
      <c r="AE82" s="86">
        <v>-48</v>
      </c>
      <c r="AF82" s="86">
        <v>13</v>
      </c>
      <c r="AG82" s="86">
        <v>-54</v>
      </c>
      <c r="AH82" s="86">
        <v>290</v>
      </c>
      <c r="AI82" s="86">
        <v>55</v>
      </c>
      <c r="AJ82" s="86">
        <v>54</v>
      </c>
      <c r="AK82" s="86">
        <v>101</v>
      </c>
      <c r="AL82" s="86">
        <v>114</v>
      </c>
      <c r="AM82" s="86">
        <v>2</v>
      </c>
      <c r="AN82" s="86">
        <v>274</v>
      </c>
      <c r="AO82" s="86">
        <v>62</v>
      </c>
      <c r="AP82" s="86">
        <v>36</v>
      </c>
      <c r="AQ82" s="86">
        <v>40</v>
      </c>
      <c r="AR82" s="86">
        <v>97</v>
      </c>
      <c r="AS82" s="86">
        <v>319</v>
      </c>
      <c r="AT82" s="86">
        <v>394</v>
      </c>
      <c r="AU82" s="86">
        <v>416</v>
      </c>
      <c r="AV82" s="86">
        <v>220</v>
      </c>
      <c r="AW82" s="86">
        <v>271</v>
      </c>
      <c r="AX82" s="86">
        <f>1113-SUM(AU82:AW82)</f>
        <v>206</v>
      </c>
      <c r="AY82" s="86">
        <v>320</v>
      </c>
      <c r="AZ82" s="86">
        <v>249</v>
      </c>
      <c r="BA82" s="86">
        <v>103</v>
      </c>
      <c r="BB82" s="86">
        <f>703+172-SUM(AY82:BA82)</f>
        <v>203</v>
      </c>
      <c r="BC82" s="86">
        <v>71</v>
      </c>
      <c r="BD82" s="86">
        <f>52+16</f>
        <v>68</v>
      </c>
      <c r="BE82" s="86">
        <v>70</v>
      </c>
      <c r="BF82" s="86">
        <f>284+59-SUM(BC82:BE82)</f>
        <v>134</v>
      </c>
      <c r="BG82" s="86">
        <f>281-23</f>
        <v>258</v>
      </c>
      <c r="BH82" s="86">
        <f>128+84</f>
        <v>212</v>
      </c>
      <c r="BI82" s="86">
        <v>114</v>
      </c>
      <c r="BJ82" s="86">
        <f>657+42-SUM(BG82:BI82)</f>
        <v>115</v>
      </c>
      <c r="BK82" s="86">
        <v>109</v>
      </c>
      <c r="BL82" s="86">
        <v>90</v>
      </c>
      <c r="BM82" s="86">
        <v>205</v>
      </c>
      <c r="BN82" s="86">
        <f>547+41-SUM(BK82:BM82)</f>
        <v>184</v>
      </c>
      <c r="BO82" s="86">
        <v>78</v>
      </c>
      <c r="BP82" s="86">
        <v>182</v>
      </c>
      <c r="BQ82" s="86">
        <v>361</v>
      </c>
      <c r="BR82" s="1"/>
      <c r="CA82" s="1">
        <f t="shared" si="80"/>
        <v>101.6</v>
      </c>
      <c r="CB82" s="1">
        <f t="shared" si="81"/>
        <v>109.39999999999999</v>
      </c>
      <c r="CC82" s="1">
        <f t="shared" si="82"/>
        <v>11</v>
      </c>
      <c r="CD82" s="1">
        <f t="shared" si="83"/>
        <v>40.4</v>
      </c>
      <c r="CE82" s="1">
        <f t="shared" si="84"/>
        <v>191.70000000000002</v>
      </c>
      <c r="CF82" s="1">
        <f t="shared" si="85"/>
        <v>-44</v>
      </c>
      <c r="CG82" s="1">
        <f t="shared" si="86"/>
        <v>-1</v>
      </c>
      <c r="CH82" s="1">
        <f t="shared" si="87"/>
        <v>201</v>
      </c>
      <c r="CI82" s="1">
        <f t="shared" si="88"/>
        <v>324</v>
      </c>
      <c r="CJ82" s="1">
        <f t="shared" si="89"/>
        <v>374</v>
      </c>
      <c r="CK82" s="1">
        <f t="shared" si="90"/>
        <v>850</v>
      </c>
      <c r="CL82" s="1">
        <f t="shared" si="91"/>
        <v>1113</v>
      </c>
      <c r="CM82" s="1">
        <f t="shared" si="92"/>
        <v>875</v>
      </c>
      <c r="CN82" s="1">
        <f t="shared" si="93"/>
        <v>343</v>
      </c>
      <c r="CO82" s="1">
        <f t="shared" si="94"/>
        <v>699</v>
      </c>
      <c r="CP82" s="1">
        <f t="shared" si="95"/>
        <v>588</v>
      </c>
      <c r="CQ82" s="72">
        <f>CQ81*CQ94</f>
        <v>547.02101038593798</v>
      </c>
      <c r="CR82" s="72">
        <f t="shared" ref="CR82:CZ82" si="107">CR81*CR94</f>
        <v>1053.6400049702274</v>
      </c>
      <c r="CS82" s="72">
        <f t="shared" si="107"/>
        <v>1511.1363404424151</v>
      </c>
      <c r="CT82" s="72">
        <f t="shared" si="107"/>
        <v>1824.8030019033099</v>
      </c>
      <c r="CU82" s="72">
        <f t="shared" si="107"/>
        <v>2130.6924655520684</v>
      </c>
      <c r="CV82" s="72">
        <f t="shared" si="107"/>
        <v>2472.2489675051547</v>
      </c>
      <c r="CW82" s="72">
        <f t="shared" si="107"/>
        <v>2838.7345947159674</v>
      </c>
      <c r="CX82" s="72">
        <f t="shared" si="107"/>
        <v>3230.3563727715409</v>
      </c>
      <c r="CY82" s="72">
        <f t="shared" si="107"/>
        <v>3616.7344140103946</v>
      </c>
      <c r="CZ82" s="72">
        <f t="shared" si="107"/>
        <v>4028.4526224204737</v>
      </c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</row>
    <row r="83" spans="2:156" s="2" customFormat="1" ht="15">
      <c r="B83" s="1" t="s">
        <v>72</v>
      </c>
      <c r="C83" s="86">
        <f t="shared" ref="C83:BN83" si="108">C81-C82</f>
        <v>224.60000000000016</v>
      </c>
      <c r="D83" s="86">
        <f t="shared" si="108"/>
        <v>228.69999999999985</v>
      </c>
      <c r="E83" s="86">
        <f t="shared" si="108"/>
        <v>258.79999999999984</v>
      </c>
      <c r="F83" s="86">
        <f t="shared" si="108"/>
        <v>274.00000000000028</v>
      </c>
      <c r="G83" s="86">
        <f t="shared" si="108"/>
        <v>247.20000000000022</v>
      </c>
      <c r="H83" s="86">
        <f t="shared" si="108"/>
        <v>217.10000000000002</v>
      </c>
      <c r="I83" s="86">
        <f t="shared" si="108"/>
        <v>266.30000000000007</v>
      </c>
      <c r="J83" s="86">
        <f t="shared" si="108"/>
        <v>292.7999999999999</v>
      </c>
      <c r="K83" s="86">
        <f t="shared" si="108"/>
        <v>280.80000000000024</v>
      </c>
      <c r="L83" s="86">
        <f t="shared" si="108"/>
        <v>292.39999999999998</v>
      </c>
      <c r="M83" s="86">
        <f t="shared" si="108"/>
        <v>299.39999999999981</v>
      </c>
      <c r="N83" s="86">
        <f t="shared" si="108"/>
        <v>385.80000000000013</v>
      </c>
      <c r="O83" s="86">
        <f t="shared" si="108"/>
        <v>340.7999999999999</v>
      </c>
      <c r="P83" s="86">
        <f t="shared" si="108"/>
        <v>277.59999999999991</v>
      </c>
      <c r="Q83" s="86">
        <f t="shared" si="108"/>
        <v>317.7000000000001</v>
      </c>
      <c r="R83" s="86">
        <f t="shared" si="108"/>
        <v>343</v>
      </c>
      <c r="S83" s="86">
        <f t="shared" si="108"/>
        <v>543.09999999999991</v>
      </c>
      <c r="T83" s="86">
        <f t="shared" si="108"/>
        <v>278.49999999999943</v>
      </c>
      <c r="U83" s="86">
        <f t="shared" si="108"/>
        <v>469.89999999999947</v>
      </c>
      <c r="V83" s="86">
        <f t="shared" si="108"/>
        <v>604.00000000000011</v>
      </c>
      <c r="W83" s="86">
        <f t="shared" si="108"/>
        <v>385.09999999999997</v>
      </c>
      <c r="X83" s="86">
        <f t="shared" si="108"/>
        <v>511.59999999999974</v>
      </c>
      <c r="Y83" s="86">
        <f t="shared" si="108"/>
        <v>477.29999999999961</v>
      </c>
      <c r="Z83" s="86">
        <f t="shared" si="108"/>
        <v>606.00000000000045</v>
      </c>
      <c r="AA83" s="86">
        <f t="shared" si="108"/>
        <v>402.30000000000013</v>
      </c>
      <c r="AB83" s="86">
        <f t="shared" si="108"/>
        <v>516.79999999999995</v>
      </c>
      <c r="AC83" s="86">
        <f t="shared" si="108"/>
        <v>473.49999999999972</v>
      </c>
      <c r="AD83" s="86">
        <f t="shared" si="108"/>
        <v>632.40000000000032</v>
      </c>
      <c r="AE83" s="86">
        <f t="shared" si="108"/>
        <v>551</v>
      </c>
      <c r="AF83" s="86">
        <f t="shared" si="108"/>
        <v>613</v>
      </c>
      <c r="AG83" s="86">
        <f t="shared" si="108"/>
        <v>534</v>
      </c>
      <c r="AH83" s="86">
        <f t="shared" si="108"/>
        <v>530</v>
      </c>
      <c r="AI83" s="86">
        <f t="shared" si="108"/>
        <v>579</v>
      </c>
      <c r="AJ83" s="86">
        <f t="shared" si="108"/>
        <v>752</v>
      </c>
      <c r="AK83" s="86">
        <f t="shared" si="108"/>
        <v>709</v>
      </c>
      <c r="AL83" s="86">
        <f t="shared" si="108"/>
        <v>898</v>
      </c>
      <c r="AM83" s="86">
        <f t="shared" si="108"/>
        <v>815</v>
      </c>
      <c r="AN83" s="86">
        <f t="shared" si="108"/>
        <v>1119</v>
      </c>
      <c r="AO83" s="86">
        <f t="shared" si="108"/>
        <v>760</v>
      </c>
      <c r="AP83" s="86">
        <f t="shared" si="108"/>
        <v>1004</v>
      </c>
      <c r="AQ83" s="86">
        <f t="shared" si="108"/>
        <v>788</v>
      </c>
      <c r="AR83" s="86">
        <f t="shared" si="108"/>
        <v>1156</v>
      </c>
      <c r="AS83" s="86">
        <f t="shared" si="108"/>
        <v>1933</v>
      </c>
      <c r="AT83" s="86">
        <f t="shared" si="108"/>
        <v>2503</v>
      </c>
      <c r="AU83" s="86">
        <f t="shared" si="108"/>
        <v>2337</v>
      </c>
      <c r="AV83" s="86">
        <f t="shared" si="108"/>
        <v>1829</v>
      </c>
      <c r="AW83" s="86">
        <f t="shared" si="108"/>
        <v>1902</v>
      </c>
      <c r="AX83" s="86">
        <f t="shared" si="108"/>
        <v>1660</v>
      </c>
      <c r="AY83" s="86">
        <f t="shared" si="108"/>
        <v>2220</v>
      </c>
      <c r="AZ83" s="86">
        <f t="shared" si="108"/>
        <v>1668</v>
      </c>
      <c r="BA83" s="86">
        <f t="shared" si="108"/>
        <v>1498</v>
      </c>
      <c r="BB83" s="86">
        <f t="shared" si="108"/>
        <v>1574</v>
      </c>
      <c r="BC83" s="86">
        <f t="shared" si="108"/>
        <v>1292</v>
      </c>
      <c r="BD83" s="86">
        <f t="shared" si="108"/>
        <v>1362</v>
      </c>
      <c r="BE83" s="86">
        <f t="shared" si="108"/>
        <v>1695</v>
      </c>
      <c r="BF83" s="86">
        <f t="shared" si="108"/>
        <v>1606</v>
      </c>
      <c r="BG83" s="86">
        <f t="shared" si="108"/>
        <v>1330</v>
      </c>
      <c r="BH83" s="86">
        <f t="shared" si="108"/>
        <v>1554</v>
      </c>
      <c r="BI83" s="86">
        <f t="shared" si="108"/>
        <v>1630</v>
      </c>
      <c r="BJ83" s="86">
        <f t="shared" si="108"/>
        <v>1825</v>
      </c>
      <c r="BK83" s="86">
        <f t="shared" si="108"/>
        <v>1511</v>
      </c>
      <c r="BL83" s="86">
        <f t="shared" si="108"/>
        <v>1619</v>
      </c>
      <c r="BM83" s="86">
        <f t="shared" si="108"/>
        <v>1620</v>
      </c>
      <c r="BN83" s="86">
        <f t="shared" si="108"/>
        <v>1971</v>
      </c>
      <c r="BO83" s="86">
        <f t="shared" ref="BO83" si="109">BO81-BO82</f>
        <v>1656</v>
      </c>
      <c r="BP83" s="86">
        <f>BP81-BP82</f>
        <v>1742</v>
      </c>
      <c r="BQ83" s="86">
        <f>BQ81-BQ82</f>
        <v>1727</v>
      </c>
      <c r="BR83" s="34"/>
      <c r="CA83" s="86">
        <f t="shared" si="80"/>
        <v>986.10000000000014</v>
      </c>
      <c r="CB83" s="86">
        <f t="shared" si="81"/>
        <v>1023.4000000000003</v>
      </c>
      <c r="CC83" s="86">
        <f t="shared" si="82"/>
        <v>1258.4000000000003</v>
      </c>
      <c r="CD83" s="86">
        <f t="shared" si="83"/>
        <v>1279.0999999999999</v>
      </c>
      <c r="CE83" s="86">
        <f t="shared" si="84"/>
        <v>1895.4999999999991</v>
      </c>
      <c r="CF83" s="86">
        <f t="shared" si="85"/>
        <v>1979.9999999999998</v>
      </c>
      <c r="CG83" s="86">
        <f t="shared" si="86"/>
        <v>2025.0000000000002</v>
      </c>
      <c r="CH83" s="86">
        <f t="shared" si="87"/>
        <v>2228</v>
      </c>
      <c r="CI83" s="86">
        <f t="shared" si="88"/>
        <v>2938</v>
      </c>
      <c r="CJ83" s="86">
        <f t="shared" si="89"/>
        <v>3698</v>
      </c>
      <c r="CK83" s="86">
        <f t="shared" si="90"/>
        <v>6380</v>
      </c>
      <c r="CL83" s="86">
        <f t="shared" si="91"/>
        <v>7728</v>
      </c>
      <c r="CM83" s="86">
        <f t="shared" si="92"/>
        <v>6960</v>
      </c>
      <c r="CN83" s="86">
        <f t="shared" si="93"/>
        <v>5955</v>
      </c>
      <c r="CO83" s="86">
        <f t="shared" si="94"/>
        <v>6339</v>
      </c>
      <c r="CP83" s="86">
        <f t="shared" si="95"/>
        <v>6721</v>
      </c>
      <c r="CQ83" s="72">
        <f>CQ81-CQ82</f>
        <v>6252.5989979657979</v>
      </c>
      <c r="CR83" s="72">
        <f t="shared" ref="CR83:CZ83" si="110">CR81-CR82</f>
        <v>7726.6933697816676</v>
      </c>
      <c r="CS83" s="72">
        <f t="shared" si="110"/>
        <v>9282.6946627176912</v>
      </c>
      <c r="CT83" s="72">
        <f t="shared" si="110"/>
        <v>11209.504154548902</v>
      </c>
      <c r="CU83" s="72">
        <f t="shared" si="110"/>
        <v>13088.539431248419</v>
      </c>
      <c r="CV83" s="72">
        <f t="shared" si="110"/>
        <v>15186.672228960233</v>
      </c>
      <c r="CW83" s="72">
        <f t="shared" si="110"/>
        <v>17437.941081826655</v>
      </c>
      <c r="CX83" s="72">
        <f t="shared" si="110"/>
        <v>19843.617718453748</v>
      </c>
      <c r="CY83" s="72">
        <f t="shared" si="110"/>
        <v>22217.082828920993</v>
      </c>
      <c r="CZ83" s="72">
        <f t="shared" si="110"/>
        <v>24746.208966297192</v>
      </c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</row>
    <row r="84" spans="2:156" s="2" customFormat="1" ht="15">
      <c r="B84" s="1" t="s">
        <v>1440</v>
      </c>
      <c r="C84" s="90">
        <v>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86">
        <v>1</v>
      </c>
      <c r="AW84" s="86">
        <v>0</v>
      </c>
      <c r="AX84" s="86">
        <f>3-SUM(AU84:AW84)</f>
        <v>2</v>
      </c>
      <c r="AY84" s="86">
        <v>5</v>
      </c>
      <c r="AZ84" s="86">
        <v>4</v>
      </c>
      <c r="BA84" s="86">
        <v>3</v>
      </c>
      <c r="BB84" s="86">
        <f>10-SUM(AY84:BA84)</f>
        <v>-2</v>
      </c>
      <c r="BC84" s="86">
        <v>3</v>
      </c>
      <c r="BD84" s="86">
        <v>1</v>
      </c>
      <c r="BE84" s="86">
        <v>-20</v>
      </c>
      <c r="BF84" s="86">
        <f>-40-SUM(BC84:BE84)</f>
        <v>-24</v>
      </c>
      <c r="BG84" s="86">
        <v>4</v>
      </c>
      <c r="BH84" s="86">
        <v>6</v>
      </c>
      <c r="BI84" s="90">
        <v>0</v>
      </c>
      <c r="BJ84" s="86">
        <f>3-SUM(BG84:BI84)</f>
        <v>-7</v>
      </c>
      <c r="BK84" s="86">
        <v>4</v>
      </c>
      <c r="BL84" s="86">
        <v>2</v>
      </c>
      <c r="BM84" s="86">
        <v>5</v>
      </c>
      <c r="BN84" s="86">
        <f>17-SUM(BK84:BM84)</f>
        <v>6</v>
      </c>
      <c r="BO84" s="86">
        <v>5</v>
      </c>
      <c r="BP84" s="86">
        <v>5</v>
      </c>
      <c r="BQ84" s="86">
        <v>6</v>
      </c>
      <c r="BR84" s="34"/>
      <c r="CA84" s="86">
        <f t="shared" si="80"/>
        <v>0</v>
      </c>
      <c r="CB84" s="86">
        <f t="shared" si="81"/>
        <v>0</v>
      </c>
      <c r="CC84" s="86">
        <f t="shared" si="82"/>
        <v>0</v>
      </c>
      <c r="CD84" s="86">
        <f t="shared" si="83"/>
        <v>0</v>
      </c>
      <c r="CE84" s="86">
        <f t="shared" si="84"/>
        <v>0</v>
      </c>
      <c r="CF84" s="86">
        <f t="shared" si="85"/>
        <v>0</v>
      </c>
      <c r="CG84" s="86">
        <f t="shared" si="86"/>
        <v>0</v>
      </c>
      <c r="CH84" s="86">
        <f t="shared" si="87"/>
        <v>0</v>
      </c>
      <c r="CI84" s="86">
        <f t="shared" si="88"/>
        <v>0</v>
      </c>
      <c r="CJ84" s="86">
        <f t="shared" si="89"/>
        <v>0</v>
      </c>
      <c r="CK84" s="86">
        <f t="shared" si="90"/>
        <v>0</v>
      </c>
      <c r="CL84" s="86">
        <f t="shared" si="91"/>
        <v>3</v>
      </c>
      <c r="CM84" s="86">
        <f t="shared" si="92"/>
        <v>10</v>
      </c>
      <c r="CN84" s="86">
        <f t="shared" si="93"/>
        <v>-40</v>
      </c>
      <c r="CO84" s="86">
        <f t="shared" si="94"/>
        <v>3</v>
      </c>
      <c r="CP84" s="86">
        <f t="shared" si="95"/>
        <v>17</v>
      </c>
      <c r="CQ84" s="35">
        <v>0</v>
      </c>
      <c r="CR84" s="35">
        <v>0</v>
      </c>
      <c r="CS84" s="35">
        <v>0</v>
      </c>
      <c r="CT84" s="35">
        <v>0</v>
      </c>
      <c r="CU84" s="35">
        <v>0</v>
      </c>
      <c r="CV84" s="35">
        <v>0</v>
      </c>
      <c r="CW84" s="35">
        <v>0</v>
      </c>
      <c r="CX84" s="35">
        <v>0</v>
      </c>
      <c r="CY84" s="35">
        <v>0</v>
      </c>
      <c r="CZ84" s="35">
        <v>0</v>
      </c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</row>
    <row r="85" spans="2:156" s="2" customFormat="1" ht="15">
      <c r="B85" s="2" t="s">
        <v>1441</v>
      </c>
      <c r="C85" s="87">
        <f>C83-C84</f>
        <v>224.60000000000016</v>
      </c>
      <c r="D85" s="87">
        <f t="shared" ref="D85:BO85" si="111">D83-D84</f>
        <v>228.69999999999985</v>
      </c>
      <c r="E85" s="87">
        <f t="shared" si="111"/>
        <v>258.79999999999984</v>
      </c>
      <c r="F85" s="87">
        <f t="shared" si="111"/>
        <v>274.00000000000028</v>
      </c>
      <c r="G85" s="87">
        <f t="shared" si="111"/>
        <v>247.20000000000022</v>
      </c>
      <c r="H85" s="87">
        <f t="shared" si="111"/>
        <v>217.10000000000002</v>
      </c>
      <c r="I85" s="87">
        <f t="shared" si="111"/>
        <v>266.30000000000007</v>
      </c>
      <c r="J85" s="87">
        <f t="shared" si="111"/>
        <v>292.7999999999999</v>
      </c>
      <c r="K85" s="87">
        <f t="shared" si="111"/>
        <v>280.80000000000024</v>
      </c>
      <c r="L85" s="87">
        <f t="shared" si="111"/>
        <v>292.39999999999998</v>
      </c>
      <c r="M85" s="87">
        <f t="shared" si="111"/>
        <v>299.39999999999981</v>
      </c>
      <c r="N85" s="87">
        <f t="shared" si="111"/>
        <v>385.80000000000013</v>
      </c>
      <c r="O85" s="87">
        <f t="shared" si="111"/>
        <v>340.7999999999999</v>
      </c>
      <c r="P85" s="87">
        <f t="shared" si="111"/>
        <v>277.59999999999991</v>
      </c>
      <c r="Q85" s="87">
        <f t="shared" si="111"/>
        <v>317.7000000000001</v>
      </c>
      <c r="R85" s="87">
        <f t="shared" si="111"/>
        <v>343</v>
      </c>
      <c r="S85" s="87">
        <f t="shared" si="111"/>
        <v>543.09999999999991</v>
      </c>
      <c r="T85" s="87">
        <f t="shared" si="111"/>
        <v>278.49999999999943</v>
      </c>
      <c r="U85" s="87">
        <f t="shared" si="111"/>
        <v>469.89999999999947</v>
      </c>
      <c r="V85" s="87">
        <f t="shared" si="111"/>
        <v>604.00000000000011</v>
      </c>
      <c r="W85" s="87">
        <f t="shared" si="111"/>
        <v>385.09999999999997</v>
      </c>
      <c r="X85" s="87">
        <f t="shared" si="111"/>
        <v>511.59999999999974</v>
      </c>
      <c r="Y85" s="87">
        <f t="shared" si="111"/>
        <v>477.29999999999961</v>
      </c>
      <c r="Z85" s="87">
        <f t="shared" si="111"/>
        <v>606.00000000000045</v>
      </c>
      <c r="AA85" s="87">
        <f t="shared" si="111"/>
        <v>402.30000000000013</v>
      </c>
      <c r="AB85" s="87">
        <f t="shared" si="111"/>
        <v>516.79999999999995</v>
      </c>
      <c r="AC85" s="87">
        <f t="shared" si="111"/>
        <v>473.49999999999972</v>
      </c>
      <c r="AD85" s="87">
        <f t="shared" si="111"/>
        <v>632.40000000000032</v>
      </c>
      <c r="AE85" s="87">
        <f t="shared" si="111"/>
        <v>551</v>
      </c>
      <c r="AF85" s="87">
        <f t="shared" si="111"/>
        <v>613</v>
      </c>
      <c r="AG85" s="87">
        <f t="shared" si="111"/>
        <v>534</v>
      </c>
      <c r="AH85" s="87">
        <f t="shared" si="111"/>
        <v>530</v>
      </c>
      <c r="AI85" s="87">
        <f t="shared" si="111"/>
        <v>579</v>
      </c>
      <c r="AJ85" s="87">
        <f t="shared" si="111"/>
        <v>752</v>
      </c>
      <c r="AK85" s="87">
        <f t="shared" si="111"/>
        <v>709</v>
      </c>
      <c r="AL85" s="87">
        <f t="shared" si="111"/>
        <v>898</v>
      </c>
      <c r="AM85" s="87">
        <f t="shared" si="111"/>
        <v>815</v>
      </c>
      <c r="AN85" s="87">
        <f t="shared" si="111"/>
        <v>1119</v>
      </c>
      <c r="AO85" s="87">
        <f t="shared" si="111"/>
        <v>760</v>
      </c>
      <c r="AP85" s="87">
        <f t="shared" si="111"/>
        <v>1004</v>
      </c>
      <c r="AQ85" s="87">
        <f t="shared" si="111"/>
        <v>788</v>
      </c>
      <c r="AR85" s="87">
        <f t="shared" si="111"/>
        <v>1156</v>
      </c>
      <c r="AS85" s="87">
        <f t="shared" si="111"/>
        <v>1933</v>
      </c>
      <c r="AT85" s="87">
        <f t="shared" si="111"/>
        <v>2503</v>
      </c>
      <c r="AU85" s="87">
        <f t="shared" si="111"/>
        <v>2337</v>
      </c>
      <c r="AV85" s="87">
        <f t="shared" si="111"/>
        <v>1828</v>
      </c>
      <c r="AW85" s="87">
        <f t="shared" si="111"/>
        <v>1902</v>
      </c>
      <c r="AX85" s="87">
        <f t="shared" si="111"/>
        <v>1658</v>
      </c>
      <c r="AY85" s="87">
        <f t="shared" si="111"/>
        <v>2215</v>
      </c>
      <c r="AZ85" s="87">
        <f t="shared" si="111"/>
        <v>1664</v>
      </c>
      <c r="BA85" s="87">
        <f t="shared" si="111"/>
        <v>1495</v>
      </c>
      <c r="BB85" s="87">
        <f t="shared" si="111"/>
        <v>1576</v>
      </c>
      <c r="BC85" s="87">
        <f t="shared" si="111"/>
        <v>1289</v>
      </c>
      <c r="BD85" s="87">
        <f t="shared" si="111"/>
        <v>1361</v>
      </c>
      <c r="BE85" s="87">
        <f t="shared" si="111"/>
        <v>1715</v>
      </c>
      <c r="BF85" s="87">
        <f t="shared" si="111"/>
        <v>1630</v>
      </c>
      <c r="BG85" s="87">
        <f t="shared" si="111"/>
        <v>1326</v>
      </c>
      <c r="BH85" s="87">
        <f t="shared" si="111"/>
        <v>1548</v>
      </c>
      <c r="BI85" s="87">
        <f t="shared" si="111"/>
        <v>1630</v>
      </c>
      <c r="BJ85" s="87">
        <f t="shared" si="111"/>
        <v>1832</v>
      </c>
      <c r="BK85" s="87">
        <f t="shared" si="111"/>
        <v>1507</v>
      </c>
      <c r="BL85" s="87">
        <f t="shared" si="111"/>
        <v>1617</v>
      </c>
      <c r="BM85" s="87">
        <f t="shared" si="111"/>
        <v>1615</v>
      </c>
      <c r="BN85" s="87">
        <f t="shared" si="111"/>
        <v>1965</v>
      </c>
      <c r="BO85" s="87">
        <f t="shared" si="111"/>
        <v>1651</v>
      </c>
      <c r="BP85" s="87">
        <f t="shared" ref="BP85:BQ85" si="112">BP83-BP84</f>
        <v>1737</v>
      </c>
      <c r="BQ85" s="87">
        <f t="shared" si="112"/>
        <v>1721</v>
      </c>
      <c r="BR85" s="34"/>
      <c r="CA85" s="87">
        <f t="shared" si="80"/>
        <v>986.10000000000014</v>
      </c>
      <c r="CB85" s="87">
        <f t="shared" si="81"/>
        <v>1023.4000000000003</v>
      </c>
      <c r="CC85" s="87">
        <f t="shared" si="82"/>
        <v>1258.4000000000003</v>
      </c>
      <c r="CD85" s="87">
        <f t="shared" si="83"/>
        <v>1279.0999999999999</v>
      </c>
      <c r="CE85" s="87">
        <f t="shared" si="84"/>
        <v>1895.4999999999991</v>
      </c>
      <c r="CF85" s="87">
        <f t="shared" si="85"/>
        <v>1979.9999999999998</v>
      </c>
      <c r="CG85" s="87">
        <f t="shared" si="86"/>
        <v>2025.0000000000002</v>
      </c>
      <c r="CH85" s="87">
        <f t="shared" si="87"/>
        <v>2228</v>
      </c>
      <c r="CI85" s="87">
        <f t="shared" si="88"/>
        <v>2938</v>
      </c>
      <c r="CJ85" s="87">
        <f t="shared" si="89"/>
        <v>3698</v>
      </c>
      <c r="CK85" s="87">
        <f t="shared" si="90"/>
        <v>6380</v>
      </c>
      <c r="CL85" s="87">
        <f t="shared" si="91"/>
        <v>7725</v>
      </c>
      <c r="CM85" s="87">
        <f t="shared" si="92"/>
        <v>6950</v>
      </c>
      <c r="CN85" s="87">
        <f t="shared" si="93"/>
        <v>5995</v>
      </c>
      <c r="CO85" s="87">
        <f t="shared" si="94"/>
        <v>6336</v>
      </c>
      <c r="CP85" s="87">
        <f t="shared" si="95"/>
        <v>6704</v>
      </c>
      <c r="CQ85" s="93">
        <f>CQ83-CQ84</f>
        <v>6252.5989979657979</v>
      </c>
      <c r="CR85" s="93">
        <f t="shared" ref="CR85:CZ85" si="113">CR83-CR84</f>
        <v>7726.6933697816676</v>
      </c>
      <c r="CS85" s="93">
        <f t="shared" si="113"/>
        <v>9282.6946627176912</v>
      </c>
      <c r="CT85" s="93">
        <f t="shared" si="113"/>
        <v>11209.504154548902</v>
      </c>
      <c r="CU85" s="93">
        <f t="shared" si="113"/>
        <v>13088.539431248419</v>
      </c>
      <c r="CV85" s="93">
        <f t="shared" si="113"/>
        <v>15186.672228960233</v>
      </c>
      <c r="CW85" s="93">
        <f t="shared" si="113"/>
        <v>17437.941081826655</v>
      </c>
      <c r="CX85" s="93">
        <f t="shared" si="113"/>
        <v>19843.617718453748</v>
      </c>
      <c r="CY85" s="93">
        <f t="shared" si="113"/>
        <v>22217.082828920993</v>
      </c>
      <c r="CZ85" s="93">
        <f t="shared" si="113"/>
        <v>24746.208966297192</v>
      </c>
      <c r="DA85" s="93">
        <f>CZ85*(1+$DJ$98)</f>
        <v>25105.028996308502</v>
      </c>
      <c r="DB85" s="93">
        <f t="shared" ref="DB85:EX85" si="114">DA85*(1+$DJ$98)</f>
        <v>25469.051916754976</v>
      </c>
      <c r="DC85" s="93">
        <f t="shared" si="114"/>
        <v>25838.353169547921</v>
      </c>
      <c r="DD85" s="93">
        <f t="shared" si="114"/>
        <v>26213.009290506365</v>
      </c>
      <c r="DE85" s="93">
        <f t="shared" si="114"/>
        <v>26593.097925218706</v>
      </c>
      <c r="DF85" s="93">
        <f t="shared" si="114"/>
        <v>26978.697845134375</v>
      </c>
      <c r="DG85" s="93">
        <f t="shared" si="114"/>
        <v>27369.888963888821</v>
      </c>
      <c r="DH85" s="93">
        <f t="shared" si="114"/>
        <v>27766.752353865209</v>
      </c>
      <c r="DI85" s="93">
        <f t="shared" si="114"/>
        <v>28169.370262996254</v>
      </c>
      <c r="DJ85" s="93">
        <f t="shared" si="114"/>
        <v>28577.826131809699</v>
      </c>
      <c r="DK85" s="93">
        <f t="shared" si="114"/>
        <v>28992.204610720939</v>
      </c>
      <c r="DL85" s="93">
        <f t="shared" si="114"/>
        <v>29412.59157757639</v>
      </c>
      <c r="DM85" s="93">
        <f t="shared" si="114"/>
        <v>29839.074155451246</v>
      </c>
      <c r="DN85" s="93">
        <f t="shared" si="114"/>
        <v>30271.740730705289</v>
      </c>
      <c r="DO85" s="93">
        <f t="shared" si="114"/>
        <v>30710.680971300513</v>
      </c>
      <c r="DP85" s="93">
        <f t="shared" si="114"/>
        <v>31155.98584538437</v>
      </c>
      <c r="DQ85" s="93">
        <f t="shared" si="114"/>
        <v>31607.747640142443</v>
      </c>
      <c r="DR85" s="93">
        <f t="shared" si="114"/>
        <v>32066.059980924507</v>
      </c>
      <c r="DS85" s="93">
        <f t="shared" si="114"/>
        <v>32531.01785064791</v>
      </c>
      <c r="DT85" s="93">
        <f t="shared" si="114"/>
        <v>33002.717609482301</v>
      </c>
      <c r="DU85" s="93">
        <f t="shared" si="114"/>
        <v>33481.257014819792</v>
      </c>
      <c r="DV85" s="93">
        <f t="shared" si="114"/>
        <v>33966.735241534676</v>
      </c>
      <c r="DW85" s="93">
        <f t="shared" si="114"/>
        <v>34459.252902536929</v>
      </c>
      <c r="DX85" s="93">
        <f t="shared" si="114"/>
        <v>34958.912069623715</v>
      </c>
      <c r="DY85" s="93">
        <f t="shared" si="114"/>
        <v>35465.81629463326</v>
      </c>
      <c r="DZ85" s="93">
        <f t="shared" si="114"/>
        <v>35980.070630905437</v>
      </c>
      <c r="EA85" s="93">
        <f t="shared" si="114"/>
        <v>36501.781655053564</v>
      </c>
      <c r="EB85" s="93">
        <f t="shared" si="114"/>
        <v>37031.05748905184</v>
      </c>
      <c r="EC85" s="93">
        <f t="shared" si="114"/>
        <v>37568.007822643092</v>
      </c>
      <c r="ED85" s="93">
        <f t="shared" si="114"/>
        <v>38112.743936071412</v>
      </c>
      <c r="EE85" s="93">
        <f t="shared" si="114"/>
        <v>38665.378723144444</v>
      </c>
      <c r="EF85" s="93">
        <f t="shared" si="114"/>
        <v>39226.026714630039</v>
      </c>
      <c r="EG85" s="93">
        <f t="shared" si="114"/>
        <v>39794.804101992173</v>
      </c>
      <c r="EH85" s="93">
        <f t="shared" si="114"/>
        <v>40371.828761471057</v>
      </c>
      <c r="EI85" s="93">
        <f t="shared" si="114"/>
        <v>40957.220278512388</v>
      </c>
      <c r="EJ85" s="93">
        <f t="shared" si="114"/>
        <v>41551.099972550815</v>
      </c>
      <c r="EK85" s="93">
        <f t="shared" si="114"/>
        <v>42153.590922152798</v>
      </c>
      <c r="EL85" s="93">
        <f t="shared" si="114"/>
        <v>42764.81799052401</v>
      </c>
      <c r="EM85" s="93">
        <f t="shared" si="114"/>
        <v>43384.907851386604</v>
      </c>
      <c r="EN85" s="93">
        <f t="shared" si="114"/>
        <v>44013.989015231709</v>
      </c>
      <c r="EO85" s="93">
        <f t="shared" si="114"/>
        <v>44652.191855952566</v>
      </c>
      <c r="EP85" s="93">
        <f t="shared" si="114"/>
        <v>45299.648637863873</v>
      </c>
      <c r="EQ85" s="93">
        <f t="shared" si="114"/>
        <v>45956.493543112898</v>
      </c>
      <c r="ER85" s="93">
        <f t="shared" si="114"/>
        <v>46622.862699488032</v>
      </c>
      <c r="ES85" s="93">
        <f t="shared" si="114"/>
        <v>47298.894208630605</v>
      </c>
      <c r="ET85" s="93">
        <f t="shared" si="114"/>
        <v>47984.728174655749</v>
      </c>
      <c r="EU85" s="93">
        <f t="shared" si="114"/>
        <v>48680.506733188253</v>
      </c>
      <c r="EV85" s="93">
        <f t="shared" si="114"/>
        <v>49386.374080819478</v>
      </c>
      <c r="EW85" s="93">
        <f t="shared" si="114"/>
        <v>50102.476504991355</v>
      </c>
      <c r="EX85" s="93">
        <f t="shared" si="114"/>
        <v>50828.962414313726</v>
      </c>
      <c r="EY85" s="34"/>
      <c r="EZ85" s="34"/>
    </row>
    <row r="86" spans="2:156">
      <c r="B86" s="1" t="s">
        <v>76</v>
      </c>
      <c r="C86" s="86">
        <v>406</v>
      </c>
      <c r="D86" s="86">
        <v>405</v>
      </c>
      <c r="E86" s="86">
        <v>396</v>
      </c>
      <c r="F86" s="86">
        <v>392</v>
      </c>
      <c r="G86" s="86">
        <v>385</v>
      </c>
      <c r="H86" s="86">
        <v>376</v>
      </c>
      <c r="I86" s="86">
        <v>375</v>
      </c>
      <c r="J86" s="86">
        <v>372</v>
      </c>
      <c r="K86" s="86">
        <v>370</v>
      </c>
      <c r="L86" s="86">
        <v>368</v>
      </c>
      <c r="M86" s="86">
        <v>364</v>
      </c>
      <c r="N86" s="86">
        <v>362</v>
      </c>
      <c r="O86" s="86">
        <v>360</v>
      </c>
      <c r="P86" s="86">
        <v>362</v>
      </c>
      <c r="Q86" s="86">
        <v>363</v>
      </c>
      <c r="R86" s="86">
        <v>364</v>
      </c>
      <c r="S86" s="86">
        <v>390</v>
      </c>
      <c r="T86" s="86">
        <v>396</v>
      </c>
      <c r="U86" s="86">
        <v>398</v>
      </c>
      <c r="V86" s="86">
        <v>400</v>
      </c>
      <c r="W86" s="86">
        <v>395</v>
      </c>
      <c r="X86" s="86">
        <v>396</v>
      </c>
      <c r="Y86" s="86">
        <v>398</v>
      </c>
      <c r="Z86" s="86">
        <v>400</v>
      </c>
      <c r="AA86" s="86">
        <v>395</v>
      </c>
      <c r="AB86" s="86">
        <v>391</v>
      </c>
      <c r="AC86" s="86">
        <v>392</v>
      </c>
      <c r="AD86" s="86">
        <v>393</v>
      </c>
      <c r="AE86" s="86">
        <v>392</v>
      </c>
      <c r="AF86" s="86">
        <v>387</v>
      </c>
      <c r="AG86" s="86">
        <v>394</v>
      </c>
      <c r="AH86" s="86">
        <v>395</v>
      </c>
      <c r="AI86" s="86">
        <v>396</v>
      </c>
      <c r="AJ86" s="86">
        <v>397</v>
      </c>
      <c r="AK86" s="86">
        <v>398</v>
      </c>
      <c r="AL86" s="86">
        <v>397</v>
      </c>
      <c r="AM86" s="86">
        <v>396</v>
      </c>
      <c r="AN86" s="86">
        <v>397</v>
      </c>
      <c r="AO86" s="86">
        <v>398</v>
      </c>
      <c r="AP86" s="86">
        <v>396</v>
      </c>
      <c r="AQ86" s="86">
        <v>394</v>
      </c>
      <c r="AR86" s="86">
        <v>392</v>
      </c>
      <c r="AS86" s="86">
        <v>394</v>
      </c>
      <c r="AT86" s="86">
        <v>396</v>
      </c>
      <c r="AU86" s="86">
        <v>394</v>
      </c>
      <c r="AV86" s="86">
        <v>393</v>
      </c>
      <c r="AW86" s="86">
        <v>394</v>
      </c>
      <c r="AX86" s="86">
        <v>394</v>
      </c>
      <c r="AY86" s="86">
        <v>392</v>
      </c>
      <c r="AZ86" s="86">
        <v>392</v>
      </c>
      <c r="BA86" s="86">
        <v>392</v>
      </c>
      <c r="BB86" s="86">
        <v>392</v>
      </c>
      <c r="BC86" s="86">
        <v>386</v>
      </c>
      <c r="BD86" s="86">
        <v>386</v>
      </c>
      <c r="BE86" s="86">
        <v>386</v>
      </c>
      <c r="BF86" s="86">
        <v>386</v>
      </c>
      <c r="BG86" s="86">
        <v>382</v>
      </c>
      <c r="BH86" s="86">
        <v>382</v>
      </c>
      <c r="BI86" s="86">
        <v>382</v>
      </c>
      <c r="BJ86" s="86">
        <v>382</v>
      </c>
      <c r="BK86" s="86">
        <v>378</v>
      </c>
      <c r="BL86" s="86">
        <v>378</v>
      </c>
      <c r="BM86" s="86">
        <v>378</v>
      </c>
      <c r="BN86" s="86">
        <v>376</v>
      </c>
      <c r="BO86" s="86">
        <v>372</v>
      </c>
      <c r="BP86" s="86">
        <v>371</v>
      </c>
      <c r="BQ86" s="86">
        <v>370</v>
      </c>
      <c r="CA86" s="86">
        <f>AVERAGE(C86:F86)</f>
        <v>399.75</v>
      </c>
      <c r="CB86" s="86">
        <f>AVERAGE(G86:J86)</f>
        <v>377</v>
      </c>
      <c r="CC86" s="86">
        <f>AVERAGE(K86:N86)</f>
        <v>366</v>
      </c>
      <c r="CD86" s="86">
        <f>AVERAGE(O86:R86)</f>
        <v>362.25</v>
      </c>
      <c r="CE86" s="86">
        <f>AVERAGE(S86:V86)</f>
        <v>396</v>
      </c>
      <c r="CF86" s="86">
        <f>AVERAGE(W86:Z86)</f>
        <v>397.25</v>
      </c>
      <c r="CG86" s="86">
        <f>AVERAGE(AA86:AD86)</f>
        <v>392.75</v>
      </c>
      <c r="CH86" s="86">
        <f>AVERAGE(AE86:AH86)</f>
        <v>392</v>
      </c>
      <c r="CI86" s="86">
        <f>AVERAGE(AI86:AL86)</f>
        <v>397</v>
      </c>
      <c r="CJ86" s="86">
        <f>AVERAGE(AM86:AP86)</f>
        <v>396.75</v>
      </c>
      <c r="CK86" s="86">
        <f>AVERAGE(AQ86:AT86)</f>
        <v>394</v>
      </c>
      <c r="CL86" s="86">
        <f>AVERAGE(AU86:AX86)</f>
        <v>393.75</v>
      </c>
      <c r="CM86" s="86">
        <f>AVERAGE(AY86:BB86)</f>
        <v>392</v>
      </c>
      <c r="CN86" s="86">
        <f>AVERAGE(BC86:BF86)</f>
        <v>386</v>
      </c>
      <c r="CO86" s="86">
        <f>AVERAGE(BG86:BJ86)</f>
        <v>382</v>
      </c>
      <c r="CP86" s="86">
        <f>AVERAGE(BK86:BN86)</f>
        <v>377.5</v>
      </c>
      <c r="CQ86" s="35"/>
    </row>
    <row r="87" spans="2:156">
      <c r="B87" s="1" t="s">
        <v>1394</v>
      </c>
      <c r="C87" s="39">
        <f t="shared" ref="C87:BO87" si="115">C85/C86</f>
        <v>0.55320197044335018</v>
      </c>
      <c r="D87" s="39">
        <f t="shared" si="115"/>
        <v>0.56469135802469095</v>
      </c>
      <c r="E87" s="39">
        <f t="shared" si="115"/>
        <v>0.65353535353535308</v>
      </c>
      <c r="F87" s="39">
        <f t="shared" si="115"/>
        <v>0.69897959183673541</v>
      </c>
      <c r="G87" s="39">
        <f t="shared" si="115"/>
        <v>0.64207792207792269</v>
      </c>
      <c r="H87" s="39">
        <f t="shared" si="115"/>
        <v>0.57739361702127667</v>
      </c>
      <c r="I87" s="39">
        <f t="shared" si="115"/>
        <v>0.71013333333333351</v>
      </c>
      <c r="J87" s="39">
        <f t="shared" si="115"/>
        <v>0.78709677419354807</v>
      </c>
      <c r="K87" s="39">
        <f t="shared" si="115"/>
        <v>0.7589189189189196</v>
      </c>
      <c r="L87" s="39">
        <f t="shared" si="115"/>
        <v>0.79456521739130426</v>
      </c>
      <c r="M87" s="39">
        <f t="shared" si="115"/>
        <v>0.82252747252747205</v>
      </c>
      <c r="N87" s="39">
        <f t="shared" si="115"/>
        <v>1.0657458563535915</v>
      </c>
      <c r="O87" s="39">
        <f t="shared" si="115"/>
        <v>0.94666666666666643</v>
      </c>
      <c r="P87" s="39">
        <f t="shared" si="115"/>
        <v>0.76685082872928156</v>
      </c>
      <c r="Q87" s="39">
        <f t="shared" si="115"/>
        <v>0.87520661157024826</v>
      </c>
      <c r="R87" s="39">
        <f t="shared" si="115"/>
        <v>0.94230769230769229</v>
      </c>
      <c r="S87" s="39">
        <f t="shared" si="115"/>
        <v>1.3925641025641022</v>
      </c>
      <c r="T87" s="39">
        <f t="shared" si="115"/>
        <v>0.70328282828282684</v>
      </c>
      <c r="U87" s="39">
        <f t="shared" si="115"/>
        <v>1.1806532663316569</v>
      </c>
      <c r="V87" s="39">
        <f t="shared" si="115"/>
        <v>1.5100000000000002</v>
      </c>
      <c r="W87" s="39">
        <f t="shared" si="115"/>
        <v>0.97493670886075945</v>
      </c>
      <c r="X87" s="39">
        <f t="shared" si="115"/>
        <v>1.2919191919191912</v>
      </c>
      <c r="Y87" s="39">
        <f t="shared" si="115"/>
        <v>1.1992462311557779</v>
      </c>
      <c r="Z87" s="39">
        <f t="shared" si="115"/>
        <v>1.5150000000000012</v>
      </c>
      <c r="AA87" s="39">
        <f t="shared" si="115"/>
        <v>1.0184810126582282</v>
      </c>
      <c r="AB87" s="39">
        <f t="shared" si="115"/>
        <v>1.3217391304347825</v>
      </c>
      <c r="AC87" s="39">
        <f t="shared" si="115"/>
        <v>1.2079081632653055</v>
      </c>
      <c r="AD87" s="39">
        <f t="shared" si="115"/>
        <v>1.6091603053435122</v>
      </c>
      <c r="AE87" s="39">
        <f t="shared" si="115"/>
        <v>1.4056122448979591</v>
      </c>
      <c r="AF87" s="39">
        <f t="shared" si="115"/>
        <v>1.5839793281653747</v>
      </c>
      <c r="AG87" s="39">
        <f t="shared" si="115"/>
        <v>1.3553299492385786</v>
      </c>
      <c r="AH87" s="39">
        <f t="shared" si="115"/>
        <v>1.3417721518987342</v>
      </c>
      <c r="AI87" s="39">
        <f t="shared" si="115"/>
        <v>1.4621212121212122</v>
      </c>
      <c r="AJ87" s="39">
        <f t="shared" si="115"/>
        <v>1.8942065491183879</v>
      </c>
      <c r="AK87" s="39">
        <f t="shared" si="115"/>
        <v>1.7814070351758795</v>
      </c>
      <c r="AL87" s="39">
        <f t="shared" si="115"/>
        <v>2.261964735516373</v>
      </c>
      <c r="AM87" s="39">
        <f t="shared" si="115"/>
        <v>2.058080808080808</v>
      </c>
      <c r="AN87" s="39">
        <f t="shared" si="115"/>
        <v>2.8186397984886651</v>
      </c>
      <c r="AO87" s="39">
        <f t="shared" si="115"/>
        <v>1.9095477386934674</v>
      </c>
      <c r="AP87" s="39">
        <f t="shared" si="115"/>
        <v>2.5353535353535355</v>
      </c>
      <c r="AQ87" s="39">
        <f t="shared" si="115"/>
        <v>2</v>
      </c>
      <c r="AR87" s="39">
        <f t="shared" si="115"/>
        <v>2.9489795918367347</v>
      </c>
      <c r="AS87" s="39">
        <f t="shared" si="115"/>
        <v>4.906091370558376</v>
      </c>
      <c r="AT87" s="39">
        <f t="shared" si="115"/>
        <v>6.3207070707070709</v>
      </c>
      <c r="AU87" s="39">
        <f t="shared" si="115"/>
        <v>5.9314720812182742</v>
      </c>
      <c r="AV87" s="39">
        <f t="shared" si="115"/>
        <v>4.6513994910941472</v>
      </c>
      <c r="AW87" s="39">
        <f t="shared" si="115"/>
        <v>4.8274111675126905</v>
      </c>
      <c r="AX87" s="39">
        <f t="shared" si="115"/>
        <v>4.2081218274111674</v>
      </c>
      <c r="AY87" s="39">
        <f t="shared" si="115"/>
        <v>5.6505102040816331</v>
      </c>
      <c r="AZ87" s="39">
        <f t="shared" si="115"/>
        <v>4.2448979591836737</v>
      </c>
      <c r="BA87" s="39">
        <f t="shared" si="115"/>
        <v>3.8137755102040818</v>
      </c>
      <c r="BB87" s="39">
        <f t="shared" si="115"/>
        <v>4.0204081632653059</v>
      </c>
      <c r="BC87" s="39">
        <f t="shared" si="115"/>
        <v>3.3393782383419688</v>
      </c>
      <c r="BD87" s="39">
        <f t="shared" si="115"/>
        <v>3.5259067357512954</v>
      </c>
      <c r="BE87" s="39">
        <f t="shared" si="115"/>
        <v>4.4430051813471501</v>
      </c>
      <c r="BF87" s="39">
        <f t="shared" si="115"/>
        <v>4.2227979274611398</v>
      </c>
      <c r="BG87" s="39">
        <f t="shared" si="115"/>
        <v>3.4712041884816753</v>
      </c>
      <c r="BH87" s="39">
        <f t="shared" si="115"/>
        <v>4.0523560209424083</v>
      </c>
      <c r="BI87" s="39">
        <f t="shared" si="115"/>
        <v>4.2670157068062826</v>
      </c>
      <c r="BJ87" s="39">
        <f t="shared" si="115"/>
        <v>4.7958115183246077</v>
      </c>
      <c r="BK87" s="39">
        <f t="shared" si="115"/>
        <v>3.986772486772487</v>
      </c>
      <c r="BL87" s="39">
        <f t="shared" si="115"/>
        <v>4.2777777777777777</v>
      </c>
      <c r="BM87" s="39">
        <f t="shared" si="115"/>
        <v>4.2724867724867721</v>
      </c>
      <c r="BN87" s="39">
        <f t="shared" si="115"/>
        <v>5.2260638297872344</v>
      </c>
      <c r="BO87" s="39">
        <f t="shared" si="115"/>
        <v>4.438172043010753</v>
      </c>
      <c r="BP87" s="39">
        <f>BP85/BP86</f>
        <v>4.6819407008086253</v>
      </c>
      <c r="BQ87" s="39">
        <f>BQ85/BQ86</f>
        <v>4.6513513513513516</v>
      </c>
      <c r="CA87" s="39">
        <f>SUM(C87:F87)</f>
        <v>2.4704082738401301</v>
      </c>
      <c r="CB87" s="39">
        <f>SUM(G87:J87)</f>
        <v>2.7167016466260812</v>
      </c>
      <c r="CC87" s="39">
        <f>SUM(K87:N87)</f>
        <v>3.4417574651912872</v>
      </c>
      <c r="CD87" s="39">
        <f>SUM(O87:R87)</f>
        <v>3.5310317992738884</v>
      </c>
      <c r="CE87" s="39">
        <f>SUM(S87:V87)</f>
        <v>4.7865001971785865</v>
      </c>
      <c r="CF87" s="39">
        <f>SUM(W87:Z87)</f>
        <v>4.9811021319357298</v>
      </c>
      <c r="CG87" s="39">
        <f>SUM(AA87:AD87)</f>
        <v>5.1572886117018282</v>
      </c>
      <c r="CH87" s="39">
        <f>SUM(AE87:AH87)</f>
        <v>5.6866936742006464</v>
      </c>
      <c r="CI87" s="39">
        <f>SUM(AI87:AL87)</f>
        <v>7.3996995319318524</v>
      </c>
      <c r="CJ87" s="39">
        <f>SUM(AM87:AP87)</f>
        <v>9.3216218806164761</v>
      </c>
      <c r="CK87" s="39">
        <f>SUM(AQ87:AT87)</f>
        <v>16.175778033102183</v>
      </c>
      <c r="CL87" s="39">
        <f>SUM(AU87:AX87)</f>
        <v>19.618404567236276</v>
      </c>
      <c r="CM87" s="39">
        <f>SUM(AY87:BB87)</f>
        <v>17.729591836734695</v>
      </c>
      <c r="CN87" s="39">
        <f>SUM(BC87:BF87)</f>
        <v>15.531088082901555</v>
      </c>
      <c r="CO87" s="39">
        <f>SUM(BG87:BJ87)</f>
        <v>16.586387434554975</v>
      </c>
      <c r="CP87" s="39">
        <f>SUM(BK87:BN87)</f>
        <v>17.763100866824271</v>
      </c>
      <c r="CQ87" s="35"/>
    </row>
    <row r="88" spans="2:156">
      <c r="CQ88" s="35"/>
    </row>
    <row r="89" spans="2:156">
      <c r="B89" s="37" t="s">
        <v>58</v>
      </c>
      <c r="C89" s="88">
        <f t="shared" ref="C89:BN89" si="116">C73/C71</f>
        <v>0.40595378583120789</v>
      </c>
      <c r="D89" s="88">
        <f t="shared" si="116"/>
        <v>0.40409138190083599</v>
      </c>
      <c r="E89" s="88">
        <f t="shared" si="116"/>
        <v>0.40381177007646357</v>
      </c>
      <c r="F89" s="88">
        <f t="shared" si="116"/>
        <v>0.42674482650090495</v>
      </c>
      <c r="G89" s="88">
        <f t="shared" si="116"/>
        <v>0.41166311457338139</v>
      </c>
      <c r="H89" s="88">
        <f t="shared" si="116"/>
        <v>0.40679747722494747</v>
      </c>
      <c r="I89" s="88">
        <f t="shared" si="116"/>
        <v>0.4155954856967507</v>
      </c>
      <c r="J89" s="88">
        <f t="shared" si="116"/>
        <v>0.42412719226356332</v>
      </c>
      <c r="K89" s="88">
        <f t="shared" si="116"/>
        <v>0.42191180319288152</v>
      </c>
      <c r="L89" s="88">
        <f t="shared" si="116"/>
        <v>0.42511502203918794</v>
      </c>
      <c r="M89" s="88">
        <f t="shared" si="116"/>
        <v>0.42077972583206402</v>
      </c>
      <c r="N89" s="88">
        <f t="shared" si="116"/>
        <v>0.42527536587610837</v>
      </c>
      <c r="O89" s="88">
        <f t="shared" si="116"/>
        <v>0.41870593764687447</v>
      </c>
      <c r="P89" s="88">
        <f t="shared" si="116"/>
        <v>0.42072775531619389</v>
      </c>
      <c r="Q89" s="88">
        <f t="shared" si="116"/>
        <v>0.4223008960461182</v>
      </c>
      <c r="R89" s="88">
        <f t="shared" si="116"/>
        <v>0.4273846952608959</v>
      </c>
      <c r="S89" s="88">
        <f t="shared" si="116"/>
        <v>0.41501216856667095</v>
      </c>
      <c r="T89" s="88">
        <f t="shared" si="116"/>
        <v>0.42724264790948419</v>
      </c>
      <c r="U89" s="88">
        <f t="shared" si="116"/>
        <v>0.46353742148918819</v>
      </c>
      <c r="V89" s="88">
        <f t="shared" si="116"/>
        <v>0.46561164529914528</v>
      </c>
      <c r="W89" s="88">
        <f t="shared" si="116"/>
        <v>0.46506583648055527</v>
      </c>
      <c r="X89" s="88">
        <f t="shared" si="116"/>
        <v>0.45465826874897558</v>
      </c>
      <c r="Y89" s="88">
        <f t="shared" si="116"/>
        <v>0.45675688785409385</v>
      </c>
      <c r="Z89" s="88">
        <f t="shared" si="116"/>
        <v>0.45321467724253572</v>
      </c>
      <c r="AA89" s="88">
        <f t="shared" si="116"/>
        <v>0.45587687435969076</v>
      </c>
      <c r="AB89" s="88">
        <f t="shared" si="116"/>
        <v>0.45830393367436939</v>
      </c>
      <c r="AC89" s="88">
        <f t="shared" si="116"/>
        <v>0.45734707964995874</v>
      </c>
      <c r="AD89" s="88">
        <f t="shared" si="116"/>
        <v>0.46066100018170442</v>
      </c>
      <c r="AE89" s="88">
        <f t="shared" si="116"/>
        <v>0.4602308499475341</v>
      </c>
      <c r="AF89" s="88">
        <f t="shared" si="116"/>
        <v>0.45771543086172345</v>
      </c>
      <c r="AG89" s="88">
        <f t="shared" si="116"/>
        <v>0.44956997654417513</v>
      </c>
      <c r="AH89" s="88">
        <f t="shared" si="116"/>
        <v>0.44170663138746485</v>
      </c>
      <c r="AI89" s="88">
        <f t="shared" si="116"/>
        <v>0.44079958995386981</v>
      </c>
      <c r="AJ89" s="88">
        <f t="shared" si="116"/>
        <v>0.45047713063507733</v>
      </c>
      <c r="AK89" s="88">
        <f t="shared" si="116"/>
        <v>0.44172297297297297</v>
      </c>
      <c r="AL89" s="88">
        <f t="shared" si="116"/>
        <v>0.44936222529583525</v>
      </c>
      <c r="AM89" s="88">
        <f t="shared" si="116"/>
        <v>0.44195918367346937</v>
      </c>
      <c r="AN89" s="88">
        <f t="shared" si="116"/>
        <v>0.44696010132995567</v>
      </c>
      <c r="AO89" s="88">
        <f t="shared" si="116"/>
        <v>0.44052933673469385</v>
      </c>
      <c r="AP89" s="88">
        <f t="shared" si="116"/>
        <v>0.44442817396397716</v>
      </c>
      <c r="AQ89" s="88">
        <f t="shared" si="116"/>
        <v>0.43980738362760835</v>
      </c>
      <c r="AR89" s="88">
        <f t="shared" si="116"/>
        <v>0.48821743530432266</v>
      </c>
      <c r="AS89" s="88">
        <f t="shared" si="116"/>
        <v>0.50827367679849778</v>
      </c>
      <c r="AT89" s="88">
        <f t="shared" si="116"/>
        <v>0.52663507109004737</v>
      </c>
      <c r="AU89" s="88">
        <f t="shared" si="116"/>
        <v>0.5258429234807187</v>
      </c>
      <c r="AV89" s="88">
        <f t="shared" si="116"/>
        <v>0.48786800388223878</v>
      </c>
      <c r="AW89" s="88">
        <f t="shared" si="116"/>
        <v>0.49849946409431939</v>
      </c>
      <c r="AX89" s="88">
        <f t="shared" si="116"/>
        <v>0.49093627359372077</v>
      </c>
      <c r="AY89" s="88">
        <f t="shared" si="116"/>
        <v>0.46234557454730074</v>
      </c>
      <c r="AZ89" s="88">
        <f t="shared" si="116"/>
        <v>0.41923427529626256</v>
      </c>
      <c r="BA89" s="88">
        <f t="shared" si="116"/>
        <v>0.40292216914863727</v>
      </c>
      <c r="BB89" s="88">
        <f t="shared" si="116"/>
        <v>0.40227074235807858</v>
      </c>
      <c r="BC89" s="88">
        <f t="shared" si="116"/>
        <v>0.38655462184873951</v>
      </c>
      <c r="BD89" s="88">
        <f t="shared" si="116"/>
        <v>0.39777299522784693</v>
      </c>
      <c r="BE89" s="88">
        <f t="shared" si="116"/>
        <v>0.40817098543597502</v>
      </c>
      <c r="BF89" s="88">
        <f t="shared" si="116"/>
        <v>0.40354583869189786</v>
      </c>
      <c r="BG89" s="88">
        <f t="shared" si="116"/>
        <v>0.40647655872402128</v>
      </c>
      <c r="BH89" s="88">
        <f t="shared" si="116"/>
        <v>0.41238971634569777</v>
      </c>
      <c r="BI89" s="88">
        <f t="shared" si="116"/>
        <v>0.40837893942253256</v>
      </c>
      <c r="BJ89" s="88">
        <f t="shared" si="116"/>
        <v>0.42316805616498465</v>
      </c>
      <c r="BK89" s="88">
        <f t="shared" si="116"/>
        <v>0.40862601312234659</v>
      </c>
      <c r="BL89" s="88">
        <f t="shared" si="116"/>
        <v>0.40617227084292951</v>
      </c>
      <c r="BM89" s="88">
        <f t="shared" si="116"/>
        <v>0.41206617514835459</v>
      </c>
      <c r="BN89" s="88">
        <f t="shared" si="116"/>
        <v>0.41023331968890708</v>
      </c>
      <c r="BO89" s="88">
        <f t="shared" ref="BO89" si="117">BO73/BO71</f>
        <v>0.40254429804634256</v>
      </c>
      <c r="BP89" s="88">
        <f>BP73/BP71</f>
        <v>0.40703685175921295</v>
      </c>
      <c r="BQ89" s="88">
        <f>BQ73/BQ71</f>
        <v>0.42778281288621572</v>
      </c>
      <c r="CA89" s="88">
        <f t="shared" ref="CA89:CP89" si="118">CA73/CA71</f>
        <v>0.41003165561766941</v>
      </c>
      <c r="CB89" s="88">
        <f t="shared" si="118"/>
        <v>0.41474893587569645</v>
      </c>
      <c r="CC89" s="88">
        <f t="shared" si="118"/>
        <v>0.42330474264382617</v>
      </c>
      <c r="CD89" s="88">
        <f t="shared" si="118"/>
        <v>0.42238145802617205</v>
      </c>
      <c r="CE89" s="88">
        <f t="shared" si="118"/>
        <v>0.44358658582796506</v>
      </c>
      <c r="CF89" s="88">
        <f t="shared" si="118"/>
        <v>0.45717653993516061</v>
      </c>
      <c r="CG89" s="88">
        <f t="shared" si="118"/>
        <v>0.45813724417204771</v>
      </c>
      <c r="CH89" s="88">
        <f t="shared" si="118"/>
        <v>0.45166841954297732</v>
      </c>
      <c r="CI89" s="88">
        <f t="shared" si="118"/>
        <v>0.44572625010263567</v>
      </c>
      <c r="CJ89" s="88">
        <f t="shared" si="118"/>
        <v>0.44350481559783883</v>
      </c>
      <c r="CK89" s="88">
        <f t="shared" si="118"/>
        <v>0.49674095226271031</v>
      </c>
      <c r="CL89" s="88">
        <f t="shared" si="118"/>
        <v>0.50082884904746117</v>
      </c>
      <c r="CM89" s="88">
        <f t="shared" si="118"/>
        <v>0.42237559835244348</v>
      </c>
      <c r="CN89" s="88">
        <f t="shared" si="118"/>
        <v>0.39900133000443333</v>
      </c>
      <c r="CO89" s="88">
        <f t="shared" si="118"/>
        <v>0.41283612024534155</v>
      </c>
      <c r="CP89" s="88">
        <f t="shared" si="118"/>
        <v>0.4093275877547356</v>
      </c>
      <c r="CQ89" s="94">
        <v>0.4093275877547356</v>
      </c>
      <c r="CR89" s="94">
        <v>0.41</v>
      </c>
      <c r="CS89" s="94">
        <v>0.41499999999999998</v>
      </c>
      <c r="CT89" s="94">
        <v>0.42</v>
      </c>
      <c r="CU89" s="94">
        <v>0.42249999999999999</v>
      </c>
      <c r="CV89" s="94">
        <v>0.42499999999999999</v>
      </c>
      <c r="CW89" s="94">
        <v>0.42749999999999999</v>
      </c>
      <c r="CX89" s="94">
        <v>0.43</v>
      </c>
      <c r="CY89" s="94">
        <v>0.43</v>
      </c>
      <c r="CZ89" s="94">
        <v>0.43</v>
      </c>
    </row>
    <row r="90" spans="2:156">
      <c r="B90" s="37" t="s">
        <v>60</v>
      </c>
      <c r="C90" s="88">
        <f t="shared" ref="C90:BN90" si="119">C74/C71</f>
        <v>0.26582663976550303</v>
      </c>
      <c r="D90" s="88">
        <f t="shared" si="119"/>
        <v>0.25935200523943447</v>
      </c>
      <c r="E90" s="88">
        <f t="shared" si="119"/>
        <v>0.25754175067523871</v>
      </c>
      <c r="F90" s="88">
        <f t="shared" si="119"/>
        <v>0.26764497600125892</v>
      </c>
      <c r="G90" s="88">
        <f t="shared" si="119"/>
        <v>0.26041743220401264</v>
      </c>
      <c r="H90" s="88">
        <f t="shared" si="119"/>
        <v>0.27081289418360194</v>
      </c>
      <c r="I90" s="88">
        <f t="shared" si="119"/>
        <v>0.27430188550581336</v>
      </c>
      <c r="J90" s="88">
        <f t="shared" si="119"/>
        <v>0.26893951811178496</v>
      </c>
      <c r="K90" s="88">
        <f t="shared" si="119"/>
        <v>0.26966108348599838</v>
      </c>
      <c r="L90" s="88">
        <f t="shared" si="119"/>
        <v>0.2686528747466298</v>
      </c>
      <c r="M90" s="88">
        <f t="shared" si="119"/>
        <v>0.27189940694169884</v>
      </c>
      <c r="N90" s="88">
        <f t="shared" si="119"/>
        <v>0.26281716933083793</v>
      </c>
      <c r="O90" s="88">
        <f t="shared" si="119"/>
        <v>0.2599091336362212</v>
      </c>
      <c r="P90" s="88">
        <f t="shared" si="119"/>
        <v>0.26838677818585849</v>
      </c>
      <c r="Q90" s="88">
        <f t="shared" si="119"/>
        <v>0.26583745848737389</v>
      </c>
      <c r="R90" s="88">
        <f t="shared" si="119"/>
        <v>0.25922293691770748</v>
      </c>
      <c r="S90" s="88">
        <f t="shared" si="119"/>
        <v>0.30152427308825414</v>
      </c>
      <c r="T90" s="88">
        <f t="shared" si="119"/>
        <v>0.29010388949304705</v>
      </c>
      <c r="U90" s="88">
        <f t="shared" si="119"/>
        <v>0.29455338735196818</v>
      </c>
      <c r="V90" s="88">
        <f t="shared" si="119"/>
        <v>0.27524038461538458</v>
      </c>
      <c r="W90" s="88">
        <f t="shared" si="119"/>
        <v>0.29024191078901707</v>
      </c>
      <c r="X90" s="88">
        <f t="shared" si="119"/>
        <v>0.26949823222271657</v>
      </c>
      <c r="Y90" s="88">
        <f t="shared" si="119"/>
        <v>0.2748593325572371</v>
      </c>
      <c r="Z90" s="88">
        <f t="shared" si="119"/>
        <v>0.25586294361686118</v>
      </c>
      <c r="AA90" s="88">
        <f t="shared" si="119"/>
        <v>0.28241128806929311</v>
      </c>
      <c r="AB90" s="88">
        <f t="shared" si="119"/>
        <v>0.26969042159110951</v>
      </c>
      <c r="AC90" s="88">
        <f t="shared" si="119"/>
        <v>0.2838183882963326</v>
      </c>
      <c r="AD90" s="88">
        <f t="shared" si="119"/>
        <v>0.25446689951747392</v>
      </c>
      <c r="AE90" s="88">
        <f t="shared" si="119"/>
        <v>0.27995802728226654</v>
      </c>
      <c r="AF90" s="88">
        <f t="shared" si="119"/>
        <v>0.25871743486973947</v>
      </c>
      <c r="AG90" s="88">
        <f t="shared" si="119"/>
        <v>0.27365129007036748</v>
      </c>
      <c r="AH90" s="88">
        <f t="shared" si="119"/>
        <v>0.24458409128493469</v>
      </c>
      <c r="AI90" s="88">
        <f t="shared" si="119"/>
        <v>0.25884161968221425</v>
      </c>
      <c r="AJ90" s="88">
        <f t="shared" si="119"/>
        <v>0.25370187561697927</v>
      </c>
      <c r="AK90" s="88">
        <f t="shared" si="119"/>
        <v>0.2516891891891892</v>
      </c>
      <c r="AL90" s="88">
        <f t="shared" si="119"/>
        <v>0.23205778392500384</v>
      </c>
      <c r="AM90" s="88">
        <f t="shared" si="119"/>
        <v>0.24946938775510205</v>
      </c>
      <c r="AN90" s="88">
        <f t="shared" si="119"/>
        <v>0.24778340721975933</v>
      </c>
      <c r="AO90" s="88">
        <f t="shared" si="119"/>
        <v>0.24537627551020408</v>
      </c>
      <c r="AP90" s="88">
        <f t="shared" si="119"/>
        <v>0.22140869819885781</v>
      </c>
      <c r="AQ90" s="88">
        <f t="shared" si="119"/>
        <v>0.24895666131621189</v>
      </c>
      <c r="AR90" s="88">
        <f t="shared" si="119"/>
        <v>0.24721700159028481</v>
      </c>
      <c r="AS90" s="88">
        <f t="shared" si="119"/>
        <v>0.18683253139302899</v>
      </c>
      <c r="AT90" s="88">
        <f t="shared" si="119"/>
        <v>0.19687203791469193</v>
      </c>
      <c r="AU90" s="88">
        <f t="shared" si="119"/>
        <v>0.18433272763981426</v>
      </c>
      <c r="AV90" s="88">
        <f t="shared" si="119"/>
        <v>0.20478809446780977</v>
      </c>
      <c r="AW90" s="88">
        <f t="shared" si="119"/>
        <v>0.21479099678456592</v>
      </c>
      <c r="AX90" s="88">
        <f t="shared" si="119"/>
        <v>0.21285740982993834</v>
      </c>
      <c r="AY90" s="88">
        <f t="shared" si="119"/>
        <v>0.19267219495684548</v>
      </c>
      <c r="AZ90" s="88">
        <f t="shared" si="119"/>
        <v>0.20136736554238832</v>
      </c>
      <c r="BA90" s="88">
        <f t="shared" si="119"/>
        <v>0.2067996628266367</v>
      </c>
      <c r="BB90" s="88">
        <f t="shared" si="119"/>
        <v>0.20078602620087335</v>
      </c>
      <c r="BC90" s="88">
        <f t="shared" si="119"/>
        <v>0.19785247432306255</v>
      </c>
      <c r="BD90" s="88">
        <f t="shared" si="119"/>
        <v>0.20071114438102367</v>
      </c>
      <c r="BE90" s="88">
        <f t="shared" si="119"/>
        <v>0.19377718933232457</v>
      </c>
      <c r="BF90" s="88">
        <f t="shared" si="119"/>
        <v>0.19584787800845121</v>
      </c>
      <c r="BG90" s="88">
        <f t="shared" si="119"/>
        <v>0.21101981633639438</v>
      </c>
      <c r="BH90" s="88">
        <f t="shared" si="119"/>
        <v>0.20026562944692156</v>
      </c>
      <c r="BI90" s="88">
        <f t="shared" si="119"/>
        <v>0.19796187959992451</v>
      </c>
      <c r="BJ90" s="88">
        <f t="shared" si="119"/>
        <v>0.19333040807371654</v>
      </c>
      <c r="BK90" s="88">
        <f t="shared" si="119"/>
        <v>0.20050173678116556</v>
      </c>
      <c r="BL90" s="88">
        <f t="shared" si="119"/>
        <v>0.19714417319207739</v>
      </c>
      <c r="BM90" s="88">
        <f t="shared" si="119"/>
        <v>0.19438949829167415</v>
      </c>
      <c r="BN90" s="88">
        <f t="shared" si="119"/>
        <v>0.19255014326647565</v>
      </c>
      <c r="BO90" s="88">
        <f t="shared" ref="BO90" si="120">BO74/BO71</f>
        <v>0.19818264425261245</v>
      </c>
      <c r="BP90" s="88">
        <f>BP74/BP71</f>
        <v>0.19451392362848091</v>
      </c>
      <c r="BQ90" s="88">
        <f>BQ74/BQ71</f>
        <v>0.19625937216775149</v>
      </c>
      <c r="CA90" s="88">
        <f t="shared" ref="CA90:CP90" si="121">CA74/CA71</f>
        <v>0.26255881305866391</v>
      </c>
      <c r="CB90" s="88">
        <f t="shared" si="121"/>
        <v>0.26875627227739907</v>
      </c>
      <c r="CC90" s="88">
        <f t="shared" si="121"/>
        <v>0.26817960175540978</v>
      </c>
      <c r="CD90" s="88">
        <f t="shared" si="121"/>
        <v>0.26327127720525884</v>
      </c>
      <c r="CE90" s="88">
        <f t="shared" si="121"/>
        <v>0.28988845206517627</v>
      </c>
      <c r="CF90" s="88">
        <f t="shared" si="121"/>
        <v>0.2718538166814029</v>
      </c>
      <c r="CG90" s="88">
        <f t="shared" si="121"/>
        <v>0.27202582904673306</v>
      </c>
      <c r="CH90" s="88">
        <f t="shared" si="121"/>
        <v>0.26312266947126878</v>
      </c>
      <c r="CI90" s="88">
        <f t="shared" si="121"/>
        <v>0.24866573610312834</v>
      </c>
      <c r="CJ90" s="88">
        <f t="shared" si="121"/>
        <v>0.24054498473103125</v>
      </c>
      <c r="CK90" s="88">
        <f t="shared" si="121"/>
        <v>0.21509715066112112</v>
      </c>
      <c r="CL90" s="88">
        <f t="shared" si="121"/>
        <v>0.2042029022468185</v>
      </c>
      <c r="CM90" s="88">
        <f t="shared" si="121"/>
        <v>0.20022264276967605</v>
      </c>
      <c r="CN90" s="88">
        <f t="shared" si="121"/>
        <v>0.19705065683552278</v>
      </c>
      <c r="CO90" s="88">
        <f t="shared" si="121"/>
        <v>0.2004477716364654</v>
      </c>
      <c r="CP90" s="88">
        <f t="shared" si="121"/>
        <v>0.19597809498159618</v>
      </c>
      <c r="CQ90" s="94">
        <v>0.19597809498159618</v>
      </c>
      <c r="CR90" s="94">
        <v>0.19597809498159618</v>
      </c>
      <c r="CS90" s="94">
        <v>0.19597809498159618</v>
      </c>
      <c r="CT90" s="94">
        <v>0.19597809498159618</v>
      </c>
      <c r="CU90" s="94">
        <v>0.19597809498159618</v>
      </c>
      <c r="CV90" s="94">
        <v>0.19597809498159618</v>
      </c>
      <c r="CW90" s="94">
        <v>0.19597809498159618</v>
      </c>
      <c r="CX90" s="94">
        <v>0.19597809498159618</v>
      </c>
      <c r="CY90" s="94">
        <v>0.19597809498159618</v>
      </c>
      <c r="CZ90" s="94">
        <v>0.19597809498159618</v>
      </c>
    </row>
    <row r="91" spans="2:156">
      <c r="B91" s="37" t="s">
        <v>59</v>
      </c>
      <c r="C91" s="88">
        <f t="shared" ref="C91:BN91" si="122">C75/C71</f>
        <v>2.5162739350565302E-2</v>
      </c>
      <c r="D91" s="88">
        <f t="shared" si="122"/>
        <v>2.6813576299264168E-2</v>
      </c>
      <c r="E91" s="88">
        <f t="shared" si="122"/>
        <v>2.7199756533647812E-2</v>
      </c>
      <c r="F91" s="88">
        <f t="shared" si="122"/>
        <v>3.0372177197261783E-2</v>
      </c>
      <c r="G91" s="88">
        <f t="shared" si="122"/>
        <v>2.7485852869846401E-2</v>
      </c>
      <c r="H91" s="88">
        <f t="shared" si="122"/>
        <v>2.9152067274001402E-2</v>
      </c>
      <c r="I91" s="88">
        <f t="shared" si="122"/>
        <v>2.9595281121074703E-2</v>
      </c>
      <c r="J91" s="88">
        <f t="shared" si="122"/>
        <v>3.1273561711194886E-2</v>
      </c>
      <c r="K91" s="88">
        <f t="shared" si="122"/>
        <v>2.9998691442030882E-2</v>
      </c>
      <c r="L91" s="88">
        <f t="shared" si="122"/>
        <v>3.0307905151056917E-2</v>
      </c>
      <c r="M91" s="88">
        <f t="shared" si="122"/>
        <v>2.9814952847003924E-2</v>
      </c>
      <c r="N91" s="88">
        <f t="shared" si="122"/>
        <v>3.0221213143926607E-2</v>
      </c>
      <c r="O91" s="88">
        <f t="shared" si="122"/>
        <v>3.0769230769230771E-2</v>
      </c>
      <c r="P91" s="88">
        <f t="shared" si="122"/>
        <v>2.9844757877843277E-2</v>
      </c>
      <c r="Q91" s="88">
        <f t="shared" si="122"/>
        <v>3.0045742214424461E-2</v>
      </c>
      <c r="R91" s="88">
        <f t="shared" si="122"/>
        <v>3.0199890391992848E-2</v>
      </c>
      <c r="S91" s="88">
        <f t="shared" si="122"/>
        <v>3.8350198539772E-2</v>
      </c>
      <c r="T91" s="88">
        <f t="shared" si="122"/>
        <v>4.2504454059557141E-2</v>
      </c>
      <c r="U91" s="88">
        <f t="shared" si="122"/>
        <v>4.200028767320324E-2</v>
      </c>
      <c r="V91" s="88">
        <f t="shared" si="122"/>
        <v>4.062054843304843E-2</v>
      </c>
      <c r="W91" s="88">
        <f t="shared" si="122"/>
        <v>4.2308870062263956E-2</v>
      </c>
      <c r="X91" s="88">
        <f t="shared" si="122"/>
        <v>4.088131307218619E-2</v>
      </c>
      <c r="Y91" s="88">
        <f t="shared" si="122"/>
        <v>4.1618160651920838E-2</v>
      </c>
      <c r="Z91" s="88">
        <f t="shared" si="122"/>
        <v>3.8692203520990516E-2</v>
      </c>
      <c r="AA91" s="88">
        <f t="shared" si="122"/>
        <v>4.1096209369470053E-2</v>
      </c>
      <c r="AB91" s="88">
        <f t="shared" si="122"/>
        <v>4.0218733462691836E-2</v>
      </c>
      <c r="AC91" s="88">
        <f t="shared" si="122"/>
        <v>4.0815872096907083E-2</v>
      </c>
      <c r="AD91" s="88">
        <f t="shared" si="122"/>
        <v>4.2761099109648502E-2</v>
      </c>
      <c r="AE91" s="88">
        <f t="shared" si="122"/>
        <v>4.5120671563483733E-2</v>
      </c>
      <c r="AF91" s="88">
        <f t="shared" si="122"/>
        <v>4.4488977955911821E-2</v>
      </c>
      <c r="AG91" s="88">
        <f t="shared" si="122"/>
        <v>4.241594996090696E-2</v>
      </c>
      <c r="AH91" s="88">
        <f t="shared" si="122"/>
        <v>3.8531503224739541E-2</v>
      </c>
      <c r="AI91" s="88">
        <f t="shared" si="122"/>
        <v>3.9979497693490518E-2</v>
      </c>
      <c r="AJ91" s="88">
        <f t="shared" si="122"/>
        <v>3.9815728858177031E-2</v>
      </c>
      <c r="AK91" s="88">
        <f t="shared" si="122"/>
        <v>4.0540540540540543E-2</v>
      </c>
      <c r="AL91" s="88">
        <f t="shared" si="122"/>
        <v>3.8573843553096662E-2</v>
      </c>
      <c r="AM91" s="88">
        <f t="shared" si="122"/>
        <v>4.0489795918367349E-2</v>
      </c>
      <c r="AN91" s="88">
        <f t="shared" si="122"/>
        <v>3.8948701709943002E-2</v>
      </c>
      <c r="AO91" s="88">
        <f t="shared" si="122"/>
        <v>3.9381377551020405E-2</v>
      </c>
      <c r="AP91" s="88">
        <f t="shared" si="122"/>
        <v>3.8365792941865574E-2</v>
      </c>
      <c r="AQ91" s="88">
        <f t="shared" si="122"/>
        <v>3.9325842696629212E-2</v>
      </c>
      <c r="AR91" s="88">
        <f t="shared" si="122"/>
        <v>3.8166835333236955E-2</v>
      </c>
      <c r="AS91" s="88">
        <f t="shared" si="122"/>
        <v>3.4737706841919964E-2</v>
      </c>
      <c r="AT91" s="88">
        <f t="shared" si="122"/>
        <v>3.5639810426540283E-2</v>
      </c>
      <c r="AU91" s="88">
        <f t="shared" si="122"/>
        <v>3.2303654350898443E-2</v>
      </c>
      <c r="AV91" s="88">
        <f t="shared" si="122"/>
        <v>3.6989108163485385E-2</v>
      </c>
      <c r="AW91" s="88">
        <f t="shared" si="122"/>
        <v>3.7620578778135051E-2</v>
      </c>
      <c r="AX91" s="88">
        <f t="shared" si="122"/>
        <v>3.6628667538777797E-2</v>
      </c>
      <c r="AY91" s="88">
        <f t="shared" si="122"/>
        <v>3.0800473853443901E-2</v>
      </c>
      <c r="AZ91" s="88">
        <f t="shared" si="122"/>
        <v>3.3272561531449404E-2</v>
      </c>
      <c r="BA91" s="88">
        <f t="shared" si="122"/>
        <v>3.2874402922169151E-2</v>
      </c>
      <c r="BB91" s="88">
        <f t="shared" si="122"/>
        <v>3.4148471615720523E-2</v>
      </c>
      <c r="BC91" s="88">
        <f t="shared" si="122"/>
        <v>3.2306255835667604E-2</v>
      </c>
      <c r="BD91" s="88">
        <f t="shared" si="122"/>
        <v>3.2282212033311497E-2</v>
      </c>
      <c r="BE91" s="88">
        <f t="shared" si="122"/>
        <v>3.0168337431435596E-2</v>
      </c>
      <c r="BF91" s="88">
        <f t="shared" si="122"/>
        <v>3.003858166452324E-2</v>
      </c>
      <c r="BG91" s="88">
        <f t="shared" si="122"/>
        <v>3.1996133397776703E-2</v>
      </c>
      <c r="BH91" s="88">
        <f t="shared" si="122"/>
        <v>3.2160136609429846E-2</v>
      </c>
      <c r="BI91" s="88">
        <f t="shared" si="122"/>
        <v>3.2647669371579542E-2</v>
      </c>
      <c r="BJ91" s="88">
        <f t="shared" si="122"/>
        <v>3.2821412900394913E-2</v>
      </c>
      <c r="BK91" s="88">
        <f t="shared" si="122"/>
        <v>3.299884214588962E-2</v>
      </c>
      <c r="BL91" s="88">
        <f t="shared" si="122"/>
        <v>3.2427452786734222E-2</v>
      </c>
      <c r="BM91" s="88">
        <f t="shared" si="122"/>
        <v>3.1109512677575977E-2</v>
      </c>
      <c r="BN91" s="88">
        <f t="shared" si="122"/>
        <v>2.9226361031518624E-2</v>
      </c>
      <c r="BO91" s="88">
        <f t="shared" ref="BO91" si="123">BO75/BO71</f>
        <v>3.053157655611086E-2</v>
      </c>
      <c r="BP91" s="88">
        <f>BP75/BP71</f>
        <v>3.0348507587126896E-2</v>
      </c>
      <c r="BQ91" s="88">
        <f>BQ75/BQ71</f>
        <v>2.8672653868336492E-2</v>
      </c>
      <c r="CA91" s="88">
        <f t="shared" ref="CA91:CP91" si="124">CA75/CA71</f>
        <v>2.7364309012710353E-2</v>
      </c>
      <c r="CB91" s="88">
        <f t="shared" si="124"/>
        <v>2.9432120981416763E-2</v>
      </c>
      <c r="CC91" s="88">
        <f t="shared" si="124"/>
        <v>3.0088170169225978E-2</v>
      </c>
      <c r="CD91" s="88">
        <f t="shared" si="124"/>
        <v>3.0213211309137299E-2</v>
      </c>
      <c r="CE91" s="88">
        <f t="shared" si="124"/>
        <v>4.0918671845395979E-2</v>
      </c>
      <c r="CF91" s="88">
        <f t="shared" si="124"/>
        <v>4.0789861479516652E-2</v>
      </c>
      <c r="CG91" s="88">
        <f t="shared" si="124"/>
        <v>4.1260807704935974E-2</v>
      </c>
      <c r="CH91" s="88">
        <f t="shared" si="124"/>
        <v>4.2403671479108902E-2</v>
      </c>
      <c r="CI91" s="88">
        <f t="shared" si="124"/>
        <v>3.9699482716150751E-2</v>
      </c>
      <c r="CJ91" s="88">
        <f t="shared" si="124"/>
        <v>3.9268655547725316E-2</v>
      </c>
      <c r="CK91" s="88">
        <f t="shared" si="124"/>
        <v>3.6656527407039542E-2</v>
      </c>
      <c r="CL91" s="88">
        <f t="shared" si="124"/>
        <v>3.5857284945550995E-2</v>
      </c>
      <c r="CM91" s="88">
        <f t="shared" si="124"/>
        <v>3.2750751419347655E-2</v>
      </c>
      <c r="CN91" s="88">
        <f t="shared" si="124"/>
        <v>3.1196770655902185E-2</v>
      </c>
      <c r="CO91" s="88">
        <f t="shared" si="124"/>
        <v>3.2416800764943215E-2</v>
      </c>
      <c r="CP91" s="88">
        <f t="shared" si="124"/>
        <v>3.1353801957087708E-2</v>
      </c>
      <c r="CQ91" s="94">
        <v>3.1353801957087708E-2</v>
      </c>
      <c r="CR91" s="94">
        <v>0.03</v>
      </c>
      <c r="CS91" s="94">
        <v>0.03</v>
      </c>
      <c r="CT91" s="94">
        <v>2.9000000000000001E-2</v>
      </c>
      <c r="CU91" s="94">
        <v>2.9000000000000001E-2</v>
      </c>
      <c r="CV91" s="94">
        <v>2.8000000000000001E-2</v>
      </c>
      <c r="CW91" s="94">
        <v>2.8000000000000001E-2</v>
      </c>
      <c r="CX91" s="94">
        <v>2.7E-2</v>
      </c>
      <c r="CY91" s="94">
        <v>2.7E-2</v>
      </c>
      <c r="CZ91" s="94">
        <v>2.5999999999999999E-2</v>
      </c>
    </row>
    <row r="92" spans="2:156">
      <c r="B92" s="37" t="s">
        <v>1510</v>
      </c>
      <c r="C92" s="88">
        <f t="shared" ref="C92:BN92" si="125">C76/C71</f>
        <v>6.62377707564048E-3</v>
      </c>
      <c r="D92" s="88">
        <f t="shared" si="125"/>
        <v>3.1590707708902925E-3</v>
      </c>
      <c r="E92" s="88">
        <f t="shared" si="125"/>
        <v>3.9182866055464506E-3</v>
      </c>
      <c r="F92" s="88">
        <f t="shared" si="125"/>
        <v>9.5601542214178749E-3</v>
      </c>
      <c r="G92" s="88">
        <f t="shared" si="125"/>
        <v>5.6221062688322021E-3</v>
      </c>
      <c r="H92" s="88">
        <f t="shared" si="125"/>
        <v>1.3945339873861231E-2</v>
      </c>
      <c r="I92" s="88">
        <f t="shared" si="125"/>
        <v>3.9551297350745073E-3</v>
      </c>
      <c r="J92" s="88">
        <f t="shared" si="125"/>
        <v>9.7688903458449661E-3</v>
      </c>
      <c r="K92" s="88">
        <f t="shared" si="125"/>
        <v>3.991101805810012E-3</v>
      </c>
      <c r="L92" s="88">
        <f t="shared" si="125"/>
        <v>7.8182812650815468E-3</v>
      </c>
      <c r="M92" s="88">
        <f t="shared" si="125"/>
        <v>4.9259487312441411E-3</v>
      </c>
      <c r="N92" s="88">
        <f t="shared" si="125"/>
        <v>9.3271561378209973E-3</v>
      </c>
      <c r="O92" s="88">
        <f t="shared" si="125"/>
        <v>6.7366442111859628E-3</v>
      </c>
      <c r="P92" s="88">
        <f t="shared" si="125"/>
        <v>6.6355976667386461E-3</v>
      </c>
      <c r="Q92" s="88">
        <f t="shared" si="125"/>
        <v>3.5716523591703669E-3</v>
      </c>
      <c r="R92" s="88">
        <f t="shared" si="125"/>
        <v>6.720701491245768E-3</v>
      </c>
      <c r="S92" s="88">
        <f t="shared" si="125"/>
        <v>-0.14914820033303447</v>
      </c>
      <c r="T92" s="88">
        <f t="shared" si="125"/>
        <v>1.4091024780767741E-2</v>
      </c>
      <c r="U92" s="88">
        <f t="shared" si="125"/>
        <v>-2.6513880232056419E-2</v>
      </c>
      <c r="V92" s="88">
        <f t="shared" si="125"/>
        <v>7.5008903133903229E-3</v>
      </c>
      <c r="W92" s="88">
        <f t="shared" si="125"/>
        <v>8.1657650301112574E-3</v>
      </c>
      <c r="X92" s="88">
        <f t="shared" si="125"/>
        <v>4.776510805685006E-3</v>
      </c>
      <c r="Y92" s="88">
        <f t="shared" si="125"/>
        <v>3.7592161428017627E-3</v>
      </c>
      <c r="Z92" s="88">
        <f t="shared" si="125"/>
        <v>1.0339416607553607E-2</v>
      </c>
      <c r="AA92" s="88">
        <f t="shared" si="125"/>
        <v>1.1781689484958533E-2</v>
      </c>
      <c r="AB92" s="88">
        <f t="shared" si="125"/>
        <v>7.8056094549303432E-3</v>
      </c>
      <c r="AC92" s="88">
        <f t="shared" si="125"/>
        <v>1.2224721102674318E-2</v>
      </c>
      <c r="AD92" s="88">
        <f t="shared" si="125"/>
        <v>9.7110900244291257E-3</v>
      </c>
      <c r="AE92" s="88">
        <f t="shared" si="125"/>
        <v>5.0367261280167891E-3</v>
      </c>
      <c r="AF92" s="88">
        <f t="shared" si="125"/>
        <v>4.4088176352705408E-3</v>
      </c>
      <c r="AG92" s="88">
        <f t="shared" si="125"/>
        <v>9.5777951524628618E-3</v>
      </c>
      <c r="AH92" s="88">
        <f t="shared" si="125"/>
        <v>3.30742516950554E-4</v>
      </c>
      <c r="AI92" s="88">
        <f t="shared" si="125"/>
        <v>7.6883649410558691E-3</v>
      </c>
      <c r="AJ92" s="88">
        <f t="shared" si="125"/>
        <v>2.7969726883843369E-3</v>
      </c>
      <c r="AK92" s="88">
        <f t="shared" si="125"/>
        <v>-4.5608108108108111E-3</v>
      </c>
      <c r="AL92" s="88">
        <f t="shared" si="125"/>
        <v>2.3052097740894422E-3</v>
      </c>
      <c r="AM92" s="88">
        <f t="shared" si="125"/>
        <v>1.7959183673469388E-3</v>
      </c>
      <c r="AN92" s="88">
        <f t="shared" si="125"/>
        <v>-7.6630778974034197E-2</v>
      </c>
      <c r="AO92" s="88">
        <f t="shared" si="125"/>
        <v>4.9426020408163268E-3</v>
      </c>
      <c r="AP92" s="88">
        <f t="shared" si="125"/>
        <v>4.2465954019622202E-3</v>
      </c>
      <c r="AQ92" s="88">
        <f t="shared" si="125"/>
        <v>6.0995184590690206E-3</v>
      </c>
      <c r="AR92" s="88">
        <f t="shared" si="125"/>
        <v>1.7348561515107706E-3</v>
      </c>
      <c r="AS92" s="88">
        <f t="shared" si="125"/>
        <v>1.9950710010562139E-3</v>
      </c>
      <c r="AT92" s="88">
        <f t="shared" si="125"/>
        <v>3.0331753554502369E-3</v>
      </c>
      <c r="AU92" s="88">
        <f t="shared" si="125"/>
        <v>1.413284877851807E-3</v>
      </c>
      <c r="AV92" s="88">
        <f t="shared" si="125"/>
        <v>1.2832955893454115E-2</v>
      </c>
      <c r="AW92" s="88">
        <f t="shared" si="125"/>
        <v>1.9292604501607716E-3</v>
      </c>
      <c r="AX92" s="88">
        <f t="shared" si="125"/>
        <v>4.2982620071014763E-3</v>
      </c>
      <c r="AY92" s="88">
        <f t="shared" si="125"/>
        <v>1.6923337282112033E-4</v>
      </c>
      <c r="AZ92" s="88">
        <f t="shared" si="125"/>
        <v>2.1877848678213308E-3</v>
      </c>
      <c r="BA92" s="88">
        <f t="shared" si="125"/>
        <v>3.0907558302894073E-3</v>
      </c>
      <c r="BB92" s="88">
        <f t="shared" si="125"/>
        <v>4.8034934497816597E-3</v>
      </c>
      <c r="BC92" s="88">
        <f t="shared" si="125"/>
        <v>1.045751633986928E-2</v>
      </c>
      <c r="BD92" s="88">
        <f t="shared" si="125"/>
        <v>1.7123608122017405E-2</v>
      </c>
      <c r="BE92" s="88">
        <f t="shared" si="125"/>
        <v>7.94401361830906E-3</v>
      </c>
      <c r="BF92" s="88">
        <f t="shared" si="125"/>
        <v>7.3488884806173068E-3</v>
      </c>
      <c r="BG92" s="88">
        <f t="shared" si="125"/>
        <v>2.8032866118898017E-3</v>
      </c>
      <c r="BH92" s="88">
        <f t="shared" si="125"/>
        <v>7.3048097903424727E-3</v>
      </c>
      <c r="BI92" s="88">
        <f t="shared" si="125"/>
        <v>4.2460841668239295E-3</v>
      </c>
      <c r="BJ92" s="88">
        <f t="shared" si="125"/>
        <v>2.0008775778850373E-2</v>
      </c>
      <c r="BK92" s="88">
        <f t="shared" si="125"/>
        <v>9.4558085681204166E-3</v>
      </c>
      <c r="BL92" s="88">
        <f t="shared" si="125"/>
        <v>7.554122524182404E-3</v>
      </c>
      <c r="BM92" s="88">
        <f t="shared" si="125"/>
        <v>1.2138104657435714E-2</v>
      </c>
      <c r="BN92" s="88">
        <f t="shared" si="125"/>
        <v>3.8477282030290627E-3</v>
      </c>
      <c r="BO92" s="88">
        <f t="shared" ref="BO92" si="126">BO76/BO71</f>
        <v>4.4525215810995002E-3</v>
      </c>
      <c r="BP92" s="88">
        <f>BP76/BP71</f>
        <v>8.170752042688011E-3</v>
      </c>
      <c r="BQ92" s="88">
        <f>BQ76/BQ71</f>
        <v>1.6396144022410811E-2</v>
      </c>
      <c r="CA92" s="88">
        <f t="shared" ref="CA92:CP92" si="127">CA76/CA71</f>
        <v>5.7923045097227795E-3</v>
      </c>
      <c r="CB92" s="88">
        <f t="shared" si="127"/>
        <v>8.3486175035470817E-3</v>
      </c>
      <c r="CC92" s="88">
        <f t="shared" si="127"/>
        <v>6.5628022606096003E-3</v>
      </c>
      <c r="CD92" s="88">
        <f t="shared" si="127"/>
        <v>5.935692841264128E-3</v>
      </c>
      <c r="CE92" s="88">
        <f t="shared" si="127"/>
        <v>-3.5418245547555897E-2</v>
      </c>
      <c r="CF92" s="88">
        <f t="shared" si="127"/>
        <v>6.8376068376068645E-3</v>
      </c>
      <c r="CG92" s="88">
        <f t="shared" si="127"/>
        <v>1.0342563204552917E-2</v>
      </c>
      <c r="CH92" s="88">
        <f t="shared" si="127"/>
        <v>4.6371546036906011E-3</v>
      </c>
      <c r="CI92" s="88">
        <f t="shared" si="127"/>
        <v>2.0527136874948682E-3</v>
      </c>
      <c r="CJ92" s="88">
        <f t="shared" si="127"/>
        <v>-1.6169446402004541E-2</v>
      </c>
      <c r="CK92" s="88">
        <f t="shared" si="127"/>
        <v>3.0728164380160157E-3</v>
      </c>
      <c r="CL92" s="88">
        <f t="shared" si="127"/>
        <v>5.0241003799954094E-3</v>
      </c>
      <c r="CM92" s="88">
        <f t="shared" si="127"/>
        <v>2.5381275743070245E-3</v>
      </c>
      <c r="CN92" s="88">
        <f t="shared" si="127"/>
        <v>1.0710035700119001E-2</v>
      </c>
      <c r="CO92" s="88">
        <f t="shared" si="127"/>
        <v>8.8388255323118541E-3</v>
      </c>
      <c r="CP92" s="88">
        <f t="shared" si="127"/>
        <v>8.124607235838046E-3</v>
      </c>
      <c r="CQ92" s="94">
        <v>1.2E-2</v>
      </c>
      <c r="CR92" s="94">
        <v>0.01</v>
      </c>
      <c r="CS92" s="94">
        <v>8.9999999999999993E-3</v>
      </c>
      <c r="CT92" s="94">
        <v>8.124607235838046E-3</v>
      </c>
      <c r="CU92" s="94">
        <v>8.124607235838046E-3</v>
      </c>
      <c r="CV92" s="94">
        <v>8.124607235838046E-3</v>
      </c>
      <c r="CW92" s="94">
        <v>7.0000000000000001E-3</v>
      </c>
      <c r="CX92" s="94">
        <v>7.0000000000000001E-3</v>
      </c>
      <c r="CY92" s="94">
        <v>6.0000000000000001E-3</v>
      </c>
      <c r="CZ92" s="94">
        <v>6.0000000000000001E-3</v>
      </c>
    </row>
    <row r="93" spans="2:156">
      <c r="B93" s="37" t="s">
        <v>61</v>
      </c>
      <c r="C93" s="88">
        <f t="shared" ref="C93:BN93" si="128">C77/C71</f>
        <v>0.10834062963949907</v>
      </c>
      <c r="D93" s="88">
        <f t="shared" si="128"/>
        <v>0.11476672959124702</v>
      </c>
      <c r="E93" s="88">
        <f t="shared" si="128"/>
        <v>0.11515197626203059</v>
      </c>
      <c r="F93" s="88">
        <f t="shared" si="128"/>
        <v>0.11916751908096636</v>
      </c>
      <c r="G93" s="88">
        <f t="shared" si="128"/>
        <v>0.11813772323069016</v>
      </c>
      <c r="H93" s="88">
        <f t="shared" si="128"/>
        <v>9.2887175893482846E-2</v>
      </c>
      <c r="I93" s="88">
        <f t="shared" si="128"/>
        <v>0.10774318933478813</v>
      </c>
      <c r="J93" s="88">
        <f t="shared" si="128"/>
        <v>0.11414522209473854</v>
      </c>
      <c r="K93" s="88">
        <f t="shared" si="128"/>
        <v>0.11826092645904221</v>
      </c>
      <c r="L93" s="88">
        <f t="shared" si="128"/>
        <v>0.11833596087641966</v>
      </c>
      <c r="M93" s="88">
        <f t="shared" si="128"/>
        <v>0.11413941731211713</v>
      </c>
      <c r="N93" s="88">
        <f t="shared" si="128"/>
        <v>0.12290982726352288</v>
      </c>
      <c r="O93" s="88">
        <f t="shared" si="128"/>
        <v>0.12129092903023654</v>
      </c>
      <c r="P93" s="88">
        <f t="shared" si="128"/>
        <v>0.11586062158575348</v>
      </c>
      <c r="Q93" s="88">
        <f t="shared" si="128"/>
        <v>0.12284604298514948</v>
      </c>
      <c r="R93" s="88">
        <f t="shared" si="128"/>
        <v>0.13124116645994982</v>
      </c>
      <c r="S93" s="88">
        <f t="shared" si="128"/>
        <v>0.22428589727167927</v>
      </c>
      <c r="T93" s="88">
        <f t="shared" si="128"/>
        <v>8.0543279576112237E-2</v>
      </c>
      <c r="U93" s="88">
        <f t="shared" si="128"/>
        <v>0.15349762669607314</v>
      </c>
      <c r="V93" s="88">
        <f t="shared" si="128"/>
        <v>0.14224982193732197</v>
      </c>
      <c r="W93" s="88">
        <f t="shared" si="128"/>
        <v>0.124349290599163</v>
      </c>
      <c r="X93" s="88">
        <f t="shared" si="128"/>
        <v>0.13950221264838789</v>
      </c>
      <c r="Y93" s="88">
        <f t="shared" si="128"/>
        <v>0.13652017850213419</v>
      </c>
      <c r="Z93" s="88">
        <f t="shared" si="128"/>
        <v>0.14832011349713042</v>
      </c>
      <c r="AA93" s="88">
        <f t="shared" si="128"/>
        <v>0.12058768743596909</v>
      </c>
      <c r="AB93" s="88">
        <f t="shared" si="128"/>
        <v>0.14058916916563766</v>
      </c>
      <c r="AC93" s="88">
        <f t="shared" si="128"/>
        <v>0.12048809815404478</v>
      </c>
      <c r="AD93" s="88">
        <f t="shared" si="128"/>
        <v>0.15372191153015288</v>
      </c>
      <c r="AE93" s="88">
        <f t="shared" si="128"/>
        <v>0.13011542497376705</v>
      </c>
      <c r="AF93" s="88">
        <f t="shared" si="128"/>
        <v>0.1501002004008016</v>
      </c>
      <c r="AG93" s="88">
        <f t="shared" si="128"/>
        <v>0.12392494136043784</v>
      </c>
      <c r="AH93" s="88">
        <f t="shared" si="128"/>
        <v>0.15826029436084008</v>
      </c>
      <c r="AI93" s="88">
        <f t="shared" si="128"/>
        <v>0.13429010763710916</v>
      </c>
      <c r="AJ93" s="88">
        <f t="shared" si="128"/>
        <v>0.15416255347153668</v>
      </c>
      <c r="AK93" s="88">
        <f t="shared" si="128"/>
        <v>0.15405405405405406</v>
      </c>
      <c r="AL93" s="88">
        <f t="shared" si="128"/>
        <v>0.1764253880436453</v>
      </c>
      <c r="AM93" s="88">
        <f t="shared" si="128"/>
        <v>0.15020408163265306</v>
      </c>
      <c r="AN93" s="88">
        <f t="shared" si="128"/>
        <v>0.23685877137428751</v>
      </c>
      <c r="AO93" s="88">
        <f t="shared" si="128"/>
        <v>0.15082908163265307</v>
      </c>
      <c r="AP93" s="88">
        <f t="shared" si="128"/>
        <v>0.18040708742129155</v>
      </c>
      <c r="AQ93" s="88">
        <f t="shared" si="128"/>
        <v>0.14542536115569824</v>
      </c>
      <c r="AR93" s="88">
        <f t="shared" si="128"/>
        <v>0.20109874222929017</v>
      </c>
      <c r="AS93" s="88">
        <f t="shared" si="128"/>
        <v>0.28470836756249268</v>
      </c>
      <c r="AT93" s="88">
        <f t="shared" si="128"/>
        <v>0.29109004739336491</v>
      </c>
      <c r="AU93" s="88">
        <f t="shared" si="128"/>
        <v>0.30779325661215423</v>
      </c>
      <c r="AV93" s="88">
        <f t="shared" si="128"/>
        <v>0.23325784535748947</v>
      </c>
      <c r="AW93" s="88">
        <f t="shared" si="128"/>
        <v>0.24415862808145766</v>
      </c>
      <c r="AX93" s="88">
        <f t="shared" si="128"/>
        <v>0.2371519342179032</v>
      </c>
      <c r="AY93" s="88">
        <f t="shared" si="128"/>
        <v>0.23870367236419021</v>
      </c>
      <c r="AZ93" s="88">
        <f t="shared" si="128"/>
        <v>0.18240656335460345</v>
      </c>
      <c r="BA93" s="88">
        <f t="shared" si="128"/>
        <v>0.160157347569542</v>
      </c>
      <c r="BB93" s="88">
        <f t="shared" si="128"/>
        <v>0.16253275109170306</v>
      </c>
      <c r="BC93" s="88">
        <f t="shared" si="128"/>
        <v>0.14593837535014006</v>
      </c>
      <c r="BD93" s="88">
        <f t="shared" si="128"/>
        <v>0.14765603069149433</v>
      </c>
      <c r="BE93" s="88">
        <f t="shared" si="128"/>
        <v>0.17628144505390581</v>
      </c>
      <c r="BF93" s="88">
        <f t="shared" si="128"/>
        <v>0.17031049053830608</v>
      </c>
      <c r="BG93" s="88">
        <f t="shared" si="128"/>
        <v>0.16065732237796038</v>
      </c>
      <c r="BH93" s="88">
        <f t="shared" si="128"/>
        <v>0.17265914049900388</v>
      </c>
      <c r="BI93" s="88">
        <f t="shared" si="128"/>
        <v>0.17352330628420456</v>
      </c>
      <c r="BJ93" s="88">
        <f t="shared" si="128"/>
        <v>0.17700745941202281</v>
      </c>
      <c r="BK93" s="88">
        <f t="shared" si="128"/>
        <v>0.16566962562717097</v>
      </c>
      <c r="BL93" s="88">
        <f t="shared" si="128"/>
        <v>0.1690465223399355</v>
      </c>
      <c r="BM93" s="88">
        <f t="shared" si="128"/>
        <v>0.17442905952166876</v>
      </c>
      <c r="BN93" s="88">
        <f t="shared" si="128"/>
        <v>0.18460908718788374</v>
      </c>
      <c r="BO93" s="88">
        <f t="shared" ref="BO93" si="129">BO77/BO71</f>
        <v>0.16937755565651977</v>
      </c>
      <c r="BP93" s="88">
        <f>BP77/BP71</f>
        <v>0.17400366850091711</v>
      </c>
      <c r="BQ93" s="88">
        <f>BQ77/BQ71</f>
        <v>0.1864546428277169</v>
      </c>
      <c r="CA93" s="88">
        <f t="shared" ref="CA93:CP93" si="130">CA77/CA71</f>
        <v>0.11431622903657235</v>
      </c>
      <c r="CB93" s="88">
        <f t="shared" si="130"/>
        <v>0.10821192511333359</v>
      </c>
      <c r="CC93" s="88">
        <f t="shared" si="130"/>
        <v>0.11847416845858083</v>
      </c>
      <c r="CD93" s="88">
        <f t="shared" si="130"/>
        <v>0.12296127667051174</v>
      </c>
      <c r="CE93" s="88">
        <f t="shared" si="130"/>
        <v>0.14819770746494881</v>
      </c>
      <c r="CF93" s="88">
        <f t="shared" si="130"/>
        <v>0.13769525493663426</v>
      </c>
      <c r="CG93" s="88">
        <f t="shared" si="130"/>
        <v>0.13450804421582577</v>
      </c>
      <c r="CH93" s="88">
        <f t="shared" si="130"/>
        <v>0.14150492398890907</v>
      </c>
      <c r="CI93" s="88">
        <f t="shared" si="130"/>
        <v>0.15530831759586172</v>
      </c>
      <c r="CJ93" s="88">
        <f t="shared" si="130"/>
        <v>0.17986062172108683</v>
      </c>
      <c r="CK93" s="88">
        <f t="shared" si="130"/>
        <v>0.24191445775653361</v>
      </c>
      <c r="CL93" s="88">
        <f t="shared" si="130"/>
        <v>0.25574456147509628</v>
      </c>
      <c r="CM93" s="88">
        <f t="shared" si="130"/>
        <v>0.18686407658911278</v>
      </c>
      <c r="CN93" s="88">
        <f t="shared" si="130"/>
        <v>0.16004386681288937</v>
      </c>
      <c r="CO93" s="88">
        <f t="shared" si="130"/>
        <v>0.17113272231162108</v>
      </c>
      <c r="CP93" s="88">
        <f t="shared" si="130"/>
        <v>0.17387108358021366</v>
      </c>
      <c r="CQ93" s="94">
        <v>0.17387108358021366</v>
      </c>
      <c r="CR93" s="94">
        <v>0.17387108358021366</v>
      </c>
      <c r="CS93" s="94">
        <v>0.17387108358021366</v>
      </c>
      <c r="CT93" s="94">
        <v>0.17387108358021366</v>
      </c>
      <c r="CU93" s="94">
        <v>0.17387108358021366</v>
      </c>
      <c r="CV93" s="94">
        <v>0.17387108358021366</v>
      </c>
      <c r="CW93" s="94">
        <v>0.17387108358021366</v>
      </c>
      <c r="CX93" s="94">
        <v>0.17387108358021366</v>
      </c>
      <c r="CY93" s="94">
        <v>0.17387108358021366</v>
      </c>
      <c r="CZ93" s="94">
        <v>0.17387108358021366</v>
      </c>
    </row>
    <row r="94" spans="2:156">
      <c r="B94" s="37" t="s">
        <v>62</v>
      </c>
      <c r="C94" s="88">
        <f t="shared" ref="C94:BN94" si="131">C82/C81</f>
        <v>0.13515594917212159</v>
      </c>
      <c r="D94" s="88">
        <f t="shared" si="131"/>
        <v>0.12409038682497134</v>
      </c>
      <c r="E94" s="88">
        <f t="shared" si="131"/>
        <v>9.9199443090845857E-2</v>
      </c>
      <c r="F94" s="88">
        <f t="shared" si="131"/>
        <v>2.0028612303290391E-2</v>
      </c>
      <c r="G94" s="88">
        <f t="shared" si="131"/>
        <v>0.1732441471571905</v>
      </c>
      <c r="H94" s="88">
        <f t="shared" si="131"/>
        <v>0.14795918367346939</v>
      </c>
      <c r="I94" s="88">
        <f t="shared" si="131"/>
        <v>3.7537537537537526E-4</v>
      </c>
      <c r="J94" s="88">
        <f t="shared" si="131"/>
        <v>6.3339731285988507E-2</v>
      </c>
      <c r="K94" s="88">
        <f t="shared" si="131"/>
        <v>9.7396335583413624E-2</v>
      </c>
      <c r="L94" s="88">
        <f t="shared" si="131"/>
        <v>8.1658291457286439E-2</v>
      </c>
      <c r="M94" s="88">
        <f t="shared" si="131"/>
        <v>-1.012145748987855E-2</v>
      </c>
      <c r="N94" s="88">
        <f t="shared" si="131"/>
        <v>-0.1231441048034934</v>
      </c>
      <c r="O94" s="88">
        <f t="shared" si="131"/>
        <v>6.124234470691165E-3</v>
      </c>
      <c r="P94" s="88">
        <f t="shared" si="131"/>
        <v>8.5714285714285753E-3</v>
      </c>
      <c r="Q94" s="88">
        <f t="shared" si="131"/>
        <v>4.0752351097178667E-3</v>
      </c>
      <c r="R94" s="88">
        <f t="shared" si="131"/>
        <v>9.1631355932203382E-2</v>
      </c>
      <c r="S94" s="88">
        <f t="shared" si="131"/>
        <v>0.29868285123966942</v>
      </c>
      <c r="T94" s="88">
        <f t="shared" si="131"/>
        <v>-0.17758985200845706</v>
      </c>
      <c r="U94" s="88">
        <f t="shared" si="131"/>
        <v>0.12852373887240368</v>
      </c>
      <c r="V94" s="88">
        <f t="shared" si="131"/>
        <v>-0.1245578104636008</v>
      </c>
      <c r="W94" s="88">
        <f t="shared" si="131"/>
        <v>-8.1151832460733004E-3</v>
      </c>
      <c r="X94" s="88">
        <f t="shared" si="131"/>
        <v>-1.5885623510722806E-2</v>
      </c>
      <c r="Y94" s="88">
        <f t="shared" si="131"/>
        <v>-1.9653920102542206E-2</v>
      </c>
      <c r="Z94" s="88">
        <f t="shared" si="131"/>
        <v>-4.0700669757856744E-2</v>
      </c>
      <c r="AA94" s="88">
        <f t="shared" si="131"/>
        <v>4.8936170212765945E-2</v>
      </c>
      <c r="AB94" s="88">
        <f t="shared" si="131"/>
        <v>8.2517750911533308E-3</v>
      </c>
      <c r="AC94" s="88">
        <f t="shared" si="131"/>
        <v>-0.10656695489600382</v>
      </c>
      <c r="AD94" s="88">
        <f t="shared" si="131"/>
        <v>3.006134969325152E-2</v>
      </c>
      <c r="AE94" s="88">
        <f t="shared" si="131"/>
        <v>-9.5427435387673953E-2</v>
      </c>
      <c r="AF94" s="88">
        <f t="shared" si="131"/>
        <v>2.0766773162939296E-2</v>
      </c>
      <c r="AG94" s="88">
        <f t="shared" si="131"/>
        <v>-0.1125</v>
      </c>
      <c r="AH94" s="88">
        <f t="shared" si="131"/>
        <v>0.35365853658536583</v>
      </c>
      <c r="AI94" s="88">
        <f t="shared" si="131"/>
        <v>8.6750788643533125E-2</v>
      </c>
      <c r="AJ94" s="88">
        <f t="shared" si="131"/>
        <v>6.699751861042183E-2</v>
      </c>
      <c r="AK94" s="88">
        <f t="shared" si="131"/>
        <v>0.12469135802469136</v>
      </c>
      <c r="AL94" s="88">
        <f t="shared" si="131"/>
        <v>0.11264822134387352</v>
      </c>
      <c r="AM94" s="88">
        <f t="shared" si="131"/>
        <v>2.4479804161566705E-3</v>
      </c>
      <c r="AN94" s="88">
        <f t="shared" si="131"/>
        <v>0.19669777458722182</v>
      </c>
      <c r="AO94" s="88">
        <f t="shared" si="131"/>
        <v>7.5425790754257913E-2</v>
      </c>
      <c r="AP94" s="88">
        <f t="shared" si="131"/>
        <v>3.4615384615384617E-2</v>
      </c>
      <c r="AQ94" s="88">
        <f t="shared" si="131"/>
        <v>4.8309178743961352E-2</v>
      </c>
      <c r="AR94" s="88">
        <f t="shared" si="131"/>
        <v>7.7414205905826011E-2</v>
      </c>
      <c r="AS94" s="88">
        <f t="shared" si="131"/>
        <v>0.14165186500888099</v>
      </c>
      <c r="AT94" s="88">
        <f t="shared" si="131"/>
        <v>0.1360027614773904</v>
      </c>
      <c r="AU94" s="88">
        <f t="shared" si="131"/>
        <v>0.15110788231020705</v>
      </c>
      <c r="AV94" s="88">
        <f t="shared" si="131"/>
        <v>0.10736944851146901</v>
      </c>
      <c r="AW94" s="88">
        <f t="shared" si="131"/>
        <v>0.12471237919926369</v>
      </c>
      <c r="AX94" s="88">
        <f t="shared" si="131"/>
        <v>0.11039657020364416</v>
      </c>
      <c r="AY94" s="88">
        <f t="shared" si="131"/>
        <v>0.12598425196850394</v>
      </c>
      <c r="AZ94" s="88">
        <f t="shared" si="131"/>
        <v>0.12989045383411579</v>
      </c>
      <c r="BA94" s="88">
        <f t="shared" si="131"/>
        <v>6.4334790755777638E-2</v>
      </c>
      <c r="BB94" s="88">
        <f t="shared" si="131"/>
        <v>0.11423747889701745</v>
      </c>
      <c r="BC94" s="88">
        <f t="shared" si="131"/>
        <v>5.2090975788701394E-2</v>
      </c>
      <c r="BD94" s="88">
        <f t="shared" si="131"/>
        <v>4.7552447552447551E-2</v>
      </c>
      <c r="BE94" s="88">
        <f t="shared" si="131"/>
        <v>3.9660056657223795E-2</v>
      </c>
      <c r="BF94" s="88">
        <f t="shared" si="131"/>
        <v>7.7011494252873569E-2</v>
      </c>
      <c r="BG94" s="88">
        <f t="shared" si="131"/>
        <v>0.16246851385390429</v>
      </c>
      <c r="BH94" s="88">
        <f t="shared" si="131"/>
        <v>0.12004530011325028</v>
      </c>
      <c r="BI94" s="88">
        <f t="shared" si="131"/>
        <v>6.5366972477064217E-2</v>
      </c>
      <c r="BJ94" s="88">
        <f t="shared" si="131"/>
        <v>5.9278350515463915E-2</v>
      </c>
      <c r="BK94" s="88">
        <f t="shared" si="131"/>
        <v>6.7283950617283955E-2</v>
      </c>
      <c r="BL94" s="88">
        <f t="shared" si="131"/>
        <v>5.2662375658279699E-2</v>
      </c>
      <c r="BM94" s="88">
        <f t="shared" si="131"/>
        <v>0.11232876712328767</v>
      </c>
      <c r="BN94" s="88">
        <f t="shared" si="131"/>
        <v>8.5382830626450121E-2</v>
      </c>
      <c r="BO94" s="88">
        <f t="shared" ref="BO94" si="132">BO82/BO81</f>
        <v>4.4982698961937718E-2</v>
      </c>
      <c r="BP94" s="88">
        <f>BP82/BP81</f>
        <v>9.45945945945946E-2</v>
      </c>
      <c r="BQ94" s="88">
        <f>BQ82/BQ81</f>
        <v>0.1728927203065134</v>
      </c>
      <c r="CA94" s="88">
        <f t="shared" ref="CA94:CP94" si="133">CA82/CA81</f>
        <v>9.3408108853544169E-2</v>
      </c>
      <c r="CB94" s="88">
        <f t="shared" si="133"/>
        <v>9.6574858757062121E-2</v>
      </c>
      <c r="CC94" s="88">
        <f t="shared" si="133"/>
        <v>8.6655112651646445E-3</v>
      </c>
      <c r="CD94" s="88">
        <f t="shared" si="133"/>
        <v>3.0617658203865101E-2</v>
      </c>
      <c r="CE94" s="88">
        <f t="shared" si="133"/>
        <v>9.1845534687619829E-2</v>
      </c>
      <c r="CF94" s="88">
        <f t="shared" si="133"/>
        <v>-2.2727272727272731E-2</v>
      </c>
      <c r="CG94" s="88">
        <f t="shared" si="133"/>
        <v>-4.9407114624505926E-4</v>
      </c>
      <c r="CH94" s="88">
        <f t="shared" si="133"/>
        <v>8.2750102923013588E-2</v>
      </c>
      <c r="CI94" s="88">
        <f t="shared" si="133"/>
        <v>9.932556713672594E-2</v>
      </c>
      <c r="CJ94" s="88">
        <f t="shared" si="133"/>
        <v>9.1846758349705307E-2</v>
      </c>
      <c r="CK94" s="88">
        <f t="shared" si="133"/>
        <v>0.11756569847856155</v>
      </c>
      <c r="CL94" s="88">
        <f t="shared" si="133"/>
        <v>0.12589073634204276</v>
      </c>
      <c r="CM94" s="88">
        <f t="shared" si="133"/>
        <v>0.11167836630504148</v>
      </c>
      <c r="CN94" s="88">
        <f t="shared" si="133"/>
        <v>5.4461733883772623E-2</v>
      </c>
      <c r="CO94" s="88">
        <f t="shared" si="133"/>
        <v>9.9317988064791141E-2</v>
      </c>
      <c r="CP94" s="88">
        <f t="shared" si="133"/>
        <v>8.0448761800519908E-2</v>
      </c>
      <c r="CQ94" s="94">
        <v>8.0448761800519908E-2</v>
      </c>
      <c r="CR94" s="94">
        <v>0.12</v>
      </c>
      <c r="CS94" s="94">
        <v>0.14000000000000001</v>
      </c>
      <c r="CT94" s="94">
        <v>0.14000000000000001</v>
      </c>
      <c r="CU94" s="94">
        <v>0.14000000000000001</v>
      </c>
      <c r="CV94" s="94">
        <v>0.14000000000000001</v>
      </c>
      <c r="CW94" s="94">
        <v>0.14000000000000001</v>
      </c>
      <c r="CX94" s="94">
        <v>0.14000000000000001</v>
      </c>
      <c r="CY94" s="94">
        <v>0.14000000000000001</v>
      </c>
      <c r="CZ94" s="94">
        <v>0.14000000000000001</v>
      </c>
    </row>
    <row r="95" spans="2:156">
      <c r="B95" s="37" t="s">
        <v>63</v>
      </c>
      <c r="C95" s="88">
        <f t="shared" ref="C95:BN95" si="134">C85/C71</f>
        <v>8.5500019033842231E-2</v>
      </c>
      <c r="D95" s="88">
        <f t="shared" si="134"/>
        <v>8.8107254305197003E-2</v>
      </c>
      <c r="E95" s="88">
        <f t="shared" si="134"/>
        <v>9.8451706166546152E-2</v>
      </c>
      <c r="F95" s="88">
        <f t="shared" si="134"/>
        <v>0.10779762373121421</v>
      </c>
      <c r="G95" s="88">
        <f t="shared" si="134"/>
        <v>9.0835599323877497E-2</v>
      </c>
      <c r="H95" s="88">
        <f t="shared" si="134"/>
        <v>7.6068675543097417E-2</v>
      </c>
      <c r="I95" s="88">
        <f t="shared" si="134"/>
        <v>9.0797504176753405E-2</v>
      </c>
      <c r="J95" s="88">
        <f t="shared" si="134"/>
        <v>9.5984264874610689E-2</v>
      </c>
      <c r="K95" s="88">
        <f t="shared" si="134"/>
        <v>9.1860769432085917E-2</v>
      </c>
      <c r="L95" s="88">
        <f t="shared" si="134"/>
        <v>9.4076767156783883E-2</v>
      </c>
      <c r="M95" s="88">
        <f t="shared" si="134"/>
        <v>9.7028226982532273E-2</v>
      </c>
      <c r="N95" s="88">
        <f t="shared" si="134"/>
        <v>0.11836897493326791</v>
      </c>
      <c r="O95" s="88">
        <f t="shared" si="134"/>
        <v>0.10678364405451979</v>
      </c>
      <c r="P95" s="88">
        <f t="shared" si="134"/>
        <v>8.5676368013332893E-2</v>
      </c>
      <c r="Q95" s="88">
        <f t="shared" si="134"/>
        <v>9.9536311798984922E-2</v>
      </c>
      <c r="R95" s="88">
        <f t="shared" si="134"/>
        <v>9.8935648562116008E-2</v>
      </c>
      <c r="S95" s="88">
        <f t="shared" si="134"/>
        <v>0.13913154861022156</v>
      </c>
      <c r="T95" s="88">
        <f t="shared" si="134"/>
        <v>6.4439251255234836E-2</v>
      </c>
      <c r="U95" s="88">
        <f t="shared" si="134"/>
        <v>0.11264803183583437</v>
      </c>
      <c r="V95" s="88">
        <f t="shared" si="134"/>
        <v>0.13443732193732197</v>
      </c>
      <c r="W95" s="88">
        <f t="shared" si="134"/>
        <v>9.8269878534245167E-2</v>
      </c>
      <c r="X95" s="88">
        <f t="shared" si="134"/>
        <v>0.11978739844060966</v>
      </c>
      <c r="Y95" s="88">
        <f t="shared" si="134"/>
        <v>0.11575960419091959</v>
      </c>
      <c r="Z95" s="88">
        <f t="shared" si="134"/>
        <v>0.13026375185400152</v>
      </c>
      <c r="AA95" s="88">
        <f t="shared" si="134"/>
        <v>9.3671416596814772E-2</v>
      </c>
      <c r="AB95" s="88">
        <f t="shared" si="134"/>
        <v>0.11395307814429352</v>
      </c>
      <c r="AC95" s="88">
        <f t="shared" si="134"/>
        <v>0.10543543610412161</v>
      </c>
      <c r="AD95" s="88">
        <f t="shared" si="134"/>
        <v>0.12767761603844063</v>
      </c>
      <c r="AE95" s="88">
        <f t="shared" si="134"/>
        <v>0.11563483735571878</v>
      </c>
      <c r="AF95" s="88">
        <f t="shared" si="134"/>
        <v>0.12284569138276553</v>
      </c>
      <c r="AG95" s="88">
        <f t="shared" si="134"/>
        <v>0.10437842064112587</v>
      </c>
      <c r="AH95" s="88">
        <f t="shared" si="134"/>
        <v>8.7646766991896802E-2</v>
      </c>
      <c r="AI95" s="88">
        <f t="shared" si="134"/>
        <v>9.8923628908252181E-2</v>
      </c>
      <c r="AJ95" s="88">
        <f t="shared" si="134"/>
        <v>0.12372490950970715</v>
      </c>
      <c r="AK95" s="88">
        <f t="shared" si="134"/>
        <v>0.11976351351351351</v>
      </c>
      <c r="AL95" s="88">
        <f t="shared" si="134"/>
        <v>0.1380052251421546</v>
      </c>
      <c r="AM95" s="88">
        <f t="shared" si="134"/>
        <v>0.13306122448979593</v>
      </c>
      <c r="AN95" s="88">
        <f t="shared" si="134"/>
        <v>0.17716909436352121</v>
      </c>
      <c r="AO95" s="88">
        <f t="shared" si="134"/>
        <v>0.1211734693877551</v>
      </c>
      <c r="AP95" s="88">
        <f t="shared" si="134"/>
        <v>0.14702006150241617</v>
      </c>
      <c r="AQ95" s="88">
        <f t="shared" si="134"/>
        <v>0.12648475120385233</v>
      </c>
      <c r="AR95" s="88">
        <f t="shared" si="134"/>
        <v>0.16712447592887089</v>
      </c>
      <c r="AS95" s="88">
        <f t="shared" si="134"/>
        <v>0.22685130853186244</v>
      </c>
      <c r="AT95" s="88">
        <f t="shared" si="134"/>
        <v>0.23725118483412322</v>
      </c>
      <c r="AU95" s="88">
        <f t="shared" si="134"/>
        <v>0.2359176256814052</v>
      </c>
      <c r="AV95" s="88">
        <f t="shared" si="134"/>
        <v>0.19713145691793379</v>
      </c>
      <c r="AW95" s="88">
        <f t="shared" si="134"/>
        <v>0.20385852090032155</v>
      </c>
      <c r="AX95" s="88">
        <f t="shared" si="134"/>
        <v>0.15492431321248365</v>
      </c>
      <c r="AY95" s="88">
        <f t="shared" si="134"/>
        <v>0.18742596039939077</v>
      </c>
      <c r="AZ95" s="88">
        <f t="shared" si="134"/>
        <v>0.15168641750227893</v>
      </c>
      <c r="BA95" s="88">
        <f t="shared" si="134"/>
        <v>0.1400206050388686</v>
      </c>
      <c r="BB95" s="88">
        <f t="shared" si="134"/>
        <v>0.13764192139737991</v>
      </c>
      <c r="BC95" s="88">
        <f t="shared" si="134"/>
        <v>0.12035480859010271</v>
      </c>
      <c r="BD95" s="88">
        <f t="shared" si="134"/>
        <v>0.12735098718068683</v>
      </c>
      <c r="BE95" s="88">
        <f t="shared" si="134"/>
        <v>0.16219027804047664</v>
      </c>
      <c r="BF95" s="88">
        <f t="shared" si="134"/>
        <v>0.14973360279257764</v>
      </c>
      <c r="BG95" s="88">
        <f t="shared" si="134"/>
        <v>0.12817786370227163</v>
      </c>
      <c r="BH95" s="88">
        <f t="shared" si="134"/>
        <v>0.14685513708376816</v>
      </c>
      <c r="BI95" s="88">
        <f t="shared" si="134"/>
        <v>0.15380260426495565</v>
      </c>
      <c r="BJ95" s="88">
        <f t="shared" si="134"/>
        <v>0.16077226853883281</v>
      </c>
      <c r="BK95" s="88">
        <f t="shared" si="134"/>
        <v>0.14540717869548436</v>
      </c>
      <c r="BL95" s="88">
        <f t="shared" si="134"/>
        <v>0.14896361123906035</v>
      </c>
      <c r="BM95" s="88">
        <f t="shared" si="134"/>
        <v>0.14520769645747167</v>
      </c>
      <c r="BN95" s="88">
        <f t="shared" si="134"/>
        <v>0.16086778550961933</v>
      </c>
      <c r="BO95" s="88">
        <f t="shared" ref="BO95" si="135">BO85/BO71</f>
        <v>0.15002271694684235</v>
      </c>
      <c r="BP95" s="88">
        <f>BP85/BP71</f>
        <v>0.1448224112056028</v>
      </c>
      <c r="BQ95" s="88">
        <f>BQ85/BQ71</f>
        <v>0.14179780835461811</v>
      </c>
      <c r="CA95" s="88">
        <f t="shared" ref="CA95:CP95" si="136">CA85/CA71</f>
        <v>9.4880257093648682E-2</v>
      </c>
      <c r="CB95" s="88">
        <f t="shared" si="136"/>
        <v>8.8538602623109697E-2</v>
      </c>
      <c r="CC95" s="88">
        <f t="shared" si="136"/>
        <v>0.10059233087394788</v>
      </c>
      <c r="CD95" s="88">
        <f t="shared" si="136"/>
        <v>9.7713574173242765E-2</v>
      </c>
      <c r="CE95" s="88">
        <f t="shared" si="136"/>
        <v>0.11222882720727544</v>
      </c>
      <c r="CF95" s="88">
        <f t="shared" si="136"/>
        <v>0.11671087533156498</v>
      </c>
      <c r="CG95" s="88">
        <f t="shared" si="136"/>
        <v>0.11081317719163841</v>
      </c>
      <c r="CH95" s="88">
        <f t="shared" si="136"/>
        <v>0.10651113873219237</v>
      </c>
      <c r="CI95" s="88">
        <f t="shared" si="136"/>
        <v>0.12061745627719846</v>
      </c>
      <c r="CJ95" s="88">
        <f t="shared" si="136"/>
        <v>0.14478114478114479</v>
      </c>
      <c r="CK95" s="88">
        <f t="shared" si="136"/>
        <v>0.19802594822769881</v>
      </c>
      <c r="CL95" s="88">
        <f t="shared" si="136"/>
        <v>0.19701104281961695</v>
      </c>
      <c r="CM95" s="88">
        <f t="shared" si="136"/>
        <v>0.15473672492485807</v>
      </c>
      <c r="CN95" s="88">
        <f t="shared" si="136"/>
        <v>0.13988379961266537</v>
      </c>
      <c r="CO95" s="88">
        <f t="shared" si="136"/>
        <v>0.14776464003358286</v>
      </c>
      <c r="CP95" s="88">
        <f t="shared" si="136"/>
        <v>0.15046233952778526</v>
      </c>
      <c r="CQ95" s="94">
        <v>0.15046233952778526</v>
      </c>
      <c r="CR95" s="94">
        <v>0.15046233952778526</v>
      </c>
      <c r="CS95" s="94">
        <v>0.15046233952778526</v>
      </c>
      <c r="CT95" s="94">
        <v>0.15046233952778526</v>
      </c>
      <c r="CU95" s="94">
        <v>0.15046233952778526</v>
      </c>
      <c r="CV95" s="94">
        <v>0.15046233952778526</v>
      </c>
      <c r="CW95" s="94">
        <v>0.15046233952778526</v>
      </c>
      <c r="CX95" s="94">
        <v>0.15046233952778526</v>
      </c>
      <c r="CY95" s="94">
        <v>0.15046233952778526</v>
      </c>
      <c r="CZ95" s="94">
        <v>0.15046233952778526</v>
      </c>
    </row>
    <row r="96" spans="2:156">
      <c r="CQ96" s="35"/>
    </row>
    <row r="97" spans="2:156" ht="15">
      <c r="B97" s="1" t="s">
        <v>64</v>
      </c>
      <c r="BB97" s="1">
        <v>8524</v>
      </c>
      <c r="BC97" s="1">
        <v>3482</v>
      </c>
      <c r="BD97" s="1">
        <v>3133</v>
      </c>
      <c r="BE97" s="1">
        <v>6151</v>
      </c>
      <c r="BF97" s="1">
        <v>8077</v>
      </c>
      <c r="BG97" s="1">
        <v>5499</v>
      </c>
      <c r="BH97" s="1">
        <v>7073</v>
      </c>
      <c r="BI97" s="1">
        <v>4645</v>
      </c>
      <c r="BJ97" s="1">
        <v>4009</v>
      </c>
      <c r="BK97" s="1">
        <v>4134</v>
      </c>
      <c r="BL97" s="1">
        <v>4576</v>
      </c>
      <c r="BM97" s="1">
        <v>1982</v>
      </c>
      <c r="BN97" s="1">
        <v>9852</v>
      </c>
      <c r="BO97" s="1">
        <v>3254</v>
      </c>
      <c r="BP97" s="1">
        <v>4064</v>
      </c>
      <c r="BQ97" s="1">
        <v>5641</v>
      </c>
      <c r="CM97" s="1">
        <f>BB97</f>
        <v>8524</v>
      </c>
      <c r="CN97" s="1">
        <f>BF97</f>
        <v>8077</v>
      </c>
      <c r="CO97" s="1">
        <f>BJ97</f>
        <v>4009</v>
      </c>
      <c r="CP97" s="1">
        <f>BK97</f>
        <v>4134</v>
      </c>
      <c r="CQ97" s="72">
        <f>CP97+CQ85</f>
        <v>10386.598997965797</v>
      </c>
      <c r="CR97" s="72">
        <f t="shared" ref="CR97:CZ97" si="137">CQ97+CR85</f>
        <v>18113.292367747465</v>
      </c>
      <c r="CS97" s="72">
        <f t="shared" si="137"/>
        <v>27395.987030465156</v>
      </c>
      <c r="CT97" s="72">
        <f t="shared" si="137"/>
        <v>38605.491185014056</v>
      </c>
      <c r="CU97" s="72">
        <f t="shared" si="137"/>
        <v>51694.030616262477</v>
      </c>
      <c r="CV97" s="72">
        <f t="shared" si="137"/>
        <v>66880.70284522271</v>
      </c>
      <c r="CW97" s="72">
        <f t="shared" si="137"/>
        <v>84318.643927049357</v>
      </c>
      <c r="CX97" s="72">
        <f t="shared" si="137"/>
        <v>104162.26164550311</v>
      </c>
      <c r="CY97" s="72">
        <f t="shared" si="137"/>
        <v>126379.3444744241</v>
      </c>
      <c r="CZ97" s="72">
        <f t="shared" si="137"/>
        <v>151125.5534407213</v>
      </c>
      <c r="DB97" s="56" t="s">
        <v>1395</v>
      </c>
      <c r="DE97" s="57" t="s">
        <v>1396</v>
      </c>
      <c r="DF97" s="53"/>
      <c r="DG97" s="58" t="s">
        <v>1397</v>
      </c>
      <c r="DH97" s="53"/>
      <c r="DI97" s="54" t="s">
        <v>1398</v>
      </c>
      <c r="DJ97" s="55">
        <v>8.7499999999999994E-2</v>
      </c>
      <c r="DK97" s="53"/>
    </row>
    <row r="98" spans="2:156">
      <c r="B98" s="1" t="s">
        <v>65</v>
      </c>
      <c r="BB98" s="89">
        <v>0</v>
      </c>
      <c r="BC98" s="89">
        <v>0</v>
      </c>
      <c r="BD98" s="89">
        <v>0</v>
      </c>
      <c r="BE98" s="89">
        <v>0</v>
      </c>
      <c r="BF98" s="1">
        <v>3</v>
      </c>
      <c r="BG98" s="1">
        <v>1751</v>
      </c>
      <c r="BH98" s="1">
        <v>1750</v>
      </c>
      <c r="BI98" s="1">
        <v>2000</v>
      </c>
      <c r="BJ98" s="1">
        <v>1561</v>
      </c>
      <c r="BK98" s="1">
        <v>1813</v>
      </c>
      <c r="BL98" s="1">
        <v>1814</v>
      </c>
      <c r="BM98" s="1">
        <v>1564</v>
      </c>
      <c r="BN98" s="1">
        <v>253</v>
      </c>
      <c r="BO98" s="1">
        <v>2</v>
      </c>
      <c r="BP98" s="89">
        <v>0</v>
      </c>
      <c r="BQ98" s="1">
        <v>600</v>
      </c>
      <c r="CM98" s="1">
        <f t="shared" ref="CM98:CM107" si="138">BB98</f>
        <v>0</v>
      </c>
      <c r="CN98" s="1">
        <f t="shared" ref="CN98:CN107" si="139">BF98</f>
        <v>3</v>
      </c>
      <c r="CO98" s="1">
        <f t="shared" ref="CO98:CO107" si="140">BJ98</f>
        <v>1561</v>
      </c>
      <c r="CP98" s="1">
        <f t="shared" ref="CP98:CP107" si="141">BK98</f>
        <v>1813</v>
      </c>
      <c r="CQ98" s="35"/>
      <c r="DB98" s="53">
        <v>2024</v>
      </c>
      <c r="DC98" s="53">
        <v>2025</v>
      </c>
      <c r="DE98" s="52" t="s">
        <v>1399</v>
      </c>
      <c r="DF98" s="53"/>
      <c r="DG98" s="53">
        <v>2025</v>
      </c>
      <c r="DH98" s="53"/>
      <c r="DI98" s="54" t="s">
        <v>1400</v>
      </c>
      <c r="DJ98" s="55">
        <v>1.4500000000000001E-2</v>
      </c>
      <c r="DK98" s="53"/>
    </row>
    <row r="99" spans="2:156" ht="14.25" customHeight="1">
      <c r="B99" s="1" t="s">
        <v>1442</v>
      </c>
      <c r="BB99" s="1">
        <v>8115</v>
      </c>
      <c r="BC99" s="1">
        <v>7922</v>
      </c>
      <c r="BD99" s="1">
        <v>8019</v>
      </c>
      <c r="BE99" s="1">
        <v>8370</v>
      </c>
      <c r="BF99" s="1">
        <v>8221</v>
      </c>
      <c r="BG99" s="1">
        <v>7931</v>
      </c>
      <c r="BH99" s="1">
        <v>7943</v>
      </c>
      <c r="BI99" s="1">
        <v>8255</v>
      </c>
      <c r="BJ99" s="1">
        <v>8191</v>
      </c>
      <c r="BK99" s="1">
        <v>8455</v>
      </c>
      <c r="BL99" s="1">
        <v>8594</v>
      </c>
      <c r="BM99" s="1">
        <v>8911</v>
      </c>
      <c r="BN99" s="1">
        <v>8900</v>
      </c>
      <c r="BO99" s="1">
        <v>9204</v>
      </c>
      <c r="BP99" s="1">
        <v>9451</v>
      </c>
      <c r="BQ99" s="1">
        <v>9625</v>
      </c>
      <c r="CA99" s="59"/>
      <c r="CM99" s="1">
        <f t="shared" si="138"/>
        <v>8115</v>
      </c>
      <c r="CN99" s="1">
        <f t="shared" si="139"/>
        <v>8221</v>
      </c>
      <c r="CO99" s="1">
        <f t="shared" si="140"/>
        <v>8191</v>
      </c>
      <c r="CP99" s="1">
        <f t="shared" si="141"/>
        <v>8455</v>
      </c>
      <c r="CQ99" s="35"/>
      <c r="CU99" s="52"/>
      <c r="CV99" s="53"/>
      <c r="CW99" s="52"/>
      <c r="CX99" s="53"/>
      <c r="CY99" s="54"/>
      <c r="CZ99" s="55"/>
      <c r="DA99" s="53"/>
      <c r="DB99" s="59">
        <f>SUM(CO97:CO100)-CO112+CO104+CO106+CO105</f>
        <v>81765</v>
      </c>
      <c r="DC99" s="59">
        <f>SUM(BP97:BP100)-BP112+BP104+BP106+BP105</f>
        <v>95278</v>
      </c>
      <c r="DE99" s="59">
        <f>AVERAGE(DB99:DC99)</f>
        <v>88521.5</v>
      </c>
      <c r="DF99" s="53"/>
      <c r="DG99" s="60">
        <f>AVERAGE(CQ77)*(1-CQ94)</f>
        <v>7546.9087455372855</v>
      </c>
      <c r="DH99" s="53"/>
      <c r="DI99" s="54" t="s">
        <v>1401</v>
      </c>
      <c r="DJ99" s="55">
        <f>DE108</f>
        <v>5.1700000000000003E-2</v>
      </c>
      <c r="DK99" s="53"/>
    </row>
    <row r="100" spans="2:156" ht="13.5" customHeight="1">
      <c r="B100" s="1" t="s">
        <v>1443</v>
      </c>
      <c r="BB100" s="1">
        <v>5634</v>
      </c>
      <c r="BC100" s="1">
        <v>5664</v>
      </c>
      <c r="BD100" s="1">
        <v>5655</v>
      </c>
      <c r="BE100" s="1">
        <v>5404</v>
      </c>
      <c r="BF100" s="1">
        <v>5088</v>
      </c>
      <c r="BG100" s="1">
        <v>5133</v>
      </c>
      <c r="BH100" s="1">
        <v>5198</v>
      </c>
      <c r="BI100" s="1">
        <v>5430</v>
      </c>
      <c r="BJ100" s="1">
        <v>4978</v>
      </c>
      <c r="BK100" s="1">
        <v>5224</v>
      </c>
      <c r="BL100" s="1">
        <v>5559</v>
      </c>
      <c r="BM100" s="1">
        <v>5745</v>
      </c>
      <c r="BN100" s="1">
        <v>5425</v>
      </c>
      <c r="BO100" s="1">
        <v>5496</v>
      </c>
      <c r="BP100" s="1">
        <v>5627</v>
      </c>
      <c r="BQ100" s="1">
        <v>5643</v>
      </c>
      <c r="BR100" s="56"/>
      <c r="CM100" s="1">
        <f t="shared" si="138"/>
        <v>5634</v>
      </c>
      <c r="CN100" s="1">
        <f t="shared" si="139"/>
        <v>5088</v>
      </c>
      <c r="CO100" s="1">
        <f t="shared" si="140"/>
        <v>4978</v>
      </c>
      <c r="CP100" s="1">
        <f t="shared" si="141"/>
        <v>5224</v>
      </c>
      <c r="CQ100" s="35"/>
      <c r="DC100" s="53"/>
      <c r="DD100" s="53"/>
      <c r="DE100" s="53"/>
      <c r="DF100" s="53"/>
      <c r="DG100" s="61">
        <f>DG99/DE99</f>
        <v>8.5255093344975913E-2</v>
      </c>
      <c r="DH100" s="53"/>
      <c r="DI100" s="54" t="s">
        <v>1402</v>
      </c>
      <c r="DJ100" s="55">
        <f>8.95%-DJ99</f>
        <v>3.7799999999999993E-2</v>
      </c>
      <c r="DK100" s="53"/>
    </row>
    <row r="101" spans="2:156" ht="13.5" customHeight="1">
      <c r="B101" s="1" t="s">
        <v>1517</v>
      </c>
      <c r="BB101" s="1">
        <v>1312</v>
      </c>
      <c r="BC101" s="1">
        <v>1375</v>
      </c>
      <c r="BD101" s="1">
        <v>1467</v>
      </c>
      <c r="BE101" s="1">
        <v>1465</v>
      </c>
      <c r="BF101" s="1">
        <v>1443</v>
      </c>
      <c r="BG101" s="1">
        <v>1422</v>
      </c>
      <c r="BH101" s="1">
        <v>1487</v>
      </c>
      <c r="BI101" s="1">
        <v>1541</v>
      </c>
      <c r="BJ101" s="1">
        <v>1435</v>
      </c>
      <c r="BK101" s="1">
        <v>1366</v>
      </c>
      <c r="BL101" s="1">
        <v>1441</v>
      </c>
      <c r="BM101" s="1">
        <v>1620</v>
      </c>
      <c r="BN101" s="1">
        <v>1666</v>
      </c>
      <c r="BO101" s="1">
        <v>1684</v>
      </c>
      <c r="BP101" s="1">
        <v>1688</v>
      </c>
      <c r="BQ101" s="89">
        <v>0</v>
      </c>
      <c r="BR101" s="53"/>
      <c r="CM101" s="1">
        <f t="shared" si="138"/>
        <v>1312</v>
      </c>
      <c r="CN101" s="1">
        <f t="shared" si="139"/>
        <v>1443</v>
      </c>
      <c r="CO101" s="1">
        <f t="shared" si="140"/>
        <v>1435</v>
      </c>
      <c r="CP101" s="1">
        <f t="shared" si="141"/>
        <v>1366</v>
      </c>
      <c r="CQ101" s="35"/>
      <c r="DB101" s="62" t="s">
        <v>1403</v>
      </c>
      <c r="DC101" s="53"/>
      <c r="DD101" s="53"/>
      <c r="DF101" s="53"/>
      <c r="DG101" s="53"/>
      <c r="DH101" s="53"/>
      <c r="DI101" s="54" t="s">
        <v>1404</v>
      </c>
      <c r="DJ101" s="63">
        <f>'Notes | Quant Analysis'!K213</f>
        <v>0.76</v>
      </c>
      <c r="DK101" s="53"/>
    </row>
    <row r="102" spans="2:156" ht="13.5" customHeight="1">
      <c r="B102" s="1" t="s">
        <v>1518</v>
      </c>
      <c r="BB102" s="1">
        <v>1644</v>
      </c>
      <c r="BC102" s="1">
        <v>1766</v>
      </c>
      <c r="BD102" s="1">
        <v>1721</v>
      </c>
      <c r="BE102" s="1">
        <v>1702</v>
      </c>
      <c r="BF102" s="1">
        <v>1757</v>
      </c>
      <c r="BG102" s="1">
        <v>1904</v>
      </c>
      <c r="BH102" s="1">
        <v>2025</v>
      </c>
      <c r="BI102" s="1">
        <v>1911</v>
      </c>
      <c r="BJ102" s="1">
        <v>1964</v>
      </c>
      <c r="BK102" s="1">
        <v>2387</v>
      </c>
      <c r="BL102" s="1">
        <v>2599</v>
      </c>
      <c r="BM102" s="1">
        <v>2472</v>
      </c>
      <c r="BN102" s="1">
        <v>2612</v>
      </c>
      <c r="BO102" s="1">
        <v>2677</v>
      </c>
      <c r="BP102" s="1">
        <v>2536</v>
      </c>
      <c r="BQ102" s="1">
        <v>4285</v>
      </c>
      <c r="BR102" s="59"/>
      <c r="CM102" s="1">
        <f t="shared" si="138"/>
        <v>1644</v>
      </c>
      <c r="CN102" s="1">
        <f t="shared" si="139"/>
        <v>1757</v>
      </c>
      <c r="CO102" s="1">
        <f t="shared" si="140"/>
        <v>1964</v>
      </c>
      <c r="CP102" s="1">
        <f t="shared" si="141"/>
        <v>2387</v>
      </c>
      <c r="CQ102" s="35"/>
      <c r="DB102" s="64" t="s">
        <v>1405</v>
      </c>
      <c r="DE102" s="60">
        <f>Main!C5</f>
        <v>256787.4</v>
      </c>
      <c r="DF102" s="53"/>
      <c r="DH102" s="53"/>
      <c r="DI102" s="54" t="s">
        <v>1406</v>
      </c>
      <c r="DJ102" s="55">
        <f>+DJ99+(DJ100*DJ101)</f>
        <v>8.0427999999999999E-2</v>
      </c>
      <c r="DK102" s="53"/>
    </row>
    <row r="103" spans="2:156" ht="13.5" customHeight="1">
      <c r="B103" s="1" t="s">
        <v>1444</v>
      </c>
      <c r="BB103" s="1">
        <v>9280</v>
      </c>
      <c r="BC103" s="1">
        <v>9354</v>
      </c>
      <c r="BD103" s="1">
        <v>9292</v>
      </c>
      <c r="BE103" s="1">
        <v>9167</v>
      </c>
      <c r="BF103" s="1">
        <v>9448</v>
      </c>
      <c r="BG103" s="1">
        <v>9324</v>
      </c>
      <c r="BH103" s="1">
        <v>9282</v>
      </c>
      <c r="BI103" s="1">
        <v>9412</v>
      </c>
      <c r="BJ103" s="1">
        <v>9306</v>
      </c>
      <c r="BK103" s="1">
        <v>9331</v>
      </c>
      <c r="BL103" s="1">
        <v>9635</v>
      </c>
      <c r="BM103" s="1">
        <v>10177</v>
      </c>
      <c r="BN103" s="1">
        <v>10565</v>
      </c>
      <c r="BO103" s="1">
        <v>10658</v>
      </c>
      <c r="BP103" s="1">
        <v>10755</v>
      </c>
      <c r="BQ103" s="1">
        <v>10577</v>
      </c>
      <c r="CM103" s="1">
        <f t="shared" si="138"/>
        <v>9280</v>
      </c>
      <c r="CN103" s="1">
        <f t="shared" si="139"/>
        <v>9448</v>
      </c>
      <c r="CO103" s="1">
        <f t="shared" si="140"/>
        <v>9306</v>
      </c>
      <c r="CP103" s="1">
        <f t="shared" si="141"/>
        <v>9331</v>
      </c>
      <c r="CQ103" s="35"/>
      <c r="DB103" s="64" t="s">
        <v>1408</v>
      </c>
      <c r="DE103" s="65">
        <f>Main!C7/(Main!C7+DE102)</f>
        <v>0.13875221611135594</v>
      </c>
      <c r="DF103" s="62"/>
      <c r="DH103" s="53"/>
      <c r="DI103" s="54"/>
      <c r="DJ103" s="53"/>
      <c r="DK103" s="53"/>
    </row>
    <row r="104" spans="2:156" ht="13.5" customHeight="1">
      <c r="B104" s="1" t="s">
        <v>1445</v>
      </c>
      <c r="BB104" s="1">
        <v>17442</v>
      </c>
      <c r="BC104" s="1">
        <v>17972</v>
      </c>
      <c r="BD104" s="1">
        <v>17437</v>
      </c>
      <c r="BE104" s="1">
        <v>17091</v>
      </c>
      <c r="BF104" s="1">
        <v>16670</v>
      </c>
      <c r="BG104" s="1">
        <v>16048</v>
      </c>
      <c r="BH104" s="1">
        <v>15519</v>
      </c>
      <c r="BI104" s="1">
        <v>16262</v>
      </c>
      <c r="BJ104" s="1">
        <v>15533</v>
      </c>
      <c r="BK104" s="1">
        <v>15323</v>
      </c>
      <c r="BL104" s="1">
        <v>15148</v>
      </c>
      <c r="BM104" s="1">
        <v>16242</v>
      </c>
      <c r="BN104" s="1">
        <v>15838</v>
      </c>
      <c r="BO104" s="1">
        <v>19146</v>
      </c>
      <c r="BP104" s="1">
        <v>18606</v>
      </c>
      <c r="BQ104" s="1">
        <v>18077</v>
      </c>
      <c r="BR104" s="62"/>
      <c r="CM104" s="1">
        <f t="shared" si="138"/>
        <v>17442</v>
      </c>
      <c r="CN104" s="1">
        <f t="shared" si="139"/>
        <v>16670</v>
      </c>
      <c r="CO104" s="1">
        <f t="shared" si="140"/>
        <v>15533</v>
      </c>
      <c r="CP104" s="1">
        <f t="shared" si="141"/>
        <v>15323</v>
      </c>
      <c r="CQ104" s="35"/>
      <c r="DB104" s="64" t="s">
        <v>1409</v>
      </c>
      <c r="DE104" s="65">
        <f>DE102/(DE102+Main!C7)</f>
        <v>0.86124778388864398</v>
      </c>
      <c r="DF104" s="53"/>
      <c r="DH104" s="53"/>
      <c r="DI104" s="54" t="s">
        <v>1410</v>
      </c>
      <c r="DJ104" s="60">
        <f>NPV(DJ102,CQ85:EX85)</f>
        <v>257896.6362199765</v>
      </c>
      <c r="DK104" s="62"/>
      <c r="DL104" s="34"/>
      <c r="DM104" s="34"/>
    </row>
    <row r="105" spans="2:156" ht="13.5" customHeight="1">
      <c r="B105" s="1" t="s">
        <v>1446</v>
      </c>
      <c r="BB105" s="1">
        <v>4007</v>
      </c>
      <c r="BC105" s="1">
        <v>3983</v>
      </c>
      <c r="BD105" s="1">
        <v>4108</v>
      </c>
      <c r="BE105" s="1">
        <v>4124</v>
      </c>
      <c r="BF105" s="1">
        <v>3999</v>
      </c>
      <c r="BG105" s="1">
        <v>4241</v>
      </c>
      <c r="BH105" s="1">
        <v>4377</v>
      </c>
      <c r="BI105" s="1">
        <v>4180</v>
      </c>
      <c r="BJ105" s="1">
        <v>4492</v>
      </c>
      <c r="BK105" s="1">
        <v>4516</v>
      </c>
      <c r="BL105" s="1">
        <v>4615</v>
      </c>
      <c r="BM105" s="1">
        <v>5019</v>
      </c>
      <c r="BN105" s="1">
        <v>5871</v>
      </c>
      <c r="BO105" s="1">
        <v>5973</v>
      </c>
      <c r="BP105" s="1">
        <v>5616</v>
      </c>
      <c r="BQ105" s="1">
        <v>5701</v>
      </c>
      <c r="BR105" s="64"/>
      <c r="CM105" s="1">
        <f t="shared" si="138"/>
        <v>4007</v>
      </c>
      <c r="CN105" s="1">
        <f t="shared" si="139"/>
        <v>3999</v>
      </c>
      <c r="CO105" s="1">
        <f t="shared" si="140"/>
        <v>4492</v>
      </c>
      <c r="CP105" s="1">
        <f t="shared" si="141"/>
        <v>4516</v>
      </c>
      <c r="CQ105" s="35"/>
      <c r="DB105" s="66" t="s">
        <v>1411</v>
      </c>
      <c r="DC105" s="34"/>
      <c r="DD105" s="34"/>
      <c r="DE105" s="67">
        <f>CP116/CP119</f>
        <v>0.63557347488704741</v>
      </c>
      <c r="DF105" s="53"/>
      <c r="DG105" s="53"/>
      <c r="DH105" s="53"/>
      <c r="DI105" s="54" t="s">
        <v>76</v>
      </c>
      <c r="DJ105" s="59">
        <f>Main!C4</f>
        <v>370</v>
      </c>
      <c r="DK105" s="68"/>
    </row>
    <row r="106" spans="2:156" ht="13.5" customHeight="1">
      <c r="B106" s="1" t="s">
        <v>1447</v>
      </c>
      <c r="BB106" s="1">
        <v>41196</v>
      </c>
      <c r="BC106" s="1">
        <v>43140</v>
      </c>
      <c r="BD106" s="1">
        <v>43273</v>
      </c>
      <c r="BE106" s="1">
        <v>43583</v>
      </c>
      <c r="BF106" s="1">
        <v>44020</v>
      </c>
      <c r="BG106" s="1">
        <v>43843</v>
      </c>
      <c r="BH106" s="1">
        <v>43843</v>
      </c>
      <c r="BI106" s="1">
        <v>46726</v>
      </c>
      <c r="BJ106" s="1">
        <v>45853</v>
      </c>
      <c r="BK106" s="1">
        <v>46493</v>
      </c>
      <c r="BL106" s="1">
        <v>47249</v>
      </c>
      <c r="BM106" s="1">
        <v>49287</v>
      </c>
      <c r="BN106" s="1">
        <v>49362</v>
      </c>
      <c r="BO106" s="1">
        <v>55187</v>
      </c>
      <c r="BP106" s="1">
        <v>54832</v>
      </c>
      <c r="BQ106" s="1">
        <v>54263</v>
      </c>
      <c r="BR106" s="64"/>
      <c r="CM106" s="1">
        <f t="shared" si="138"/>
        <v>41196</v>
      </c>
      <c r="CN106" s="1">
        <f t="shared" si="139"/>
        <v>44020</v>
      </c>
      <c r="CO106" s="1">
        <f t="shared" si="140"/>
        <v>45853</v>
      </c>
      <c r="CP106" s="1">
        <f t="shared" si="141"/>
        <v>46493</v>
      </c>
      <c r="CQ106" s="35"/>
      <c r="DF106" s="53"/>
      <c r="DG106" s="53"/>
      <c r="DH106" s="53"/>
      <c r="DI106" s="54" t="s">
        <v>1412</v>
      </c>
      <c r="DJ106" s="63">
        <f>DJ104/DJ105</f>
        <v>697.01793572966619</v>
      </c>
      <c r="DK106" s="52"/>
    </row>
    <row r="107" spans="2:156" s="2" customFormat="1" ht="13.5" customHeight="1">
      <c r="B107" s="2" t="s">
        <v>1407</v>
      </c>
      <c r="BB107" s="2">
        <f t="shared" ref="BB107:BM107" si="142">SUM(BB97:BB106)</f>
        <v>97154</v>
      </c>
      <c r="BC107" s="2">
        <f t="shared" si="142"/>
        <v>94658</v>
      </c>
      <c r="BD107" s="2">
        <f t="shared" si="142"/>
        <v>94105</v>
      </c>
      <c r="BE107" s="2">
        <f t="shared" si="142"/>
        <v>97057</v>
      </c>
      <c r="BF107" s="2">
        <f t="shared" si="142"/>
        <v>98726</v>
      </c>
      <c r="BG107" s="2">
        <f t="shared" si="142"/>
        <v>97096</v>
      </c>
      <c r="BH107" s="2">
        <f t="shared" si="142"/>
        <v>98497</v>
      </c>
      <c r="BI107" s="2">
        <f t="shared" si="142"/>
        <v>100362</v>
      </c>
      <c r="BJ107" s="2">
        <f t="shared" si="142"/>
        <v>97322</v>
      </c>
      <c r="BK107" s="2">
        <f t="shared" si="142"/>
        <v>99042</v>
      </c>
      <c r="BL107" s="2">
        <f t="shared" si="142"/>
        <v>101230</v>
      </c>
      <c r="BM107" s="2">
        <f t="shared" si="142"/>
        <v>103019</v>
      </c>
      <c r="BN107" s="2">
        <f>SUM(BN97:BN106)</f>
        <v>110344</v>
      </c>
      <c r="BO107" s="2">
        <f>SUM(BO97:BO106)</f>
        <v>113281</v>
      </c>
      <c r="BP107" s="2">
        <f>SUM(BP97:BP106)</f>
        <v>113175</v>
      </c>
      <c r="BQ107" s="2">
        <f>SUM(BQ97:BQ106)</f>
        <v>114412</v>
      </c>
      <c r="BR107" s="66"/>
      <c r="CM107" s="2">
        <f t="shared" si="138"/>
        <v>97154</v>
      </c>
      <c r="CN107" s="2">
        <f t="shared" si="139"/>
        <v>98726</v>
      </c>
      <c r="CO107" s="2">
        <f t="shared" si="140"/>
        <v>97322</v>
      </c>
      <c r="CP107" s="2">
        <f t="shared" si="141"/>
        <v>99042</v>
      </c>
      <c r="CQ107" s="34"/>
      <c r="CR107" s="34"/>
      <c r="DB107" s="34" t="s">
        <v>1413</v>
      </c>
      <c r="DC107" s="35"/>
      <c r="DD107" s="35"/>
      <c r="DE107" s="53"/>
      <c r="DF107" s="62"/>
      <c r="DG107" s="62"/>
      <c r="DH107" s="62"/>
      <c r="DI107" s="54" t="s">
        <v>1414</v>
      </c>
      <c r="DJ107" s="63">
        <f>Main!C3</f>
        <v>694.02</v>
      </c>
      <c r="DK107" s="69"/>
      <c r="DL107" s="35"/>
      <c r="DM107" s="35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</row>
    <row r="108" spans="2:156" ht="13.5" customHeight="1">
      <c r="BR108" s="66"/>
      <c r="CQ108" s="35"/>
      <c r="DB108" s="70" t="s">
        <v>1401</v>
      </c>
      <c r="DE108" s="65">
        <v>5.1700000000000003E-2</v>
      </c>
      <c r="DF108" s="53"/>
      <c r="DG108" s="53"/>
      <c r="DH108" s="53"/>
      <c r="DI108" s="54" t="s">
        <v>1415</v>
      </c>
      <c r="DJ108" s="55">
        <f>DJ106/DJ107-1</f>
        <v>4.3196676315757632E-3</v>
      </c>
      <c r="DK108" s="52" t="str">
        <f>IF(DJ108&gt;0,"Upside","Downside")</f>
        <v>Upside</v>
      </c>
    </row>
    <row r="109" spans="2:156" ht="13.5" customHeight="1">
      <c r="B109" s="1" t="s">
        <v>1448</v>
      </c>
      <c r="BB109" s="1">
        <v>5579</v>
      </c>
      <c r="BC109" s="1">
        <v>6122</v>
      </c>
      <c r="BD109" s="1">
        <v>4814</v>
      </c>
      <c r="BE109" s="1">
        <v>4795</v>
      </c>
      <c r="BF109" s="1">
        <v>3609</v>
      </c>
      <c r="BG109" s="1">
        <v>4451</v>
      </c>
      <c r="BH109" s="1">
        <v>5121</v>
      </c>
      <c r="BI109" s="1">
        <v>4116</v>
      </c>
      <c r="BJ109" s="1">
        <v>2214</v>
      </c>
      <c r="BK109" s="1">
        <v>2819</v>
      </c>
      <c r="BL109" s="1">
        <v>2214</v>
      </c>
      <c r="BM109" s="1">
        <v>3823</v>
      </c>
      <c r="BN109" s="1">
        <v>3533</v>
      </c>
      <c r="BO109" s="1">
        <v>3090</v>
      </c>
      <c r="BP109" s="1">
        <v>3368</v>
      </c>
      <c r="CM109" s="1">
        <f t="shared" ref="CM109:CM120" si="143">BB109</f>
        <v>5579</v>
      </c>
      <c r="CN109" s="1">
        <f t="shared" ref="CN109:CN120" si="144">BF109</f>
        <v>3609</v>
      </c>
      <c r="CO109" s="1">
        <f t="shared" ref="CO109:CO120" si="145">BJ109</f>
        <v>2214</v>
      </c>
      <c r="CP109" s="1">
        <f t="shared" ref="CP109:CP120" si="146">BK109</f>
        <v>2819</v>
      </c>
      <c r="CQ109" s="35"/>
      <c r="DB109" s="70" t="s">
        <v>1404</v>
      </c>
      <c r="DE109" s="63">
        <f>'Notes | Quant Analysis'!K213</f>
        <v>0.76</v>
      </c>
      <c r="DI109" s="98" t="str" cm="1">
        <f t="array" ref="DI109">_xlfn.IFS(DJ108&gt;=25%,"Strong Buy",DJ108&gt;=10.00001%,"Buy",AND(DJ108&lt;=10%,DJ108&gt;=-4.9999%),"Hold",AND(DJ108&lt;=-5%,DJ108&gt;=-14.999999%),"Sell",DJ108&lt;=-15%,"Strong Sell")</f>
        <v>Hold</v>
      </c>
      <c r="DJ109" s="98"/>
    </row>
    <row r="110" spans="2:156" ht="13.5" customHeight="1">
      <c r="B110" s="1" t="s">
        <v>1449</v>
      </c>
      <c r="BB110" s="1">
        <v>3381</v>
      </c>
      <c r="BC110" s="1">
        <v>2798</v>
      </c>
      <c r="BD110" s="1">
        <v>2423</v>
      </c>
      <c r="BE110" s="1">
        <v>2508</v>
      </c>
      <c r="BF110" s="1">
        <v>2872</v>
      </c>
      <c r="BG110" s="1">
        <v>2555</v>
      </c>
      <c r="BH110" s="1">
        <v>2547</v>
      </c>
      <c r="BI110" s="1">
        <v>2606</v>
      </c>
      <c r="BJ110" s="1">
        <v>3079</v>
      </c>
      <c r="BK110" s="1">
        <v>3049</v>
      </c>
      <c r="BL110" s="1">
        <v>2980</v>
      </c>
      <c r="BM110" s="1">
        <v>3120</v>
      </c>
      <c r="BN110" s="1">
        <v>3622</v>
      </c>
      <c r="BO110" s="1">
        <v>3344</v>
      </c>
      <c r="BP110" s="1">
        <v>3268</v>
      </c>
      <c r="BR110" s="34"/>
      <c r="CM110" s="1">
        <f t="shared" si="143"/>
        <v>3381</v>
      </c>
      <c r="CN110" s="1">
        <f t="shared" si="144"/>
        <v>2872</v>
      </c>
      <c r="CO110" s="1">
        <f t="shared" si="145"/>
        <v>3079</v>
      </c>
      <c r="CP110" s="1">
        <f t="shared" si="146"/>
        <v>3049</v>
      </c>
      <c r="CQ110" s="35"/>
      <c r="DB110" s="64" t="s">
        <v>1416</v>
      </c>
      <c r="DE110" s="65">
        <v>0.17</v>
      </c>
    </row>
    <row r="111" spans="2:156" ht="13.5" customHeight="1">
      <c r="B111" s="1" t="s">
        <v>1450</v>
      </c>
      <c r="BB111" s="1">
        <v>2095</v>
      </c>
      <c r="BC111" s="1">
        <v>1307</v>
      </c>
      <c r="BD111" s="1">
        <v>1310</v>
      </c>
      <c r="BE111" s="1">
        <v>1460</v>
      </c>
      <c r="BF111" s="1">
        <v>1596</v>
      </c>
      <c r="BG111" s="1">
        <v>1314</v>
      </c>
      <c r="BH111" s="1">
        <v>1495</v>
      </c>
      <c r="BI111" s="1">
        <v>1823</v>
      </c>
      <c r="BJ111" s="1">
        <v>1988</v>
      </c>
      <c r="BK111" s="1">
        <v>1419</v>
      </c>
      <c r="BL111" s="1">
        <v>1518</v>
      </c>
      <c r="BM111" s="1">
        <v>1884</v>
      </c>
      <c r="BN111" s="1">
        <v>1995</v>
      </c>
      <c r="BO111" s="1">
        <v>1565</v>
      </c>
      <c r="BP111" s="1">
        <v>1694</v>
      </c>
      <c r="BR111" s="70"/>
      <c r="CM111" s="1">
        <f t="shared" si="143"/>
        <v>2095</v>
      </c>
      <c r="CN111" s="1">
        <f t="shared" si="144"/>
        <v>1596</v>
      </c>
      <c r="CO111" s="1">
        <f t="shared" si="145"/>
        <v>1988</v>
      </c>
      <c r="CP111" s="1">
        <f t="shared" si="146"/>
        <v>1419</v>
      </c>
      <c r="CQ111" s="35"/>
      <c r="DB111" s="66" t="s">
        <v>1417</v>
      </c>
      <c r="DC111" s="53"/>
      <c r="DD111" s="2"/>
      <c r="DE111" s="67">
        <f>(DE108+DE109)*(DE110-DE108)</f>
        <v>9.602411000000001E-2</v>
      </c>
    </row>
    <row r="112" spans="2:156" ht="13.5" customHeight="1">
      <c r="B112" s="1" t="s">
        <v>1451</v>
      </c>
      <c r="BB112" s="1">
        <v>2601</v>
      </c>
      <c r="BC112" s="1">
        <v>2662</v>
      </c>
      <c r="BD112" s="1">
        <v>2590</v>
      </c>
      <c r="BE112" s="1">
        <v>2547</v>
      </c>
      <c r="BF112" s="1">
        <v>2689</v>
      </c>
      <c r="BG112" s="1">
        <v>2632</v>
      </c>
      <c r="BH112" s="1">
        <v>2591</v>
      </c>
      <c r="BI112" s="1">
        <v>2663</v>
      </c>
      <c r="BJ112" s="1">
        <v>2852</v>
      </c>
      <c r="BK112" s="1">
        <v>2866</v>
      </c>
      <c r="BL112" s="1">
        <v>2805</v>
      </c>
      <c r="BM112" s="1">
        <v>2852</v>
      </c>
      <c r="BN112" s="1">
        <v>2710</v>
      </c>
      <c r="BO112" s="1">
        <v>2928</v>
      </c>
      <c r="BP112" s="1">
        <v>2918</v>
      </c>
      <c r="BR112" s="70"/>
      <c r="CM112" s="1">
        <f t="shared" si="143"/>
        <v>2601</v>
      </c>
      <c r="CN112" s="1">
        <f t="shared" si="144"/>
        <v>2689</v>
      </c>
      <c r="CO112" s="1">
        <f t="shared" si="145"/>
        <v>2852</v>
      </c>
      <c r="CP112" s="1">
        <f t="shared" si="146"/>
        <v>2866</v>
      </c>
      <c r="CQ112" s="35"/>
      <c r="DB112" s="72"/>
    </row>
    <row r="113" spans="2:156" ht="13.5" customHeight="1">
      <c r="B113" s="1" t="s">
        <v>1452</v>
      </c>
      <c r="BB113" s="1">
        <v>3354</v>
      </c>
      <c r="BC113" s="1">
        <v>2995</v>
      </c>
      <c r="BD113" s="1">
        <v>2975</v>
      </c>
      <c r="BE113" s="1">
        <v>2848</v>
      </c>
      <c r="BF113" s="1">
        <v>3246</v>
      </c>
      <c r="BG113" s="1">
        <v>2985</v>
      </c>
      <c r="BH113" s="1">
        <v>3019</v>
      </c>
      <c r="BI113" s="1">
        <v>3393</v>
      </c>
      <c r="BJ113" s="1">
        <v>3199</v>
      </c>
      <c r="BK113" s="1">
        <v>3022</v>
      </c>
      <c r="BL113" s="1">
        <v>3200</v>
      </c>
      <c r="BM113" s="1">
        <v>3209</v>
      </c>
      <c r="BN113" s="1">
        <v>3329</v>
      </c>
      <c r="BO113" s="1">
        <v>3694</v>
      </c>
      <c r="BP113" s="1">
        <v>3823</v>
      </c>
      <c r="BR113" s="64"/>
      <c r="CM113" s="1">
        <f t="shared" si="143"/>
        <v>3354</v>
      </c>
      <c r="CN113" s="1">
        <f t="shared" si="144"/>
        <v>3246</v>
      </c>
      <c r="CO113" s="1">
        <f t="shared" si="145"/>
        <v>3199</v>
      </c>
      <c r="CP113" s="1">
        <f t="shared" si="146"/>
        <v>3022</v>
      </c>
      <c r="CQ113" s="35"/>
      <c r="DB113" s="34" t="s">
        <v>1418</v>
      </c>
      <c r="DC113" s="73"/>
      <c r="DE113" s="74"/>
    </row>
    <row r="114" spans="2:156" ht="13.5" customHeight="1">
      <c r="B114" s="1" t="s">
        <v>1453</v>
      </c>
      <c r="BB114" s="1">
        <v>2849</v>
      </c>
      <c r="BC114" s="1">
        <v>2976</v>
      </c>
      <c r="BD114" s="1">
        <v>2842</v>
      </c>
      <c r="BE114" s="1">
        <v>2620</v>
      </c>
      <c r="BF114" s="1">
        <v>1922</v>
      </c>
      <c r="BG114" s="1">
        <v>1811</v>
      </c>
      <c r="BH114" s="1">
        <v>1516</v>
      </c>
      <c r="BI114" s="1">
        <v>1123</v>
      </c>
      <c r="BJ114" s="1">
        <v>1268</v>
      </c>
      <c r="BK114" s="1">
        <v>1041</v>
      </c>
      <c r="BL114" s="1">
        <v>624</v>
      </c>
      <c r="BM114" s="1">
        <v>842</v>
      </c>
      <c r="BN114" s="1">
        <v>1493</v>
      </c>
      <c r="BO114" s="1">
        <v>2107</v>
      </c>
      <c r="BP114" s="1">
        <v>1579</v>
      </c>
      <c r="BR114" s="66"/>
      <c r="CM114" s="1">
        <f t="shared" si="143"/>
        <v>2849</v>
      </c>
      <c r="CN114" s="1">
        <f t="shared" si="144"/>
        <v>1922</v>
      </c>
      <c r="CO114" s="1">
        <f t="shared" si="145"/>
        <v>1268</v>
      </c>
      <c r="CP114" s="1">
        <f t="shared" si="146"/>
        <v>1041</v>
      </c>
      <c r="CQ114" s="35"/>
      <c r="DB114" s="75" t="s">
        <v>1418</v>
      </c>
      <c r="DE114" s="76">
        <v>4.4999999999999998E-2</v>
      </c>
      <c r="DG114" s="71"/>
      <c r="DI114" s="54"/>
    </row>
    <row r="115" spans="2:156" ht="13.5" customHeight="1">
      <c r="B115" s="1" t="s">
        <v>1454</v>
      </c>
      <c r="BB115" s="1">
        <v>4238</v>
      </c>
      <c r="BC115" s="1">
        <v>4230</v>
      </c>
      <c r="BD115" s="1">
        <v>4042</v>
      </c>
      <c r="BE115" s="1">
        <v>4326</v>
      </c>
      <c r="BF115" s="1">
        <v>4642</v>
      </c>
      <c r="BG115" s="1">
        <v>4567</v>
      </c>
      <c r="BH115" s="1">
        <v>4391</v>
      </c>
      <c r="BI115" s="1">
        <v>4343</v>
      </c>
      <c r="BJ115" s="1">
        <v>3989</v>
      </c>
      <c r="BK115" s="1">
        <v>3971</v>
      </c>
      <c r="BL115" s="1">
        <v>4270</v>
      </c>
      <c r="BM115" s="1">
        <v>4278</v>
      </c>
      <c r="BN115" s="1">
        <v>4273</v>
      </c>
      <c r="BO115" s="1">
        <v>4421</v>
      </c>
      <c r="BP115" s="1">
        <v>4538</v>
      </c>
      <c r="BR115" s="72"/>
      <c r="CM115" s="1">
        <f t="shared" si="143"/>
        <v>4238</v>
      </c>
      <c r="CN115" s="1">
        <f t="shared" si="144"/>
        <v>4642</v>
      </c>
      <c r="CO115" s="1">
        <f t="shared" si="145"/>
        <v>3989</v>
      </c>
      <c r="CP115" s="1">
        <f t="shared" si="146"/>
        <v>3971</v>
      </c>
      <c r="CQ115" s="35"/>
      <c r="DB115" s="64" t="s">
        <v>1420</v>
      </c>
      <c r="DE115" s="65">
        <v>0.14599999999999999</v>
      </c>
      <c r="DF115" s="34"/>
      <c r="DI115" s="54"/>
    </row>
    <row r="116" spans="2:156" ht="13.5" customHeight="1">
      <c r="B116" s="1" t="s">
        <v>1455</v>
      </c>
      <c r="BB116" s="1">
        <v>28909</v>
      </c>
      <c r="BC116" s="1">
        <v>29135</v>
      </c>
      <c r="BD116" s="1">
        <v>29194</v>
      </c>
      <c r="BE116" s="1">
        <v>30489</v>
      </c>
      <c r="BF116" s="1">
        <v>31308</v>
      </c>
      <c r="BG116" s="1">
        <v>31157</v>
      </c>
      <c r="BH116" s="1">
        <v>30284</v>
      </c>
      <c r="BI116" s="1">
        <v>31197</v>
      </c>
      <c r="BJ116" s="1">
        <v>29061</v>
      </c>
      <c r="BK116" s="1">
        <v>31370</v>
      </c>
      <c r="BL116" s="1">
        <v>33015</v>
      </c>
      <c r="BM116" s="1">
        <v>31857</v>
      </c>
      <c r="BN116" s="1">
        <v>35852</v>
      </c>
      <c r="BO116" s="1">
        <v>40071</v>
      </c>
      <c r="BP116" s="1">
        <v>39181</v>
      </c>
      <c r="BR116" s="34"/>
      <c r="CM116" s="1">
        <f t="shared" si="143"/>
        <v>28909</v>
      </c>
      <c r="CN116" s="1">
        <f t="shared" si="144"/>
        <v>31308</v>
      </c>
      <c r="CO116" s="1">
        <f t="shared" si="145"/>
        <v>29061</v>
      </c>
      <c r="CP116" s="1">
        <f t="shared" si="146"/>
        <v>31370</v>
      </c>
      <c r="CQ116" s="72">
        <f>CP116+CQ79</f>
        <v>29606.855</v>
      </c>
      <c r="CR116" s="72">
        <f t="shared" ref="CR116:CZ116" si="147">CQ116+CR79</f>
        <v>28274.546524999998</v>
      </c>
      <c r="CS116" s="72">
        <f t="shared" si="147"/>
        <v>27002.191931374997</v>
      </c>
      <c r="CT116" s="72">
        <f t="shared" si="147"/>
        <v>25787.09329446312</v>
      </c>
      <c r="CU116" s="72">
        <f t="shared" si="147"/>
        <v>24626.674096212279</v>
      </c>
      <c r="CV116" s="72">
        <f t="shared" si="147"/>
        <v>23518.473761882728</v>
      </c>
      <c r="CW116" s="72">
        <f t="shared" si="147"/>
        <v>22460.142442598004</v>
      </c>
      <c r="CX116" s="72">
        <f t="shared" si="147"/>
        <v>21449.436032681093</v>
      </c>
      <c r="CY116" s="72">
        <f t="shared" si="147"/>
        <v>20484.211411210443</v>
      </c>
      <c r="CZ116" s="72">
        <f t="shared" si="147"/>
        <v>19562.421897705972</v>
      </c>
      <c r="DB116" s="78" t="s">
        <v>1422</v>
      </c>
      <c r="DE116" s="67">
        <f>DE114*(1-DE115)</f>
        <v>3.8429999999999999E-2</v>
      </c>
      <c r="DG116" s="34"/>
      <c r="DH116" s="34"/>
      <c r="DI116" s="77"/>
      <c r="DJ116" s="34"/>
      <c r="DK116" s="34"/>
      <c r="DL116" s="34"/>
      <c r="DM116" s="34"/>
    </row>
    <row r="117" spans="2:156" ht="13.5" customHeight="1">
      <c r="B117" s="1" t="s">
        <v>1456</v>
      </c>
      <c r="BB117" s="1">
        <v>116</v>
      </c>
      <c r="BC117" s="1">
        <v>123</v>
      </c>
      <c r="BD117" s="1">
        <v>113</v>
      </c>
      <c r="BE117" s="1">
        <v>118</v>
      </c>
      <c r="BF117" s="1">
        <v>118</v>
      </c>
      <c r="BG117" s="1">
        <v>119</v>
      </c>
      <c r="BH117" s="1">
        <v>115</v>
      </c>
      <c r="BI117" s="1">
        <v>127</v>
      </c>
      <c r="BJ117" s="1">
        <v>120</v>
      </c>
      <c r="BK117" s="1">
        <v>128</v>
      </c>
      <c r="BL117" s="1">
        <v>126</v>
      </c>
      <c r="BM117" s="1">
        <v>129</v>
      </c>
      <c r="BN117" s="1">
        <v>122</v>
      </c>
      <c r="BO117" s="1">
        <v>121</v>
      </c>
      <c r="BP117" s="1">
        <v>121</v>
      </c>
      <c r="BR117" s="75"/>
      <c r="CM117" s="1">
        <f t="shared" si="143"/>
        <v>116</v>
      </c>
      <c r="CN117" s="1">
        <f t="shared" si="144"/>
        <v>118</v>
      </c>
      <c r="CO117" s="1">
        <f t="shared" si="145"/>
        <v>120</v>
      </c>
      <c r="CP117" s="1">
        <f t="shared" si="146"/>
        <v>128</v>
      </c>
      <c r="CQ117" s="35"/>
      <c r="DB117" s="34"/>
      <c r="DC117" s="34"/>
      <c r="DD117" s="34"/>
      <c r="DE117" s="34"/>
      <c r="DF117" s="34"/>
      <c r="DI117" s="54"/>
      <c r="DJ117" s="79"/>
    </row>
    <row r="118" spans="2:156" s="2" customFormat="1" ht="15">
      <c r="B118" s="2" t="s">
        <v>1419</v>
      </c>
      <c r="BB118" s="2">
        <f t="shared" ref="BB118:BM118" si="148">SUM(BB109:BB117)</f>
        <v>53122</v>
      </c>
      <c r="BC118" s="2">
        <f t="shared" si="148"/>
        <v>52348</v>
      </c>
      <c r="BD118" s="2">
        <f t="shared" si="148"/>
        <v>50303</v>
      </c>
      <c r="BE118" s="2">
        <f t="shared" si="148"/>
        <v>51711</v>
      </c>
      <c r="BF118" s="2">
        <f t="shared" si="148"/>
        <v>52002</v>
      </c>
      <c r="BG118" s="2">
        <f t="shared" si="148"/>
        <v>51591</v>
      </c>
      <c r="BH118" s="2">
        <f t="shared" si="148"/>
        <v>51079</v>
      </c>
      <c r="BI118" s="2">
        <f t="shared" si="148"/>
        <v>51391</v>
      </c>
      <c r="BJ118" s="2">
        <f t="shared" si="148"/>
        <v>47770</v>
      </c>
      <c r="BK118" s="2">
        <f t="shared" si="148"/>
        <v>49685</v>
      </c>
      <c r="BL118" s="2">
        <f t="shared" si="148"/>
        <v>50752</v>
      </c>
      <c r="BM118" s="2">
        <f t="shared" si="148"/>
        <v>51994</v>
      </c>
      <c r="BN118" s="2">
        <f>SUM(BN109:BN117)</f>
        <v>56929</v>
      </c>
      <c r="BO118" s="2">
        <f>SUM(BO109:BO117)</f>
        <v>61341</v>
      </c>
      <c r="BP118" s="2">
        <f>SUM(BP109:BP117)</f>
        <v>60490</v>
      </c>
      <c r="BQ118" s="2">
        <f>SUM(BQ109:BQ117)</f>
        <v>0</v>
      </c>
      <c r="BR118" s="64"/>
      <c r="CM118" s="2">
        <f t="shared" si="143"/>
        <v>53122</v>
      </c>
      <c r="CN118" s="2">
        <f t="shared" si="144"/>
        <v>52002</v>
      </c>
      <c r="CO118" s="2">
        <f t="shared" si="145"/>
        <v>47770</v>
      </c>
      <c r="CP118" s="2">
        <f t="shared" si="146"/>
        <v>49685</v>
      </c>
      <c r="DB118" s="34" t="s">
        <v>1424</v>
      </c>
      <c r="DC118" s="35"/>
      <c r="DD118" s="35"/>
      <c r="DE118" s="67">
        <f>(DE104*DE111)+(DE103*DE116*(1-DE115))</f>
        <v>8.7254291443425516E-2</v>
      </c>
      <c r="DF118" s="35"/>
      <c r="DG118" s="35"/>
      <c r="DH118" s="35"/>
      <c r="DI118" s="54"/>
      <c r="DJ118" s="35"/>
      <c r="DK118" s="35"/>
      <c r="DL118" s="35"/>
      <c r="DM118" s="35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</row>
    <row r="119" spans="2:156" ht="15">
      <c r="B119" s="1" t="s">
        <v>1421</v>
      </c>
      <c r="BB119" s="1">
        <v>44032</v>
      </c>
      <c r="BC119" s="1">
        <v>42310</v>
      </c>
      <c r="BD119" s="1">
        <v>43802</v>
      </c>
      <c r="BE119" s="1">
        <v>45346</v>
      </c>
      <c r="BF119" s="1">
        <v>46724</v>
      </c>
      <c r="BG119" s="1">
        <v>45504</v>
      </c>
      <c r="BH119" s="1">
        <v>47418</v>
      </c>
      <c r="BI119" s="1">
        <v>48972</v>
      </c>
      <c r="BJ119" s="1">
        <v>49551</v>
      </c>
      <c r="BK119" s="1">
        <v>49357</v>
      </c>
      <c r="BL119" s="1">
        <v>50476</v>
      </c>
      <c r="BM119" s="1">
        <v>51024</v>
      </c>
      <c r="BN119" s="1">
        <v>53415</v>
      </c>
      <c r="BO119" s="1">
        <v>51940</v>
      </c>
      <c r="BP119" s="1">
        <v>52685</v>
      </c>
      <c r="BQ119" s="1">
        <v>54767</v>
      </c>
      <c r="BR119" s="78"/>
      <c r="CM119" s="1">
        <f t="shared" si="143"/>
        <v>44032</v>
      </c>
      <c r="CN119" s="1">
        <f t="shared" si="144"/>
        <v>46724</v>
      </c>
      <c r="CO119" s="1">
        <f t="shared" si="145"/>
        <v>49551</v>
      </c>
      <c r="CP119" s="1">
        <f t="shared" si="146"/>
        <v>49357</v>
      </c>
      <c r="CQ119" s="35"/>
    </row>
    <row r="120" spans="2:156" s="2" customFormat="1" ht="15">
      <c r="B120" s="2" t="s">
        <v>1423</v>
      </c>
      <c r="BB120" s="2">
        <f t="shared" ref="BB120:BM120" si="149">BB118+BB119</f>
        <v>97154</v>
      </c>
      <c r="BC120" s="2">
        <f t="shared" si="149"/>
        <v>94658</v>
      </c>
      <c r="BD120" s="2">
        <f t="shared" si="149"/>
        <v>94105</v>
      </c>
      <c r="BE120" s="2">
        <f t="shared" si="149"/>
        <v>97057</v>
      </c>
      <c r="BF120" s="2">
        <f t="shared" si="149"/>
        <v>98726</v>
      </c>
      <c r="BG120" s="2">
        <f t="shared" si="149"/>
        <v>97095</v>
      </c>
      <c r="BH120" s="2">
        <f t="shared" si="149"/>
        <v>98497</v>
      </c>
      <c r="BI120" s="2">
        <f t="shared" si="149"/>
        <v>100363</v>
      </c>
      <c r="BJ120" s="2">
        <f t="shared" si="149"/>
        <v>97321</v>
      </c>
      <c r="BK120" s="2">
        <f t="shared" si="149"/>
        <v>99042</v>
      </c>
      <c r="BL120" s="2">
        <f t="shared" si="149"/>
        <v>101228</v>
      </c>
      <c r="BM120" s="2">
        <f t="shared" si="149"/>
        <v>103018</v>
      </c>
      <c r="BN120" s="2">
        <f>BN118+BN119</f>
        <v>110344</v>
      </c>
      <c r="BO120" s="2">
        <f>BO118+BO119</f>
        <v>113281</v>
      </c>
      <c r="BP120" s="2">
        <f>BP118+BP119</f>
        <v>113175</v>
      </c>
      <c r="BQ120" s="2">
        <f>BQ118+BQ119</f>
        <v>54767</v>
      </c>
      <c r="BR120" s="34"/>
      <c r="CM120" s="2">
        <f t="shared" si="143"/>
        <v>97154</v>
      </c>
      <c r="CN120" s="2">
        <f t="shared" si="144"/>
        <v>98726</v>
      </c>
      <c r="CO120" s="2">
        <f t="shared" si="145"/>
        <v>97321</v>
      </c>
      <c r="CP120" s="2">
        <f t="shared" si="146"/>
        <v>99042</v>
      </c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</row>
    <row r="121" spans="2:156" ht="15">
      <c r="BR121" s="34"/>
      <c r="CQ121" s="35"/>
    </row>
    <row r="122" spans="2:156">
      <c r="B122" s="1" t="s">
        <v>66</v>
      </c>
      <c r="BB122" s="80">
        <f t="shared" ref="BB122" si="150">SUM(BB97:BB102)/SUM(BB109:BB113)</f>
        <v>1.4831863609641387</v>
      </c>
      <c r="BC122" s="80">
        <f t="shared" ref="BC122:BO122" si="151">SUM(BC97:BC102)/SUM(BC109:BC113)</f>
        <v>1.2722865776882397</v>
      </c>
      <c r="BD122" s="80">
        <f t="shared" si="151"/>
        <v>1.4168792517006803</v>
      </c>
      <c r="BE122" s="80">
        <f t="shared" si="151"/>
        <v>1.6310213306964261</v>
      </c>
      <c r="BF122" s="80">
        <f t="shared" si="151"/>
        <v>1.7548529831572937</v>
      </c>
      <c r="BG122" s="80">
        <f t="shared" si="151"/>
        <v>1.6962043481380498</v>
      </c>
      <c r="BH122" s="80">
        <f t="shared" si="151"/>
        <v>1.7244973938942665</v>
      </c>
      <c r="BI122" s="80">
        <f t="shared" si="151"/>
        <v>1.6287925484555852</v>
      </c>
      <c r="BJ122" s="80">
        <f t="shared" si="151"/>
        <v>1.6605160516051605</v>
      </c>
      <c r="BK122" s="80">
        <f t="shared" si="151"/>
        <v>1.7744971537001897</v>
      </c>
      <c r="BL122" s="80">
        <f t="shared" si="151"/>
        <v>1.9330817016591963</v>
      </c>
      <c r="BM122" s="80">
        <f t="shared" si="151"/>
        <v>1.4974476088124664</v>
      </c>
      <c r="BN122" s="80">
        <f t="shared" si="151"/>
        <v>1.8900520113239845</v>
      </c>
      <c r="BO122" s="80">
        <f t="shared" si="151"/>
        <v>1.5263661856234183</v>
      </c>
      <c r="BP122" s="80">
        <f>SUM(BP97:BP102)/SUM(BP109:BP113)</f>
        <v>1.5503947979563399</v>
      </c>
      <c r="BQ122" s="80" t="e">
        <f>SUM(BQ97:BQ102)/SUM(BQ109:BQ113)</f>
        <v>#DIV/0!</v>
      </c>
      <c r="CM122" s="80">
        <f>SUM(CM97:CM102)/SUM(CM109:CM113)</f>
        <v>1.4831863609641387</v>
      </c>
      <c r="CN122" s="80">
        <f>SUM(CN97:CN102)/SUM(CN109:CN113)</f>
        <v>1.7548529831572937</v>
      </c>
      <c r="CO122" s="80">
        <f>SUM(CO97:CO102)/SUM(CO109:CO113)</f>
        <v>1.6605160516051605</v>
      </c>
      <c r="CP122" s="80">
        <f>SUM(CP97:CP102)/SUM(CP109:CP113)</f>
        <v>1.7744971537001897</v>
      </c>
    </row>
    <row r="123" spans="2:156">
      <c r="B123" s="1" t="s">
        <v>67</v>
      </c>
      <c r="BB123" s="80">
        <f t="shared" ref="BB123" si="152">(SUM(BB97:BB102)-BB100)/SUM(BB109:BB113)</f>
        <v>1.1519694297472076</v>
      </c>
      <c r="BC123" s="80">
        <f t="shared" ref="BC123:BO123" si="153">(SUM(BC97:BC102)-BC100)/SUM(BC109:BC113)</f>
        <v>0.91570133467640391</v>
      </c>
      <c r="BD123" s="80">
        <f t="shared" si="153"/>
        <v>1.0161564625850341</v>
      </c>
      <c r="BE123" s="80">
        <f t="shared" si="153"/>
        <v>1.249329001271366</v>
      </c>
      <c r="BF123" s="80">
        <f t="shared" si="153"/>
        <v>1.3917356551527262</v>
      </c>
      <c r="BG123" s="80">
        <f t="shared" si="153"/>
        <v>1.3279041400588363</v>
      </c>
      <c r="BH123" s="80">
        <f t="shared" si="153"/>
        <v>1.3726392743518581</v>
      </c>
      <c r="BI123" s="80">
        <f t="shared" si="153"/>
        <v>1.256900212314225</v>
      </c>
      <c r="BJ123" s="80">
        <f t="shared" si="153"/>
        <v>1.2871287128712872</v>
      </c>
      <c r="BK123" s="80">
        <f t="shared" si="153"/>
        <v>1.377988614800759</v>
      </c>
      <c r="BL123" s="80">
        <f t="shared" si="153"/>
        <v>1.4959503027443579</v>
      </c>
      <c r="BM123" s="80">
        <f t="shared" si="153"/>
        <v>1.1115663621708758</v>
      </c>
      <c r="BN123" s="80">
        <f t="shared" si="153"/>
        <v>1.5328856409243532</v>
      </c>
      <c r="BO123" s="80">
        <f t="shared" si="153"/>
        <v>1.1504685042062786</v>
      </c>
      <c r="BP123" s="80">
        <f>(SUM(BP97:BP102)-BP100)/SUM(BP109:BP113)</f>
        <v>1.177028730674806</v>
      </c>
      <c r="BQ123" s="80" t="e">
        <f>(SUM(BQ97:BQ102)-BQ100)/SUM(BQ109:BQ113)</f>
        <v>#DIV/0!</v>
      </c>
      <c r="CM123" s="80">
        <f>(SUM(CM97:CM102)-CM100)/SUM(CM109:CM113)</f>
        <v>1.1519694297472076</v>
      </c>
      <c r="CN123" s="80">
        <f>(SUM(CN97:CN102)-CN100)/SUM(CN109:CN113)</f>
        <v>1.3917356551527262</v>
      </c>
      <c r="CO123" s="80">
        <f>(SUM(CO97:CO102)-CO100)/SUM(CO109:CO113)</f>
        <v>1.2871287128712872</v>
      </c>
      <c r="CP123" s="80">
        <f>(SUM(CP97:CP102)-CP100)/SUM(CP109:CP113)</f>
        <v>1.377988614800759</v>
      </c>
    </row>
    <row r="124" spans="2:156">
      <c r="B124" s="1" t="s">
        <v>68</v>
      </c>
      <c r="BB124" s="80">
        <f t="shared" ref="BB124" si="154">(BB97+BB98)/SUM(BB109:BB113)</f>
        <v>0.50111699000587895</v>
      </c>
      <c r="BC124" s="80">
        <f t="shared" ref="BC124:BO124" si="155">(BC97+BC98)/SUM(BC109:BC113)</f>
        <v>0.21921430370183834</v>
      </c>
      <c r="BD124" s="80">
        <f t="shared" si="155"/>
        <v>0.22200963718820863</v>
      </c>
      <c r="BE124" s="80">
        <f t="shared" si="155"/>
        <v>0.4344540189292273</v>
      </c>
      <c r="BF124" s="80">
        <f t="shared" si="155"/>
        <v>0.57664858692549248</v>
      </c>
      <c r="BG124" s="80">
        <f t="shared" si="155"/>
        <v>0.52019803401018871</v>
      </c>
      <c r="BH124" s="80">
        <f t="shared" si="155"/>
        <v>0.59723820483314149</v>
      </c>
      <c r="BI124" s="80">
        <f t="shared" si="155"/>
        <v>0.45510581467022809</v>
      </c>
      <c r="BJ124" s="80">
        <f t="shared" si="155"/>
        <v>0.41779177917791777</v>
      </c>
      <c r="BK124" s="80">
        <f t="shared" si="155"/>
        <v>0.45138519924098669</v>
      </c>
      <c r="BL124" s="80">
        <f t="shared" si="155"/>
        <v>0.50247699929228595</v>
      </c>
      <c r="BM124" s="80">
        <f t="shared" si="155"/>
        <v>0.23817839871037078</v>
      </c>
      <c r="BN124" s="80">
        <f t="shared" si="155"/>
        <v>0.66528408716834553</v>
      </c>
      <c r="BO124" s="80">
        <f t="shared" si="155"/>
        <v>0.22269338622529239</v>
      </c>
      <c r="BP124" s="80">
        <f>(BP97+BP98)/SUM(BP109:BP113)</f>
        <v>0.26965695706986931</v>
      </c>
      <c r="BQ124" s="80" t="e">
        <f>(BQ97+BQ98)/SUM(BQ109:BQ113)</f>
        <v>#DIV/0!</v>
      </c>
      <c r="CM124" s="80">
        <f>(CM97+CM98)/SUM(CM109:CM113)</f>
        <v>0.50111699000587895</v>
      </c>
      <c r="CN124" s="80">
        <f>(CN97+CN98)/SUM(CN109:CN113)</f>
        <v>0.57664858692549248</v>
      </c>
      <c r="CO124" s="80">
        <f>(CO97+CO98)/SUM(CO109:CO113)</f>
        <v>0.41779177917791777</v>
      </c>
      <c r="CP124" s="80">
        <f>(CP97+CP98)/SUM(CP109:CP113)</f>
        <v>0.45138519924098669</v>
      </c>
    </row>
    <row r="125" spans="2:156">
      <c r="B125" s="1" t="s">
        <v>1425</v>
      </c>
      <c r="BB125" s="80">
        <f t="shared" ref="BB125" si="156">BB71/SUM(BB103:BB104)</f>
        <v>0.42848589177456775</v>
      </c>
      <c r="BC125" s="80">
        <f t="shared" ref="BC125:BO125" si="157">BC71/SUM(BC103:BC104)</f>
        <v>0.39193442143013979</v>
      </c>
      <c r="BD125" s="80">
        <f t="shared" si="157"/>
        <v>0.39982790227842419</v>
      </c>
      <c r="BE125" s="80">
        <f t="shared" si="157"/>
        <v>0.40269632112118214</v>
      </c>
      <c r="BF125" s="80">
        <f t="shared" si="157"/>
        <v>0.4168006738647676</v>
      </c>
      <c r="BG125" s="80">
        <f t="shared" si="157"/>
        <v>0.4077329339429292</v>
      </c>
      <c r="BH125" s="80">
        <f t="shared" si="157"/>
        <v>0.42502318454901011</v>
      </c>
      <c r="BI125" s="80">
        <f t="shared" si="157"/>
        <v>0.41279115058035365</v>
      </c>
      <c r="BJ125" s="80">
        <f t="shared" si="157"/>
        <v>0.45875437819557952</v>
      </c>
      <c r="BK125" s="80">
        <f t="shared" si="157"/>
        <v>0.42037803196235907</v>
      </c>
      <c r="BL125" s="80">
        <f t="shared" si="157"/>
        <v>0.43800185611104386</v>
      </c>
      <c r="BM125" s="80">
        <f t="shared" si="157"/>
        <v>0.42098489723305199</v>
      </c>
      <c r="BN125" s="80">
        <f t="shared" si="157"/>
        <v>0.46263682157330605</v>
      </c>
      <c r="BO125" s="80">
        <f t="shared" si="157"/>
        <v>0.36924573882700307</v>
      </c>
      <c r="BP125" s="80">
        <f>BP71/SUM(BP103:BP104)</f>
        <v>0.40850107285174209</v>
      </c>
      <c r="BQ125" s="80">
        <f>BQ71/SUM(BQ103:BQ104)</f>
        <v>0.42357088015634814</v>
      </c>
      <c r="CM125" s="80">
        <f>CM71/SUM(CM103:CM104)</f>
        <v>1.6808247885637302</v>
      </c>
      <c r="CN125" s="80">
        <f>CN71/SUM(CN103:CN104)</f>
        <v>1.6408989968604029</v>
      </c>
      <c r="CO125" s="80">
        <f>CO71/SUM(CO103:CO104)</f>
        <v>1.7262772253311325</v>
      </c>
      <c r="CP125" s="80">
        <f>CP71/SUM(CP103:CP104)</f>
        <v>1.8072523728401071</v>
      </c>
    </row>
    <row r="126" spans="2:156">
      <c r="B126" s="1" t="s">
        <v>1426</v>
      </c>
      <c r="BB126" s="80">
        <f t="shared" ref="BB126" si="158">BB71/BB107</f>
        <v>0.11785412849702534</v>
      </c>
      <c r="BC126" s="80">
        <f t="shared" ref="BC126:BO126" si="159">BC71/BC107</f>
        <v>0.11314416108516977</v>
      </c>
      <c r="BD126" s="80">
        <f t="shared" si="159"/>
        <v>0.11356463524786144</v>
      </c>
      <c r="BE126" s="80">
        <f t="shared" si="159"/>
        <v>0.10894628929392007</v>
      </c>
      <c r="BF126" s="80">
        <f t="shared" si="159"/>
        <v>0.11026477321070437</v>
      </c>
      <c r="BG126" s="80">
        <f t="shared" si="159"/>
        <v>0.10654403888934663</v>
      </c>
      <c r="BH126" s="80">
        <f t="shared" si="159"/>
        <v>0.10701848787272709</v>
      </c>
      <c r="BI126" s="80">
        <f t="shared" si="159"/>
        <v>0.10559773619497419</v>
      </c>
      <c r="BJ126" s="80">
        <f t="shared" si="159"/>
        <v>0.1170855510573149</v>
      </c>
      <c r="BK126" s="80">
        <f t="shared" si="159"/>
        <v>0.1046424749096343</v>
      </c>
      <c r="BL126" s="80">
        <f t="shared" si="159"/>
        <v>0.10723105798676281</v>
      </c>
      <c r="BM126" s="80">
        <f t="shared" si="159"/>
        <v>0.10796066744969375</v>
      </c>
      <c r="BN126" s="80">
        <f t="shared" si="159"/>
        <v>0.11069926774450808</v>
      </c>
      <c r="BO126" s="80">
        <f t="shared" si="159"/>
        <v>9.7147800602042714E-2</v>
      </c>
      <c r="BP126" s="80">
        <f>BP71/BP107</f>
        <v>0.10597746852220014</v>
      </c>
      <c r="BQ126" s="80">
        <f>BQ71/BQ107</f>
        <v>0.10608152990945005</v>
      </c>
      <c r="CM126" s="80">
        <f>CM71/CM107</f>
        <v>0.46230726475492517</v>
      </c>
      <c r="CN126" s="80">
        <f>CN71/CN107</f>
        <v>0.43410043960051048</v>
      </c>
      <c r="CO126" s="80">
        <f>CO71/CO107</f>
        <v>0.44058897268860076</v>
      </c>
      <c r="CP126" s="80">
        <f>CP71/CP107</f>
        <v>0.44986975222632825</v>
      </c>
    </row>
    <row r="127" spans="2:156">
      <c r="B127" s="1" t="s">
        <v>69</v>
      </c>
      <c r="BB127" s="80">
        <f t="shared" ref="BB127:BO127" si="160">BB72/AVERAGE(AY100:BB100)</f>
        <v>1.2147674831380901</v>
      </c>
      <c r="BC127" s="80">
        <f t="shared" si="160"/>
        <v>1.1630377057886352</v>
      </c>
      <c r="BD127" s="80">
        <f t="shared" si="160"/>
        <v>1.138913466643072</v>
      </c>
      <c r="BE127" s="80">
        <f t="shared" si="160"/>
        <v>1.1196493268327594</v>
      </c>
      <c r="BF127" s="80">
        <f t="shared" si="160"/>
        <v>1.1907752968685525</v>
      </c>
      <c r="BG127" s="80">
        <f t="shared" si="160"/>
        <v>1.1541353383458646</v>
      </c>
      <c r="BH127" s="80">
        <f t="shared" si="160"/>
        <v>1.1898381597272247</v>
      </c>
      <c r="BI127" s="80">
        <f t="shared" si="160"/>
        <v>1.2029353925847763</v>
      </c>
      <c r="BJ127" s="80">
        <f t="shared" si="160"/>
        <v>1.2677564009836539</v>
      </c>
      <c r="BK127" s="80">
        <f t="shared" si="160"/>
        <v>1.1769563130100815</v>
      </c>
      <c r="BL127" s="80">
        <f t="shared" si="160"/>
        <v>1.2167429569156718</v>
      </c>
      <c r="BM127" s="80">
        <f t="shared" si="160"/>
        <v>1.2162187296568399</v>
      </c>
      <c r="BN127" s="80">
        <f t="shared" si="160"/>
        <v>1.3126224206258825</v>
      </c>
      <c r="BO127" s="80">
        <f t="shared" si="160"/>
        <v>1.1833520809898763</v>
      </c>
      <c r="BP127" s="80">
        <f>BP72/AVERAGE(BM100:BP100)</f>
        <v>1.2760956354012469</v>
      </c>
      <c r="BQ127" s="80">
        <f>BQ72/AVERAGE(BN100:BQ100)</f>
        <v>1.2518588617006894</v>
      </c>
      <c r="CM127" s="80">
        <f>CM72/AVERAGE(CJ100:CM100)</f>
        <v>4.6048988285410006</v>
      </c>
      <c r="CN127" s="80">
        <f>CN72/AVERAGE(CK100:CN100)</f>
        <v>4.8045140831934336</v>
      </c>
      <c r="CO127" s="80">
        <f>CO72/AVERAGE(CL100:CO100)</f>
        <v>4.8108917197452232</v>
      </c>
      <c r="CP127" s="80">
        <f>CP72/AVERAGE(CM100:CP100)</f>
        <v>5.0311603899827952</v>
      </c>
    </row>
    <row r="128" spans="2:156">
      <c r="B128" s="1" t="s">
        <v>70</v>
      </c>
      <c r="BB128" s="81">
        <f t="shared" ref="BB128" si="161">BB85/BB107</f>
        <v>1.6221668690944276E-2</v>
      </c>
      <c r="BC128" s="81">
        <f t="shared" ref="BC128:BO128" si="162">BC85/BC107</f>
        <v>1.3617443850493354E-2</v>
      </c>
      <c r="BD128" s="81">
        <f t="shared" si="162"/>
        <v>1.4462568407629776E-2</v>
      </c>
      <c r="BE128" s="81">
        <f t="shared" si="162"/>
        <v>1.7670028952059099E-2</v>
      </c>
      <c r="BF128" s="81">
        <f t="shared" si="162"/>
        <v>1.6510341753945262E-2</v>
      </c>
      <c r="BG128" s="81">
        <f t="shared" si="162"/>
        <v>1.3656587295048199E-2</v>
      </c>
      <c r="BH128" s="81">
        <f t="shared" si="162"/>
        <v>1.5716214707046917E-2</v>
      </c>
      <c r="BI128" s="81">
        <f t="shared" si="162"/>
        <v>1.62412068312708E-2</v>
      </c>
      <c r="BJ128" s="81">
        <f t="shared" si="162"/>
        <v>1.882410965660385E-2</v>
      </c>
      <c r="BK128" s="81">
        <f t="shared" si="162"/>
        <v>1.5215767048322934E-2</v>
      </c>
      <c r="BL128" s="81">
        <f t="shared" si="162"/>
        <v>1.5973525634693272E-2</v>
      </c>
      <c r="BM128" s="81">
        <f t="shared" si="162"/>
        <v>1.5676719828381171E-2</v>
      </c>
      <c r="BN128" s="81">
        <f t="shared" si="162"/>
        <v>1.7807946059595448E-2</v>
      </c>
      <c r="BO128" s="81">
        <f t="shared" si="162"/>
        <v>1.4574376991728533E-2</v>
      </c>
      <c r="BP128" s="81">
        <f>BP85/BP107</f>
        <v>1.5347912524850895E-2</v>
      </c>
      <c r="BQ128" s="81">
        <f>BQ85/BQ107</f>
        <v>1.5042128448064889E-2</v>
      </c>
      <c r="CM128" s="81">
        <f>CM85/CM107</f>
        <v>7.1535912057146392E-2</v>
      </c>
      <c r="CN128" s="81">
        <f>CN85/CN107</f>
        <v>6.0723618904847759E-2</v>
      </c>
      <c r="CO128" s="81">
        <f>CO85/CO107</f>
        <v>6.5103470952097162E-2</v>
      </c>
      <c r="CP128" s="81">
        <f>CP85/CP107</f>
        <v>6.7688455402758432E-2</v>
      </c>
    </row>
    <row r="129" spans="2:156">
      <c r="B129" s="1" t="s">
        <v>71</v>
      </c>
      <c r="BB129" s="81">
        <f t="shared" ref="BB129" si="163">BB85/BB119</f>
        <v>3.5792151162790699E-2</v>
      </c>
      <c r="BC129" s="81">
        <f t="shared" ref="BC129:BO129" si="164">BC85/BC119</f>
        <v>3.0465610966674547E-2</v>
      </c>
      <c r="BD129" s="81">
        <f t="shared" si="164"/>
        <v>3.1071640564357791E-2</v>
      </c>
      <c r="BE129" s="81">
        <f t="shared" si="164"/>
        <v>3.7820314912009878E-2</v>
      </c>
      <c r="BF129" s="81">
        <f t="shared" si="164"/>
        <v>3.488571183973975E-2</v>
      </c>
      <c r="BG129" s="81">
        <f t="shared" si="164"/>
        <v>2.9140295358649791E-2</v>
      </c>
      <c r="BH129" s="81">
        <f t="shared" si="164"/>
        <v>3.2645830697203594E-2</v>
      </c>
      <c r="BI129" s="81">
        <f t="shared" si="164"/>
        <v>3.3284325737155923E-2</v>
      </c>
      <c r="BJ129" s="81">
        <f t="shared" si="164"/>
        <v>3.6972008637565335E-2</v>
      </c>
      <c r="BK129" s="81">
        <f t="shared" si="164"/>
        <v>3.0532649877423667E-2</v>
      </c>
      <c r="BL129" s="81">
        <f t="shared" si="164"/>
        <v>3.2035026547269987E-2</v>
      </c>
      <c r="BM129" s="81">
        <f t="shared" si="164"/>
        <v>3.1651771715271247E-2</v>
      </c>
      <c r="BN129" s="81">
        <f t="shared" si="164"/>
        <v>3.6787419264251615E-2</v>
      </c>
      <c r="BO129" s="81">
        <f t="shared" si="164"/>
        <v>3.1786676934924915E-2</v>
      </c>
      <c r="BP129" s="81">
        <f>BP85/BP119</f>
        <v>3.2969535921040141E-2</v>
      </c>
      <c r="BQ129" s="81">
        <f>BQ85/BQ119</f>
        <v>3.1424032720433835E-2</v>
      </c>
      <c r="CM129" s="81">
        <f>CM85/CM119</f>
        <v>0.15783975290697674</v>
      </c>
      <c r="CN129" s="81">
        <f>CN85/CN119</f>
        <v>0.12830665182775447</v>
      </c>
      <c r="CO129" s="81">
        <f>CO85/CO119</f>
        <v>0.12786825694738754</v>
      </c>
      <c r="CP129" s="81">
        <f>CP85/CP119</f>
        <v>0.13582673177056953</v>
      </c>
    </row>
    <row r="131" spans="2:156">
      <c r="B131" s="1" t="s">
        <v>72</v>
      </c>
      <c r="C131" s="86">
        <f t="shared" ref="C131:BN131" si="165">C85</f>
        <v>224.60000000000016</v>
      </c>
      <c r="D131" s="86">
        <f t="shared" si="165"/>
        <v>228.69999999999985</v>
      </c>
      <c r="E131" s="86">
        <f t="shared" si="165"/>
        <v>258.79999999999984</v>
      </c>
      <c r="F131" s="86">
        <f t="shared" si="165"/>
        <v>274.00000000000028</v>
      </c>
      <c r="G131" s="86">
        <f t="shared" si="165"/>
        <v>247.20000000000022</v>
      </c>
      <c r="H131" s="86">
        <f t="shared" si="165"/>
        <v>217.10000000000002</v>
      </c>
      <c r="I131" s="86">
        <f t="shared" si="165"/>
        <v>266.30000000000007</v>
      </c>
      <c r="J131" s="86">
        <f t="shared" si="165"/>
        <v>292.7999999999999</v>
      </c>
      <c r="K131" s="86">
        <f t="shared" si="165"/>
        <v>280.80000000000024</v>
      </c>
      <c r="L131" s="86">
        <f t="shared" si="165"/>
        <v>292.39999999999998</v>
      </c>
      <c r="M131" s="86">
        <f t="shared" si="165"/>
        <v>299.39999999999981</v>
      </c>
      <c r="N131" s="86">
        <f t="shared" si="165"/>
        <v>385.80000000000013</v>
      </c>
      <c r="O131" s="86">
        <f t="shared" si="165"/>
        <v>340.7999999999999</v>
      </c>
      <c r="P131" s="86">
        <f t="shared" si="165"/>
        <v>277.59999999999991</v>
      </c>
      <c r="Q131" s="86">
        <f t="shared" si="165"/>
        <v>317.7000000000001</v>
      </c>
      <c r="R131" s="86">
        <f t="shared" si="165"/>
        <v>343</v>
      </c>
      <c r="S131" s="86">
        <f t="shared" si="165"/>
        <v>543.09999999999991</v>
      </c>
      <c r="T131" s="86">
        <f t="shared" si="165"/>
        <v>278.49999999999943</v>
      </c>
      <c r="U131" s="86">
        <f t="shared" si="165"/>
        <v>469.89999999999947</v>
      </c>
      <c r="V131" s="86">
        <f t="shared" si="165"/>
        <v>604.00000000000011</v>
      </c>
      <c r="W131" s="86">
        <f t="shared" si="165"/>
        <v>385.09999999999997</v>
      </c>
      <c r="X131" s="86">
        <f t="shared" si="165"/>
        <v>511.59999999999974</v>
      </c>
      <c r="Y131" s="86">
        <f t="shared" si="165"/>
        <v>477.29999999999961</v>
      </c>
      <c r="Z131" s="86">
        <f t="shared" si="165"/>
        <v>606.00000000000045</v>
      </c>
      <c r="AA131" s="86">
        <f t="shared" si="165"/>
        <v>402.30000000000013</v>
      </c>
      <c r="AB131" s="86">
        <f t="shared" si="165"/>
        <v>516.79999999999995</v>
      </c>
      <c r="AC131" s="86">
        <f t="shared" si="165"/>
        <v>473.49999999999972</v>
      </c>
      <c r="AD131" s="86">
        <f t="shared" si="165"/>
        <v>632.40000000000032</v>
      </c>
      <c r="AE131" s="86">
        <f t="shared" si="165"/>
        <v>551</v>
      </c>
      <c r="AF131" s="86">
        <f t="shared" si="165"/>
        <v>613</v>
      </c>
      <c r="AG131" s="86">
        <f t="shared" si="165"/>
        <v>534</v>
      </c>
      <c r="AH131" s="86">
        <f t="shared" si="165"/>
        <v>530</v>
      </c>
      <c r="AI131" s="86">
        <f t="shared" si="165"/>
        <v>579</v>
      </c>
      <c r="AJ131" s="86">
        <f t="shared" si="165"/>
        <v>752</v>
      </c>
      <c r="AK131" s="86">
        <f t="shared" si="165"/>
        <v>709</v>
      </c>
      <c r="AL131" s="86">
        <f t="shared" si="165"/>
        <v>898</v>
      </c>
      <c r="AM131" s="86">
        <f t="shared" si="165"/>
        <v>815</v>
      </c>
      <c r="AN131" s="86">
        <f t="shared" si="165"/>
        <v>1119</v>
      </c>
      <c r="AO131" s="86">
        <f t="shared" si="165"/>
        <v>760</v>
      </c>
      <c r="AP131" s="86">
        <f t="shared" si="165"/>
        <v>1004</v>
      </c>
      <c r="AQ131" s="86">
        <f t="shared" si="165"/>
        <v>788</v>
      </c>
      <c r="AR131" s="86">
        <f t="shared" si="165"/>
        <v>1156</v>
      </c>
      <c r="AS131" s="86">
        <f t="shared" si="165"/>
        <v>1933</v>
      </c>
      <c r="AT131" s="86">
        <f t="shared" si="165"/>
        <v>2503</v>
      </c>
      <c r="AU131" s="86">
        <f t="shared" si="165"/>
        <v>2337</v>
      </c>
      <c r="AV131" s="86">
        <f t="shared" si="165"/>
        <v>1828</v>
      </c>
      <c r="AW131" s="86">
        <f t="shared" si="165"/>
        <v>1902</v>
      </c>
      <c r="AX131" s="86">
        <f t="shared" si="165"/>
        <v>1658</v>
      </c>
      <c r="AY131" s="86">
        <f t="shared" si="165"/>
        <v>2215</v>
      </c>
      <c r="AZ131" s="86">
        <f t="shared" si="165"/>
        <v>1664</v>
      </c>
      <c r="BA131" s="86">
        <f t="shared" si="165"/>
        <v>1495</v>
      </c>
      <c r="BB131" s="86">
        <f t="shared" si="165"/>
        <v>1576</v>
      </c>
      <c r="BC131" s="86">
        <f t="shared" si="165"/>
        <v>1289</v>
      </c>
      <c r="BD131" s="86">
        <f t="shared" si="165"/>
        <v>1361</v>
      </c>
      <c r="BE131" s="86">
        <f t="shared" si="165"/>
        <v>1715</v>
      </c>
      <c r="BF131" s="86">
        <f t="shared" si="165"/>
        <v>1630</v>
      </c>
      <c r="BG131" s="86">
        <f t="shared" si="165"/>
        <v>1326</v>
      </c>
      <c r="BH131" s="86">
        <f t="shared" si="165"/>
        <v>1548</v>
      </c>
      <c r="BI131" s="86">
        <f t="shared" si="165"/>
        <v>1630</v>
      </c>
      <c r="BJ131" s="86">
        <f t="shared" si="165"/>
        <v>1832</v>
      </c>
      <c r="BK131" s="86">
        <f t="shared" si="165"/>
        <v>1507</v>
      </c>
      <c r="BL131" s="86">
        <f t="shared" si="165"/>
        <v>1617</v>
      </c>
      <c r="BM131" s="86">
        <f t="shared" si="165"/>
        <v>1615</v>
      </c>
      <c r="BN131" s="86">
        <f t="shared" si="165"/>
        <v>1965</v>
      </c>
      <c r="BO131" s="86">
        <f t="shared" ref="BO131" si="166">BO85</f>
        <v>1651</v>
      </c>
      <c r="BP131" s="86">
        <f>BP85</f>
        <v>1737</v>
      </c>
      <c r="BQ131" s="86">
        <f>BQ85</f>
        <v>1721</v>
      </c>
      <c r="CA131" s="86">
        <f t="shared" ref="CA131:CA134" si="167">SUM(C131:F131)</f>
        <v>986.10000000000014</v>
      </c>
      <c r="CB131" s="86">
        <f t="shared" ref="CB131:CB134" si="168">SUM(G131:J131)</f>
        <v>1023.4000000000003</v>
      </c>
      <c r="CC131" s="86">
        <f t="shared" ref="CC131:CC134" si="169">SUM(K131:N131)</f>
        <v>1258.4000000000003</v>
      </c>
      <c r="CD131" s="86">
        <f t="shared" ref="CD131:CD134" si="170">SUM(O131:R131)</f>
        <v>1279.0999999999999</v>
      </c>
      <c r="CE131" s="86">
        <f t="shared" ref="CE131:CE134" si="171">SUM(S131:V131)</f>
        <v>1895.4999999999991</v>
      </c>
      <c r="CF131" s="86">
        <f t="shared" ref="CF131:CF134" si="172">SUM(W131:Z131)</f>
        <v>1979.9999999999998</v>
      </c>
      <c r="CG131" s="86">
        <f t="shared" ref="CG131:CG134" si="173">SUM(AA131:AD131)</f>
        <v>2025.0000000000002</v>
      </c>
      <c r="CH131" s="86">
        <f t="shared" ref="CH131:CH134" si="174">SUM(AE131:AH131)</f>
        <v>2228</v>
      </c>
      <c r="CI131" s="86">
        <f t="shared" ref="CI131:CI134" si="175">SUM(AI131:AL131)</f>
        <v>2938</v>
      </c>
      <c r="CJ131" s="86">
        <f t="shared" ref="CJ131:CJ134" si="176">SUM(AM131:AP131)</f>
        <v>3698</v>
      </c>
      <c r="CK131" s="86">
        <f t="shared" ref="CK131:CK134" si="177">SUM(AQ131:AT131)</f>
        <v>6380</v>
      </c>
      <c r="CL131" s="86">
        <f t="shared" ref="CL131:CL134" si="178">SUM(AU131:AX131)</f>
        <v>7725</v>
      </c>
      <c r="CM131" s="86">
        <f t="shared" ref="CM131:CM134" si="179">SUM(AY131:BB131)</f>
        <v>6950</v>
      </c>
      <c r="CN131" s="86">
        <f t="shared" ref="CN131:CN134" si="180">SUM(BC131:BF131)</f>
        <v>5995</v>
      </c>
      <c r="CO131" s="86">
        <f t="shared" ref="CO131:CO134" si="181">SUM(BG131:BJ131)</f>
        <v>6336</v>
      </c>
      <c r="CP131" s="86">
        <f t="shared" ref="CP131:CP134" si="182">SUM(BK131:BN131)</f>
        <v>6704</v>
      </c>
    </row>
    <row r="132" spans="2:156" s="2" customFormat="1" ht="15">
      <c r="B132" s="2" t="s">
        <v>73</v>
      </c>
      <c r="C132" s="87">
        <v>335.6</v>
      </c>
      <c r="D132" s="87">
        <v>273.39999999999998</v>
      </c>
      <c r="E132" s="87">
        <v>417.6</v>
      </c>
      <c r="F132" s="87">
        <v>423.5</v>
      </c>
      <c r="G132" s="87">
        <v>325.89999999999998</v>
      </c>
      <c r="H132" s="87">
        <v>354.9</v>
      </c>
      <c r="I132" s="87">
        <v>355.9</v>
      </c>
      <c r="J132" s="87">
        <v>639.9</v>
      </c>
      <c r="K132" s="87">
        <v>397.9</v>
      </c>
      <c r="L132" s="87">
        <v>510.8</v>
      </c>
      <c r="M132" s="87">
        <v>491.9</v>
      </c>
      <c r="N132" s="87">
        <v>667.3</v>
      </c>
      <c r="O132" s="87">
        <v>299.10000000000002</v>
      </c>
      <c r="P132" s="87">
        <v>479.3</v>
      </c>
      <c r="Q132" s="87">
        <v>507.1</v>
      </c>
      <c r="R132" s="87">
        <v>730.1</v>
      </c>
      <c r="S132" s="87">
        <v>102.2</v>
      </c>
      <c r="T132" s="87">
        <v>889.6</v>
      </c>
      <c r="U132" s="87">
        <v>677.6</v>
      </c>
      <c r="V132" s="87">
        <v>954.5</v>
      </c>
      <c r="W132" s="87">
        <v>82.1</v>
      </c>
      <c r="X132" s="87">
        <v>767.1</v>
      </c>
      <c r="Y132" s="87">
        <v>747.6</v>
      </c>
      <c r="Z132" s="87">
        <v>1354.2</v>
      </c>
      <c r="AA132" s="87">
        <v>336.2</v>
      </c>
      <c r="AB132" s="87">
        <v>914</v>
      </c>
      <c r="AC132" s="87">
        <v>805.5</v>
      </c>
      <c r="AD132" s="87">
        <v>1204.3</v>
      </c>
      <c r="AE132" s="87">
        <v>362</v>
      </c>
      <c r="AF132" s="87">
        <v>849</v>
      </c>
      <c r="AG132" s="87">
        <v>930</v>
      </c>
      <c r="AH132" s="87">
        <v>1865</v>
      </c>
      <c r="AI132" s="87">
        <v>78</v>
      </c>
      <c r="AJ132" s="87">
        <v>1444</v>
      </c>
      <c r="AK132" s="87">
        <v>1220</v>
      </c>
      <c r="AL132" s="87">
        <v>1801</v>
      </c>
      <c r="AM132" s="87">
        <v>649</v>
      </c>
      <c r="AN132" s="87">
        <v>1294</v>
      </c>
      <c r="AO132" s="87">
        <v>1117</v>
      </c>
      <c r="AP132" s="87">
        <v>1913</v>
      </c>
      <c r="AQ132" s="87">
        <v>356</v>
      </c>
      <c r="AR132" s="87">
        <v>1886</v>
      </c>
      <c r="AS132" s="87">
        <v>2708</v>
      </c>
      <c r="AT132" s="87">
        <v>3339</v>
      </c>
      <c r="AU132" s="87">
        <v>1978</v>
      </c>
      <c r="AV132" s="87">
        <v>2227</v>
      </c>
      <c r="AW132" s="87">
        <v>2650</v>
      </c>
      <c r="AX132" s="87">
        <v>2457</v>
      </c>
      <c r="AY132" s="87">
        <v>2202</v>
      </c>
      <c r="AZ132" s="87">
        <v>1528</v>
      </c>
      <c r="BA132" s="87">
        <v>1937</v>
      </c>
      <c r="BB132" s="87">
        <v>3487</v>
      </c>
      <c r="BC132" s="87">
        <v>729</v>
      </c>
      <c r="BD132" s="87">
        <v>1540</v>
      </c>
      <c r="BE132" s="87">
        <v>2414</v>
      </c>
      <c r="BF132" s="87">
        <v>3723</v>
      </c>
      <c r="BG132" s="87">
        <v>1250</v>
      </c>
      <c r="BH132" s="87">
        <v>1963</v>
      </c>
      <c r="BI132" s="87">
        <v>2163</v>
      </c>
      <c r="BJ132" s="87">
        <v>3291</v>
      </c>
      <c r="BK132" s="87">
        <v>722</v>
      </c>
      <c r="BL132" s="87">
        <v>1401</v>
      </c>
      <c r="BM132" s="87">
        <v>2238</v>
      </c>
      <c r="BN132" s="87">
        <v>3458</v>
      </c>
      <c r="BO132" s="87">
        <v>1193</v>
      </c>
      <c r="BP132" s="87">
        <v>2124</v>
      </c>
      <c r="BQ132" s="87">
        <f>5867-BP132-BO132</f>
        <v>2550</v>
      </c>
      <c r="BR132" s="34"/>
      <c r="CA132" s="87">
        <f t="shared" si="167"/>
        <v>1450.1</v>
      </c>
      <c r="CB132" s="87">
        <f t="shared" si="168"/>
        <v>1676.6</v>
      </c>
      <c r="CC132" s="87">
        <f t="shared" si="169"/>
        <v>2067.8999999999996</v>
      </c>
      <c r="CD132" s="87">
        <f t="shared" si="170"/>
        <v>2015.6</v>
      </c>
      <c r="CE132" s="87">
        <f t="shared" si="171"/>
        <v>2623.9</v>
      </c>
      <c r="CF132" s="87">
        <f t="shared" si="172"/>
        <v>2951</v>
      </c>
      <c r="CG132" s="87">
        <f t="shared" si="173"/>
        <v>3260</v>
      </c>
      <c r="CH132" s="87">
        <f t="shared" si="174"/>
        <v>4006</v>
      </c>
      <c r="CI132" s="87">
        <f t="shared" si="175"/>
        <v>4543</v>
      </c>
      <c r="CJ132" s="87">
        <f t="shared" si="176"/>
        <v>4973</v>
      </c>
      <c r="CK132" s="87">
        <f t="shared" si="177"/>
        <v>8289</v>
      </c>
      <c r="CL132" s="87">
        <f t="shared" si="178"/>
        <v>9312</v>
      </c>
      <c r="CM132" s="87">
        <f t="shared" si="179"/>
        <v>9154</v>
      </c>
      <c r="CN132" s="87">
        <f t="shared" si="180"/>
        <v>8406</v>
      </c>
      <c r="CO132" s="87">
        <f t="shared" si="181"/>
        <v>8667</v>
      </c>
      <c r="CP132" s="87">
        <f t="shared" si="182"/>
        <v>7819</v>
      </c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</row>
    <row r="133" spans="2:156">
      <c r="B133" s="1" t="s">
        <v>74</v>
      </c>
      <c r="C133" s="86">
        <v>-49.1</v>
      </c>
      <c r="D133" s="86">
        <v>-56.3</v>
      </c>
      <c r="E133" s="86">
        <v>-63.3</v>
      </c>
      <c r="F133" s="86">
        <v>-76.7</v>
      </c>
      <c r="G133" s="86">
        <v>-63.7</v>
      </c>
      <c r="H133" s="86">
        <v>-53.7</v>
      </c>
      <c r="I133" s="86">
        <v>-62.8</v>
      </c>
      <c r="J133" s="86">
        <v>-80.7</v>
      </c>
      <c r="K133" s="86">
        <v>-69.2</v>
      </c>
      <c r="L133" s="86">
        <v>-65.5</v>
      </c>
      <c r="M133" s="86">
        <v>-76</v>
      </c>
      <c r="N133" s="86">
        <v>-104.4</v>
      </c>
      <c r="O133" s="86">
        <v>-66</v>
      </c>
      <c r="P133" s="86">
        <v>-65.599999999999994</v>
      </c>
      <c r="Q133" s="86">
        <v>-56.3</v>
      </c>
      <c r="R133" s="86">
        <v>-94.5</v>
      </c>
      <c r="S133" s="86">
        <v>-104.7</v>
      </c>
      <c r="T133" s="86">
        <v>-75.5</v>
      </c>
      <c r="U133" s="86">
        <v>-90.7</v>
      </c>
      <c r="V133" s="86">
        <v>-156.69999999999999</v>
      </c>
      <c r="W133" s="86">
        <v>-97.2</v>
      </c>
      <c r="X133" s="86">
        <v>-95.3</v>
      </c>
      <c r="Y133" s="86">
        <v>-101</v>
      </c>
      <c r="Z133" s="86">
        <v>-129.5</v>
      </c>
      <c r="AA133" s="86">
        <v>-115.1</v>
      </c>
      <c r="AB133" s="86">
        <v>-114.8</v>
      </c>
      <c r="AC133" s="86">
        <v>-81</v>
      </c>
      <c r="AD133" s="86">
        <v>-133.1</v>
      </c>
      <c r="AE133" s="86">
        <v>-93</v>
      </c>
      <c r="AF133" s="86">
        <v>-88</v>
      </c>
      <c r="AG133" s="86">
        <v>-112</v>
      </c>
      <c r="AH133" s="86">
        <v>-215</v>
      </c>
      <c r="AI133" s="86">
        <v>-118</v>
      </c>
      <c r="AJ133" s="86">
        <v>-183</v>
      </c>
      <c r="AK133" s="86">
        <v>-173</v>
      </c>
      <c r="AL133" s="86">
        <v>-284</v>
      </c>
      <c r="AM133" s="86">
        <v>-201</v>
      </c>
      <c r="AN133" s="86">
        <v>-220</v>
      </c>
      <c r="AO133" s="86">
        <v>-216</v>
      </c>
      <c r="AP133" s="86">
        <v>-289</v>
      </c>
      <c r="AQ133" s="86">
        <v>-253</v>
      </c>
      <c r="AR133" s="86">
        <v>-269</v>
      </c>
      <c r="AS133" s="86">
        <v>-366</v>
      </c>
      <c r="AT133" s="86">
        <v>-586</v>
      </c>
      <c r="AU133" s="86">
        <v>-628</v>
      </c>
      <c r="AV133" s="86">
        <v>-540</v>
      </c>
      <c r="AW133" s="86">
        <v>-524</v>
      </c>
      <c r="AX133" s="86">
        <v>-831</v>
      </c>
      <c r="AY133" s="86">
        <v>-640</v>
      </c>
      <c r="AZ133" s="86">
        <v>-506</v>
      </c>
      <c r="BA133" s="86">
        <v>-547</v>
      </c>
      <c r="BB133" s="86">
        <v>-550</v>
      </c>
      <c r="BC133" s="86">
        <v>-458</v>
      </c>
      <c r="BD133" s="86">
        <v>-284</v>
      </c>
      <c r="BE133" s="86">
        <v>-332</v>
      </c>
      <c r="BF133" s="86">
        <v>-405</v>
      </c>
      <c r="BG133" s="86">
        <v>-347</v>
      </c>
      <c r="BH133" s="86">
        <v>-301</v>
      </c>
      <c r="BI133" s="86">
        <v>-272</v>
      </c>
      <c r="BJ133" s="86">
        <v>-480</v>
      </c>
      <c r="BK133" s="86">
        <v>-362</v>
      </c>
      <c r="BL133" s="86">
        <v>-294</v>
      </c>
      <c r="BM133" s="86">
        <v>-404</v>
      </c>
      <c r="BN133" s="86">
        <v>-465</v>
      </c>
      <c r="BO133" s="86">
        <v>-376</v>
      </c>
      <c r="BP133" s="86">
        <v>-450</v>
      </c>
      <c r="BQ133" s="86">
        <f>-1263-BP133-BO133</f>
        <v>-437</v>
      </c>
      <c r="CA133" s="86">
        <f t="shared" si="167"/>
        <v>-245.39999999999998</v>
      </c>
      <c r="CB133" s="86">
        <f t="shared" si="168"/>
        <v>-260.89999999999998</v>
      </c>
      <c r="CC133" s="86">
        <f t="shared" si="169"/>
        <v>-315.10000000000002</v>
      </c>
      <c r="CD133" s="86">
        <f t="shared" si="170"/>
        <v>-282.39999999999998</v>
      </c>
      <c r="CE133" s="86">
        <f t="shared" si="171"/>
        <v>-427.59999999999997</v>
      </c>
      <c r="CF133" s="86">
        <f t="shared" si="172"/>
        <v>-423</v>
      </c>
      <c r="CG133" s="86">
        <f t="shared" si="173"/>
        <v>-444</v>
      </c>
      <c r="CH133" s="86">
        <f t="shared" si="174"/>
        <v>-508</v>
      </c>
      <c r="CI133" s="86">
        <f t="shared" si="175"/>
        <v>-758</v>
      </c>
      <c r="CJ133" s="86">
        <f t="shared" si="176"/>
        <v>-926</v>
      </c>
      <c r="CK133" s="86">
        <f t="shared" si="177"/>
        <v>-1474</v>
      </c>
      <c r="CL133" s="86">
        <f t="shared" si="178"/>
        <v>-2523</v>
      </c>
      <c r="CM133" s="86">
        <f t="shared" si="179"/>
        <v>-2243</v>
      </c>
      <c r="CN133" s="86">
        <f t="shared" si="180"/>
        <v>-1479</v>
      </c>
      <c r="CO133" s="86">
        <f t="shared" si="181"/>
        <v>-1400</v>
      </c>
      <c r="CP133" s="86">
        <f t="shared" si="182"/>
        <v>-1525</v>
      </c>
    </row>
    <row r="134" spans="2:156" s="2" customFormat="1" ht="15">
      <c r="B134" s="2" t="s">
        <v>75</v>
      </c>
      <c r="C134" s="87">
        <f t="shared" ref="C134:BF134" si="183">C132+C133</f>
        <v>286.5</v>
      </c>
      <c r="D134" s="87">
        <f t="shared" si="183"/>
        <v>217.09999999999997</v>
      </c>
      <c r="E134" s="87">
        <f t="shared" si="183"/>
        <v>354.3</v>
      </c>
      <c r="F134" s="87">
        <f t="shared" si="183"/>
        <v>346.8</v>
      </c>
      <c r="G134" s="87">
        <f t="shared" si="183"/>
        <v>262.2</v>
      </c>
      <c r="H134" s="87">
        <f t="shared" si="183"/>
        <v>301.2</v>
      </c>
      <c r="I134" s="87">
        <f t="shared" si="183"/>
        <v>293.09999999999997</v>
      </c>
      <c r="J134" s="87">
        <f t="shared" si="183"/>
        <v>559.19999999999993</v>
      </c>
      <c r="K134" s="87">
        <f t="shared" si="183"/>
        <v>328.7</v>
      </c>
      <c r="L134" s="87">
        <f t="shared" si="183"/>
        <v>445.3</v>
      </c>
      <c r="M134" s="87">
        <f t="shared" si="183"/>
        <v>415.9</v>
      </c>
      <c r="N134" s="87">
        <f t="shared" si="183"/>
        <v>562.9</v>
      </c>
      <c r="O134" s="87">
        <f t="shared" si="183"/>
        <v>233.10000000000002</v>
      </c>
      <c r="P134" s="87">
        <f t="shared" si="183"/>
        <v>413.70000000000005</v>
      </c>
      <c r="Q134" s="87">
        <f t="shared" si="183"/>
        <v>450.8</v>
      </c>
      <c r="R134" s="87">
        <f t="shared" si="183"/>
        <v>635.6</v>
      </c>
      <c r="S134" s="87">
        <f t="shared" si="183"/>
        <v>-2.5</v>
      </c>
      <c r="T134" s="87">
        <f t="shared" si="183"/>
        <v>814.1</v>
      </c>
      <c r="U134" s="87">
        <f t="shared" si="183"/>
        <v>586.9</v>
      </c>
      <c r="V134" s="87">
        <f t="shared" si="183"/>
        <v>797.8</v>
      </c>
      <c r="W134" s="87">
        <f t="shared" si="183"/>
        <v>-15.100000000000009</v>
      </c>
      <c r="X134" s="87">
        <f t="shared" si="183"/>
        <v>671.80000000000007</v>
      </c>
      <c r="Y134" s="87">
        <f t="shared" si="183"/>
        <v>646.6</v>
      </c>
      <c r="Z134" s="87">
        <f t="shared" si="183"/>
        <v>1224.7</v>
      </c>
      <c r="AA134" s="87">
        <f t="shared" si="183"/>
        <v>221.1</v>
      </c>
      <c r="AB134" s="87">
        <f t="shared" si="183"/>
        <v>799.2</v>
      </c>
      <c r="AC134" s="87">
        <f t="shared" si="183"/>
        <v>724.5</v>
      </c>
      <c r="AD134" s="87">
        <f t="shared" si="183"/>
        <v>1071.2</v>
      </c>
      <c r="AE134" s="87">
        <f t="shared" si="183"/>
        <v>269</v>
      </c>
      <c r="AF134" s="87">
        <f t="shared" si="183"/>
        <v>761</v>
      </c>
      <c r="AG134" s="87">
        <f t="shared" si="183"/>
        <v>818</v>
      </c>
      <c r="AH134" s="87">
        <f t="shared" si="183"/>
        <v>1650</v>
      </c>
      <c r="AI134" s="87">
        <f t="shared" si="183"/>
        <v>-40</v>
      </c>
      <c r="AJ134" s="87">
        <f t="shared" si="183"/>
        <v>1261</v>
      </c>
      <c r="AK134" s="87">
        <f t="shared" si="183"/>
        <v>1047</v>
      </c>
      <c r="AL134" s="87">
        <f t="shared" si="183"/>
        <v>1517</v>
      </c>
      <c r="AM134" s="87">
        <f t="shared" si="183"/>
        <v>448</v>
      </c>
      <c r="AN134" s="87">
        <f t="shared" si="183"/>
        <v>1074</v>
      </c>
      <c r="AO134" s="87">
        <f t="shared" si="183"/>
        <v>901</v>
      </c>
      <c r="AP134" s="87">
        <f t="shared" si="183"/>
        <v>1624</v>
      </c>
      <c r="AQ134" s="87">
        <f t="shared" si="183"/>
        <v>103</v>
      </c>
      <c r="AR134" s="87">
        <f t="shared" si="183"/>
        <v>1617</v>
      </c>
      <c r="AS134" s="87">
        <f t="shared" si="183"/>
        <v>2342</v>
      </c>
      <c r="AT134" s="87">
        <f t="shared" si="183"/>
        <v>2753</v>
      </c>
      <c r="AU134" s="87">
        <f t="shared" si="183"/>
        <v>1350</v>
      </c>
      <c r="AV134" s="87">
        <f t="shared" si="183"/>
        <v>1687</v>
      </c>
      <c r="AW134" s="87">
        <f t="shared" si="183"/>
        <v>2126</v>
      </c>
      <c r="AX134" s="87">
        <f t="shared" si="183"/>
        <v>1626</v>
      </c>
      <c r="AY134" s="87">
        <f t="shared" si="183"/>
        <v>1562</v>
      </c>
      <c r="AZ134" s="87">
        <f t="shared" si="183"/>
        <v>1022</v>
      </c>
      <c r="BA134" s="87">
        <f t="shared" si="183"/>
        <v>1390</v>
      </c>
      <c r="BB134" s="87">
        <f t="shared" si="183"/>
        <v>2937</v>
      </c>
      <c r="BC134" s="87">
        <f t="shared" si="183"/>
        <v>271</v>
      </c>
      <c r="BD134" s="87">
        <f t="shared" si="183"/>
        <v>1256</v>
      </c>
      <c r="BE134" s="87">
        <f t="shared" si="183"/>
        <v>2082</v>
      </c>
      <c r="BF134" s="87">
        <f t="shared" si="183"/>
        <v>3318</v>
      </c>
      <c r="BG134" s="87">
        <f t="shared" ref="BG134:BM134" si="184">BG132+BG133</f>
        <v>903</v>
      </c>
      <c r="BH134" s="87">
        <f t="shared" si="184"/>
        <v>1662</v>
      </c>
      <c r="BI134" s="87">
        <f t="shared" si="184"/>
        <v>1891</v>
      </c>
      <c r="BJ134" s="87">
        <f t="shared" si="184"/>
        <v>2811</v>
      </c>
      <c r="BK134" s="87">
        <f t="shared" si="184"/>
        <v>360</v>
      </c>
      <c r="BL134" s="87">
        <f t="shared" si="184"/>
        <v>1107</v>
      </c>
      <c r="BM134" s="87">
        <f t="shared" si="184"/>
        <v>1834</v>
      </c>
      <c r="BN134" s="87">
        <f>BN132+BN133</f>
        <v>2993</v>
      </c>
      <c r="BO134" s="87">
        <f>BO132+BO133</f>
        <v>817</v>
      </c>
      <c r="BP134" s="87">
        <f>BP132+BP133</f>
        <v>1674</v>
      </c>
      <c r="BQ134" s="87">
        <f>BQ132+BQ133</f>
        <v>2113</v>
      </c>
      <c r="BR134" s="34"/>
      <c r="CA134" s="87">
        <f t="shared" si="167"/>
        <v>1204.7</v>
      </c>
      <c r="CB134" s="87">
        <f t="shared" si="168"/>
        <v>1415.6999999999998</v>
      </c>
      <c r="CC134" s="87">
        <f t="shared" si="169"/>
        <v>1752.8000000000002</v>
      </c>
      <c r="CD134" s="87">
        <f t="shared" si="170"/>
        <v>1733.2000000000003</v>
      </c>
      <c r="CE134" s="87">
        <f t="shared" si="171"/>
        <v>2196.3000000000002</v>
      </c>
      <c r="CF134" s="87">
        <f t="shared" si="172"/>
        <v>2528</v>
      </c>
      <c r="CG134" s="87">
        <f t="shared" si="173"/>
        <v>2816</v>
      </c>
      <c r="CH134" s="87">
        <f t="shared" si="174"/>
        <v>3498</v>
      </c>
      <c r="CI134" s="87">
        <f t="shared" si="175"/>
        <v>3785</v>
      </c>
      <c r="CJ134" s="87">
        <f t="shared" si="176"/>
        <v>4047</v>
      </c>
      <c r="CK134" s="87">
        <f t="shared" si="177"/>
        <v>6815</v>
      </c>
      <c r="CL134" s="87">
        <f t="shared" si="178"/>
        <v>6789</v>
      </c>
      <c r="CM134" s="87">
        <f t="shared" si="179"/>
        <v>6911</v>
      </c>
      <c r="CN134" s="87">
        <f t="shared" si="180"/>
        <v>6927</v>
      </c>
      <c r="CO134" s="87">
        <f t="shared" si="181"/>
        <v>7267</v>
      </c>
      <c r="CP134" s="87">
        <f t="shared" si="182"/>
        <v>6294</v>
      </c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</row>
    <row r="135" spans="2:156">
      <c r="B135" s="1" t="s">
        <v>76</v>
      </c>
      <c r="C135" s="1">
        <f t="shared" ref="C135:BN135" si="185">C86</f>
        <v>406</v>
      </c>
      <c r="D135" s="1">
        <f t="shared" si="185"/>
        <v>405</v>
      </c>
      <c r="E135" s="1">
        <f t="shared" si="185"/>
        <v>396</v>
      </c>
      <c r="F135" s="1">
        <f t="shared" si="185"/>
        <v>392</v>
      </c>
      <c r="G135" s="1">
        <f t="shared" si="185"/>
        <v>385</v>
      </c>
      <c r="H135" s="1">
        <f t="shared" si="185"/>
        <v>376</v>
      </c>
      <c r="I135" s="1">
        <f t="shared" si="185"/>
        <v>375</v>
      </c>
      <c r="J135" s="1">
        <f t="shared" si="185"/>
        <v>372</v>
      </c>
      <c r="K135" s="1">
        <f t="shared" si="185"/>
        <v>370</v>
      </c>
      <c r="L135" s="1">
        <f t="shared" si="185"/>
        <v>368</v>
      </c>
      <c r="M135" s="1">
        <f t="shared" si="185"/>
        <v>364</v>
      </c>
      <c r="N135" s="1">
        <f t="shared" si="185"/>
        <v>362</v>
      </c>
      <c r="O135" s="1">
        <f t="shared" si="185"/>
        <v>360</v>
      </c>
      <c r="P135" s="1">
        <f t="shared" si="185"/>
        <v>362</v>
      </c>
      <c r="Q135" s="1">
        <f t="shared" si="185"/>
        <v>363</v>
      </c>
      <c r="R135" s="1">
        <f t="shared" si="185"/>
        <v>364</v>
      </c>
      <c r="S135" s="1">
        <f t="shared" si="185"/>
        <v>390</v>
      </c>
      <c r="T135" s="1">
        <f t="shared" si="185"/>
        <v>396</v>
      </c>
      <c r="U135" s="1">
        <f t="shared" si="185"/>
        <v>398</v>
      </c>
      <c r="V135" s="1">
        <f t="shared" si="185"/>
        <v>400</v>
      </c>
      <c r="W135" s="1">
        <f t="shared" si="185"/>
        <v>395</v>
      </c>
      <c r="X135" s="1">
        <f t="shared" si="185"/>
        <v>396</v>
      </c>
      <c r="Y135" s="1">
        <f t="shared" si="185"/>
        <v>398</v>
      </c>
      <c r="Z135" s="1">
        <f t="shared" si="185"/>
        <v>400</v>
      </c>
      <c r="AA135" s="1">
        <f t="shared" si="185"/>
        <v>395</v>
      </c>
      <c r="AB135" s="1">
        <f t="shared" si="185"/>
        <v>391</v>
      </c>
      <c r="AC135" s="1">
        <f t="shared" si="185"/>
        <v>392</v>
      </c>
      <c r="AD135" s="1">
        <f t="shared" si="185"/>
        <v>393</v>
      </c>
      <c r="AE135" s="1">
        <f t="shared" si="185"/>
        <v>392</v>
      </c>
      <c r="AF135" s="1">
        <f t="shared" si="185"/>
        <v>387</v>
      </c>
      <c r="AG135" s="1">
        <f t="shared" si="185"/>
        <v>394</v>
      </c>
      <c r="AH135" s="1">
        <f t="shared" si="185"/>
        <v>395</v>
      </c>
      <c r="AI135" s="1">
        <f t="shared" si="185"/>
        <v>396</v>
      </c>
      <c r="AJ135" s="1">
        <f t="shared" si="185"/>
        <v>397</v>
      </c>
      <c r="AK135" s="1">
        <f t="shared" si="185"/>
        <v>398</v>
      </c>
      <c r="AL135" s="1">
        <f t="shared" si="185"/>
        <v>397</v>
      </c>
      <c r="AM135" s="1">
        <f t="shared" si="185"/>
        <v>396</v>
      </c>
      <c r="AN135" s="1">
        <f t="shared" si="185"/>
        <v>397</v>
      </c>
      <c r="AO135" s="1">
        <f t="shared" si="185"/>
        <v>398</v>
      </c>
      <c r="AP135" s="1">
        <f t="shared" si="185"/>
        <v>396</v>
      </c>
      <c r="AQ135" s="1">
        <f t="shared" si="185"/>
        <v>394</v>
      </c>
      <c r="AR135" s="1">
        <f t="shared" si="185"/>
        <v>392</v>
      </c>
      <c r="AS135" s="1">
        <f t="shared" si="185"/>
        <v>394</v>
      </c>
      <c r="AT135" s="1">
        <f t="shared" si="185"/>
        <v>396</v>
      </c>
      <c r="AU135" s="1">
        <f t="shared" si="185"/>
        <v>394</v>
      </c>
      <c r="AV135" s="1">
        <f t="shared" si="185"/>
        <v>393</v>
      </c>
      <c r="AW135" s="1">
        <f t="shared" si="185"/>
        <v>394</v>
      </c>
      <c r="AX135" s="1">
        <f t="shared" si="185"/>
        <v>394</v>
      </c>
      <c r="AY135" s="1">
        <f t="shared" si="185"/>
        <v>392</v>
      </c>
      <c r="AZ135" s="1">
        <f t="shared" si="185"/>
        <v>392</v>
      </c>
      <c r="BA135" s="1">
        <f t="shared" si="185"/>
        <v>392</v>
      </c>
      <c r="BB135" s="1">
        <f t="shared" si="185"/>
        <v>392</v>
      </c>
      <c r="BC135" s="1">
        <f t="shared" si="185"/>
        <v>386</v>
      </c>
      <c r="BD135" s="1">
        <f t="shared" si="185"/>
        <v>386</v>
      </c>
      <c r="BE135" s="1">
        <f t="shared" si="185"/>
        <v>386</v>
      </c>
      <c r="BF135" s="1">
        <f t="shared" si="185"/>
        <v>386</v>
      </c>
      <c r="BG135" s="1">
        <f t="shared" si="185"/>
        <v>382</v>
      </c>
      <c r="BH135" s="1">
        <f t="shared" si="185"/>
        <v>382</v>
      </c>
      <c r="BI135" s="1">
        <f t="shared" si="185"/>
        <v>382</v>
      </c>
      <c r="BJ135" s="1">
        <f t="shared" si="185"/>
        <v>382</v>
      </c>
      <c r="BK135" s="1">
        <f t="shared" si="185"/>
        <v>378</v>
      </c>
      <c r="BL135" s="1">
        <f t="shared" si="185"/>
        <v>378</v>
      </c>
      <c r="BM135" s="1">
        <f t="shared" si="185"/>
        <v>378</v>
      </c>
      <c r="BN135" s="1">
        <f t="shared" si="185"/>
        <v>376</v>
      </c>
      <c r="BO135" s="1">
        <f t="shared" ref="BO135" si="186">BO86</f>
        <v>372</v>
      </c>
      <c r="BP135" s="1">
        <f>BP86</f>
        <v>371</v>
      </c>
      <c r="BQ135" s="1">
        <f>BQ86</f>
        <v>370</v>
      </c>
      <c r="CA135" s="86">
        <f>CA86</f>
        <v>399.75</v>
      </c>
      <c r="CB135" s="86">
        <f t="shared" ref="CB135:CP135" si="187">CB86</f>
        <v>377</v>
      </c>
      <c r="CC135" s="86">
        <f t="shared" si="187"/>
        <v>366</v>
      </c>
      <c r="CD135" s="86">
        <f t="shared" si="187"/>
        <v>362.25</v>
      </c>
      <c r="CE135" s="86">
        <f t="shared" si="187"/>
        <v>396</v>
      </c>
      <c r="CF135" s="86">
        <f t="shared" si="187"/>
        <v>397.25</v>
      </c>
      <c r="CG135" s="86">
        <f t="shared" si="187"/>
        <v>392.75</v>
      </c>
      <c r="CH135" s="86">
        <f t="shared" si="187"/>
        <v>392</v>
      </c>
      <c r="CI135" s="86">
        <f t="shared" si="187"/>
        <v>397</v>
      </c>
      <c r="CJ135" s="86">
        <f t="shared" si="187"/>
        <v>396.75</v>
      </c>
      <c r="CK135" s="86">
        <f t="shared" si="187"/>
        <v>394</v>
      </c>
      <c r="CL135" s="86">
        <f t="shared" si="187"/>
        <v>393.75</v>
      </c>
      <c r="CM135" s="86">
        <f t="shared" si="187"/>
        <v>392</v>
      </c>
      <c r="CN135" s="86">
        <f t="shared" si="187"/>
        <v>386</v>
      </c>
      <c r="CO135" s="86">
        <f t="shared" si="187"/>
        <v>382</v>
      </c>
      <c r="CP135" s="86">
        <f t="shared" si="187"/>
        <v>377.5</v>
      </c>
    </row>
    <row r="136" spans="2:156">
      <c r="B136" s="1" t="s">
        <v>77</v>
      </c>
      <c r="C136" s="39">
        <f t="shared" ref="C136:BF136" si="188">C134/C135</f>
        <v>0.70566502463054193</v>
      </c>
      <c r="D136" s="39">
        <f t="shared" si="188"/>
        <v>0.53604938271604929</v>
      </c>
      <c r="E136" s="39">
        <f t="shared" si="188"/>
        <v>0.89469696969696977</v>
      </c>
      <c r="F136" s="39">
        <f t="shared" si="188"/>
        <v>0.88469387755102047</v>
      </c>
      <c r="G136" s="39">
        <f t="shared" si="188"/>
        <v>0.681038961038961</v>
      </c>
      <c r="H136" s="39">
        <f t="shared" si="188"/>
        <v>0.80106382978723401</v>
      </c>
      <c r="I136" s="39">
        <f t="shared" si="188"/>
        <v>0.78159999999999996</v>
      </c>
      <c r="J136" s="39">
        <f t="shared" si="188"/>
        <v>1.5032258064516126</v>
      </c>
      <c r="K136" s="39">
        <f t="shared" si="188"/>
        <v>0.8883783783783783</v>
      </c>
      <c r="L136" s="39">
        <f t="shared" si="188"/>
        <v>1.210054347826087</v>
      </c>
      <c r="M136" s="39">
        <f t="shared" si="188"/>
        <v>1.1425824175824175</v>
      </c>
      <c r="N136" s="39">
        <f t="shared" si="188"/>
        <v>1.5549723756906078</v>
      </c>
      <c r="O136" s="39">
        <f t="shared" si="188"/>
        <v>0.64750000000000008</v>
      </c>
      <c r="P136" s="39">
        <f t="shared" si="188"/>
        <v>1.1428176795580112</v>
      </c>
      <c r="Q136" s="39">
        <f t="shared" si="188"/>
        <v>1.2418732782369146</v>
      </c>
      <c r="R136" s="39">
        <f t="shared" si="188"/>
        <v>1.7461538461538462</v>
      </c>
      <c r="S136" s="39">
        <f t="shared" si="188"/>
        <v>-6.41025641025641E-3</v>
      </c>
      <c r="T136" s="39">
        <f t="shared" si="188"/>
        <v>2.055808080808081</v>
      </c>
      <c r="U136" s="39">
        <f t="shared" si="188"/>
        <v>1.4746231155778895</v>
      </c>
      <c r="V136" s="39">
        <f t="shared" si="188"/>
        <v>1.9944999999999999</v>
      </c>
      <c r="W136" s="39">
        <f t="shared" si="188"/>
        <v>-3.8227848101265845E-2</v>
      </c>
      <c r="X136" s="39">
        <f t="shared" si="188"/>
        <v>1.6964646464646467</v>
      </c>
      <c r="Y136" s="39">
        <f t="shared" si="188"/>
        <v>1.6246231155778894</v>
      </c>
      <c r="Z136" s="39">
        <f t="shared" si="188"/>
        <v>3.06175</v>
      </c>
      <c r="AA136" s="39">
        <f t="shared" si="188"/>
        <v>0.55974683544303794</v>
      </c>
      <c r="AB136" s="39">
        <f t="shared" si="188"/>
        <v>2.0439897698209721</v>
      </c>
      <c r="AC136" s="39">
        <f t="shared" si="188"/>
        <v>1.8482142857142858</v>
      </c>
      <c r="AD136" s="39">
        <f t="shared" si="188"/>
        <v>2.7256997455470739</v>
      </c>
      <c r="AE136" s="39">
        <f t="shared" si="188"/>
        <v>0.68622448979591832</v>
      </c>
      <c r="AF136" s="39">
        <f t="shared" si="188"/>
        <v>1.9664082687338502</v>
      </c>
      <c r="AG136" s="39">
        <f t="shared" si="188"/>
        <v>2.0761421319796955</v>
      </c>
      <c r="AH136" s="39">
        <f t="shared" si="188"/>
        <v>4.1772151898734178</v>
      </c>
      <c r="AI136" s="39">
        <f t="shared" si="188"/>
        <v>-0.10101010101010101</v>
      </c>
      <c r="AJ136" s="39">
        <f t="shared" si="188"/>
        <v>3.1763224181360203</v>
      </c>
      <c r="AK136" s="39">
        <f t="shared" si="188"/>
        <v>2.6306532663316582</v>
      </c>
      <c r="AL136" s="39">
        <f t="shared" si="188"/>
        <v>3.8211586901763224</v>
      </c>
      <c r="AM136" s="39">
        <f t="shared" si="188"/>
        <v>1.1313131313131313</v>
      </c>
      <c r="AN136" s="39">
        <f t="shared" si="188"/>
        <v>2.7052896725440805</v>
      </c>
      <c r="AO136" s="39">
        <f t="shared" si="188"/>
        <v>2.2638190954773871</v>
      </c>
      <c r="AP136" s="39">
        <f t="shared" si="188"/>
        <v>4.1010101010101012</v>
      </c>
      <c r="AQ136" s="39">
        <f t="shared" si="188"/>
        <v>0.26142131979695432</v>
      </c>
      <c r="AR136" s="39">
        <f t="shared" si="188"/>
        <v>4.125</v>
      </c>
      <c r="AS136" s="39">
        <f t="shared" si="188"/>
        <v>5.9441624365482237</v>
      </c>
      <c r="AT136" s="39">
        <f t="shared" si="188"/>
        <v>6.9520202020202024</v>
      </c>
      <c r="AU136" s="39">
        <f t="shared" si="188"/>
        <v>3.4263959390862944</v>
      </c>
      <c r="AV136" s="39">
        <f t="shared" si="188"/>
        <v>4.2926208651399493</v>
      </c>
      <c r="AW136" s="39">
        <f t="shared" si="188"/>
        <v>5.3959390862944163</v>
      </c>
      <c r="AX136" s="39">
        <f t="shared" si="188"/>
        <v>4.126903553299492</v>
      </c>
      <c r="AY136" s="39">
        <f t="shared" si="188"/>
        <v>3.9846938775510203</v>
      </c>
      <c r="AZ136" s="39">
        <f t="shared" si="188"/>
        <v>2.6071428571428572</v>
      </c>
      <c r="BA136" s="39">
        <f t="shared" si="188"/>
        <v>3.545918367346939</v>
      </c>
      <c r="BB136" s="39">
        <f t="shared" si="188"/>
        <v>7.4923469387755102</v>
      </c>
      <c r="BC136" s="39">
        <f t="shared" si="188"/>
        <v>0.70207253886010368</v>
      </c>
      <c r="BD136" s="39">
        <f t="shared" si="188"/>
        <v>3.2538860103626943</v>
      </c>
      <c r="BE136" s="39">
        <f t="shared" si="188"/>
        <v>5.3937823834196887</v>
      </c>
      <c r="BF136" s="39">
        <f t="shared" si="188"/>
        <v>8.5958549222797931</v>
      </c>
      <c r="BG136" s="39">
        <f t="shared" ref="BG136:BM136" si="189">BG134/BG135</f>
        <v>2.3638743455497382</v>
      </c>
      <c r="BH136" s="39">
        <f t="shared" si="189"/>
        <v>4.3507853403141361</v>
      </c>
      <c r="BI136" s="39">
        <f t="shared" si="189"/>
        <v>4.9502617801047117</v>
      </c>
      <c r="BJ136" s="39">
        <f t="shared" si="189"/>
        <v>7.3586387434554972</v>
      </c>
      <c r="BK136" s="39">
        <f t="shared" si="189"/>
        <v>0.95238095238095233</v>
      </c>
      <c r="BL136" s="39">
        <f t="shared" si="189"/>
        <v>2.9285714285714284</v>
      </c>
      <c r="BM136" s="39">
        <f t="shared" si="189"/>
        <v>4.8518518518518521</v>
      </c>
      <c r="BN136" s="39">
        <f>BN134/BN135</f>
        <v>7.9601063829787231</v>
      </c>
      <c r="BO136" s="39">
        <f>BO134/BO135</f>
        <v>2.196236559139785</v>
      </c>
      <c r="BP136" s="39">
        <f>BP134/BP135</f>
        <v>4.5121293800539082</v>
      </c>
      <c r="BQ136" s="39">
        <f>BQ134/BQ135</f>
        <v>5.7108108108108109</v>
      </c>
      <c r="CA136" s="39">
        <f t="shared" ref="CA136" si="190">SUM(C136:F136)</f>
        <v>3.0211052545945813</v>
      </c>
      <c r="CB136" s="39">
        <f t="shared" ref="CB136" si="191">SUM(G136:J136)</f>
        <v>3.7669285972778077</v>
      </c>
      <c r="CC136" s="39">
        <f t="shared" ref="CC136" si="192">SUM(K136:N136)</f>
        <v>4.7959875194774906</v>
      </c>
      <c r="CD136" s="39">
        <f t="shared" ref="CD136" si="193">SUM(O136:R136)</f>
        <v>4.7783448039487721</v>
      </c>
      <c r="CE136" s="39">
        <f t="shared" ref="CE136" si="194">SUM(S136:V136)</f>
        <v>5.5185209399757138</v>
      </c>
      <c r="CF136" s="39">
        <f t="shared" ref="CF136" si="195">SUM(W136:Z136)</f>
        <v>6.3446099139412704</v>
      </c>
      <c r="CG136" s="39">
        <f t="shared" ref="CG136" si="196">SUM(AA136:AD136)</f>
        <v>7.1776506365253692</v>
      </c>
      <c r="CH136" s="39">
        <f t="shared" ref="CH136" si="197">SUM(AE136:AH136)</f>
        <v>8.9059900803828818</v>
      </c>
      <c r="CI136" s="39">
        <f t="shared" ref="CI136" si="198">SUM(AI136:AL136)</f>
        <v>9.5271242736339001</v>
      </c>
      <c r="CJ136" s="39">
        <f t="shared" ref="CJ136" si="199">SUM(AM136:AP136)</f>
        <v>10.201432000344699</v>
      </c>
      <c r="CK136" s="39">
        <f t="shared" ref="CK136" si="200">SUM(AQ136:AT136)</f>
        <v>17.282603958365378</v>
      </c>
      <c r="CL136" s="39">
        <f t="shared" ref="CL136" si="201">SUM(AU136:AX136)</f>
        <v>17.241859443820154</v>
      </c>
      <c r="CM136" s="39">
        <f t="shared" ref="CM136" si="202">SUM(AY136:BB136)</f>
        <v>17.630102040816325</v>
      </c>
      <c r="CN136" s="39">
        <f t="shared" ref="CN136" si="203">SUM(BC136:BF136)</f>
        <v>17.945595854922281</v>
      </c>
      <c r="CO136" s="39">
        <f t="shared" ref="CO136" si="204">SUM(BG136:BJ136)</f>
        <v>19.023560209424083</v>
      </c>
      <c r="CP136" s="39">
        <f t="shared" ref="CP136" si="205">SUM(BK136:BN136)</f>
        <v>16.692910615782957</v>
      </c>
    </row>
    <row r="138" spans="2:156">
      <c r="B138" s="1" t="s">
        <v>1427</v>
      </c>
      <c r="C138" s="88">
        <f>C132/C71</f>
        <v>0.12775514865430737</v>
      </c>
      <c r="D138" s="88">
        <f t="shared" ref="D138:BO138" si="206">D132/D71</f>
        <v>0.10532804253187965</v>
      </c>
      <c r="E138" s="88">
        <f t="shared" si="206"/>
        <v>0.15886179480351506</v>
      </c>
      <c r="F138" s="88">
        <f t="shared" si="206"/>
        <v>0.16661421040207725</v>
      </c>
      <c r="G138" s="88">
        <f t="shared" si="206"/>
        <v>0.11975453810538692</v>
      </c>
      <c r="H138" s="88">
        <f t="shared" si="206"/>
        <v>0.12435178696566222</v>
      </c>
      <c r="I138" s="88">
        <f t="shared" si="206"/>
        <v>0.12134747178560468</v>
      </c>
      <c r="J138" s="88">
        <f t="shared" si="206"/>
        <v>0.20976889034584495</v>
      </c>
      <c r="K138" s="88">
        <f t="shared" si="206"/>
        <v>0.13016880397801622</v>
      </c>
      <c r="L138" s="88">
        <f t="shared" si="206"/>
        <v>0.16434477655159102</v>
      </c>
      <c r="M138" s="88">
        <f t="shared" si="206"/>
        <v>0.15941277505914381</v>
      </c>
      <c r="N138" s="88">
        <f t="shared" si="206"/>
        <v>0.20473721351210381</v>
      </c>
      <c r="O138" s="88">
        <f t="shared" si="206"/>
        <v>9.3717687607707975E-2</v>
      </c>
      <c r="P138" s="88">
        <f t="shared" si="206"/>
        <v>0.14792753310083023</v>
      </c>
      <c r="Q138" s="88">
        <f t="shared" si="206"/>
        <v>0.1588758694153769</v>
      </c>
      <c r="R138" s="88">
        <f t="shared" si="206"/>
        <v>0.21059159479650408</v>
      </c>
      <c r="S138" s="88">
        <f t="shared" si="206"/>
        <v>2.618163186883566E-2</v>
      </c>
      <c r="T138" s="88">
        <f t="shared" si="206"/>
        <v>0.20583539646914553</v>
      </c>
      <c r="U138" s="88">
        <f t="shared" si="206"/>
        <v>0.1624394687634847</v>
      </c>
      <c r="V138" s="88">
        <f t="shared" si="206"/>
        <v>0.21245103276353275</v>
      </c>
      <c r="W138" s="88">
        <f t="shared" si="206"/>
        <v>2.0950290905379195E-2</v>
      </c>
      <c r="X138" s="88">
        <f t="shared" si="206"/>
        <v>0.17961085485494863</v>
      </c>
      <c r="Y138" s="88">
        <f t="shared" si="206"/>
        <v>0.18131548311990689</v>
      </c>
      <c r="Z138" s="88">
        <f t="shared" si="206"/>
        <v>0.29109434448958532</v>
      </c>
      <c r="AA138" s="88">
        <f t="shared" si="206"/>
        <v>7.8280711558163352E-2</v>
      </c>
      <c r="AB138" s="88">
        <f t="shared" si="206"/>
        <v>0.20153466219791852</v>
      </c>
      <c r="AC138" s="88">
        <f t="shared" si="206"/>
        <v>0.17936271126054912</v>
      </c>
      <c r="AD138" s="88">
        <f t="shared" si="206"/>
        <v>0.24314065938503157</v>
      </c>
      <c r="AE138" s="88">
        <f t="shared" si="206"/>
        <v>7.5970619097586567E-2</v>
      </c>
      <c r="AF138" s="88">
        <f t="shared" si="206"/>
        <v>0.17014028056112224</v>
      </c>
      <c r="AG138" s="88">
        <f t="shared" si="206"/>
        <v>0.18178264268960126</v>
      </c>
      <c r="AH138" s="88">
        <f t="shared" si="206"/>
        <v>0.3084173970563916</v>
      </c>
      <c r="AI138" s="88">
        <f t="shared" si="206"/>
        <v>1.3326499231163505E-2</v>
      </c>
      <c r="AJ138" s="88">
        <f t="shared" si="206"/>
        <v>0.23757815070746957</v>
      </c>
      <c r="AK138" s="88">
        <f t="shared" si="206"/>
        <v>0.20608108108108109</v>
      </c>
      <c r="AL138" s="88">
        <f t="shared" si="206"/>
        <v>0.276778853542339</v>
      </c>
      <c r="AM138" s="88">
        <f t="shared" si="206"/>
        <v>0.10595918367346939</v>
      </c>
      <c r="AN138" s="88">
        <f t="shared" si="206"/>
        <v>0.20487650411652944</v>
      </c>
      <c r="AO138" s="88">
        <f t="shared" si="206"/>
        <v>0.17809311224489796</v>
      </c>
      <c r="AP138" s="88">
        <f t="shared" si="206"/>
        <v>0.28012886220530092</v>
      </c>
      <c r="AQ138" s="88">
        <f t="shared" si="206"/>
        <v>5.7142857142857141E-2</v>
      </c>
      <c r="AR138" s="88">
        <f t="shared" si="206"/>
        <v>0.27266155847910944</v>
      </c>
      <c r="AS138" s="88">
        <f t="shared" si="206"/>
        <v>0.31780307475648401</v>
      </c>
      <c r="AT138" s="88">
        <f t="shared" si="206"/>
        <v>0.31649289099526068</v>
      </c>
      <c r="AU138" s="88">
        <f t="shared" si="206"/>
        <v>0.19967696345649102</v>
      </c>
      <c r="AV138" s="88">
        <f t="shared" si="206"/>
        <v>0.24015960314892698</v>
      </c>
      <c r="AW138" s="88">
        <f t="shared" si="206"/>
        <v>0.28403001071811362</v>
      </c>
      <c r="AX138" s="88">
        <f t="shared" si="206"/>
        <v>0.22958325546626798</v>
      </c>
      <c r="AY138" s="88">
        <f t="shared" si="206"/>
        <v>0.18632594347605347</v>
      </c>
      <c r="AZ138" s="88">
        <f t="shared" si="206"/>
        <v>0.13928896991795806</v>
      </c>
      <c r="BA138" s="88">
        <f t="shared" si="206"/>
        <v>0.18141800131122976</v>
      </c>
      <c r="BB138" s="88">
        <f t="shared" si="206"/>
        <v>0.30454148471615722</v>
      </c>
      <c r="BC138" s="88">
        <f t="shared" si="206"/>
        <v>6.8067226890756297E-2</v>
      </c>
      <c r="BD138" s="88">
        <f t="shared" si="206"/>
        <v>0.14410030878637597</v>
      </c>
      <c r="BE138" s="88">
        <f t="shared" si="206"/>
        <v>0.22829581993569131</v>
      </c>
      <c r="BF138" s="88">
        <f t="shared" si="206"/>
        <v>0.34199889766672792</v>
      </c>
      <c r="BG138" s="88">
        <f t="shared" si="206"/>
        <v>0.12083131947800869</v>
      </c>
      <c r="BH138" s="88">
        <f t="shared" si="206"/>
        <v>0.18622521582392562</v>
      </c>
      <c r="BI138" s="88">
        <f t="shared" si="206"/>
        <v>0.20409511228533686</v>
      </c>
      <c r="BJ138" s="88">
        <f t="shared" si="206"/>
        <v>0.28881088196577448</v>
      </c>
      <c r="BK138" s="88">
        <f t="shared" si="206"/>
        <v>6.9664222307989188E-2</v>
      </c>
      <c r="BL138" s="88">
        <f t="shared" si="206"/>
        <v>0.12906494702901888</v>
      </c>
      <c r="BM138" s="88">
        <f t="shared" si="206"/>
        <v>0.2012228016543787</v>
      </c>
      <c r="BN138" s="88">
        <f t="shared" si="206"/>
        <v>0.28309455587392551</v>
      </c>
      <c r="BO138" s="88">
        <f t="shared" si="206"/>
        <v>0.10840527033166743</v>
      </c>
      <c r="BP138" s="88">
        <f t="shared" ref="BP138:BQ138" si="207">BP132/BP71</f>
        <v>0.17708854427213608</v>
      </c>
      <c r="BQ138" s="88">
        <f t="shared" si="207"/>
        <v>0.21010134300074154</v>
      </c>
      <c r="CA138" s="88">
        <f t="shared" ref="CA138:CP138" si="208">CA132/CA71</f>
        <v>0.13952526195264164</v>
      </c>
      <c r="CB138" s="88">
        <f t="shared" si="208"/>
        <v>0.14504965913416618</v>
      </c>
      <c r="CC138" s="88">
        <f t="shared" si="208"/>
        <v>0.16530108154341761</v>
      </c>
      <c r="CD138" s="88">
        <f t="shared" si="208"/>
        <v>0.15397660863387391</v>
      </c>
      <c r="CE138" s="88">
        <f t="shared" si="208"/>
        <v>0.15535595869647595</v>
      </c>
      <c r="CF138" s="88">
        <f t="shared" si="208"/>
        <v>0.17394636015325671</v>
      </c>
      <c r="CG138" s="88">
        <f t="shared" si="208"/>
        <v>0.17839553463937835</v>
      </c>
      <c r="CH138" s="88">
        <f t="shared" si="208"/>
        <v>0.19150970456066546</v>
      </c>
      <c r="CI138" s="88">
        <f t="shared" si="208"/>
        <v>0.18650956564578372</v>
      </c>
      <c r="CJ138" s="88">
        <f t="shared" si="208"/>
        <v>0.19469892725706678</v>
      </c>
      <c r="CK138" s="88">
        <f t="shared" si="208"/>
        <v>0.2572785399466137</v>
      </c>
      <c r="CL138" s="88">
        <f t="shared" si="208"/>
        <v>0.2374843793833363</v>
      </c>
      <c r="CM138" s="88">
        <f t="shared" si="208"/>
        <v>0.20380719136146053</v>
      </c>
      <c r="CN138" s="88">
        <f t="shared" si="208"/>
        <v>0.19614065380217935</v>
      </c>
      <c r="CO138" s="88">
        <f t="shared" si="208"/>
        <v>0.20212691527321067</v>
      </c>
      <c r="CP138" s="88">
        <f t="shared" si="208"/>
        <v>0.17548702756082232</v>
      </c>
    </row>
    <row r="139" spans="2:156">
      <c r="B139" s="1" t="s">
        <v>1428</v>
      </c>
      <c r="C139" s="88">
        <f>C134/C71</f>
        <v>0.1090639156420115</v>
      </c>
      <c r="D139" s="88">
        <f t="shared" ref="D139:BO139" si="209">D134/D71</f>
        <v>8.3638324921986348E-2</v>
      </c>
      <c r="E139" s="88">
        <f t="shared" si="209"/>
        <v>0.1347814509072926</v>
      </c>
      <c r="F139" s="88">
        <f t="shared" si="209"/>
        <v>0.13643874419702573</v>
      </c>
      <c r="G139" s="88">
        <f t="shared" si="209"/>
        <v>9.634746821488939E-2</v>
      </c>
      <c r="H139" s="88">
        <f t="shared" si="209"/>
        <v>0.10553608969866853</v>
      </c>
      <c r="I139" s="88">
        <f t="shared" si="209"/>
        <v>9.9935217702615139E-2</v>
      </c>
      <c r="J139" s="88">
        <f t="shared" si="209"/>
        <v>0.18331421078511717</v>
      </c>
      <c r="K139" s="88">
        <f t="shared" si="209"/>
        <v>0.10753075111227427</v>
      </c>
      <c r="L139" s="88">
        <f t="shared" si="209"/>
        <v>0.14327080853254401</v>
      </c>
      <c r="M139" s="88">
        <f t="shared" si="209"/>
        <v>0.13478303140292316</v>
      </c>
      <c r="N139" s="88">
        <f t="shared" si="209"/>
        <v>0.17270579572300798</v>
      </c>
      <c r="O139" s="88">
        <f t="shared" si="209"/>
        <v>7.3037756540811544E-2</v>
      </c>
      <c r="P139" s="88">
        <f t="shared" si="209"/>
        <v>0.12768124440603687</v>
      </c>
      <c r="Q139" s="88">
        <f t="shared" si="209"/>
        <v>0.14123691960649162</v>
      </c>
      <c r="R139" s="88">
        <f t="shared" si="209"/>
        <v>0.18333381407020682</v>
      </c>
      <c r="S139" s="88">
        <f t="shared" si="209"/>
        <v>-6.4045087741770206E-4</v>
      </c>
      <c r="T139" s="88">
        <f t="shared" si="209"/>
        <v>0.18836622781646964</v>
      </c>
      <c r="U139" s="88">
        <f t="shared" si="209"/>
        <v>0.14069616915184352</v>
      </c>
      <c r="V139" s="88">
        <f t="shared" si="209"/>
        <v>0.17757300569800569</v>
      </c>
      <c r="W139" s="88">
        <f t="shared" si="209"/>
        <v>-3.8532203735837521E-3</v>
      </c>
      <c r="X139" s="88">
        <f t="shared" si="209"/>
        <v>0.15729705682643005</v>
      </c>
      <c r="Y139" s="88">
        <f t="shared" si="209"/>
        <v>0.15681994567326349</v>
      </c>
      <c r="Z139" s="88">
        <f t="shared" si="209"/>
        <v>0.26325745362309494</v>
      </c>
      <c r="AA139" s="88">
        <f t="shared" si="209"/>
        <v>5.1480860575579768E-2</v>
      </c>
      <c r="AB139" s="88">
        <f t="shared" si="209"/>
        <v>0.17622155582995239</v>
      </c>
      <c r="AC139" s="88">
        <f t="shared" si="209"/>
        <v>0.16132623750250508</v>
      </c>
      <c r="AD139" s="88">
        <f t="shared" si="209"/>
        <v>0.21626859946296259</v>
      </c>
      <c r="AE139" s="88">
        <f t="shared" si="209"/>
        <v>5.6453305351521509E-2</v>
      </c>
      <c r="AF139" s="88">
        <f t="shared" si="209"/>
        <v>0.15250501002004008</v>
      </c>
      <c r="AG139" s="88">
        <f t="shared" si="209"/>
        <v>0.15989053948397186</v>
      </c>
      <c r="AH139" s="88">
        <f t="shared" si="209"/>
        <v>0.27286257648420703</v>
      </c>
      <c r="AI139" s="88">
        <f t="shared" si="209"/>
        <v>-6.8341021698274393E-3</v>
      </c>
      <c r="AJ139" s="88">
        <f t="shared" si="209"/>
        <v>0.20746956235603817</v>
      </c>
      <c r="AK139" s="88">
        <f t="shared" si="209"/>
        <v>0.17685810810810812</v>
      </c>
      <c r="AL139" s="88">
        <f t="shared" si="209"/>
        <v>0.2331335484862456</v>
      </c>
      <c r="AM139" s="88">
        <f t="shared" si="209"/>
        <v>7.3142857142857148E-2</v>
      </c>
      <c r="AN139" s="88">
        <f t="shared" si="209"/>
        <v>0.1700443318556048</v>
      </c>
      <c r="AO139" s="88">
        <f t="shared" si="209"/>
        <v>0.14365433673469388</v>
      </c>
      <c r="AP139" s="88">
        <f t="shared" si="209"/>
        <v>0.23780934250988431</v>
      </c>
      <c r="AQ139" s="88">
        <f t="shared" si="209"/>
        <v>1.6532905296950239E-2</v>
      </c>
      <c r="AR139" s="88">
        <f t="shared" si="209"/>
        <v>0.23377186641607633</v>
      </c>
      <c r="AS139" s="88">
        <f t="shared" si="209"/>
        <v>0.27485036967492077</v>
      </c>
      <c r="AT139" s="88">
        <f t="shared" si="209"/>
        <v>0.26094786729857822</v>
      </c>
      <c r="AU139" s="88">
        <f t="shared" si="209"/>
        <v>0.1362810417928528</v>
      </c>
      <c r="AV139" s="88">
        <f t="shared" si="209"/>
        <v>0.18192602178367304</v>
      </c>
      <c r="AW139" s="88">
        <f t="shared" si="209"/>
        <v>0.22786709539121114</v>
      </c>
      <c r="AX139" s="88">
        <f t="shared" si="209"/>
        <v>0.15193421790319567</v>
      </c>
      <c r="AY139" s="88">
        <f t="shared" si="209"/>
        <v>0.13217126417329497</v>
      </c>
      <c r="AZ139" s="88">
        <f t="shared" si="209"/>
        <v>9.3163172288058343E-2</v>
      </c>
      <c r="BA139" s="88">
        <f t="shared" si="209"/>
        <v>0.13018638194249321</v>
      </c>
      <c r="BB139" s="88">
        <f t="shared" si="209"/>
        <v>0.25650655021834062</v>
      </c>
      <c r="BC139" s="88">
        <f t="shared" si="209"/>
        <v>2.5303454715219421E-2</v>
      </c>
      <c r="BD139" s="88">
        <f t="shared" si="209"/>
        <v>0.11752596612707027</v>
      </c>
      <c r="BE139" s="88">
        <f t="shared" si="209"/>
        <v>0.19689805182523171</v>
      </c>
      <c r="BF139" s="88">
        <f t="shared" si="209"/>
        <v>0.30479514973360278</v>
      </c>
      <c r="BG139" s="88">
        <f t="shared" si="209"/>
        <v>8.7288545190913489E-2</v>
      </c>
      <c r="BH139" s="88">
        <f t="shared" si="209"/>
        <v>0.15767005027985959</v>
      </c>
      <c r="BI139" s="88">
        <f t="shared" si="209"/>
        <v>0.17842989243253443</v>
      </c>
      <c r="BJ139" s="88">
        <f t="shared" si="209"/>
        <v>0.24668714348398421</v>
      </c>
      <c r="BK139" s="88">
        <f t="shared" si="209"/>
        <v>3.4735623311462759E-2</v>
      </c>
      <c r="BL139" s="88">
        <f t="shared" si="209"/>
        <v>0.10198065407646247</v>
      </c>
      <c r="BM139" s="88">
        <f t="shared" si="209"/>
        <v>0.16489839956842295</v>
      </c>
      <c r="BN139" s="88">
        <f t="shared" si="209"/>
        <v>0.24502660663119116</v>
      </c>
      <c r="BO139" s="88">
        <f t="shared" si="209"/>
        <v>7.4238982280781463E-2</v>
      </c>
      <c r="BP139" s="88">
        <f t="shared" ref="BP139:BQ139" si="210">BP134/BP71</f>
        <v>0.13956978489244623</v>
      </c>
      <c r="BQ139" s="88">
        <f t="shared" si="210"/>
        <v>0.17409574029826153</v>
      </c>
      <c r="CA139" s="88">
        <f t="shared" ref="CA139:CP139" si="211">CA134/CA71</f>
        <v>0.11591344257247597</v>
      </c>
      <c r="CB139" s="88">
        <f t="shared" si="211"/>
        <v>0.12247811191473162</v>
      </c>
      <c r="CC139" s="88">
        <f t="shared" si="211"/>
        <v>0.14011303047985998</v>
      </c>
      <c r="CD139" s="88">
        <f t="shared" si="211"/>
        <v>0.13240338265738755</v>
      </c>
      <c r="CE139" s="88">
        <f t="shared" si="211"/>
        <v>0.13003860363774158</v>
      </c>
      <c r="CF139" s="88">
        <f t="shared" si="211"/>
        <v>0.14901267315060418</v>
      </c>
      <c r="CG139" s="88">
        <f t="shared" si="211"/>
        <v>0.15409871949217469</v>
      </c>
      <c r="CH139" s="88">
        <f t="shared" si="211"/>
        <v>0.16722440003824457</v>
      </c>
      <c r="CI139" s="88">
        <f t="shared" si="211"/>
        <v>0.15539042614336152</v>
      </c>
      <c r="CJ139" s="88">
        <f t="shared" si="211"/>
        <v>0.15844491425886775</v>
      </c>
      <c r="CK139" s="88">
        <f t="shared" si="211"/>
        <v>0.21152771742504189</v>
      </c>
      <c r="CL139" s="88">
        <f t="shared" si="211"/>
        <v>0.17314019025273519</v>
      </c>
      <c r="CM139" s="88">
        <f t="shared" si="211"/>
        <v>0.15386841812312146</v>
      </c>
      <c r="CN139" s="88">
        <f t="shared" si="211"/>
        <v>0.16163053876846256</v>
      </c>
      <c r="CO139" s="88">
        <f t="shared" si="211"/>
        <v>0.16947690011427505</v>
      </c>
      <c r="CP139" s="88">
        <f t="shared" si="211"/>
        <v>0.14126043630487475</v>
      </c>
    </row>
    <row r="140" spans="2:156">
      <c r="B140" s="1" t="s">
        <v>1429</v>
      </c>
      <c r="C140" s="88">
        <f>C133/C71</f>
        <v>-1.869123301229586E-2</v>
      </c>
      <c r="D140" s="88">
        <f t="shared" ref="D140:BO140" si="212">D133/D71</f>
        <v>-2.1689717609893286E-2</v>
      </c>
      <c r="E140" s="88">
        <f t="shared" si="212"/>
        <v>-2.4080343896222468E-2</v>
      </c>
      <c r="F140" s="88">
        <f t="shared" si="212"/>
        <v>-3.0175466205051536E-2</v>
      </c>
      <c r="G140" s="88">
        <f t="shared" si="212"/>
        <v>-2.3407069890497539E-2</v>
      </c>
      <c r="H140" s="88">
        <f t="shared" si="212"/>
        <v>-1.8815697266993694E-2</v>
      </c>
      <c r="I140" s="88">
        <f t="shared" si="212"/>
        <v>-2.1412254082989531E-2</v>
      </c>
      <c r="J140" s="88">
        <f t="shared" si="212"/>
        <v>-2.6454679560727751E-2</v>
      </c>
      <c r="K140" s="88">
        <f t="shared" si="212"/>
        <v>-2.2638052865741953E-2</v>
      </c>
      <c r="L140" s="88">
        <f t="shared" si="212"/>
        <v>-2.1073968019047006E-2</v>
      </c>
      <c r="M140" s="88">
        <f t="shared" si="212"/>
        <v>-2.4629743656220632E-2</v>
      </c>
      <c r="N140" s="88">
        <f t="shared" si="212"/>
        <v>-3.2031417789095816E-2</v>
      </c>
      <c r="O140" s="88">
        <f t="shared" si="212"/>
        <v>-2.0679931066896445E-2</v>
      </c>
      <c r="P140" s="88">
        <f t="shared" si="212"/>
        <v>-2.024628869479337E-2</v>
      </c>
      <c r="Q140" s="88">
        <f t="shared" si="212"/>
        <v>-1.7638949808885265E-2</v>
      </c>
      <c r="R140" s="88">
        <f t="shared" si="212"/>
        <v>-2.7257780726297268E-2</v>
      </c>
      <c r="S140" s="88">
        <f t="shared" si="212"/>
        <v>-2.6822082746253362E-2</v>
      </c>
      <c r="T140" s="88">
        <f t="shared" si="212"/>
        <v>-1.7469168652675907E-2</v>
      </c>
      <c r="U140" s="88">
        <f t="shared" si="212"/>
        <v>-2.1743299611641179E-2</v>
      </c>
      <c r="V140" s="88">
        <f t="shared" si="212"/>
        <v>-3.4878027065527062E-2</v>
      </c>
      <c r="W140" s="88">
        <f t="shared" si="212"/>
        <v>-2.4803511278962947E-2</v>
      </c>
      <c r="X140" s="88">
        <f t="shared" si="212"/>
        <v>-2.2313798028518579E-2</v>
      </c>
      <c r="Y140" s="88">
        <f t="shared" si="212"/>
        <v>-2.4495537446643383E-2</v>
      </c>
      <c r="Z140" s="88">
        <f t="shared" si="212"/>
        <v>-2.78368908664904E-2</v>
      </c>
      <c r="AA140" s="88">
        <f t="shared" si="212"/>
        <v>-2.6799850982583587E-2</v>
      </c>
      <c r="AB140" s="88">
        <f t="shared" si="212"/>
        <v>-2.5313106367966132E-2</v>
      </c>
      <c r="AC140" s="88">
        <f t="shared" si="212"/>
        <v>-1.8036473758044045E-2</v>
      </c>
      <c r="AD140" s="88">
        <f t="shared" si="212"/>
        <v>-2.6872059922069005E-2</v>
      </c>
      <c r="AE140" s="88">
        <f t="shared" si="212"/>
        <v>-1.9517313746065058E-2</v>
      </c>
      <c r="AF140" s="88">
        <f t="shared" si="212"/>
        <v>-1.7635270541082163E-2</v>
      </c>
      <c r="AG140" s="88">
        <f t="shared" si="212"/>
        <v>-2.1892103205629398E-2</v>
      </c>
      <c r="AH140" s="88">
        <f t="shared" si="212"/>
        <v>-3.5554820572184558E-2</v>
      </c>
      <c r="AI140" s="88">
        <f t="shared" si="212"/>
        <v>-2.0160601400990946E-2</v>
      </c>
      <c r="AJ140" s="88">
        <f t="shared" si="212"/>
        <v>-3.0108588351431393E-2</v>
      </c>
      <c r="AK140" s="88">
        <f t="shared" si="212"/>
        <v>-2.9222972972972973E-2</v>
      </c>
      <c r="AL140" s="88">
        <f t="shared" si="212"/>
        <v>-4.3645305056093438E-2</v>
      </c>
      <c r="AM140" s="88">
        <f t="shared" si="212"/>
        <v>-3.2816326530612241E-2</v>
      </c>
      <c r="AN140" s="88">
        <f t="shared" si="212"/>
        <v>-3.4832172260924638E-2</v>
      </c>
      <c r="AO140" s="88">
        <f t="shared" si="212"/>
        <v>-3.4438775510204078E-2</v>
      </c>
      <c r="AP140" s="88">
        <f t="shared" si="212"/>
        <v>-4.2319519695416606E-2</v>
      </c>
      <c r="AQ140" s="88">
        <f t="shared" si="212"/>
        <v>-4.0609951845906905E-2</v>
      </c>
      <c r="AR140" s="88">
        <f t="shared" si="212"/>
        <v>-3.888969206303311E-2</v>
      </c>
      <c r="AS140" s="88">
        <f t="shared" si="212"/>
        <v>-4.2952705081563194E-2</v>
      </c>
      <c r="AT140" s="88">
        <f t="shared" si="212"/>
        <v>-5.5545023696682468E-2</v>
      </c>
      <c r="AU140" s="88">
        <f t="shared" si="212"/>
        <v>-6.3395921663638194E-2</v>
      </c>
      <c r="AV140" s="88">
        <f t="shared" si="212"/>
        <v>-5.8233581365253966E-2</v>
      </c>
      <c r="AW140" s="88">
        <f t="shared" si="212"/>
        <v>-5.6162915326902464E-2</v>
      </c>
      <c r="AX140" s="88">
        <f t="shared" si="212"/>
        <v>-7.7649037563072329E-2</v>
      </c>
      <c r="AY140" s="88">
        <f t="shared" si="212"/>
        <v>-5.4154679302758503E-2</v>
      </c>
      <c r="AZ140" s="88">
        <f t="shared" si="212"/>
        <v>-4.6125797629899726E-2</v>
      </c>
      <c r="BA140" s="88">
        <f t="shared" si="212"/>
        <v>-5.1231619368736533E-2</v>
      </c>
      <c r="BB140" s="88">
        <f t="shared" si="212"/>
        <v>-4.8034934497816595E-2</v>
      </c>
      <c r="BC140" s="88">
        <f t="shared" si="212"/>
        <v>-4.2763772175536882E-2</v>
      </c>
      <c r="BD140" s="88">
        <f t="shared" si="212"/>
        <v>-2.6574342659305698E-2</v>
      </c>
      <c r="BE140" s="88">
        <f t="shared" si="212"/>
        <v>-3.139776811045962E-2</v>
      </c>
      <c r="BF140" s="88">
        <f t="shared" si="212"/>
        <v>-3.7203747933125114E-2</v>
      </c>
      <c r="BG140" s="88">
        <f t="shared" si="212"/>
        <v>-3.3542774287095213E-2</v>
      </c>
      <c r="BH140" s="88">
        <f t="shared" si="212"/>
        <v>-2.8555165544066029E-2</v>
      </c>
      <c r="BI140" s="88">
        <f t="shared" si="212"/>
        <v>-2.5665219852802415E-2</v>
      </c>
      <c r="BJ140" s="88">
        <f t="shared" si="212"/>
        <v>-4.2123738481790261E-2</v>
      </c>
      <c r="BK140" s="88">
        <f t="shared" si="212"/>
        <v>-3.4928598996526436E-2</v>
      </c>
      <c r="BL140" s="88">
        <f t="shared" si="212"/>
        <v>-2.7084292952556425E-2</v>
      </c>
      <c r="BM140" s="88">
        <f t="shared" si="212"/>
        <v>-3.6324402085955762E-2</v>
      </c>
      <c r="BN140" s="88">
        <f t="shared" si="212"/>
        <v>-3.8067949242734343E-2</v>
      </c>
      <c r="BO140" s="88">
        <f t="shared" si="212"/>
        <v>-3.4166288050885958E-2</v>
      </c>
      <c r="BP140" s="88">
        <f t="shared" ref="BP140:BQ140" si="213">BP133/BP71</f>
        <v>-3.7518759379689848E-2</v>
      </c>
      <c r="BQ140" s="88">
        <f t="shared" si="213"/>
        <v>-3.6005602702480023E-2</v>
      </c>
      <c r="CA140" s="88">
        <f t="shared" ref="CA140:CP140" si="214">CA133/CA71</f>
        <v>-2.3611819380165683E-2</v>
      </c>
      <c r="CB140" s="88">
        <f t="shared" si="214"/>
        <v>-2.2571547219434544E-2</v>
      </c>
      <c r="CC140" s="88">
        <f t="shared" si="214"/>
        <v>-2.5188051063557669E-2</v>
      </c>
      <c r="CD140" s="88">
        <f t="shared" si="214"/>
        <v>-2.1573225976486404E-2</v>
      </c>
      <c r="CE140" s="88">
        <f t="shared" si="214"/>
        <v>-2.5317355058734368E-2</v>
      </c>
      <c r="CF140" s="88">
        <f t="shared" si="214"/>
        <v>-2.493368700265252E-2</v>
      </c>
      <c r="CG140" s="88">
        <f t="shared" si="214"/>
        <v>-2.4296815147203676E-2</v>
      </c>
      <c r="CH140" s="88">
        <f t="shared" si="214"/>
        <v>-2.4285304522420881E-2</v>
      </c>
      <c r="CI140" s="88">
        <f t="shared" si="214"/>
        <v>-3.1119139502422202E-2</v>
      </c>
      <c r="CJ140" s="88">
        <f t="shared" si="214"/>
        <v>-3.6254012998199046E-2</v>
      </c>
      <c r="CK140" s="88">
        <f t="shared" si="214"/>
        <v>-4.5750822521571789E-2</v>
      </c>
      <c r="CL140" s="88">
        <f t="shared" si="214"/>
        <v>-6.4344189130601109E-2</v>
      </c>
      <c r="CM140" s="88">
        <f t="shared" si="214"/>
        <v>-4.9938773238339083E-2</v>
      </c>
      <c r="CN140" s="88">
        <f t="shared" si="214"/>
        <v>-3.451011503371678E-2</v>
      </c>
      <c r="CO140" s="88">
        <f t="shared" si="214"/>
        <v>-3.2650015158935612E-2</v>
      </c>
      <c r="CP140" s="88">
        <f t="shared" si="214"/>
        <v>-3.4226591255947569E-2</v>
      </c>
    </row>
  </sheetData>
  <mergeCells count="1">
    <mergeCell ref="DI109:DJ109"/>
  </mergeCells>
  <conditionalFormatting sqref="DI10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Sell",DI109)))</formula>
    </cfRule>
    <cfRule type="containsText" dxfId="3" priority="3" operator="containsText" text="Sell">
      <formula>NOT(ISERROR(SEARCH("Sell",DI109)))</formula>
    </cfRule>
    <cfRule type="containsText" dxfId="2" priority="4" operator="containsText" text="Hold">
      <formula>NOT(ISERROR(SEARCH("Hold",DI109)))</formula>
    </cfRule>
    <cfRule type="beginsWith" dxfId="1" priority="5" operator="beginsWith" text="Buy">
      <formula>LEFT(DI109,LEN("Buy"))="Buy"</formula>
    </cfRule>
    <cfRule type="beginsWith" dxfId="0" priority="6" operator="beginsWith" text="Strong">
      <formula>LEFT(DI109,LEN("Strong"))="Strong"</formula>
    </cfRule>
  </conditionalFormatting>
  <pageMargins left="0.7" right="0.7" top="0.75" bottom="0.75" header="0.3" footer="0.3"/>
  <ignoredErrors>
    <ignoredError sqref="AU24:AW33 AU9:AW16 D87:AW87 CL30:CP33 CM24:CP28 CL13:CP16 CM9:CP12 CN65:CP69 AY9:BA16 BC9:BE16 BG9:BI16 BK9:BP16 AX24:BP33 AX17:BP17 AX34:BP34 AX9:AX16 BJ9:BJ16 BF9:BF16 BB9:BB16 BO78:BP79 BK79:BL79 BK78:BL78 AX22:BP23 BO18:BP18 BO19:BP19 BO20:BP20 BO21:BP21 BK18:BL18 BK19:BL19 BK20:BL20 BK21:BL21 BK39:BP39 BO35:BP35 BO36:BP36 BO37:BP37 BO38:BP38 BK43:BP43 BO40:BP40 BO41:BP41 BO42:BP42 BK50:BP50 BO44:BP44 BO45:BP45 BO46:BP46 BO47:BP47 BO48:BP48 BO49:BP49 BK56:BP56 BO51:BP51 BO52:BP52 BO53:BP53 BO54:BP54 BO55:BP55 AX71:BP72 BO57:BP57 BK35:BL35 BK36:BL36 BK37:BL37 BK38:BL38 BK40:BL40 BK41:BL41 BK42:BL42 BK44:BL44 BK45:BL45 BK46:BL46 BK47:BL47 BK48:BL48 BK49:BL49 BK51:BL51 BK52:BL52 BK53:BL53 BK54:BL54 BK55:BL55 BK57 BK58:BP59 BK65:BP69 BO60:BP64 CR24:CR28 CO60:CP64 AX74:BP77 AX73:BF73 BH73:BP73" evalError="1"/>
    <ignoredError sqref="CA71:CP85 AR81:AW81 AR80:AT80 AR83:AW83 AR82:AU82 AW82 BH81:BJ81 BI82:BJ82 AX83:BJ83 BI80:BJ80 AX81:BF81 AX80:BC80 AX82:BH82 BG81 AX85:BP86 BO84:BP84 BK80:BP80 BK83:BP83 BK82:BP82 BK81:BP81 BB122:BP129 BE80:BH80 AX78:AX79 CA132:CP134 CA136:CP136 CA87:CP87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C1630"/>
  <sheetViews>
    <sheetView topLeftCell="H1" zoomScale="70" zoomScaleNormal="70" workbookViewId="0">
      <selection activeCell="S228" sqref="S228"/>
    </sheetView>
  </sheetViews>
  <sheetFormatPr defaultRowHeight="14.25"/>
  <cols>
    <col min="1" max="7" width="0" style="1" hidden="1" customWidth="1"/>
    <col min="8" max="8" width="3.140625" style="1" customWidth="1"/>
    <col min="9" max="30" width="9.140625" style="1"/>
    <col min="31" max="31" width="2.85546875" style="1" customWidth="1"/>
    <col min="32" max="16384" width="9.140625" style="1"/>
  </cols>
  <sheetData>
    <row r="1" spans="8:81">
      <c r="CC1" s="1">
        <v>0</v>
      </c>
    </row>
    <row r="2" spans="8:81" ht="15">
      <c r="H2" s="97" t="s">
        <v>1519</v>
      </c>
      <c r="AF2" s="2" t="s">
        <v>1521</v>
      </c>
    </row>
    <row r="32" spans="9:10">
      <c r="I32" s="1" t="s">
        <v>16</v>
      </c>
      <c r="J32" s="1" t="s">
        <v>17</v>
      </c>
    </row>
    <row r="33" spans="8:32">
      <c r="J33" s="1" t="s">
        <v>18</v>
      </c>
    </row>
    <row r="34" spans="8:32">
      <c r="J34" s="1" t="s">
        <v>19</v>
      </c>
    </row>
    <row r="35" spans="8:32" ht="15">
      <c r="H35" s="2"/>
    </row>
    <row r="36" spans="8:32" ht="15">
      <c r="H36" s="2" t="s">
        <v>1520</v>
      </c>
      <c r="AF36" s="2" t="s">
        <v>1522</v>
      </c>
    </row>
    <row r="37" spans="8:32" ht="15">
      <c r="AF37" s="2" t="s">
        <v>78</v>
      </c>
    </row>
    <row r="71" spans="8:10">
      <c r="I71" s="1" t="s">
        <v>16</v>
      </c>
      <c r="J71" s="1" t="s">
        <v>17</v>
      </c>
    </row>
    <row r="72" spans="8:10">
      <c r="J72" s="1" t="s">
        <v>18</v>
      </c>
    </row>
    <row r="73" spans="8:10">
      <c r="J73" s="1" t="s">
        <v>19</v>
      </c>
    </row>
    <row r="75" spans="8:10" ht="15">
      <c r="H75" s="2" t="s">
        <v>15</v>
      </c>
    </row>
    <row r="107" spans="8:10">
      <c r="I107" s="1" t="s">
        <v>16</v>
      </c>
      <c r="J107" s="1" t="s">
        <v>17</v>
      </c>
    </row>
    <row r="108" spans="8:10">
      <c r="J108" s="1" t="s">
        <v>18</v>
      </c>
    </row>
    <row r="109" spans="8:10">
      <c r="J109" s="1" t="s">
        <v>19</v>
      </c>
    </row>
    <row r="111" spans="8:10" ht="15">
      <c r="H111" s="2" t="s">
        <v>20</v>
      </c>
    </row>
    <row r="140" spans="8:10">
      <c r="I140" s="1" t="s">
        <v>16</v>
      </c>
      <c r="J140" s="1" t="s">
        <v>17</v>
      </c>
    </row>
    <row r="141" spans="8:10">
      <c r="J141" s="1" t="s">
        <v>18</v>
      </c>
    </row>
    <row r="142" spans="8:10">
      <c r="J142" s="1" t="s">
        <v>19</v>
      </c>
    </row>
    <row r="144" spans="8:10" ht="15">
      <c r="H144" s="2" t="s">
        <v>20</v>
      </c>
    </row>
    <row r="149" spans="32:32" ht="15">
      <c r="AF149" s="2" t="s">
        <v>79</v>
      </c>
    </row>
    <row r="173" spans="9:10">
      <c r="I173" s="1" t="s">
        <v>16</v>
      </c>
      <c r="J173" s="1" t="s">
        <v>17</v>
      </c>
    </row>
    <row r="174" spans="9:10">
      <c r="J174" s="1" t="s">
        <v>18</v>
      </c>
    </row>
    <row r="175" spans="9:10">
      <c r="J175" s="1" t="s">
        <v>19</v>
      </c>
    </row>
    <row r="177" spans="8:8" ht="15">
      <c r="H177" s="2" t="s">
        <v>1523</v>
      </c>
    </row>
    <row r="195" spans="1:11">
      <c r="A195" s="1" t="s">
        <v>135</v>
      </c>
    </row>
    <row r="196" spans="1:11">
      <c r="A196" s="24" t="s">
        <v>21</v>
      </c>
      <c r="B196" s="24" t="s">
        <v>22</v>
      </c>
      <c r="C196" s="24" t="s">
        <v>23</v>
      </c>
      <c r="D196" s="24" t="s">
        <v>24</v>
      </c>
      <c r="E196" s="24" t="s">
        <v>25</v>
      </c>
      <c r="F196" s="24" t="s">
        <v>26</v>
      </c>
      <c r="G196" s="24" t="s">
        <v>27</v>
      </c>
    </row>
    <row r="197" spans="1:11">
      <c r="A197" s="44">
        <v>479.58</v>
      </c>
      <c r="B197" s="44">
        <v>487.99</v>
      </c>
      <c r="C197" s="44">
        <v>478.02010000000001</v>
      </c>
      <c r="D197" s="44">
        <v>483.29</v>
      </c>
      <c r="E197" s="44">
        <v>4244050</v>
      </c>
      <c r="F197" s="44" t="s">
        <v>136</v>
      </c>
      <c r="G197" s="25">
        <f>A197/D197-1</f>
        <v>-7.6765503114073486E-3</v>
      </c>
    </row>
    <row r="198" spans="1:11">
      <c r="A198" s="44">
        <v>481.1</v>
      </c>
      <c r="B198" s="44">
        <v>482.255</v>
      </c>
      <c r="C198" s="44">
        <v>473.03</v>
      </c>
      <c r="D198" s="44">
        <v>477.15</v>
      </c>
      <c r="E198" s="44">
        <v>1563249</v>
      </c>
      <c r="F198" s="44" t="s">
        <v>137</v>
      </c>
      <c r="G198" s="25">
        <f t="shared" ref="G198:G261" si="0">A198/D198-1</f>
        <v>8.2783191868385231E-3</v>
      </c>
    </row>
    <row r="199" spans="1:11">
      <c r="A199" s="44">
        <v>472.64</v>
      </c>
      <c r="B199" s="44">
        <v>486.57</v>
      </c>
      <c r="C199" s="44">
        <v>469.14</v>
      </c>
      <c r="D199" s="44">
        <v>482.96</v>
      </c>
      <c r="E199" s="44">
        <v>1947751</v>
      </c>
      <c r="F199" s="44" t="s">
        <v>138</v>
      </c>
      <c r="G199" s="25">
        <f t="shared" si="0"/>
        <v>-2.1368229252940241E-2</v>
      </c>
    </row>
    <row r="200" spans="1:11">
      <c r="A200" s="44">
        <v>480.74</v>
      </c>
      <c r="B200" s="44">
        <v>484.59</v>
      </c>
      <c r="C200" s="44">
        <v>470.05</v>
      </c>
      <c r="D200" s="44">
        <v>470.27</v>
      </c>
      <c r="E200" s="44">
        <v>1798297</v>
      </c>
      <c r="F200" s="44" t="s">
        <v>139</v>
      </c>
      <c r="G200" s="25">
        <f t="shared" si="0"/>
        <v>2.2263805898738998E-2</v>
      </c>
    </row>
    <row r="201" spans="1:11">
      <c r="A201" s="44">
        <v>474.46</v>
      </c>
      <c r="B201" s="44">
        <v>482.94</v>
      </c>
      <c r="C201" s="44">
        <v>470.74</v>
      </c>
      <c r="D201" s="44">
        <v>478.78</v>
      </c>
      <c r="E201" s="44">
        <v>1663465</v>
      </c>
      <c r="F201" s="44" t="s">
        <v>140</v>
      </c>
      <c r="G201" s="25">
        <f t="shared" si="0"/>
        <v>-9.0229332887755698E-3</v>
      </c>
    </row>
    <row r="202" spans="1:11">
      <c r="A202" s="44">
        <v>479.46</v>
      </c>
      <c r="B202" s="44">
        <v>491.26</v>
      </c>
      <c r="C202" s="44">
        <v>479.46</v>
      </c>
      <c r="D202" s="44">
        <v>488.61</v>
      </c>
      <c r="E202" s="44">
        <v>1538547</v>
      </c>
      <c r="F202" s="44" t="s">
        <v>141</v>
      </c>
      <c r="G202" s="25">
        <f t="shared" si="0"/>
        <v>-1.8726591760299671E-2</v>
      </c>
    </row>
    <row r="203" spans="1:11">
      <c r="A203" s="44">
        <v>491.41</v>
      </c>
      <c r="B203" s="44">
        <v>492</v>
      </c>
      <c r="C203" s="44">
        <v>480.35750000000002</v>
      </c>
      <c r="D203" s="44">
        <v>480.57499999999999</v>
      </c>
      <c r="E203" s="44">
        <v>1505086</v>
      </c>
      <c r="F203" s="44" t="s">
        <v>142</v>
      </c>
      <c r="G203" s="25">
        <f t="shared" si="0"/>
        <v>2.2545908547053184E-2</v>
      </c>
    </row>
    <row r="204" spans="1:11">
      <c r="A204" s="44">
        <v>476.54</v>
      </c>
      <c r="B204" s="44">
        <v>485.81990000000002</v>
      </c>
      <c r="C204" s="44">
        <v>475.63499999999999</v>
      </c>
      <c r="D204" s="44">
        <v>481.12</v>
      </c>
      <c r="E204" s="44">
        <v>1442005</v>
      </c>
      <c r="F204" s="44" t="s">
        <v>143</v>
      </c>
      <c r="G204" s="25">
        <f t="shared" si="0"/>
        <v>-9.5194546059195195E-3</v>
      </c>
    </row>
    <row r="205" spans="1:11">
      <c r="A205" s="44">
        <v>482.41</v>
      </c>
      <c r="B205" s="44">
        <v>489.99</v>
      </c>
      <c r="C205" s="44">
        <v>481.52</v>
      </c>
      <c r="D205" s="44">
        <v>486.48</v>
      </c>
      <c r="E205" s="44">
        <v>1501000</v>
      </c>
      <c r="F205" s="44" t="s">
        <v>144</v>
      </c>
      <c r="G205" s="25">
        <f t="shared" si="0"/>
        <v>-8.3662226607466028E-3</v>
      </c>
    </row>
    <row r="206" spans="1:11">
      <c r="A206" s="44">
        <v>487.65</v>
      </c>
      <c r="B206" s="44">
        <v>490.065</v>
      </c>
      <c r="C206" s="44">
        <v>480.95</v>
      </c>
      <c r="D206" s="44">
        <v>487.77</v>
      </c>
      <c r="E206" s="44">
        <v>2222973</v>
      </c>
      <c r="F206" s="44" t="s">
        <v>145</v>
      </c>
      <c r="G206" s="25">
        <f t="shared" si="0"/>
        <v>-2.4601759025766334E-4</v>
      </c>
    </row>
    <row r="207" spans="1:11">
      <c r="A207" s="44">
        <v>492.6</v>
      </c>
      <c r="B207" s="44">
        <v>502</v>
      </c>
      <c r="C207" s="44">
        <v>489.12</v>
      </c>
      <c r="D207" s="44">
        <v>490</v>
      </c>
      <c r="E207" s="44">
        <v>1440451</v>
      </c>
      <c r="F207" s="44" t="s">
        <v>146</v>
      </c>
      <c r="G207" s="25">
        <f t="shared" si="0"/>
        <v>5.3061224489796555E-3</v>
      </c>
      <c r="I207" s="26"/>
      <c r="J207" s="26" t="s">
        <v>28</v>
      </c>
      <c r="K207" s="27">
        <f>MIN(G197:G1452)</f>
        <v>-7.0595797499778401E-2</v>
      </c>
    </row>
    <row r="208" spans="1:11">
      <c r="A208" s="44">
        <v>489.49</v>
      </c>
      <c r="B208" s="44">
        <v>490.26</v>
      </c>
      <c r="C208" s="44">
        <v>471.61</v>
      </c>
      <c r="D208" s="44">
        <v>482.08</v>
      </c>
      <c r="E208" s="44">
        <v>1391914</v>
      </c>
      <c r="F208" s="44" t="s">
        <v>147</v>
      </c>
      <c r="G208" s="25">
        <f t="shared" si="0"/>
        <v>1.5370892797875957E-2</v>
      </c>
      <c r="I208" s="26"/>
      <c r="J208" s="26" t="s">
        <v>29</v>
      </c>
      <c r="K208" s="27">
        <f>MAX(G197:G1452)</f>
        <v>9.3866821021151514E-2</v>
      </c>
    </row>
    <row r="209" spans="1:17">
      <c r="A209" s="44">
        <v>484.55</v>
      </c>
      <c r="B209" s="44">
        <v>489.54</v>
      </c>
      <c r="C209" s="44">
        <v>481.53</v>
      </c>
      <c r="D209" s="44">
        <v>487.03</v>
      </c>
      <c r="E209" s="44">
        <v>1213141</v>
      </c>
      <c r="F209" s="44" t="s">
        <v>148</v>
      </c>
      <c r="G209" s="25">
        <f t="shared" si="0"/>
        <v>-5.0920887830318007E-3</v>
      </c>
      <c r="I209" s="26"/>
      <c r="J209" s="26" t="s">
        <v>30</v>
      </c>
      <c r="K209" s="27">
        <f>AVERAGE(G197:G1452)</f>
        <v>-9.5221811870318832E-5</v>
      </c>
    </row>
    <row r="210" spans="1:17">
      <c r="A210" s="44">
        <v>487.53</v>
      </c>
      <c r="B210" s="44">
        <v>492.7</v>
      </c>
      <c r="C210" s="44">
        <v>479.03</v>
      </c>
      <c r="D210" s="44">
        <v>489.31</v>
      </c>
      <c r="E210" s="44">
        <v>1289669</v>
      </c>
      <c r="F210" s="44" t="s">
        <v>149</v>
      </c>
      <c r="G210" s="25">
        <f t="shared" si="0"/>
        <v>-3.6377756432528496E-3</v>
      </c>
      <c r="I210" s="26"/>
      <c r="J210" s="26" t="s">
        <v>31</v>
      </c>
      <c r="K210" s="27">
        <f>MEDIAN(G197:G1452)</f>
        <v>-8.5423273381846077E-5</v>
      </c>
    </row>
    <row r="211" spans="1:17" ht="15">
      <c r="A211" s="44">
        <v>492.72</v>
      </c>
      <c r="B211" s="44">
        <v>494.28</v>
      </c>
      <c r="C211" s="44">
        <v>485.92</v>
      </c>
      <c r="D211" s="44">
        <v>489.94</v>
      </c>
      <c r="E211" s="44">
        <v>1220318</v>
      </c>
      <c r="F211" s="44" t="s">
        <v>150</v>
      </c>
      <c r="G211" s="25">
        <f t="shared" si="0"/>
        <v>5.6741641833695233E-3</v>
      </c>
      <c r="I211" s="26"/>
      <c r="J211" s="26" t="s">
        <v>32</v>
      </c>
      <c r="K211" s="27">
        <f>_xlfn.STDEV.P(G197:G1452)</f>
        <v>1.4357925397595657E-2</v>
      </c>
      <c r="M211" s="2"/>
    </row>
    <row r="212" spans="1:17" ht="15">
      <c r="A212" s="44">
        <v>489.74</v>
      </c>
      <c r="B212" s="44">
        <v>491.14</v>
      </c>
      <c r="C212" s="44">
        <v>483.39</v>
      </c>
      <c r="D212" s="44">
        <v>487.65</v>
      </c>
      <c r="E212" s="44">
        <v>1391996</v>
      </c>
      <c r="F212" s="44" t="s">
        <v>151</v>
      </c>
      <c r="G212" s="25">
        <f t="shared" si="0"/>
        <v>4.2858607607916266E-3</v>
      </c>
      <c r="I212" s="26"/>
      <c r="J212" s="28" t="s">
        <v>33</v>
      </c>
      <c r="K212" s="27">
        <f>3*K211</f>
        <v>4.3073776192786968E-2</v>
      </c>
      <c r="L212" s="26"/>
      <c r="M212" s="2" t="s">
        <v>34</v>
      </c>
    </row>
    <row r="213" spans="1:17" ht="15">
      <c r="A213" s="44">
        <v>488.12</v>
      </c>
      <c r="B213" s="44">
        <v>490.98</v>
      </c>
      <c r="C213" s="44">
        <v>482.98</v>
      </c>
      <c r="D213" s="44">
        <v>486.63</v>
      </c>
      <c r="E213" s="44">
        <v>1284841</v>
      </c>
      <c r="F213" s="44" t="s">
        <v>152</v>
      </c>
      <c r="G213" s="25">
        <f t="shared" si="0"/>
        <v>3.0618745247930068E-3</v>
      </c>
      <c r="I213" s="26"/>
      <c r="J213" s="28" t="s">
        <v>35</v>
      </c>
      <c r="K213" s="26">
        <v>0.76</v>
      </c>
      <c r="L213" s="26"/>
      <c r="M213" s="2" t="s">
        <v>36</v>
      </c>
    </row>
    <row r="214" spans="1:17">
      <c r="A214" s="44">
        <v>488.48</v>
      </c>
      <c r="B214" s="44">
        <v>491.52</v>
      </c>
      <c r="C214" s="44">
        <v>486.73</v>
      </c>
      <c r="D214" s="44">
        <v>490.09</v>
      </c>
      <c r="E214" s="44">
        <v>1330616</v>
      </c>
      <c r="F214" s="44" t="s">
        <v>153</v>
      </c>
      <c r="G214" s="25">
        <f t="shared" si="0"/>
        <v>-3.2851108979982113E-3</v>
      </c>
    </row>
    <row r="215" spans="1:17">
      <c r="A215" s="44">
        <v>490.75</v>
      </c>
      <c r="B215" s="44">
        <v>499.58</v>
      </c>
      <c r="C215" s="44">
        <v>489.18</v>
      </c>
      <c r="D215" s="44">
        <v>499.25</v>
      </c>
      <c r="E215" s="44">
        <v>1044386</v>
      </c>
      <c r="F215" s="44" t="s">
        <v>154</v>
      </c>
      <c r="G215" s="25">
        <f t="shared" si="0"/>
        <v>-1.702553830746123E-2</v>
      </c>
      <c r="I215" s="29" t="s">
        <v>37</v>
      </c>
      <c r="J215" s="30">
        <v>1256</v>
      </c>
    </row>
    <row r="216" spans="1:17" ht="15" thickBot="1">
      <c r="A216" s="44">
        <v>499.99</v>
      </c>
      <c r="B216" s="44">
        <v>502.39</v>
      </c>
      <c r="C216" s="44">
        <v>486.88499999999999</v>
      </c>
      <c r="D216" s="44">
        <v>487.53</v>
      </c>
      <c r="E216" s="44">
        <v>1759231</v>
      </c>
      <c r="F216" s="44" t="s">
        <v>155</v>
      </c>
      <c r="G216" s="25">
        <f t="shared" si="0"/>
        <v>2.5557401595799334E-2</v>
      </c>
      <c r="I216" s="1" t="s">
        <v>38</v>
      </c>
      <c r="L216" s="1" t="s">
        <v>39</v>
      </c>
      <c r="P216" s="1" t="s">
        <v>40</v>
      </c>
    </row>
    <row r="217" spans="1:17" ht="15" customHeight="1">
      <c r="A217" s="44">
        <v>483.76</v>
      </c>
      <c r="B217" s="44">
        <v>494.78</v>
      </c>
      <c r="C217" s="44">
        <v>482.81</v>
      </c>
      <c r="D217" s="44">
        <v>492.44</v>
      </c>
      <c r="E217" s="44">
        <v>1360656</v>
      </c>
      <c r="F217" s="44" t="s">
        <v>156</v>
      </c>
      <c r="G217" s="25">
        <f t="shared" si="0"/>
        <v>-1.762651287466499E-2</v>
      </c>
      <c r="I217" s="47" t="s">
        <v>41</v>
      </c>
      <c r="J217" s="47" t="s">
        <v>42</v>
      </c>
      <c r="L217" s="31" t="s">
        <v>43</v>
      </c>
      <c r="M217" s="32" t="s">
        <v>44</v>
      </c>
      <c r="P217" s="31" t="s">
        <v>45</v>
      </c>
      <c r="Q217" s="32" t="s">
        <v>46</v>
      </c>
    </row>
    <row r="218" spans="1:17" ht="15">
      <c r="A218" s="44">
        <v>494.81</v>
      </c>
      <c r="B218" s="44">
        <v>500.37</v>
      </c>
      <c r="C218" s="44">
        <v>492.755</v>
      </c>
      <c r="D218" s="44">
        <v>498.77</v>
      </c>
      <c r="E218" s="44">
        <v>2346221</v>
      </c>
      <c r="F218" s="44" t="s">
        <v>157</v>
      </c>
      <c r="G218" s="25">
        <f t="shared" si="0"/>
        <v>-7.939531246867304E-3</v>
      </c>
      <c r="I218" s="45">
        <v>-4.3999999999999997E-2</v>
      </c>
      <c r="J218">
        <v>8</v>
      </c>
      <c r="L218" s="45">
        <v>-4.4999999999999998E-2</v>
      </c>
      <c r="M218" s="1">
        <f>_xlfn.NORM.DIST(L218,$K$209,K211,FALSE)</f>
        <v>0.20883865812241276</v>
      </c>
      <c r="O218" s="1" t="s">
        <v>84</v>
      </c>
      <c r="P218" s="48">
        <f>K209</f>
        <v>-9.5221811870318832E-5</v>
      </c>
      <c r="Q218" s="1">
        <v>0</v>
      </c>
    </row>
    <row r="219" spans="1:17" ht="15">
      <c r="A219" s="44">
        <v>498.29</v>
      </c>
      <c r="B219" s="44">
        <v>500.93</v>
      </c>
      <c r="C219" s="44">
        <v>489.89</v>
      </c>
      <c r="D219" s="44">
        <v>490.92</v>
      </c>
      <c r="E219" s="44">
        <v>2573296</v>
      </c>
      <c r="F219" s="44" t="s">
        <v>158</v>
      </c>
      <c r="G219" s="25">
        <f t="shared" si="0"/>
        <v>1.5012629348977402E-2</v>
      </c>
      <c r="I219" s="45">
        <v>-4.2999999999999997E-2</v>
      </c>
      <c r="J219">
        <v>1</v>
      </c>
      <c r="L219" s="45">
        <v>-4.3999999999999997E-2</v>
      </c>
      <c r="M219" s="1">
        <f t="shared" ref="M219:M250" si="1">_xlfn.NORM.DIST(L219,$K$209,$K$211,FALSE)</f>
        <v>0.25903476777597906</v>
      </c>
      <c r="P219" s="48">
        <f>K209</f>
        <v>-9.5221811870318832E-5</v>
      </c>
      <c r="Q219" s="1">
        <v>28</v>
      </c>
    </row>
    <row r="220" spans="1:17" ht="15">
      <c r="A220" s="44">
        <v>487.54</v>
      </c>
      <c r="B220" s="44">
        <v>493.24</v>
      </c>
      <c r="C220" s="44">
        <v>487.14</v>
      </c>
      <c r="D220" s="44">
        <v>490.13</v>
      </c>
      <c r="E220" s="44">
        <v>2211081</v>
      </c>
      <c r="F220" s="44" t="s">
        <v>159</v>
      </c>
      <c r="G220" s="25">
        <f t="shared" si="0"/>
        <v>-5.2843123253013546E-3</v>
      </c>
      <c r="I220" s="45">
        <v>-4.2000000000000003E-2</v>
      </c>
      <c r="J220">
        <v>2</v>
      </c>
      <c r="L220" s="45">
        <v>-4.2999999999999997E-2</v>
      </c>
      <c r="M220" s="1">
        <f t="shared" si="1"/>
        <v>0.31974115026177341</v>
      </c>
      <c r="O220" s="38" t="s">
        <v>85</v>
      </c>
      <c r="P220" s="48">
        <f>($K$211*-3)+$K$209</f>
        <v>-4.3168998004657289E-2</v>
      </c>
      <c r="Q220" s="1">
        <v>0</v>
      </c>
    </row>
    <row r="221" spans="1:17" ht="15">
      <c r="A221" s="44">
        <v>489.01</v>
      </c>
      <c r="B221" s="44">
        <v>491.54500000000002</v>
      </c>
      <c r="C221" s="44">
        <v>486</v>
      </c>
      <c r="D221" s="44">
        <v>486.73</v>
      </c>
      <c r="E221" s="44">
        <v>2462473</v>
      </c>
      <c r="F221" s="44" t="s">
        <v>160</v>
      </c>
      <c r="G221" s="25">
        <f t="shared" si="0"/>
        <v>4.684321903313915E-3</v>
      </c>
      <c r="I221" s="45">
        <v>-4.1000000000000002E-2</v>
      </c>
      <c r="J221">
        <v>0</v>
      </c>
      <c r="L221" s="45">
        <v>-4.2000000000000003E-2</v>
      </c>
      <c r="M221" s="1">
        <f t="shared" si="1"/>
        <v>0.39276457971655632</v>
      </c>
      <c r="O221" s="39"/>
      <c r="P221" s="48">
        <f>($K$211*-3)+$K$209</f>
        <v>-4.3168998004657289E-2</v>
      </c>
      <c r="Q221" s="1">
        <v>2</v>
      </c>
    </row>
    <row r="222" spans="1:17" ht="15">
      <c r="A222" s="44">
        <v>485.04</v>
      </c>
      <c r="B222" s="44">
        <v>485.9</v>
      </c>
      <c r="C222" s="44">
        <v>479.24</v>
      </c>
      <c r="D222" s="44">
        <v>480.74</v>
      </c>
      <c r="E222" s="44">
        <v>1955358</v>
      </c>
      <c r="F222" s="44" t="s">
        <v>161</v>
      </c>
      <c r="G222" s="25">
        <f t="shared" si="0"/>
        <v>8.9445438282647061E-3</v>
      </c>
      <c r="I222" s="45">
        <v>-0.04</v>
      </c>
      <c r="J222">
        <v>0</v>
      </c>
      <c r="L222" s="45">
        <v>-4.1000000000000002E-2</v>
      </c>
      <c r="M222" s="1">
        <f t="shared" si="1"/>
        <v>0.48013062287661901</v>
      </c>
      <c r="O222" s="38" t="s">
        <v>86</v>
      </c>
      <c r="P222" s="48">
        <f>($K$211*-2)+$K$209</f>
        <v>-2.8811072607061634E-2</v>
      </c>
      <c r="Q222" s="1">
        <v>0</v>
      </c>
    </row>
    <row r="223" spans="1:17" ht="15">
      <c r="A223" s="44">
        <v>484.79</v>
      </c>
      <c r="B223" s="44">
        <v>486.98</v>
      </c>
      <c r="C223" s="44">
        <v>478.71499999999997</v>
      </c>
      <c r="D223" s="44">
        <v>480.44</v>
      </c>
      <c r="E223" s="44">
        <v>2054842</v>
      </c>
      <c r="F223" s="44" t="s">
        <v>162</v>
      </c>
      <c r="G223" s="25">
        <f t="shared" si="0"/>
        <v>9.0542003163767149E-3</v>
      </c>
      <c r="I223" s="45">
        <v>-3.9E-2</v>
      </c>
      <c r="J223">
        <v>1</v>
      </c>
      <c r="L223" s="45">
        <v>-0.04</v>
      </c>
      <c r="M223" s="1">
        <f t="shared" si="1"/>
        <v>0.5840900469429815</v>
      </c>
      <c r="O223" s="39"/>
      <c r="P223" s="48">
        <f>($K$211*-2)+$K$209</f>
        <v>-2.8811072607061634E-2</v>
      </c>
      <c r="Q223" s="1">
        <v>4</v>
      </c>
    </row>
    <row r="224" spans="1:17" ht="15">
      <c r="A224" s="44">
        <v>477.41</v>
      </c>
      <c r="B224" s="44">
        <v>478.19</v>
      </c>
      <c r="C224" s="44">
        <v>460.91</v>
      </c>
      <c r="D224" s="44">
        <v>460.91</v>
      </c>
      <c r="E224" s="44">
        <v>2104911</v>
      </c>
      <c r="F224" s="44" t="s">
        <v>163</v>
      </c>
      <c r="G224" s="25">
        <f t="shared" si="0"/>
        <v>3.5798745959080946E-2</v>
      </c>
      <c r="I224" s="45">
        <v>-3.7999999999999999E-2</v>
      </c>
      <c r="J224">
        <v>1</v>
      </c>
      <c r="L224" s="45">
        <v>-3.9E-2</v>
      </c>
      <c r="M224" s="1">
        <f t="shared" si="1"/>
        <v>0.70712063990232188</v>
      </c>
      <c r="O224" s="40" t="s">
        <v>87</v>
      </c>
      <c r="P224" s="48">
        <f>($K$211*-1)+$K$209</f>
        <v>-1.4453147209465975E-2</v>
      </c>
      <c r="Q224" s="1">
        <v>0</v>
      </c>
    </row>
    <row r="225" spans="1:17" ht="15">
      <c r="A225" s="44">
        <v>462.39</v>
      </c>
      <c r="B225" s="44">
        <v>467.69499999999999</v>
      </c>
      <c r="C225" s="44">
        <v>459.33</v>
      </c>
      <c r="D225" s="44">
        <v>461.79</v>
      </c>
      <c r="E225" s="44">
        <v>1706673</v>
      </c>
      <c r="F225" s="44" t="s">
        <v>164</v>
      </c>
      <c r="G225" s="25">
        <f t="shared" si="0"/>
        <v>1.2992918859220381E-3</v>
      </c>
      <c r="I225" s="45">
        <v>-3.6999999999999998E-2</v>
      </c>
      <c r="J225">
        <v>1</v>
      </c>
      <c r="L225" s="45">
        <v>-3.7999999999999999E-2</v>
      </c>
      <c r="M225" s="1">
        <f t="shared" si="1"/>
        <v>0.85192336722851825</v>
      </c>
      <c r="P225" s="48">
        <f>($K$211*-1)+$K$209</f>
        <v>-1.4453147209465975E-2</v>
      </c>
      <c r="Q225" s="1">
        <v>17</v>
      </c>
    </row>
    <row r="226" spans="1:17" ht="15">
      <c r="A226" s="44">
        <v>460.72</v>
      </c>
      <c r="B226" s="44">
        <v>461.72</v>
      </c>
      <c r="C226" s="44">
        <v>451.435</v>
      </c>
      <c r="D226" s="44">
        <v>453.49</v>
      </c>
      <c r="E226" s="44">
        <v>1689920</v>
      </c>
      <c r="F226" s="44" t="s">
        <v>165</v>
      </c>
      <c r="G226" s="25">
        <f t="shared" si="0"/>
        <v>1.5943019691724292E-2</v>
      </c>
      <c r="I226" s="45">
        <v>-3.5999999999999997E-2</v>
      </c>
      <c r="J226">
        <v>1</v>
      </c>
      <c r="L226" s="45">
        <v>-3.6999999999999998E-2</v>
      </c>
      <c r="M226" s="1">
        <f t="shared" si="1"/>
        <v>1.0214117648262269</v>
      </c>
      <c r="O226" s="1" t="s">
        <v>88</v>
      </c>
      <c r="P226" s="48">
        <f>($K$211*1)+$K$209</f>
        <v>1.4262703585725338E-2</v>
      </c>
      <c r="Q226" s="1">
        <v>0</v>
      </c>
    </row>
    <row r="227" spans="1:17" ht="15" customHeight="1">
      <c r="A227" s="44">
        <v>454.74</v>
      </c>
      <c r="B227" s="44">
        <v>457.09</v>
      </c>
      <c r="C227" s="44">
        <v>451.17</v>
      </c>
      <c r="D227" s="44">
        <v>454.86</v>
      </c>
      <c r="E227" s="44">
        <v>1490175</v>
      </c>
      <c r="F227" s="44" t="s">
        <v>166</v>
      </c>
      <c r="G227" s="25">
        <f t="shared" si="0"/>
        <v>-2.6381743833270299E-4</v>
      </c>
      <c r="I227" s="45">
        <v>-3.4999999999999996E-2</v>
      </c>
      <c r="J227">
        <v>3</v>
      </c>
      <c r="L227" s="45">
        <v>-3.5999999999999997E-2</v>
      </c>
      <c r="M227" s="1">
        <f t="shared" si="1"/>
        <v>1.218693485649043</v>
      </c>
      <c r="P227" s="48">
        <f>($K$211*1)+$K$209</f>
        <v>1.4262703585725338E-2</v>
      </c>
      <c r="Q227" s="1">
        <v>17</v>
      </c>
    </row>
    <row r="228" spans="1:17" ht="15">
      <c r="A228" s="44">
        <v>448.94</v>
      </c>
      <c r="B228" s="44">
        <v>466.5</v>
      </c>
      <c r="C228" s="44">
        <v>446.28</v>
      </c>
      <c r="D228" s="44">
        <v>465.23</v>
      </c>
      <c r="E228" s="44">
        <v>2539468</v>
      </c>
      <c r="F228" s="44" t="s">
        <v>167</v>
      </c>
      <c r="G228" s="25">
        <f t="shared" si="0"/>
        <v>-3.5014938847451882E-2</v>
      </c>
      <c r="I228" s="45">
        <v>-3.3999999999999996E-2</v>
      </c>
      <c r="J228">
        <v>2</v>
      </c>
      <c r="L228" s="45">
        <v>-3.4999999999999996E-2</v>
      </c>
      <c r="M228" s="1">
        <f t="shared" si="1"/>
        <v>1.4470429846474733</v>
      </c>
      <c r="O228" s="41" t="s">
        <v>89</v>
      </c>
      <c r="P228" s="48">
        <f>($K$211*2)+$K$209</f>
        <v>2.8620628983320993E-2</v>
      </c>
      <c r="Q228" s="1">
        <v>0</v>
      </c>
    </row>
    <row r="229" spans="1:17" ht="15">
      <c r="A229" s="44">
        <v>466.42</v>
      </c>
      <c r="B229" s="44">
        <v>469.87</v>
      </c>
      <c r="C229" s="44">
        <v>464.84</v>
      </c>
      <c r="D229" s="44">
        <v>466.98</v>
      </c>
      <c r="E229" s="44">
        <v>1992305</v>
      </c>
      <c r="F229" s="44" t="s">
        <v>168</v>
      </c>
      <c r="G229" s="25">
        <f t="shared" si="0"/>
        <v>-1.1991948263309071E-3</v>
      </c>
      <c r="I229" s="45">
        <v>-3.2999999999999995E-2</v>
      </c>
      <c r="J229">
        <v>3</v>
      </c>
      <c r="L229" s="45">
        <v>-3.3999999999999996E-2</v>
      </c>
      <c r="M229" s="1">
        <f t="shared" si="1"/>
        <v>1.7098644506438339</v>
      </c>
      <c r="P229" s="48">
        <f>($K$211*2)+$K$209</f>
        <v>2.8620628983320993E-2</v>
      </c>
      <c r="Q229" s="1">
        <v>4</v>
      </c>
    </row>
    <row r="230" spans="1:17" ht="15">
      <c r="A230" s="44">
        <v>466.57</v>
      </c>
      <c r="B230" s="44">
        <v>467.76499999999999</v>
      </c>
      <c r="C230" s="44">
        <v>456.54</v>
      </c>
      <c r="D230" s="44">
        <v>460.1</v>
      </c>
      <c r="E230" s="44">
        <v>2057405</v>
      </c>
      <c r="F230" s="44" t="s">
        <v>169</v>
      </c>
      <c r="G230" s="25">
        <f t="shared" si="0"/>
        <v>1.4062160399912926E-2</v>
      </c>
      <c r="I230" s="45">
        <v>-3.1999999999999994E-2</v>
      </c>
      <c r="J230">
        <v>1</v>
      </c>
      <c r="L230" s="45">
        <v>-3.2999999999999995E-2</v>
      </c>
      <c r="M230" s="1">
        <f t="shared" si="1"/>
        <v>2.0106442799029671</v>
      </c>
      <c r="O230" s="41" t="s">
        <v>90</v>
      </c>
      <c r="P230" s="48">
        <f>($K$211*3)+$K$209</f>
        <v>4.2978554380916648E-2</v>
      </c>
      <c r="Q230" s="1">
        <v>0</v>
      </c>
    </row>
    <row r="231" spans="1:17" ht="15">
      <c r="A231" s="44">
        <v>463.04</v>
      </c>
      <c r="B231" s="44">
        <v>464.1</v>
      </c>
      <c r="C231" s="44">
        <v>451.45</v>
      </c>
      <c r="D231" s="44">
        <v>461.03</v>
      </c>
      <c r="E231" s="44">
        <v>2750829</v>
      </c>
      <c r="F231" s="44" t="s">
        <v>170</v>
      </c>
      <c r="G231" s="25">
        <f t="shared" si="0"/>
        <v>4.3598030496931894E-3</v>
      </c>
      <c r="I231" s="45">
        <v>-3.0999999999999993E-2</v>
      </c>
      <c r="J231">
        <v>1</v>
      </c>
      <c r="L231" s="45">
        <v>-3.1999999999999994E-2</v>
      </c>
      <c r="M231" s="1">
        <f t="shared" si="1"/>
        <v>2.3528926378909598</v>
      </c>
      <c r="O231" s="41"/>
      <c r="P231" s="48">
        <f>($K$211*3)+$K$209</f>
        <v>4.2978554380916648E-2</v>
      </c>
      <c r="Q231" s="1">
        <v>2</v>
      </c>
    </row>
    <row r="232" spans="1:17" ht="15">
      <c r="A232" s="44">
        <v>467.68</v>
      </c>
      <c r="B232" s="44">
        <v>483.87</v>
      </c>
      <c r="C232" s="44">
        <v>466.74</v>
      </c>
      <c r="D232" s="44">
        <v>470.78</v>
      </c>
      <c r="E232" s="44">
        <v>3408669</v>
      </c>
      <c r="F232" s="44" t="s">
        <v>171</v>
      </c>
      <c r="G232" s="25">
        <f t="shared" si="0"/>
        <v>-6.5848166871999014E-3</v>
      </c>
      <c r="I232" s="45">
        <v>-2.9999999999999992E-2</v>
      </c>
      <c r="J232">
        <v>5</v>
      </c>
      <c r="L232" s="45">
        <v>-3.0999999999999993E-2</v>
      </c>
      <c r="M232" s="1">
        <f t="shared" si="1"/>
        <v>2.7400739735018504</v>
      </c>
    </row>
    <row r="233" spans="1:17" ht="15">
      <c r="A233" s="44">
        <v>477.28</v>
      </c>
      <c r="B233" s="44">
        <v>484.88</v>
      </c>
      <c r="C233" s="44">
        <v>473.65</v>
      </c>
      <c r="D233" s="44">
        <v>483.98</v>
      </c>
      <c r="E233" s="44">
        <v>2581694</v>
      </c>
      <c r="F233" s="44" t="s">
        <v>172</v>
      </c>
      <c r="G233" s="25">
        <f t="shared" si="0"/>
        <v>-1.3843547254018818E-2</v>
      </c>
      <c r="I233" s="45">
        <v>-2.8999999999999991E-2</v>
      </c>
      <c r="J233">
        <v>2</v>
      </c>
      <c r="L233" s="45">
        <v>-2.9999999999999992E-2</v>
      </c>
      <c r="M233" s="1">
        <f t="shared" si="1"/>
        <v>3.17552673102771</v>
      </c>
    </row>
    <row r="234" spans="1:17" ht="15">
      <c r="A234" s="44">
        <v>482.16</v>
      </c>
      <c r="B234" s="44">
        <v>488.52</v>
      </c>
      <c r="C234" s="44">
        <v>480.4101</v>
      </c>
      <c r="D234" s="44">
        <v>482.24</v>
      </c>
      <c r="E234" s="44">
        <v>3028330</v>
      </c>
      <c r="F234" s="44" t="s">
        <v>173</v>
      </c>
      <c r="G234" s="25">
        <f t="shared" si="0"/>
        <v>-1.6589250165888192E-4</v>
      </c>
      <c r="I234" s="45">
        <v>-2.799999999999999E-2</v>
      </c>
      <c r="J234">
        <v>1</v>
      </c>
      <c r="L234" s="45">
        <v>-2.8999999999999991E-2</v>
      </c>
      <c r="M234" s="1">
        <f t="shared" si="1"/>
        <v>3.6623729426694678</v>
      </c>
    </row>
    <row r="235" spans="1:17" ht="15">
      <c r="A235" s="44">
        <v>484.96</v>
      </c>
      <c r="B235" s="44">
        <v>487.11</v>
      </c>
      <c r="C235" s="44">
        <v>474.87</v>
      </c>
      <c r="D235" s="44">
        <v>475.44</v>
      </c>
      <c r="E235" s="44">
        <v>3409832</v>
      </c>
      <c r="F235" s="44" t="s">
        <v>174</v>
      </c>
      <c r="G235" s="25">
        <f t="shared" si="0"/>
        <v>2.0023557126030544E-2</v>
      </c>
      <c r="I235" s="45">
        <v>-2.6999999999999989E-2</v>
      </c>
      <c r="J235">
        <v>3</v>
      </c>
      <c r="L235" s="45">
        <v>-2.799999999999999E-2</v>
      </c>
      <c r="M235" s="1">
        <f t="shared" si="1"/>
        <v>4.2034188676326609</v>
      </c>
    </row>
    <row r="236" spans="1:17" ht="15">
      <c r="A236" s="44">
        <v>478.32</v>
      </c>
      <c r="B236" s="44">
        <v>483.6</v>
      </c>
      <c r="C236" s="44">
        <v>474.40499999999997</v>
      </c>
      <c r="D236" s="44">
        <v>479.98</v>
      </c>
      <c r="E236" s="44">
        <v>4111685</v>
      </c>
      <c r="F236" s="44" t="s">
        <v>175</v>
      </c>
      <c r="G236" s="25">
        <f t="shared" si="0"/>
        <v>-3.4584774365599147E-3</v>
      </c>
      <c r="I236" s="45">
        <v>-2.5999999999999988E-2</v>
      </c>
      <c r="J236">
        <v>6</v>
      </c>
      <c r="L236" s="45">
        <v>-2.6999999999999989E-2</v>
      </c>
      <c r="M236" s="1">
        <f t="shared" si="1"/>
        <v>4.8010483578105774</v>
      </c>
    </row>
    <row r="237" spans="1:17" ht="15">
      <c r="A237" s="44">
        <v>475.03</v>
      </c>
      <c r="B237" s="44">
        <v>484.6</v>
      </c>
      <c r="C237" s="44">
        <v>465.03500000000003</v>
      </c>
      <c r="D237" s="44">
        <v>466.67</v>
      </c>
      <c r="E237" s="44">
        <v>6234071</v>
      </c>
      <c r="F237" s="44" t="s">
        <v>176</v>
      </c>
      <c r="G237" s="25">
        <f t="shared" si="0"/>
        <v>1.7914157756016014E-2</v>
      </c>
      <c r="I237" s="45">
        <v>-2.4999999999999988E-2</v>
      </c>
      <c r="J237">
        <v>3</v>
      </c>
      <c r="L237" s="45">
        <v>-2.5999999999999988E-2</v>
      </c>
      <c r="M237" s="1">
        <f t="shared" si="1"/>
        <v>5.4571111556591632</v>
      </c>
    </row>
    <row r="238" spans="1:17" ht="15">
      <c r="A238" s="44">
        <v>466.71</v>
      </c>
      <c r="B238" s="44">
        <v>487.93</v>
      </c>
      <c r="C238" s="44">
        <v>465.55009999999999</v>
      </c>
      <c r="D238" s="44">
        <v>473.255</v>
      </c>
      <c r="E238" s="44">
        <v>8928524</v>
      </c>
      <c r="F238" s="44" t="s">
        <v>177</v>
      </c>
      <c r="G238" s="25">
        <f t="shared" si="0"/>
        <v>-1.3829753515546606E-2</v>
      </c>
      <c r="I238" s="45">
        <v>-2.3999999999999987E-2</v>
      </c>
      <c r="J238">
        <v>10</v>
      </c>
      <c r="L238" s="45">
        <v>-2.4999999999999988E-2</v>
      </c>
      <c r="M238" s="1">
        <f t="shared" si="1"/>
        <v>6.1728088444243845</v>
      </c>
    </row>
    <row r="239" spans="1:17" ht="15">
      <c r="A239" s="44">
        <v>427.62</v>
      </c>
      <c r="B239" s="44">
        <v>428.99</v>
      </c>
      <c r="C239" s="44">
        <v>405.15</v>
      </c>
      <c r="D239" s="44">
        <v>406.31</v>
      </c>
      <c r="E239" s="44">
        <v>3665528</v>
      </c>
      <c r="F239" s="44" t="s">
        <v>178</v>
      </c>
      <c r="G239" s="25">
        <f t="shared" si="0"/>
        <v>5.244763850262113E-2</v>
      </c>
      <c r="I239" s="45">
        <v>-2.2999999999999986E-2</v>
      </c>
      <c r="J239">
        <v>6</v>
      </c>
      <c r="L239" s="45">
        <v>-2.3999999999999987E-2</v>
      </c>
      <c r="M239" s="1">
        <f t="shared" si="1"/>
        <v>6.9485816488130165</v>
      </c>
    </row>
    <row r="240" spans="1:17" ht="15">
      <c r="A240" s="44">
        <v>404.94</v>
      </c>
      <c r="B240" s="44">
        <v>414.995</v>
      </c>
      <c r="C240" s="44">
        <v>403.36</v>
      </c>
      <c r="D240" s="44">
        <v>414.94</v>
      </c>
      <c r="E240" s="44">
        <v>2722938</v>
      </c>
      <c r="F240" s="44" t="s">
        <v>179</v>
      </c>
      <c r="G240" s="25">
        <f t="shared" si="0"/>
        <v>-2.4099869860702783E-2</v>
      </c>
      <c r="I240" s="45">
        <v>-2.1999999999999985E-2</v>
      </c>
      <c r="J240">
        <v>8</v>
      </c>
      <c r="L240" s="45">
        <v>-2.2999999999999986E-2</v>
      </c>
      <c r="M240" s="1">
        <f t="shared" si="1"/>
        <v>7.7839996980458173</v>
      </c>
    </row>
    <row r="241" spans="1:32" ht="15">
      <c r="A241" s="44">
        <v>414.75</v>
      </c>
      <c r="B241" s="44">
        <v>427.91</v>
      </c>
      <c r="C241" s="44">
        <v>411.41</v>
      </c>
      <c r="D241" s="44">
        <v>425.92</v>
      </c>
      <c r="E241" s="44">
        <v>2629681</v>
      </c>
      <c r="F241" s="44" t="s">
        <v>180</v>
      </c>
      <c r="G241" s="25">
        <f t="shared" si="0"/>
        <v>-2.622558226897076E-2</v>
      </c>
      <c r="I241" s="45">
        <v>-2.0999999999999984E-2</v>
      </c>
      <c r="J241">
        <v>10</v>
      </c>
      <c r="L241" s="45">
        <v>-2.1999999999999985E-2</v>
      </c>
      <c r="M241" s="1">
        <f t="shared" si="1"/>
        <v>8.6776626849513008</v>
      </c>
    </row>
    <row r="242" spans="1:32" ht="15">
      <c r="A242" s="44">
        <v>424.98</v>
      </c>
      <c r="B242" s="44">
        <v>427</v>
      </c>
      <c r="C242" s="44">
        <v>413.29</v>
      </c>
      <c r="D242" s="44">
        <v>415</v>
      </c>
      <c r="E242" s="44">
        <v>2489763</v>
      </c>
      <c r="F242" s="44" t="s">
        <v>181</v>
      </c>
      <c r="G242" s="25">
        <f t="shared" si="0"/>
        <v>2.4048192771084276E-2</v>
      </c>
      <c r="I242" s="45">
        <v>-1.9999999999999983E-2</v>
      </c>
      <c r="J242">
        <v>7</v>
      </c>
      <c r="L242" s="45">
        <v>-2.0999999999999984E-2</v>
      </c>
      <c r="M242" s="1">
        <f t="shared" si="1"/>
        <v>9.6271120572123952</v>
      </c>
    </row>
    <row r="243" spans="1:32" ht="15">
      <c r="A243" s="44">
        <v>416.31</v>
      </c>
      <c r="B243" s="44">
        <v>420.55</v>
      </c>
      <c r="C243" s="44">
        <v>413.78</v>
      </c>
      <c r="D243" s="44">
        <v>418.31</v>
      </c>
      <c r="E243" s="44">
        <v>2758638</v>
      </c>
      <c r="F243" s="44" t="s">
        <v>182</v>
      </c>
      <c r="G243" s="25">
        <f t="shared" si="0"/>
        <v>-4.7811431713322694E-3</v>
      </c>
      <c r="I243" s="45">
        <v>-1.8999999999999982E-2</v>
      </c>
      <c r="J243">
        <v>9</v>
      </c>
      <c r="L243" s="45">
        <v>-1.9999999999999983E-2</v>
      </c>
      <c r="M243" s="1">
        <f t="shared" si="1"/>
        <v>10.628759935490256</v>
      </c>
    </row>
    <row r="244" spans="1:32" ht="15">
      <c r="A244" s="44">
        <v>417.99</v>
      </c>
      <c r="B244" s="44">
        <v>429</v>
      </c>
      <c r="C244" s="44">
        <v>417.2</v>
      </c>
      <c r="D244" s="44">
        <v>428.44</v>
      </c>
      <c r="E244" s="44">
        <v>2084826</v>
      </c>
      <c r="F244" s="44" t="s">
        <v>183</v>
      </c>
      <c r="G244" s="25">
        <f t="shared" si="0"/>
        <v>-2.4390813182709303E-2</v>
      </c>
      <c r="I244" s="45">
        <v>-1.7999999999999981E-2</v>
      </c>
      <c r="J244">
        <v>18</v>
      </c>
      <c r="L244" s="45">
        <v>-1.8999999999999982E-2</v>
      </c>
      <c r="M244" s="1">
        <f t="shared" si="1"/>
        <v>11.677838847610664</v>
      </c>
      <c r="AF244" s="2" t="s">
        <v>80</v>
      </c>
    </row>
    <row r="245" spans="1:32" ht="15">
      <c r="A245" s="44">
        <v>425.34</v>
      </c>
      <c r="B245" s="44">
        <v>430.5</v>
      </c>
      <c r="C245" s="44">
        <v>422.04</v>
      </c>
      <c r="D245" s="44">
        <v>429</v>
      </c>
      <c r="E245" s="44">
        <v>2819144</v>
      </c>
      <c r="F245" s="44" t="s">
        <v>184</v>
      </c>
      <c r="G245" s="25">
        <f t="shared" si="0"/>
        <v>-8.5314685314685779E-3</v>
      </c>
      <c r="I245" s="45">
        <v>-1.699999999999998E-2</v>
      </c>
      <c r="J245">
        <v>7</v>
      </c>
      <c r="L245" s="45">
        <v>-1.7999999999999981E-2</v>
      </c>
      <c r="M245" s="1">
        <f t="shared" si="1"/>
        <v>12.768376083927404</v>
      </c>
      <c r="AF245" s="1" t="s">
        <v>81</v>
      </c>
    </row>
    <row r="246" spans="1:32" ht="15">
      <c r="A246" s="44">
        <v>434.86</v>
      </c>
      <c r="B246" s="44">
        <v>436.32</v>
      </c>
      <c r="C246" s="44">
        <v>425.65010000000001</v>
      </c>
      <c r="D246" s="44">
        <v>430.245</v>
      </c>
      <c r="E246" s="44">
        <v>2507609</v>
      </c>
      <c r="F246" s="44" t="s">
        <v>185</v>
      </c>
      <c r="G246" s="25">
        <f t="shared" si="0"/>
        <v>1.0726446559518488E-2</v>
      </c>
      <c r="I246" s="45">
        <v>-1.599999999999998E-2</v>
      </c>
      <c r="J246">
        <v>14</v>
      </c>
      <c r="L246" s="45">
        <v>-1.699999999999998E-2</v>
      </c>
      <c r="M246" s="1">
        <f t="shared" si="1"/>
        <v>13.893196009418123</v>
      </c>
    </row>
    <row r="247" spans="1:32" ht="15">
      <c r="A247" s="44">
        <v>430.73</v>
      </c>
      <c r="B247" s="44">
        <v>438.49209999999999</v>
      </c>
      <c r="C247" s="44">
        <v>418.32</v>
      </c>
      <c r="D247" s="44">
        <v>420.83</v>
      </c>
      <c r="E247" s="44">
        <v>2931032</v>
      </c>
      <c r="F247" s="44" t="s">
        <v>186</v>
      </c>
      <c r="G247" s="25">
        <f t="shared" si="0"/>
        <v>2.3524938811396501E-2</v>
      </c>
      <c r="I247" s="45">
        <v>-1.4999999999999979E-2</v>
      </c>
      <c r="J247">
        <v>17</v>
      </c>
      <c r="L247" s="45">
        <v>-1.599999999999998E-2</v>
      </c>
      <c r="M247" s="1">
        <f t="shared" si="1"/>
        <v>15.043953014707128</v>
      </c>
    </row>
    <row r="248" spans="1:32" ht="15">
      <c r="A248" s="44">
        <v>419.88</v>
      </c>
      <c r="B248" s="44">
        <v>429.39</v>
      </c>
      <c r="C248" s="44">
        <v>411.88</v>
      </c>
      <c r="D248" s="44">
        <v>422.2</v>
      </c>
      <c r="E248" s="44">
        <v>2719807</v>
      </c>
      <c r="F248" s="44" t="s">
        <v>187</v>
      </c>
      <c r="G248" s="25">
        <f t="shared" si="0"/>
        <v>-5.4950260540028717E-3</v>
      </c>
      <c r="I248" s="45">
        <v>-1.3999999999999978E-2</v>
      </c>
      <c r="J248">
        <v>14</v>
      </c>
      <c r="L248" s="45">
        <v>-1.4999999999999979E-2</v>
      </c>
      <c r="M248" s="1">
        <f t="shared" si="1"/>
        <v>16.211196962197945</v>
      </c>
    </row>
    <row r="249" spans="1:32" ht="15">
      <c r="A249" s="44">
        <v>426.17</v>
      </c>
      <c r="B249" s="44">
        <v>433.13499999999999</v>
      </c>
      <c r="C249" s="44">
        <v>418.58</v>
      </c>
      <c r="D249" s="44">
        <v>418.58</v>
      </c>
      <c r="E249" s="44">
        <v>2617086</v>
      </c>
      <c r="F249" s="44" t="s">
        <v>188</v>
      </c>
      <c r="G249" s="25">
        <f t="shared" si="0"/>
        <v>1.8132734483252921E-2</v>
      </c>
      <c r="I249" s="45">
        <v>-1.2999999999999977E-2</v>
      </c>
      <c r="J249">
        <v>19</v>
      </c>
      <c r="L249" s="45">
        <v>-1.3999999999999978E-2</v>
      </c>
      <c r="M249" s="1">
        <f t="shared" si="1"/>
        <v>17.384472005790393</v>
      </c>
    </row>
    <row r="250" spans="1:32" ht="15">
      <c r="A250" s="44">
        <v>418.7</v>
      </c>
      <c r="B250" s="44">
        <v>429.32</v>
      </c>
      <c r="C250" s="44">
        <v>415.42</v>
      </c>
      <c r="D250" s="44">
        <v>426.56</v>
      </c>
      <c r="E250" s="44">
        <v>2495788</v>
      </c>
      <c r="F250" s="44" t="s">
        <v>189</v>
      </c>
      <c r="G250" s="25">
        <f t="shared" si="0"/>
        <v>-1.8426481620405166E-2</v>
      </c>
      <c r="I250" s="45">
        <v>-1.1999999999999976E-2</v>
      </c>
      <c r="J250">
        <v>25</v>
      </c>
      <c r="L250" s="45">
        <v>-1.2999999999999977E-2</v>
      </c>
      <c r="M250" s="1">
        <f t="shared" si="1"/>
        <v>18.552448563784754</v>
      </c>
    </row>
    <row r="251" spans="1:32" ht="15">
      <c r="A251" s="44">
        <v>429.33</v>
      </c>
      <c r="B251" s="44">
        <v>432.9</v>
      </c>
      <c r="C251" s="44">
        <v>426.08</v>
      </c>
      <c r="D251" s="44">
        <v>428.62</v>
      </c>
      <c r="E251" s="44">
        <v>1359315</v>
      </c>
      <c r="F251" s="44" t="s">
        <v>190</v>
      </c>
      <c r="G251" s="25">
        <f t="shared" si="0"/>
        <v>1.6564789323876283E-3</v>
      </c>
      <c r="I251" s="45">
        <v>-1.0999999999999975E-2</v>
      </c>
      <c r="J251">
        <v>17</v>
      </c>
      <c r="L251" s="45">
        <v>-1.1999999999999976E-2</v>
      </c>
      <c r="M251" s="1">
        <f t="shared" ref="M251:M282" si="2">_xlfn.NORM.DIST(L251,$K$209,$K$211,FALSE)</f>
        <v>19.703087043831889</v>
      </c>
    </row>
    <row r="252" spans="1:32" ht="15">
      <c r="A252" s="44">
        <v>427.76</v>
      </c>
      <c r="B252" s="44">
        <v>430.46</v>
      </c>
      <c r="C252" s="44">
        <v>421.75</v>
      </c>
      <c r="D252" s="44">
        <v>425</v>
      </c>
      <c r="E252" s="44">
        <v>2663652</v>
      </c>
      <c r="F252" s="44" t="s">
        <v>191</v>
      </c>
      <c r="G252" s="25">
        <f t="shared" si="0"/>
        <v>6.4941176470587614E-3</v>
      </c>
      <c r="I252" s="45">
        <v>-9.9999999999999742E-3</v>
      </c>
      <c r="J252">
        <v>28</v>
      </c>
      <c r="L252" s="45">
        <v>-1.0999999999999975E-2</v>
      </c>
      <c r="M252" s="1">
        <f t="shared" si="2"/>
        <v>20.823830702802084</v>
      </c>
    </row>
    <row r="253" spans="1:32" ht="15">
      <c r="A253" s="44">
        <v>421.47</v>
      </c>
      <c r="B253" s="44">
        <v>429.1</v>
      </c>
      <c r="C253" s="44">
        <v>404.85</v>
      </c>
      <c r="D253" s="44">
        <v>406.29</v>
      </c>
      <c r="E253" s="44">
        <v>2601748</v>
      </c>
      <c r="F253" s="44" t="s">
        <v>192</v>
      </c>
      <c r="G253" s="25">
        <f t="shared" si="0"/>
        <v>3.7362475079376845E-2</v>
      </c>
      <c r="I253" s="45">
        <v>-8.9999999999999733E-3</v>
      </c>
      <c r="J253">
        <v>31</v>
      </c>
      <c r="L253" s="45">
        <v>-9.9999999999999742E-3</v>
      </c>
      <c r="M253" s="1">
        <f t="shared" si="2"/>
        <v>21.901823825211366</v>
      </c>
    </row>
    <row r="254" spans="1:32" ht="15">
      <c r="A254" s="44">
        <v>405.46</v>
      </c>
      <c r="B254" s="44">
        <v>413.28</v>
      </c>
      <c r="C254" s="44">
        <v>401.45</v>
      </c>
      <c r="D254" s="44">
        <v>407.84</v>
      </c>
      <c r="E254" s="44">
        <v>3905950</v>
      </c>
      <c r="F254" s="44" t="s">
        <v>193</v>
      </c>
      <c r="G254" s="25">
        <f t="shared" si="0"/>
        <v>-5.8356218124754333E-3</v>
      </c>
      <c r="I254" s="45">
        <v>-7.9999999999999724E-3</v>
      </c>
      <c r="J254">
        <v>22</v>
      </c>
      <c r="L254" s="45">
        <v>-8.9999999999999733E-3</v>
      </c>
      <c r="M254" s="1">
        <f t="shared" si="2"/>
        <v>22.924150276267234</v>
      </c>
    </row>
    <row r="255" spans="1:32" ht="15">
      <c r="A255" s="44">
        <v>408.28</v>
      </c>
      <c r="B255" s="44">
        <v>414.4</v>
      </c>
      <c r="C255" s="44">
        <v>406.95</v>
      </c>
      <c r="D255" s="44">
        <v>412.39499999999998</v>
      </c>
      <c r="E255" s="44">
        <v>3923072</v>
      </c>
      <c r="F255" s="44" t="s">
        <v>194</v>
      </c>
      <c r="G255" s="25">
        <f t="shared" si="0"/>
        <v>-9.9782975060318524E-3</v>
      </c>
      <c r="I255" s="45">
        <v>-6.9999999999999724E-3</v>
      </c>
      <c r="J255">
        <v>32</v>
      </c>
      <c r="L255" s="45">
        <v>-7.9999999999999724E-3</v>
      </c>
      <c r="M255" s="1">
        <f t="shared" si="2"/>
        <v>23.878086484695103</v>
      </c>
    </row>
    <row r="256" spans="1:32" ht="15">
      <c r="A256" s="44">
        <v>412.12</v>
      </c>
      <c r="B256" s="44">
        <v>415.31</v>
      </c>
      <c r="C256" s="44">
        <v>409.27499999999998</v>
      </c>
      <c r="D256" s="44">
        <v>409.54</v>
      </c>
      <c r="E256" s="44">
        <v>2927706</v>
      </c>
      <c r="F256" s="44" t="s">
        <v>195</v>
      </c>
      <c r="G256" s="25">
        <f t="shared" si="0"/>
        <v>6.299750940079063E-3</v>
      </c>
      <c r="I256" s="45">
        <v>-5.9999999999999724E-3</v>
      </c>
      <c r="J256">
        <v>40</v>
      </c>
      <c r="L256" s="45">
        <v>-6.9999999999999724E-3</v>
      </c>
      <c r="M256" s="1">
        <f t="shared" si="2"/>
        <v>24.751362088420255</v>
      </c>
    </row>
    <row r="257" spans="1:13" ht="15">
      <c r="A257" s="44">
        <v>410.65</v>
      </c>
      <c r="B257" s="44">
        <v>415</v>
      </c>
      <c r="C257" s="44">
        <v>398.08</v>
      </c>
      <c r="D257" s="44">
        <v>402.22</v>
      </c>
      <c r="E257" s="44">
        <v>3100914</v>
      </c>
      <c r="F257" s="44" t="s">
        <v>196</v>
      </c>
      <c r="G257" s="25">
        <f t="shared" si="0"/>
        <v>2.0958679329719843E-2</v>
      </c>
      <c r="I257" s="45">
        <v>-4.9999999999999723E-3</v>
      </c>
      <c r="J257">
        <v>39</v>
      </c>
      <c r="L257" s="45">
        <v>-5.9999999999999724E-3</v>
      </c>
      <c r="M257" s="1">
        <f t="shared" si="2"/>
        <v>25.532420879155676</v>
      </c>
    </row>
    <row r="258" spans="1:13" ht="15">
      <c r="A258" s="44">
        <v>404.37</v>
      </c>
      <c r="B258" s="44">
        <v>406.16</v>
      </c>
      <c r="C258" s="44">
        <v>399.18</v>
      </c>
      <c r="D258" s="44">
        <v>401.8</v>
      </c>
      <c r="E258" s="44">
        <v>2082991</v>
      </c>
      <c r="F258" s="44" t="s">
        <v>197</v>
      </c>
      <c r="G258" s="25">
        <f t="shared" si="0"/>
        <v>6.3962170233946569E-3</v>
      </c>
      <c r="I258" s="45">
        <v>-3.9999999999999723E-3</v>
      </c>
      <c r="J258">
        <v>36</v>
      </c>
      <c r="L258" s="45">
        <v>-4.9999999999999723E-3</v>
      </c>
      <c r="M258" s="1">
        <f t="shared" si="2"/>
        <v>26.210674347515575</v>
      </c>
    </row>
    <row r="259" spans="1:13" ht="15">
      <c r="A259" s="44">
        <v>400.21</v>
      </c>
      <c r="B259" s="44">
        <v>400.6</v>
      </c>
      <c r="C259" s="44">
        <v>393</v>
      </c>
      <c r="D259" s="44">
        <v>395.13</v>
      </c>
      <c r="E259" s="44">
        <v>2472344</v>
      </c>
      <c r="F259" s="44" t="s">
        <v>198</v>
      </c>
      <c r="G259" s="25">
        <f t="shared" si="0"/>
        <v>1.285652823121497E-2</v>
      </c>
      <c r="I259" s="45">
        <v>-2.9999999999999723E-3</v>
      </c>
      <c r="J259">
        <v>34</v>
      </c>
      <c r="L259" s="45">
        <v>-3.9999999999999723E-3</v>
      </c>
      <c r="M259" s="1">
        <f t="shared" si="2"/>
        <v>26.776740084790955</v>
      </c>
    </row>
    <row r="260" spans="1:13" ht="15">
      <c r="A260" s="44">
        <v>397.88</v>
      </c>
      <c r="B260" s="44">
        <v>397.9</v>
      </c>
      <c r="C260" s="44">
        <v>390.5</v>
      </c>
      <c r="D260" s="44">
        <v>392.89</v>
      </c>
      <c r="E260" s="44">
        <v>3751717</v>
      </c>
      <c r="F260" s="44" t="s">
        <v>199</v>
      </c>
      <c r="G260" s="25">
        <f t="shared" si="0"/>
        <v>1.270075593677622E-2</v>
      </c>
      <c r="I260" s="45">
        <v>-1.9999999999999723E-3</v>
      </c>
      <c r="J260">
        <v>48</v>
      </c>
      <c r="L260" s="45">
        <v>-2.9999999999999723E-3</v>
      </c>
      <c r="M260" s="1">
        <f t="shared" si="2"/>
        <v>27.222657554248819</v>
      </c>
    </row>
    <row r="261" spans="1:13" ht="15">
      <c r="A261" s="44">
        <v>392.56</v>
      </c>
      <c r="B261" s="44">
        <v>395.78</v>
      </c>
      <c r="C261" s="44">
        <v>385.46</v>
      </c>
      <c r="D261" s="44">
        <v>390.26</v>
      </c>
      <c r="E261" s="44">
        <v>2884259</v>
      </c>
      <c r="F261" s="44" t="s">
        <v>200</v>
      </c>
      <c r="G261" s="25">
        <f t="shared" si="0"/>
        <v>5.8935068928407386E-3</v>
      </c>
      <c r="I261" s="45">
        <v>-9.9999999999997227E-4</v>
      </c>
      <c r="J261">
        <v>47</v>
      </c>
      <c r="L261" s="45">
        <v>-1.9999999999999723E-3</v>
      </c>
      <c r="M261" s="1">
        <f t="shared" si="2"/>
        <v>27.542074302696292</v>
      </c>
    </row>
    <row r="262" spans="1:13" ht="15">
      <c r="A262" s="44">
        <v>390.26</v>
      </c>
      <c r="B262" s="44">
        <v>403.56</v>
      </c>
      <c r="C262" s="44">
        <v>389.86</v>
      </c>
      <c r="D262" s="44">
        <v>400</v>
      </c>
      <c r="E262" s="44">
        <v>3040408</v>
      </c>
      <c r="F262" s="44" t="s">
        <v>201</v>
      </c>
      <c r="G262" s="25">
        <f t="shared" ref="G262:G325" si="3">A262/D262-1</f>
        <v>-2.4349999999999983E-2</v>
      </c>
      <c r="I262" s="45">
        <v>2.7755575615628914E-17</v>
      </c>
      <c r="J262">
        <v>47</v>
      </c>
      <c r="L262" s="45">
        <v>-9.9999999999997227E-4</v>
      </c>
      <c r="M262" s="1">
        <f t="shared" si="2"/>
        <v>27.730396526285706</v>
      </c>
    </row>
    <row r="263" spans="1:13" ht="15">
      <c r="A263" s="44">
        <v>405.08</v>
      </c>
      <c r="B263" s="44">
        <v>406.88</v>
      </c>
      <c r="C263" s="44">
        <v>397.2</v>
      </c>
      <c r="D263" s="44">
        <v>406.88</v>
      </c>
      <c r="E263" s="44">
        <v>1973187</v>
      </c>
      <c r="F263" s="44" t="s">
        <v>202</v>
      </c>
      <c r="G263" s="25">
        <f t="shared" si="3"/>
        <v>-4.4239087691703149E-3</v>
      </c>
      <c r="I263" s="45">
        <v>1.0000000000000278E-3</v>
      </c>
      <c r="J263">
        <v>37</v>
      </c>
      <c r="L263" s="45">
        <v>2.7755575615628914E-17</v>
      </c>
      <c r="M263" s="1">
        <f t="shared" si="2"/>
        <v>27.784899003002362</v>
      </c>
    </row>
    <row r="264" spans="1:13" ht="15">
      <c r="A264" s="44">
        <v>402.76</v>
      </c>
      <c r="B264" s="44">
        <v>413.33</v>
      </c>
      <c r="C264" s="44">
        <v>401.565</v>
      </c>
      <c r="D264" s="44">
        <v>410.37</v>
      </c>
      <c r="E264" s="44">
        <v>2367692</v>
      </c>
      <c r="F264" s="44" t="s">
        <v>203</v>
      </c>
      <c r="G264" s="25">
        <f t="shared" si="3"/>
        <v>-1.8544240563394099E-2</v>
      </c>
      <c r="I264" s="45">
        <v>2.0000000000000278E-3</v>
      </c>
      <c r="J264">
        <v>43</v>
      </c>
      <c r="L264" s="45">
        <v>1.0000000000000278E-3</v>
      </c>
      <c r="M264" s="1">
        <f t="shared" si="2"/>
        <v>27.704790714794932</v>
      </c>
    </row>
    <row r="265" spans="1:13" ht="15">
      <c r="A265" s="44">
        <v>414.9</v>
      </c>
      <c r="B265" s="44">
        <v>416.37347290106658</v>
      </c>
      <c r="C265" s="44">
        <v>409.48061661811084</v>
      </c>
      <c r="D265" s="44">
        <v>413.54640286037608</v>
      </c>
      <c r="E265" s="44">
        <v>2069729.835406122</v>
      </c>
      <c r="F265" s="44" t="s">
        <v>204</v>
      </c>
      <c r="G265" s="25">
        <f t="shared" si="3"/>
        <v>3.2731445135576465E-3</v>
      </c>
      <c r="I265" s="45">
        <v>3.0000000000000278E-3</v>
      </c>
      <c r="J265">
        <v>54</v>
      </c>
      <c r="L265" s="45">
        <v>2.0000000000000278E-3</v>
      </c>
      <c r="M265" s="1">
        <f t="shared" si="2"/>
        <v>27.49123395069871</v>
      </c>
    </row>
    <row r="266" spans="1:13" ht="15">
      <c r="A266" s="44">
        <v>414.72018635783587</v>
      </c>
      <c r="B266" s="44">
        <v>424.07049575036712</v>
      </c>
      <c r="C266" s="44">
        <v>412.84712758529355</v>
      </c>
      <c r="D266" s="44">
        <v>415.40947198613145</v>
      </c>
      <c r="E266" s="44">
        <v>3065891.1824777056</v>
      </c>
      <c r="F266" s="44" t="s">
        <v>205</v>
      </c>
      <c r="G266" s="25">
        <f t="shared" si="3"/>
        <v>-1.6592920353982743E-3</v>
      </c>
      <c r="I266" s="45">
        <v>4.0000000000000278E-3</v>
      </c>
      <c r="J266">
        <v>42</v>
      </c>
      <c r="L266" s="45">
        <v>3.0000000000000278E-3</v>
      </c>
      <c r="M266" s="1">
        <f t="shared" si="2"/>
        <v>27.147316246114485</v>
      </c>
    </row>
    <row r="267" spans="1:13" ht="15">
      <c r="A267" s="44">
        <v>414.11081790383548</v>
      </c>
      <c r="B267" s="44">
        <v>419.53519610911803</v>
      </c>
      <c r="C267" s="44">
        <v>406.30890376327255</v>
      </c>
      <c r="D267" s="44">
        <v>410.98405845953818</v>
      </c>
      <c r="E267" s="44">
        <v>2568947.686285852</v>
      </c>
      <c r="F267" s="44" t="s">
        <v>206</v>
      </c>
      <c r="G267" s="25">
        <f t="shared" si="3"/>
        <v>7.6079823047567885E-3</v>
      </c>
      <c r="I267" s="45">
        <v>5.0000000000000279E-3</v>
      </c>
      <c r="J267">
        <v>43</v>
      </c>
      <c r="L267" s="45">
        <v>4.0000000000000278E-3</v>
      </c>
      <c r="M267" s="1">
        <f t="shared" si="2"/>
        <v>26.677976105158919</v>
      </c>
    </row>
    <row r="268" spans="1:13" ht="15">
      <c r="A268" s="44">
        <v>408.10704018491316</v>
      </c>
      <c r="B268" s="44">
        <v>412.18281607396528</v>
      </c>
      <c r="C268" s="44">
        <v>401.10389820143018</v>
      </c>
      <c r="D268" s="44">
        <v>404.76050851130424</v>
      </c>
      <c r="E268" s="44">
        <v>2162298.6738973246</v>
      </c>
      <c r="F268" s="44" t="s">
        <v>207</v>
      </c>
      <c r="G268" s="25">
        <f t="shared" si="3"/>
        <v>8.2679303025814388E-3</v>
      </c>
      <c r="I268" s="45">
        <v>6.0000000000000279E-3</v>
      </c>
      <c r="J268">
        <v>43</v>
      </c>
      <c r="L268" s="45">
        <v>5.0000000000000279E-3</v>
      </c>
      <c r="M268" s="1">
        <f t="shared" si="2"/>
        <v>26.089885003738591</v>
      </c>
    </row>
    <row r="269" spans="1:13" ht="15">
      <c r="A269" s="44">
        <v>401.4839043652035</v>
      </c>
      <c r="B269" s="44">
        <v>406.17903835504296</v>
      </c>
      <c r="C269" s="44">
        <v>400.14529169575997</v>
      </c>
      <c r="D269" s="44">
        <v>400.14529169575997</v>
      </c>
      <c r="E269" s="44">
        <v>2203757.5972041455</v>
      </c>
      <c r="F269" s="44" t="s">
        <v>208</v>
      </c>
      <c r="G269" s="25">
        <f t="shared" si="3"/>
        <v>3.3453165568202436E-3</v>
      </c>
      <c r="I269" s="45">
        <v>7.0000000000000279E-3</v>
      </c>
      <c r="J269">
        <v>31</v>
      </c>
      <c r="L269" s="45">
        <v>6.0000000000000279E-3</v>
      </c>
      <c r="M269" s="1">
        <f t="shared" si="2"/>
        <v>25.391289613927377</v>
      </c>
    </row>
    <row r="270" spans="1:13" ht="15">
      <c r="A270" s="44">
        <v>397.94756940264369</v>
      </c>
      <c r="B270" s="44">
        <v>404.81545156863217</v>
      </c>
      <c r="C270" s="44">
        <v>396.33923626995397</v>
      </c>
      <c r="D270" s="44">
        <v>404.31097440589411</v>
      </c>
      <c r="E270" s="44">
        <v>2480447.0597011331</v>
      </c>
      <c r="F270" s="44" t="s">
        <v>209</v>
      </c>
      <c r="G270" s="25">
        <f t="shared" si="3"/>
        <v>-1.5738887653497402E-2</v>
      </c>
      <c r="I270" s="45">
        <v>8.0000000000000279E-3</v>
      </c>
      <c r="J270">
        <v>23</v>
      </c>
      <c r="L270" s="45">
        <v>7.0000000000000279E-3</v>
      </c>
      <c r="M270" s="1">
        <f t="shared" si="2"/>
        <v>24.591819464235471</v>
      </c>
    </row>
    <row r="271" spans="1:13" ht="15">
      <c r="A271" s="44">
        <v>403.2420821996966</v>
      </c>
      <c r="B271" s="44">
        <v>408.0570919509787</v>
      </c>
      <c r="C271" s="44">
        <v>401.77360412202341</v>
      </c>
      <c r="D271" s="44">
        <v>402.10326246599084</v>
      </c>
      <c r="E271" s="44">
        <v>2258606.3833212825</v>
      </c>
      <c r="F271" s="44" t="s">
        <v>210</v>
      </c>
      <c r="G271" s="25">
        <f t="shared" si="3"/>
        <v>2.8321574083276513E-3</v>
      </c>
      <c r="I271" s="45">
        <v>9.0000000000000288E-3</v>
      </c>
      <c r="J271">
        <v>38</v>
      </c>
      <c r="L271" s="45">
        <v>8.0000000000000279E-3</v>
      </c>
      <c r="M271" s="1">
        <f t="shared" si="2"/>
        <v>23.702266303169985</v>
      </c>
    </row>
    <row r="272" spans="1:13" ht="15">
      <c r="A272" s="44">
        <v>399.51594394818574</v>
      </c>
      <c r="B272" s="44">
        <v>401.98338670454814</v>
      </c>
      <c r="C272" s="44">
        <v>390.87489947752385</v>
      </c>
      <c r="D272" s="44">
        <v>394.66097560975606</v>
      </c>
      <c r="E272" s="44">
        <v>3193894.7072547604</v>
      </c>
      <c r="F272" s="44" t="s">
        <v>211</v>
      </c>
      <c r="G272" s="25">
        <f t="shared" si="3"/>
        <v>1.2301617434884893E-2</v>
      </c>
      <c r="I272" s="45">
        <v>1.000000000000003E-2</v>
      </c>
      <c r="J272">
        <v>25</v>
      </c>
      <c r="L272" s="45">
        <v>9.0000000000000288E-3</v>
      </c>
      <c r="M272" s="1">
        <f t="shared" si="2"/>
        <v>22.734342224274268</v>
      </c>
    </row>
    <row r="273" spans="1:13" ht="15">
      <c r="A273" s="44">
        <v>396.05952615992101</v>
      </c>
      <c r="B273" s="44">
        <v>400.09034863843203</v>
      </c>
      <c r="C273" s="44">
        <v>392.28343967447569</v>
      </c>
      <c r="D273" s="44">
        <v>399.72572653071046</v>
      </c>
      <c r="E273" s="44">
        <v>2586534.8946975176</v>
      </c>
      <c r="F273" s="44" t="s">
        <v>212</v>
      </c>
      <c r="G273" s="25">
        <f t="shared" si="3"/>
        <v>-9.1717898735441672E-3</v>
      </c>
      <c r="I273" s="45">
        <v>1.1000000000000031E-2</v>
      </c>
      <c r="J273">
        <v>22</v>
      </c>
      <c r="L273" s="45">
        <v>1.000000000000003E-2</v>
      </c>
      <c r="M273" s="1">
        <f t="shared" si="2"/>
        <v>21.70042411212728</v>
      </c>
    </row>
    <row r="274" spans="1:13" ht="15">
      <c r="A274" s="44">
        <v>402.40295186959764</v>
      </c>
      <c r="B274" s="44">
        <v>405.02023932776342</v>
      </c>
      <c r="C274" s="44">
        <v>396.90365131341338</v>
      </c>
      <c r="D274" s="44">
        <v>401.29410107625256</v>
      </c>
      <c r="E274" s="44">
        <v>2504944.4223427335</v>
      </c>
      <c r="F274" s="44" t="s">
        <v>213</v>
      </c>
      <c r="G274" s="25">
        <f t="shared" si="3"/>
        <v>2.7631873739764057E-3</v>
      </c>
      <c r="I274" s="45">
        <v>1.2000000000000031E-2</v>
      </c>
      <c r="J274">
        <v>17</v>
      </c>
      <c r="L274" s="45">
        <v>1.1000000000000031E-2</v>
      </c>
      <c r="M274" s="1">
        <f t="shared" si="2"/>
        <v>20.613292167588348</v>
      </c>
    </row>
    <row r="275" spans="1:13" ht="15">
      <c r="A275" s="44">
        <v>403.33198902077862</v>
      </c>
      <c r="B275" s="44">
        <v>406.94824115763367</v>
      </c>
      <c r="C275" s="44">
        <v>401.0044013194327</v>
      </c>
      <c r="D275" s="44">
        <v>402.63271374569615</v>
      </c>
      <c r="E275" s="44">
        <v>2501941.3131597978</v>
      </c>
      <c r="F275" s="44" t="s">
        <v>214</v>
      </c>
      <c r="G275" s="25">
        <f t="shared" si="3"/>
        <v>1.7367572261506314E-3</v>
      </c>
      <c r="I275" s="45">
        <v>1.3000000000000032E-2</v>
      </c>
      <c r="J275">
        <v>29</v>
      </c>
      <c r="L275" s="45">
        <v>1.2000000000000031E-2</v>
      </c>
      <c r="M275" s="1">
        <f t="shared" si="2"/>
        <v>19.485870168616753</v>
      </c>
    </row>
    <row r="276" spans="1:13" ht="15">
      <c r="A276" s="44">
        <v>401.71366624130206</v>
      </c>
      <c r="B276" s="44">
        <v>405.73949389641973</v>
      </c>
      <c r="C276" s="44">
        <v>399.97546770038281</v>
      </c>
      <c r="D276" s="44">
        <v>403.42189584186065</v>
      </c>
      <c r="E276" s="44">
        <v>1928926.0582550014</v>
      </c>
      <c r="F276" s="44" t="s">
        <v>215</v>
      </c>
      <c r="G276" s="25">
        <f t="shared" si="3"/>
        <v>-4.2343502377178988E-3</v>
      </c>
      <c r="I276" s="45">
        <v>1.4000000000000033E-2</v>
      </c>
      <c r="J276">
        <v>18</v>
      </c>
      <c r="L276" s="45">
        <v>1.3000000000000032E-2</v>
      </c>
      <c r="M276" s="1">
        <f t="shared" si="2"/>
        <v>18.330974736151951</v>
      </c>
    </row>
    <row r="277" spans="1:13" ht="15">
      <c r="A277" s="44">
        <v>403.13219608504079</v>
      </c>
      <c r="B277" s="44">
        <v>407.32784773553556</v>
      </c>
      <c r="C277" s="44">
        <v>400.08535381503862</v>
      </c>
      <c r="D277" s="44">
        <v>401.52386295235112</v>
      </c>
      <c r="E277" s="44">
        <v>2701511.932875392</v>
      </c>
      <c r="F277" s="44" t="s">
        <v>216</v>
      </c>
      <c r="G277" s="25">
        <f t="shared" si="3"/>
        <v>4.0055729710901655E-3</v>
      </c>
      <c r="I277" s="45">
        <v>1.5000000000000034E-2</v>
      </c>
      <c r="J277">
        <v>20</v>
      </c>
      <c r="L277" s="45">
        <v>1.4000000000000033E-2</v>
      </c>
      <c r="M277" s="1">
        <f t="shared" si="2"/>
        <v>17.161080231457539</v>
      </c>
    </row>
    <row r="278" spans="1:13" ht="15">
      <c r="A278" s="44">
        <v>393.25243541280429</v>
      </c>
      <c r="B278" s="44">
        <v>395.92966075169136</v>
      </c>
      <c r="C278" s="44">
        <v>390.25554137673657</v>
      </c>
      <c r="D278" s="44">
        <v>393.37231117424693</v>
      </c>
      <c r="E278" s="44">
        <v>2320661.6304410701</v>
      </c>
      <c r="F278" s="44" t="s">
        <v>217</v>
      </c>
      <c r="G278" s="25">
        <f t="shared" si="3"/>
        <v>-3.0473868657610037E-4</v>
      </c>
      <c r="I278" s="45">
        <v>1.6000000000000035E-2</v>
      </c>
      <c r="J278">
        <v>15</v>
      </c>
      <c r="L278" s="45">
        <v>1.5000000000000034E-2</v>
      </c>
      <c r="M278" s="1">
        <f t="shared" si="2"/>
        <v>15.98810505140559</v>
      </c>
    </row>
    <row r="279" spans="1:13" ht="15">
      <c r="A279" s="44">
        <v>400.06537452146483</v>
      </c>
      <c r="B279" s="44">
        <v>401.32407001661329</v>
      </c>
      <c r="C279" s="44">
        <v>393.40228011460766</v>
      </c>
      <c r="D279" s="44">
        <v>394.24141044470656</v>
      </c>
      <c r="E279" s="44">
        <v>2894363.5963123646</v>
      </c>
      <c r="F279" s="44" t="s">
        <v>218</v>
      </c>
      <c r="G279" s="25">
        <f t="shared" si="3"/>
        <v>1.477258330165987E-2</v>
      </c>
      <c r="I279" s="45">
        <v>1.7000000000000036E-2</v>
      </c>
      <c r="J279">
        <v>10</v>
      </c>
      <c r="L279" s="45">
        <v>1.6000000000000035E-2</v>
      </c>
      <c r="M279" s="1">
        <f t="shared" si="2"/>
        <v>14.823224059003017</v>
      </c>
    </row>
    <row r="280" spans="1:13" ht="15">
      <c r="A280" s="44">
        <v>397.8676522283485</v>
      </c>
      <c r="B280" s="44">
        <v>412.23276430789974</v>
      </c>
      <c r="C280" s="44">
        <v>396.94860472395442</v>
      </c>
      <c r="D280" s="44">
        <v>408.89622228107766</v>
      </c>
      <c r="E280" s="44">
        <v>2969316.1963364668</v>
      </c>
      <c r="F280" s="44" t="s">
        <v>219</v>
      </c>
      <c r="G280" s="25">
        <f t="shared" si="3"/>
        <v>-2.6971562591615372E-2</v>
      </c>
      <c r="I280" s="45">
        <v>1.8000000000000037E-2</v>
      </c>
      <c r="J280">
        <v>14</v>
      </c>
      <c r="L280" s="45">
        <v>1.7000000000000036E-2</v>
      </c>
      <c r="M280" s="1">
        <f t="shared" si="2"/>
        <v>13.676710740959974</v>
      </c>
    </row>
    <row r="281" spans="1:13" ht="15">
      <c r="A281" s="44">
        <v>413.32163580767099</v>
      </c>
      <c r="B281" s="44">
        <v>414.96992752750822</v>
      </c>
      <c r="C281" s="44">
        <v>409.46563214793053</v>
      </c>
      <c r="D281" s="44">
        <v>412.22277466111279</v>
      </c>
      <c r="E281" s="44">
        <v>2144271.009472162</v>
      </c>
      <c r="F281" s="44" t="s">
        <v>220</v>
      </c>
      <c r="G281" s="25">
        <f t="shared" si="3"/>
        <v>2.6656973221859115E-3</v>
      </c>
      <c r="I281" s="45">
        <v>1.9000000000000038E-2</v>
      </c>
      <c r="J281">
        <v>10</v>
      </c>
      <c r="L281" s="45">
        <v>1.8000000000000037E-2</v>
      </c>
      <c r="M281" s="1">
        <f t="shared" si="2"/>
        <v>12.557811477495111</v>
      </c>
    </row>
    <row r="282" spans="1:13" ht="15">
      <c r="A282" s="44">
        <v>413.49145980304814</v>
      </c>
      <c r="B282" s="44">
        <v>413.64130450485152</v>
      </c>
      <c r="C282" s="44">
        <v>406.83835504297781</v>
      </c>
      <c r="D282" s="44">
        <v>407.80735078130641</v>
      </c>
      <c r="E282" s="44">
        <v>1667140.0255965295</v>
      </c>
      <c r="F282" s="44" t="s">
        <v>221</v>
      </c>
      <c r="G282" s="25">
        <f t="shared" si="3"/>
        <v>1.3938221100850079E-2</v>
      </c>
      <c r="I282" s="45">
        <v>2.0000000000000039E-2</v>
      </c>
      <c r="J282">
        <v>9</v>
      </c>
      <c r="L282" s="45">
        <v>1.9000000000000038E-2</v>
      </c>
      <c r="M282" s="1">
        <f t="shared" si="2"/>
        <v>11.474653096423102</v>
      </c>
    </row>
    <row r="283" spans="1:13" ht="15">
      <c r="A283" s="44">
        <v>411.63338550068619</v>
      </c>
      <c r="B283" s="44">
        <v>412.20279536753901</v>
      </c>
      <c r="C283" s="44">
        <v>401.25414248910505</v>
      </c>
      <c r="D283" s="44">
        <v>404.58069486914019</v>
      </c>
      <c r="E283" s="44">
        <v>2501174.5192817547</v>
      </c>
      <c r="F283" s="44" t="s">
        <v>222</v>
      </c>
      <c r="G283" s="25">
        <f t="shared" si="3"/>
        <v>1.7432098765432169E-2</v>
      </c>
      <c r="I283" s="45">
        <v>2.1000000000000039E-2</v>
      </c>
      <c r="J283">
        <v>9</v>
      </c>
      <c r="L283" s="45">
        <v>2.0000000000000039E-2</v>
      </c>
      <c r="M283" s="1">
        <f t="shared" ref="M283:M308" si="4">_xlfn.NORM.DIST(L283,$K$209,$K$211,FALSE)</f>
        <v>10.434183715023476</v>
      </c>
    </row>
    <row r="284" spans="1:13" ht="15">
      <c r="A284" s="44">
        <v>404.51076734163195</v>
      </c>
      <c r="B284" s="44">
        <v>406.61568581609805</v>
      </c>
      <c r="C284" s="44">
        <v>390.09071220475283</v>
      </c>
      <c r="D284" s="44">
        <v>403.01232032359809</v>
      </c>
      <c r="E284" s="44">
        <v>4134037.0566642568</v>
      </c>
      <c r="F284" s="44" t="s">
        <v>223</v>
      </c>
      <c r="G284" s="25">
        <f t="shared" si="3"/>
        <v>3.7181171454776507E-3</v>
      </c>
      <c r="I284" s="45">
        <v>2.200000000000004E-2</v>
      </c>
      <c r="J284">
        <v>10</v>
      </c>
      <c r="L284" s="45">
        <v>2.1000000000000039E-2</v>
      </c>
      <c r="M284" s="1">
        <f t="shared" si="4"/>
        <v>9.4421457946157883</v>
      </c>
    </row>
    <row r="285" spans="1:13" ht="15">
      <c r="A285" s="44">
        <v>405.62960778176387</v>
      </c>
      <c r="B285" s="44">
        <v>430.10424240965011</v>
      </c>
      <c r="C285" s="44">
        <v>405.35988731851774</v>
      </c>
      <c r="D285" s="44">
        <v>429.51485324922345</v>
      </c>
      <c r="E285" s="44">
        <v>3204452.638105568</v>
      </c>
      <c r="F285" s="44" t="s">
        <v>224</v>
      </c>
      <c r="G285" s="25">
        <f t="shared" si="3"/>
        <v>-5.5609824169690181E-2</v>
      </c>
      <c r="I285" s="45">
        <v>2.3000000000000041E-2</v>
      </c>
      <c r="J285">
        <v>7</v>
      </c>
      <c r="L285" s="45">
        <v>2.200000000000004E-2</v>
      </c>
      <c r="M285" s="1">
        <f t="shared" si="4"/>
        <v>8.5030793818791004</v>
      </c>
    </row>
    <row r="286" spans="1:13" ht="15">
      <c r="A286" s="44">
        <v>428.50589892374734</v>
      </c>
      <c r="B286" s="44">
        <v>434.52965593624344</v>
      </c>
      <c r="C286" s="44">
        <v>426.85760720391011</v>
      </c>
      <c r="D286" s="44">
        <v>430.73359015722434</v>
      </c>
      <c r="E286" s="44">
        <v>2730008.4359122682</v>
      </c>
      <c r="F286" s="44" t="s">
        <v>225</v>
      </c>
      <c r="G286" s="25">
        <f t="shared" si="3"/>
        <v>-5.1718539820956311E-3</v>
      </c>
      <c r="I286" s="45">
        <v>2.4000000000000042E-2</v>
      </c>
      <c r="J286">
        <v>7</v>
      </c>
      <c r="L286" s="45">
        <v>2.3000000000000041E-2</v>
      </c>
      <c r="M286" s="1">
        <f t="shared" si="4"/>
        <v>7.6203527165074991</v>
      </c>
    </row>
    <row r="287" spans="1:13" ht="15">
      <c r="A287" s="44">
        <v>432.14213035417612</v>
      </c>
      <c r="B287" s="44">
        <v>432.28198540919266</v>
      </c>
      <c r="C287" s="44">
        <v>409.27582885897959</v>
      </c>
      <c r="D287" s="44">
        <v>410.70934317289863</v>
      </c>
      <c r="E287" s="44">
        <v>3720235.639238371</v>
      </c>
      <c r="F287" s="44" t="s">
        <v>226</v>
      </c>
      <c r="G287" s="25">
        <f t="shared" si="3"/>
        <v>5.2184805477519358E-2</v>
      </c>
      <c r="I287" s="45">
        <v>2.5000000000000043E-2</v>
      </c>
      <c r="J287">
        <v>5</v>
      </c>
      <c r="L287" s="45">
        <v>2.4000000000000042E-2</v>
      </c>
      <c r="M287" s="1">
        <f t="shared" si="4"/>
        <v>6.7962167658739574</v>
      </c>
    </row>
    <row r="288" spans="1:13" ht="15">
      <c r="A288" s="44">
        <v>402.71263091999128</v>
      </c>
      <c r="B288" s="44">
        <v>412.06294031252253</v>
      </c>
      <c r="C288" s="44">
        <v>401.33405966340018</v>
      </c>
      <c r="D288" s="44">
        <v>410.1748970697999</v>
      </c>
      <c r="E288" s="44">
        <v>2321274.2647143891</v>
      </c>
      <c r="F288" s="44" t="s">
        <v>227</v>
      </c>
      <c r="G288" s="25">
        <f t="shared" si="3"/>
        <v>-1.8192888455918266E-2</v>
      </c>
      <c r="I288" s="45">
        <v>2.6000000000000044E-2</v>
      </c>
      <c r="J288">
        <v>2</v>
      </c>
      <c r="L288" s="45">
        <v>2.5000000000000043E-2</v>
      </c>
      <c r="M288" s="1">
        <f t="shared" si="4"/>
        <v>6.0318798132894615</v>
      </c>
    </row>
    <row r="289" spans="1:13" ht="15">
      <c r="A289" s="44">
        <v>410.35471071196395</v>
      </c>
      <c r="B289" s="44">
        <v>415.31956516504943</v>
      </c>
      <c r="C289" s="44">
        <v>402.39296222281075</v>
      </c>
      <c r="D289" s="44">
        <v>406.64855175402687</v>
      </c>
      <c r="E289" s="44">
        <v>3016732.2872258378</v>
      </c>
      <c r="F289" s="44" t="s">
        <v>228</v>
      </c>
      <c r="G289" s="25">
        <f t="shared" si="3"/>
        <v>9.1139116122533892E-3</v>
      </c>
      <c r="I289" s="45">
        <v>2.7000000000000045E-2</v>
      </c>
      <c r="J289">
        <v>3</v>
      </c>
      <c r="L289" s="45">
        <v>2.6000000000000044E-2</v>
      </c>
      <c r="M289" s="1">
        <f t="shared" si="4"/>
        <v>5.3275979771557385</v>
      </c>
    </row>
    <row r="290" spans="1:13" ht="15">
      <c r="A290" s="44">
        <v>407.42774420340453</v>
      </c>
      <c r="B290" s="44">
        <v>412.92204993619532</v>
      </c>
      <c r="C290" s="44">
        <v>404.15114005730379</v>
      </c>
      <c r="D290" s="44">
        <v>408.9661498085859</v>
      </c>
      <c r="E290" s="44">
        <v>2962771.4203904555</v>
      </c>
      <c r="F290" s="44" t="s">
        <v>229</v>
      </c>
      <c r="G290" s="25">
        <f t="shared" si="3"/>
        <v>-3.7616942279976584E-3</v>
      </c>
      <c r="I290" s="45">
        <v>2.8000000000000046E-2</v>
      </c>
      <c r="J290">
        <v>7</v>
      </c>
      <c r="L290" s="45">
        <v>2.7000000000000045E-2</v>
      </c>
      <c r="M290" s="1">
        <f t="shared" si="4"/>
        <v>4.6827774653446035</v>
      </c>
    </row>
    <row r="291" spans="1:13" ht="15">
      <c r="A291" s="44">
        <v>406.59860352009241</v>
      </c>
      <c r="B291" s="44">
        <v>423.12147930561235</v>
      </c>
      <c r="C291" s="44">
        <v>406.07914188717405</v>
      </c>
      <c r="D291" s="44">
        <v>419.01573447619961</v>
      </c>
      <c r="E291" s="44">
        <v>4074385.2979272115</v>
      </c>
      <c r="F291" s="44" t="s">
        <v>230</v>
      </c>
      <c r="G291" s="25">
        <f t="shared" si="3"/>
        <v>-2.9634044582190988E-2</v>
      </c>
      <c r="I291" s="45">
        <v>2.9000000000000047E-2</v>
      </c>
      <c r="J291">
        <v>2</v>
      </c>
      <c r="L291" s="45">
        <v>2.8000000000000046E-2</v>
      </c>
      <c r="M291" s="1">
        <f t="shared" si="4"/>
        <v>4.0960844568624326</v>
      </c>
    </row>
    <row r="292" spans="1:13" ht="15">
      <c r="A292" s="44">
        <v>421.83281487010322</v>
      </c>
      <c r="B292" s="44">
        <v>424.54180728577273</v>
      </c>
      <c r="C292" s="44">
        <v>417.42738063708373</v>
      </c>
      <c r="D292" s="44">
        <v>421.96268027833287</v>
      </c>
      <c r="E292" s="44">
        <v>2640061.3117377684</v>
      </c>
      <c r="F292" s="44" t="s">
        <v>231</v>
      </c>
      <c r="G292" s="25">
        <f t="shared" si="3"/>
        <v>-3.0776515151531569E-4</v>
      </c>
      <c r="I292" s="45">
        <v>3.0000000000000047E-2</v>
      </c>
      <c r="J292">
        <v>2</v>
      </c>
      <c r="L292" s="45">
        <v>2.9000000000000047E-2</v>
      </c>
      <c r="M292" s="1">
        <f t="shared" si="4"/>
        <v>3.5655587300220231</v>
      </c>
    </row>
    <row r="293" spans="1:13" ht="15">
      <c r="A293" s="44">
        <v>423.11148965882552</v>
      </c>
      <c r="B293" s="44">
        <v>430.99332097368352</v>
      </c>
      <c r="C293" s="44">
        <v>421.98265957190665</v>
      </c>
      <c r="D293" s="44">
        <v>428.02639587797654</v>
      </c>
      <c r="E293" s="44">
        <v>2495058.1869125091</v>
      </c>
      <c r="F293" s="44" t="s">
        <v>232</v>
      </c>
      <c r="G293" s="25">
        <f t="shared" si="3"/>
        <v>-1.1482717576493107E-2</v>
      </c>
      <c r="I293" s="45">
        <v>3.1000000000000048E-2</v>
      </c>
      <c r="J293">
        <v>2</v>
      </c>
      <c r="L293" s="45">
        <v>3.0000000000000047E-2</v>
      </c>
      <c r="M293" s="1">
        <f t="shared" si="4"/>
        <v>3.0887274977505377</v>
      </c>
    </row>
    <row r="294" spans="1:13" ht="15">
      <c r="A294" s="44">
        <v>419.45527893482284</v>
      </c>
      <c r="B294" s="44">
        <v>428.42598174945221</v>
      </c>
      <c r="C294" s="44">
        <v>414.94994823393444</v>
      </c>
      <c r="D294" s="44">
        <v>425.41909806659766</v>
      </c>
      <c r="E294" s="44">
        <v>2774793.8031573873</v>
      </c>
      <c r="F294" s="44" t="s">
        <v>233</v>
      </c>
      <c r="G294" s="25">
        <f t="shared" si="3"/>
        <v>-1.4018691588785215E-2</v>
      </c>
      <c r="I294" s="45">
        <v>3.2000000000000049E-2</v>
      </c>
      <c r="J294">
        <v>3</v>
      </c>
      <c r="L294" s="45">
        <v>3.1000000000000048E-2</v>
      </c>
      <c r="M294" s="1">
        <f t="shared" si="4"/>
        <v>2.6627163388780346</v>
      </c>
    </row>
    <row r="295" spans="1:13" ht="15">
      <c r="A295" s="44">
        <v>428.5558471576818</v>
      </c>
      <c r="B295" s="44">
        <v>428.86552620807549</v>
      </c>
      <c r="C295" s="44">
        <v>422.55206943875953</v>
      </c>
      <c r="D295" s="44">
        <v>427.20724484145131</v>
      </c>
      <c r="E295" s="44">
        <v>2947723.8413111595</v>
      </c>
      <c r="F295" s="44" t="s">
        <v>234</v>
      </c>
      <c r="G295" s="25">
        <f t="shared" si="3"/>
        <v>3.1567870922484254E-3</v>
      </c>
      <c r="I295" s="45">
        <v>3.300000000000005E-2</v>
      </c>
      <c r="J295">
        <v>1</v>
      </c>
      <c r="L295" s="45">
        <v>3.2000000000000049E-2</v>
      </c>
      <c r="M295" s="1">
        <f t="shared" si="4"/>
        <v>2.2843546012317093</v>
      </c>
    </row>
    <row r="296" spans="1:13" ht="15">
      <c r="A296" s="44">
        <v>427.08736908000861</v>
      </c>
      <c r="B296" s="44">
        <v>429.89445982712539</v>
      </c>
      <c r="C296" s="44">
        <v>418.37639708183849</v>
      </c>
      <c r="D296" s="44">
        <v>421.37828594129968</v>
      </c>
      <c r="E296" s="44">
        <v>2439904.0846951073</v>
      </c>
      <c r="F296" s="44" t="s">
        <v>235</v>
      </c>
      <c r="G296" s="25">
        <f t="shared" si="3"/>
        <v>1.3548593577753065E-2</v>
      </c>
      <c r="I296" s="45">
        <v>3.4000000000000051E-2</v>
      </c>
      <c r="J296">
        <v>1</v>
      </c>
      <c r="L296" s="45">
        <v>3.300000000000005E-2</v>
      </c>
      <c r="M296" s="1">
        <f t="shared" si="4"/>
        <v>1.9502731709169858</v>
      </c>
    </row>
    <row r="297" spans="1:13" ht="15">
      <c r="A297" s="44">
        <v>420.90377771892224</v>
      </c>
      <c r="B297" s="44">
        <v>432.40186117063541</v>
      </c>
      <c r="C297" s="44">
        <v>416.40843666482067</v>
      </c>
      <c r="D297" s="44">
        <v>429.48488430886283</v>
      </c>
      <c r="E297" s="44">
        <v>2534173.6840202459</v>
      </c>
      <c r="F297" s="44" t="s">
        <v>236</v>
      </c>
      <c r="G297" s="25">
        <f t="shared" si="3"/>
        <v>-1.9979996743656137E-2</v>
      </c>
      <c r="I297" s="45">
        <v>3.5000000000000052E-2</v>
      </c>
      <c r="J297">
        <v>2</v>
      </c>
      <c r="L297" s="45">
        <v>3.4000000000000051E-2</v>
      </c>
      <c r="M297" s="1">
        <f t="shared" si="4"/>
        <v>1.6569930271974196</v>
      </c>
    </row>
    <row r="298" spans="1:13" ht="15">
      <c r="A298" s="44">
        <v>423.80077528712104</v>
      </c>
      <c r="B298" s="44">
        <v>426.27810779380246</v>
      </c>
      <c r="C298" s="44">
        <v>416.38845737124694</v>
      </c>
      <c r="D298" s="44">
        <v>425.67882888305684</v>
      </c>
      <c r="E298" s="44">
        <v>2701117.5245360332</v>
      </c>
      <c r="F298" s="44" t="s">
        <v>237</v>
      </c>
      <c r="G298" s="25">
        <f t="shared" si="3"/>
        <v>-4.4119027503990438E-3</v>
      </c>
      <c r="I298" s="45">
        <v>3.6000000000000053E-2</v>
      </c>
      <c r="J298">
        <v>4</v>
      </c>
      <c r="L298" s="45">
        <v>3.5000000000000052E-2</v>
      </c>
      <c r="M298" s="1">
        <f t="shared" si="4"/>
        <v>1.4010035118450495</v>
      </c>
    </row>
    <row r="299" spans="1:13" ht="15">
      <c r="A299" s="44">
        <v>426.21826980954904</v>
      </c>
      <c r="B299" s="44">
        <v>432.01226494594653</v>
      </c>
      <c r="C299" s="44">
        <v>417.35745310957549</v>
      </c>
      <c r="D299" s="44">
        <v>429.55481183637107</v>
      </c>
      <c r="E299" s="44">
        <v>3666232.7288744277</v>
      </c>
      <c r="F299" s="44" t="s">
        <v>238</v>
      </c>
      <c r="G299" s="25">
        <f t="shared" si="3"/>
        <v>-7.7674418604650741E-3</v>
      </c>
      <c r="I299" s="45">
        <v>3.7000000000000054E-2</v>
      </c>
      <c r="J299">
        <v>1</v>
      </c>
      <c r="L299" s="45">
        <v>3.6000000000000053E-2</v>
      </c>
      <c r="M299" s="1">
        <f t="shared" si="4"/>
        <v>1.1788297174007201</v>
      </c>
    </row>
    <row r="300" spans="1:13" ht="15">
      <c r="A300" s="44">
        <v>431.19311390942136</v>
      </c>
      <c r="B300" s="44">
        <v>461.13208532973778</v>
      </c>
      <c r="C300" s="44">
        <v>428.9754123227313</v>
      </c>
      <c r="D300" s="44">
        <v>456.07732405557027</v>
      </c>
      <c r="E300" s="44">
        <v>3495907.3874186552</v>
      </c>
      <c r="F300" s="44" t="s">
        <v>239</v>
      </c>
      <c r="G300" s="25">
        <f t="shared" si="3"/>
        <v>-5.4561384295258031E-2</v>
      </c>
      <c r="I300" s="45">
        <v>3.8000000000000055E-2</v>
      </c>
      <c r="J300">
        <v>3</v>
      </c>
      <c r="L300" s="45">
        <v>3.7000000000000054E-2</v>
      </c>
      <c r="M300" s="1">
        <f t="shared" si="4"/>
        <v>0.98708882624474004</v>
      </c>
    </row>
    <row r="301" spans="1:13" ht="15">
      <c r="A301" s="44">
        <v>434.27991476657115</v>
      </c>
      <c r="B301" s="44">
        <v>436.55755423398256</v>
      </c>
      <c r="C301" s="44">
        <v>426.06842510774561</v>
      </c>
      <c r="D301" s="44">
        <v>429.35501890063324</v>
      </c>
      <c r="E301" s="44">
        <v>3681655.6966015911</v>
      </c>
      <c r="F301" s="44" t="s">
        <v>240</v>
      </c>
      <c r="G301" s="25">
        <f t="shared" si="3"/>
        <v>1.1470451372731505E-2</v>
      </c>
      <c r="I301" s="45">
        <v>3.9000000000000055E-2</v>
      </c>
      <c r="J301">
        <v>0</v>
      </c>
      <c r="L301" s="45">
        <v>3.8000000000000055E-2</v>
      </c>
      <c r="M301" s="1">
        <f t="shared" si="4"/>
        <v>0.82253560172899953</v>
      </c>
    </row>
    <row r="302" spans="1:13" ht="15">
      <c r="A302" s="44">
        <v>421.41324970505383</v>
      </c>
      <c r="B302" s="44">
        <v>426.05843546095872</v>
      </c>
      <c r="C302" s="44">
        <v>416.18866443550911</v>
      </c>
      <c r="D302" s="44">
        <v>425.0594707822695</v>
      </c>
      <c r="E302" s="44">
        <v>2317206.0528079057</v>
      </c>
      <c r="F302" s="44" t="s">
        <v>241</v>
      </c>
      <c r="G302" s="25">
        <f t="shared" si="3"/>
        <v>-8.5781433607520219E-3</v>
      </c>
      <c r="I302" s="45">
        <v>4.0000000000000056E-2</v>
      </c>
      <c r="J302">
        <v>1</v>
      </c>
      <c r="L302" s="45">
        <v>3.9000000000000055E-2</v>
      </c>
      <c r="M302" s="1">
        <f t="shared" si="4"/>
        <v>0.68209753793797745</v>
      </c>
    </row>
    <row r="303" spans="1:13" ht="15">
      <c r="A303" s="44">
        <v>427.05740013964794</v>
      </c>
      <c r="B303" s="44">
        <v>435.56857920208023</v>
      </c>
      <c r="C303" s="44">
        <v>424.60993667685932</v>
      </c>
      <c r="D303" s="44">
        <v>434.09011147762021</v>
      </c>
      <c r="E303" s="44">
        <v>3041425.8530007233</v>
      </c>
      <c r="F303" s="44" t="s">
        <v>242</v>
      </c>
      <c r="G303" s="25">
        <f t="shared" si="3"/>
        <v>-1.6201040180420789E-2</v>
      </c>
      <c r="I303" s="45">
        <v>4.1000000000000002E-2</v>
      </c>
      <c r="J303">
        <v>1</v>
      </c>
      <c r="L303" s="45">
        <v>4.0000000000000056E-2</v>
      </c>
      <c r="M303" s="1">
        <f t="shared" si="4"/>
        <v>0.56290041375178235</v>
      </c>
    </row>
    <row r="304" spans="1:13" ht="15">
      <c r="A304" s="44">
        <v>436.337782004671</v>
      </c>
      <c r="B304" s="44">
        <v>445.47331399128399</v>
      </c>
      <c r="C304" s="44">
        <v>434.90926251414538</v>
      </c>
      <c r="D304" s="44">
        <v>440.87308164592008</v>
      </c>
      <c r="E304" s="44">
        <v>1825365.8401542541</v>
      </c>
      <c r="F304" s="44" t="s">
        <v>243</v>
      </c>
      <c r="G304" s="25">
        <f t="shared" si="3"/>
        <v>-1.0287086760473962E-2</v>
      </c>
      <c r="I304" s="45">
        <v>4.2000000000000003E-2</v>
      </c>
      <c r="J304">
        <v>1</v>
      </c>
      <c r="L304" s="45">
        <v>4.1000000000000002E-2</v>
      </c>
      <c r="M304" s="1">
        <f t="shared" si="4"/>
        <v>0.46228517087307813</v>
      </c>
    </row>
    <row r="305" spans="1:13" ht="15">
      <c r="A305" s="44">
        <v>440.54342330195266</v>
      </c>
      <c r="B305" s="44">
        <v>449.80382587340182</v>
      </c>
      <c r="C305" s="44">
        <v>437.95760323116554</v>
      </c>
      <c r="D305" s="44">
        <v>447.12660053451469</v>
      </c>
      <c r="E305" s="44">
        <v>2548649.6713183899</v>
      </c>
      <c r="F305" s="44" t="s">
        <v>244</v>
      </c>
      <c r="G305" s="25">
        <f t="shared" si="3"/>
        <v>-1.4723295873455555E-2</v>
      </c>
      <c r="I305" s="45">
        <v>4.2999999999999997E-2</v>
      </c>
      <c r="J305">
        <v>1</v>
      </c>
      <c r="L305" s="45">
        <v>4.2000000000000003E-2</v>
      </c>
      <c r="M305" s="1">
        <f t="shared" si="4"/>
        <v>0.37781714813864375</v>
      </c>
    </row>
    <row r="306" spans="1:13" ht="15">
      <c r="A306" s="44">
        <v>448.86479907543395</v>
      </c>
      <c r="B306" s="44">
        <v>450.3732357402547</v>
      </c>
      <c r="C306" s="44">
        <v>441.54238798064188</v>
      </c>
      <c r="D306" s="44">
        <v>447.53617605277725</v>
      </c>
      <c r="E306" s="44">
        <v>2372974.7913714149</v>
      </c>
      <c r="F306" s="44" t="s">
        <v>245</v>
      </c>
      <c r="G306" s="25">
        <f t="shared" si="3"/>
        <v>2.9687499999999645E-3</v>
      </c>
      <c r="I306" s="45">
        <v>4.3999999999999997E-2</v>
      </c>
      <c r="J306">
        <v>2</v>
      </c>
      <c r="L306" s="45">
        <v>4.2999999999999997E-2</v>
      </c>
      <c r="M306" s="1">
        <f t="shared" si="4"/>
        <v>0.30728876162130597</v>
      </c>
    </row>
    <row r="307" spans="1:13" ht="15.75" thickBot="1">
      <c r="A307" s="44">
        <v>437.69637396768832</v>
      </c>
      <c r="B307" s="44">
        <v>440.27370283870658</v>
      </c>
      <c r="C307" s="44">
        <v>419.56516504947871</v>
      </c>
      <c r="D307" s="44">
        <v>429.54482218958418</v>
      </c>
      <c r="E307" s="44">
        <v>2660180.1411906485</v>
      </c>
      <c r="F307" s="44" t="s">
        <v>246</v>
      </c>
      <c r="G307" s="25">
        <f t="shared" si="3"/>
        <v>1.8977185515942185E-2</v>
      </c>
      <c r="I307" s="46" t="s">
        <v>1392</v>
      </c>
      <c r="J307" s="46">
        <v>6</v>
      </c>
      <c r="L307" s="45">
        <v>4.3999999999999997E-2</v>
      </c>
      <c r="M307" s="1">
        <f t="shared" si="4"/>
        <v>0.24871672903244654</v>
      </c>
    </row>
    <row r="308" spans="1:13" ht="15">
      <c r="A308" s="44">
        <v>426.99746225892659</v>
      </c>
      <c r="B308" s="44">
        <v>448.13555485999086</v>
      </c>
      <c r="C308" s="44">
        <v>414.88002070642619</v>
      </c>
      <c r="D308" s="44">
        <v>445.93783256687448</v>
      </c>
      <c r="E308" s="44">
        <v>3906413.3930344665</v>
      </c>
      <c r="F308" s="44" t="s">
        <v>247</v>
      </c>
      <c r="G308" s="25">
        <f t="shared" si="3"/>
        <v>-4.2473118279569899E-2</v>
      </c>
      <c r="L308" s="45">
        <v>4.4999999999999998E-2</v>
      </c>
      <c r="M308" s="1">
        <f t="shared" si="4"/>
        <v>0.20033490589317532</v>
      </c>
    </row>
    <row r="309" spans="1:13">
      <c r="A309" s="44">
        <v>453.08043001950256</v>
      </c>
      <c r="B309" s="44">
        <v>454.55390292056916</v>
      </c>
      <c r="C309" s="44">
        <v>409.42667252546164</v>
      </c>
      <c r="D309" s="44">
        <v>414.20072472491751</v>
      </c>
      <c r="E309" s="44">
        <v>4602444.0083634611</v>
      </c>
      <c r="F309" s="44" t="s">
        <v>248</v>
      </c>
      <c r="G309" s="25">
        <f t="shared" si="3"/>
        <v>9.3866821021151514E-2</v>
      </c>
    </row>
    <row r="310" spans="1:13">
      <c r="A310" s="44">
        <v>418.87587942118313</v>
      </c>
      <c r="B310" s="44">
        <v>453.65982953314227</v>
      </c>
      <c r="C310" s="44">
        <v>412.90207064262148</v>
      </c>
      <c r="D310" s="44">
        <v>450.69290443743529</v>
      </c>
      <c r="E310" s="44">
        <v>3933704.648252591</v>
      </c>
      <c r="F310" s="44" t="s">
        <v>249</v>
      </c>
      <c r="G310" s="25">
        <f t="shared" si="3"/>
        <v>-7.0595797499778401E-2</v>
      </c>
    </row>
    <row r="311" spans="1:13">
      <c r="A311" s="44">
        <v>437.41666385765535</v>
      </c>
      <c r="B311" s="44">
        <v>452.87064743697778</v>
      </c>
      <c r="C311" s="44">
        <v>410.78426552380029</v>
      </c>
      <c r="D311" s="44">
        <v>417.3374738160017</v>
      </c>
      <c r="E311" s="44">
        <v>4080477.6054229937</v>
      </c>
      <c r="F311" s="44" t="s">
        <v>250</v>
      </c>
      <c r="G311" s="25">
        <f t="shared" si="3"/>
        <v>4.811259784091737E-2</v>
      </c>
    </row>
    <row r="312" spans="1:13">
      <c r="A312" s="44">
        <v>437.45662244480292</v>
      </c>
      <c r="B312" s="44">
        <v>463.62949702646085</v>
      </c>
      <c r="C312" s="44">
        <v>436.76733681650734</v>
      </c>
      <c r="D312" s="44">
        <v>461.01220956829508</v>
      </c>
      <c r="E312" s="44">
        <v>3898603.3070860449</v>
      </c>
      <c r="F312" s="44" t="s">
        <v>251</v>
      </c>
      <c r="G312" s="25">
        <f t="shared" si="3"/>
        <v>-5.1095365013326344E-2</v>
      </c>
    </row>
    <row r="313" spans="1:13">
      <c r="A313" s="44">
        <v>469.54336792430109</v>
      </c>
      <c r="B313" s="44">
        <v>485.40692702188619</v>
      </c>
      <c r="C313" s="44">
        <v>467.68529362193914</v>
      </c>
      <c r="D313" s="44">
        <v>481.39108901355542</v>
      </c>
      <c r="E313" s="44">
        <v>2816545.0290913475</v>
      </c>
      <c r="F313" s="44" t="s">
        <v>252</v>
      </c>
      <c r="G313" s="25">
        <f t="shared" si="3"/>
        <v>-2.4611425844072277E-2</v>
      </c>
    </row>
    <row r="314" spans="1:13">
      <c r="A314" s="44">
        <v>488.55366575975728</v>
      </c>
      <c r="B314" s="44">
        <v>490.85128452074252</v>
      </c>
      <c r="C314" s="44">
        <v>479.10345989935712</v>
      </c>
      <c r="D314" s="44">
        <v>480.00252811017742</v>
      </c>
      <c r="E314" s="44">
        <v>2070845.9909857798</v>
      </c>
      <c r="F314" s="44" t="s">
        <v>253</v>
      </c>
      <c r="G314" s="25">
        <f t="shared" si="3"/>
        <v>1.7814776274713839E-2</v>
      </c>
    </row>
    <row r="315" spans="1:13">
      <c r="A315" s="44">
        <v>482.46997086653988</v>
      </c>
      <c r="B315" s="44">
        <v>495.99095779259864</v>
      </c>
      <c r="C315" s="44">
        <v>480.71179303204673</v>
      </c>
      <c r="D315" s="44">
        <v>495.04693617123729</v>
      </c>
      <c r="E315" s="44">
        <v>1839542.5175704991</v>
      </c>
      <c r="F315" s="44" t="s">
        <v>254</v>
      </c>
      <c r="G315" s="25">
        <f t="shared" si="3"/>
        <v>-2.5405601743482054E-2</v>
      </c>
    </row>
    <row r="316" spans="1:13">
      <c r="A316" s="44">
        <v>497.08482411576335</v>
      </c>
      <c r="B316" s="44">
        <v>500.10169744540485</v>
      </c>
      <c r="C316" s="44">
        <v>483.76862494883579</v>
      </c>
      <c r="D316" s="44">
        <v>495.98596296920516</v>
      </c>
      <c r="E316" s="44">
        <v>2918844.9423716562</v>
      </c>
      <c r="F316" s="44" t="s">
        <v>255</v>
      </c>
      <c r="G316" s="25">
        <f t="shared" si="3"/>
        <v>2.2155085599195878E-3</v>
      </c>
    </row>
    <row r="317" spans="1:13">
      <c r="A317" s="44">
        <v>499.64217369320778</v>
      </c>
      <c r="B317" s="44">
        <v>512.83350227529911</v>
      </c>
      <c r="C317" s="44">
        <v>498.88296053740396</v>
      </c>
      <c r="D317" s="44">
        <v>512.07928394288876</v>
      </c>
      <c r="E317" s="44">
        <v>1789602.8139310679</v>
      </c>
      <c r="F317" s="44" t="s">
        <v>256</v>
      </c>
      <c r="G317" s="25">
        <f t="shared" si="3"/>
        <v>-2.4287470006437606E-2</v>
      </c>
    </row>
    <row r="318" spans="1:13">
      <c r="A318" s="44">
        <v>511.15024679170779</v>
      </c>
      <c r="B318" s="44">
        <v>514.79646786892351</v>
      </c>
      <c r="C318" s="44">
        <v>507.53399465485273</v>
      </c>
      <c r="D318" s="44">
        <v>513.45785519947992</v>
      </c>
      <c r="E318" s="44">
        <v>1251325.5239816825</v>
      </c>
      <c r="F318" s="44" t="s">
        <v>257</v>
      </c>
      <c r="G318" s="25">
        <f t="shared" si="3"/>
        <v>-4.4942508609117082E-3</v>
      </c>
    </row>
    <row r="319" spans="1:13">
      <c r="A319" s="44">
        <v>513.13818650229928</v>
      </c>
      <c r="B319" s="44">
        <v>517.46370356102375</v>
      </c>
      <c r="C319" s="44">
        <v>510.82058844774036</v>
      </c>
      <c r="D319" s="44">
        <v>513.81748248380802</v>
      </c>
      <c r="E319" s="44">
        <v>1217388.388141721</v>
      </c>
      <c r="F319" s="44" t="s">
        <v>258</v>
      </c>
      <c r="G319" s="25">
        <f t="shared" si="3"/>
        <v>-1.3220569651016811E-3</v>
      </c>
    </row>
    <row r="320" spans="1:13">
      <c r="A320" s="44">
        <v>513.80749283702119</v>
      </c>
      <c r="B320" s="44">
        <v>522.6982784773553</v>
      </c>
      <c r="C320" s="44">
        <v>510.39103363590397</v>
      </c>
      <c r="D320" s="44">
        <v>520.94010064286226</v>
      </c>
      <c r="E320" s="44">
        <v>1171965.3607134251</v>
      </c>
      <c r="F320" s="44" t="s">
        <v>259</v>
      </c>
      <c r="G320" s="25">
        <f t="shared" si="3"/>
        <v>-1.3691800260796083E-2</v>
      </c>
    </row>
    <row r="321" spans="1:32">
      <c r="A321" s="44">
        <v>519.36173645053327</v>
      </c>
      <c r="B321" s="44">
        <v>526.25958755688237</v>
      </c>
      <c r="C321" s="44">
        <v>516.5896094671707</v>
      </c>
      <c r="D321" s="44">
        <v>520.25081501456668</v>
      </c>
      <c r="E321" s="44">
        <v>1101109.001614847</v>
      </c>
      <c r="F321" s="44" t="s">
        <v>260</v>
      </c>
      <c r="G321" s="25">
        <f t="shared" si="3"/>
        <v>-1.7089421839896479E-3</v>
      </c>
    </row>
    <row r="322" spans="1:32">
      <c r="A322" s="44">
        <v>517.18399345099078</v>
      </c>
      <c r="B322" s="44">
        <v>518.0730720150242</v>
      </c>
      <c r="C322" s="44">
        <v>509.47198613150982</v>
      </c>
      <c r="D322" s="44">
        <v>515.72550502010449</v>
      </c>
      <c r="E322" s="44">
        <v>2194590.1059050374</v>
      </c>
      <c r="F322" s="44" t="s">
        <v>261</v>
      </c>
      <c r="G322" s="25">
        <f t="shared" si="3"/>
        <v>2.8280323867819757E-3</v>
      </c>
    </row>
    <row r="323" spans="1:32">
      <c r="A323" s="44">
        <v>518.10304095538481</v>
      </c>
      <c r="B323" s="44">
        <v>520.09877259047016</v>
      </c>
      <c r="C323" s="44">
        <v>512.52881804829883</v>
      </c>
      <c r="D323" s="44">
        <v>517.96318590036833</v>
      </c>
      <c r="E323" s="44">
        <v>1538658.0054229936</v>
      </c>
      <c r="F323" s="44" t="s">
        <v>262</v>
      </c>
      <c r="G323" s="25">
        <f t="shared" si="3"/>
        <v>2.7000964320156307E-4</v>
      </c>
    </row>
    <row r="324" spans="1:32">
      <c r="A324" s="44">
        <v>517.87327907928625</v>
      </c>
      <c r="B324" s="44">
        <v>521.95904461512532</v>
      </c>
      <c r="C324" s="44">
        <v>512.88844533262704</v>
      </c>
      <c r="D324" s="44">
        <v>519.91116702381237</v>
      </c>
      <c r="E324" s="44">
        <v>1604845.5307785009</v>
      </c>
      <c r="F324" s="44" t="s">
        <v>263</v>
      </c>
      <c r="G324" s="25">
        <f t="shared" si="3"/>
        <v>-3.9196848880778123E-3</v>
      </c>
    </row>
    <row r="325" spans="1:32">
      <c r="A325" s="44">
        <v>520.96007993643605</v>
      </c>
      <c r="B325" s="44">
        <v>521.59941733079711</v>
      </c>
      <c r="C325" s="44">
        <v>512.60873522259408</v>
      </c>
      <c r="D325" s="44">
        <v>518.11303060217176</v>
      </c>
      <c r="E325" s="44">
        <v>1233253.8139551701</v>
      </c>
      <c r="F325" s="44" t="s">
        <v>264</v>
      </c>
      <c r="G325" s="25">
        <f t="shared" si="3"/>
        <v>5.4950351875060477E-3</v>
      </c>
    </row>
    <row r="326" spans="1:32">
      <c r="A326" s="44">
        <v>519.0320781065659</v>
      </c>
      <c r="B326" s="44">
        <v>525.17071605711124</v>
      </c>
      <c r="C326" s="44">
        <v>514.13715118098855</v>
      </c>
      <c r="D326" s="44">
        <v>522.18880649122377</v>
      </c>
      <c r="E326" s="44">
        <v>1672180.2438418898</v>
      </c>
      <c r="F326" s="44" t="s">
        <v>265</v>
      </c>
      <c r="G326" s="25">
        <f t="shared" ref="G326:G389" si="5">A326/D326-1</f>
        <v>-6.0451858512040602E-3</v>
      </c>
    </row>
    <row r="327" spans="1:32">
      <c r="A327" s="44">
        <v>521.50951050971503</v>
      </c>
      <c r="B327" s="44">
        <v>523.35759516529015</v>
      </c>
      <c r="C327" s="44">
        <v>508.18332169600069</v>
      </c>
      <c r="D327" s="44">
        <v>509.47198613150982</v>
      </c>
      <c r="E327" s="44">
        <v>1747375.0946734154</v>
      </c>
      <c r="F327" s="44" t="s">
        <v>266</v>
      </c>
      <c r="G327" s="25">
        <f t="shared" si="5"/>
        <v>2.3627450980391984E-2</v>
      </c>
    </row>
    <row r="328" spans="1:32">
      <c r="A328" s="44">
        <v>507.94357017311518</v>
      </c>
      <c r="B328" s="44">
        <v>515.50932427394491</v>
      </c>
      <c r="C328" s="44">
        <v>507.39460384653785</v>
      </c>
      <c r="D328" s="44">
        <v>511.0377440138239</v>
      </c>
      <c r="E328" s="44">
        <v>1577637.0208345919</v>
      </c>
      <c r="F328" s="44" t="s">
        <v>267</v>
      </c>
      <c r="G328" s="25">
        <f t="shared" si="5"/>
        <v>-6.0546875000000444E-3</v>
      </c>
    </row>
    <row r="329" spans="1:32">
      <c r="A329" s="44">
        <v>511.68652239977894</v>
      </c>
      <c r="B329" s="44">
        <v>519.71141197374607</v>
      </c>
      <c r="C329" s="44">
        <v>510.84810110100625</v>
      </c>
      <c r="D329" s="44">
        <v>515.71892959863806</v>
      </c>
      <c r="E329" s="44">
        <v>1415003.3661318745</v>
      </c>
      <c r="F329" s="44" t="s">
        <v>268</v>
      </c>
      <c r="G329" s="25">
        <f t="shared" si="5"/>
        <v>-7.8190017225029385E-3</v>
      </c>
    </row>
    <row r="330" spans="1:32" ht="15">
      <c r="A330" s="44">
        <v>513.23360932013338</v>
      </c>
      <c r="B330" s="44">
        <v>525.77000397797235</v>
      </c>
      <c r="C330" s="44">
        <v>508.44762107297254</v>
      </c>
      <c r="D330" s="44">
        <v>524.19297343980475</v>
      </c>
      <c r="E330" s="44">
        <v>1867688.144721814</v>
      </c>
      <c r="F330" s="44" t="s">
        <v>269</v>
      </c>
      <c r="G330" s="25">
        <f t="shared" si="5"/>
        <v>-2.0907117559693655E-2</v>
      </c>
      <c r="AF330" s="2" t="s">
        <v>82</v>
      </c>
    </row>
    <row r="331" spans="1:32">
      <c r="A331" s="44">
        <v>525.80992880172346</v>
      </c>
      <c r="B331" s="44">
        <v>535.20224358916505</v>
      </c>
      <c r="C331" s="44">
        <v>524.3626539407469</v>
      </c>
      <c r="D331" s="44">
        <v>525.2909060929594</v>
      </c>
      <c r="E331" s="44">
        <v>2178252.8219087631</v>
      </c>
      <c r="F331" s="44" t="s">
        <v>270</v>
      </c>
      <c r="G331" s="25">
        <f t="shared" si="5"/>
        <v>9.8806718856891962E-4</v>
      </c>
      <c r="AF331" s="1" t="s">
        <v>83</v>
      </c>
    </row>
    <row r="332" spans="1:32">
      <c r="A332" s="44">
        <v>530.71070091716865</v>
      </c>
      <c r="B332" s="44">
        <v>531.97831407126534</v>
      </c>
      <c r="C332" s="44">
        <v>518.3290149513648</v>
      </c>
      <c r="D332" s="44">
        <v>523.73383796666735</v>
      </c>
      <c r="E332" s="44">
        <v>1802391.4256616707</v>
      </c>
      <c r="F332" s="44" t="s">
        <v>271</v>
      </c>
      <c r="G332" s="25">
        <f t="shared" si="5"/>
        <v>1.3321390455862225E-2</v>
      </c>
    </row>
    <row r="333" spans="1:32">
      <c r="A333" s="44">
        <v>526.64835010049615</v>
      </c>
      <c r="B333" s="44">
        <v>533.00637828285562</v>
      </c>
      <c r="C333" s="44">
        <v>520.36019035970105</v>
      </c>
      <c r="D333" s="44">
        <v>522.45624360663282</v>
      </c>
      <c r="E333" s="44">
        <v>1856420.9691218757</v>
      </c>
      <c r="F333" s="44" t="s">
        <v>272</v>
      </c>
      <c r="G333" s="25">
        <f t="shared" si="5"/>
        <v>8.023842274186066E-3</v>
      </c>
    </row>
    <row r="334" spans="1:32">
      <c r="A334" s="44">
        <v>523.20483405196558</v>
      </c>
      <c r="B334" s="44">
        <v>523.92348087948494</v>
      </c>
      <c r="C334" s="44">
        <v>511.19744330882821</v>
      </c>
      <c r="D334" s="44">
        <v>511.91609013634763</v>
      </c>
      <c r="E334" s="44">
        <v>1688329.0561345713</v>
      </c>
      <c r="F334" s="44" t="s">
        <v>273</v>
      </c>
      <c r="G334" s="25">
        <f t="shared" si="5"/>
        <v>2.2051941974731148E-2</v>
      </c>
    </row>
    <row r="335" spans="1:32">
      <c r="A335" s="44">
        <v>515.59915512738485</v>
      </c>
      <c r="B335" s="44">
        <v>523.86359364385839</v>
      </c>
      <c r="C335" s="44">
        <v>511.49687948696135</v>
      </c>
      <c r="D335" s="44">
        <v>522.03703295724642</v>
      </c>
      <c r="E335" s="44">
        <v>2725279.9080185476</v>
      </c>
      <c r="F335" s="44" t="s">
        <v>274</v>
      </c>
      <c r="G335" s="25">
        <f t="shared" si="5"/>
        <v>-1.2332224389124513E-2</v>
      </c>
    </row>
    <row r="336" spans="1:32">
      <c r="A336" s="44">
        <v>522.65586772538813</v>
      </c>
      <c r="B336" s="44">
        <v>531.47426317140798</v>
      </c>
      <c r="C336" s="44">
        <v>518.6534041443424</v>
      </c>
      <c r="D336" s="44">
        <v>529.92218564808468</v>
      </c>
      <c r="E336" s="44">
        <v>2334698.8475429034</v>
      </c>
      <c r="F336" s="44" t="s">
        <v>275</v>
      </c>
      <c r="G336" s="25">
        <f t="shared" si="5"/>
        <v>-1.3712047012732542E-2</v>
      </c>
    </row>
    <row r="337" spans="1:7">
      <c r="A337" s="44">
        <v>527.96586928428189</v>
      </c>
      <c r="B337" s="44">
        <v>529.05382073149872</v>
      </c>
      <c r="C337" s="44">
        <v>519.60161870843058</v>
      </c>
      <c r="D337" s="44">
        <v>527.26718486863786</v>
      </c>
      <c r="E337" s="44">
        <v>2233858.3272415185</v>
      </c>
      <c r="F337" s="44" t="s">
        <v>276</v>
      </c>
      <c r="G337" s="25">
        <f t="shared" si="5"/>
        <v>1.3251050619016436E-3</v>
      </c>
    </row>
    <row r="338" spans="1:7">
      <c r="A338" s="44">
        <v>522.24663828193957</v>
      </c>
      <c r="B338" s="44">
        <v>532.01823889501645</v>
      </c>
      <c r="C338" s="44">
        <v>518.1543438474539</v>
      </c>
      <c r="D338" s="44">
        <v>529.10372676118766</v>
      </c>
      <c r="E338" s="44">
        <v>1542267.5472257873</v>
      </c>
      <c r="F338" s="44" t="s">
        <v>277</v>
      </c>
      <c r="G338" s="25">
        <f t="shared" si="5"/>
        <v>-1.2959818902094189E-2</v>
      </c>
    </row>
    <row r="339" spans="1:7">
      <c r="A339" s="44">
        <v>532.28773145533614</v>
      </c>
      <c r="B339" s="44">
        <v>542.82289432265247</v>
      </c>
      <c r="C339" s="44">
        <v>529.95212926589807</v>
      </c>
      <c r="D339" s="44">
        <v>540.71186926681412</v>
      </c>
      <c r="E339" s="44">
        <v>1333067.3751204801</v>
      </c>
      <c r="F339" s="44" t="s">
        <v>278</v>
      </c>
      <c r="G339" s="25">
        <f t="shared" si="5"/>
        <v>-1.5579716833108881E-2</v>
      </c>
    </row>
    <row r="340" spans="1:7">
      <c r="A340" s="44">
        <v>538.53596637238024</v>
      </c>
      <c r="B340" s="44">
        <v>540.23277138180117</v>
      </c>
      <c r="C340" s="44">
        <v>531.30957327343469</v>
      </c>
      <c r="D340" s="44">
        <v>533.78491234600165</v>
      </c>
      <c r="E340" s="44">
        <v>1892542.8568224066</v>
      </c>
      <c r="F340" s="44" t="s">
        <v>279</v>
      </c>
      <c r="G340" s="25">
        <f t="shared" si="5"/>
        <v>8.9006899904637837E-3</v>
      </c>
    </row>
    <row r="341" spans="1:7">
      <c r="A341" s="44">
        <v>534.54348399727223</v>
      </c>
      <c r="B341" s="44">
        <v>542.59831718905264</v>
      </c>
      <c r="C341" s="44">
        <v>530.81051297654619</v>
      </c>
      <c r="D341" s="44">
        <v>530.81051297654619</v>
      </c>
      <c r="E341" s="44">
        <v>1378019.8590986077</v>
      </c>
      <c r="F341" s="44" t="s">
        <v>280</v>
      </c>
      <c r="G341" s="25">
        <f t="shared" si="5"/>
        <v>7.032586826122289E-3</v>
      </c>
    </row>
    <row r="342" spans="1:7">
      <c r="A342" s="44">
        <v>531.54912221594122</v>
      </c>
      <c r="B342" s="44">
        <v>541.60019659527563</v>
      </c>
      <c r="C342" s="44">
        <v>531.0001558893639</v>
      </c>
      <c r="D342" s="44">
        <v>537.34820286578565</v>
      </c>
      <c r="E342" s="44">
        <v>1616905.8228654987</v>
      </c>
      <c r="F342" s="44" t="s">
        <v>281</v>
      </c>
      <c r="G342" s="25">
        <f t="shared" si="5"/>
        <v>-1.0792035069470352E-2</v>
      </c>
    </row>
    <row r="343" spans="1:7">
      <c r="A343" s="44">
        <v>536.81919895108388</v>
      </c>
      <c r="B343" s="44">
        <v>542.35876824654611</v>
      </c>
      <c r="C343" s="44">
        <v>532.58716763346933</v>
      </c>
      <c r="D343" s="44">
        <v>532.77681054628692</v>
      </c>
      <c r="E343" s="44">
        <v>1971620.4757915973</v>
      </c>
      <c r="F343" s="44" t="s">
        <v>282</v>
      </c>
      <c r="G343" s="25">
        <f t="shared" si="5"/>
        <v>7.5873955562217876E-3</v>
      </c>
    </row>
    <row r="344" spans="1:7">
      <c r="A344" s="44">
        <v>529.86229841245813</v>
      </c>
      <c r="B344" s="44">
        <v>531.59902824563017</v>
      </c>
      <c r="C344" s="44">
        <v>519.02270876403986</v>
      </c>
      <c r="D344" s="44">
        <v>520.24041588844784</v>
      </c>
      <c r="E344" s="44">
        <v>1968919.3993717651</v>
      </c>
      <c r="F344" s="44" t="s">
        <v>283</v>
      </c>
      <c r="G344" s="25">
        <f t="shared" si="5"/>
        <v>1.8495069260580976E-2</v>
      </c>
    </row>
    <row r="345" spans="1:7">
      <c r="A345" s="44">
        <v>522.10690139881081</v>
      </c>
      <c r="B345" s="44">
        <v>532.04818251282973</v>
      </c>
      <c r="C345" s="44">
        <v>520.07073538750569</v>
      </c>
      <c r="D345" s="44">
        <v>530.66079488747971</v>
      </c>
      <c r="E345" s="44">
        <v>2975524.2187333754</v>
      </c>
      <c r="F345" s="44" t="s">
        <v>284</v>
      </c>
      <c r="G345" s="25">
        <f t="shared" si="5"/>
        <v>-1.6119324380242994E-2</v>
      </c>
    </row>
    <row r="346" spans="1:7">
      <c r="A346" s="44">
        <v>530.85043780029741</v>
      </c>
      <c r="B346" s="44">
        <v>536.44490372841744</v>
      </c>
      <c r="C346" s="44">
        <v>530.31045455906394</v>
      </c>
      <c r="D346" s="44">
        <v>534.09432973007256</v>
      </c>
      <c r="E346" s="44">
        <v>1520129.9416721475</v>
      </c>
      <c r="F346" s="44" t="s">
        <v>285</v>
      </c>
      <c r="G346" s="25">
        <f t="shared" si="5"/>
        <v>-6.0736310969909946E-3</v>
      </c>
    </row>
    <row r="347" spans="1:7">
      <c r="A347" s="44">
        <v>531.63895306938116</v>
      </c>
      <c r="B347" s="44">
        <v>539.16478234645967</v>
      </c>
      <c r="C347" s="44">
        <v>530.20665001731118</v>
      </c>
      <c r="D347" s="44">
        <v>538.98512063957992</v>
      </c>
      <c r="E347" s="44">
        <v>1918961.5082002094</v>
      </c>
      <c r="F347" s="44" t="s">
        <v>286</v>
      </c>
      <c r="G347" s="25">
        <f t="shared" si="5"/>
        <v>-1.3629629629629658E-2</v>
      </c>
    </row>
    <row r="348" spans="1:7">
      <c r="A348" s="44">
        <v>536.98887945202591</v>
      </c>
      <c r="B348" s="44">
        <v>540.96139941525837</v>
      </c>
      <c r="C348" s="44">
        <v>531.19978000811932</v>
      </c>
      <c r="D348" s="44">
        <v>538.07683089924285</v>
      </c>
      <c r="E348" s="44">
        <v>2066364.5383724039</v>
      </c>
      <c r="F348" s="44" t="s">
        <v>287</v>
      </c>
      <c r="G348" s="25">
        <f t="shared" si="5"/>
        <v>-2.0219258379862159E-3</v>
      </c>
    </row>
    <row r="349" spans="1:7">
      <c r="A349" s="44">
        <v>544.20529134503363</v>
      </c>
      <c r="B349" s="44">
        <v>552.8989217168313</v>
      </c>
      <c r="C349" s="44">
        <v>540.96139941525837</v>
      </c>
      <c r="D349" s="44">
        <v>549.45540566830061</v>
      </c>
      <c r="E349" s="44">
        <v>2238733.4896520912</v>
      </c>
      <c r="F349" s="44" t="s">
        <v>288</v>
      </c>
      <c r="G349" s="25">
        <f t="shared" si="5"/>
        <v>-9.5551236171410592E-3</v>
      </c>
    </row>
    <row r="350" spans="1:7">
      <c r="A350" s="44">
        <v>551.82095147555208</v>
      </c>
      <c r="B350" s="44">
        <v>562.30121771021061</v>
      </c>
      <c r="C350" s="44">
        <v>542.98758422062565</v>
      </c>
      <c r="D350" s="44">
        <v>559.04734457449763</v>
      </c>
      <c r="E350" s="44">
        <v>2977608.1352590621</v>
      </c>
      <c r="F350" s="44" t="s">
        <v>289</v>
      </c>
      <c r="G350" s="25">
        <f t="shared" si="5"/>
        <v>-1.2926263167291729E-2</v>
      </c>
    </row>
    <row r="351" spans="1:7">
      <c r="A351" s="44">
        <v>570.39597572574212</v>
      </c>
      <c r="B351" s="44">
        <v>576.39468049434186</v>
      </c>
      <c r="C351" s="44">
        <v>565.38541034498155</v>
      </c>
      <c r="D351" s="44">
        <v>573.69975489114393</v>
      </c>
      <c r="E351" s="44">
        <v>1830388.042677914</v>
      </c>
      <c r="F351" s="44" t="s">
        <v>290</v>
      </c>
      <c r="G351" s="25">
        <f t="shared" si="5"/>
        <v>-5.7587250774208121E-3</v>
      </c>
    </row>
    <row r="352" spans="1:7">
      <c r="A352" s="44">
        <v>571.63364526202554</v>
      </c>
      <c r="B352" s="44">
        <v>582.97229520733231</v>
      </c>
      <c r="C352" s="44">
        <v>567.30180188503334</v>
      </c>
      <c r="D352" s="44">
        <v>580.84629834258726</v>
      </c>
      <c r="E352" s="44">
        <v>2037919.0777967821</v>
      </c>
      <c r="F352" s="44" t="s">
        <v>291</v>
      </c>
      <c r="G352" s="25">
        <f t="shared" si="5"/>
        <v>-1.5860741657215516E-2</v>
      </c>
    </row>
    <row r="353" spans="1:7">
      <c r="A353" s="44">
        <v>581.2854714038491</v>
      </c>
      <c r="B353" s="44">
        <v>588.98098118186988</v>
      </c>
      <c r="C353" s="44">
        <v>576.81389114372814</v>
      </c>
      <c r="D353" s="44">
        <v>588.51186450279465</v>
      </c>
      <c r="E353" s="44">
        <v>1351392.8160682365</v>
      </c>
      <c r="F353" s="44" t="s">
        <v>292</v>
      </c>
      <c r="G353" s="25">
        <f t="shared" si="5"/>
        <v>-1.2279095010345742E-2</v>
      </c>
    </row>
    <row r="354" spans="1:7">
      <c r="A354" s="44">
        <v>579.4788731291128</v>
      </c>
      <c r="B354" s="44">
        <v>590.74476008313309</v>
      </c>
      <c r="C354" s="44">
        <v>575.76586452026231</v>
      </c>
      <c r="D354" s="44">
        <v>584.48943850987337</v>
      </c>
      <c r="E354" s="44">
        <v>2101320.2343249065</v>
      </c>
      <c r="F354" s="44" t="s">
        <v>293</v>
      </c>
      <c r="G354" s="25">
        <f t="shared" si="5"/>
        <v>-8.5725507607712359E-3</v>
      </c>
    </row>
    <row r="355" spans="1:7">
      <c r="A355" s="44">
        <v>592.63410255509359</v>
      </c>
      <c r="B355" s="44">
        <v>599.27659510667957</v>
      </c>
      <c r="C355" s="44">
        <v>588.25235314841257</v>
      </c>
      <c r="D355" s="44">
        <v>592.01526778695188</v>
      </c>
      <c r="E355" s="44">
        <v>2139698.3624176709</v>
      </c>
      <c r="F355" s="44" t="s">
        <v>294</v>
      </c>
      <c r="G355" s="25">
        <f t="shared" si="5"/>
        <v>1.0453020417109382E-3</v>
      </c>
    </row>
    <row r="356" spans="1:7">
      <c r="A356" s="44">
        <v>596.6265849302016</v>
      </c>
      <c r="B356" s="44">
        <v>603.9128652647737</v>
      </c>
      <c r="C356" s="44">
        <v>595.87799448486885</v>
      </c>
      <c r="D356" s="44">
        <v>598.74260058900893</v>
      </c>
      <c r="E356" s="44">
        <v>2169903.1294447863</v>
      </c>
      <c r="F356" s="44" t="s">
        <v>295</v>
      </c>
      <c r="G356" s="25">
        <f t="shared" si="5"/>
        <v>-3.5340990547954032E-3</v>
      </c>
    </row>
    <row r="357" spans="1:7">
      <c r="A357" s="44">
        <v>605.59968906825691</v>
      </c>
      <c r="B357" s="44">
        <v>609.82173917993362</v>
      </c>
      <c r="C357" s="44">
        <v>588.89115032842983</v>
      </c>
      <c r="D357" s="44">
        <v>589.4900226846961</v>
      </c>
      <c r="E357" s="44">
        <v>3356157.5834477008</v>
      </c>
      <c r="F357" s="44" t="s">
        <v>296</v>
      </c>
      <c r="G357" s="25">
        <f t="shared" si="5"/>
        <v>2.7328140873687845E-2</v>
      </c>
    </row>
    <row r="358" spans="1:7">
      <c r="A358" s="44">
        <v>567.16206500190458</v>
      </c>
      <c r="B358" s="44">
        <v>575.94552622714218</v>
      </c>
      <c r="C358" s="44">
        <v>565.6349404934258</v>
      </c>
      <c r="D358" s="44">
        <v>573.86943539208607</v>
      </c>
      <c r="E358" s="44">
        <v>2890142.7522739829</v>
      </c>
      <c r="F358" s="44" t="s">
        <v>297</v>
      </c>
      <c r="G358" s="25">
        <f t="shared" si="5"/>
        <v>-1.1687972867205909E-2</v>
      </c>
    </row>
    <row r="359" spans="1:7">
      <c r="A359" s="44">
        <v>583.19188173796317</v>
      </c>
      <c r="B359" s="44">
        <v>595.87799448486885</v>
      </c>
      <c r="C359" s="44">
        <v>577.91681439985177</v>
      </c>
      <c r="D359" s="44">
        <v>594.78006183171419</v>
      </c>
      <c r="E359" s="44">
        <v>2160864.1415146207</v>
      </c>
      <c r="F359" s="44" t="s">
        <v>298</v>
      </c>
      <c r="G359" s="25">
        <f t="shared" si="5"/>
        <v>-1.9483134754153419E-2</v>
      </c>
    </row>
    <row r="360" spans="1:7">
      <c r="A360" s="44">
        <v>582.54310335200819</v>
      </c>
      <c r="B360" s="44">
        <v>582.99225761920786</v>
      </c>
      <c r="C360" s="44">
        <v>572.05285591141194</v>
      </c>
      <c r="D360" s="44">
        <v>578.57058338877562</v>
      </c>
      <c r="E360" s="44">
        <v>1731159.552035101</v>
      </c>
      <c r="F360" s="44" t="s">
        <v>299</v>
      </c>
      <c r="G360" s="25">
        <f t="shared" si="5"/>
        <v>6.8660939171241164E-3</v>
      </c>
    </row>
    <row r="361" spans="1:7">
      <c r="A361" s="44">
        <v>573.73967971489503</v>
      </c>
      <c r="B361" s="44">
        <v>576.48451134778179</v>
      </c>
      <c r="C361" s="44">
        <v>570.72535552168847</v>
      </c>
      <c r="D361" s="44">
        <v>572.30737666282505</v>
      </c>
      <c r="E361" s="44">
        <v>1158703.6748972151</v>
      </c>
      <c r="F361" s="44" t="s">
        <v>300</v>
      </c>
      <c r="G361" s="25">
        <f t="shared" si="5"/>
        <v>2.5026814444046863E-3</v>
      </c>
    </row>
    <row r="362" spans="1:7">
      <c r="A362" s="44">
        <v>573.76962333270831</v>
      </c>
      <c r="B362" s="44">
        <v>575.57123100447575</v>
      </c>
      <c r="C362" s="44">
        <v>561.59305114892584</v>
      </c>
      <c r="D362" s="44">
        <v>574.86755598586308</v>
      </c>
      <c r="E362" s="44">
        <v>1248608.6428534708</v>
      </c>
      <c r="F362" s="44" t="s">
        <v>301</v>
      </c>
      <c r="G362" s="25">
        <f t="shared" si="5"/>
        <v>-1.9098880111122485E-3</v>
      </c>
    </row>
    <row r="363" spans="1:7">
      <c r="A363" s="44">
        <v>573.51011197832634</v>
      </c>
      <c r="B363" s="44">
        <v>578.4807525353358</v>
      </c>
      <c r="C363" s="44">
        <v>568.92873845288989</v>
      </c>
      <c r="D363" s="44">
        <v>569.60746045665815</v>
      </c>
      <c r="E363" s="44">
        <v>1705749.7967829553</v>
      </c>
      <c r="F363" s="44" t="s">
        <v>302</v>
      </c>
      <c r="G363" s="25">
        <f t="shared" si="5"/>
        <v>6.8514754328172778E-3</v>
      </c>
    </row>
    <row r="364" spans="1:7">
      <c r="A364" s="44">
        <v>571.98298746984744</v>
      </c>
      <c r="B364" s="44">
        <v>575.28676663524936</v>
      </c>
      <c r="C364" s="44">
        <v>561.50272123518891</v>
      </c>
      <c r="D364" s="44">
        <v>563.03982694960564</v>
      </c>
      <c r="E364" s="44">
        <v>2315881.4820691315</v>
      </c>
      <c r="F364" s="44" t="s">
        <v>303</v>
      </c>
      <c r="G364" s="25">
        <f t="shared" si="5"/>
        <v>1.5883708562311361E-2</v>
      </c>
    </row>
    <row r="365" spans="1:7">
      <c r="A365" s="44">
        <v>558.59819030729795</v>
      </c>
      <c r="B365" s="44">
        <v>563.93813548400487</v>
      </c>
      <c r="C365" s="44">
        <v>558.05920518665835</v>
      </c>
      <c r="D365" s="44">
        <v>561.40290917581137</v>
      </c>
      <c r="E365" s="44">
        <v>2144098.6323122941</v>
      </c>
      <c r="F365" s="44" t="s">
        <v>304</v>
      </c>
      <c r="G365" s="25">
        <f t="shared" si="5"/>
        <v>-4.9959108203251335E-3</v>
      </c>
    </row>
    <row r="366" spans="1:7">
      <c r="A366" s="44">
        <v>560.65431873047862</v>
      </c>
      <c r="B366" s="44">
        <v>560.75413078985616</v>
      </c>
      <c r="C366" s="44">
        <v>545.39305485162822</v>
      </c>
      <c r="D366" s="44">
        <v>550.08422164238016</v>
      </c>
      <c r="E366" s="44">
        <v>1838993.2152928766</v>
      </c>
      <c r="F366" s="44" t="s">
        <v>305</v>
      </c>
      <c r="G366" s="25">
        <f t="shared" si="5"/>
        <v>1.9215415880388997E-2</v>
      </c>
    </row>
    <row r="367" spans="1:7">
      <c r="A367" s="44">
        <v>550.43356385020206</v>
      </c>
      <c r="B367" s="44">
        <v>562.75037197741017</v>
      </c>
      <c r="C367" s="44">
        <v>543.03749025031448</v>
      </c>
      <c r="D367" s="44">
        <v>556.83151685631265</v>
      </c>
      <c r="E367" s="44">
        <v>3257447.0662874742</v>
      </c>
      <c r="F367" s="44" t="s">
        <v>306</v>
      </c>
      <c r="G367" s="25">
        <f t="shared" si="5"/>
        <v>-1.1489926148992691E-2</v>
      </c>
    </row>
    <row r="368" spans="1:7">
      <c r="A368" s="44">
        <v>555.94318952785113</v>
      </c>
      <c r="B368" s="44">
        <v>560.34480153434833</v>
      </c>
      <c r="C368" s="44">
        <v>550.34373299676213</v>
      </c>
      <c r="D368" s="44">
        <v>556.45223103067735</v>
      </c>
      <c r="E368" s="44">
        <v>2211548.3978213314</v>
      </c>
      <c r="F368" s="44" t="s">
        <v>307</v>
      </c>
      <c r="G368" s="25">
        <f t="shared" si="5"/>
        <v>-9.1479820627793362E-4</v>
      </c>
    </row>
    <row r="369" spans="1:7">
      <c r="A369" s="44">
        <v>554.4759522549989</v>
      </c>
      <c r="B369" s="44">
        <v>561.26317229268261</v>
      </c>
      <c r="C369" s="44">
        <v>540.65198203118746</v>
      </c>
      <c r="D369" s="44">
        <v>543.15726472156769</v>
      </c>
      <c r="E369" s="44">
        <v>2274217.1779166306</v>
      </c>
      <c r="F369" s="44" t="s">
        <v>308</v>
      </c>
      <c r="G369" s="25">
        <f t="shared" si="5"/>
        <v>2.0838693079495929E-2</v>
      </c>
    </row>
    <row r="370" spans="1:7">
      <c r="A370" s="44">
        <v>541.29077921120472</v>
      </c>
      <c r="B370" s="44">
        <v>556.11287002879317</v>
      </c>
      <c r="C370" s="44">
        <v>540.29265861742772</v>
      </c>
      <c r="D370" s="44">
        <v>540.74181288462739</v>
      </c>
      <c r="E370" s="44">
        <v>2925556.308732369</v>
      </c>
      <c r="F370" s="44" t="s">
        <v>309</v>
      </c>
      <c r="G370" s="25">
        <f t="shared" si="5"/>
        <v>1.015209686946239E-3</v>
      </c>
    </row>
    <row r="371" spans="1:7">
      <c r="A371" s="44">
        <v>543.90585516690044</v>
      </c>
      <c r="B371" s="44">
        <v>546.75049885916496</v>
      </c>
      <c r="C371" s="44">
        <v>537.23840960047016</v>
      </c>
      <c r="D371" s="44">
        <v>543.35688884032311</v>
      </c>
      <c r="E371" s="44">
        <v>1841231.4217920995</v>
      </c>
      <c r="F371" s="44" t="s">
        <v>310</v>
      </c>
      <c r="G371" s="25">
        <f t="shared" si="5"/>
        <v>1.0103236709650965E-3</v>
      </c>
    </row>
    <row r="372" spans="1:7">
      <c r="A372" s="44">
        <v>544.62450199441992</v>
      </c>
      <c r="B372" s="44">
        <v>550.35371420269996</v>
      </c>
      <c r="C372" s="44">
        <v>537.26835321828344</v>
      </c>
      <c r="D372" s="44">
        <v>538.50602275456686</v>
      </c>
      <c r="E372" s="44">
        <v>1842802.3742499249</v>
      </c>
      <c r="F372" s="44" t="s">
        <v>311</v>
      </c>
      <c r="G372" s="25">
        <f t="shared" si="5"/>
        <v>1.1361951364175615E-2</v>
      </c>
    </row>
    <row r="373" spans="1:7">
      <c r="A373" s="44">
        <v>536.18040177106661</v>
      </c>
      <c r="B373" s="44">
        <v>544.29512219847356</v>
      </c>
      <c r="C373" s="44">
        <v>527.51671501708211</v>
      </c>
      <c r="D373" s="44">
        <v>528.8941214364944</v>
      </c>
      <c r="E373" s="44">
        <v>1985569.692035412</v>
      </c>
      <c r="F373" s="44" t="s">
        <v>312</v>
      </c>
      <c r="G373" s="25">
        <f t="shared" si="5"/>
        <v>1.3776444167657553E-2</v>
      </c>
    </row>
    <row r="374" spans="1:7">
      <c r="A374" s="44">
        <v>531.02011830123945</v>
      </c>
      <c r="B374" s="44">
        <v>535.78115353355565</v>
      </c>
      <c r="C374" s="44">
        <v>521.7575591909889</v>
      </c>
      <c r="D374" s="44">
        <v>523.33458972915662</v>
      </c>
      <c r="E374" s="44">
        <v>1518200.3151199974</v>
      </c>
      <c r="F374" s="44" t="s">
        <v>313</v>
      </c>
      <c r="G374" s="25">
        <f t="shared" si="5"/>
        <v>1.4685688129386421E-2</v>
      </c>
    </row>
    <row r="375" spans="1:7">
      <c r="A375" s="44">
        <v>521.58787869004686</v>
      </c>
      <c r="B375" s="44">
        <v>525.11124438607965</v>
      </c>
      <c r="C375" s="44">
        <v>517.11629842992591</v>
      </c>
      <c r="D375" s="44">
        <v>518.1942686712049</v>
      </c>
      <c r="E375" s="44">
        <v>1820920.2488472706</v>
      </c>
      <c r="F375" s="44" t="s">
        <v>314</v>
      </c>
      <c r="G375" s="25">
        <f t="shared" si="5"/>
        <v>6.5489146137107657E-3</v>
      </c>
    </row>
    <row r="376" spans="1:7">
      <c r="A376" s="44">
        <v>519.25227650060867</v>
      </c>
      <c r="B376" s="44">
        <v>523.74880977557405</v>
      </c>
      <c r="C376" s="44">
        <v>516.18804627771317</v>
      </c>
      <c r="D376" s="44">
        <v>519.34210735404861</v>
      </c>
      <c r="E376" s="44">
        <v>1265235.8922093816</v>
      </c>
      <c r="F376" s="44" t="s">
        <v>315</v>
      </c>
      <c r="G376" s="25">
        <f t="shared" si="5"/>
        <v>-1.7297047970477042E-4</v>
      </c>
    </row>
    <row r="377" spans="1:7">
      <c r="A377" s="44">
        <v>517.86488887525866</v>
      </c>
      <c r="B377" s="44">
        <v>521.94720210380649</v>
      </c>
      <c r="C377" s="44">
        <v>514.80065865236315</v>
      </c>
      <c r="D377" s="44">
        <v>521.70765316130007</v>
      </c>
      <c r="E377" s="44">
        <v>1037506.8969184742</v>
      </c>
      <c r="F377" s="44" t="s">
        <v>316</v>
      </c>
      <c r="G377" s="25">
        <f t="shared" si="5"/>
        <v>-7.3657426007767146E-3</v>
      </c>
    </row>
    <row r="378" spans="1:7">
      <c r="A378" s="44">
        <v>525.08130076826637</v>
      </c>
      <c r="B378" s="44">
        <v>527.28584972374153</v>
      </c>
      <c r="C378" s="44">
        <v>522.01707054537087</v>
      </c>
      <c r="D378" s="44">
        <v>523.01519113914787</v>
      </c>
      <c r="E378" s="44">
        <v>944991.0220074401</v>
      </c>
      <c r="F378" s="44" t="s">
        <v>317</v>
      </c>
      <c r="G378" s="25">
        <f t="shared" si="5"/>
        <v>3.9503816793895474E-3</v>
      </c>
    </row>
    <row r="379" spans="1:7">
      <c r="A379" s="44">
        <v>526.18921462735875</v>
      </c>
      <c r="B379" s="44">
        <v>526.33893271642535</v>
      </c>
      <c r="C379" s="44">
        <v>522.71076435804594</v>
      </c>
      <c r="D379" s="44">
        <v>523.61406349541414</v>
      </c>
      <c r="E379" s="44">
        <v>779184.40401777567</v>
      </c>
      <c r="F379" s="44" t="s">
        <v>318</v>
      </c>
      <c r="G379" s="25">
        <f t="shared" si="5"/>
        <v>4.9180327868851847E-3</v>
      </c>
    </row>
    <row r="380" spans="1:7">
      <c r="A380" s="44">
        <v>527.98583169615733</v>
      </c>
      <c r="B380" s="44">
        <v>527.98583169615733</v>
      </c>
      <c r="C380" s="44">
        <v>521.31838612972695</v>
      </c>
      <c r="D380" s="44">
        <v>522.26660069381512</v>
      </c>
      <c r="E380" s="44">
        <v>489619.19335889904</v>
      </c>
      <c r="F380" s="44" t="s">
        <v>319</v>
      </c>
      <c r="G380" s="25">
        <f t="shared" si="5"/>
        <v>1.0950788342092732E-2</v>
      </c>
    </row>
    <row r="381" spans="1:7">
      <c r="A381" s="44">
        <v>524.30276670512023</v>
      </c>
      <c r="B381" s="44">
        <v>525.25088145714903</v>
      </c>
      <c r="C381" s="44">
        <v>518.61347932059141</v>
      </c>
      <c r="D381" s="44">
        <v>519.20237047091973</v>
      </c>
      <c r="E381" s="44">
        <v>1561047.8430305927</v>
      </c>
      <c r="F381" s="44" t="s">
        <v>320</v>
      </c>
      <c r="G381" s="25">
        <f t="shared" si="5"/>
        <v>9.8235226267830988E-3</v>
      </c>
    </row>
    <row r="382" spans="1:7">
      <c r="A382" s="44">
        <v>523.0650971688367</v>
      </c>
      <c r="B382" s="44">
        <v>525.440624182026</v>
      </c>
      <c r="C382" s="44">
        <v>514.03210579515485</v>
      </c>
      <c r="D382" s="44">
        <v>515.71892959863806</v>
      </c>
      <c r="E382" s="44">
        <v>2764048.7704598783</v>
      </c>
      <c r="F382" s="44" t="s">
        <v>321</v>
      </c>
      <c r="G382" s="25">
        <f t="shared" si="5"/>
        <v>1.4244517989510097E-2</v>
      </c>
    </row>
    <row r="383" spans="1:7">
      <c r="A383" s="44">
        <v>515.71892959863806</v>
      </c>
      <c r="B383" s="44">
        <v>521.4472434983835</v>
      </c>
      <c r="C383" s="44">
        <v>507.89895418257339</v>
      </c>
      <c r="D383" s="44">
        <v>517.74511440400534</v>
      </c>
      <c r="E383" s="44">
        <v>2241375.4549781657</v>
      </c>
      <c r="F383" s="44" t="s">
        <v>322</v>
      </c>
      <c r="G383" s="25">
        <f t="shared" si="5"/>
        <v>-3.9134793337445295E-3</v>
      </c>
    </row>
    <row r="384" spans="1:7">
      <c r="A384" s="44">
        <v>515.20988809581172</v>
      </c>
      <c r="B384" s="44">
        <v>532.33763748502508</v>
      </c>
      <c r="C384" s="44">
        <v>514.9304143295542</v>
      </c>
      <c r="D384" s="44">
        <v>527.00767351425588</v>
      </c>
      <c r="E384" s="44">
        <v>1777669.9639927687</v>
      </c>
      <c r="F384" s="44" t="s">
        <v>323</v>
      </c>
      <c r="G384" s="25">
        <f t="shared" si="5"/>
        <v>-2.2386363636363704E-2</v>
      </c>
    </row>
    <row r="385" spans="1:7">
      <c r="A385" s="44">
        <v>527.84609481302857</v>
      </c>
      <c r="B385" s="44">
        <v>534.93275102884536</v>
      </c>
      <c r="C385" s="44">
        <v>525.0214135326396</v>
      </c>
      <c r="D385" s="44">
        <v>525.0214135326396</v>
      </c>
      <c r="E385" s="44">
        <v>2549626.7844450139</v>
      </c>
      <c r="F385" s="44" t="s">
        <v>324</v>
      </c>
      <c r="G385" s="25">
        <f t="shared" si="5"/>
        <v>5.3801258531207541E-3</v>
      </c>
    </row>
    <row r="386" spans="1:7">
      <c r="A386" s="44">
        <v>529.26342605619186</v>
      </c>
      <c r="B386" s="44">
        <v>533.7250251103751</v>
      </c>
      <c r="C386" s="44">
        <v>525.73007915422136</v>
      </c>
      <c r="D386" s="44">
        <v>526.34891392236307</v>
      </c>
      <c r="E386" s="44">
        <v>2600506.4079260081</v>
      </c>
      <c r="F386" s="44" t="s">
        <v>325</v>
      </c>
      <c r="G386" s="25">
        <f t="shared" si="5"/>
        <v>5.5372245610041393E-3</v>
      </c>
    </row>
    <row r="387" spans="1:7">
      <c r="A387" s="44">
        <v>525.89975965516339</v>
      </c>
      <c r="B387" s="44">
        <v>527.09750436769582</v>
      </c>
      <c r="C387" s="44">
        <v>516.17806507177545</v>
      </c>
      <c r="D387" s="44">
        <v>522.66584893132597</v>
      </c>
      <c r="E387" s="44">
        <v>1556450.2021957966</v>
      </c>
      <c r="F387" s="44" t="s">
        <v>326</v>
      </c>
      <c r="G387" s="25">
        <f t="shared" si="5"/>
        <v>6.1873388713835631E-3</v>
      </c>
    </row>
    <row r="388" spans="1:7">
      <c r="A388" s="44">
        <v>523.62404470135186</v>
      </c>
      <c r="B388" s="44">
        <v>530.49588718818586</v>
      </c>
      <c r="C388" s="44">
        <v>522.67653452522552</v>
      </c>
      <c r="D388" s="44">
        <v>529.93745461175104</v>
      </c>
      <c r="E388" s="44">
        <v>2545868.383031033</v>
      </c>
      <c r="F388" s="44" t="s">
        <v>327</v>
      </c>
      <c r="G388" s="25">
        <f t="shared" si="5"/>
        <v>-1.1913500084693163E-2</v>
      </c>
    </row>
    <row r="389" spans="1:7">
      <c r="A389" s="44">
        <v>532.95951338402745</v>
      </c>
      <c r="B389" s="44">
        <v>538.61465306680202</v>
      </c>
      <c r="C389" s="44">
        <v>532.24140040843702</v>
      </c>
      <c r="D389" s="44">
        <v>533.59783602899665</v>
      </c>
      <c r="E389" s="44">
        <v>1392874.5392430925</v>
      </c>
      <c r="F389" s="44" t="s">
        <v>328</v>
      </c>
      <c r="G389" s="25">
        <f t="shared" si="5"/>
        <v>-1.1962616822428496E-3</v>
      </c>
    </row>
    <row r="390" spans="1:7">
      <c r="A390" s="44">
        <v>534.4456082918465</v>
      </c>
      <c r="B390" s="44">
        <v>540.98033663180604</v>
      </c>
      <c r="C390" s="44">
        <v>533.1290678365973</v>
      </c>
      <c r="D390" s="44">
        <v>538.11596350041975</v>
      </c>
      <c r="E390" s="44">
        <v>1943091.5850709274</v>
      </c>
      <c r="F390" s="44" t="s">
        <v>329</v>
      </c>
      <c r="G390" s="25">
        <f t="shared" ref="G390:G453" si="6">A390/D390-1</f>
        <v>-6.8207513947323717E-3</v>
      </c>
    </row>
    <row r="391" spans="1:7">
      <c r="A391" s="44">
        <v>535.82199149506152</v>
      </c>
      <c r="B391" s="44">
        <v>536.67973754923889</v>
      </c>
      <c r="C391" s="44">
        <v>525.25974647908561</v>
      </c>
      <c r="D391" s="44">
        <v>528.30175283401729</v>
      </c>
      <c r="E391" s="44">
        <v>2112212.8293990176</v>
      </c>
      <c r="F391" s="44" t="s">
        <v>330</v>
      </c>
      <c r="G391" s="25">
        <f t="shared" si="6"/>
        <v>1.4234741074968582E-2</v>
      </c>
    </row>
    <row r="392" spans="1:7">
      <c r="A392" s="44">
        <v>527.97261772020499</v>
      </c>
      <c r="B392" s="44">
        <v>529.9274808204234</v>
      </c>
      <c r="C392" s="44">
        <v>520.63190730305848</v>
      </c>
      <c r="D392" s="44">
        <v>521.62928643582291</v>
      </c>
      <c r="E392" s="44">
        <v>1874645.1961728749</v>
      </c>
      <c r="F392" s="44" t="s">
        <v>331</v>
      </c>
      <c r="G392" s="25">
        <f t="shared" si="6"/>
        <v>1.2160611854684422E-2</v>
      </c>
    </row>
    <row r="393" spans="1:7">
      <c r="A393" s="44">
        <v>519.49489509170689</v>
      </c>
      <c r="B393" s="44">
        <v>526.02772841131423</v>
      </c>
      <c r="C393" s="44">
        <v>516.32103521542388</v>
      </c>
      <c r="D393" s="44">
        <v>525.82825258476146</v>
      </c>
      <c r="E393" s="44">
        <v>2672273.6745178872</v>
      </c>
      <c r="F393" s="44" t="s">
        <v>332</v>
      </c>
      <c r="G393" s="25">
        <f t="shared" si="6"/>
        <v>-1.2044536332770805E-2</v>
      </c>
    </row>
    <row r="394" spans="1:7">
      <c r="A394" s="44">
        <v>527.48390194515036</v>
      </c>
      <c r="B394" s="44">
        <v>535.12382610212626</v>
      </c>
      <c r="C394" s="44">
        <v>523.46446404010953</v>
      </c>
      <c r="D394" s="44">
        <v>531.15425715372362</v>
      </c>
      <c r="E394" s="44">
        <v>2586534.9647426214</v>
      </c>
      <c r="F394" s="44" t="s">
        <v>333</v>
      </c>
      <c r="G394" s="25">
        <f t="shared" si="6"/>
        <v>-6.9101492817574828E-3</v>
      </c>
    </row>
    <row r="395" spans="1:7">
      <c r="A395" s="44">
        <v>533.01935613199328</v>
      </c>
      <c r="B395" s="44">
        <v>534.57526757910591</v>
      </c>
      <c r="C395" s="44">
        <v>526.55633935167953</v>
      </c>
      <c r="D395" s="44">
        <v>528.86028514836539</v>
      </c>
      <c r="E395" s="44">
        <v>2672206.4984583538</v>
      </c>
      <c r="F395" s="44" t="s">
        <v>334</v>
      </c>
      <c r="G395" s="25">
        <f t="shared" si="6"/>
        <v>7.864214992927776E-3</v>
      </c>
    </row>
    <row r="396" spans="1:7">
      <c r="A396" s="44">
        <v>528.56107140853612</v>
      </c>
      <c r="B396" s="44">
        <v>533.43825536775444</v>
      </c>
      <c r="C396" s="44">
        <v>525.21985131377505</v>
      </c>
      <c r="D396" s="44">
        <v>527.31434749258051</v>
      </c>
      <c r="E396" s="44">
        <v>2565292.2905137399</v>
      </c>
      <c r="F396" s="44" t="s">
        <v>335</v>
      </c>
      <c r="G396" s="25">
        <f t="shared" si="6"/>
        <v>2.364289767353922E-3</v>
      </c>
    </row>
    <row r="397" spans="1:7">
      <c r="A397" s="44">
        <v>528.24191008605146</v>
      </c>
      <c r="B397" s="44">
        <v>531.76764532037384</v>
      </c>
      <c r="C397" s="44">
        <v>521.62928643582291</v>
      </c>
      <c r="D397" s="44">
        <v>521.75894572308232</v>
      </c>
      <c r="E397" s="44">
        <v>2113879.1967265485</v>
      </c>
      <c r="F397" s="44" t="s">
        <v>336</v>
      </c>
      <c r="G397" s="25">
        <f t="shared" si="6"/>
        <v>1.2425209794888481E-2</v>
      </c>
    </row>
    <row r="398" spans="1:7">
      <c r="A398" s="44">
        <v>520.29279839791843</v>
      </c>
      <c r="B398" s="44">
        <v>527.47392815382273</v>
      </c>
      <c r="C398" s="44">
        <v>513.62531889538798</v>
      </c>
      <c r="D398" s="44">
        <v>514.05917881814048</v>
      </c>
      <c r="E398" s="44">
        <v>2921856.7987507279</v>
      </c>
      <c r="F398" s="44" t="s">
        <v>337</v>
      </c>
      <c r="G398" s="25">
        <f t="shared" si="6"/>
        <v>1.2126268407675278E-2</v>
      </c>
    </row>
    <row r="399" spans="1:7">
      <c r="A399" s="44">
        <v>511.63554752552284</v>
      </c>
      <c r="B399" s="44">
        <v>512.85235006749554</v>
      </c>
      <c r="C399" s="44">
        <v>505.94051267743765</v>
      </c>
      <c r="D399" s="44">
        <v>512.85235006749554</v>
      </c>
      <c r="E399" s="44">
        <v>1753132.7281266653</v>
      </c>
      <c r="F399" s="44" t="s">
        <v>338</v>
      </c>
      <c r="G399" s="25">
        <f t="shared" si="6"/>
        <v>-2.3726176584987213E-3</v>
      </c>
    </row>
    <row r="400" spans="1:7">
      <c r="A400" s="44">
        <v>512.85235006749554</v>
      </c>
      <c r="B400" s="44">
        <v>514.98674141161155</v>
      </c>
      <c r="C400" s="44">
        <v>508.02503506491541</v>
      </c>
      <c r="D400" s="44">
        <v>510.95732971524296</v>
      </c>
      <c r="E400" s="44">
        <v>3071599.2538450509</v>
      </c>
      <c r="F400" s="44" t="s">
        <v>339</v>
      </c>
      <c r="G400" s="25">
        <f t="shared" si="6"/>
        <v>3.7087643958619854E-3</v>
      </c>
    </row>
    <row r="401" spans="1:7">
      <c r="A401" s="44">
        <v>511.91481368269689</v>
      </c>
      <c r="B401" s="44">
        <v>515.64501163923603</v>
      </c>
      <c r="C401" s="44">
        <v>505.84077476416121</v>
      </c>
      <c r="D401" s="44">
        <v>513.27124930325658</v>
      </c>
      <c r="E401" s="44">
        <v>1838357.0898640109</v>
      </c>
      <c r="F401" s="44" t="s">
        <v>340</v>
      </c>
      <c r="G401" s="25">
        <f t="shared" si="6"/>
        <v>-2.6427266721076315E-3</v>
      </c>
    </row>
    <row r="402" spans="1:7">
      <c r="A402" s="44">
        <v>514.74737041974799</v>
      </c>
      <c r="B402" s="44">
        <v>514.86705591567977</v>
      </c>
      <c r="C402" s="44">
        <v>506.1300147126629</v>
      </c>
      <c r="D402" s="44">
        <v>512.77255973687431</v>
      </c>
      <c r="E402" s="44">
        <v>1961918.9290398676</v>
      </c>
      <c r="F402" s="44" t="s">
        <v>341</v>
      </c>
      <c r="G402" s="25">
        <f t="shared" si="6"/>
        <v>3.8512409554189997E-3</v>
      </c>
    </row>
    <row r="403" spans="1:7">
      <c r="A403" s="44">
        <v>511.49591444693584</v>
      </c>
      <c r="B403" s="44">
        <v>512.50326737102796</v>
      </c>
      <c r="C403" s="44">
        <v>501.41241141468691</v>
      </c>
      <c r="D403" s="44">
        <v>505.75101064221241</v>
      </c>
      <c r="E403" s="44">
        <v>1538041.0012671077</v>
      </c>
      <c r="F403" s="44" t="s">
        <v>342</v>
      </c>
      <c r="G403" s="25">
        <f t="shared" si="6"/>
        <v>1.1359154374063429E-2</v>
      </c>
    </row>
    <row r="404" spans="1:7">
      <c r="A404" s="44">
        <v>507.78566407305192</v>
      </c>
      <c r="B404" s="44">
        <v>509.95995058247848</v>
      </c>
      <c r="C404" s="44">
        <v>492.00712619271786</v>
      </c>
      <c r="D404" s="44">
        <v>494.88955188640722</v>
      </c>
      <c r="E404" s="44">
        <v>3668277.0671761725</v>
      </c>
      <c r="F404" s="44" t="s">
        <v>343</v>
      </c>
      <c r="G404" s="25">
        <f t="shared" si="6"/>
        <v>2.6058566275015682E-2</v>
      </c>
    </row>
    <row r="405" spans="1:7">
      <c r="A405" s="44">
        <v>499.97618546350606</v>
      </c>
      <c r="B405" s="44">
        <v>511.42609790764226</v>
      </c>
      <c r="C405" s="44">
        <v>497.30320938769728</v>
      </c>
      <c r="D405" s="44">
        <v>509.66073684264916</v>
      </c>
      <c r="E405" s="44">
        <v>3172588.9343899167</v>
      </c>
      <c r="F405" s="44" t="s">
        <v>344</v>
      </c>
      <c r="G405" s="25">
        <f t="shared" si="6"/>
        <v>-1.9001956947162446E-2</v>
      </c>
    </row>
    <row r="406" spans="1:7">
      <c r="A406" s="44">
        <v>511.73528543879934</v>
      </c>
      <c r="B406" s="44">
        <v>528.01251288551555</v>
      </c>
      <c r="C406" s="44">
        <v>510.35890223558425</v>
      </c>
      <c r="D406" s="44">
        <v>528.01251288551555</v>
      </c>
      <c r="E406" s="44">
        <v>3963504.8199203559</v>
      </c>
      <c r="F406" s="44" t="s">
        <v>345</v>
      </c>
      <c r="G406" s="25">
        <f t="shared" si="6"/>
        <v>-3.0827351718926921E-2</v>
      </c>
    </row>
    <row r="407" spans="1:7">
      <c r="A407" s="44">
        <v>531.62302534612297</v>
      </c>
      <c r="B407" s="44">
        <v>540.95849402879855</v>
      </c>
      <c r="C407" s="44">
        <v>530.29651109954625</v>
      </c>
      <c r="D407" s="44">
        <v>538.48499377954261</v>
      </c>
      <c r="E407" s="44">
        <v>1769828.4854901114</v>
      </c>
      <c r="F407" s="44" t="s">
        <v>346</v>
      </c>
      <c r="G407" s="25">
        <f t="shared" si="6"/>
        <v>-1.2743100574180377E-2</v>
      </c>
    </row>
    <row r="408" spans="1:7">
      <c r="A408" s="44">
        <v>540.47975204507156</v>
      </c>
      <c r="B408" s="44">
        <v>543.37215153008856</v>
      </c>
      <c r="C408" s="44">
        <v>536.58997342729015</v>
      </c>
      <c r="D408" s="44">
        <v>538.5847316928191</v>
      </c>
      <c r="E408" s="44">
        <v>1215357.2901010765</v>
      </c>
      <c r="F408" s="44" t="s">
        <v>347</v>
      </c>
      <c r="G408" s="25">
        <f t="shared" si="6"/>
        <v>3.5185185185184764E-3</v>
      </c>
    </row>
    <row r="409" spans="1:7">
      <c r="A409" s="44">
        <v>539.33276604239245</v>
      </c>
      <c r="B409" s="44">
        <v>548.71810368170611</v>
      </c>
      <c r="C409" s="44">
        <v>538.6346006494573</v>
      </c>
      <c r="D409" s="44">
        <v>547.72072454894169</v>
      </c>
      <c r="E409" s="44">
        <v>1728609.4558859419</v>
      </c>
      <c r="F409" s="44" t="s">
        <v>348</v>
      </c>
      <c r="G409" s="25">
        <f t="shared" si="6"/>
        <v>-1.5314298200888588E-2</v>
      </c>
    </row>
    <row r="410" spans="1:7">
      <c r="A410" s="44">
        <v>545.48659529154918</v>
      </c>
      <c r="B410" s="44">
        <v>552.47822301222823</v>
      </c>
      <c r="C410" s="44">
        <v>543.64144389593503</v>
      </c>
      <c r="D410" s="44">
        <v>547.64093421832058</v>
      </c>
      <c r="E410" s="44">
        <v>1569964.6689618065</v>
      </c>
      <c r="F410" s="44" t="s">
        <v>349</v>
      </c>
      <c r="G410" s="25">
        <f t="shared" si="6"/>
        <v>-3.9338529904570096E-3</v>
      </c>
    </row>
    <row r="411" spans="1:7">
      <c r="A411" s="44">
        <v>550.29396271147402</v>
      </c>
      <c r="B411" s="44">
        <v>557.08611460560007</v>
      </c>
      <c r="C411" s="44">
        <v>547.56114388769936</v>
      </c>
      <c r="D411" s="44">
        <v>555.7695741503511</v>
      </c>
      <c r="E411" s="44">
        <v>1624990.8853694838</v>
      </c>
      <c r="F411" s="44" t="s">
        <v>350</v>
      </c>
      <c r="G411" s="25">
        <f t="shared" si="6"/>
        <v>-9.8523051522712013E-3</v>
      </c>
    </row>
    <row r="412" spans="1:7">
      <c r="A412" s="44">
        <v>554.43308611244663</v>
      </c>
      <c r="B412" s="44">
        <v>564.39690364876378</v>
      </c>
      <c r="C412" s="44">
        <v>552.74482245441629</v>
      </c>
      <c r="D412" s="44">
        <v>563.51921001193102</v>
      </c>
      <c r="E412" s="44">
        <v>1307516.8280144343</v>
      </c>
      <c r="F412" s="44" t="s">
        <v>351</v>
      </c>
      <c r="G412" s="25">
        <f t="shared" si="6"/>
        <v>-1.6123893805309653E-2</v>
      </c>
    </row>
    <row r="413" spans="1:7">
      <c r="A413" s="44">
        <v>558.21315302562402</v>
      </c>
      <c r="B413" s="44">
        <v>568.70558150230636</v>
      </c>
      <c r="C413" s="44">
        <v>547.76061971425236</v>
      </c>
      <c r="D413" s="44">
        <v>568.70558150230636</v>
      </c>
      <c r="E413" s="44">
        <v>1426887.6831776076</v>
      </c>
      <c r="F413" s="44" t="s">
        <v>352</v>
      </c>
      <c r="G413" s="25">
        <f t="shared" si="6"/>
        <v>-1.8449666783584728E-2</v>
      </c>
    </row>
    <row r="414" spans="1:7">
      <c r="A414" s="44">
        <v>559.32024386299258</v>
      </c>
      <c r="B414" s="44">
        <v>560.30764920442937</v>
      </c>
      <c r="C414" s="44">
        <v>548.79789401232733</v>
      </c>
      <c r="D414" s="44">
        <v>548.9674484648973</v>
      </c>
      <c r="E414" s="44">
        <v>1001323.3355222321</v>
      </c>
      <c r="F414" s="44" t="s">
        <v>353</v>
      </c>
      <c r="G414" s="25">
        <f t="shared" si="6"/>
        <v>1.8858668992205674E-2</v>
      </c>
    </row>
    <row r="415" spans="1:7">
      <c r="A415" s="44">
        <v>554.01418687668559</v>
      </c>
      <c r="B415" s="44">
        <v>558.09197146099314</v>
      </c>
      <c r="C415" s="44">
        <v>548.70812989037847</v>
      </c>
      <c r="D415" s="44">
        <v>555.22101562733053</v>
      </c>
      <c r="E415" s="44">
        <v>817264.94291161641</v>
      </c>
      <c r="F415" s="44" t="s">
        <v>354</v>
      </c>
      <c r="G415" s="25">
        <f t="shared" si="6"/>
        <v>-2.1736006323200829E-3</v>
      </c>
    </row>
    <row r="416" spans="1:7">
      <c r="A416" s="44">
        <v>556.4577657519585</v>
      </c>
      <c r="B416" s="44">
        <v>563.38955072467172</v>
      </c>
      <c r="C416" s="44">
        <v>545.85562557067215</v>
      </c>
      <c r="D416" s="44">
        <v>548.55852302046389</v>
      </c>
      <c r="E416" s="44">
        <v>1463651.0350419767</v>
      </c>
      <c r="F416" s="44" t="s">
        <v>355</v>
      </c>
      <c r="G416" s="25">
        <f t="shared" si="6"/>
        <v>1.4399999999999968E-2</v>
      </c>
    </row>
    <row r="417" spans="1:7">
      <c r="A417" s="44">
        <v>544.88816781189064</v>
      </c>
      <c r="B417" s="44">
        <v>550.63805851227789</v>
      </c>
      <c r="C417" s="44">
        <v>543.06296399893154</v>
      </c>
      <c r="D417" s="44">
        <v>547.12229706928292</v>
      </c>
      <c r="E417" s="44">
        <v>1476468.6282520592</v>
      </c>
      <c r="F417" s="44" t="s">
        <v>356</v>
      </c>
      <c r="G417" s="25">
        <f t="shared" si="6"/>
        <v>-4.0834184045498434E-3</v>
      </c>
    </row>
    <row r="418" spans="1:7">
      <c r="A418" s="44">
        <v>549.17689808277783</v>
      </c>
      <c r="B418" s="44">
        <v>553.28799513011973</v>
      </c>
      <c r="C418" s="44">
        <v>545.31704083897932</v>
      </c>
      <c r="D418" s="44">
        <v>546.06507518855267</v>
      </c>
      <c r="E418" s="44">
        <v>1455999.9826494439</v>
      </c>
      <c r="F418" s="44" t="s">
        <v>357</v>
      </c>
      <c r="G418" s="25">
        <f t="shared" si="6"/>
        <v>5.698630136986349E-3</v>
      </c>
    </row>
    <row r="419" spans="1:7">
      <c r="A419" s="44">
        <v>546.33436755439902</v>
      </c>
      <c r="B419" s="44">
        <v>552.15906168974368</v>
      </c>
      <c r="C419" s="44">
        <v>545.81573040536159</v>
      </c>
      <c r="D419" s="44">
        <v>549.51600698791776</v>
      </c>
      <c r="E419" s="44">
        <v>1642644.15223822</v>
      </c>
      <c r="F419" s="44" t="s">
        <v>358</v>
      </c>
      <c r="G419" s="25">
        <f t="shared" si="6"/>
        <v>-5.7898940031945179E-3</v>
      </c>
    </row>
    <row r="420" spans="1:7">
      <c r="A420" s="44">
        <v>551.09186601768556</v>
      </c>
      <c r="B420" s="44">
        <v>557.903965494467</v>
      </c>
      <c r="C420" s="44">
        <v>549.00734363020797</v>
      </c>
      <c r="D420" s="44">
        <v>557.78427999853534</v>
      </c>
      <c r="E420" s="44">
        <v>1119675.5208871071</v>
      </c>
      <c r="F420" s="44" t="s">
        <v>359</v>
      </c>
      <c r="G420" s="25">
        <f t="shared" si="6"/>
        <v>-1.1998211890925536E-2</v>
      </c>
    </row>
    <row r="421" spans="1:7">
      <c r="A421" s="44">
        <v>552.9270436219723</v>
      </c>
      <c r="B421" s="44">
        <v>560.7464960228458</v>
      </c>
      <c r="C421" s="44">
        <v>551.85565895755667</v>
      </c>
      <c r="D421" s="44">
        <v>558.6918950093509</v>
      </c>
      <c r="E421" s="44">
        <v>1093238.2322635576</v>
      </c>
      <c r="F421" s="44" t="s">
        <v>360</v>
      </c>
      <c r="G421" s="25">
        <f t="shared" si="6"/>
        <v>-1.0318480434161503E-2</v>
      </c>
    </row>
    <row r="422" spans="1:7">
      <c r="A422" s="44">
        <v>555.91918102026568</v>
      </c>
      <c r="B422" s="44">
        <v>573.32344688700596</v>
      </c>
      <c r="C422" s="44">
        <v>555.79949552433402</v>
      </c>
      <c r="D422" s="44">
        <v>570.85992042907765</v>
      </c>
      <c r="E422" s="44">
        <v>1762183.448864104</v>
      </c>
      <c r="F422" s="44" t="s">
        <v>361</v>
      </c>
      <c r="G422" s="25">
        <f t="shared" si="6"/>
        <v>-2.6172339087287777E-2</v>
      </c>
    </row>
    <row r="423" spans="1:7">
      <c r="A423" s="44">
        <v>574.97909624739498</v>
      </c>
      <c r="B423" s="44">
        <v>577.17333033947682</v>
      </c>
      <c r="C423" s="44">
        <v>564.59637947531678</v>
      </c>
      <c r="D423" s="44">
        <v>573.07410210381477</v>
      </c>
      <c r="E423" s="44">
        <v>2063739.7879929903</v>
      </c>
      <c r="F423" s="44" t="s">
        <v>362</v>
      </c>
      <c r="G423" s="25">
        <f t="shared" si="6"/>
        <v>3.3241672177939385E-3</v>
      </c>
    </row>
    <row r="424" spans="1:7">
      <c r="A424" s="44">
        <v>584.84317587043563</v>
      </c>
      <c r="B424" s="44">
        <v>589.65054329036047</v>
      </c>
      <c r="C424" s="44">
        <v>582.62899419569851</v>
      </c>
      <c r="D424" s="44">
        <v>585.95026670780419</v>
      </c>
      <c r="E424" s="44">
        <v>1623806.7819917377</v>
      </c>
      <c r="F424" s="44" t="s">
        <v>363</v>
      </c>
      <c r="G424" s="25">
        <f t="shared" si="6"/>
        <v>-1.8893938620231365E-3</v>
      </c>
    </row>
    <row r="425" spans="1:7">
      <c r="A425" s="44">
        <v>593.80961427398836</v>
      </c>
      <c r="B425" s="44">
        <v>599.00595955569133</v>
      </c>
      <c r="C425" s="44">
        <v>590.26941704224078</v>
      </c>
      <c r="D425" s="44">
        <v>596.32300968855475</v>
      </c>
      <c r="E425" s="44">
        <v>917025.40182979545</v>
      </c>
      <c r="F425" s="44" t="s">
        <v>364</v>
      </c>
      <c r="G425" s="25">
        <f t="shared" si="6"/>
        <v>-4.214822124470885E-3</v>
      </c>
    </row>
    <row r="426" spans="1:7">
      <c r="A426" s="44">
        <v>600.13299797571517</v>
      </c>
      <c r="B426" s="44">
        <v>602.80597405152389</v>
      </c>
      <c r="C426" s="44">
        <v>593.99911630921349</v>
      </c>
      <c r="D426" s="44">
        <v>598.45740103267076</v>
      </c>
      <c r="E426" s="44">
        <v>1084449.1973699732</v>
      </c>
      <c r="F426" s="44" t="s">
        <v>365</v>
      </c>
      <c r="G426" s="25">
        <f t="shared" si="6"/>
        <v>2.7998600069998325E-3</v>
      </c>
    </row>
    <row r="427" spans="1:7">
      <c r="A427" s="44">
        <v>597.6794453091145</v>
      </c>
      <c r="B427" s="44">
        <v>606.79549058258181</v>
      </c>
      <c r="C427" s="44">
        <v>595.30568297313505</v>
      </c>
      <c r="D427" s="44">
        <v>602.7561050948857</v>
      </c>
      <c r="E427" s="44">
        <v>1951263.001267906</v>
      </c>
      <c r="F427" s="44" t="s">
        <v>366</v>
      </c>
      <c r="G427" s="25">
        <f t="shared" si="6"/>
        <v>-8.4224112254690509E-3</v>
      </c>
    </row>
    <row r="428" spans="1:7">
      <c r="A428" s="44">
        <v>589.99962598682794</v>
      </c>
      <c r="B428" s="44">
        <v>595.23586643384147</v>
      </c>
      <c r="C428" s="44">
        <v>585.73084329859603</v>
      </c>
      <c r="D428" s="44">
        <v>588.72298069688941</v>
      </c>
      <c r="E428" s="44">
        <v>1372895.1759845417</v>
      </c>
      <c r="F428" s="44" t="s">
        <v>367</v>
      </c>
      <c r="G428" s="25">
        <f t="shared" si="6"/>
        <v>2.1684991614006055E-3</v>
      </c>
    </row>
    <row r="429" spans="1:7">
      <c r="A429" s="44">
        <v>598.94611680772539</v>
      </c>
      <c r="B429" s="44">
        <v>608.95980330068073</v>
      </c>
      <c r="C429" s="44">
        <v>597.80411770071009</v>
      </c>
      <c r="D429" s="44">
        <v>603.4143753225103</v>
      </c>
      <c r="E429" s="44">
        <v>1293955.2850107129</v>
      </c>
      <c r="F429" s="44" t="s">
        <v>368</v>
      </c>
      <c r="G429" s="25">
        <f t="shared" si="6"/>
        <v>-7.4049586776859799E-3</v>
      </c>
    </row>
    <row r="430" spans="1:7">
      <c r="A430" s="44">
        <v>602.20754657186524</v>
      </c>
      <c r="B430" s="44">
        <v>602.95558092143858</v>
      </c>
      <c r="C430" s="44">
        <v>593.67267411905982</v>
      </c>
      <c r="D430" s="44">
        <v>599.21540917357174</v>
      </c>
      <c r="E430" s="44">
        <v>1009068.6349236625</v>
      </c>
      <c r="F430" s="44" t="s">
        <v>369</v>
      </c>
      <c r="G430" s="25">
        <f t="shared" si="6"/>
        <v>4.9934253233243631E-3</v>
      </c>
    </row>
    <row r="431" spans="1:7">
      <c r="A431" s="44">
        <v>595.35555192977324</v>
      </c>
      <c r="B431" s="44">
        <v>600.83116336865021</v>
      </c>
      <c r="C431" s="44">
        <v>592.75239239325788</v>
      </c>
      <c r="D431" s="44">
        <v>594.07890663983471</v>
      </c>
      <c r="E431" s="44">
        <v>2143780.5642409641</v>
      </c>
      <c r="F431" s="44" t="s">
        <v>370</v>
      </c>
      <c r="G431" s="25">
        <f t="shared" si="6"/>
        <v>2.1489490296151548E-3</v>
      </c>
    </row>
    <row r="432" spans="1:7">
      <c r="A432" s="44">
        <v>592.23375524422045</v>
      </c>
      <c r="B432" s="44">
        <v>595.60489671296432</v>
      </c>
      <c r="C432" s="44">
        <v>588.32402904378364</v>
      </c>
      <c r="D432" s="44">
        <v>595.60489671296432</v>
      </c>
      <c r="E432" s="44">
        <v>1224374.9241226255</v>
      </c>
      <c r="F432" s="44" t="s">
        <v>371</v>
      </c>
      <c r="G432" s="25">
        <f t="shared" si="6"/>
        <v>-5.6600298072574384E-3</v>
      </c>
    </row>
    <row r="433" spans="1:7">
      <c r="A433" s="44">
        <v>597.6794453091145</v>
      </c>
      <c r="B433" s="44">
        <v>598.49230930231761</v>
      </c>
      <c r="C433" s="44">
        <v>591.55553743394057</v>
      </c>
      <c r="D433" s="44">
        <v>592.55291656670511</v>
      </c>
      <c r="E433" s="44">
        <v>893257.10828800756</v>
      </c>
      <c r="F433" s="44" t="s">
        <v>372</v>
      </c>
      <c r="G433" s="25">
        <f t="shared" si="6"/>
        <v>8.6515965056974675E-3</v>
      </c>
    </row>
    <row r="434" spans="1:7">
      <c r="A434" s="44">
        <v>593.88940460460947</v>
      </c>
      <c r="B434" s="44">
        <v>600.72145166404607</v>
      </c>
      <c r="C434" s="44">
        <v>593.14635715069994</v>
      </c>
      <c r="D434" s="44">
        <v>597.4799694825615</v>
      </c>
      <c r="E434" s="44">
        <v>885859.72071729507</v>
      </c>
      <c r="F434" s="44" t="s">
        <v>373</v>
      </c>
      <c r="G434" s="25">
        <f t="shared" si="6"/>
        <v>-6.0095150655202767E-3</v>
      </c>
    </row>
    <row r="435" spans="1:7">
      <c r="A435" s="44">
        <v>597.28049365600873</v>
      </c>
      <c r="B435" s="44">
        <v>597.72432737008887</v>
      </c>
      <c r="C435" s="44">
        <v>590.76760791905667</v>
      </c>
      <c r="D435" s="44">
        <v>590.76760791905667</v>
      </c>
      <c r="E435" s="44">
        <v>1168935.625080205</v>
      </c>
      <c r="F435" s="44" t="s">
        <v>374</v>
      </c>
      <c r="G435" s="25">
        <f t="shared" si="6"/>
        <v>1.1024446245272879E-2</v>
      </c>
    </row>
    <row r="436" spans="1:7">
      <c r="A436" s="44">
        <v>597.04112266414529</v>
      </c>
      <c r="B436" s="44">
        <v>602.40702239841812</v>
      </c>
      <c r="C436" s="44">
        <v>594.96657406799511</v>
      </c>
      <c r="D436" s="44">
        <v>601.05058677785848</v>
      </c>
      <c r="E436" s="44">
        <v>873804.12460042769</v>
      </c>
      <c r="F436" s="44" t="s">
        <v>375</v>
      </c>
      <c r="G436" s="25">
        <f t="shared" si="6"/>
        <v>-6.6707598360519205E-3</v>
      </c>
    </row>
    <row r="437" spans="1:7">
      <c r="A437" s="44">
        <v>599.34506846083116</v>
      </c>
      <c r="B437" s="44">
        <v>609.88736589415169</v>
      </c>
      <c r="C437" s="44">
        <v>597.779183222391</v>
      </c>
      <c r="D437" s="44">
        <v>608.26163790774569</v>
      </c>
      <c r="E437" s="44">
        <v>1261593.4689874155</v>
      </c>
      <c r="F437" s="44" t="s">
        <v>376</v>
      </c>
      <c r="G437" s="25">
        <f t="shared" si="6"/>
        <v>-1.4659102089004228E-2</v>
      </c>
    </row>
    <row r="438" spans="1:7">
      <c r="A438" s="44">
        <v>611.11414222745202</v>
      </c>
      <c r="B438" s="44">
        <v>614.95405188859536</v>
      </c>
      <c r="C438" s="44">
        <v>603.74351043632259</v>
      </c>
      <c r="D438" s="44">
        <v>608.40127098633263</v>
      </c>
      <c r="E438" s="44">
        <v>667113.41569356725</v>
      </c>
      <c r="F438" s="44" t="s">
        <v>377</v>
      </c>
      <c r="G438" s="25">
        <f t="shared" si="6"/>
        <v>4.4590163934425942E-3</v>
      </c>
    </row>
    <row r="439" spans="1:7">
      <c r="A439" s="44">
        <v>611.3335656366603</v>
      </c>
      <c r="B439" s="44">
        <v>618.37506231397742</v>
      </c>
      <c r="C439" s="44">
        <v>608.96987682992176</v>
      </c>
      <c r="D439" s="44">
        <v>618.37506231397742</v>
      </c>
      <c r="E439" s="44">
        <v>1172320.4963784872</v>
      </c>
      <c r="F439" s="44" t="s">
        <v>378</v>
      </c>
      <c r="G439" s="25">
        <f t="shared" si="6"/>
        <v>-1.1387096774193362E-2</v>
      </c>
    </row>
    <row r="440" spans="1:7">
      <c r="A440" s="44">
        <v>616.94881015412432</v>
      </c>
      <c r="B440" s="44">
        <v>617.39763076386828</v>
      </c>
      <c r="C440" s="44">
        <v>607.43391296546429</v>
      </c>
      <c r="D440" s="44">
        <v>610.88474502691622</v>
      </c>
      <c r="E440" s="44">
        <v>1044032.269969188</v>
      </c>
      <c r="F440" s="44" t="s">
        <v>379</v>
      </c>
      <c r="G440" s="25">
        <f t="shared" si="6"/>
        <v>9.9266926806969025E-3</v>
      </c>
    </row>
    <row r="441" spans="1:7">
      <c r="A441" s="44">
        <v>612.8096867531516</v>
      </c>
      <c r="B441" s="44">
        <v>622.13019474883572</v>
      </c>
      <c r="C441" s="44">
        <v>612.4306826827011</v>
      </c>
      <c r="D441" s="44">
        <v>617.76666104299113</v>
      </c>
      <c r="E441" s="44">
        <v>873332.88955593936</v>
      </c>
      <c r="F441" s="44" t="s">
        <v>380</v>
      </c>
      <c r="G441" s="25">
        <f t="shared" si="6"/>
        <v>-8.024023636158284E-3</v>
      </c>
    </row>
    <row r="442" spans="1:7">
      <c r="A442" s="44">
        <v>617.7068182950253</v>
      </c>
      <c r="B442" s="44">
        <v>618.91364704567025</v>
      </c>
      <c r="C442" s="44">
        <v>602.97552850409386</v>
      </c>
      <c r="D442" s="44">
        <v>602.97552850409386</v>
      </c>
      <c r="E442" s="44">
        <v>1316369.0284565354</v>
      </c>
      <c r="F442" s="44" t="s">
        <v>381</v>
      </c>
      <c r="G442" s="25">
        <f t="shared" si="6"/>
        <v>2.4430991134048119E-2</v>
      </c>
    </row>
    <row r="443" spans="1:7">
      <c r="A443" s="44">
        <v>598.20805624947968</v>
      </c>
      <c r="B443" s="44">
        <v>612.29603649977787</v>
      </c>
      <c r="C443" s="44">
        <v>594.43796312762993</v>
      </c>
      <c r="D443" s="44">
        <v>612.26112823013125</v>
      </c>
      <c r="E443" s="44">
        <v>1285902.1788887335</v>
      </c>
      <c r="F443" s="44" t="s">
        <v>382</v>
      </c>
      <c r="G443" s="25">
        <f t="shared" si="6"/>
        <v>-2.2952742437323925E-2</v>
      </c>
    </row>
    <row r="444" spans="1:7">
      <c r="A444" s="44">
        <v>610.27634375592982</v>
      </c>
      <c r="B444" s="44">
        <v>612.35089235208</v>
      </c>
      <c r="C444" s="44">
        <v>606.22199758124236</v>
      </c>
      <c r="D444" s="44">
        <v>609.60809973697769</v>
      </c>
      <c r="E444" s="44">
        <v>1364722.7571598089</v>
      </c>
      <c r="F444" s="44" t="s">
        <v>383</v>
      </c>
      <c r="G444" s="25">
        <f t="shared" si="6"/>
        <v>1.0961862534970557E-3</v>
      </c>
    </row>
    <row r="445" spans="1:7">
      <c r="A445" s="44">
        <v>608.75035368280021</v>
      </c>
      <c r="B445" s="44">
        <v>614.79447122735291</v>
      </c>
      <c r="C445" s="44">
        <v>606.20703689425079</v>
      </c>
      <c r="D445" s="44">
        <v>614.02648929512429</v>
      </c>
      <c r="E445" s="44">
        <v>885546.90085797512</v>
      </c>
      <c r="F445" s="44" t="s">
        <v>384</v>
      </c>
      <c r="G445" s="25">
        <f t="shared" si="6"/>
        <v>-8.592684036125009E-3</v>
      </c>
    </row>
    <row r="446" spans="1:7">
      <c r="A446" s="44">
        <v>612.08159998623364</v>
      </c>
      <c r="B446" s="44">
        <v>617.41757834652356</v>
      </c>
      <c r="C446" s="44">
        <v>606.60598854735667</v>
      </c>
      <c r="D446" s="44">
        <v>617.41757834652356</v>
      </c>
      <c r="E446" s="44">
        <v>1988279.0153263411</v>
      </c>
      <c r="F446" s="44" t="s">
        <v>385</v>
      </c>
      <c r="G446" s="25">
        <f t="shared" si="6"/>
        <v>-8.6424140604806077E-3</v>
      </c>
    </row>
    <row r="447" spans="1:7">
      <c r="A447" s="44">
        <v>618.62440709716861</v>
      </c>
      <c r="B447" s="44">
        <v>622.11523406184426</v>
      </c>
      <c r="C447" s="44">
        <v>610.20652721663635</v>
      </c>
      <c r="D447" s="44">
        <v>615.99132618667034</v>
      </c>
      <c r="E447" s="44">
        <v>1478120.9587910313</v>
      </c>
      <c r="F447" s="44" t="s">
        <v>386</v>
      </c>
      <c r="G447" s="25">
        <f t="shared" si="6"/>
        <v>4.2745421868171096E-3</v>
      </c>
    </row>
    <row r="448" spans="1:7">
      <c r="A448" s="44">
        <v>608.52095648226441</v>
      </c>
      <c r="B448" s="44">
        <v>613.30837631953386</v>
      </c>
      <c r="C448" s="44">
        <v>600.28260484562975</v>
      </c>
      <c r="D448" s="44">
        <v>607.54352493215515</v>
      </c>
      <c r="E448" s="44">
        <v>1095496.1499660846</v>
      </c>
      <c r="F448" s="44" t="s">
        <v>387</v>
      </c>
      <c r="G448" s="25">
        <f t="shared" si="6"/>
        <v>1.6088255573432075E-3</v>
      </c>
    </row>
    <row r="449" spans="1:7">
      <c r="A449" s="44">
        <v>608.88998676138726</v>
      </c>
      <c r="B449" s="44">
        <v>614.964025679923</v>
      </c>
      <c r="C449" s="44">
        <v>605.40913358803925</v>
      </c>
      <c r="D449" s="44">
        <v>611.57293662852362</v>
      </c>
      <c r="E449" s="44">
        <v>1336514.8279222886</v>
      </c>
      <c r="F449" s="44" t="s">
        <v>388</v>
      </c>
      <c r="G449" s="25">
        <f t="shared" si="6"/>
        <v>-4.3869663067939157E-3</v>
      </c>
    </row>
    <row r="450" spans="1:7">
      <c r="A450" s="44">
        <v>612.54039438730524</v>
      </c>
      <c r="B450" s="44">
        <v>614.8642877666465</v>
      </c>
      <c r="C450" s="44">
        <v>605.66845216255797</v>
      </c>
      <c r="D450" s="44">
        <v>613.9766203384861</v>
      </c>
      <c r="E450" s="44">
        <v>1201369.6303018071</v>
      </c>
      <c r="F450" s="44" t="s">
        <v>389</v>
      </c>
      <c r="G450" s="25">
        <f t="shared" si="6"/>
        <v>-2.3392192855634653E-3</v>
      </c>
    </row>
    <row r="451" spans="1:7">
      <c r="A451" s="44">
        <v>609.56820457166702</v>
      </c>
      <c r="B451" s="44">
        <v>615.4228200809946</v>
      </c>
      <c r="C451" s="44">
        <v>606.21770885097135</v>
      </c>
      <c r="D451" s="44">
        <v>613.22858598891276</v>
      </c>
      <c r="E451" s="44">
        <v>1128053.478401457</v>
      </c>
      <c r="F451" s="44" t="s">
        <v>390</v>
      </c>
      <c r="G451" s="25">
        <f t="shared" si="6"/>
        <v>-5.9690325938457356E-3</v>
      </c>
    </row>
    <row r="452" spans="1:7">
      <c r="A452" s="44">
        <v>612.16139031685452</v>
      </c>
      <c r="B452" s="44">
        <v>617.29463110122958</v>
      </c>
      <c r="C452" s="44">
        <v>602.21386739878403</v>
      </c>
      <c r="D452" s="44">
        <v>613.70634628108405</v>
      </c>
      <c r="E452" s="44">
        <v>1402192.0366387514</v>
      </c>
      <c r="F452" s="44" t="s">
        <v>391</v>
      </c>
      <c r="G452" s="25">
        <f t="shared" si="6"/>
        <v>-2.5174189147489923E-3</v>
      </c>
    </row>
    <row r="453" spans="1:7">
      <c r="A453" s="44">
        <v>616.44739718536198</v>
      </c>
      <c r="B453" s="44">
        <v>620.97262304187905</v>
      </c>
      <c r="C453" s="44">
        <v>606.8736539360566</v>
      </c>
      <c r="D453" s="44">
        <v>620.05561692117521</v>
      </c>
      <c r="E453" s="44">
        <v>1328420.9696058808</v>
      </c>
      <c r="F453" s="44" t="s">
        <v>392</v>
      </c>
      <c r="G453" s="25">
        <f t="shared" si="6"/>
        <v>-5.819187242798507E-3</v>
      </c>
    </row>
    <row r="454" spans="1:7">
      <c r="A454" s="44">
        <v>622.17868543976135</v>
      </c>
      <c r="B454" s="44">
        <v>625.83674246474322</v>
      </c>
      <c r="C454" s="44">
        <v>616.23808057085341</v>
      </c>
      <c r="D454" s="44">
        <v>618.60036807744939</v>
      </c>
      <c r="E454" s="44">
        <v>1307145.7353849527</v>
      </c>
      <c r="F454" s="44" t="s">
        <v>393</v>
      </c>
      <c r="G454" s="25">
        <f t="shared" ref="G454:G517" si="7">A454/D454-1</f>
        <v>5.7845380426024828E-3</v>
      </c>
    </row>
    <row r="455" spans="1:7">
      <c r="A455" s="44">
        <v>618.40101892077462</v>
      </c>
      <c r="B455" s="44">
        <v>620.23503116218239</v>
      </c>
      <c r="C455" s="44">
        <v>612.1015855698522</v>
      </c>
      <c r="D455" s="44">
        <v>612.51025134103543</v>
      </c>
      <c r="E455" s="44">
        <v>1448033.2137595022</v>
      </c>
      <c r="F455" s="44" t="s">
        <v>394</v>
      </c>
      <c r="G455" s="25">
        <f t="shared" si="7"/>
        <v>9.6174187564075364E-3</v>
      </c>
    </row>
    <row r="456" spans="1:7">
      <c r="A456" s="44">
        <v>609.3405997499068</v>
      </c>
      <c r="B456" s="44">
        <v>617.68336195674556</v>
      </c>
      <c r="C456" s="44">
        <v>605.51309594175132</v>
      </c>
      <c r="D456" s="44">
        <v>605.51309594175132</v>
      </c>
      <c r="E456" s="44">
        <v>1874890.2991839005</v>
      </c>
      <c r="F456" s="44" t="s">
        <v>395</v>
      </c>
      <c r="G456" s="25">
        <f t="shared" si="7"/>
        <v>6.3210917052134441E-3</v>
      </c>
    </row>
    <row r="457" spans="1:7">
      <c r="A457" s="44">
        <v>604.90508101389332</v>
      </c>
      <c r="B457" s="44">
        <v>612.17135777468832</v>
      </c>
      <c r="C457" s="44">
        <v>599.30336971133249</v>
      </c>
      <c r="D457" s="44">
        <v>609.05154347272833</v>
      </c>
      <c r="E457" s="44">
        <v>1472450.6734628384</v>
      </c>
      <c r="F457" s="44" t="s">
        <v>396</v>
      </c>
      <c r="G457" s="25">
        <f t="shared" si="7"/>
        <v>-6.8080649384655301E-3</v>
      </c>
    </row>
    <row r="458" spans="1:7">
      <c r="A458" s="44">
        <v>609.90874484642984</v>
      </c>
      <c r="B458" s="44">
        <v>610.67623909962765</v>
      </c>
      <c r="C458" s="44">
        <v>602.26370468795278</v>
      </c>
      <c r="D458" s="44">
        <v>603.68905115817722</v>
      </c>
      <c r="E458" s="44">
        <v>1009263.3616115683</v>
      </c>
      <c r="F458" s="44" t="s">
        <v>397</v>
      </c>
      <c r="G458" s="25">
        <f t="shared" si="7"/>
        <v>1.0302810157514219E-2</v>
      </c>
    </row>
    <row r="459" spans="1:7">
      <c r="A459" s="44">
        <v>604.45654541137503</v>
      </c>
      <c r="B459" s="44">
        <v>613.02855914838983</v>
      </c>
      <c r="C459" s="44">
        <v>601.68060840467911</v>
      </c>
      <c r="D459" s="44">
        <v>609.48014415957914</v>
      </c>
      <c r="E459" s="44">
        <v>1286444.3686531491</v>
      </c>
      <c r="F459" s="44" t="s">
        <v>398</v>
      </c>
      <c r="G459" s="25">
        <f t="shared" si="7"/>
        <v>-8.2424321716521032E-3</v>
      </c>
    </row>
    <row r="460" spans="1:7">
      <c r="A460" s="44">
        <v>613.06842897972479</v>
      </c>
      <c r="B460" s="44">
        <v>615.98889412501001</v>
      </c>
      <c r="C460" s="44">
        <v>603.03119894115059</v>
      </c>
      <c r="D460" s="44">
        <v>614.10504459443348</v>
      </c>
      <c r="E460" s="44">
        <v>1062436.3981912713</v>
      </c>
      <c r="F460" s="44" t="s">
        <v>399</v>
      </c>
      <c r="G460" s="25">
        <f t="shared" si="7"/>
        <v>-1.6880102579084344E-3</v>
      </c>
    </row>
    <row r="461" spans="1:7">
      <c r="A461" s="44">
        <v>609.68946077408748</v>
      </c>
      <c r="B461" s="44">
        <v>614.54361273911798</v>
      </c>
      <c r="C461" s="44">
        <v>607.67603429167241</v>
      </c>
      <c r="D461" s="44">
        <v>612.43051167836552</v>
      </c>
      <c r="E461" s="44">
        <v>724856.84118419455</v>
      </c>
      <c r="F461" s="44" t="s">
        <v>400</v>
      </c>
      <c r="G461" s="25">
        <f t="shared" si="7"/>
        <v>-4.4756929186401395E-3</v>
      </c>
    </row>
    <row r="462" spans="1:7">
      <c r="A462" s="44">
        <v>611.14470961781331</v>
      </c>
      <c r="B462" s="44">
        <v>615.98889412501001</v>
      </c>
      <c r="C462" s="44">
        <v>607.22749868915434</v>
      </c>
      <c r="D462" s="44">
        <v>608.26411430386304</v>
      </c>
      <c r="E462" s="44">
        <v>793036.71325746737</v>
      </c>
      <c r="F462" s="44" t="s">
        <v>401</v>
      </c>
      <c r="G462" s="25">
        <f t="shared" si="7"/>
        <v>4.7357640311347371E-3</v>
      </c>
    </row>
    <row r="463" spans="1:7">
      <c r="A463" s="44">
        <v>608.41362617136906</v>
      </c>
      <c r="B463" s="44">
        <v>608.9917387257259</v>
      </c>
      <c r="C463" s="44">
        <v>600.04096159102914</v>
      </c>
      <c r="D463" s="44">
        <v>603.6292464111749</v>
      </c>
      <c r="E463" s="44">
        <v>739802.47752245562</v>
      </c>
      <c r="F463" s="44" t="s">
        <v>402</v>
      </c>
      <c r="G463" s="25">
        <f t="shared" si="7"/>
        <v>7.9260237780711673E-3</v>
      </c>
    </row>
    <row r="464" spans="1:7">
      <c r="A464" s="44">
        <v>603.61927895334111</v>
      </c>
      <c r="B464" s="44">
        <v>604.93488371281614</v>
      </c>
      <c r="C464" s="44">
        <v>600.29014803687267</v>
      </c>
      <c r="D464" s="44">
        <v>604.02794472452433</v>
      </c>
      <c r="E464" s="44">
        <v>521181.03599258588</v>
      </c>
      <c r="F464" s="44" t="s">
        <v>403</v>
      </c>
      <c r="G464" s="25">
        <f t="shared" si="7"/>
        <v>-6.7656765676560315E-4</v>
      </c>
    </row>
    <row r="465" spans="1:7">
      <c r="A465" s="44">
        <v>604.14755421852919</v>
      </c>
      <c r="B465" s="44">
        <v>605.72241255625988</v>
      </c>
      <c r="C465" s="44">
        <v>598.6056476629708</v>
      </c>
      <c r="D465" s="44">
        <v>604.79543897772214</v>
      </c>
      <c r="E465" s="44">
        <v>779802.64673816808</v>
      </c>
      <c r="F465" s="44" t="s">
        <v>404</v>
      </c>
      <c r="G465" s="25">
        <f t="shared" si="7"/>
        <v>-1.0712461064323886E-3</v>
      </c>
    </row>
    <row r="466" spans="1:7">
      <c r="A466" s="44">
        <v>601.8949087481044</v>
      </c>
      <c r="B466" s="44">
        <v>611.70288725650266</v>
      </c>
      <c r="C466" s="44">
        <v>600.04096159102914</v>
      </c>
      <c r="D466" s="44">
        <v>611.17461199131446</v>
      </c>
      <c r="E466" s="44">
        <v>1142119.7049329004</v>
      </c>
      <c r="F466" s="44" t="s">
        <v>405</v>
      </c>
      <c r="G466" s="25">
        <f t="shared" si="7"/>
        <v>-1.5183391229185994E-2</v>
      </c>
    </row>
    <row r="467" spans="1:7">
      <c r="A467" s="44">
        <v>608.18437464119313</v>
      </c>
      <c r="B467" s="44">
        <v>616.10850361901487</v>
      </c>
      <c r="C467" s="44">
        <v>607.01818207464578</v>
      </c>
      <c r="D467" s="44">
        <v>612.99865677488856</v>
      </c>
      <c r="E467" s="44">
        <v>968725.44244101201</v>
      </c>
      <c r="F467" s="44" t="s">
        <v>406</v>
      </c>
      <c r="G467" s="25">
        <f t="shared" si="7"/>
        <v>-7.8536585365852618E-3</v>
      </c>
    </row>
    <row r="468" spans="1:7">
      <c r="A468" s="44">
        <v>612.54015371453659</v>
      </c>
      <c r="B468" s="44">
        <v>612.79930761821379</v>
      </c>
      <c r="C468" s="44">
        <v>606.35036239978535</v>
      </c>
      <c r="D468" s="44">
        <v>607.93518819534961</v>
      </c>
      <c r="E468" s="44">
        <v>1079006.3203073163</v>
      </c>
      <c r="F468" s="44" t="s">
        <v>407</v>
      </c>
      <c r="G468" s="25">
        <f t="shared" si="7"/>
        <v>7.5747639034626779E-3</v>
      </c>
    </row>
    <row r="469" spans="1:7">
      <c r="A469" s="44">
        <v>605.6227379779225</v>
      </c>
      <c r="B469" s="44">
        <v>608.89206414738851</v>
      </c>
      <c r="C469" s="44">
        <v>601.9846158686081</v>
      </c>
      <c r="D469" s="44">
        <v>602.22383485661783</v>
      </c>
      <c r="E469" s="44">
        <v>962543.3244899906</v>
      </c>
      <c r="F469" s="44" t="s">
        <v>408</v>
      </c>
      <c r="G469" s="25">
        <f t="shared" si="7"/>
        <v>5.6439199589533029E-3</v>
      </c>
    </row>
    <row r="470" spans="1:7">
      <c r="A470" s="44">
        <v>602.01451824210926</v>
      </c>
      <c r="B470" s="44">
        <v>604.60605727888117</v>
      </c>
      <c r="C470" s="44">
        <v>597.63880425309833</v>
      </c>
      <c r="D470" s="44">
        <v>599.83164497652058</v>
      </c>
      <c r="E470" s="44">
        <v>1079710.612225787</v>
      </c>
      <c r="F470" s="44" t="s">
        <v>409</v>
      </c>
      <c r="G470" s="25">
        <f t="shared" si="7"/>
        <v>3.6391432227189657E-3</v>
      </c>
    </row>
    <row r="471" spans="1:7">
      <c r="A471" s="44">
        <v>601.7254619649309</v>
      </c>
      <c r="B471" s="44">
        <v>606.63941867696371</v>
      </c>
      <c r="C471" s="44">
        <v>598.02753510861407</v>
      </c>
      <c r="D471" s="44">
        <v>603.54950674850488</v>
      </c>
      <c r="E471" s="44">
        <v>1245124.9061713554</v>
      </c>
      <c r="F471" s="44" t="s">
        <v>410</v>
      </c>
      <c r="G471" s="25">
        <f t="shared" si="7"/>
        <v>-3.0221957986522607E-3</v>
      </c>
    </row>
    <row r="472" spans="1:7">
      <c r="A472" s="44">
        <v>600.14063616936653</v>
      </c>
      <c r="B472" s="44">
        <v>601.50617789258865</v>
      </c>
      <c r="C472" s="44">
        <v>593.86113773411159</v>
      </c>
      <c r="D472" s="44">
        <v>600.13066871153285</v>
      </c>
      <c r="E472" s="44">
        <v>1131822.1946035782</v>
      </c>
      <c r="F472" s="44" t="s">
        <v>411</v>
      </c>
      <c r="G472" s="25">
        <f t="shared" si="7"/>
        <v>1.6608812635876546E-5</v>
      </c>
    </row>
    <row r="473" spans="1:7">
      <c r="A473" s="44">
        <v>602.2437697722853</v>
      </c>
      <c r="B473" s="44">
        <v>603.59934403767363</v>
      </c>
      <c r="C473" s="44">
        <v>597.50723380969293</v>
      </c>
      <c r="D473" s="44">
        <v>598.02753510861407</v>
      </c>
      <c r="E473" s="44">
        <v>1045947.7405273578</v>
      </c>
      <c r="F473" s="44" t="s">
        <v>412</v>
      </c>
      <c r="G473" s="25">
        <f t="shared" si="7"/>
        <v>7.0502350078336384E-3</v>
      </c>
    </row>
    <row r="474" spans="1:7">
      <c r="A474" s="44">
        <v>597.12049644574392</v>
      </c>
      <c r="B474" s="44">
        <v>597.5789995060959</v>
      </c>
      <c r="C474" s="44">
        <v>589.66483798610795</v>
      </c>
      <c r="D474" s="44">
        <v>594.31964079446357</v>
      </c>
      <c r="E474" s="44">
        <v>1167822.3468977194</v>
      </c>
      <c r="F474" s="44" t="s">
        <v>413</v>
      </c>
      <c r="G474" s="25">
        <f t="shared" si="7"/>
        <v>4.7127092208096855E-3</v>
      </c>
    </row>
    <row r="475" spans="1:7">
      <c r="A475" s="44">
        <v>594.23990113179354</v>
      </c>
      <c r="B475" s="44">
        <v>599.3930768318362</v>
      </c>
      <c r="C475" s="44">
        <v>591.94240210111707</v>
      </c>
      <c r="D475" s="44">
        <v>598.04747002428155</v>
      </c>
      <c r="E475" s="44">
        <v>966952.67346674146</v>
      </c>
      <c r="F475" s="44" t="s">
        <v>414</v>
      </c>
      <c r="G475" s="25">
        <f t="shared" si="7"/>
        <v>-6.3666666666668537E-3</v>
      </c>
    </row>
    <row r="476" spans="1:7">
      <c r="A476" s="44">
        <v>598.08733985561651</v>
      </c>
      <c r="B476" s="44">
        <v>599.18376021732763</v>
      </c>
      <c r="C476" s="44">
        <v>585.58814773210906</v>
      </c>
      <c r="D476" s="44">
        <v>587.82085828686638</v>
      </c>
      <c r="E476" s="44">
        <v>1120360.8970585493</v>
      </c>
      <c r="F476" s="44" t="s">
        <v>415</v>
      </c>
      <c r="G476" s="25">
        <f t="shared" si="7"/>
        <v>1.7465323701970181E-2</v>
      </c>
    </row>
    <row r="477" spans="1:7">
      <c r="A477" s="44">
        <v>585.45857078027041</v>
      </c>
      <c r="B477" s="44">
        <v>599.8216775186869</v>
      </c>
      <c r="C477" s="44">
        <v>583.77407040636865</v>
      </c>
      <c r="D477" s="44">
        <v>599.01431343415413</v>
      </c>
      <c r="E477" s="44">
        <v>1697762.8882181805</v>
      </c>
      <c r="F477" s="44" t="s">
        <v>416</v>
      </c>
      <c r="G477" s="25">
        <f t="shared" si="7"/>
        <v>-2.2630081368454347E-2</v>
      </c>
    </row>
    <row r="478" spans="1:7">
      <c r="A478" s="44">
        <v>600.06089650669662</v>
      </c>
      <c r="B478" s="44">
        <v>610.8855557141361</v>
      </c>
      <c r="C478" s="44">
        <v>594.6659102796076</v>
      </c>
      <c r="D478" s="44">
        <v>598.30662392795875</v>
      </c>
      <c r="E478" s="44">
        <v>1321180.4072474709</v>
      </c>
      <c r="F478" s="44" t="s">
        <v>417</v>
      </c>
      <c r="G478" s="25">
        <f t="shared" si="7"/>
        <v>2.9320627727984494E-3</v>
      </c>
    </row>
    <row r="479" spans="1:7">
      <c r="A479" s="44">
        <v>596.08388083103512</v>
      </c>
      <c r="B479" s="44">
        <v>609.38046958124164</v>
      </c>
      <c r="C479" s="44">
        <v>590.88086784182383</v>
      </c>
      <c r="D479" s="44">
        <v>605.56293323091995</v>
      </c>
      <c r="E479" s="44">
        <v>2123988.92005751</v>
      </c>
      <c r="F479" s="44" t="s">
        <v>418</v>
      </c>
      <c r="G479" s="25">
        <f t="shared" si="7"/>
        <v>-1.5653290318332957E-2</v>
      </c>
    </row>
    <row r="480" spans="1:7">
      <c r="A480" s="44">
        <v>613.68641136541657</v>
      </c>
      <c r="B480" s="44">
        <v>619.97587725850519</v>
      </c>
      <c r="C480" s="44">
        <v>603.49966945933625</v>
      </c>
      <c r="D480" s="44">
        <v>619.92603996933656</v>
      </c>
      <c r="E480" s="44">
        <v>1569839.5981206673</v>
      </c>
      <c r="F480" s="44" t="s">
        <v>419</v>
      </c>
      <c r="G480" s="25">
        <f t="shared" si="7"/>
        <v>-1.0065117774740728E-2</v>
      </c>
    </row>
    <row r="481" spans="1:7">
      <c r="A481" s="44">
        <v>619.74662572832926</v>
      </c>
      <c r="B481" s="44">
        <v>620.27490099351735</v>
      </c>
      <c r="C481" s="44">
        <v>610.87558825630242</v>
      </c>
      <c r="D481" s="44">
        <v>614.39410087161195</v>
      </c>
      <c r="E481" s="44">
        <v>1462945.7423580061</v>
      </c>
      <c r="F481" s="44" t="s">
        <v>420</v>
      </c>
      <c r="G481" s="25">
        <f t="shared" si="7"/>
        <v>8.7118754055808267E-3</v>
      </c>
    </row>
    <row r="482" spans="1:7">
      <c r="A482" s="44">
        <v>611.34405877448808</v>
      </c>
      <c r="B482" s="44">
        <v>618.61033553528307</v>
      </c>
      <c r="C482" s="44">
        <v>607.31222208074098</v>
      </c>
      <c r="D482" s="44">
        <v>612.23116252169075</v>
      </c>
      <c r="E482" s="44">
        <v>1707834.6639582491</v>
      </c>
      <c r="F482" s="44" t="s">
        <v>421</v>
      </c>
      <c r="G482" s="25">
        <f t="shared" si="7"/>
        <v>-1.4489686273870817E-3</v>
      </c>
    </row>
    <row r="483" spans="1:7">
      <c r="A483" s="44">
        <v>613.05846152189099</v>
      </c>
      <c r="B483" s="44">
        <v>613.73325841723511</v>
      </c>
      <c r="C483" s="44">
        <v>600.88819550689686</v>
      </c>
      <c r="D483" s="44">
        <v>607.82554615917854</v>
      </c>
      <c r="E483" s="44">
        <v>1632482.4515357632</v>
      </c>
      <c r="F483" s="44" t="s">
        <v>422</v>
      </c>
      <c r="G483" s="25">
        <f t="shared" si="7"/>
        <v>8.6092389432774752E-3</v>
      </c>
    </row>
    <row r="484" spans="1:7">
      <c r="A484" s="44">
        <v>602.1540626517816</v>
      </c>
      <c r="B484" s="44">
        <v>605.83205459243095</v>
      </c>
      <c r="C484" s="44">
        <v>593.2630902640874</v>
      </c>
      <c r="D484" s="44">
        <v>602.28363960362026</v>
      </c>
      <c r="E484" s="44">
        <v>1627188.2229691388</v>
      </c>
      <c r="F484" s="44" t="s">
        <v>423</v>
      </c>
      <c r="G484" s="25">
        <f t="shared" si="7"/>
        <v>-2.151427389326388E-4</v>
      </c>
    </row>
    <row r="485" spans="1:7">
      <c r="A485" s="44">
        <v>605.16423491757052</v>
      </c>
      <c r="B485" s="44">
        <v>612.64979575070777</v>
      </c>
      <c r="C485" s="44">
        <v>597.34974797591985</v>
      </c>
      <c r="D485" s="44">
        <v>598.89470394014927</v>
      </c>
      <c r="E485" s="44">
        <v>2724230.2353253854</v>
      </c>
      <c r="F485" s="44" t="s">
        <v>424</v>
      </c>
      <c r="G485" s="25">
        <f t="shared" si="7"/>
        <v>1.0468502954148251E-2</v>
      </c>
    </row>
    <row r="486" spans="1:7">
      <c r="A486" s="44">
        <v>592.5653682157257</v>
      </c>
      <c r="B486" s="44">
        <v>601.85503891676956</v>
      </c>
      <c r="C486" s="44">
        <v>570.26816504165367</v>
      </c>
      <c r="D486" s="44">
        <v>574.26511563298266</v>
      </c>
      <c r="E486" s="44">
        <v>3637022.6596087557</v>
      </c>
      <c r="F486" s="44" t="s">
        <v>425</v>
      </c>
      <c r="G486" s="25">
        <f t="shared" si="7"/>
        <v>3.1867254486756647E-2</v>
      </c>
    </row>
    <row r="487" spans="1:7">
      <c r="A487" s="44">
        <v>572.85970407842558</v>
      </c>
      <c r="B487" s="44">
        <v>573.37801188577998</v>
      </c>
      <c r="C487" s="44">
        <v>550.85155718153203</v>
      </c>
      <c r="D487" s="44">
        <v>551.12067854304291</v>
      </c>
      <c r="E487" s="44">
        <v>2866591.5097515499</v>
      </c>
      <c r="F487" s="44" t="s">
        <v>426</v>
      </c>
      <c r="G487" s="25">
        <f t="shared" si="7"/>
        <v>3.9445127685741266E-2</v>
      </c>
    </row>
    <row r="488" spans="1:7">
      <c r="A488" s="44">
        <v>550.44289141034881</v>
      </c>
      <c r="B488" s="44">
        <v>570.37780707782485</v>
      </c>
      <c r="C488" s="44">
        <v>548.8780005304518</v>
      </c>
      <c r="D488" s="44">
        <v>569.11193993294012</v>
      </c>
      <c r="E488" s="44">
        <v>2012195.1188107873</v>
      </c>
      <c r="F488" s="44" t="s">
        <v>427</v>
      </c>
      <c r="G488" s="25">
        <f t="shared" si="7"/>
        <v>-3.280382506961832E-2</v>
      </c>
    </row>
    <row r="489" spans="1:7">
      <c r="A489" s="44">
        <v>544.64183095111321</v>
      </c>
      <c r="B489" s="44">
        <v>545.3395529994749</v>
      </c>
      <c r="C489" s="44">
        <v>534.23580497269074</v>
      </c>
      <c r="D489" s="44">
        <v>538.91054269671383</v>
      </c>
      <c r="E489" s="44">
        <v>1167490.2662353066</v>
      </c>
      <c r="F489" s="44" t="s">
        <v>428</v>
      </c>
      <c r="G489" s="25">
        <f t="shared" si="7"/>
        <v>1.0634952928773478E-2</v>
      </c>
    </row>
    <row r="490" spans="1:7">
      <c r="A490" s="44">
        <v>532.61110934579142</v>
      </c>
      <c r="B490" s="44">
        <v>540.46546611877704</v>
      </c>
      <c r="C490" s="44">
        <v>529.74546521859179</v>
      </c>
      <c r="D490" s="44">
        <v>539.38898067273328</v>
      </c>
      <c r="E490" s="44">
        <v>1672712.3684000936</v>
      </c>
      <c r="F490" s="44" t="s">
        <v>429</v>
      </c>
      <c r="G490" s="25">
        <f t="shared" si="7"/>
        <v>-1.2565832024392543E-2</v>
      </c>
    </row>
    <row r="491" spans="1:7">
      <c r="A491" s="44">
        <v>538.8607054075452</v>
      </c>
      <c r="B491" s="44">
        <v>555.34688066454783</v>
      </c>
      <c r="C491" s="44">
        <v>536.01997992492977</v>
      </c>
      <c r="D491" s="44">
        <v>549.89468122949324</v>
      </c>
      <c r="E491" s="44">
        <v>1750664.0400259383</v>
      </c>
      <c r="F491" s="44" t="s">
        <v>430</v>
      </c>
      <c r="G491" s="25">
        <f t="shared" si="7"/>
        <v>-2.0065616560024702E-2</v>
      </c>
    </row>
    <row r="492" spans="1:7">
      <c r="A492" s="44">
        <v>553.25371451946285</v>
      </c>
      <c r="B492" s="44">
        <v>558.1377688579945</v>
      </c>
      <c r="C492" s="44">
        <v>549.05741477145921</v>
      </c>
      <c r="D492" s="44">
        <v>551.20041820571282</v>
      </c>
      <c r="E492" s="44">
        <v>1134851.051158939</v>
      </c>
      <c r="F492" s="44" t="s">
        <v>431</v>
      </c>
      <c r="G492" s="25">
        <f t="shared" si="7"/>
        <v>3.7251356238698907E-3</v>
      </c>
    </row>
    <row r="493" spans="1:7">
      <c r="A493" s="44">
        <v>553.61254300147743</v>
      </c>
      <c r="B493" s="44">
        <v>553.96638775457507</v>
      </c>
      <c r="C493" s="44">
        <v>545.93760046949922</v>
      </c>
      <c r="D493" s="44">
        <v>547.45265406022736</v>
      </c>
      <c r="E493" s="44">
        <v>1125777.5239357911</v>
      </c>
      <c r="F493" s="44" t="s">
        <v>432</v>
      </c>
      <c r="G493" s="25">
        <f t="shared" si="7"/>
        <v>1.1251911732575781E-2</v>
      </c>
    </row>
    <row r="494" spans="1:7">
      <c r="A494" s="44">
        <v>542.9074932880427</v>
      </c>
      <c r="B494" s="44">
        <v>547.89122220491174</v>
      </c>
      <c r="C494" s="44">
        <v>541.22299291414106</v>
      </c>
      <c r="D494" s="44">
        <v>544.81127773428682</v>
      </c>
      <c r="E494" s="44">
        <v>1330378.3393109185</v>
      </c>
      <c r="F494" s="44" t="s">
        <v>433</v>
      </c>
      <c r="G494" s="25">
        <f t="shared" si="7"/>
        <v>-3.494392506266375E-3</v>
      </c>
    </row>
    <row r="495" spans="1:7">
      <c r="A495" s="44">
        <v>546.30639640934749</v>
      </c>
      <c r="B495" s="44">
        <v>549.86477885599186</v>
      </c>
      <c r="C495" s="44">
        <v>539.09494066663797</v>
      </c>
      <c r="D495" s="44">
        <v>540.92396917912902</v>
      </c>
      <c r="E495" s="44">
        <v>948295.96048115357</v>
      </c>
      <c r="F495" s="44" t="s">
        <v>434</v>
      </c>
      <c r="G495" s="25">
        <f t="shared" si="7"/>
        <v>9.9504321067274137E-3</v>
      </c>
    </row>
    <row r="496" spans="1:7">
      <c r="A496" s="44">
        <v>540.92396917912902</v>
      </c>
      <c r="B496" s="44">
        <v>546.84463913236937</v>
      </c>
      <c r="C496" s="44">
        <v>536.11965450326716</v>
      </c>
      <c r="D496" s="44">
        <v>538.00350403384368</v>
      </c>
      <c r="E496" s="44">
        <v>1408521.6345214183</v>
      </c>
      <c r="F496" s="44" t="s">
        <v>435</v>
      </c>
      <c r="G496" s="25">
        <f t="shared" si="7"/>
        <v>5.4283385208242496E-3</v>
      </c>
    </row>
    <row r="497" spans="1:7">
      <c r="A497" s="44">
        <v>535.12290871989342</v>
      </c>
      <c r="B497" s="44">
        <v>535.25248567173196</v>
      </c>
      <c r="C497" s="44">
        <v>527.09910516373429</v>
      </c>
      <c r="D497" s="44">
        <v>531.51468898408018</v>
      </c>
      <c r="E497" s="44">
        <v>1982689.0998332577</v>
      </c>
      <c r="F497" s="44" t="s">
        <v>436</v>
      </c>
      <c r="G497" s="25">
        <f t="shared" si="7"/>
        <v>6.7885607126114689E-3</v>
      </c>
    </row>
    <row r="498" spans="1:7">
      <c r="A498" s="44">
        <v>530.12921234519069</v>
      </c>
      <c r="B498" s="44">
        <v>536.57815756361924</v>
      </c>
      <c r="C498" s="44">
        <v>526.65056956121612</v>
      </c>
      <c r="D498" s="44">
        <v>536.33893857560952</v>
      </c>
      <c r="E498" s="44">
        <v>1572653.7560000271</v>
      </c>
      <c r="F498" s="44" t="s">
        <v>437</v>
      </c>
      <c r="G498" s="25">
        <f t="shared" si="7"/>
        <v>-1.157798881228056E-2</v>
      </c>
    </row>
    <row r="499" spans="1:7">
      <c r="A499" s="44">
        <v>534.54479616553658</v>
      </c>
      <c r="B499" s="44">
        <v>541.25289528764222</v>
      </c>
      <c r="C499" s="44">
        <v>533.68759479183507</v>
      </c>
      <c r="D499" s="44">
        <v>539.68800440774544</v>
      </c>
      <c r="E499" s="44">
        <v>1143851.3400486845</v>
      </c>
      <c r="F499" s="44" t="s">
        <v>438</v>
      </c>
      <c r="G499" s="25">
        <f t="shared" si="7"/>
        <v>-9.5299658324868863E-3</v>
      </c>
    </row>
    <row r="500" spans="1:7">
      <c r="A500" s="44">
        <v>538.34239760019079</v>
      </c>
      <c r="B500" s="44">
        <v>538.40718607611007</v>
      </c>
      <c r="C500" s="44">
        <v>532.11273645410449</v>
      </c>
      <c r="D500" s="44">
        <v>536.89711621429876</v>
      </c>
      <c r="E500" s="44">
        <v>1237283.3881731108</v>
      </c>
      <c r="F500" s="44" t="s">
        <v>439</v>
      </c>
      <c r="G500" s="25">
        <f t="shared" si="7"/>
        <v>2.6919149726167824E-3</v>
      </c>
    </row>
    <row r="501" spans="1:7">
      <c r="A501" s="44">
        <v>533.86700903284247</v>
      </c>
      <c r="B501" s="44">
        <v>538.05334132301232</v>
      </c>
      <c r="C501" s="44">
        <v>530.70234117063058</v>
      </c>
      <c r="D501" s="44">
        <v>531.26550253823677</v>
      </c>
      <c r="E501" s="44">
        <v>911231.34419057716</v>
      </c>
      <c r="F501" s="44" t="s">
        <v>440</v>
      </c>
      <c r="G501" s="25">
        <f t="shared" si="7"/>
        <v>4.8968105065667622E-3</v>
      </c>
    </row>
    <row r="502" spans="1:7">
      <c r="A502" s="44">
        <v>532.1924761167744</v>
      </c>
      <c r="B502" s="44">
        <v>539.82754881741778</v>
      </c>
      <c r="C502" s="44">
        <v>531.72400559858875</v>
      </c>
      <c r="D502" s="44">
        <v>537.55496843132539</v>
      </c>
      <c r="E502" s="44">
        <v>1320664.729119132</v>
      </c>
      <c r="F502" s="44" t="s">
        <v>441</v>
      </c>
      <c r="G502" s="25">
        <f t="shared" si="7"/>
        <v>-9.9757097031391018E-3</v>
      </c>
    </row>
    <row r="503" spans="1:7">
      <c r="A503" s="44">
        <v>539.95712576925632</v>
      </c>
      <c r="B503" s="44">
        <v>555.75106107970601</v>
      </c>
      <c r="C503" s="44">
        <v>537.6446755518291</v>
      </c>
      <c r="D503" s="44">
        <v>551.64895380823111</v>
      </c>
      <c r="E503" s="44">
        <v>1464203.8364687788</v>
      </c>
      <c r="F503" s="44" t="s">
        <v>442</v>
      </c>
      <c r="G503" s="25">
        <f t="shared" si="7"/>
        <v>-2.1194326497425364E-2</v>
      </c>
    </row>
    <row r="504" spans="1:7">
      <c r="A504" s="44">
        <v>551.20041820571282</v>
      </c>
      <c r="B504" s="44">
        <v>556.45326848409275</v>
      </c>
      <c r="C504" s="44">
        <v>543.85440178224792</v>
      </c>
      <c r="D504" s="44">
        <v>551.1306460008766</v>
      </c>
      <c r="E504" s="44">
        <v>6170966.6623122059</v>
      </c>
      <c r="F504" s="44" t="s">
        <v>443</v>
      </c>
      <c r="G504" s="25">
        <f t="shared" si="7"/>
        <v>1.2659830358274782E-4</v>
      </c>
    </row>
    <row r="505" spans="1:7">
      <c r="A505" s="44">
        <v>548.98764256662298</v>
      </c>
      <c r="B505" s="44">
        <v>556.44330102625906</v>
      </c>
      <c r="C505" s="44">
        <v>547.44268660239356</v>
      </c>
      <c r="D505" s="44">
        <v>554.90831251986344</v>
      </c>
      <c r="E505" s="44">
        <v>1511778.655234996</v>
      </c>
      <c r="F505" s="44" t="s">
        <v>444</v>
      </c>
      <c r="G505" s="25">
        <f t="shared" si="7"/>
        <v>-1.0669636442017683E-2</v>
      </c>
    </row>
    <row r="506" spans="1:7">
      <c r="A506" s="44">
        <v>556.35359390575536</v>
      </c>
      <c r="B506" s="44">
        <v>559.55314787038526</v>
      </c>
      <c r="C506" s="44">
        <v>553.03443044712071</v>
      </c>
      <c r="D506" s="44">
        <v>554.98805218253324</v>
      </c>
      <c r="E506" s="44">
        <v>1094916.0941578997</v>
      </c>
      <c r="F506" s="44" t="s">
        <v>445</v>
      </c>
      <c r="G506" s="25">
        <f t="shared" si="7"/>
        <v>2.4604885057470938E-3</v>
      </c>
    </row>
    <row r="507" spans="1:7">
      <c r="A507" s="44">
        <v>554.70896336318856</v>
      </c>
      <c r="B507" s="44">
        <v>566.49049852266705</v>
      </c>
      <c r="C507" s="44">
        <v>554.38003725467536</v>
      </c>
      <c r="D507" s="44">
        <v>563.00188828085868</v>
      </c>
      <c r="E507" s="44">
        <v>1950044.8684326846</v>
      </c>
      <c r="F507" s="44" t="s">
        <v>446</v>
      </c>
      <c r="G507" s="25">
        <f t="shared" si="7"/>
        <v>-1.4729834997521563E-2</v>
      </c>
    </row>
    <row r="508" spans="1:7">
      <c r="A508" s="44">
        <v>564.1082761004036</v>
      </c>
      <c r="B508" s="44">
        <v>569.65018265596188</v>
      </c>
      <c r="C508" s="44">
        <v>560.49008890675668</v>
      </c>
      <c r="D508" s="44">
        <v>563.76938253405649</v>
      </c>
      <c r="E508" s="44">
        <v>1562690.3328628</v>
      </c>
      <c r="F508" s="44" t="s">
        <v>447</v>
      </c>
      <c r="G508" s="25">
        <f t="shared" si="7"/>
        <v>6.0112091370378984E-4</v>
      </c>
    </row>
    <row r="509" spans="1:7">
      <c r="A509" s="44">
        <v>562.76266929284895</v>
      </c>
      <c r="B509" s="44">
        <v>566.73968496851046</v>
      </c>
      <c r="C509" s="44">
        <v>556.28880542983609</v>
      </c>
      <c r="D509" s="44">
        <v>556.89183662877724</v>
      </c>
      <c r="E509" s="44">
        <v>3209000.7837038096</v>
      </c>
      <c r="F509" s="44" t="s">
        <v>448</v>
      </c>
      <c r="G509" s="25">
        <f t="shared" si="7"/>
        <v>1.0542141719317666E-2</v>
      </c>
    </row>
    <row r="510" spans="1:7">
      <c r="A510" s="44">
        <v>555.39671795371657</v>
      </c>
      <c r="B510" s="44">
        <v>559.02487260519717</v>
      </c>
      <c r="C510" s="44">
        <v>549.91461614516072</v>
      </c>
      <c r="D510" s="44">
        <v>559.02487260519717</v>
      </c>
      <c r="E510" s="44">
        <v>3081573.1064378126</v>
      </c>
      <c r="F510" s="44" t="s">
        <v>449</v>
      </c>
      <c r="G510" s="25">
        <f t="shared" si="7"/>
        <v>-6.4901488811623942E-3</v>
      </c>
    </row>
    <row r="511" spans="1:7">
      <c r="A511" s="44">
        <v>567.31779752286718</v>
      </c>
      <c r="B511" s="44">
        <v>570.17845792114997</v>
      </c>
      <c r="C511" s="44">
        <v>562.78260420851643</v>
      </c>
      <c r="D511" s="44">
        <v>567.70652837838293</v>
      </c>
      <c r="E511" s="44">
        <v>1402644.5090820994</v>
      </c>
      <c r="F511" s="44" t="s">
        <v>450</v>
      </c>
      <c r="G511" s="25">
        <f t="shared" si="7"/>
        <v>-6.8473909684663159E-4</v>
      </c>
    </row>
    <row r="512" spans="1:7">
      <c r="A512" s="44">
        <v>566.15160495631983</v>
      </c>
      <c r="B512" s="44">
        <v>567.45235820362268</v>
      </c>
      <c r="C512" s="44">
        <v>561.9104516480644</v>
      </c>
      <c r="D512" s="44">
        <v>564.60664899209053</v>
      </c>
      <c r="E512" s="44">
        <v>1322803.6897604137</v>
      </c>
      <c r="F512" s="44" t="s">
        <v>451</v>
      </c>
      <c r="G512" s="25">
        <f t="shared" si="7"/>
        <v>2.7363403654336871E-3</v>
      </c>
    </row>
    <row r="513" spans="1:7">
      <c r="A513" s="44">
        <v>570.18842537898377</v>
      </c>
      <c r="B513" s="44">
        <v>571.23500845152626</v>
      </c>
      <c r="C513" s="44">
        <v>564.89570526926889</v>
      </c>
      <c r="D513" s="44">
        <v>570.99578946351653</v>
      </c>
      <c r="E513" s="44">
        <v>1418316.5091653361</v>
      </c>
      <c r="F513" s="44" t="s">
        <v>452</v>
      </c>
      <c r="G513" s="25">
        <f t="shared" si="7"/>
        <v>-1.4139580351220093E-3</v>
      </c>
    </row>
    <row r="514" spans="1:7">
      <c r="A514" s="44">
        <v>570.37780707782451</v>
      </c>
      <c r="B514" s="44">
        <v>572.36994094114925</v>
      </c>
      <c r="C514" s="44">
        <v>562.77881245617232</v>
      </c>
      <c r="D514" s="44">
        <v>571.10493593793808</v>
      </c>
      <c r="E514" s="44">
        <v>1309852.7403399854</v>
      </c>
      <c r="F514" s="44" t="s">
        <v>453</v>
      </c>
      <c r="G514" s="25">
        <f t="shared" si="7"/>
        <v>-1.2731965955072866E-3</v>
      </c>
    </row>
    <row r="515" spans="1:7">
      <c r="A515" s="44">
        <v>573.42577188871144</v>
      </c>
      <c r="B515" s="44">
        <v>579.68107221955108</v>
      </c>
      <c r="C515" s="44">
        <v>572.34005893319943</v>
      </c>
      <c r="D515" s="44">
        <v>576.98173083474603</v>
      </c>
      <c r="E515" s="44">
        <v>1403444.8444814361</v>
      </c>
      <c r="F515" s="44" t="s">
        <v>454</v>
      </c>
      <c r="G515" s="25">
        <f t="shared" si="7"/>
        <v>-6.1630355971410422E-3</v>
      </c>
    </row>
    <row r="516" spans="1:7">
      <c r="A516" s="44">
        <v>573.62498527504385</v>
      </c>
      <c r="B516" s="44">
        <v>577.71882036417628</v>
      </c>
      <c r="C516" s="44">
        <v>571.65277275035237</v>
      </c>
      <c r="D516" s="44">
        <v>576.67295008593078</v>
      </c>
      <c r="E516" s="44">
        <v>1413295.5881293798</v>
      </c>
      <c r="F516" s="44" t="s">
        <v>455</v>
      </c>
      <c r="G516" s="25">
        <f t="shared" si="7"/>
        <v>-5.2854305207704622E-3</v>
      </c>
    </row>
    <row r="517" spans="1:7">
      <c r="A517" s="44">
        <v>579.19299942303655</v>
      </c>
      <c r="B517" s="44">
        <v>579.98985296836645</v>
      </c>
      <c r="C517" s="44">
        <v>573.59510326709403</v>
      </c>
      <c r="D517" s="44">
        <v>577.71882036417628</v>
      </c>
      <c r="E517" s="44">
        <v>1546644.0567692583</v>
      </c>
      <c r="F517" s="44" t="s">
        <v>456</v>
      </c>
      <c r="G517" s="25">
        <f t="shared" si="7"/>
        <v>2.5517241379309219E-3</v>
      </c>
    </row>
    <row r="518" spans="1:7">
      <c r="A518" s="44">
        <v>578.80453331968829</v>
      </c>
      <c r="B518" s="44">
        <v>583.64541860756742</v>
      </c>
      <c r="C518" s="44">
        <v>574.81528525838041</v>
      </c>
      <c r="D518" s="44">
        <v>577.23074756766164</v>
      </c>
      <c r="E518" s="44">
        <v>1236821.5034946913</v>
      </c>
      <c r="F518" s="44" t="s">
        <v>457</v>
      </c>
      <c r="G518" s="25">
        <f t="shared" ref="G518:G581" si="8">A518/D518-1</f>
        <v>2.7264413038603497E-3</v>
      </c>
    </row>
    <row r="519" spans="1:7">
      <c r="A519" s="44">
        <v>577.55944965511026</v>
      </c>
      <c r="B519" s="44">
        <v>579.377271805394</v>
      </c>
      <c r="C519" s="44">
        <v>569.69052089497757</v>
      </c>
      <c r="D519" s="44">
        <v>573.02734511604638</v>
      </c>
      <c r="E519" s="44">
        <v>1158399.0626757471</v>
      </c>
      <c r="F519" s="44" t="s">
        <v>458</v>
      </c>
      <c r="G519" s="25">
        <f t="shared" si="8"/>
        <v>7.9090545637854337E-3</v>
      </c>
    </row>
    <row r="520" spans="1:7">
      <c r="A520" s="44">
        <v>573.01738444672981</v>
      </c>
      <c r="B520" s="44">
        <v>573.3162045262286</v>
      </c>
      <c r="C520" s="44">
        <v>564.49105151169999</v>
      </c>
      <c r="D520" s="44">
        <v>567.60874100780313</v>
      </c>
      <c r="E520" s="44">
        <v>899662.43383306148</v>
      </c>
      <c r="F520" s="44" t="s">
        <v>459</v>
      </c>
      <c r="G520" s="25">
        <f t="shared" si="8"/>
        <v>9.5288233745722817E-3</v>
      </c>
    </row>
    <row r="521" spans="1:7">
      <c r="A521" s="44">
        <v>567.42944896010385</v>
      </c>
      <c r="B521" s="44">
        <v>571.49629063538816</v>
      </c>
      <c r="C521" s="44">
        <v>563.01687245283961</v>
      </c>
      <c r="D521" s="44">
        <v>568.54504392356569</v>
      </c>
      <c r="E521" s="44">
        <v>998903.75673796295</v>
      </c>
      <c r="F521" s="44" t="s">
        <v>460</v>
      </c>
      <c r="G521" s="25">
        <f t="shared" si="8"/>
        <v>-1.9621927503985503E-3</v>
      </c>
    </row>
    <row r="522" spans="1:7">
      <c r="A522" s="44">
        <v>567.33980293625439</v>
      </c>
      <c r="B522" s="44">
        <v>571.37387400948694</v>
      </c>
      <c r="C522" s="44">
        <v>560.79066286057423</v>
      </c>
      <c r="D522" s="44">
        <v>567.15055021923843</v>
      </c>
      <c r="E522" s="44">
        <v>947414.24496950652</v>
      </c>
      <c r="F522" s="44" t="s">
        <v>461</v>
      </c>
      <c r="G522" s="25">
        <f t="shared" si="8"/>
        <v>3.3369044064723852E-4</v>
      </c>
    </row>
    <row r="523" spans="1:7">
      <c r="A523" s="44">
        <v>565.74609584559448</v>
      </c>
      <c r="B523" s="44">
        <v>566.34373600459196</v>
      </c>
      <c r="C523" s="44">
        <v>558.19590850359373</v>
      </c>
      <c r="D523" s="44">
        <v>562.36942894725905</v>
      </c>
      <c r="E523" s="44">
        <v>2115029.5557789798</v>
      </c>
      <c r="F523" s="44" t="s">
        <v>462</v>
      </c>
      <c r="G523" s="25">
        <f t="shared" si="8"/>
        <v>6.0043571441221744E-3</v>
      </c>
    </row>
    <row r="524" spans="1:7">
      <c r="A524" s="44">
        <v>560.54662646231691</v>
      </c>
      <c r="B524" s="44">
        <v>561.75186744962843</v>
      </c>
      <c r="C524" s="44">
        <v>548.16551450175371</v>
      </c>
      <c r="D524" s="44">
        <v>549.36079481974843</v>
      </c>
      <c r="E524" s="44">
        <v>2440917.2945258664</v>
      </c>
      <c r="F524" s="44" t="s">
        <v>463</v>
      </c>
      <c r="G524" s="25">
        <f t="shared" si="8"/>
        <v>2.0361539716788002E-2</v>
      </c>
    </row>
    <row r="525" spans="1:7">
      <c r="A525" s="44">
        <v>565.0687703320641</v>
      </c>
      <c r="B525" s="44">
        <v>567.86771841003542</v>
      </c>
      <c r="C525" s="44">
        <v>561.45304737012964</v>
      </c>
      <c r="D525" s="44">
        <v>567.86771841003542</v>
      </c>
      <c r="E525" s="44">
        <v>1330006.0045051733</v>
      </c>
      <c r="F525" s="44" t="s">
        <v>464</v>
      </c>
      <c r="G525" s="25">
        <f t="shared" si="8"/>
        <v>-4.9288733753136693E-3</v>
      </c>
    </row>
    <row r="526" spans="1:7">
      <c r="A526" s="44">
        <v>570.31804306192487</v>
      </c>
      <c r="B526" s="44">
        <v>579.68107221955108</v>
      </c>
      <c r="C526" s="44">
        <v>566.93141549427264</v>
      </c>
      <c r="D526" s="44">
        <v>579.3822521400524</v>
      </c>
      <c r="E526" s="44">
        <v>1441244.5131614944</v>
      </c>
      <c r="F526" s="44" t="s">
        <v>465</v>
      </c>
      <c r="G526" s="25">
        <f t="shared" si="8"/>
        <v>-1.56446094864785E-2</v>
      </c>
    </row>
    <row r="527" spans="1:7">
      <c r="A527" s="44">
        <v>581.75289143740883</v>
      </c>
      <c r="B527" s="44">
        <v>585.64253280555045</v>
      </c>
      <c r="C527" s="44">
        <v>579.05853038726218</v>
      </c>
      <c r="D527" s="44">
        <v>583.6952219541505</v>
      </c>
      <c r="E527" s="44">
        <v>886758.68249724596</v>
      </c>
      <c r="F527" s="44" t="s">
        <v>466</v>
      </c>
      <c r="G527" s="25">
        <f t="shared" si="8"/>
        <v>-3.3276450511946498E-3</v>
      </c>
    </row>
    <row r="528" spans="1:7">
      <c r="A528" s="44">
        <v>582.72903703043789</v>
      </c>
      <c r="B528" s="44">
        <v>589.67162354412471</v>
      </c>
      <c r="C528" s="44">
        <v>581.86245879989167</v>
      </c>
      <c r="D528" s="44">
        <v>587.67948968079997</v>
      </c>
      <c r="E528" s="44">
        <v>1189653.9904425414</v>
      </c>
      <c r="F528" s="44" t="s">
        <v>467</v>
      </c>
      <c r="G528" s="25">
        <f t="shared" si="8"/>
        <v>-8.4237288135594612E-3</v>
      </c>
    </row>
    <row r="529" spans="1:7">
      <c r="A529" s="44">
        <v>588.47634322612976</v>
      </c>
      <c r="B529" s="44">
        <v>594.28341343772149</v>
      </c>
      <c r="C529" s="44">
        <v>585.30885038344354</v>
      </c>
      <c r="D529" s="44">
        <v>587.35078759335136</v>
      </c>
      <c r="E529" s="44">
        <v>876438.09090522979</v>
      </c>
      <c r="F529" s="44" t="s">
        <v>468</v>
      </c>
      <c r="G529" s="25">
        <f t="shared" si="8"/>
        <v>1.9163260806891458E-3</v>
      </c>
    </row>
    <row r="530" spans="1:7">
      <c r="A530" s="44">
        <v>587.79901771259949</v>
      </c>
      <c r="B530" s="44">
        <v>591.66375740744945</v>
      </c>
      <c r="C530" s="44">
        <v>583.01789644062012</v>
      </c>
      <c r="D530" s="44">
        <v>591.66375740744945</v>
      </c>
      <c r="E530" s="44">
        <v>1137638.4096084998</v>
      </c>
      <c r="F530" s="44" t="s">
        <v>469</v>
      </c>
      <c r="G530" s="25">
        <f t="shared" si="8"/>
        <v>-6.5319865319865E-3</v>
      </c>
    </row>
    <row r="531" spans="1:7">
      <c r="A531" s="44">
        <v>591.67371807676602</v>
      </c>
      <c r="B531" s="44">
        <v>594.88603393137726</v>
      </c>
      <c r="C531" s="44">
        <v>590.41867374287153</v>
      </c>
      <c r="D531" s="44">
        <v>591.29521264273433</v>
      </c>
      <c r="E531" s="44">
        <v>808891.42525324167</v>
      </c>
      <c r="F531" s="44" t="s">
        <v>470</v>
      </c>
      <c r="G531" s="25">
        <f t="shared" si="8"/>
        <v>6.4012937351543009E-4</v>
      </c>
    </row>
    <row r="532" spans="1:7">
      <c r="A532" s="44">
        <v>592.95864441861045</v>
      </c>
      <c r="B532" s="44">
        <v>594.75156489560288</v>
      </c>
      <c r="C532" s="44">
        <v>587.0420068445361</v>
      </c>
      <c r="D532" s="44">
        <v>594.60215485585354</v>
      </c>
      <c r="E532" s="44">
        <v>1403970.9135470213</v>
      </c>
      <c r="F532" s="44" t="s">
        <v>471</v>
      </c>
      <c r="G532" s="25">
        <f t="shared" si="8"/>
        <v>-2.7640505905019985E-3</v>
      </c>
    </row>
    <row r="533" spans="1:7">
      <c r="A533" s="44">
        <v>594.80136824218596</v>
      </c>
      <c r="B533" s="44">
        <v>597.72980502127336</v>
      </c>
      <c r="C533" s="44">
        <v>590.94658921665257</v>
      </c>
      <c r="D533" s="44">
        <v>595.89704186701454</v>
      </c>
      <c r="E533" s="44">
        <v>1414940.0559336331</v>
      </c>
      <c r="F533" s="44" t="s">
        <v>472</v>
      </c>
      <c r="G533" s="25">
        <f t="shared" si="8"/>
        <v>-1.8386961972418625E-3</v>
      </c>
    </row>
    <row r="534" spans="1:7">
      <c r="A534" s="44">
        <v>596.6640134043945</v>
      </c>
      <c r="B534" s="44">
        <v>599.63229286074841</v>
      </c>
      <c r="C534" s="44">
        <v>592.6897063470617</v>
      </c>
      <c r="D534" s="44">
        <v>597.64015899742367</v>
      </c>
      <c r="E534" s="44">
        <v>1193425.8253268998</v>
      </c>
      <c r="F534" s="44" t="s">
        <v>473</v>
      </c>
      <c r="G534" s="25">
        <f t="shared" si="8"/>
        <v>-1.6333333333333755E-3</v>
      </c>
    </row>
    <row r="535" spans="1:7">
      <c r="A535" s="44">
        <v>592.46061095277935</v>
      </c>
      <c r="B535" s="44">
        <v>594.83125025013578</v>
      </c>
      <c r="C535" s="44">
        <v>584.34266545973094</v>
      </c>
      <c r="D535" s="44">
        <v>588.83492732152831</v>
      </c>
      <c r="E535" s="44">
        <v>1045048.2461682974</v>
      </c>
      <c r="F535" s="44" t="s">
        <v>474</v>
      </c>
      <c r="G535" s="25">
        <f t="shared" si="8"/>
        <v>6.1573854793963712E-3</v>
      </c>
    </row>
    <row r="536" spans="1:7">
      <c r="A536" s="44">
        <v>588.37673653296372</v>
      </c>
      <c r="B536" s="44">
        <v>592.1866925465722</v>
      </c>
      <c r="C536" s="44">
        <v>586.63361940255447</v>
      </c>
      <c r="D536" s="44">
        <v>588.94449468401115</v>
      </c>
      <c r="E536" s="44">
        <v>948355.9487548481</v>
      </c>
      <c r="F536" s="44" t="s">
        <v>475</v>
      </c>
      <c r="G536" s="25">
        <f t="shared" si="8"/>
        <v>-9.6402658683825138E-4</v>
      </c>
    </row>
    <row r="537" spans="1:7">
      <c r="A537" s="44">
        <v>590.69757248373696</v>
      </c>
      <c r="B537" s="44">
        <v>591.68865908074099</v>
      </c>
      <c r="C537" s="44">
        <v>576.53350071549801</v>
      </c>
      <c r="D537" s="44">
        <v>577.88815174255876</v>
      </c>
      <c r="E537" s="44">
        <v>1334079.0239690654</v>
      </c>
      <c r="F537" s="44" t="s">
        <v>476</v>
      </c>
      <c r="G537" s="25">
        <f t="shared" si="8"/>
        <v>2.2165916886429882E-2</v>
      </c>
    </row>
    <row r="538" spans="1:7">
      <c r="A538" s="44">
        <v>575.6569618156351</v>
      </c>
      <c r="B538" s="44">
        <v>576.78749778307201</v>
      </c>
      <c r="C538" s="44">
        <v>570.24831837670843</v>
      </c>
      <c r="D538" s="44">
        <v>571.9715141684843</v>
      </c>
      <c r="E538" s="44">
        <v>1519291.4772046204</v>
      </c>
      <c r="F538" s="44" t="s">
        <v>477</v>
      </c>
      <c r="G538" s="25">
        <f t="shared" si="8"/>
        <v>6.4434111767062152E-3</v>
      </c>
    </row>
    <row r="539" spans="1:7">
      <c r="A539" s="44">
        <v>571.38383467880351</v>
      </c>
      <c r="B539" s="44">
        <v>573.08212879728796</v>
      </c>
      <c r="C539" s="44">
        <v>565.47715777404574</v>
      </c>
      <c r="D539" s="44">
        <v>570.45749243235753</v>
      </c>
      <c r="E539" s="44">
        <v>1604448.4052219349</v>
      </c>
      <c r="F539" s="44" t="s">
        <v>478</v>
      </c>
      <c r="G539" s="25">
        <f t="shared" si="8"/>
        <v>1.62385849731983E-3</v>
      </c>
    </row>
    <row r="540" spans="1:7">
      <c r="A540" s="44">
        <v>570.61686314142355</v>
      </c>
      <c r="B540" s="44">
        <v>574.3222321272076</v>
      </c>
      <c r="C540" s="44">
        <v>563.11647914600587</v>
      </c>
      <c r="D540" s="44">
        <v>569.25225144504611</v>
      </c>
      <c r="E540" s="44">
        <v>1898191.7177438042</v>
      </c>
      <c r="F540" s="44" t="s">
        <v>479</v>
      </c>
      <c r="G540" s="25">
        <f t="shared" si="8"/>
        <v>2.3972003499561634E-3</v>
      </c>
    </row>
    <row r="541" spans="1:7">
      <c r="A541" s="44">
        <v>571.29418865495393</v>
      </c>
      <c r="B541" s="44">
        <v>574.11803840621678</v>
      </c>
      <c r="C541" s="44">
        <v>568.10179413897606</v>
      </c>
      <c r="D541" s="44">
        <v>573.14687314784589</v>
      </c>
      <c r="E541" s="44">
        <v>1145188.1030688072</v>
      </c>
      <c r="F541" s="44" t="s">
        <v>480</v>
      </c>
      <c r="G541" s="25">
        <f t="shared" si="8"/>
        <v>-3.2324777115447789E-3</v>
      </c>
    </row>
    <row r="542" spans="1:7">
      <c r="A542" s="44">
        <v>570.12879034490891</v>
      </c>
      <c r="B542" s="44">
        <v>577.55944965511026</v>
      </c>
      <c r="C542" s="44">
        <v>569.3817401461622</v>
      </c>
      <c r="D542" s="44">
        <v>577.55944965511026</v>
      </c>
      <c r="E542" s="44">
        <v>1756578.7442415252</v>
      </c>
      <c r="F542" s="44" t="s">
        <v>481</v>
      </c>
      <c r="G542" s="25">
        <f t="shared" si="8"/>
        <v>-1.2865618101545295E-2</v>
      </c>
    </row>
    <row r="543" spans="1:7">
      <c r="A543" s="44">
        <v>569.00323471213051</v>
      </c>
      <c r="B543" s="44">
        <v>577.51462664318535</v>
      </c>
      <c r="C543" s="44">
        <v>563.26588918575521</v>
      </c>
      <c r="D543" s="44">
        <v>577.20086555971181</v>
      </c>
      <c r="E543" s="44">
        <v>1362729.709071493</v>
      </c>
      <c r="F543" s="44" t="s">
        <v>482</v>
      </c>
      <c r="G543" s="25">
        <f t="shared" si="8"/>
        <v>-1.4202388348174222E-2</v>
      </c>
    </row>
    <row r="544" spans="1:7">
      <c r="A544" s="44">
        <v>572.72852503654781</v>
      </c>
      <c r="B544" s="44">
        <v>579.61134753433475</v>
      </c>
      <c r="C544" s="44">
        <v>566.16444395689268</v>
      </c>
      <c r="D544" s="44">
        <v>567.61870167711982</v>
      </c>
      <c r="E544" s="44">
        <v>1176604.6665599514</v>
      </c>
      <c r="F544" s="44" t="s">
        <v>483</v>
      </c>
      <c r="G544" s="25">
        <f t="shared" si="8"/>
        <v>9.0022110693854795E-3</v>
      </c>
    </row>
    <row r="545" spans="1:7">
      <c r="A545" s="44">
        <v>566.48318537502473</v>
      </c>
      <c r="B545" s="44">
        <v>574.19274342609151</v>
      </c>
      <c r="C545" s="44">
        <v>565.73613517627791</v>
      </c>
      <c r="D545" s="44">
        <v>572.4396656263657</v>
      </c>
      <c r="E545" s="44">
        <v>1521119.6676023889</v>
      </c>
      <c r="F545" s="44" t="s">
        <v>484</v>
      </c>
      <c r="G545" s="25">
        <f t="shared" si="8"/>
        <v>-1.0405428919436188E-2</v>
      </c>
    </row>
    <row r="546" spans="1:7">
      <c r="A546" s="44">
        <v>574.62105220670628</v>
      </c>
      <c r="B546" s="44">
        <v>577.21082622902838</v>
      </c>
      <c r="C546" s="44">
        <v>569.05303805871358</v>
      </c>
      <c r="D546" s="44">
        <v>572.82813172971396</v>
      </c>
      <c r="E546" s="44">
        <v>966150.93766228831</v>
      </c>
      <c r="F546" s="44" t="s">
        <v>485</v>
      </c>
      <c r="G546" s="25">
        <f t="shared" si="8"/>
        <v>3.1299448781929584E-3</v>
      </c>
    </row>
    <row r="547" spans="1:7">
      <c r="A547" s="44">
        <v>571.34399200153712</v>
      </c>
      <c r="B547" s="44">
        <v>572.73848570586438</v>
      </c>
      <c r="C547" s="44">
        <v>564.72014690598235</v>
      </c>
      <c r="D547" s="44">
        <v>565.70625316832809</v>
      </c>
      <c r="E547" s="44">
        <v>1443862.8111062394</v>
      </c>
      <c r="F547" s="44" t="s">
        <v>486</v>
      </c>
      <c r="G547" s="25">
        <f t="shared" si="8"/>
        <v>9.9658414621262015E-3</v>
      </c>
    </row>
    <row r="548" spans="1:7">
      <c r="A548" s="44">
        <v>569.48134683932847</v>
      </c>
      <c r="B548" s="44">
        <v>575.71672583153486</v>
      </c>
      <c r="C548" s="44">
        <v>567.73822970891922</v>
      </c>
      <c r="D548" s="44">
        <v>575.12904634185406</v>
      </c>
      <c r="E548" s="44">
        <v>1188679.1563534511</v>
      </c>
      <c r="F548" s="44" t="s">
        <v>487</v>
      </c>
      <c r="G548" s="25">
        <f t="shared" si="8"/>
        <v>-9.819882230689192E-3</v>
      </c>
    </row>
    <row r="549" spans="1:7">
      <c r="A549" s="44">
        <v>575.11908567253738</v>
      </c>
      <c r="B549" s="44">
        <v>584.15570369665807</v>
      </c>
      <c r="C549" s="44">
        <v>563.00691178352304</v>
      </c>
      <c r="D549" s="44">
        <v>575.72668650085143</v>
      </c>
      <c r="E549" s="44">
        <v>2043079.5715742114</v>
      </c>
      <c r="F549" s="44" t="s">
        <v>488</v>
      </c>
      <c r="G549" s="25">
        <f t="shared" si="8"/>
        <v>-1.0553633217993408E-3</v>
      </c>
    </row>
    <row r="550" spans="1:7">
      <c r="A550" s="44">
        <v>572.33009826388286</v>
      </c>
      <c r="B550" s="44">
        <v>574.62105220670628</v>
      </c>
      <c r="C550" s="44">
        <v>557.79748173092878</v>
      </c>
      <c r="D550" s="44">
        <v>565.27794438771321</v>
      </c>
      <c r="E550" s="44">
        <v>2554036.198907075</v>
      </c>
      <c r="F550" s="44" t="s">
        <v>489</v>
      </c>
      <c r="G550" s="25">
        <f t="shared" si="8"/>
        <v>1.2475551091610804E-2</v>
      </c>
    </row>
    <row r="551" spans="1:7">
      <c r="A551" s="44">
        <v>546.22318398501204</v>
      </c>
      <c r="B551" s="44">
        <v>550.68556383885948</v>
      </c>
      <c r="C551" s="44">
        <v>541.01375393241779</v>
      </c>
      <c r="D551" s="44">
        <v>546.990155522392</v>
      </c>
      <c r="E551" s="44">
        <v>1528897.2573945436</v>
      </c>
      <c r="F551" s="44" t="s">
        <v>490</v>
      </c>
      <c r="G551" s="25">
        <f t="shared" si="8"/>
        <v>-1.4021669853409024E-3</v>
      </c>
    </row>
    <row r="552" spans="1:7">
      <c r="A552" s="44">
        <v>542.6373430310274</v>
      </c>
      <c r="B552" s="44">
        <v>543.99199405808827</v>
      </c>
      <c r="C552" s="44">
        <v>537.04940754440156</v>
      </c>
      <c r="D552" s="44">
        <v>540.81454054608537</v>
      </c>
      <c r="E552" s="44">
        <v>1745373.673934279</v>
      </c>
      <c r="F552" s="44" t="s">
        <v>491</v>
      </c>
      <c r="G552" s="25">
        <f t="shared" si="8"/>
        <v>3.3704761027717467E-3</v>
      </c>
    </row>
    <row r="553" spans="1:7">
      <c r="A553" s="44">
        <v>539.39016483380806</v>
      </c>
      <c r="B553" s="44">
        <v>542.72698905487709</v>
      </c>
      <c r="C553" s="44">
        <v>527.55688968565914</v>
      </c>
      <c r="D553" s="44">
        <v>532.69659505303696</v>
      </c>
      <c r="E553" s="44">
        <v>2083981.4414234653</v>
      </c>
      <c r="F553" s="44" t="s">
        <v>492</v>
      </c>
      <c r="G553" s="25">
        <f t="shared" si="8"/>
        <v>1.2565445026177846E-2</v>
      </c>
    </row>
    <row r="554" spans="1:7">
      <c r="A554" s="44">
        <v>545.09762835223353</v>
      </c>
      <c r="B554" s="44">
        <v>553.8132140042793</v>
      </c>
      <c r="C554" s="44">
        <v>544.30077480690363</v>
      </c>
      <c r="D554" s="44">
        <v>553.67376463384653</v>
      </c>
      <c r="E554" s="44">
        <v>1616414.4685668026</v>
      </c>
      <c r="F554" s="44" t="s">
        <v>493</v>
      </c>
      <c r="G554" s="25">
        <f t="shared" si="8"/>
        <v>-1.5489511747562301E-2</v>
      </c>
    </row>
    <row r="555" spans="1:7">
      <c r="A555" s="44">
        <v>552.36891695336885</v>
      </c>
      <c r="B555" s="44">
        <v>556.84125747653286</v>
      </c>
      <c r="C555" s="44">
        <v>550.51125212581849</v>
      </c>
      <c r="D555" s="44">
        <v>556.84125747653286</v>
      </c>
      <c r="E555" s="44">
        <v>1014288.2650605364</v>
      </c>
      <c r="F555" s="44" t="s">
        <v>494</v>
      </c>
      <c r="G555" s="25">
        <f t="shared" si="8"/>
        <v>-8.0316256439609823E-3</v>
      </c>
    </row>
    <row r="556" spans="1:7">
      <c r="A556" s="44">
        <v>555.67585916648795</v>
      </c>
      <c r="B556" s="44">
        <v>568.47531923834947</v>
      </c>
      <c r="C556" s="44">
        <v>552.32907427610235</v>
      </c>
      <c r="D556" s="44">
        <v>568.47531923834947</v>
      </c>
      <c r="E556" s="44">
        <v>1035731.6031747264</v>
      </c>
      <c r="F556" s="44" t="s">
        <v>495</v>
      </c>
      <c r="G556" s="25">
        <f t="shared" si="8"/>
        <v>-2.2515419119708446E-2</v>
      </c>
    </row>
    <row r="557" spans="1:7">
      <c r="A557" s="44">
        <v>563.00691178352304</v>
      </c>
      <c r="B557" s="44">
        <v>571.12983761122962</v>
      </c>
      <c r="C557" s="44">
        <v>559.43103149885508</v>
      </c>
      <c r="D557" s="44">
        <v>568.6645719553652</v>
      </c>
      <c r="E557" s="44">
        <v>1206346.6437888888</v>
      </c>
      <c r="F557" s="44" t="s">
        <v>496</v>
      </c>
      <c r="G557" s="25">
        <f t="shared" si="8"/>
        <v>-9.9490287435846092E-3</v>
      </c>
    </row>
    <row r="558" spans="1:7">
      <c r="A558" s="44">
        <v>572.31017692524961</v>
      </c>
      <c r="B558" s="44">
        <v>578.07242412491644</v>
      </c>
      <c r="C558" s="44">
        <v>569.11280207461334</v>
      </c>
      <c r="D558" s="44">
        <v>577.28055091424471</v>
      </c>
      <c r="E558" s="44">
        <v>1300626.4527202745</v>
      </c>
      <c r="F558" s="44" t="s">
        <v>497</v>
      </c>
      <c r="G558" s="25">
        <f t="shared" si="8"/>
        <v>-8.6099799848158298E-3</v>
      </c>
    </row>
    <row r="559" spans="1:7">
      <c r="A559" s="44">
        <v>571.45355936401995</v>
      </c>
      <c r="B559" s="44">
        <v>577.39509861138595</v>
      </c>
      <c r="C559" s="44">
        <v>569.64071754839438</v>
      </c>
      <c r="D559" s="44">
        <v>575.01947897937112</v>
      </c>
      <c r="E559" s="44">
        <v>1287908.4318751714</v>
      </c>
      <c r="F559" s="44" t="s">
        <v>498</v>
      </c>
      <c r="G559" s="25">
        <f t="shared" si="8"/>
        <v>-6.2013892497702061E-3</v>
      </c>
    </row>
    <row r="560" spans="1:7">
      <c r="A560" s="44">
        <v>586.88263613547008</v>
      </c>
      <c r="B560" s="44">
        <v>587.60976499558353</v>
      </c>
      <c r="C560" s="44">
        <v>580.93611655344569</v>
      </c>
      <c r="D560" s="44">
        <v>581.48395336585997</v>
      </c>
      <c r="E560" s="44">
        <v>1030372.5255562261</v>
      </c>
      <c r="F560" s="44" t="s">
        <v>499</v>
      </c>
      <c r="G560" s="25">
        <f t="shared" si="8"/>
        <v>9.2843194354037539E-3</v>
      </c>
    </row>
    <row r="561" spans="1:7">
      <c r="A561" s="44">
        <v>576.52354004618132</v>
      </c>
      <c r="B561" s="44">
        <v>580.11934166948254</v>
      </c>
      <c r="C561" s="44">
        <v>573.44569322734469</v>
      </c>
      <c r="D561" s="44">
        <v>577.07137685859573</v>
      </c>
      <c r="E561" s="44">
        <v>1002893.448468184</v>
      </c>
      <c r="F561" s="44" t="s">
        <v>500</v>
      </c>
      <c r="G561" s="25">
        <f t="shared" si="8"/>
        <v>-9.4933977733679953E-4</v>
      </c>
    </row>
    <row r="562" spans="1:7">
      <c r="A562" s="44">
        <v>577.18094422107856</v>
      </c>
      <c r="B562" s="44">
        <v>581.54371738175973</v>
      </c>
      <c r="C562" s="44">
        <v>566.82184813178981</v>
      </c>
      <c r="D562" s="44">
        <v>567.97728577251826</v>
      </c>
      <c r="E562" s="44">
        <v>1185917.2937591285</v>
      </c>
      <c r="F562" s="44" t="s">
        <v>501</v>
      </c>
      <c r="G562" s="25">
        <f t="shared" si="8"/>
        <v>1.6204272035354794E-2</v>
      </c>
    </row>
    <row r="563" spans="1:7">
      <c r="A563" s="44">
        <v>568.36575187586652</v>
      </c>
      <c r="B563" s="44">
        <v>579.71095422750102</v>
      </c>
      <c r="C563" s="44">
        <v>566.33377533527539</v>
      </c>
      <c r="D563" s="44">
        <v>578.1272078061578</v>
      </c>
      <c r="E563" s="44">
        <v>1236763.2744759817</v>
      </c>
      <c r="F563" s="44" t="s">
        <v>502</v>
      </c>
      <c r="G563" s="25">
        <f t="shared" si="8"/>
        <v>-1.6884616047276979E-2</v>
      </c>
    </row>
    <row r="564" spans="1:7">
      <c r="A564" s="44">
        <v>573.73455263752669</v>
      </c>
      <c r="B564" s="44">
        <v>575.97570323376704</v>
      </c>
      <c r="C564" s="44">
        <v>566.95133683290601</v>
      </c>
      <c r="D564" s="44">
        <v>568.98331337349725</v>
      </c>
      <c r="E564" s="44">
        <v>1156116.0835628826</v>
      </c>
      <c r="F564" s="44" t="s">
        <v>503</v>
      </c>
      <c r="G564" s="25">
        <f t="shared" si="8"/>
        <v>8.3504017646129913E-3</v>
      </c>
    </row>
    <row r="565" spans="1:7">
      <c r="A565" s="44">
        <v>569.31201546094576</v>
      </c>
      <c r="B565" s="44">
        <v>570.13875101422559</v>
      </c>
      <c r="C565" s="44">
        <v>563.55474859593721</v>
      </c>
      <c r="D565" s="44">
        <v>568.50520124629929</v>
      </c>
      <c r="E565" s="44">
        <v>1386723.0766257336</v>
      </c>
      <c r="F565" s="44" t="s">
        <v>504</v>
      </c>
      <c r="G565" s="25">
        <f t="shared" si="8"/>
        <v>1.419185282522939E-3</v>
      </c>
    </row>
    <row r="566" spans="1:7">
      <c r="A566" s="44">
        <v>575.17884968843725</v>
      </c>
      <c r="B566" s="44">
        <v>579.24280276961963</v>
      </c>
      <c r="C566" s="44">
        <v>570.58698113347373</v>
      </c>
      <c r="D566" s="44">
        <v>578.76469064242167</v>
      </c>
      <c r="E566" s="44">
        <v>840898.31052027142</v>
      </c>
      <c r="F566" s="44" t="s">
        <v>505</v>
      </c>
      <c r="G566" s="25">
        <f t="shared" si="8"/>
        <v>-6.1956802340588091E-3</v>
      </c>
    </row>
    <row r="567" spans="1:7">
      <c r="A567" s="44">
        <v>578.92406135148769</v>
      </c>
      <c r="B567" s="44">
        <v>580.0047939723413</v>
      </c>
      <c r="C567" s="44">
        <v>573.92380535454265</v>
      </c>
      <c r="D567" s="44">
        <v>577.02157351201254</v>
      </c>
      <c r="E567" s="44">
        <v>1085815.5869053595</v>
      </c>
      <c r="F567" s="44" t="s">
        <v>506</v>
      </c>
      <c r="G567" s="25">
        <f t="shared" si="8"/>
        <v>3.2970826860003744E-3</v>
      </c>
    </row>
    <row r="568" spans="1:7">
      <c r="A568" s="44">
        <v>577.09129819722898</v>
      </c>
      <c r="B568" s="44">
        <v>577.48972496989381</v>
      </c>
      <c r="C568" s="44">
        <v>568.83390333374791</v>
      </c>
      <c r="D568" s="44">
        <v>570.26823971534168</v>
      </c>
      <c r="E568" s="44">
        <v>1531856.8978627599</v>
      </c>
      <c r="F568" s="44" t="s">
        <v>507</v>
      </c>
      <c r="G568" s="25">
        <f t="shared" si="8"/>
        <v>1.1964647523230676E-2</v>
      </c>
    </row>
    <row r="569" spans="1:7">
      <c r="A569" s="44">
        <v>566.582792068191</v>
      </c>
      <c r="B569" s="44">
        <v>572.72354470188941</v>
      </c>
      <c r="C569" s="44">
        <v>565.60664647516182</v>
      </c>
      <c r="D569" s="44">
        <v>571.75237944351863</v>
      </c>
      <c r="E569" s="44">
        <v>1791974.959976906</v>
      </c>
      <c r="F569" s="44" t="s">
        <v>508</v>
      </c>
      <c r="G569" s="25">
        <f t="shared" si="8"/>
        <v>-9.0416543265795513E-3</v>
      </c>
    </row>
    <row r="570" spans="1:7">
      <c r="A570" s="44">
        <v>571.3041493242705</v>
      </c>
      <c r="B570" s="44">
        <v>582.72903703043789</v>
      </c>
      <c r="C570" s="44">
        <v>568.84386400306448</v>
      </c>
      <c r="D570" s="44">
        <v>580.91619521481243</v>
      </c>
      <c r="E570" s="44">
        <v>1231753.5709697404</v>
      </c>
      <c r="F570" s="44" t="s">
        <v>509</v>
      </c>
      <c r="G570" s="25">
        <f t="shared" si="8"/>
        <v>-1.6546355515166145E-2</v>
      </c>
    </row>
    <row r="571" spans="1:7">
      <c r="A571" s="44">
        <v>580.79666718301303</v>
      </c>
      <c r="B571" s="44">
        <v>586.67346207982098</v>
      </c>
      <c r="C571" s="44">
        <v>577.45984296194399</v>
      </c>
      <c r="D571" s="44">
        <v>584.51199683811365</v>
      </c>
      <c r="E571" s="44">
        <v>1065412.3395391589</v>
      </c>
      <c r="F571" s="44" t="s">
        <v>510</v>
      </c>
      <c r="G571" s="25">
        <f t="shared" si="8"/>
        <v>-6.3562932415390794E-3</v>
      </c>
    </row>
    <row r="572" spans="1:7">
      <c r="A572" s="44">
        <v>581.83257679194185</v>
      </c>
      <c r="B572" s="44">
        <v>584.77097424034582</v>
      </c>
      <c r="C572" s="44">
        <v>575.32825972818659</v>
      </c>
      <c r="D572" s="44">
        <v>577.71882036417628</v>
      </c>
      <c r="E572" s="44">
        <v>1235387.8648961117</v>
      </c>
      <c r="F572" s="44" t="s">
        <v>511</v>
      </c>
      <c r="G572" s="25">
        <f t="shared" si="8"/>
        <v>7.1206896551723187E-3</v>
      </c>
    </row>
    <row r="573" spans="1:7">
      <c r="A573" s="44">
        <v>577.76862371075936</v>
      </c>
      <c r="B573" s="44">
        <v>579.34240946278589</v>
      </c>
      <c r="C573" s="44">
        <v>574.0234120477088</v>
      </c>
      <c r="D573" s="44">
        <v>578.76469064242167</v>
      </c>
      <c r="E573" s="44">
        <v>731587.38317296514</v>
      </c>
      <c r="F573" s="44" t="s">
        <v>512</v>
      </c>
      <c r="G573" s="25">
        <f t="shared" si="8"/>
        <v>-1.7210222872384717E-3</v>
      </c>
    </row>
    <row r="574" spans="1:7">
      <c r="A574" s="44">
        <v>580.4281224182979</v>
      </c>
      <c r="B574" s="44">
        <v>581.95210482374137</v>
      </c>
      <c r="C574" s="44">
        <v>574.92983295552165</v>
      </c>
      <c r="D574" s="44">
        <v>578.99378603670402</v>
      </c>
      <c r="E574" s="44">
        <v>1057786.3459853695</v>
      </c>
      <c r="F574" s="44" t="s">
        <v>513</v>
      </c>
      <c r="G574" s="25">
        <f t="shared" si="8"/>
        <v>2.4772914946327163E-3</v>
      </c>
    </row>
    <row r="575" spans="1:7">
      <c r="A575" s="44">
        <v>577.76862371075936</v>
      </c>
      <c r="B575" s="44">
        <v>584.53689851140518</v>
      </c>
      <c r="C575" s="44">
        <v>576.02550658035011</v>
      </c>
      <c r="D575" s="44">
        <v>583.55577258371773</v>
      </c>
      <c r="E575" s="44">
        <v>1560561.7961895035</v>
      </c>
      <c r="F575" s="44" t="s">
        <v>514</v>
      </c>
      <c r="G575" s="25">
        <f t="shared" si="8"/>
        <v>-9.9170450278223132E-3</v>
      </c>
    </row>
    <row r="576" spans="1:7">
      <c r="A576" s="44">
        <v>581.8524981305751</v>
      </c>
      <c r="B576" s="44">
        <v>582.3505315964062</v>
      </c>
      <c r="C576" s="44">
        <v>571.47348070265321</v>
      </c>
      <c r="D576" s="44">
        <v>572.90781708424697</v>
      </c>
      <c r="E576" s="44">
        <v>1927728.8894586591</v>
      </c>
      <c r="F576" s="44" t="s">
        <v>515</v>
      </c>
      <c r="G576" s="25">
        <f t="shared" si="8"/>
        <v>1.5612775353373909E-2</v>
      </c>
    </row>
    <row r="577" spans="1:7">
      <c r="A577" s="44">
        <v>582.60950899863849</v>
      </c>
      <c r="B577" s="44">
        <v>592.75943103227803</v>
      </c>
      <c r="C577" s="44">
        <v>578.9639040287542</v>
      </c>
      <c r="D577" s="44">
        <v>588.65563527382915</v>
      </c>
      <c r="E577" s="44">
        <v>1764935.6123749828</v>
      </c>
      <c r="F577" s="44" t="s">
        <v>516</v>
      </c>
      <c r="G577" s="25">
        <f t="shared" si="8"/>
        <v>-1.0271075163288179E-2</v>
      </c>
    </row>
    <row r="578" spans="1:7">
      <c r="A578" s="44">
        <v>590.59796579057058</v>
      </c>
      <c r="B578" s="44">
        <v>596.28176944570453</v>
      </c>
      <c r="C578" s="44">
        <v>588.33340303830596</v>
      </c>
      <c r="D578" s="44">
        <v>596.28176944570453</v>
      </c>
      <c r="E578" s="44">
        <v>1039960.1303364433</v>
      </c>
      <c r="F578" s="44" t="s">
        <v>517</v>
      </c>
      <c r="G578" s="25">
        <f t="shared" si="8"/>
        <v>-9.5320768575861692E-3</v>
      </c>
    </row>
    <row r="579" spans="1:7">
      <c r="A579" s="44">
        <v>594.50993573184496</v>
      </c>
      <c r="B579" s="44">
        <v>597.86447484179268</v>
      </c>
      <c r="C579" s="44">
        <v>591.96168050292317</v>
      </c>
      <c r="D579" s="44">
        <v>596.15236585986088</v>
      </c>
      <c r="E579" s="44">
        <v>1151598.3040842011</v>
      </c>
      <c r="F579" s="44" t="s">
        <v>518</v>
      </c>
      <c r="G579" s="25">
        <f t="shared" si="8"/>
        <v>-2.7550509266988099E-3</v>
      </c>
    </row>
    <row r="580" spans="1:7">
      <c r="A580" s="44">
        <v>596.6799343252236</v>
      </c>
      <c r="B580" s="44">
        <v>597.23736515655025</v>
      </c>
      <c r="C580" s="44">
        <v>586.93484889899548</v>
      </c>
      <c r="D580" s="44">
        <v>591.45402028153637</v>
      </c>
      <c r="E580" s="44">
        <v>1386809.4058597533</v>
      </c>
      <c r="F580" s="44" t="s">
        <v>519</v>
      </c>
      <c r="G580" s="25">
        <f t="shared" si="8"/>
        <v>8.8357063516106837E-3</v>
      </c>
    </row>
    <row r="581" spans="1:7">
      <c r="A581" s="44">
        <v>594.86828412341208</v>
      </c>
      <c r="B581" s="44">
        <v>601.04979387794492</v>
      </c>
      <c r="C581" s="44">
        <v>593.22585399539605</v>
      </c>
      <c r="D581" s="44">
        <v>594.26108268214557</v>
      </c>
      <c r="E581" s="44">
        <v>1607680.7195382311</v>
      </c>
      <c r="F581" s="44" t="s">
        <v>520</v>
      </c>
      <c r="G581" s="25">
        <f t="shared" si="8"/>
        <v>1.0217755443886478E-3</v>
      </c>
    </row>
    <row r="582" spans="1:7">
      <c r="A582" s="44">
        <v>594.91805473335194</v>
      </c>
      <c r="B582" s="44">
        <v>596.15734292085483</v>
      </c>
      <c r="C582" s="44">
        <v>589.78172778755652</v>
      </c>
      <c r="D582" s="44">
        <v>592.27025828455044</v>
      </c>
      <c r="E582" s="44">
        <v>1827877.9406138549</v>
      </c>
      <c r="F582" s="44" t="s">
        <v>521</v>
      </c>
      <c r="G582" s="25">
        <f t="shared" ref="G582:G645" si="9">A582/D582-1</f>
        <v>4.4705882352940041E-3</v>
      </c>
    </row>
    <row r="583" spans="1:7">
      <c r="A583" s="44">
        <v>588.78631558875895</v>
      </c>
      <c r="B583" s="44">
        <v>595.60488915052224</v>
      </c>
      <c r="C583" s="44">
        <v>583.1224201776007</v>
      </c>
      <c r="D583" s="44">
        <v>585.65076716254669</v>
      </c>
      <c r="E583" s="44">
        <v>1895503.1918226657</v>
      </c>
      <c r="F583" s="44" t="s">
        <v>522</v>
      </c>
      <c r="G583" s="25">
        <f t="shared" si="9"/>
        <v>5.353955978584013E-3</v>
      </c>
    </row>
    <row r="584" spans="1:7">
      <c r="A584" s="44">
        <v>581.92792553904371</v>
      </c>
      <c r="B584" s="44">
        <v>583.4608603251919</v>
      </c>
      <c r="C584" s="44">
        <v>577.33907530258693</v>
      </c>
      <c r="D584" s="44">
        <v>578.46389108722815</v>
      </c>
      <c r="E584" s="44">
        <v>1982382.7780930242</v>
      </c>
      <c r="F584" s="44" t="s">
        <v>523</v>
      </c>
      <c r="G584" s="25">
        <f t="shared" si="9"/>
        <v>5.9883330752155128E-3</v>
      </c>
    </row>
    <row r="585" spans="1:7">
      <c r="A585" s="44">
        <v>578.97155130861495</v>
      </c>
      <c r="B585" s="44">
        <v>579.86742228753269</v>
      </c>
      <c r="C585" s="44">
        <v>568.89897526898233</v>
      </c>
      <c r="D585" s="44">
        <v>572.76017918811817</v>
      </c>
      <c r="E585" s="44">
        <v>1554855.3673238228</v>
      </c>
      <c r="F585" s="44" t="s">
        <v>524</v>
      </c>
      <c r="G585" s="25">
        <f t="shared" si="9"/>
        <v>1.0844629822732044E-2</v>
      </c>
    </row>
    <row r="586" spans="1:7">
      <c r="A586" s="44">
        <v>573.68591253299996</v>
      </c>
      <c r="B586" s="44">
        <v>575.84595700439058</v>
      </c>
      <c r="C586" s="44">
        <v>560.41706792302841</v>
      </c>
      <c r="D586" s="44">
        <v>561.96991095315252</v>
      </c>
      <c r="E586" s="44">
        <v>1446813.6936032141</v>
      </c>
      <c r="F586" s="44" t="s">
        <v>525</v>
      </c>
      <c r="G586" s="25">
        <f t="shared" si="9"/>
        <v>2.0848094090973657E-2</v>
      </c>
    </row>
    <row r="587" spans="1:7">
      <c r="A587" s="44">
        <v>567.56412751039477</v>
      </c>
      <c r="B587" s="44">
        <v>572.3620143085991</v>
      </c>
      <c r="C587" s="44">
        <v>564.9461934275572</v>
      </c>
      <c r="D587" s="44">
        <v>572.01362003902</v>
      </c>
      <c r="E587" s="44">
        <v>1802546.726037161</v>
      </c>
      <c r="F587" s="44" t="s">
        <v>526</v>
      </c>
      <c r="G587" s="25">
        <f t="shared" si="9"/>
        <v>-7.7786478726182828E-3</v>
      </c>
    </row>
    <row r="588" spans="1:7">
      <c r="A588" s="44">
        <v>569.40564007817034</v>
      </c>
      <c r="B588" s="44">
        <v>570.38114403299198</v>
      </c>
      <c r="C588" s="44">
        <v>562.42780056459947</v>
      </c>
      <c r="D588" s="44">
        <v>562.60697476038308</v>
      </c>
      <c r="E588" s="44">
        <v>1026141.7342824109</v>
      </c>
      <c r="F588" s="44" t="s">
        <v>527</v>
      </c>
      <c r="G588" s="25">
        <f t="shared" si="9"/>
        <v>1.2084217975937506E-2</v>
      </c>
    </row>
    <row r="589" spans="1:7">
      <c r="A589" s="44">
        <v>563.5725245932166</v>
      </c>
      <c r="B589" s="44">
        <v>565.21495472123263</v>
      </c>
      <c r="C589" s="44">
        <v>558.2669775736257</v>
      </c>
      <c r="D589" s="44">
        <v>562.38798407664751</v>
      </c>
      <c r="E589" s="44">
        <v>905196.86325769522</v>
      </c>
      <c r="F589" s="44" t="s">
        <v>528</v>
      </c>
      <c r="G589" s="25">
        <f t="shared" si="9"/>
        <v>2.1062692484690171E-3</v>
      </c>
    </row>
    <row r="590" spans="1:7">
      <c r="A590" s="44">
        <v>560.89486577845116</v>
      </c>
      <c r="B590" s="44">
        <v>563.3933503974331</v>
      </c>
      <c r="C590" s="44">
        <v>558.43619764742118</v>
      </c>
      <c r="D590" s="44">
        <v>560.75550807061961</v>
      </c>
      <c r="E590" s="44">
        <v>762070.22670240619</v>
      </c>
      <c r="F590" s="44" t="s">
        <v>529</v>
      </c>
      <c r="G590" s="25">
        <f t="shared" si="9"/>
        <v>2.4851776902035105E-4</v>
      </c>
    </row>
    <row r="591" spans="1:7">
      <c r="A591" s="44">
        <v>562.1192227829722</v>
      </c>
      <c r="B591" s="44">
        <v>564.0801848146034</v>
      </c>
      <c r="C591" s="44">
        <v>558.28688581760161</v>
      </c>
      <c r="D591" s="44">
        <v>560.28766433718465</v>
      </c>
      <c r="E591" s="44">
        <v>974542.00498228241</v>
      </c>
      <c r="F591" s="44" t="s">
        <v>530</v>
      </c>
      <c r="G591" s="25">
        <f t="shared" si="9"/>
        <v>3.2689608613001297E-3</v>
      </c>
    </row>
    <row r="592" spans="1:7">
      <c r="A592" s="44">
        <v>557.91858330404648</v>
      </c>
      <c r="B592" s="44">
        <v>558.16743635374587</v>
      </c>
      <c r="C592" s="44">
        <v>547.74547063233535</v>
      </c>
      <c r="D592" s="44">
        <v>552.45377033264788</v>
      </c>
      <c r="E592" s="44">
        <v>1144842.3089214698</v>
      </c>
      <c r="F592" s="44" t="s">
        <v>531</v>
      </c>
      <c r="G592" s="25">
        <f t="shared" si="9"/>
        <v>9.8918918918917687E-3</v>
      </c>
    </row>
    <row r="593" spans="1:7">
      <c r="A593" s="44">
        <v>550.31363410523306</v>
      </c>
      <c r="B593" s="44">
        <v>550.43308356908881</v>
      </c>
      <c r="C593" s="44">
        <v>541.79290568352587</v>
      </c>
      <c r="D593" s="44">
        <v>543.6045558853375</v>
      </c>
      <c r="E593" s="44">
        <v>790102.83473524672</v>
      </c>
      <c r="F593" s="44" t="s">
        <v>532</v>
      </c>
      <c r="G593" s="25">
        <f t="shared" si="9"/>
        <v>1.2341835893867392E-2</v>
      </c>
    </row>
    <row r="594" spans="1:7">
      <c r="A594" s="44">
        <v>545.62524264889657</v>
      </c>
      <c r="B594" s="44">
        <v>547.88482834016702</v>
      </c>
      <c r="C594" s="44">
        <v>539.86180601785873</v>
      </c>
      <c r="D594" s="44">
        <v>542.36029063684055</v>
      </c>
      <c r="E594" s="44">
        <v>993853.60275375936</v>
      </c>
      <c r="F594" s="44" t="s">
        <v>533</v>
      </c>
      <c r="G594" s="25">
        <f t="shared" si="9"/>
        <v>6.0198950189038758E-3</v>
      </c>
    </row>
    <row r="595" spans="1:7">
      <c r="A595" s="44">
        <v>545.32661898925733</v>
      </c>
      <c r="B595" s="44">
        <v>550.15436815342559</v>
      </c>
      <c r="C595" s="44">
        <v>543.81359244708506</v>
      </c>
      <c r="D595" s="44">
        <v>543.81359244708506</v>
      </c>
      <c r="E595" s="44">
        <v>1032944.9460656103</v>
      </c>
      <c r="F595" s="44" t="s">
        <v>534</v>
      </c>
      <c r="G595" s="25">
        <f t="shared" si="9"/>
        <v>2.782252159906129E-3</v>
      </c>
    </row>
    <row r="596" spans="1:7">
      <c r="A596" s="44">
        <v>546.05326989437958</v>
      </c>
      <c r="B596" s="44">
        <v>550.68691367978215</v>
      </c>
      <c r="C596" s="44">
        <v>542.77836376033554</v>
      </c>
      <c r="D596" s="44">
        <v>544.74927991395475</v>
      </c>
      <c r="E596" s="44">
        <v>1526048.2057935153</v>
      </c>
      <c r="F596" s="44" t="s">
        <v>535</v>
      </c>
      <c r="G596" s="25">
        <f t="shared" si="9"/>
        <v>2.3937433760918836E-3</v>
      </c>
    </row>
    <row r="597" spans="1:7">
      <c r="A597" s="44">
        <v>545.75464623474022</v>
      </c>
      <c r="B597" s="44">
        <v>546.17271935823533</v>
      </c>
      <c r="C597" s="44">
        <v>539.15506335671239</v>
      </c>
      <c r="D597" s="44">
        <v>539.15506335671239</v>
      </c>
      <c r="E597" s="44">
        <v>1302973.784696172</v>
      </c>
      <c r="F597" s="44" t="s">
        <v>536</v>
      </c>
      <c r="G597" s="25">
        <f t="shared" si="9"/>
        <v>1.2240602614282503E-2</v>
      </c>
    </row>
    <row r="598" spans="1:7">
      <c r="A598" s="44">
        <v>536.12901027236785</v>
      </c>
      <c r="B598" s="44">
        <v>543.68418886124141</v>
      </c>
      <c r="C598" s="44">
        <v>531.95823315940595</v>
      </c>
      <c r="D598" s="44">
        <v>538.93607267297693</v>
      </c>
      <c r="E598" s="44">
        <v>1273873.2773535943</v>
      </c>
      <c r="F598" s="44" t="s">
        <v>537</v>
      </c>
      <c r="G598" s="25">
        <f t="shared" si="9"/>
        <v>-5.2085257286393905E-3</v>
      </c>
    </row>
    <row r="599" spans="1:7">
      <c r="A599" s="44">
        <v>544.35111503443568</v>
      </c>
      <c r="B599" s="44">
        <v>548.47212153745761</v>
      </c>
      <c r="C599" s="44">
        <v>541.61373148774237</v>
      </c>
      <c r="D599" s="44">
        <v>548.47212153745761</v>
      </c>
      <c r="E599" s="44">
        <v>1077981.5651206647</v>
      </c>
      <c r="F599" s="44" t="s">
        <v>538</v>
      </c>
      <c r="G599" s="25">
        <f t="shared" si="9"/>
        <v>-7.5136116152449972E-3</v>
      </c>
    </row>
    <row r="600" spans="1:7">
      <c r="A600" s="44">
        <v>548.22326848775822</v>
      </c>
      <c r="B600" s="44">
        <v>551.58776171969396</v>
      </c>
      <c r="C600" s="44">
        <v>545.77455447871614</v>
      </c>
      <c r="D600" s="44">
        <v>547.12831506908083</v>
      </c>
      <c r="E600" s="44">
        <v>1286741.3133445866</v>
      </c>
      <c r="F600" s="44" t="s">
        <v>539</v>
      </c>
      <c r="G600" s="25">
        <f t="shared" si="9"/>
        <v>2.0012735377059609E-3</v>
      </c>
    </row>
    <row r="601" spans="1:7">
      <c r="A601" s="44">
        <v>548.36262619558988</v>
      </c>
      <c r="B601" s="44">
        <v>550.32358822722108</v>
      </c>
      <c r="C601" s="44">
        <v>538.97588916092889</v>
      </c>
      <c r="D601" s="44">
        <v>549.66661617601471</v>
      </c>
      <c r="E601" s="44">
        <v>1556610.4191527136</v>
      </c>
      <c r="F601" s="44" t="s">
        <v>540</v>
      </c>
      <c r="G601" s="25">
        <f t="shared" si="9"/>
        <v>-2.3723288663528574E-3</v>
      </c>
    </row>
    <row r="602" spans="1:7">
      <c r="A602" s="44">
        <v>549.77611151788233</v>
      </c>
      <c r="B602" s="44">
        <v>563.40330451942111</v>
      </c>
      <c r="C602" s="44">
        <v>549.49739610221911</v>
      </c>
      <c r="D602" s="44">
        <v>559.42165572423085</v>
      </c>
      <c r="E602" s="44">
        <v>1458113.5350292961</v>
      </c>
      <c r="F602" s="44" t="s">
        <v>541</v>
      </c>
      <c r="G602" s="25">
        <f t="shared" si="9"/>
        <v>-1.7241992882562451E-2</v>
      </c>
    </row>
    <row r="603" spans="1:7">
      <c r="A603" s="44">
        <v>557.70954674229893</v>
      </c>
      <c r="B603" s="44">
        <v>557.9285374260345</v>
      </c>
      <c r="C603" s="44">
        <v>548.92005702691654</v>
      </c>
      <c r="D603" s="44">
        <v>549.95528571366594</v>
      </c>
      <c r="E603" s="44">
        <v>1334292.4685918072</v>
      </c>
      <c r="F603" s="44" t="s">
        <v>542</v>
      </c>
      <c r="G603" s="25">
        <f t="shared" si="9"/>
        <v>1.4099802711361242E-2</v>
      </c>
    </row>
    <row r="604" spans="1:7">
      <c r="A604" s="44">
        <v>549.08927710071214</v>
      </c>
      <c r="B604" s="44">
        <v>554.41970942527303</v>
      </c>
      <c r="C604" s="44">
        <v>544.16198671666416</v>
      </c>
      <c r="D604" s="44">
        <v>546.93918675130942</v>
      </c>
      <c r="E604" s="44">
        <v>1480650.9321267998</v>
      </c>
      <c r="F604" s="44" t="s">
        <v>543</v>
      </c>
      <c r="G604" s="25">
        <f t="shared" si="9"/>
        <v>3.9311323845230284E-3</v>
      </c>
    </row>
    <row r="605" spans="1:7">
      <c r="A605" s="44">
        <v>549.28835954047167</v>
      </c>
      <c r="B605" s="44">
        <v>551.90629362330924</v>
      </c>
      <c r="C605" s="44">
        <v>539.39893934541783</v>
      </c>
      <c r="D605" s="44">
        <v>546.5012053838384</v>
      </c>
      <c r="E605" s="44">
        <v>1333580.2008490004</v>
      </c>
      <c r="F605" s="44" t="s">
        <v>544</v>
      </c>
      <c r="G605" s="25">
        <f t="shared" si="9"/>
        <v>5.0999963571456419E-3</v>
      </c>
    </row>
    <row r="606" spans="1:7">
      <c r="A606" s="44">
        <v>549.69647854197865</v>
      </c>
      <c r="B606" s="44">
        <v>551.37872515794641</v>
      </c>
      <c r="C606" s="44">
        <v>531.78901308561046</v>
      </c>
      <c r="D606" s="44">
        <v>539.65276945611117</v>
      </c>
      <c r="E606" s="44">
        <v>2173852.201745085</v>
      </c>
      <c r="F606" s="44" t="s">
        <v>545</v>
      </c>
      <c r="G606" s="25">
        <f t="shared" si="9"/>
        <v>1.861142878223343E-2</v>
      </c>
    </row>
    <row r="607" spans="1:7">
      <c r="A607" s="44">
        <v>536.50726690791089</v>
      </c>
      <c r="B607" s="44">
        <v>563.40330451942111</v>
      </c>
      <c r="C607" s="44">
        <v>535.31277226935379</v>
      </c>
      <c r="D607" s="44">
        <v>560.71569158266755</v>
      </c>
      <c r="E607" s="44">
        <v>3606117.1485904292</v>
      </c>
      <c r="F607" s="44" t="s">
        <v>546</v>
      </c>
      <c r="G607" s="25">
        <f t="shared" si="9"/>
        <v>-4.3174152316704961E-2</v>
      </c>
    </row>
    <row r="608" spans="1:7">
      <c r="A608" s="44">
        <v>564.51816618207431</v>
      </c>
      <c r="B608" s="44">
        <v>567.38495331461127</v>
      </c>
      <c r="C608" s="44">
        <v>556.93312522723693</v>
      </c>
      <c r="D608" s="44">
        <v>556.93312522723693</v>
      </c>
      <c r="E608" s="44">
        <v>2311943.7382623651</v>
      </c>
      <c r="F608" s="44" t="s">
        <v>547</v>
      </c>
      <c r="G608" s="25">
        <f t="shared" si="9"/>
        <v>1.3619302949061662E-2</v>
      </c>
    </row>
    <row r="609" spans="1:7">
      <c r="A609" s="44">
        <v>555.21106212331711</v>
      </c>
      <c r="B609" s="44">
        <v>556.62454744560966</v>
      </c>
      <c r="C609" s="44">
        <v>544.84882113383446</v>
      </c>
      <c r="D609" s="44">
        <v>547.47670933866004</v>
      </c>
      <c r="E609" s="44">
        <v>2457186.0812582062</v>
      </c>
      <c r="F609" s="44" t="s">
        <v>548</v>
      </c>
      <c r="G609" s="25">
        <f t="shared" si="9"/>
        <v>1.4127272727272766E-2</v>
      </c>
    </row>
    <row r="610" spans="1:7">
      <c r="A610" s="44">
        <v>544.81895876787064</v>
      </c>
      <c r="B610" s="44">
        <v>553.85730153295242</v>
      </c>
      <c r="C610" s="44">
        <v>544.14207847268813</v>
      </c>
      <c r="D610" s="44">
        <v>551.45835813385031</v>
      </c>
      <c r="E610" s="44">
        <v>3186935.0243367385</v>
      </c>
      <c r="F610" s="44" t="s">
        <v>549</v>
      </c>
      <c r="G610" s="25">
        <f t="shared" si="9"/>
        <v>-1.2039711191335623E-2</v>
      </c>
    </row>
    <row r="611" spans="1:7">
      <c r="A611" s="44">
        <v>535.74079951483679</v>
      </c>
      <c r="B611" s="44">
        <v>545.26370893829323</v>
      </c>
      <c r="C611" s="44">
        <v>535.17341456152212</v>
      </c>
      <c r="D611" s="44">
        <v>540.73776875280055</v>
      </c>
      <c r="E611" s="44">
        <v>1756204.1153521361</v>
      </c>
      <c r="F611" s="44" t="s">
        <v>550</v>
      </c>
      <c r="G611" s="25">
        <f t="shared" si="9"/>
        <v>-9.2410212985291063E-3</v>
      </c>
    </row>
    <row r="612" spans="1:7">
      <c r="A612" s="44">
        <v>537.51263322869647</v>
      </c>
      <c r="B612" s="44">
        <v>549.45757961426716</v>
      </c>
      <c r="C612" s="44">
        <v>536.66653285971847</v>
      </c>
      <c r="D612" s="44">
        <v>547.32739750884048</v>
      </c>
      <c r="E612" s="44">
        <v>1851016.0938611452</v>
      </c>
      <c r="F612" s="44" t="s">
        <v>551</v>
      </c>
      <c r="G612" s="25">
        <f t="shared" si="9"/>
        <v>-1.7932163317268435E-2</v>
      </c>
    </row>
    <row r="613" spans="1:7">
      <c r="A613" s="44">
        <v>548.2133143657702</v>
      </c>
      <c r="B613" s="44">
        <v>554.47445709620683</v>
      </c>
      <c r="C613" s="44">
        <v>542.86795085822735</v>
      </c>
      <c r="D613" s="44">
        <v>553.64826497120498</v>
      </c>
      <c r="E613" s="44">
        <v>1121755.3907304325</v>
      </c>
      <c r="F613" s="44" t="s">
        <v>552</v>
      </c>
      <c r="G613" s="25">
        <f t="shared" si="9"/>
        <v>-9.8166127292342864E-3</v>
      </c>
    </row>
    <row r="614" spans="1:7">
      <c r="A614" s="44">
        <v>550.8511566925838</v>
      </c>
      <c r="B614" s="44">
        <v>556.12684134621088</v>
      </c>
      <c r="C614" s="44">
        <v>548.00427780402276</v>
      </c>
      <c r="D614" s="44">
        <v>550.343496471197</v>
      </c>
      <c r="E614" s="44">
        <v>1826912.5114166231</v>
      </c>
      <c r="F614" s="44" t="s">
        <v>553</v>
      </c>
      <c r="G614" s="25">
        <f t="shared" si="9"/>
        <v>9.2244248299810927E-4</v>
      </c>
    </row>
    <row r="615" spans="1:7">
      <c r="A615" s="44">
        <v>549.21868068655579</v>
      </c>
      <c r="B615" s="44">
        <v>550.73668428972201</v>
      </c>
      <c r="C615" s="44">
        <v>539.35414579647193</v>
      </c>
      <c r="D615" s="44">
        <v>542.65891429647979</v>
      </c>
      <c r="E615" s="44">
        <v>2133749.2172244801</v>
      </c>
      <c r="F615" s="44" t="s">
        <v>554</v>
      </c>
      <c r="G615" s="25">
        <f t="shared" si="9"/>
        <v>1.2088194291584253E-2</v>
      </c>
    </row>
    <row r="616" spans="1:7">
      <c r="A616" s="44">
        <v>541.92230926936963</v>
      </c>
      <c r="B616" s="44">
        <v>544.52033510823128</v>
      </c>
      <c r="C616" s="44">
        <v>533.53098443350621</v>
      </c>
      <c r="D616" s="44">
        <v>534.88474502387089</v>
      </c>
      <c r="E616" s="44">
        <v>1736126.0009547612</v>
      </c>
      <c r="F616" s="44" t="s">
        <v>555</v>
      </c>
      <c r="G616" s="25">
        <f t="shared" si="9"/>
        <v>1.3157160137712731E-2</v>
      </c>
    </row>
    <row r="617" spans="1:7">
      <c r="A617" s="44">
        <v>536.7760282015862</v>
      </c>
      <c r="B617" s="44">
        <v>543.44588718084924</v>
      </c>
      <c r="C617" s="44">
        <v>534.37708480248409</v>
      </c>
      <c r="D617" s="44">
        <v>536.27832210218742</v>
      </c>
      <c r="E617" s="44">
        <v>1975338.4601627532</v>
      </c>
      <c r="F617" s="44" t="s">
        <v>556</v>
      </c>
      <c r="G617" s="25">
        <f t="shared" si="9"/>
        <v>9.2807424593965848E-4</v>
      </c>
    </row>
    <row r="618" spans="1:7">
      <c r="A618" s="44">
        <v>539.51341174827951</v>
      </c>
      <c r="B618" s="44">
        <v>548.31285558565003</v>
      </c>
      <c r="C618" s="44">
        <v>538.70215080625951</v>
      </c>
      <c r="D618" s="44">
        <v>541.01648416846388</v>
      </c>
      <c r="E618" s="44">
        <v>1847436.6721860801</v>
      </c>
      <c r="F618" s="44" t="s">
        <v>557</v>
      </c>
      <c r="G618" s="25">
        <f t="shared" si="9"/>
        <v>-2.7782377509154577E-3</v>
      </c>
    </row>
    <row r="619" spans="1:7">
      <c r="A619" s="44">
        <v>541.82276804948992</v>
      </c>
      <c r="B619" s="44">
        <v>550.54257891095654</v>
      </c>
      <c r="C619" s="44">
        <v>540.29978738532952</v>
      </c>
      <c r="D619" s="44">
        <v>545.99354516245171</v>
      </c>
      <c r="E619" s="44">
        <v>2022426.4906858073</v>
      </c>
      <c r="F619" s="44" t="s">
        <v>558</v>
      </c>
      <c r="G619" s="25">
        <f t="shared" si="9"/>
        <v>-7.6388762283275957E-3</v>
      </c>
    </row>
    <row r="620" spans="1:7">
      <c r="A620" s="44">
        <v>543.49506054346978</v>
      </c>
      <c r="B620" s="44">
        <v>546.02340752841553</v>
      </c>
      <c r="C620" s="44">
        <v>537.93070635219135</v>
      </c>
      <c r="D620" s="44">
        <v>541.0363924124398</v>
      </c>
      <c r="E620" s="44">
        <v>1992273.1531676843</v>
      </c>
      <c r="F620" s="44" t="s">
        <v>559</v>
      </c>
      <c r="G620" s="25">
        <f t="shared" si="9"/>
        <v>4.5443673762257664E-3</v>
      </c>
    </row>
    <row r="621" spans="1:7">
      <c r="A621" s="44">
        <v>541.43455729195875</v>
      </c>
      <c r="B621" s="44">
        <v>546.8396455314296</v>
      </c>
      <c r="C621" s="44">
        <v>531.43066469404334</v>
      </c>
      <c r="D621" s="44">
        <v>538.30896298773439</v>
      </c>
      <c r="E621" s="44">
        <v>2036039.9465148291</v>
      </c>
      <c r="F621" s="44" t="s">
        <v>560</v>
      </c>
      <c r="G621" s="25">
        <f t="shared" si="9"/>
        <v>5.8063203831431043E-3</v>
      </c>
    </row>
    <row r="622" spans="1:7">
      <c r="A622" s="44">
        <v>539.36409991845994</v>
      </c>
      <c r="B622" s="44">
        <v>556.66436393356162</v>
      </c>
      <c r="C622" s="44">
        <v>534.18467162445654</v>
      </c>
      <c r="D622" s="44">
        <v>536.04937729646394</v>
      </c>
      <c r="E622" s="44">
        <v>2903286.7022234784</v>
      </c>
      <c r="F622" s="44" t="s">
        <v>561</v>
      </c>
      <c r="G622" s="25">
        <f t="shared" si="9"/>
        <v>6.1836143504421237E-3</v>
      </c>
    </row>
    <row r="623" spans="1:7">
      <c r="A623" s="44">
        <v>538.89625618502498</v>
      </c>
      <c r="B623" s="44">
        <v>541.06625477840362</v>
      </c>
      <c r="C623" s="44">
        <v>524.98039364583508</v>
      </c>
      <c r="D623" s="44">
        <v>527.20016284915368</v>
      </c>
      <c r="E623" s="44">
        <v>2136668.6108219367</v>
      </c>
      <c r="F623" s="44" t="s">
        <v>562</v>
      </c>
      <c r="G623" s="25">
        <f t="shared" si="9"/>
        <v>2.2185299171119333E-2</v>
      </c>
    </row>
    <row r="624" spans="1:7">
      <c r="A624" s="44">
        <v>528.79282236722975</v>
      </c>
      <c r="B624" s="44">
        <v>538.28905474375847</v>
      </c>
      <c r="C624" s="44">
        <v>528.03630909614367</v>
      </c>
      <c r="D624" s="44">
        <v>531.52025179193515</v>
      </c>
      <c r="E624" s="44">
        <v>1825584.418389838</v>
      </c>
      <c r="F624" s="44" t="s">
        <v>563</v>
      </c>
      <c r="G624" s="25">
        <f t="shared" si="9"/>
        <v>-5.1313744217841295E-3</v>
      </c>
    </row>
    <row r="625" spans="1:7">
      <c r="A625" s="44">
        <v>534.89469914585879</v>
      </c>
      <c r="B625" s="44">
        <v>537.36332139887679</v>
      </c>
      <c r="C625" s="44">
        <v>524.90076066993129</v>
      </c>
      <c r="D625" s="44">
        <v>524.90076066993129</v>
      </c>
      <c r="E625" s="44">
        <v>1839695.1556471945</v>
      </c>
      <c r="F625" s="44" t="s">
        <v>564</v>
      </c>
      <c r="G625" s="25">
        <f t="shared" si="9"/>
        <v>1.9039672305241506E-2</v>
      </c>
    </row>
    <row r="626" spans="1:7">
      <c r="A626" s="44">
        <v>526.39387896812764</v>
      </c>
      <c r="B626" s="44">
        <v>541.17575012027146</v>
      </c>
      <c r="C626" s="44">
        <v>525.54777859914975</v>
      </c>
      <c r="D626" s="44">
        <v>540.31969562930556</v>
      </c>
      <c r="E626" s="44">
        <v>2180270.6483019162</v>
      </c>
      <c r="F626" s="44" t="s">
        <v>565</v>
      </c>
      <c r="G626" s="25">
        <f t="shared" si="9"/>
        <v>-2.5773290838414953E-2</v>
      </c>
    </row>
    <row r="627" spans="1:7">
      <c r="A627" s="44">
        <v>541.65354797569432</v>
      </c>
      <c r="B627" s="44">
        <v>543.5946017633496</v>
      </c>
      <c r="C627" s="44">
        <v>524.95053127987114</v>
      </c>
      <c r="D627" s="44">
        <v>527.1304839952378</v>
      </c>
      <c r="E627" s="44">
        <v>2321511.6338653173</v>
      </c>
      <c r="F627" s="44" t="s">
        <v>566</v>
      </c>
      <c r="G627" s="25">
        <f t="shared" si="9"/>
        <v>2.7551174560012326E-2</v>
      </c>
    </row>
    <row r="628" spans="1:7">
      <c r="A628" s="44">
        <v>528.35484099975884</v>
      </c>
      <c r="B628" s="44">
        <v>531.52025179193515</v>
      </c>
      <c r="C628" s="44">
        <v>527.09066750728596</v>
      </c>
      <c r="D628" s="44">
        <v>528.77291412325383</v>
      </c>
      <c r="E628" s="44">
        <v>807991.90623900213</v>
      </c>
      <c r="F628" s="44" t="s">
        <v>567</v>
      </c>
      <c r="G628" s="25">
        <f t="shared" si="9"/>
        <v>-7.9064776642012724E-4</v>
      </c>
    </row>
    <row r="629" spans="1:7">
      <c r="A629" s="44">
        <v>530.49497722717365</v>
      </c>
      <c r="B629" s="44">
        <v>533.54093855549411</v>
      </c>
      <c r="C629" s="44">
        <v>529.06158366090506</v>
      </c>
      <c r="D629" s="44">
        <v>530.55470195910141</v>
      </c>
      <c r="E629" s="44">
        <v>766887.32659910456</v>
      </c>
      <c r="F629" s="44" t="s">
        <v>568</v>
      </c>
      <c r="G629" s="25">
        <f t="shared" si="9"/>
        <v>-1.1257035647260771E-4</v>
      </c>
    </row>
    <row r="630" spans="1:7">
      <c r="A630" s="44">
        <v>529.21089549072474</v>
      </c>
      <c r="B630" s="44">
        <v>530.6243808130173</v>
      </c>
      <c r="C630" s="44">
        <v>526.86669976255644</v>
      </c>
      <c r="D630" s="44">
        <v>528.37474924373475</v>
      </c>
      <c r="E630" s="44">
        <v>809705.76910110167</v>
      </c>
      <c r="F630" s="44" t="s">
        <v>569</v>
      </c>
      <c r="G630" s="25">
        <f t="shared" si="9"/>
        <v>1.5824871422920328E-3</v>
      </c>
    </row>
    <row r="631" spans="1:7">
      <c r="A631" s="44">
        <v>527.26984170306957</v>
      </c>
      <c r="B631" s="44">
        <v>528.80277648921776</v>
      </c>
      <c r="C631" s="44">
        <v>523.36862221354204</v>
      </c>
      <c r="D631" s="44">
        <v>524.46277930246038</v>
      </c>
      <c r="E631" s="44">
        <v>642055.62356180779</v>
      </c>
      <c r="F631" s="44" t="s">
        <v>570</v>
      </c>
      <c r="G631" s="25">
        <f t="shared" si="9"/>
        <v>5.3522623747344067E-3</v>
      </c>
    </row>
    <row r="632" spans="1:7">
      <c r="A632" s="44">
        <v>526.622823773851</v>
      </c>
      <c r="B632" s="44">
        <v>530.47506898319762</v>
      </c>
      <c r="C632" s="44">
        <v>524.48149305179777</v>
      </c>
      <c r="D632" s="44">
        <v>525.6672280630055</v>
      </c>
      <c r="E632" s="44">
        <v>1086469.5061065259</v>
      </c>
      <c r="F632" s="44" t="s">
        <v>571</v>
      </c>
      <c r="G632" s="25">
        <f t="shared" si="9"/>
        <v>1.8178719536439125E-3</v>
      </c>
    </row>
    <row r="633" spans="1:7">
      <c r="A633" s="44">
        <v>524.1442473988451</v>
      </c>
      <c r="B633" s="44">
        <v>524.61209113227994</v>
      </c>
      <c r="C633" s="44">
        <v>515.69319783105391</v>
      </c>
      <c r="D633" s="44">
        <v>515.69319783105391</v>
      </c>
      <c r="E633" s="44">
        <v>1021315.5929051974</v>
      </c>
      <c r="F633" s="44" t="s">
        <v>572</v>
      </c>
      <c r="G633" s="25">
        <f t="shared" si="9"/>
        <v>1.6387746829578775E-2</v>
      </c>
    </row>
    <row r="634" spans="1:7">
      <c r="A634" s="44">
        <v>517.04695842141848</v>
      </c>
      <c r="B634" s="44">
        <v>530.04704173771472</v>
      </c>
      <c r="C634" s="44">
        <v>516.98723368949072</v>
      </c>
      <c r="D634" s="44">
        <v>525.57764096511369</v>
      </c>
      <c r="E634" s="44">
        <v>1504217.0487851417</v>
      </c>
      <c r="F634" s="44" t="s">
        <v>573</v>
      </c>
      <c r="G634" s="25">
        <f t="shared" si="9"/>
        <v>-1.6231060606060721E-2</v>
      </c>
    </row>
    <row r="635" spans="1:7">
      <c r="A635" s="44">
        <v>525.71699867294524</v>
      </c>
      <c r="B635" s="44">
        <v>526.43090830192295</v>
      </c>
      <c r="C635" s="44">
        <v>517.42521505696152</v>
      </c>
      <c r="D635" s="44">
        <v>518.61970969551862</v>
      </c>
      <c r="E635" s="44">
        <v>2581224.1432280592</v>
      </c>
      <c r="F635" s="44" t="s">
        <v>574</v>
      </c>
      <c r="G635" s="25">
        <f t="shared" si="9"/>
        <v>1.3684958062225361E-2</v>
      </c>
    </row>
    <row r="636" spans="1:7">
      <c r="A636" s="44">
        <v>516.24067454039255</v>
      </c>
      <c r="B636" s="44">
        <v>521.45663446209176</v>
      </c>
      <c r="C636" s="44">
        <v>513.23452970002393</v>
      </c>
      <c r="D636" s="44">
        <v>518.73915915937437</v>
      </c>
      <c r="E636" s="44">
        <v>1614782.3001784314</v>
      </c>
      <c r="F636" s="44" t="s">
        <v>575</v>
      </c>
      <c r="G636" s="25">
        <f t="shared" si="9"/>
        <v>-4.8164565463511E-3</v>
      </c>
    </row>
    <row r="637" spans="1:7">
      <c r="A637" s="44">
        <v>515.65338134310196</v>
      </c>
      <c r="B637" s="44">
        <v>521.07837782654872</v>
      </c>
      <c r="C637" s="44">
        <v>515.34480356147469</v>
      </c>
      <c r="D637" s="44">
        <v>518.38081076780725</v>
      </c>
      <c r="E637" s="44">
        <v>4375012.6884728493</v>
      </c>
      <c r="F637" s="44" t="s">
        <v>576</v>
      </c>
      <c r="G637" s="25">
        <f t="shared" si="9"/>
        <v>-5.2614397910785149E-3</v>
      </c>
    </row>
    <row r="638" spans="1:7">
      <c r="A638" s="44">
        <v>519.12736991690542</v>
      </c>
      <c r="B638" s="44">
        <v>531.97814140338187</v>
      </c>
      <c r="C638" s="44">
        <v>517.7437469605768</v>
      </c>
      <c r="D638" s="44">
        <v>527.11057575126188</v>
      </c>
      <c r="E638" s="44">
        <v>2776593.4588090009</v>
      </c>
      <c r="F638" s="44" t="s">
        <v>577</v>
      </c>
      <c r="G638" s="25">
        <f t="shared" si="9"/>
        <v>-1.5145220379952362E-2</v>
      </c>
    </row>
    <row r="639" spans="1:7">
      <c r="A639" s="44">
        <v>515.81264729490942</v>
      </c>
      <c r="B639" s="44">
        <v>516.14091160163082</v>
      </c>
      <c r="C639" s="44">
        <v>494.26657189010416</v>
      </c>
      <c r="D639" s="44">
        <v>495.96757784311507</v>
      </c>
      <c r="E639" s="44">
        <v>2791392.8235202651</v>
      </c>
      <c r="F639" s="44" t="s">
        <v>578</v>
      </c>
      <c r="G639" s="25">
        <f t="shared" si="9"/>
        <v>4.0012836198078494E-2</v>
      </c>
    </row>
    <row r="640" spans="1:7">
      <c r="A640" s="44">
        <v>494.75399464856929</v>
      </c>
      <c r="B640" s="44">
        <v>495.88799861724323</v>
      </c>
      <c r="C640" s="44">
        <v>488.88502674051983</v>
      </c>
      <c r="D640" s="44">
        <v>493.71946471223515</v>
      </c>
      <c r="E640" s="44">
        <v>1427774.632828915</v>
      </c>
      <c r="F640" s="44" t="s">
        <v>579</v>
      </c>
      <c r="G640" s="25">
        <f t="shared" si="9"/>
        <v>2.0953800898595443E-3</v>
      </c>
    </row>
    <row r="641" spans="1:7">
      <c r="A641" s="44">
        <v>492.38651267888156</v>
      </c>
      <c r="B641" s="44">
        <v>494.83606072524964</v>
      </c>
      <c r="C641" s="44">
        <v>488.74576309524406</v>
      </c>
      <c r="D641" s="44">
        <v>489.96929369302387</v>
      </c>
      <c r="E641" s="44">
        <v>2041596.1354237869</v>
      </c>
      <c r="F641" s="44" t="s">
        <v>580</v>
      </c>
      <c r="G641" s="25">
        <f t="shared" si="9"/>
        <v>4.9334091278221415E-3</v>
      </c>
    </row>
    <row r="642" spans="1:7">
      <c r="A642" s="44">
        <v>487.19396819074285</v>
      </c>
      <c r="B642" s="44">
        <v>493.07288350202629</v>
      </c>
      <c r="C642" s="44">
        <v>485.45317262479597</v>
      </c>
      <c r="D642" s="44">
        <v>490.21797877387343</v>
      </c>
      <c r="E642" s="44">
        <v>1881740.3456667417</v>
      </c>
      <c r="F642" s="44" t="s">
        <v>581</v>
      </c>
      <c r="G642" s="25">
        <f t="shared" si="9"/>
        <v>-6.1687059921673448E-3</v>
      </c>
    </row>
    <row r="643" spans="1:7">
      <c r="A643" s="44">
        <v>491.50119379105718</v>
      </c>
      <c r="B643" s="44">
        <v>495.67482576593903</v>
      </c>
      <c r="C643" s="44">
        <v>489.72060861217432</v>
      </c>
      <c r="D643" s="44">
        <v>491.92893213011831</v>
      </c>
      <c r="E643" s="44">
        <v>2112873.0288322959</v>
      </c>
      <c r="F643" s="44" t="s">
        <v>582</v>
      </c>
      <c r="G643" s="25">
        <f t="shared" si="9"/>
        <v>-8.695124663820053E-4</v>
      </c>
    </row>
    <row r="644" spans="1:7">
      <c r="A644" s="44">
        <v>491.21271909727164</v>
      </c>
      <c r="B644" s="44">
        <v>494.0676238254245</v>
      </c>
      <c r="C644" s="44">
        <v>489.06407999873147</v>
      </c>
      <c r="D644" s="44">
        <v>492.39646008211554</v>
      </c>
      <c r="E644" s="44">
        <v>1248282.5625868565</v>
      </c>
      <c r="F644" s="44" t="s">
        <v>583</v>
      </c>
      <c r="G644" s="25">
        <f t="shared" si="9"/>
        <v>-2.4040404040404084E-3</v>
      </c>
    </row>
    <row r="645" spans="1:7">
      <c r="A645" s="44">
        <v>489.01434298256163</v>
      </c>
      <c r="B645" s="44">
        <v>491.03366583905995</v>
      </c>
      <c r="C645" s="44">
        <v>484.49822191433373</v>
      </c>
      <c r="D645" s="44">
        <v>490.37713722561716</v>
      </c>
      <c r="E645" s="44">
        <v>1622105.7516676702</v>
      </c>
      <c r="F645" s="44" t="s">
        <v>584</v>
      </c>
      <c r="G645" s="25">
        <f t="shared" si="9"/>
        <v>-2.7790737773089047E-3</v>
      </c>
    </row>
    <row r="646" spans="1:7">
      <c r="A646" s="44">
        <v>492.73467179207091</v>
      </c>
      <c r="B646" s="44">
        <v>495.68905055256363</v>
      </c>
      <c r="C646" s="44">
        <v>487.78285446219462</v>
      </c>
      <c r="D646" s="44">
        <v>490.87450738731627</v>
      </c>
      <c r="E646" s="44">
        <v>1228744.8002755768</v>
      </c>
      <c r="F646" s="44" t="s">
        <v>585</v>
      </c>
      <c r="G646" s="25">
        <f t="shared" ref="G646:G709" si="10">A646/D646-1</f>
        <v>3.7894907491842211E-3</v>
      </c>
    </row>
    <row r="647" spans="1:7">
      <c r="A647" s="44">
        <v>493.5205166475555</v>
      </c>
      <c r="B647" s="44">
        <v>496.57436944038801</v>
      </c>
      <c r="C647" s="44">
        <v>487.02486233576519</v>
      </c>
      <c r="D647" s="44">
        <v>488.29812994971485</v>
      </c>
      <c r="E647" s="44">
        <v>1226244.650295224</v>
      </c>
      <c r="F647" s="44" t="s">
        <v>586</v>
      </c>
      <c r="G647" s="25">
        <f t="shared" si="10"/>
        <v>1.0695078226858001E-2</v>
      </c>
    </row>
    <row r="648" spans="1:7">
      <c r="A648" s="44">
        <v>493.15246272789813</v>
      </c>
      <c r="B648" s="44">
        <v>494.88331089061103</v>
      </c>
      <c r="C648" s="44">
        <v>486.80601946461758</v>
      </c>
      <c r="D648" s="44">
        <v>493.2917263731739</v>
      </c>
      <c r="E648" s="44">
        <v>1924089.0863472139</v>
      </c>
      <c r="F648" s="44" t="s">
        <v>587</v>
      </c>
      <c r="G648" s="25">
        <f t="shared" si="10"/>
        <v>-2.8231498285946621E-4</v>
      </c>
    </row>
    <row r="649" spans="1:7">
      <c r="A649" s="44">
        <v>490.32740020944726</v>
      </c>
      <c r="B649" s="44">
        <v>493.1922523408341</v>
      </c>
      <c r="C649" s="44">
        <v>487.31333702955061</v>
      </c>
      <c r="D649" s="44">
        <v>487.31333702955061</v>
      </c>
      <c r="E649" s="44">
        <v>1202157.962104935</v>
      </c>
      <c r="F649" s="44" t="s">
        <v>588</v>
      </c>
      <c r="G649" s="25">
        <f t="shared" si="10"/>
        <v>6.1850619526833128E-3</v>
      </c>
    </row>
    <row r="650" spans="1:7">
      <c r="A650" s="44">
        <v>483.36421794565973</v>
      </c>
      <c r="B650" s="44">
        <v>486.17933306087667</v>
      </c>
      <c r="C650" s="44">
        <v>478.04235721547929</v>
      </c>
      <c r="D650" s="44">
        <v>485.85106875415528</v>
      </c>
      <c r="E650" s="44">
        <v>1557808.5692819152</v>
      </c>
      <c r="F650" s="44" t="s">
        <v>589</v>
      </c>
      <c r="G650" s="25">
        <f t="shared" si="10"/>
        <v>-5.1185455141067315E-3</v>
      </c>
    </row>
    <row r="651" spans="1:7">
      <c r="A651" s="44">
        <v>487.55207470716624</v>
      </c>
      <c r="B651" s="44">
        <v>490.82477037114637</v>
      </c>
      <c r="C651" s="44">
        <v>485.58248886683771</v>
      </c>
      <c r="D651" s="44">
        <v>486.6468610128739</v>
      </c>
      <c r="E651" s="44">
        <v>2439970.4555139178</v>
      </c>
      <c r="F651" s="44" t="s">
        <v>590</v>
      </c>
      <c r="G651" s="25">
        <f t="shared" si="10"/>
        <v>1.8601038387637825E-3</v>
      </c>
    </row>
    <row r="652" spans="1:7">
      <c r="A652" s="44">
        <v>488.19865591737505</v>
      </c>
      <c r="B652" s="44">
        <v>488.44634625790121</v>
      </c>
      <c r="C652" s="44">
        <v>484.24953683348417</v>
      </c>
      <c r="D652" s="44">
        <v>485.93064798002712</v>
      </c>
      <c r="E652" s="44">
        <v>726586.61059491767</v>
      </c>
      <c r="F652" s="44" t="s">
        <v>591</v>
      </c>
      <c r="G652" s="25">
        <f t="shared" si="10"/>
        <v>4.6673490276356588E-3</v>
      </c>
    </row>
    <row r="653" spans="1:7">
      <c r="A653" s="44">
        <v>484.96574986633084</v>
      </c>
      <c r="B653" s="44">
        <v>487.98976044946141</v>
      </c>
      <c r="C653" s="44">
        <v>483.1553224777461</v>
      </c>
      <c r="D653" s="44">
        <v>483.52337639740347</v>
      </c>
      <c r="E653" s="44">
        <v>1471938.9227110427</v>
      </c>
      <c r="F653" s="44" t="s">
        <v>592</v>
      </c>
      <c r="G653" s="25">
        <f t="shared" si="10"/>
        <v>2.9830480579327023E-3</v>
      </c>
    </row>
    <row r="654" spans="1:7">
      <c r="A654" s="44">
        <v>479.85278460406403</v>
      </c>
      <c r="B654" s="44">
        <v>487.7361016669949</v>
      </c>
      <c r="C654" s="44">
        <v>473.94402708307865</v>
      </c>
      <c r="D654" s="44">
        <v>475.76440187489737</v>
      </c>
      <c r="E654" s="44">
        <v>2931346.93689571</v>
      </c>
      <c r="F654" s="44" t="s">
        <v>593</v>
      </c>
      <c r="G654" s="25">
        <f t="shared" si="10"/>
        <v>8.5932926319309821E-3</v>
      </c>
    </row>
    <row r="655" spans="1:7">
      <c r="A655" s="44">
        <v>466.56305388346391</v>
      </c>
      <c r="B655" s="44">
        <v>469.19911574046921</v>
      </c>
      <c r="C655" s="44">
        <v>463.44911877509816</v>
      </c>
      <c r="D655" s="44">
        <v>464.57357323666747</v>
      </c>
      <c r="E655" s="44">
        <v>1191768.315926027</v>
      </c>
      <c r="F655" s="44" t="s">
        <v>594</v>
      </c>
      <c r="G655" s="25">
        <f t="shared" si="10"/>
        <v>4.2823801468856448E-3</v>
      </c>
    </row>
    <row r="656" spans="1:7">
      <c r="A656" s="44">
        <v>463.96678163939458</v>
      </c>
      <c r="B656" s="44">
        <v>472.50165361415128</v>
      </c>
      <c r="C656" s="44">
        <v>461.72861591174865</v>
      </c>
      <c r="D656" s="44">
        <v>472.50165361415128</v>
      </c>
      <c r="E656" s="44">
        <v>1564577.1699323831</v>
      </c>
      <c r="F656" s="44" t="s">
        <v>595</v>
      </c>
      <c r="G656" s="25">
        <f t="shared" si="10"/>
        <v>-1.8063157894736892E-2</v>
      </c>
    </row>
    <row r="657" spans="1:7">
      <c r="A657" s="44">
        <v>469.98496059595379</v>
      </c>
      <c r="B657" s="44">
        <v>472.20323151713177</v>
      </c>
      <c r="C657" s="44">
        <v>466.24473697997649</v>
      </c>
      <c r="D657" s="44">
        <v>469.5771170633605</v>
      </c>
      <c r="E657" s="44">
        <v>1621906.7047452296</v>
      </c>
      <c r="F657" s="44" t="s">
        <v>596</v>
      </c>
      <c r="G657" s="25">
        <f t="shared" si="10"/>
        <v>8.6853366097527918E-4</v>
      </c>
    </row>
    <row r="658" spans="1:7">
      <c r="A658" s="44">
        <v>468.06511177179522</v>
      </c>
      <c r="B658" s="44">
        <v>472.33254775917356</v>
      </c>
      <c r="C658" s="44">
        <v>461.54956265353695</v>
      </c>
      <c r="D658" s="44">
        <v>462.21603867021378</v>
      </c>
      <c r="E658" s="44">
        <v>2195698.6648923089</v>
      </c>
      <c r="F658" s="44" t="s">
        <v>597</v>
      </c>
      <c r="G658" s="25">
        <f t="shared" si="10"/>
        <v>1.2654413980114354E-2</v>
      </c>
    </row>
    <row r="659" spans="1:7">
      <c r="A659" s="44">
        <v>456.84444092386337</v>
      </c>
      <c r="B659" s="44">
        <v>459.80876708759007</v>
      </c>
      <c r="C659" s="44">
        <v>452.82569001733464</v>
      </c>
      <c r="D659" s="44">
        <v>454.40732713153778</v>
      </c>
      <c r="E659" s="44">
        <v>1832075.1226553461</v>
      </c>
      <c r="F659" s="44" t="s">
        <v>598</v>
      </c>
      <c r="G659" s="25">
        <f t="shared" si="10"/>
        <v>5.3632801383507456E-3</v>
      </c>
    </row>
    <row r="660" spans="1:7">
      <c r="A660" s="44">
        <v>442.80865496071459</v>
      </c>
      <c r="B660" s="44">
        <v>444.45992389755565</v>
      </c>
      <c r="C660" s="44">
        <v>436.80042340738942</v>
      </c>
      <c r="D660" s="44">
        <v>443.18665628360588</v>
      </c>
      <c r="E660" s="44">
        <v>1683882.6783233313</v>
      </c>
      <c r="F660" s="44" t="s">
        <v>599</v>
      </c>
      <c r="G660" s="25">
        <f t="shared" si="10"/>
        <v>-8.5291675083598584E-4</v>
      </c>
    </row>
    <row r="661" spans="1:7">
      <c r="A661" s="44">
        <v>446.07140322146074</v>
      </c>
      <c r="B661" s="44">
        <v>446.79756365754145</v>
      </c>
      <c r="C661" s="44">
        <v>434.96015380910268</v>
      </c>
      <c r="D661" s="44">
        <v>441.48565033059498</v>
      </c>
      <c r="E661" s="44">
        <v>1906530.7350979822</v>
      </c>
      <c r="F661" s="44" t="s">
        <v>600</v>
      </c>
      <c r="G661" s="25">
        <f t="shared" si="10"/>
        <v>1.0387093866883079E-2</v>
      </c>
    </row>
    <row r="662" spans="1:7">
      <c r="A662" s="44">
        <v>441.93328347612413</v>
      </c>
      <c r="B662" s="44">
        <v>456.4266499880361</v>
      </c>
      <c r="C662" s="44">
        <v>440.72964768481233</v>
      </c>
      <c r="D662" s="44">
        <v>456.12822789101671</v>
      </c>
      <c r="E662" s="44">
        <v>2053162.9732500585</v>
      </c>
      <c r="F662" s="44" t="s">
        <v>601</v>
      </c>
      <c r="G662" s="25">
        <f t="shared" si="10"/>
        <v>-3.112051293235063E-2</v>
      </c>
    </row>
    <row r="663" spans="1:7">
      <c r="A663" s="44">
        <v>451.92047632304224</v>
      </c>
      <c r="B663" s="44">
        <v>461.56945746000486</v>
      </c>
      <c r="C663" s="44">
        <v>450.69694572526242</v>
      </c>
      <c r="D663" s="44">
        <v>459.08260665150937</v>
      </c>
      <c r="E663" s="44">
        <v>1857858.7361238156</v>
      </c>
      <c r="F663" s="44" t="s">
        <v>602</v>
      </c>
      <c r="G663" s="25">
        <f t="shared" si="10"/>
        <v>-1.5600962059326928E-2</v>
      </c>
    </row>
    <row r="664" spans="1:7">
      <c r="A664" s="44">
        <v>456.82454611739541</v>
      </c>
      <c r="B664" s="44">
        <v>461.41029900826118</v>
      </c>
      <c r="C664" s="44">
        <v>449.73204761156614</v>
      </c>
      <c r="D664" s="44">
        <v>451.49273798398099</v>
      </c>
      <c r="E664" s="44">
        <v>1717751.8190503358</v>
      </c>
      <c r="F664" s="44" t="s">
        <v>603</v>
      </c>
      <c r="G664" s="25">
        <f t="shared" si="10"/>
        <v>1.1809288798801498E-2</v>
      </c>
    </row>
    <row r="665" spans="1:7">
      <c r="A665" s="44">
        <v>452.62674195265492</v>
      </c>
      <c r="B665" s="44">
        <v>457.05831009339403</v>
      </c>
      <c r="C665" s="44">
        <v>449.87131125684192</v>
      </c>
      <c r="D665" s="44">
        <v>454.29790569596395</v>
      </c>
      <c r="E665" s="44">
        <v>1622322.8937648782</v>
      </c>
      <c r="F665" s="44" t="s">
        <v>604</v>
      </c>
      <c r="G665" s="25">
        <f t="shared" si="10"/>
        <v>-3.6785636084958329E-3</v>
      </c>
    </row>
    <row r="666" spans="1:7">
      <c r="A666" s="44">
        <v>452.34821466210349</v>
      </c>
      <c r="B666" s="44">
        <v>458.14755074751503</v>
      </c>
      <c r="C666" s="44">
        <v>449.22473004663311</v>
      </c>
      <c r="D666" s="44">
        <v>452.29847764593353</v>
      </c>
      <c r="E666" s="44">
        <v>1931982.6036957176</v>
      </c>
      <c r="F666" s="44" t="s">
        <v>605</v>
      </c>
      <c r="G666" s="25">
        <f t="shared" si="10"/>
        <v>1.0996503112026268E-4</v>
      </c>
    </row>
    <row r="667" spans="1:7">
      <c r="A667" s="44">
        <v>445.21592654333824</v>
      </c>
      <c r="B667" s="44">
        <v>445.78292852767521</v>
      </c>
      <c r="C667" s="44">
        <v>439.60559111937238</v>
      </c>
      <c r="D667" s="44">
        <v>442.5002854604611</v>
      </c>
      <c r="E667" s="44">
        <v>1722951.1659334817</v>
      </c>
      <c r="F667" s="44" t="s">
        <v>606</v>
      </c>
      <c r="G667" s="25">
        <f t="shared" si="10"/>
        <v>6.137038036147846E-3</v>
      </c>
    </row>
    <row r="668" spans="1:7">
      <c r="A668" s="44">
        <v>438.7899040541858</v>
      </c>
      <c r="B668" s="44">
        <v>442.78876015424663</v>
      </c>
      <c r="C668" s="44">
        <v>431.71730035482449</v>
      </c>
      <c r="D668" s="44">
        <v>442.78876015424663</v>
      </c>
      <c r="E668" s="44">
        <v>2287483.4230371234</v>
      </c>
      <c r="F668" s="44" t="s">
        <v>607</v>
      </c>
      <c r="G668" s="25">
        <f t="shared" si="10"/>
        <v>-9.031069575180295E-3</v>
      </c>
    </row>
    <row r="669" spans="1:7">
      <c r="A669" s="44">
        <v>442.43065363782324</v>
      </c>
      <c r="B669" s="44">
        <v>444.25102842964202</v>
      </c>
      <c r="C669" s="44">
        <v>430.87177107993602</v>
      </c>
      <c r="D669" s="44">
        <v>434.19420376008605</v>
      </c>
      <c r="E669" s="44">
        <v>2910716.4270859808</v>
      </c>
      <c r="F669" s="44" t="s">
        <v>608</v>
      </c>
      <c r="G669" s="25">
        <f t="shared" si="10"/>
        <v>1.8969506747004372E-2</v>
      </c>
    </row>
    <row r="670" spans="1:7">
      <c r="A670" s="44">
        <v>431.82672179039832</v>
      </c>
      <c r="B670" s="44">
        <v>433.06019979141212</v>
      </c>
      <c r="C670" s="44">
        <v>417.99983129516312</v>
      </c>
      <c r="D670" s="44">
        <v>429.90687296623975</v>
      </c>
      <c r="E670" s="44">
        <v>2962258.521835743</v>
      </c>
      <c r="F670" s="44" t="s">
        <v>609</v>
      </c>
      <c r="G670" s="25">
        <f t="shared" si="10"/>
        <v>4.4657318709797611E-3</v>
      </c>
    </row>
    <row r="671" spans="1:7">
      <c r="A671" s="44">
        <v>429.14092291722318</v>
      </c>
      <c r="B671" s="44">
        <v>437.64097898066086</v>
      </c>
      <c r="C671" s="44">
        <v>425.12217201069438</v>
      </c>
      <c r="D671" s="44">
        <v>437.25800395615255</v>
      </c>
      <c r="E671" s="44">
        <v>2508776.3522791988</v>
      </c>
      <c r="F671" s="44" t="s">
        <v>610</v>
      </c>
      <c r="G671" s="25">
        <f t="shared" si="10"/>
        <v>-1.856359624178161E-2</v>
      </c>
    </row>
    <row r="672" spans="1:7">
      <c r="A672" s="44">
        <v>437.84490074695753</v>
      </c>
      <c r="B672" s="44">
        <v>442.98770821892623</v>
      </c>
      <c r="C672" s="44">
        <v>426.91767829442813</v>
      </c>
      <c r="D672" s="44">
        <v>428.86239562667163</v>
      </c>
      <c r="E672" s="44">
        <v>2986980.551717863</v>
      </c>
      <c r="F672" s="44" t="s">
        <v>611</v>
      </c>
      <c r="G672" s="25">
        <f t="shared" si="10"/>
        <v>2.0944958597175045E-2</v>
      </c>
    </row>
    <row r="673" spans="1:7">
      <c r="A673" s="44">
        <v>430.90161328963796</v>
      </c>
      <c r="B673" s="44">
        <v>436.53582248136547</v>
      </c>
      <c r="C673" s="44">
        <v>413.41407840429741</v>
      </c>
      <c r="D673" s="44">
        <v>420.7751567974442</v>
      </c>
      <c r="E673" s="44">
        <v>7948530.7009463515</v>
      </c>
      <c r="F673" s="44" t="s">
        <v>612</v>
      </c>
      <c r="G673" s="25">
        <f t="shared" si="10"/>
        <v>2.4066193853427897E-2</v>
      </c>
    </row>
    <row r="674" spans="1:7">
      <c r="A674" s="44">
        <v>455.84970060046516</v>
      </c>
      <c r="B674" s="44">
        <v>456.43659739127014</v>
      </c>
      <c r="C674" s="44">
        <v>444.78818820427705</v>
      </c>
      <c r="D674" s="44">
        <v>449.55299435335451</v>
      </c>
      <c r="E674" s="44">
        <v>2389309.9978903192</v>
      </c>
      <c r="F674" s="44" t="s">
        <v>613</v>
      </c>
      <c r="G674" s="25">
        <f t="shared" si="10"/>
        <v>1.4006593941539469E-2</v>
      </c>
    </row>
    <row r="675" spans="1:7">
      <c r="A675" s="44">
        <v>459.38102874852882</v>
      </c>
      <c r="B675" s="44">
        <v>467.00073962575914</v>
      </c>
      <c r="C675" s="44">
        <v>457.5606539567101</v>
      </c>
      <c r="D675" s="44">
        <v>459.32134432912494</v>
      </c>
      <c r="E675" s="44">
        <v>1907546.0754599269</v>
      </c>
      <c r="F675" s="44" t="s">
        <v>614</v>
      </c>
      <c r="G675" s="25">
        <f t="shared" si="10"/>
        <v>1.299404439631946E-4</v>
      </c>
    </row>
    <row r="676" spans="1:7">
      <c r="A676" s="44">
        <v>461.91761657319427</v>
      </c>
      <c r="B676" s="44">
        <v>468.72164038523806</v>
      </c>
      <c r="C676" s="44">
        <v>460.81345481422227</v>
      </c>
      <c r="D676" s="44">
        <v>467.04052923869506</v>
      </c>
      <c r="E676" s="44">
        <v>1607789.4525642518</v>
      </c>
      <c r="F676" s="44" t="s">
        <v>615</v>
      </c>
      <c r="G676" s="25">
        <f t="shared" si="10"/>
        <v>-1.0968882451917961E-2</v>
      </c>
    </row>
    <row r="677" spans="1:7">
      <c r="A677" s="44">
        <v>467.19968769043879</v>
      </c>
      <c r="B677" s="44">
        <v>474.19271216392821</v>
      </c>
      <c r="C677" s="44">
        <v>464.97146936602678</v>
      </c>
      <c r="D677" s="44">
        <v>469.81585474097608</v>
      </c>
      <c r="E677" s="44">
        <v>2025217.99168438</v>
      </c>
      <c r="F677" s="44" t="s">
        <v>616</v>
      </c>
      <c r="G677" s="25">
        <f t="shared" si="10"/>
        <v>-5.5684946008892622E-3</v>
      </c>
    </row>
    <row r="678" spans="1:7">
      <c r="A678" s="44">
        <v>464.80236351104907</v>
      </c>
      <c r="B678" s="44">
        <v>478.45020074807258</v>
      </c>
      <c r="C678" s="44">
        <v>464.41441478492379</v>
      </c>
      <c r="D678" s="44">
        <v>478.45020074807258</v>
      </c>
      <c r="E678" s="44">
        <v>2146065.6110804994</v>
      </c>
      <c r="F678" s="44" t="s">
        <v>617</v>
      </c>
      <c r="G678" s="25">
        <f t="shared" si="10"/>
        <v>-2.8525094598528034E-2</v>
      </c>
    </row>
    <row r="679" spans="1:7">
      <c r="A679" s="44">
        <v>482.22026657375176</v>
      </c>
      <c r="B679" s="44">
        <v>487.38296885218853</v>
      </c>
      <c r="C679" s="44">
        <v>475.18745248732642</v>
      </c>
      <c r="D679" s="44">
        <v>476.4806149077441</v>
      </c>
      <c r="E679" s="44">
        <v>1362416.872144297</v>
      </c>
      <c r="F679" s="44" t="s">
        <v>618</v>
      </c>
      <c r="G679" s="25">
        <f t="shared" si="10"/>
        <v>1.2045929018789092E-2</v>
      </c>
    </row>
    <row r="680" spans="1:7">
      <c r="A680" s="44">
        <v>485.97043759296309</v>
      </c>
      <c r="B680" s="44">
        <v>489.46197612809078</v>
      </c>
      <c r="C680" s="44">
        <v>477.75388252169381</v>
      </c>
      <c r="D680" s="44">
        <v>480.31036515282727</v>
      </c>
      <c r="E680" s="44">
        <v>1254303.2293469417</v>
      </c>
      <c r="F680" s="44" t="s">
        <v>619</v>
      </c>
      <c r="G680" s="25">
        <f t="shared" si="10"/>
        <v>1.1784197991094425E-2</v>
      </c>
    </row>
    <row r="681" spans="1:7">
      <c r="A681" s="44">
        <v>480.31036515282727</v>
      </c>
      <c r="B681" s="44">
        <v>481.7204095612442</v>
      </c>
      <c r="C681" s="44">
        <v>473.49639393754944</v>
      </c>
      <c r="D681" s="44">
        <v>477.107301311485</v>
      </c>
      <c r="E681" s="44">
        <v>2014939.9324165373</v>
      </c>
      <c r="F681" s="44" t="s">
        <v>620</v>
      </c>
      <c r="G681" s="25">
        <f t="shared" si="10"/>
        <v>6.7135083293372588E-3</v>
      </c>
    </row>
    <row r="682" spans="1:7">
      <c r="A682" s="44">
        <v>480.02189045904174</v>
      </c>
      <c r="B682" s="44">
        <v>493.24696305862102</v>
      </c>
      <c r="C682" s="44">
        <v>468.13474359443313</v>
      </c>
      <c r="D682" s="44">
        <v>489.25308066017715</v>
      </c>
      <c r="E682" s="44">
        <v>2036913.506308997</v>
      </c>
      <c r="F682" s="44" t="s">
        <v>621</v>
      </c>
      <c r="G682" s="25">
        <f t="shared" si="10"/>
        <v>-1.8867924528301883E-2</v>
      </c>
    </row>
    <row r="683" spans="1:7">
      <c r="A683" s="44">
        <v>490.03892551566173</v>
      </c>
      <c r="B683" s="44">
        <v>496.00736745605104</v>
      </c>
      <c r="C683" s="44">
        <v>489.20334364400725</v>
      </c>
      <c r="D683" s="44">
        <v>494.60478360005959</v>
      </c>
      <c r="E683" s="44">
        <v>1213465.4357595416</v>
      </c>
      <c r="F683" s="44" t="s">
        <v>622</v>
      </c>
      <c r="G683" s="25">
        <f t="shared" si="10"/>
        <v>-9.2313261735249563E-3</v>
      </c>
    </row>
    <row r="684" spans="1:7">
      <c r="A684" s="44">
        <v>493.54041145402346</v>
      </c>
      <c r="B684" s="44">
        <v>496.90760744872642</v>
      </c>
      <c r="C684" s="44">
        <v>490.33734761268124</v>
      </c>
      <c r="D684" s="44">
        <v>492.98335687292041</v>
      </c>
      <c r="E684" s="44">
        <v>1311762.4462456207</v>
      </c>
      <c r="F684" s="44" t="s">
        <v>623</v>
      </c>
      <c r="G684" s="25">
        <f t="shared" si="10"/>
        <v>1.1299663027906082E-3</v>
      </c>
    </row>
    <row r="685" spans="1:7">
      <c r="A685" s="44">
        <v>493.5205166475555</v>
      </c>
      <c r="B685" s="44">
        <v>495.04246934235476</v>
      </c>
      <c r="C685" s="44">
        <v>487.81050824318504</v>
      </c>
      <c r="D685" s="44">
        <v>492.39646008211554</v>
      </c>
      <c r="E685" s="44">
        <v>1188725.3107026545</v>
      </c>
      <c r="F685" s="44" t="s">
        <v>624</v>
      </c>
      <c r="G685" s="25">
        <f t="shared" si="10"/>
        <v>2.2828282828282198E-3</v>
      </c>
    </row>
    <row r="686" spans="1:7">
      <c r="A686" s="44">
        <v>495.9277882301792</v>
      </c>
      <c r="B686" s="44">
        <v>499.51880079764675</v>
      </c>
      <c r="C686" s="44">
        <v>490.47661125795696</v>
      </c>
      <c r="D686" s="44">
        <v>493.21214714730206</v>
      </c>
      <c r="E686" s="44">
        <v>1114296.8410221692</v>
      </c>
      <c r="F686" s="44" t="s">
        <v>625</v>
      </c>
      <c r="G686" s="25">
        <f t="shared" si="10"/>
        <v>5.5060304142633409E-3</v>
      </c>
    </row>
    <row r="687" spans="1:7">
      <c r="A687" s="44">
        <v>495.4005758587781</v>
      </c>
      <c r="B687" s="44">
        <v>497.8078474414018</v>
      </c>
      <c r="C687" s="44">
        <v>490.10855733829959</v>
      </c>
      <c r="D687" s="44">
        <v>494.77388945503725</v>
      </c>
      <c r="E687" s="44">
        <v>922382.43330233952</v>
      </c>
      <c r="F687" s="44" t="s">
        <v>626</v>
      </c>
      <c r="G687" s="25">
        <f t="shared" si="10"/>
        <v>1.2666117131425736E-3</v>
      </c>
    </row>
    <row r="688" spans="1:7">
      <c r="A688" s="44">
        <v>499.80727549143222</v>
      </c>
      <c r="B688" s="44">
        <v>500.54706386994343</v>
      </c>
      <c r="C688" s="44">
        <v>493.227068252153</v>
      </c>
      <c r="D688" s="44">
        <v>498.57379749041843</v>
      </c>
      <c r="E688" s="44">
        <v>1027492.2770883181</v>
      </c>
      <c r="F688" s="44" t="s">
        <v>627</v>
      </c>
      <c r="G688" s="25">
        <f t="shared" si="10"/>
        <v>2.4740128888089963E-3</v>
      </c>
    </row>
    <row r="689" spans="1:7">
      <c r="A689" s="44">
        <v>496.9822129729813</v>
      </c>
      <c r="B689" s="44">
        <v>499.85701250760212</v>
      </c>
      <c r="C689" s="44">
        <v>490.00908330595985</v>
      </c>
      <c r="D689" s="44">
        <v>490.30750540297925</v>
      </c>
      <c r="E689" s="44">
        <v>1567708.6404546183</v>
      </c>
      <c r="F689" s="44" t="s">
        <v>628</v>
      </c>
      <c r="G689" s="25">
        <f t="shared" si="10"/>
        <v>1.3613308987624251E-2</v>
      </c>
    </row>
    <row r="690" spans="1:7">
      <c r="A690" s="44">
        <v>493.18230493760012</v>
      </c>
      <c r="B690" s="44">
        <v>504.32339655966013</v>
      </c>
      <c r="C690" s="44">
        <v>488.09918188503525</v>
      </c>
      <c r="D690" s="44">
        <v>500.43396189517307</v>
      </c>
      <c r="E690" s="44">
        <v>1660889.7429189787</v>
      </c>
      <c r="F690" s="44" t="s">
        <v>629</v>
      </c>
      <c r="G690" s="25">
        <f t="shared" si="10"/>
        <v>-1.4490737059712155E-2</v>
      </c>
    </row>
    <row r="691" spans="1:7">
      <c r="A691" s="44">
        <v>503.5077094944736</v>
      </c>
      <c r="B691" s="44">
        <v>508.30235785325294</v>
      </c>
      <c r="C691" s="44">
        <v>502.11507304171602</v>
      </c>
      <c r="D691" s="44">
        <v>506.53172007760412</v>
      </c>
      <c r="E691" s="44">
        <v>1387811.4393552691</v>
      </c>
      <c r="F691" s="44" t="s">
        <v>630</v>
      </c>
      <c r="G691" s="25">
        <f t="shared" si="10"/>
        <v>-5.9700320103689419E-3</v>
      </c>
    </row>
    <row r="692" spans="1:7">
      <c r="A692" s="44">
        <v>500.37427747576919</v>
      </c>
      <c r="B692" s="44">
        <v>504.73173746241508</v>
      </c>
      <c r="C692" s="44">
        <v>497.70837340906195</v>
      </c>
      <c r="D692" s="44">
        <v>499.40937936207291</v>
      </c>
      <c r="E692" s="44">
        <v>1450961.588718273</v>
      </c>
      <c r="F692" s="44" t="s">
        <v>631</v>
      </c>
      <c r="G692" s="25">
        <f t="shared" si="10"/>
        <v>1.9320784782392852E-3</v>
      </c>
    </row>
    <row r="693" spans="1:7">
      <c r="A693" s="44">
        <v>495.66915574609567</v>
      </c>
      <c r="B693" s="44">
        <v>501.91861182784493</v>
      </c>
      <c r="C693" s="44">
        <v>492.3168808562437</v>
      </c>
      <c r="D693" s="44">
        <v>499.97638134640988</v>
      </c>
      <c r="E693" s="44">
        <v>1351051.0918154402</v>
      </c>
      <c r="F693" s="44" t="s">
        <v>632</v>
      </c>
      <c r="G693" s="25">
        <f t="shared" si="10"/>
        <v>-8.6148581433288518E-3</v>
      </c>
    </row>
    <row r="694" spans="1:7">
      <c r="A694" s="44">
        <v>498.95179881330972</v>
      </c>
      <c r="B694" s="44">
        <v>503.77628938179106</v>
      </c>
      <c r="C694" s="44">
        <v>498.20574357076106</v>
      </c>
      <c r="D694" s="44">
        <v>500.35438266930123</v>
      </c>
      <c r="E694" s="44">
        <v>1196270.9985806306</v>
      </c>
      <c r="F694" s="44" t="s">
        <v>633</v>
      </c>
      <c r="G694" s="25">
        <f t="shared" si="10"/>
        <v>-2.8031809145129261E-3</v>
      </c>
    </row>
    <row r="695" spans="1:7">
      <c r="A695" s="44">
        <v>503.00039192954051</v>
      </c>
      <c r="B695" s="44">
        <v>503.37839325243181</v>
      </c>
      <c r="C695" s="44">
        <v>497.72826821552997</v>
      </c>
      <c r="D695" s="44">
        <v>498.59369229688639</v>
      </c>
      <c r="E695" s="44">
        <v>966615.08273358806</v>
      </c>
      <c r="F695" s="44" t="s">
        <v>634</v>
      </c>
      <c r="G695" s="25">
        <f t="shared" si="10"/>
        <v>8.8382578856014415E-3</v>
      </c>
    </row>
    <row r="696" spans="1:7">
      <c r="A696" s="44">
        <v>500.1454872013876</v>
      </c>
      <c r="B696" s="44">
        <v>504.49250241463784</v>
      </c>
      <c r="C696" s="44">
        <v>498.93190400684176</v>
      </c>
      <c r="D696" s="44">
        <v>500.25490863696137</v>
      </c>
      <c r="E696" s="44">
        <v>1204315.3090521954</v>
      </c>
      <c r="F696" s="44" t="s">
        <v>635</v>
      </c>
      <c r="G696" s="25">
        <f t="shared" si="10"/>
        <v>-2.1873135812289224E-4</v>
      </c>
    </row>
    <row r="697" spans="1:7">
      <c r="A697" s="44">
        <v>498.95179881330972</v>
      </c>
      <c r="B697" s="44">
        <v>501.15514862963681</v>
      </c>
      <c r="C697" s="44">
        <v>496.93247595681134</v>
      </c>
      <c r="D697" s="44">
        <v>499.78738068496426</v>
      </c>
      <c r="E697" s="44">
        <v>1615420.5898786294</v>
      </c>
      <c r="F697" s="44" t="s">
        <v>636</v>
      </c>
      <c r="G697" s="25">
        <f t="shared" si="10"/>
        <v>-1.6718746890115321E-3</v>
      </c>
    </row>
    <row r="698" spans="1:7">
      <c r="A698" s="44">
        <v>502.23444188052383</v>
      </c>
      <c r="B698" s="44">
        <v>509.2274663540133</v>
      </c>
      <c r="C698" s="44">
        <v>501.50828144444318</v>
      </c>
      <c r="D698" s="44">
        <v>508.68035917614429</v>
      </c>
      <c r="E698" s="44">
        <v>1278011.9294420909</v>
      </c>
      <c r="F698" s="44" t="s">
        <v>637</v>
      </c>
      <c r="G698" s="25">
        <f t="shared" si="10"/>
        <v>-1.2671842305962522E-2</v>
      </c>
    </row>
    <row r="699" spans="1:7">
      <c r="A699" s="44">
        <v>506.06419212560695</v>
      </c>
      <c r="B699" s="44">
        <v>506.73066814228378</v>
      </c>
      <c r="C699" s="44">
        <v>500.66275216955466</v>
      </c>
      <c r="D699" s="44">
        <v>502.56270618724528</v>
      </c>
      <c r="E699" s="44">
        <v>1187365.1567326437</v>
      </c>
      <c r="F699" s="44" t="s">
        <v>638</v>
      </c>
      <c r="G699" s="25">
        <f t="shared" si="10"/>
        <v>6.9672617869442899E-3</v>
      </c>
    </row>
    <row r="700" spans="1:7">
      <c r="A700" s="44">
        <v>505.05950439897481</v>
      </c>
      <c r="B700" s="44">
        <v>512.79858411501289</v>
      </c>
      <c r="C700" s="44">
        <v>504.63276080023695</v>
      </c>
      <c r="D700" s="44">
        <v>512.79858411501289</v>
      </c>
      <c r="E700" s="44">
        <v>1306989.3412569943</v>
      </c>
      <c r="F700" s="44" t="s">
        <v>639</v>
      </c>
      <c r="G700" s="25">
        <f t="shared" si="10"/>
        <v>-1.5091850788539474E-2</v>
      </c>
    </row>
    <row r="701" spans="1:7">
      <c r="A701" s="44">
        <v>512.81847892148085</v>
      </c>
      <c r="B701" s="44">
        <v>531.38033335609157</v>
      </c>
      <c r="C701" s="44">
        <v>506.62622040832696</v>
      </c>
      <c r="D701" s="44">
        <v>512.92790035705457</v>
      </c>
      <c r="E701" s="44">
        <v>5207128.8135832939</v>
      </c>
      <c r="F701" s="44" t="s">
        <v>640</v>
      </c>
      <c r="G701" s="25">
        <f t="shared" si="10"/>
        <v>-2.1332712745314453E-4</v>
      </c>
    </row>
    <row r="702" spans="1:7">
      <c r="A702" s="44">
        <v>512.92790035705457</v>
      </c>
      <c r="B702" s="44">
        <v>515.49433039142207</v>
      </c>
      <c r="C702" s="44">
        <v>503.87078971251395</v>
      </c>
      <c r="D702" s="44">
        <v>512.42058279212154</v>
      </c>
      <c r="E702" s="44">
        <v>1606727.868977902</v>
      </c>
      <c r="F702" s="44" t="s">
        <v>641</v>
      </c>
      <c r="G702" s="25">
        <f t="shared" si="10"/>
        <v>9.9004134878555305E-4</v>
      </c>
    </row>
    <row r="703" spans="1:7">
      <c r="A703" s="44">
        <v>507.8646721109576</v>
      </c>
      <c r="B703" s="44">
        <v>523.19305974836413</v>
      </c>
      <c r="C703" s="44">
        <v>495.05125339201021</v>
      </c>
      <c r="D703" s="44">
        <v>496.22424284805038</v>
      </c>
      <c r="E703" s="44">
        <v>2373218.6215871959</v>
      </c>
      <c r="F703" s="44" t="s">
        <v>642</v>
      </c>
      <c r="G703" s="25">
        <f t="shared" si="10"/>
        <v>2.3458001963180264E-2</v>
      </c>
    </row>
    <row r="704" spans="1:7">
      <c r="A704" s="44">
        <v>507.95413740845225</v>
      </c>
      <c r="B704" s="44">
        <v>511.94031344126677</v>
      </c>
      <c r="C704" s="44">
        <v>506.33740007683889</v>
      </c>
      <c r="D704" s="44">
        <v>511.94031344126677</v>
      </c>
      <c r="E704" s="44">
        <v>1577373.3945112417</v>
      </c>
      <c r="F704" s="44" t="s">
        <v>643</v>
      </c>
      <c r="G704" s="25">
        <f t="shared" si="10"/>
        <v>-7.7864077669902443E-3</v>
      </c>
    </row>
    <row r="705" spans="1:7">
      <c r="A705" s="44">
        <v>511.88066990960374</v>
      </c>
      <c r="B705" s="44">
        <v>514.54474765722034</v>
      </c>
      <c r="C705" s="44">
        <v>509.79672491329637</v>
      </c>
      <c r="D705" s="44">
        <v>512.34787757429763</v>
      </c>
      <c r="E705" s="44">
        <v>1565382.1528785308</v>
      </c>
      <c r="F705" s="44" t="s">
        <v>644</v>
      </c>
      <c r="G705" s="25">
        <f t="shared" si="10"/>
        <v>-9.1189538425706651E-4</v>
      </c>
    </row>
    <row r="706" spans="1:7">
      <c r="A706" s="44">
        <v>515.19088591690354</v>
      </c>
      <c r="B706" s="44">
        <v>529.49539292742747</v>
      </c>
      <c r="C706" s="44">
        <v>509.73350276973349</v>
      </c>
      <c r="D706" s="44">
        <v>526.85119635703177</v>
      </c>
      <c r="E706" s="44">
        <v>1845861.5197695571</v>
      </c>
      <c r="F706" s="44" t="s">
        <v>645</v>
      </c>
      <c r="G706" s="25">
        <f t="shared" si="10"/>
        <v>-2.2132075471698043E-2</v>
      </c>
    </row>
    <row r="707" spans="1:7">
      <c r="A707" s="44">
        <v>528.50133406637644</v>
      </c>
      <c r="B707" s="44">
        <v>535.52933021400702</v>
      </c>
      <c r="C707" s="44">
        <v>527.52218608824114</v>
      </c>
      <c r="D707" s="44">
        <v>532.06006478893903</v>
      </c>
      <c r="E707" s="44">
        <v>1085665.0871347419</v>
      </c>
      <c r="F707" s="44" t="s">
        <v>646</v>
      </c>
      <c r="G707" s="25">
        <f t="shared" si="10"/>
        <v>-6.6885882968388266E-3</v>
      </c>
    </row>
    <row r="708" spans="1:7">
      <c r="A708" s="44">
        <v>533.51139072607361</v>
      </c>
      <c r="B708" s="44">
        <v>542.19946517165931</v>
      </c>
      <c r="C708" s="44">
        <v>532.81554952333784</v>
      </c>
      <c r="D708" s="44">
        <v>537.70631911970872</v>
      </c>
      <c r="E708" s="44">
        <v>1225210.1437054744</v>
      </c>
      <c r="F708" s="44" t="s">
        <v>647</v>
      </c>
      <c r="G708" s="25">
        <f t="shared" si="10"/>
        <v>-7.8015233306216736E-3</v>
      </c>
    </row>
    <row r="709" spans="1:7">
      <c r="A709" s="44">
        <v>538.78984327825435</v>
      </c>
      <c r="B709" s="44">
        <v>556.36480394163618</v>
      </c>
      <c r="C709" s="44">
        <v>538.47671473702337</v>
      </c>
      <c r="D709" s="44">
        <v>555.9572398086051</v>
      </c>
      <c r="E709" s="44">
        <v>1413456.5417126834</v>
      </c>
      <c r="F709" s="44" t="s">
        <v>648</v>
      </c>
      <c r="G709" s="25">
        <f t="shared" si="10"/>
        <v>-3.0878987269346125E-2</v>
      </c>
    </row>
    <row r="710" spans="1:7">
      <c r="A710" s="44">
        <v>553.90947855484012</v>
      </c>
      <c r="B710" s="44">
        <v>562.49814711432077</v>
      </c>
      <c r="C710" s="44">
        <v>553.51185501041971</v>
      </c>
      <c r="D710" s="44">
        <v>560.10246525918785</v>
      </c>
      <c r="E710" s="44">
        <v>1021603.4882746191</v>
      </c>
      <c r="F710" s="44" t="s">
        <v>649</v>
      </c>
      <c r="G710" s="25">
        <f t="shared" ref="G710:G773" si="11">A710/D710-1</f>
        <v>-1.1056881710888256E-2</v>
      </c>
    </row>
    <row r="711" spans="1:7">
      <c r="A711" s="44">
        <v>553.79019149151395</v>
      </c>
      <c r="B711" s="44">
        <v>560.34103938584019</v>
      </c>
      <c r="C711" s="44">
        <v>553.64108266235633</v>
      </c>
      <c r="D711" s="44">
        <v>557.07058573298229</v>
      </c>
      <c r="E711" s="44">
        <v>1199247.8983986787</v>
      </c>
      <c r="F711" s="44" t="s">
        <v>650</v>
      </c>
      <c r="G711" s="25">
        <f t="shared" si="11"/>
        <v>-5.8886509635974749E-3</v>
      </c>
    </row>
    <row r="712" spans="1:7">
      <c r="A712" s="44">
        <v>555.67890332751085</v>
      </c>
      <c r="B712" s="44">
        <v>559.59549524005195</v>
      </c>
      <c r="C712" s="44">
        <v>551.44421257943361</v>
      </c>
      <c r="D712" s="44">
        <v>554.45621092841816</v>
      </c>
      <c r="E712" s="44">
        <v>778114.88867188268</v>
      </c>
      <c r="F712" s="44" t="s">
        <v>651</v>
      </c>
      <c r="G712" s="25">
        <f t="shared" si="11"/>
        <v>2.2052100328091573E-3</v>
      </c>
    </row>
    <row r="713" spans="1:7">
      <c r="A713" s="44">
        <v>552.1102320163377</v>
      </c>
      <c r="B713" s="44">
        <v>554.15302297579763</v>
      </c>
      <c r="C713" s="44">
        <v>541.7193347417716</v>
      </c>
      <c r="D713" s="44">
        <v>542.99471226050014</v>
      </c>
      <c r="E713" s="44">
        <v>1299155.4631227604</v>
      </c>
      <c r="F713" s="44" t="s">
        <v>652</v>
      </c>
      <c r="G713" s="25">
        <f t="shared" si="11"/>
        <v>1.6787492677211135E-2</v>
      </c>
    </row>
    <row r="714" spans="1:7">
      <c r="A714" s="44">
        <v>541.95095045639664</v>
      </c>
      <c r="B714" s="44">
        <v>543.38239521630999</v>
      </c>
      <c r="C714" s="44">
        <v>537.31863616389887</v>
      </c>
      <c r="D714" s="44">
        <v>541.08611924728223</v>
      </c>
      <c r="E714" s="44">
        <v>646534.14921576215</v>
      </c>
      <c r="F714" s="44" t="s">
        <v>653</v>
      </c>
      <c r="G714" s="25">
        <f t="shared" si="11"/>
        <v>1.5983245149913117E-3</v>
      </c>
    </row>
    <row r="715" spans="1:7">
      <c r="A715" s="44">
        <v>538.37233855661293</v>
      </c>
      <c r="B715" s="44">
        <v>540.81772335479832</v>
      </c>
      <c r="C715" s="44">
        <v>532.77578716889582</v>
      </c>
      <c r="D715" s="44">
        <v>535.58897374567005</v>
      </c>
      <c r="E715" s="44">
        <v>754413.07289098483</v>
      </c>
      <c r="F715" s="44" t="s">
        <v>654</v>
      </c>
      <c r="G715" s="25">
        <f t="shared" si="11"/>
        <v>5.1968299337405988E-3</v>
      </c>
    </row>
    <row r="716" spans="1:7">
      <c r="A716" s="44">
        <v>534.81360783405034</v>
      </c>
      <c r="B716" s="44">
        <v>546.35463121085252</v>
      </c>
      <c r="C716" s="44">
        <v>534.72414253655575</v>
      </c>
      <c r="D716" s="44">
        <v>541.96089104500709</v>
      </c>
      <c r="E716" s="44">
        <v>1334133.271140324</v>
      </c>
      <c r="F716" s="44" t="s">
        <v>655</v>
      </c>
      <c r="G716" s="25">
        <f t="shared" si="11"/>
        <v>-1.3187820983125542E-2</v>
      </c>
    </row>
    <row r="717" spans="1:7">
      <c r="A717" s="44">
        <v>542.00065339944911</v>
      </c>
      <c r="B717" s="44">
        <v>544.39136496027675</v>
      </c>
      <c r="C717" s="44">
        <v>534.98259784042898</v>
      </c>
      <c r="D717" s="44">
        <v>538.09400207551857</v>
      </c>
      <c r="E717" s="44">
        <v>1779742.6986662382</v>
      </c>
      <c r="F717" s="44" t="s">
        <v>656</v>
      </c>
      <c r="G717" s="25">
        <f t="shared" si="11"/>
        <v>7.2601651549022428E-3</v>
      </c>
    </row>
    <row r="718" spans="1:7">
      <c r="A718" s="44">
        <v>523.91872271693126</v>
      </c>
      <c r="B718" s="44">
        <v>530.13159059850011</v>
      </c>
      <c r="C718" s="44">
        <v>523.22288151419571</v>
      </c>
      <c r="D718" s="44">
        <v>527.8452552180828</v>
      </c>
      <c r="E718" s="44">
        <v>966410.57953479653</v>
      </c>
      <c r="F718" s="44" t="s">
        <v>657</v>
      </c>
      <c r="G718" s="25">
        <f t="shared" si="11"/>
        <v>-7.4387947269304311E-3</v>
      </c>
    </row>
    <row r="719" spans="1:7">
      <c r="A719" s="44">
        <v>529.09776938300706</v>
      </c>
      <c r="B719" s="44">
        <v>533.37222248552632</v>
      </c>
      <c r="C719" s="44">
        <v>527.19911695839971</v>
      </c>
      <c r="D719" s="44">
        <v>533.37222248552632</v>
      </c>
      <c r="E719" s="44">
        <v>909225.83703383582</v>
      </c>
      <c r="F719" s="44" t="s">
        <v>658</v>
      </c>
      <c r="G719" s="25">
        <f t="shared" si="11"/>
        <v>-8.0140152079914984E-3</v>
      </c>
    </row>
    <row r="720" spans="1:7">
      <c r="A720" s="44">
        <v>529.21705644633323</v>
      </c>
      <c r="B720" s="44">
        <v>532.69129216570639</v>
      </c>
      <c r="C720" s="44">
        <v>525.00224687547689</v>
      </c>
      <c r="D720" s="44">
        <v>529.97254118073192</v>
      </c>
      <c r="E720" s="44">
        <v>1100235.6528904622</v>
      </c>
      <c r="F720" s="44" t="s">
        <v>659</v>
      </c>
      <c r="G720" s="25">
        <f t="shared" si="11"/>
        <v>-1.4255167498217203E-3</v>
      </c>
    </row>
    <row r="721" spans="1:7">
      <c r="A721" s="44">
        <v>532.77578716889582</v>
      </c>
      <c r="B721" s="44">
        <v>535.04224137209212</v>
      </c>
      <c r="C721" s="44">
        <v>526.7120281164847</v>
      </c>
      <c r="D721" s="44">
        <v>527.69614638892517</v>
      </c>
      <c r="E721" s="44">
        <v>1264505.6034921317</v>
      </c>
      <c r="F721" s="44" t="s">
        <v>660</v>
      </c>
      <c r="G721" s="25">
        <f t="shared" si="11"/>
        <v>9.626071394932767E-3</v>
      </c>
    </row>
    <row r="722" spans="1:7">
      <c r="A722" s="44">
        <v>525.72790984404412</v>
      </c>
      <c r="B722" s="44">
        <v>527.98442345862998</v>
      </c>
      <c r="C722" s="44">
        <v>523.620505058616</v>
      </c>
      <c r="D722" s="44">
        <v>526.94066165452637</v>
      </c>
      <c r="E722" s="44">
        <v>986611.5965839969</v>
      </c>
      <c r="F722" s="44" t="s">
        <v>661</v>
      </c>
      <c r="G722" s="25">
        <f t="shared" si="11"/>
        <v>-2.3014959723820505E-3</v>
      </c>
    </row>
    <row r="723" spans="1:7">
      <c r="A723" s="44">
        <v>531.25487711148764</v>
      </c>
      <c r="B723" s="44">
        <v>535.76999186426747</v>
      </c>
      <c r="C723" s="44">
        <v>528.97848231968089</v>
      </c>
      <c r="D723" s="44">
        <v>532.63661892834864</v>
      </c>
      <c r="E723" s="44">
        <v>900073.46149907028</v>
      </c>
      <c r="F723" s="44" t="s">
        <v>662</v>
      </c>
      <c r="G723" s="25">
        <f t="shared" si="11"/>
        <v>-2.5941547534621412E-3</v>
      </c>
    </row>
    <row r="724" spans="1:7">
      <c r="A724" s="44">
        <v>537.12976498029923</v>
      </c>
      <c r="B724" s="44">
        <v>539.07812034795904</v>
      </c>
      <c r="C724" s="44">
        <v>535.14741279959128</v>
      </c>
      <c r="D724" s="44">
        <v>537.53732911333009</v>
      </c>
      <c r="E724" s="44">
        <v>1074800.5393467154</v>
      </c>
      <c r="F724" s="44" t="s">
        <v>663</v>
      </c>
      <c r="G724" s="25">
        <f t="shared" si="11"/>
        <v>-7.5820619509925358E-4</v>
      </c>
    </row>
    <row r="725" spans="1:7">
      <c r="A725" s="44">
        <v>540.54932746231464</v>
      </c>
      <c r="B725" s="44">
        <v>544.03847406460363</v>
      </c>
      <c r="C725" s="44">
        <v>537.67649735387715</v>
      </c>
      <c r="D725" s="44">
        <v>539.77396155069482</v>
      </c>
      <c r="E725" s="44">
        <v>930633.02008283651</v>
      </c>
      <c r="F725" s="44" t="s">
        <v>664</v>
      </c>
      <c r="G725" s="25">
        <f t="shared" si="11"/>
        <v>1.4364640883979263E-3</v>
      </c>
    </row>
    <row r="726" spans="1:7">
      <c r="A726" s="44">
        <v>544.02853347599307</v>
      </c>
      <c r="B726" s="44">
        <v>553.46215206736713</v>
      </c>
      <c r="C726" s="44">
        <v>542.34867340670303</v>
      </c>
      <c r="D726" s="44">
        <v>547.10017535664076</v>
      </c>
      <c r="E726" s="44">
        <v>1175383.1144009605</v>
      </c>
      <c r="F726" s="44" t="s">
        <v>665</v>
      </c>
      <c r="G726" s="25">
        <f t="shared" si="11"/>
        <v>-5.6144048549159331E-3</v>
      </c>
    </row>
    <row r="727" spans="1:7">
      <c r="A727" s="44">
        <v>544.32675113430844</v>
      </c>
      <c r="B727" s="44">
        <v>553.08440970016773</v>
      </c>
      <c r="C727" s="44">
        <v>544.11799877348767</v>
      </c>
      <c r="D727" s="44">
        <v>551.47403434526518</v>
      </c>
      <c r="E727" s="44">
        <v>952731.3090883533</v>
      </c>
      <c r="F727" s="44" t="s">
        <v>666</v>
      </c>
      <c r="G727" s="25">
        <f t="shared" si="11"/>
        <v>-1.2960325900823855E-2</v>
      </c>
    </row>
    <row r="728" spans="1:7">
      <c r="A728" s="44">
        <v>552.47803379492666</v>
      </c>
      <c r="B728" s="44">
        <v>553.59137971930375</v>
      </c>
      <c r="C728" s="44">
        <v>542.37223260170992</v>
      </c>
      <c r="D728" s="44">
        <v>549.88354016758353</v>
      </c>
      <c r="E728" s="44">
        <v>1008104.287647996</v>
      </c>
      <c r="F728" s="44" t="s">
        <v>667</v>
      </c>
      <c r="G728" s="25">
        <f t="shared" si="11"/>
        <v>4.7182602093389647E-3</v>
      </c>
    </row>
    <row r="729" spans="1:7">
      <c r="A729" s="44">
        <v>548.5117389393331</v>
      </c>
      <c r="B729" s="44">
        <v>551.20563845278139</v>
      </c>
      <c r="C729" s="44">
        <v>543.61102875435176</v>
      </c>
      <c r="D729" s="44">
        <v>546.73237357805181</v>
      </c>
      <c r="E729" s="44">
        <v>741742.7970215223</v>
      </c>
      <c r="F729" s="44" t="s">
        <v>668</v>
      </c>
      <c r="G729" s="25">
        <f t="shared" si="11"/>
        <v>3.2545454545453989E-3</v>
      </c>
    </row>
    <row r="730" spans="1:7">
      <c r="A730" s="44">
        <v>545.3804535270225</v>
      </c>
      <c r="B730" s="44">
        <v>551.6927272946964</v>
      </c>
      <c r="C730" s="44">
        <v>543.52156345685705</v>
      </c>
      <c r="D730" s="44">
        <v>544.25716701403485</v>
      </c>
      <c r="E730" s="44">
        <v>1108865.9265454141</v>
      </c>
      <c r="F730" s="44" t="s">
        <v>669</v>
      </c>
      <c r="G730" s="25">
        <f t="shared" si="11"/>
        <v>2.0638892440321133E-3</v>
      </c>
    </row>
    <row r="731" spans="1:7">
      <c r="A731" s="44">
        <v>545.12199822314926</v>
      </c>
      <c r="B731" s="44">
        <v>549.42766477390558</v>
      </c>
      <c r="C731" s="44">
        <v>542.07023751972258</v>
      </c>
      <c r="D731" s="44">
        <v>547.02065064775661</v>
      </c>
      <c r="E731" s="44">
        <v>1109753.1979481031</v>
      </c>
      <c r="F731" s="44" t="s">
        <v>670</v>
      </c>
      <c r="G731" s="25">
        <f t="shared" si="11"/>
        <v>-3.4708971633137242E-3</v>
      </c>
    </row>
    <row r="732" spans="1:7">
      <c r="A732" s="44">
        <v>550.47003489560359</v>
      </c>
      <c r="B732" s="44">
        <v>552.58738026964227</v>
      </c>
      <c r="C732" s="44">
        <v>539.38627859488497</v>
      </c>
      <c r="D732" s="44">
        <v>540.66861452564069</v>
      </c>
      <c r="E732" s="44">
        <v>1407136.9964159811</v>
      </c>
      <c r="F732" s="44" t="s">
        <v>671</v>
      </c>
      <c r="G732" s="25">
        <f t="shared" si="11"/>
        <v>1.8128332414046655E-2</v>
      </c>
    </row>
    <row r="733" spans="1:7">
      <c r="A733" s="44">
        <v>542.59708871607972</v>
      </c>
      <c r="B733" s="44">
        <v>547.42821478078758</v>
      </c>
      <c r="C733" s="44">
        <v>539.43598153793744</v>
      </c>
      <c r="D733" s="44">
        <v>543.28298933020483</v>
      </c>
      <c r="E733" s="44">
        <v>1526560.5080926293</v>
      </c>
      <c r="F733" s="44" t="s">
        <v>672</v>
      </c>
      <c r="G733" s="25">
        <f t="shared" si="11"/>
        <v>-1.2625107496384569E-3</v>
      </c>
    </row>
    <row r="734" spans="1:7">
      <c r="A734" s="44">
        <v>545.40033470424351</v>
      </c>
      <c r="B734" s="44">
        <v>554.37171592522873</v>
      </c>
      <c r="C734" s="44">
        <v>543.17364285548922</v>
      </c>
      <c r="D734" s="44">
        <v>554.10829032705021</v>
      </c>
      <c r="E734" s="44">
        <v>2157738.4237913331</v>
      </c>
      <c r="F734" s="44" t="s">
        <v>673</v>
      </c>
      <c r="G734" s="25">
        <f t="shared" si="11"/>
        <v>-1.5715259588819808E-2</v>
      </c>
    </row>
    <row r="735" spans="1:7">
      <c r="A735" s="44">
        <v>558.51197108150632</v>
      </c>
      <c r="B735" s="44">
        <v>562.32915710794214</v>
      </c>
      <c r="C735" s="44">
        <v>550.47500518990887</v>
      </c>
      <c r="D735" s="44">
        <v>559.0686440436948</v>
      </c>
      <c r="E735" s="44">
        <v>1652704.9497481482</v>
      </c>
      <c r="F735" s="44" t="s">
        <v>674</v>
      </c>
      <c r="G735" s="25">
        <f t="shared" si="11"/>
        <v>-9.9571486993466074E-4</v>
      </c>
    </row>
    <row r="736" spans="1:7">
      <c r="A736" s="44">
        <v>556.69284336578289</v>
      </c>
      <c r="B736" s="44">
        <v>573.96958637084936</v>
      </c>
      <c r="C736" s="44">
        <v>556.05167540040497</v>
      </c>
      <c r="D736" s="44">
        <v>571.9814686487473</v>
      </c>
      <c r="E736" s="44">
        <v>2274380.4100389173</v>
      </c>
      <c r="F736" s="44" t="s">
        <v>675</v>
      </c>
      <c r="G736" s="25">
        <f t="shared" si="11"/>
        <v>-2.672923183872089E-2</v>
      </c>
    </row>
    <row r="737" spans="1:7">
      <c r="A737" s="44">
        <v>570.99735037630683</v>
      </c>
      <c r="B737" s="44">
        <v>571.583845104327</v>
      </c>
      <c r="C737" s="44">
        <v>551.66290552886483</v>
      </c>
      <c r="D737" s="44">
        <v>551.66290552886483</v>
      </c>
      <c r="E737" s="44">
        <v>3580617.9487568354</v>
      </c>
      <c r="F737" s="44" t="s">
        <v>676</v>
      </c>
      <c r="G737" s="25">
        <f t="shared" si="11"/>
        <v>3.504757099610778E-2</v>
      </c>
    </row>
    <row r="738" spans="1:7">
      <c r="A738" s="44">
        <v>567.51814436262828</v>
      </c>
      <c r="B738" s="44">
        <v>576.64360470707663</v>
      </c>
      <c r="C738" s="44">
        <v>551.00682668057118</v>
      </c>
      <c r="D738" s="44">
        <v>552.17484584230613</v>
      </c>
      <c r="E738" s="44">
        <v>3092258.5376383304</v>
      </c>
      <c r="F738" s="44" t="s">
        <v>677</v>
      </c>
      <c r="G738" s="25">
        <f t="shared" si="11"/>
        <v>2.7787029119222151E-2</v>
      </c>
    </row>
    <row r="739" spans="1:7">
      <c r="A739" s="44">
        <v>568.12452026786946</v>
      </c>
      <c r="B739" s="44">
        <v>569.15834148336239</v>
      </c>
      <c r="C739" s="44">
        <v>555.79322009653174</v>
      </c>
      <c r="D739" s="44">
        <v>556.67296218856188</v>
      </c>
      <c r="E739" s="44">
        <v>3215908.1572091915</v>
      </c>
      <c r="F739" s="44" t="s">
        <v>678</v>
      </c>
      <c r="G739" s="25">
        <f t="shared" si="11"/>
        <v>2.0571428571428685E-2</v>
      </c>
    </row>
    <row r="740" spans="1:7">
      <c r="A740" s="44">
        <v>558.8499510942637</v>
      </c>
      <c r="B740" s="44">
        <v>561.36492001272268</v>
      </c>
      <c r="C740" s="44">
        <v>527.73590874336719</v>
      </c>
      <c r="D740" s="44">
        <v>535.45974609373343</v>
      </c>
      <c r="E740" s="44">
        <v>2772234.2287521814</v>
      </c>
      <c r="F740" s="44" t="s">
        <v>679</v>
      </c>
      <c r="G740" s="25">
        <f t="shared" si="11"/>
        <v>4.3682471317714633E-2</v>
      </c>
    </row>
    <row r="741" spans="1:7">
      <c r="A741" s="44">
        <v>535.07206313792358</v>
      </c>
      <c r="B741" s="44">
        <v>538.37233855661293</v>
      </c>
      <c r="C741" s="44">
        <v>527.30846343311532</v>
      </c>
      <c r="D741" s="44">
        <v>534.13764780853569</v>
      </c>
      <c r="E741" s="44">
        <v>1154356.1905245406</v>
      </c>
      <c r="F741" s="44" t="s">
        <v>680</v>
      </c>
      <c r="G741" s="25">
        <f t="shared" si="11"/>
        <v>1.7493905049037473E-3</v>
      </c>
    </row>
    <row r="742" spans="1:7">
      <c r="A742" s="44">
        <v>532.36822303586484</v>
      </c>
      <c r="B742" s="44">
        <v>536.21523082813223</v>
      </c>
      <c r="C742" s="44">
        <v>523.81931683082632</v>
      </c>
      <c r="D742" s="44">
        <v>523.85907918526823</v>
      </c>
      <c r="E742" s="44">
        <v>1725764.0037393924</v>
      </c>
      <c r="F742" s="44" t="s">
        <v>681</v>
      </c>
      <c r="G742" s="25">
        <f t="shared" si="11"/>
        <v>1.6243192470445367E-2</v>
      </c>
    </row>
    <row r="743" spans="1:7">
      <c r="A743" s="44">
        <v>520.56874435518944</v>
      </c>
      <c r="B743" s="44">
        <v>522.66620855200699</v>
      </c>
      <c r="C743" s="44">
        <v>516.63227126542756</v>
      </c>
      <c r="D743" s="44">
        <v>522.40775324813376</v>
      </c>
      <c r="E743" s="44">
        <v>1469935.0886074223</v>
      </c>
      <c r="F743" s="44" t="s">
        <v>682</v>
      </c>
      <c r="G743" s="25">
        <f t="shared" si="11"/>
        <v>-3.5202557418224645E-3</v>
      </c>
    </row>
    <row r="744" spans="1:7">
      <c r="A744" s="44">
        <v>522.13935735565008</v>
      </c>
      <c r="B744" s="44">
        <v>523.99824742581541</v>
      </c>
      <c r="C744" s="44">
        <v>516.17500418934401</v>
      </c>
      <c r="D744" s="44">
        <v>523.19305974836413</v>
      </c>
      <c r="E744" s="44">
        <v>1298524.7157650667</v>
      </c>
      <c r="F744" s="44" t="s">
        <v>683</v>
      </c>
      <c r="G744" s="25">
        <f t="shared" si="11"/>
        <v>-2.0139838881289007E-3</v>
      </c>
    </row>
    <row r="745" spans="1:7">
      <c r="A745" s="44">
        <v>526.21499868595913</v>
      </c>
      <c r="B745" s="44">
        <v>528.76475966455496</v>
      </c>
      <c r="C745" s="44">
        <v>522.18906029870254</v>
      </c>
      <c r="D745" s="44">
        <v>526.52315693288494</v>
      </c>
      <c r="E745" s="44">
        <v>958729.94783464994</v>
      </c>
      <c r="F745" s="44" t="s">
        <v>684</v>
      </c>
      <c r="G745" s="25">
        <f t="shared" si="11"/>
        <v>-5.8527007381958818E-4</v>
      </c>
    </row>
    <row r="746" spans="1:7">
      <c r="A746" s="44">
        <v>523.52109917251096</v>
      </c>
      <c r="B746" s="44">
        <v>533.26287601081083</v>
      </c>
      <c r="C746" s="44">
        <v>520.91169466225199</v>
      </c>
      <c r="D746" s="44">
        <v>531.82149066228681</v>
      </c>
      <c r="E746" s="44">
        <v>1372511.2802248811</v>
      </c>
      <c r="F746" s="44" t="s">
        <v>685</v>
      </c>
      <c r="G746" s="25">
        <f t="shared" si="11"/>
        <v>-1.5607476635513984E-2</v>
      </c>
    </row>
    <row r="747" spans="1:7">
      <c r="A747" s="44">
        <v>522.79543620394361</v>
      </c>
      <c r="B747" s="44">
        <v>526.38398869233777</v>
      </c>
      <c r="C747" s="44">
        <v>520.87690260211525</v>
      </c>
      <c r="D747" s="44">
        <v>522.58668384312307</v>
      </c>
      <c r="E747" s="44">
        <v>1688466.4135737556</v>
      </c>
      <c r="F747" s="44" t="s">
        <v>686</v>
      </c>
      <c r="G747" s="25">
        <f t="shared" si="11"/>
        <v>3.9945977820443623E-4</v>
      </c>
    </row>
    <row r="748" spans="1:7">
      <c r="A748" s="44">
        <v>516.17500418934401</v>
      </c>
      <c r="B748" s="44">
        <v>517.03983539845842</v>
      </c>
      <c r="C748" s="44">
        <v>512.20870933375045</v>
      </c>
      <c r="D748" s="44">
        <v>513.23258996063305</v>
      </c>
      <c r="E748" s="44">
        <v>1318766.9778567955</v>
      </c>
      <c r="F748" s="44" t="s">
        <v>687</v>
      </c>
      <c r="G748" s="25">
        <f t="shared" si="11"/>
        <v>5.7331009103234187E-3</v>
      </c>
    </row>
    <row r="749" spans="1:7">
      <c r="A749" s="44">
        <v>513.77932233421109</v>
      </c>
      <c r="B749" s="44">
        <v>515.83702417658662</v>
      </c>
      <c r="C749" s="44">
        <v>508.1529491806624</v>
      </c>
      <c r="D749" s="44">
        <v>509.44522570002874</v>
      </c>
      <c r="E749" s="44">
        <v>1032740.6557339935</v>
      </c>
      <c r="F749" s="44" t="s">
        <v>688</v>
      </c>
      <c r="G749" s="25">
        <f t="shared" si="11"/>
        <v>8.5074830728404383E-3</v>
      </c>
    </row>
    <row r="750" spans="1:7">
      <c r="A750" s="44">
        <v>510.677858687732</v>
      </c>
      <c r="B750" s="44">
        <v>516.37381596155421</v>
      </c>
      <c r="C750" s="44">
        <v>510.26035396609052</v>
      </c>
      <c r="D750" s="44">
        <v>511.94031344126677</v>
      </c>
      <c r="E750" s="44">
        <v>1026779.2381236374</v>
      </c>
      <c r="F750" s="44" t="s">
        <v>689</v>
      </c>
      <c r="G750" s="25">
        <f t="shared" si="11"/>
        <v>-2.4660194174757066E-3</v>
      </c>
    </row>
    <row r="751" spans="1:7">
      <c r="A751" s="44">
        <v>514.24652999890509</v>
      </c>
      <c r="B751" s="44">
        <v>515.98613300574436</v>
      </c>
      <c r="C751" s="44">
        <v>505.99584145218171</v>
      </c>
      <c r="D751" s="44">
        <v>511.731561080446</v>
      </c>
      <c r="E751" s="44">
        <v>1515437.4243063133</v>
      </c>
      <c r="F751" s="44" t="s">
        <v>690</v>
      </c>
      <c r="G751" s="25">
        <f t="shared" si="11"/>
        <v>4.9146253812235585E-3</v>
      </c>
    </row>
    <row r="752" spans="1:7">
      <c r="A752" s="44">
        <v>517.50704306315242</v>
      </c>
      <c r="B752" s="44">
        <v>520.44945729186327</v>
      </c>
      <c r="C752" s="44">
        <v>515.06165826496692</v>
      </c>
      <c r="D752" s="44">
        <v>517.13924128456347</v>
      </c>
      <c r="E752" s="44">
        <v>1441395.5311309115</v>
      </c>
      <c r="F752" s="44" t="s">
        <v>691</v>
      </c>
      <c r="G752" s="25">
        <f t="shared" si="11"/>
        <v>7.1122388174482687E-4</v>
      </c>
    </row>
    <row r="753" spans="1:7">
      <c r="A753" s="44">
        <v>516.02589536018638</v>
      </c>
      <c r="B753" s="44">
        <v>518.16312191144607</v>
      </c>
      <c r="C753" s="44">
        <v>512.29817463124516</v>
      </c>
      <c r="D753" s="44">
        <v>516.25452889822816</v>
      </c>
      <c r="E753" s="44">
        <v>619846.59474645101</v>
      </c>
      <c r="F753" s="44" t="s">
        <v>692</v>
      </c>
      <c r="G753" s="25">
        <f t="shared" si="11"/>
        <v>-4.4286979627994327E-4</v>
      </c>
    </row>
    <row r="754" spans="1:7">
      <c r="A754" s="44">
        <v>518.65021075336097</v>
      </c>
      <c r="B754" s="44">
        <v>520.49916023491585</v>
      </c>
      <c r="C754" s="44">
        <v>512.87472877065477</v>
      </c>
      <c r="D754" s="44">
        <v>513.41152055562225</v>
      </c>
      <c r="E754" s="44">
        <v>1323346.1835541194</v>
      </c>
      <c r="F754" s="44" t="s">
        <v>693</v>
      </c>
      <c r="G754" s="25">
        <f t="shared" si="11"/>
        <v>1.0203686493184483E-2</v>
      </c>
    </row>
    <row r="755" spans="1:7">
      <c r="A755" s="44">
        <v>511.33393753602564</v>
      </c>
      <c r="B755" s="44">
        <v>512.08445197611911</v>
      </c>
      <c r="C755" s="44">
        <v>503.07330840069176</v>
      </c>
      <c r="D755" s="44">
        <v>506.97001913601173</v>
      </c>
      <c r="E755" s="44">
        <v>1005193.9972081108</v>
      </c>
      <c r="F755" s="44" t="s">
        <v>694</v>
      </c>
      <c r="G755" s="25">
        <f t="shared" si="11"/>
        <v>8.6078431372549336E-3</v>
      </c>
    </row>
    <row r="756" spans="1:7">
      <c r="A756" s="44">
        <v>507.11912796516935</v>
      </c>
      <c r="B756" s="44">
        <v>508.37164213009368</v>
      </c>
      <c r="C756" s="44">
        <v>503.63992195149086</v>
      </c>
      <c r="D756" s="44">
        <v>508.36170154148311</v>
      </c>
      <c r="E756" s="44">
        <v>1403590.9287351668</v>
      </c>
      <c r="F756" s="44" t="s">
        <v>695</v>
      </c>
      <c r="G756" s="25">
        <f t="shared" si="11"/>
        <v>-2.4442706296441408E-3</v>
      </c>
    </row>
    <row r="757" spans="1:7">
      <c r="A757" s="44">
        <v>506.59227676881233</v>
      </c>
      <c r="B757" s="44">
        <v>519.20688371554957</v>
      </c>
      <c r="C757" s="44">
        <v>500.3197653555805</v>
      </c>
      <c r="D757" s="44">
        <v>517.24858775927908</v>
      </c>
      <c r="E757" s="44">
        <v>2048339.4694024338</v>
      </c>
      <c r="F757" s="44" t="s">
        <v>696</v>
      </c>
      <c r="G757" s="25">
        <f t="shared" si="11"/>
        <v>-2.0601914133066779E-2</v>
      </c>
    </row>
    <row r="758" spans="1:7">
      <c r="A758" s="44">
        <v>518.92854723445532</v>
      </c>
      <c r="B758" s="44">
        <v>523.05389150781696</v>
      </c>
      <c r="C758" s="44">
        <v>512.81508523899163</v>
      </c>
      <c r="D758" s="44">
        <v>519.91266550689579</v>
      </c>
      <c r="E758" s="44">
        <v>962632.13124851615</v>
      </c>
      <c r="F758" s="44" t="s">
        <v>697</v>
      </c>
      <c r="G758" s="25">
        <f t="shared" si="11"/>
        <v>-1.8928530457725801E-3</v>
      </c>
    </row>
    <row r="759" spans="1:7">
      <c r="A759" s="44">
        <v>521.09559555154647</v>
      </c>
      <c r="B759" s="44">
        <v>526.57285987593752</v>
      </c>
      <c r="C759" s="44">
        <v>519.35599254470731</v>
      </c>
      <c r="D759" s="44">
        <v>520.09159610188499</v>
      </c>
      <c r="E759" s="44">
        <v>3802519.295490751</v>
      </c>
      <c r="F759" s="44" t="s">
        <v>698</v>
      </c>
      <c r="G759" s="25">
        <f t="shared" si="11"/>
        <v>1.9304281345564611E-3</v>
      </c>
    </row>
    <row r="760" spans="1:7">
      <c r="A760" s="44">
        <v>525.17123688185552</v>
      </c>
      <c r="B760" s="44">
        <v>526.85119635703177</v>
      </c>
      <c r="C760" s="44">
        <v>518.35199309504571</v>
      </c>
      <c r="D760" s="44">
        <v>523.02406974198539</v>
      </c>
      <c r="E760" s="44">
        <v>951258.55927708757</v>
      </c>
      <c r="F760" s="44" t="s">
        <v>699</v>
      </c>
      <c r="G760" s="25">
        <f t="shared" si="11"/>
        <v>4.1052931673477566E-3</v>
      </c>
    </row>
    <row r="761" spans="1:7">
      <c r="A761" s="44">
        <v>522.82525796977529</v>
      </c>
      <c r="B761" s="44">
        <v>527.29852284450476</v>
      </c>
      <c r="C761" s="44">
        <v>519.65421020302256</v>
      </c>
      <c r="D761" s="44">
        <v>521.87096146316628</v>
      </c>
      <c r="E761" s="44">
        <v>1627516.300482926</v>
      </c>
      <c r="F761" s="44" t="s">
        <v>700</v>
      </c>
      <c r="G761" s="25">
        <f t="shared" si="11"/>
        <v>1.8286062591670316E-3</v>
      </c>
    </row>
    <row r="762" spans="1:7">
      <c r="A762" s="44">
        <v>524.2666433182992</v>
      </c>
      <c r="B762" s="44">
        <v>527.63988265738965</v>
      </c>
      <c r="C762" s="44">
        <v>504.13695138201632</v>
      </c>
      <c r="D762" s="44">
        <v>508.95813685811373</v>
      </c>
      <c r="E762" s="44">
        <v>2128114.423489314</v>
      </c>
      <c r="F762" s="44" t="s">
        <v>701</v>
      </c>
      <c r="G762" s="25">
        <f t="shared" si="11"/>
        <v>3.0078124999999956E-2</v>
      </c>
    </row>
    <row r="763" spans="1:7">
      <c r="A763" s="44">
        <v>534.10782604270412</v>
      </c>
      <c r="B763" s="44">
        <v>538.85445710422266</v>
      </c>
      <c r="C763" s="44">
        <v>530.22652321973044</v>
      </c>
      <c r="D763" s="44">
        <v>535.51938962539657</v>
      </c>
      <c r="E763" s="44">
        <v>3448482.9161681961</v>
      </c>
      <c r="F763" s="44" t="s">
        <v>702</v>
      </c>
      <c r="G763" s="25">
        <f t="shared" si="11"/>
        <v>-2.6358776358776925E-3</v>
      </c>
    </row>
    <row r="764" spans="1:7">
      <c r="A764" s="44">
        <v>531.93083713700241</v>
      </c>
      <c r="B764" s="44">
        <v>533.10879688734781</v>
      </c>
      <c r="C764" s="44">
        <v>515.83205388228134</v>
      </c>
      <c r="D764" s="44">
        <v>517.06965716428988</v>
      </c>
      <c r="E764" s="44">
        <v>1733717.2551108869</v>
      </c>
      <c r="F764" s="44" t="s">
        <v>703</v>
      </c>
      <c r="G764" s="25">
        <f t="shared" si="11"/>
        <v>2.8741156567210213E-2</v>
      </c>
    </row>
    <row r="765" spans="1:7">
      <c r="A765" s="44">
        <v>517.02989480984786</v>
      </c>
      <c r="B765" s="44">
        <v>524.89290040076128</v>
      </c>
      <c r="C765" s="44">
        <v>515.57856887271339</v>
      </c>
      <c r="D765" s="44">
        <v>524.69408862855119</v>
      </c>
      <c r="E765" s="44">
        <v>2008462.5551137878</v>
      </c>
      <c r="F765" s="44" t="s">
        <v>704</v>
      </c>
      <c r="G765" s="25">
        <f t="shared" si="11"/>
        <v>-1.4606975730822591E-2</v>
      </c>
    </row>
    <row r="766" spans="1:7">
      <c r="A766" s="44">
        <v>522.57674325451262</v>
      </c>
      <c r="B766" s="44">
        <v>523.92776382447005</v>
      </c>
      <c r="C766" s="44">
        <v>519.56674889644557</v>
      </c>
      <c r="D766" s="44">
        <v>522.01050669210395</v>
      </c>
      <c r="E766" s="44">
        <v>1337711.268198431</v>
      </c>
      <c r="F766" s="44" t="s">
        <v>705</v>
      </c>
      <c r="G766" s="25">
        <f t="shared" si="11"/>
        <v>1.0847225393926241E-3</v>
      </c>
    </row>
    <row r="767" spans="1:7">
      <c r="A767" s="44">
        <v>520.23232520664533</v>
      </c>
      <c r="B767" s="44">
        <v>521.27539255845068</v>
      </c>
      <c r="C767" s="44">
        <v>513.25867491171755</v>
      </c>
      <c r="D767" s="44">
        <v>516.55675453837853</v>
      </c>
      <c r="E767" s="44">
        <v>1254459.5972016386</v>
      </c>
      <c r="F767" s="44" t="s">
        <v>706</v>
      </c>
      <c r="G767" s="25">
        <f t="shared" si="11"/>
        <v>7.115521452335738E-3</v>
      </c>
    </row>
    <row r="768" spans="1:7">
      <c r="A768" s="44">
        <v>514.75870510336154</v>
      </c>
      <c r="B768" s="44">
        <v>518.34486999861633</v>
      </c>
      <c r="C768" s="44">
        <v>511.22717706939181</v>
      </c>
      <c r="D768" s="44">
        <v>514.54015765822146</v>
      </c>
      <c r="E768" s="44">
        <v>1048726.2381538588</v>
      </c>
      <c r="F768" s="44" t="s">
        <v>707</v>
      </c>
      <c r="G768" s="25">
        <f t="shared" si="11"/>
        <v>4.2474322341479187E-4</v>
      </c>
    </row>
    <row r="769" spans="1:7">
      <c r="A769" s="44">
        <v>511.84805049308551</v>
      </c>
      <c r="B769" s="44">
        <v>519.2985315774099</v>
      </c>
      <c r="C769" s="44">
        <v>511.75864472007356</v>
      </c>
      <c r="D769" s="44">
        <v>517.21239687379909</v>
      </c>
      <c r="E769" s="44">
        <v>1591015.7164132856</v>
      </c>
      <c r="F769" s="44" t="s">
        <v>708</v>
      </c>
      <c r="G769" s="25">
        <f t="shared" si="11"/>
        <v>-1.037165082108904E-2</v>
      </c>
    </row>
    <row r="770" spans="1:7">
      <c r="A770" s="44">
        <v>517.34153854592728</v>
      </c>
      <c r="B770" s="44">
        <v>519.75549441724854</v>
      </c>
      <c r="C770" s="44">
        <v>509.21554717662423</v>
      </c>
      <c r="D770" s="44">
        <v>511.13280430899033</v>
      </c>
      <c r="E770" s="44">
        <v>1660414.9262291288</v>
      </c>
      <c r="F770" s="44" t="s">
        <v>709</v>
      </c>
      <c r="G770" s="25">
        <f t="shared" si="11"/>
        <v>1.2147007949001809E-2</v>
      </c>
    </row>
    <row r="771" spans="1:7">
      <c r="A771" s="44">
        <v>512.85138194577451</v>
      </c>
      <c r="B771" s="44">
        <v>519.73562646769028</v>
      </c>
      <c r="C771" s="44">
        <v>509.31488692441525</v>
      </c>
      <c r="D771" s="44">
        <v>518.55348346897745</v>
      </c>
      <c r="E771" s="44">
        <v>1734474.9089007091</v>
      </c>
      <c r="F771" s="44" t="s">
        <v>710</v>
      </c>
      <c r="G771" s="25">
        <f t="shared" si="11"/>
        <v>-1.099616858237551E-2</v>
      </c>
    </row>
    <row r="772" spans="1:7">
      <c r="A772" s="44">
        <v>515.15606409452562</v>
      </c>
      <c r="B772" s="44">
        <v>520.99654588640135</v>
      </c>
      <c r="C772" s="44">
        <v>510.03013310851031</v>
      </c>
      <c r="D772" s="44">
        <v>520.59988227347185</v>
      </c>
      <c r="E772" s="44">
        <v>1594381.9419920293</v>
      </c>
      <c r="F772" s="44" t="s">
        <v>711</v>
      </c>
      <c r="G772" s="25">
        <f t="shared" si="11"/>
        <v>-1.0456817921611794E-2</v>
      </c>
    </row>
    <row r="773" spans="1:7">
      <c r="A773" s="44">
        <v>516.70576416006497</v>
      </c>
      <c r="B773" s="44">
        <v>523.67941445499264</v>
      </c>
      <c r="C773" s="44">
        <v>515.2405028801478</v>
      </c>
      <c r="D773" s="44">
        <v>521.11644896198504</v>
      </c>
      <c r="E773" s="44">
        <v>2581370.5561194648</v>
      </c>
      <c r="F773" s="44" t="s">
        <v>712</v>
      </c>
      <c r="G773" s="25">
        <f t="shared" si="11"/>
        <v>-8.4639139883335712E-3</v>
      </c>
    </row>
    <row r="774" spans="1:7">
      <c r="A774" s="44">
        <v>515.95078207685344</v>
      </c>
      <c r="B774" s="44">
        <v>518.20579435170896</v>
      </c>
      <c r="C774" s="44">
        <v>505.15255149197264</v>
      </c>
      <c r="D774" s="44">
        <v>509.74204783991649</v>
      </c>
      <c r="E774" s="44">
        <v>1842292.7787682149</v>
      </c>
      <c r="F774" s="44" t="s">
        <v>713</v>
      </c>
      <c r="G774" s="25">
        <f t="shared" ref="G774:G837" si="12">A774/D774-1</f>
        <v>1.2180149279909402E-2</v>
      </c>
    </row>
    <row r="775" spans="1:7">
      <c r="A775" s="44">
        <v>505.10288161807716</v>
      </c>
      <c r="B775" s="44">
        <v>510.27848247798778</v>
      </c>
      <c r="C775" s="44">
        <v>498.34777876828974</v>
      </c>
      <c r="D775" s="44">
        <v>510.27848247798778</v>
      </c>
      <c r="E775" s="44">
        <v>4079100.3501696545</v>
      </c>
      <c r="F775" s="44" t="s">
        <v>714</v>
      </c>
      <c r="G775" s="25">
        <f t="shared" si="12"/>
        <v>-1.0142698619736268E-2</v>
      </c>
    </row>
    <row r="776" spans="1:7">
      <c r="A776" s="44">
        <v>510.82485109083831</v>
      </c>
      <c r="B776" s="44">
        <v>522.96416827089752</v>
      </c>
      <c r="C776" s="44">
        <v>509.72217989035829</v>
      </c>
      <c r="D776" s="44">
        <v>520.36146687877351</v>
      </c>
      <c r="E776" s="44">
        <v>1805763.5940189753</v>
      </c>
      <c r="F776" s="44" t="s">
        <v>715</v>
      </c>
      <c r="G776" s="25">
        <f t="shared" si="12"/>
        <v>-1.8326906189148895E-2</v>
      </c>
    </row>
    <row r="777" spans="1:7">
      <c r="A777" s="44">
        <v>518.57335141853559</v>
      </c>
      <c r="B777" s="44">
        <v>529.19277045739273</v>
      </c>
      <c r="C777" s="44">
        <v>518.37467192295367</v>
      </c>
      <c r="D777" s="44">
        <v>524.19598114350572</v>
      </c>
      <c r="E777" s="44">
        <v>1614343.7402056928</v>
      </c>
      <c r="F777" s="44" t="s">
        <v>716</v>
      </c>
      <c r="G777" s="25">
        <f t="shared" si="12"/>
        <v>-1.0726197695573036E-2</v>
      </c>
    </row>
    <row r="778" spans="1:7">
      <c r="A778" s="44">
        <v>517.20246289901991</v>
      </c>
      <c r="B778" s="44">
        <v>518.86143668712953</v>
      </c>
      <c r="C778" s="44">
        <v>506.93073297743143</v>
      </c>
      <c r="D778" s="44">
        <v>510.57650172136084</v>
      </c>
      <c r="E778" s="44">
        <v>2277265.6970698889</v>
      </c>
      <c r="F778" s="44" t="s">
        <v>717</v>
      </c>
      <c r="G778" s="25">
        <f t="shared" si="12"/>
        <v>1.297741113294526E-2</v>
      </c>
    </row>
    <row r="779" spans="1:7">
      <c r="A779" s="44">
        <v>507.34795991815361</v>
      </c>
      <c r="B779" s="44">
        <v>511.10300238465305</v>
      </c>
      <c r="C779" s="44">
        <v>495.2086427380944</v>
      </c>
      <c r="D779" s="44">
        <v>506.63271373405843</v>
      </c>
      <c r="E779" s="44">
        <v>2499341.9605049011</v>
      </c>
      <c r="F779" s="44" t="s">
        <v>718</v>
      </c>
      <c r="G779" s="25">
        <f t="shared" si="12"/>
        <v>1.4117647058824456E-3</v>
      </c>
    </row>
    <row r="780" spans="1:7">
      <c r="A780" s="44">
        <v>521.63301565049824</v>
      </c>
      <c r="B780" s="44">
        <v>525.80528505771986</v>
      </c>
      <c r="C780" s="44">
        <v>516.27870258431153</v>
      </c>
      <c r="D780" s="44">
        <v>522.87476249788563</v>
      </c>
      <c r="E780" s="44">
        <v>1640320.2506899887</v>
      </c>
      <c r="F780" s="44" t="s">
        <v>719</v>
      </c>
      <c r="G780" s="25">
        <f t="shared" si="12"/>
        <v>-2.3748456350336511E-3</v>
      </c>
    </row>
    <row r="781" spans="1:7">
      <c r="A781" s="44">
        <v>525.52713376390511</v>
      </c>
      <c r="B781" s="44">
        <v>531.11002758975883</v>
      </c>
      <c r="C781" s="44">
        <v>523.87809395057468</v>
      </c>
      <c r="D781" s="44">
        <v>523.93769779924912</v>
      </c>
      <c r="E781" s="44">
        <v>1168703.3899488908</v>
      </c>
      <c r="F781" s="44" t="s">
        <v>720</v>
      </c>
      <c r="G781" s="25">
        <f t="shared" si="12"/>
        <v>3.0336354328621695E-3</v>
      </c>
    </row>
    <row r="782" spans="1:7">
      <c r="A782" s="44">
        <v>523.89796190013283</v>
      </c>
      <c r="B782" s="44">
        <v>528.22917490382008</v>
      </c>
      <c r="C782" s="44">
        <v>519.21905977917709</v>
      </c>
      <c r="D782" s="44">
        <v>519.58661684600372</v>
      </c>
      <c r="E782" s="44">
        <v>1322018.6573889102</v>
      </c>
      <c r="F782" s="44" t="s">
        <v>721</v>
      </c>
      <c r="G782" s="25">
        <f t="shared" si="12"/>
        <v>8.2976445396145682E-3</v>
      </c>
    </row>
    <row r="783" spans="1:7">
      <c r="A783" s="44">
        <v>520.08331558495865</v>
      </c>
      <c r="B783" s="44">
        <v>521.1760528106596</v>
      </c>
      <c r="C783" s="44">
        <v>515.23553589275832</v>
      </c>
      <c r="D783" s="44">
        <v>517.35147252070647</v>
      </c>
      <c r="E783" s="44">
        <v>1080438.6198545669</v>
      </c>
      <c r="F783" s="44" t="s">
        <v>722</v>
      </c>
      <c r="G783" s="25">
        <f t="shared" si="12"/>
        <v>5.2804393325522891E-3</v>
      </c>
    </row>
    <row r="784" spans="1:7">
      <c r="A784" s="44">
        <v>518.22566230126711</v>
      </c>
      <c r="B784" s="44">
        <v>523.89796190013283</v>
      </c>
      <c r="C784" s="44">
        <v>509.54336834433445</v>
      </c>
      <c r="D784" s="44">
        <v>518.91110656102501</v>
      </c>
      <c r="E784" s="44">
        <v>1293193.3375781057</v>
      </c>
      <c r="F784" s="44" t="s">
        <v>723</v>
      </c>
      <c r="G784" s="25">
        <f t="shared" si="12"/>
        <v>-1.3209280955663871E-3</v>
      </c>
    </row>
    <row r="785" spans="1:7">
      <c r="A785" s="44">
        <v>516.31833914368019</v>
      </c>
      <c r="B785" s="44">
        <v>519.24886170351442</v>
      </c>
      <c r="C785" s="44">
        <v>515.74216860649233</v>
      </c>
      <c r="D785" s="44">
        <v>517.81836933532406</v>
      </c>
      <c r="E785" s="44">
        <v>909526.16660652671</v>
      </c>
      <c r="F785" s="44" t="s">
        <v>724</v>
      </c>
      <c r="G785" s="25">
        <f t="shared" si="12"/>
        <v>-2.8968269193874185E-3</v>
      </c>
    </row>
    <row r="786" spans="1:7">
      <c r="A786" s="44">
        <v>520.22239123186603</v>
      </c>
      <c r="B786" s="44">
        <v>521.81182719652202</v>
      </c>
      <c r="C786" s="44">
        <v>516.70079717267549</v>
      </c>
      <c r="D786" s="44">
        <v>520.78862779427482</v>
      </c>
      <c r="E786" s="44">
        <v>1392968.1026686486</v>
      </c>
      <c r="F786" s="44" t="s">
        <v>725</v>
      </c>
      <c r="G786" s="25">
        <f t="shared" si="12"/>
        <v>-1.087267525036073E-3</v>
      </c>
    </row>
    <row r="787" spans="1:7">
      <c r="A787" s="44">
        <v>521.18598678543867</v>
      </c>
      <c r="B787" s="44">
        <v>531.43784875746917</v>
      </c>
      <c r="C787" s="44">
        <v>517.99718088134796</v>
      </c>
      <c r="D787" s="44">
        <v>528.23910887859915</v>
      </c>
      <c r="E787" s="44">
        <v>1528277.4858601659</v>
      </c>
      <c r="F787" s="44" t="s">
        <v>726</v>
      </c>
      <c r="G787" s="25">
        <f t="shared" si="12"/>
        <v>-1.3352139163140708E-2</v>
      </c>
    </row>
    <row r="788" spans="1:7">
      <c r="A788" s="44">
        <v>526.29204982189572</v>
      </c>
      <c r="B788" s="44">
        <v>532.20276481545977</v>
      </c>
      <c r="C788" s="44">
        <v>521.59327975138171</v>
      </c>
      <c r="D788" s="44">
        <v>528.57686402108857</v>
      </c>
      <c r="E788" s="44">
        <v>2341807.8379809954</v>
      </c>
      <c r="F788" s="44" t="s">
        <v>727</v>
      </c>
      <c r="G788" s="25">
        <f t="shared" si="12"/>
        <v>-4.3225770076491532E-3</v>
      </c>
    </row>
    <row r="789" spans="1:7">
      <c r="A789" s="44">
        <v>529.97755446494148</v>
      </c>
      <c r="B789" s="44">
        <v>536.36013326051273</v>
      </c>
      <c r="C789" s="44">
        <v>526.50066329225683</v>
      </c>
      <c r="D789" s="44">
        <v>535.82866560983098</v>
      </c>
      <c r="E789" s="44">
        <v>1596692.1954917952</v>
      </c>
      <c r="F789" s="44" t="s">
        <v>728</v>
      </c>
      <c r="G789" s="25">
        <f t="shared" si="12"/>
        <v>-1.0919742672278132E-2</v>
      </c>
    </row>
    <row r="790" spans="1:7">
      <c r="A790" s="44">
        <v>531.12989553931698</v>
      </c>
      <c r="B790" s="44">
        <v>533.92134245224395</v>
      </c>
      <c r="C790" s="44">
        <v>525.72581325948704</v>
      </c>
      <c r="D790" s="44">
        <v>531.5073865809228</v>
      </c>
      <c r="E790" s="44">
        <v>1233319.0160475716</v>
      </c>
      <c r="F790" s="44" t="s">
        <v>729</v>
      </c>
      <c r="G790" s="25">
        <f t="shared" si="12"/>
        <v>-7.1022727272740394E-4</v>
      </c>
    </row>
    <row r="791" spans="1:7">
      <c r="A791" s="44">
        <v>538.99760356436366</v>
      </c>
      <c r="B791" s="44">
        <v>546.36861285045518</v>
      </c>
      <c r="C791" s="44">
        <v>537.51744132227782</v>
      </c>
      <c r="D791" s="44">
        <v>545.82224423760476</v>
      </c>
      <c r="E791" s="44">
        <v>1035942.8354551543</v>
      </c>
      <c r="F791" s="44" t="s">
        <v>730</v>
      </c>
      <c r="G791" s="25">
        <f t="shared" si="12"/>
        <v>-1.250341250341247E-2</v>
      </c>
    </row>
    <row r="792" spans="1:7">
      <c r="A792" s="44">
        <v>542.77251398042131</v>
      </c>
      <c r="B792" s="44">
        <v>550.73956175325884</v>
      </c>
      <c r="C792" s="44">
        <v>538.34196122894298</v>
      </c>
      <c r="D792" s="44">
        <v>549.40840913285945</v>
      </c>
      <c r="E792" s="44">
        <v>968821.66645411286</v>
      </c>
      <c r="F792" s="44" t="s">
        <v>731</v>
      </c>
      <c r="G792" s="25">
        <f t="shared" si="12"/>
        <v>-1.2078255523812809E-2</v>
      </c>
    </row>
    <row r="793" spans="1:7">
      <c r="A793" s="44">
        <v>542.03739984676793</v>
      </c>
      <c r="B793" s="44">
        <v>550.24494914900754</v>
      </c>
      <c r="C793" s="44">
        <v>539.13667921127103</v>
      </c>
      <c r="D793" s="44">
        <v>548.95144629302104</v>
      </c>
      <c r="E793" s="44">
        <v>1251757.7582502784</v>
      </c>
      <c r="F793" s="44" t="s">
        <v>732</v>
      </c>
      <c r="G793" s="25">
        <f t="shared" si="12"/>
        <v>-1.2595005428881811E-2</v>
      </c>
    </row>
    <row r="794" spans="1:7">
      <c r="A794" s="44">
        <v>546.7858397911773</v>
      </c>
      <c r="B794" s="44">
        <v>554.5144721693166</v>
      </c>
      <c r="C794" s="44">
        <v>545.60866377985406</v>
      </c>
      <c r="D794" s="44">
        <v>546.41828272435066</v>
      </c>
      <c r="E794" s="44">
        <v>1439761.0541645605</v>
      </c>
      <c r="F794" s="44" t="s">
        <v>733</v>
      </c>
      <c r="G794" s="25">
        <f t="shared" si="12"/>
        <v>6.7266612126171133E-4</v>
      </c>
    </row>
    <row r="795" spans="1:7">
      <c r="A795" s="44">
        <v>540.22941643697197</v>
      </c>
      <c r="B795" s="44">
        <v>547.86864304209917</v>
      </c>
      <c r="C795" s="44">
        <v>537.35849772581219</v>
      </c>
      <c r="D795" s="44">
        <v>541.25261583921917</v>
      </c>
      <c r="E795" s="44">
        <v>1068031.7029113797</v>
      </c>
      <c r="F795" s="44" t="s">
        <v>734</v>
      </c>
      <c r="G795" s="25">
        <f t="shared" si="12"/>
        <v>-1.8904285583187797E-3</v>
      </c>
    </row>
    <row r="796" spans="1:7">
      <c r="A796" s="44">
        <v>544.87851663359027</v>
      </c>
      <c r="B796" s="44">
        <v>553.13364967502162</v>
      </c>
      <c r="C796" s="44">
        <v>541.70957867905759</v>
      </c>
      <c r="D796" s="44">
        <v>552.31906374313564</v>
      </c>
      <c r="E796" s="44">
        <v>1993006.8718973866</v>
      </c>
      <c r="F796" s="44" t="s">
        <v>735</v>
      </c>
      <c r="G796" s="25">
        <f t="shared" si="12"/>
        <v>-1.3471465314124464E-2</v>
      </c>
    </row>
    <row r="797" spans="1:7">
      <c r="A797" s="44">
        <v>551.23626049221377</v>
      </c>
      <c r="B797" s="44">
        <v>555.50786964722647</v>
      </c>
      <c r="C797" s="44">
        <v>539.73271769801693</v>
      </c>
      <c r="D797" s="44">
        <v>539.73271769801693</v>
      </c>
      <c r="E797" s="44">
        <v>2060508.553239566</v>
      </c>
      <c r="F797" s="44" t="s">
        <v>736</v>
      </c>
      <c r="G797" s="25">
        <f t="shared" si="12"/>
        <v>2.1313406463962181E-2</v>
      </c>
    </row>
    <row r="798" spans="1:7">
      <c r="A798" s="44">
        <v>539.43469845464392</v>
      </c>
      <c r="B798" s="44">
        <v>542.06720177110515</v>
      </c>
      <c r="C798" s="44">
        <v>528.07023130735456</v>
      </c>
      <c r="D798" s="44">
        <v>529.97755446494148</v>
      </c>
      <c r="E798" s="44">
        <v>2162679.1367743108</v>
      </c>
      <c r="F798" s="44" t="s">
        <v>737</v>
      </c>
      <c r="G798" s="25">
        <f t="shared" si="12"/>
        <v>1.784442361761962E-2</v>
      </c>
    </row>
    <row r="799" spans="1:7">
      <c r="A799" s="44">
        <v>529.60999739811484</v>
      </c>
      <c r="B799" s="44">
        <v>539.79232154669148</v>
      </c>
      <c r="C799" s="44">
        <v>513.80504352456808</v>
      </c>
      <c r="D799" s="44">
        <v>524.51386833643699</v>
      </c>
      <c r="E799" s="44">
        <v>4046843.3727637725</v>
      </c>
      <c r="F799" s="44" t="s">
        <v>738</v>
      </c>
      <c r="G799" s="25">
        <f t="shared" si="12"/>
        <v>9.7159090909091361E-3</v>
      </c>
    </row>
    <row r="800" spans="1:7">
      <c r="A800" s="44">
        <v>544.75930893624115</v>
      </c>
      <c r="B800" s="44">
        <v>562.75967123596888</v>
      </c>
      <c r="C800" s="44">
        <v>541.89832419986055</v>
      </c>
      <c r="D800" s="44">
        <v>560.42518716288055</v>
      </c>
      <c r="E800" s="44">
        <v>2512095.1638114522</v>
      </c>
      <c r="F800" s="44" t="s">
        <v>739</v>
      </c>
      <c r="G800" s="25">
        <f t="shared" si="12"/>
        <v>-2.7953558450766636E-2</v>
      </c>
    </row>
    <row r="801" spans="1:7">
      <c r="A801" s="44">
        <v>570.50817156366611</v>
      </c>
      <c r="B801" s="44">
        <v>572.63900915378304</v>
      </c>
      <c r="C801" s="44">
        <v>566.23656240865353</v>
      </c>
      <c r="D801" s="44">
        <v>567.74652657507659</v>
      </c>
      <c r="E801" s="44">
        <v>901049.19722895441</v>
      </c>
      <c r="F801" s="44" t="s">
        <v>740</v>
      </c>
      <c r="G801" s="25">
        <f t="shared" si="12"/>
        <v>4.8642217245240538E-3</v>
      </c>
    </row>
    <row r="802" spans="1:7">
      <c r="A802" s="44">
        <v>567.90547017154211</v>
      </c>
      <c r="B802" s="44">
        <v>569.20682086760416</v>
      </c>
      <c r="C802" s="44">
        <v>563.08749240367911</v>
      </c>
      <c r="D802" s="44">
        <v>565.11402325861536</v>
      </c>
      <c r="E802" s="44">
        <v>965554.09222307138</v>
      </c>
      <c r="F802" s="44" t="s">
        <v>741</v>
      </c>
      <c r="G802" s="25">
        <f t="shared" si="12"/>
        <v>4.9396171357249941E-3</v>
      </c>
    </row>
    <row r="803" spans="1:7">
      <c r="A803" s="44">
        <v>562.19343467356009</v>
      </c>
      <c r="B803" s="44">
        <v>564.09082385636816</v>
      </c>
      <c r="C803" s="44">
        <v>556.66021072160197</v>
      </c>
      <c r="D803" s="44">
        <v>562.26297249701383</v>
      </c>
      <c r="E803" s="44">
        <v>2114840.2796634724</v>
      </c>
      <c r="F803" s="44" t="s">
        <v>742</v>
      </c>
      <c r="G803" s="25">
        <f t="shared" si="12"/>
        <v>-1.2367491166087596E-4</v>
      </c>
    </row>
    <row r="804" spans="1:7">
      <c r="A804" s="44">
        <v>576.09106538951994</v>
      </c>
      <c r="B804" s="44">
        <v>576.8808163844584</v>
      </c>
      <c r="C804" s="44">
        <v>567.55778105427373</v>
      </c>
      <c r="D804" s="44">
        <v>571.98833380575195</v>
      </c>
      <c r="E804" s="44">
        <v>1418768.4500320472</v>
      </c>
      <c r="F804" s="44" t="s">
        <v>743</v>
      </c>
      <c r="G804" s="25">
        <f t="shared" si="12"/>
        <v>7.1727539554351516E-3</v>
      </c>
    </row>
    <row r="805" spans="1:7">
      <c r="A805" s="44">
        <v>580.99844893039494</v>
      </c>
      <c r="B805" s="44">
        <v>589.25358197182629</v>
      </c>
      <c r="C805" s="44">
        <v>580.81963738437105</v>
      </c>
      <c r="D805" s="44">
        <v>589.25358197182629</v>
      </c>
      <c r="E805" s="44">
        <v>1166357.9038249454</v>
      </c>
      <c r="F805" s="44" t="s">
        <v>744</v>
      </c>
      <c r="G805" s="25">
        <f t="shared" si="12"/>
        <v>-1.4009474518266174E-2</v>
      </c>
    </row>
    <row r="806" spans="1:7">
      <c r="A806" s="44">
        <v>584.71375549777804</v>
      </c>
      <c r="B806" s="44">
        <v>586.49193698323677</v>
      </c>
      <c r="C806" s="44">
        <v>580.38254249409079</v>
      </c>
      <c r="D806" s="44">
        <v>586.24358761375925</v>
      </c>
      <c r="E806" s="44">
        <v>788732.62457693717</v>
      </c>
      <c r="F806" s="44" t="s">
        <v>745</v>
      </c>
      <c r="G806" s="25">
        <f t="shared" si="12"/>
        <v>-2.6095502762055744E-3</v>
      </c>
    </row>
    <row r="807" spans="1:7">
      <c r="A807" s="44">
        <v>584.95217089247649</v>
      </c>
      <c r="B807" s="44">
        <v>585.65052931944706</v>
      </c>
      <c r="C807" s="44">
        <v>578.16726611835168</v>
      </c>
      <c r="D807" s="44">
        <v>582.52828104637615</v>
      </c>
      <c r="E807" s="44">
        <v>840420.89754098048</v>
      </c>
      <c r="F807" s="44" t="s">
        <v>746</v>
      </c>
      <c r="G807" s="25">
        <f t="shared" si="12"/>
        <v>4.1609822646659911E-3</v>
      </c>
    </row>
    <row r="808" spans="1:7">
      <c r="A808" s="44">
        <v>587.22705111689015</v>
      </c>
      <c r="B808" s="44">
        <v>588.21051462002094</v>
      </c>
      <c r="C808" s="44">
        <v>578.1573321435726</v>
      </c>
      <c r="D808" s="44">
        <v>581.39580792155891</v>
      </c>
      <c r="E808" s="44">
        <v>1109381.7172947712</v>
      </c>
      <c r="F808" s="44" t="s">
        <v>747</v>
      </c>
      <c r="G808" s="25">
        <f t="shared" si="12"/>
        <v>1.0029730376243107E-2</v>
      </c>
    </row>
    <row r="809" spans="1:7">
      <c r="A809" s="44">
        <v>575.52482882711126</v>
      </c>
      <c r="B809" s="44">
        <v>582.77663041585367</v>
      </c>
      <c r="C809" s="44">
        <v>573.83605311466442</v>
      </c>
      <c r="D809" s="44">
        <v>579.39907899095999</v>
      </c>
      <c r="E809" s="44">
        <v>853445.89537691546</v>
      </c>
      <c r="F809" s="44" t="s">
        <v>748</v>
      </c>
      <c r="G809" s="25">
        <f t="shared" si="12"/>
        <v>-6.6866695242178142E-3</v>
      </c>
    </row>
    <row r="810" spans="1:7">
      <c r="A810" s="44">
        <v>572.57443831771877</v>
      </c>
      <c r="B810" s="44">
        <v>577.71030327851304</v>
      </c>
      <c r="C810" s="44">
        <v>570.60254432406759</v>
      </c>
      <c r="D810" s="44">
        <v>572.67377806550985</v>
      </c>
      <c r="E810" s="44">
        <v>1166520.9805425759</v>
      </c>
      <c r="F810" s="44" t="s">
        <v>749</v>
      </c>
      <c r="G810" s="25">
        <f t="shared" si="12"/>
        <v>-1.7346655564820512E-4</v>
      </c>
    </row>
    <row r="811" spans="1:7">
      <c r="A811" s="44">
        <v>570.56777541234078</v>
      </c>
      <c r="B811" s="44">
        <v>570.56777541234078</v>
      </c>
      <c r="C811" s="44">
        <v>561.55269330030831</v>
      </c>
      <c r="D811" s="44">
        <v>568.94853752334768</v>
      </c>
      <c r="E811" s="44">
        <v>677046.21257452935</v>
      </c>
      <c r="F811" s="44" t="s">
        <v>750</v>
      </c>
      <c r="G811" s="25">
        <f t="shared" si="12"/>
        <v>2.8460181935641149E-3</v>
      </c>
    </row>
    <row r="812" spans="1:7">
      <c r="A812" s="44">
        <v>571.55123891547169</v>
      </c>
      <c r="B812" s="44">
        <v>577.93381771104282</v>
      </c>
      <c r="C812" s="44">
        <v>568.56111250696279</v>
      </c>
      <c r="D812" s="44">
        <v>577.01492504397618</v>
      </c>
      <c r="E812" s="44">
        <v>785932.1342778746</v>
      </c>
      <c r="F812" s="44" t="s">
        <v>751</v>
      </c>
      <c r="G812" s="25">
        <f t="shared" si="12"/>
        <v>-9.4688818111386963E-3</v>
      </c>
    </row>
    <row r="813" spans="1:7">
      <c r="A813" s="44">
        <v>576.03146154084538</v>
      </c>
      <c r="B813" s="44">
        <v>576.26987693554372</v>
      </c>
      <c r="C813" s="44">
        <v>566.15709061042071</v>
      </c>
      <c r="D813" s="44">
        <v>572.70357998984707</v>
      </c>
      <c r="E813" s="44">
        <v>1042512.2098950115</v>
      </c>
      <c r="F813" s="44" t="s">
        <v>752</v>
      </c>
      <c r="G813" s="25">
        <f t="shared" si="12"/>
        <v>5.8108272189556498E-3</v>
      </c>
    </row>
    <row r="814" spans="1:7">
      <c r="A814" s="44">
        <v>572.37575882213685</v>
      </c>
      <c r="B814" s="44">
        <v>576.40895258245109</v>
      </c>
      <c r="C814" s="44">
        <v>565.1835610820691</v>
      </c>
      <c r="D814" s="44">
        <v>567.61738490294829</v>
      </c>
      <c r="E814" s="44">
        <v>1092793.1911846877</v>
      </c>
      <c r="F814" s="44" t="s">
        <v>753</v>
      </c>
      <c r="G814" s="25">
        <f t="shared" si="12"/>
        <v>8.3830658569454819E-3</v>
      </c>
    </row>
    <row r="815" spans="1:7">
      <c r="A815" s="44">
        <v>566.30610023210727</v>
      </c>
      <c r="B815" s="44">
        <v>569.32602856495339</v>
      </c>
      <c r="C815" s="44">
        <v>562.38218019436306</v>
      </c>
      <c r="D815" s="44">
        <v>565.74979764447767</v>
      </c>
      <c r="E815" s="44">
        <v>1041318.3272585311</v>
      </c>
      <c r="F815" s="44" t="s">
        <v>754</v>
      </c>
      <c r="G815" s="25">
        <f t="shared" si="12"/>
        <v>9.8330143456659691E-4</v>
      </c>
    </row>
    <row r="816" spans="1:7">
      <c r="A816" s="44">
        <v>572.5645043429397</v>
      </c>
      <c r="B816" s="44">
        <v>572.87245756109178</v>
      </c>
      <c r="C816" s="44">
        <v>559.93842239870469</v>
      </c>
      <c r="D816" s="44">
        <v>563.22656805058648</v>
      </c>
      <c r="E816" s="44">
        <v>1448270.236227097</v>
      </c>
      <c r="F816" s="44" t="s">
        <v>755</v>
      </c>
      <c r="G816" s="25">
        <f t="shared" si="12"/>
        <v>1.657936045998909E-2</v>
      </c>
    </row>
    <row r="817" spans="1:7">
      <c r="A817" s="44">
        <v>559.2529781389469</v>
      </c>
      <c r="B817" s="44">
        <v>560.55432883500873</v>
      </c>
      <c r="C817" s="44">
        <v>553.18331954891721</v>
      </c>
      <c r="D817" s="44">
        <v>556.30258762955441</v>
      </c>
      <c r="E817" s="44">
        <v>1228040.162299087</v>
      </c>
      <c r="F817" s="44" t="s">
        <v>756</v>
      </c>
      <c r="G817" s="25">
        <f t="shared" si="12"/>
        <v>5.3035714285714075E-3</v>
      </c>
    </row>
    <row r="818" spans="1:7">
      <c r="A818" s="44">
        <v>551.48460986169118</v>
      </c>
      <c r="B818" s="44">
        <v>556.86385720457349</v>
      </c>
      <c r="C818" s="44">
        <v>549.56735272932519</v>
      </c>
      <c r="D818" s="44">
        <v>555.66681324369199</v>
      </c>
      <c r="E818" s="44">
        <v>1247796.6046461046</v>
      </c>
      <c r="F818" s="44" t="s">
        <v>757</v>
      </c>
      <c r="G818" s="25">
        <f t="shared" si="12"/>
        <v>-7.526458810068748E-3</v>
      </c>
    </row>
    <row r="819" spans="1:7">
      <c r="A819" s="44">
        <v>550.57068418201413</v>
      </c>
      <c r="B819" s="44">
        <v>558.98476081991123</v>
      </c>
      <c r="C819" s="44">
        <v>547.3024064796906</v>
      </c>
      <c r="D819" s="44">
        <v>556.29265365477522</v>
      </c>
      <c r="E819" s="44">
        <v>834441.41789452755</v>
      </c>
      <c r="F819" s="44" t="s">
        <v>758</v>
      </c>
      <c r="G819" s="25">
        <f t="shared" si="12"/>
        <v>-1.0285897962463486E-2</v>
      </c>
    </row>
    <row r="820" spans="1:7">
      <c r="A820" s="44">
        <v>557.98142936722218</v>
      </c>
      <c r="B820" s="44">
        <v>564.41864502407839</v>
      </c>
      <c r="C820" s="44">
        <v>557.32082004441202</v>
      </c>
      <c r="D820" s="44">
        <v>560.07749804561206</v>
      </c>
      <c r="E820" s="44">
        <v>871373.26120581781</v>
      </c>
      <c r="F820" s="44" t="s">
        <v>759</v>
      </c>
      <c r="G820" s="25">
        <f t="shared" si="12"/>
        <v>-3.742461865909763E-3</v>
      </c>
    </row>
    <row r="821" spans="1:7">
      <c r="A821" s="44">
        <v>554.57407601799105</v>
      </c>
      <c r="B821" s="44">
        <v>554.97143500915502</v>
      </c>
      <c r="C821" s="44">
        <v>540.71618120114772</v>
      </c>
      <c r="D821" s="44">
        <v>544.89838458314853</v>
      </c>
      <c r="E821" s="44">
        <v>1019326.123245727</v>
      </c>
      <c r="F821" s="44" t="s">
        <v>760</v>
      </c>
      <c r="G821" s="25">
        <f t="shared" si="12"/>
        <v>1.7756873040180698E-2</v>
      </c>
    </row>
    <row r="822" spans="1:7">
      <c r="A822" s="44">
        <v>551.52434576080771</v>
      </c>
      <c r="B822" s="44">
        <v>556.87379117935257</v>
      </c>
      <c r="C822" s="44">
        <v>546.74610389206089</v>
      </c>
      <c r="D822" s="44">
        <v>554.2959247241763</v>
      </c>
      <c r="E822" s="44">
        <v>957905.59283691831</v>
      </c>
      <c r="F822" s="44" t="s">
        <v>761</v>
      </c>
      <c r="G822" s="25">
        <f t="shared" si="12"/>
        <v>-5.0001792178929749E-3</v>
      </c>
    </row>
    <row r="823" spans="1:7">
      <c r="A823" s="44">
        <v>550.66008995502602</v>
      </c>
      <c r="B823" s="44">
        <v>564.24976745283368</v>
      </c>
      <c r="C823" s="44">
        <v>550.63028803068869</v>
      </c>
      <c r="D823" s="44">
        <v>553.02437595245169</v>
      </c>
      <c r="E823" s="44">
        <v>934595.68867980328</v>
      </c>
      <c r="F823" s="44" t="s">
        <v>762</v>
      </c>
      <c r="G823" s="25">
        <f t="shared" si="12"/>
        <v>-4.2751931022095846E-3</v>
      </c>
    </row>
    <row r="824" spans="1:7">
      <c r="A824" s="44">
        <v>553.02437595245169</v>
      </c>
      <c r="B824" s="44">
        <v>555.10057668128331</v>
      </c>
      <c r="C824" s="44">
        <v>548.01765266378561</v>
      </c>
      <c r="D824" s="44">
        <v>550.71969380370058</v>
      </c>
      <c r="E824" s="44">
        <v>1006738.0099496171</v>
      </c>
      <c r="F824" s="44" t="s">
        <v>763</v>
      </c>
      <c r="G824" s="25">
        <f t="shared" si="12"/>
        <v>4.1848551535050849E-3</v>
      </c>
    </row>
    <row r="825" spans="1:7">
      <c r="A825" s="44">
        <v>546.93484941286385</v>
      </c>
      <c r="B825" s="44">
        <v>551.20765064484999</v>
      </c>
      <c r="C825" s="44">
        <v>541.97551118389424</v>
      </c>
      <c r="D825" s="44">
        <v>543.15000502202702</v>
      </c>
      <c r="E825" s="44">
        <v>903113.82900586934</v>
      </c>
      <c r="F825" s="44" t="s">
        <v>764</v>
      </c>
      <c r="G825" s="25">
        <f t="shared" si="12"/>
        <v>6.9683224815275668E-3</v>
      </c>
    </row>
    <row r="826" spans="1:7">
      <c r="A826" s="44">
        <v>543.72617555921488</v>
      </c>
      <c r="B826" s="44">
        <v>551.64355345815682</v>
      </c>
      <c r="C826" s="44">
        <v>540.36849208387935</v>
      </c>
      <c r="D826" s="44">
        <v>551.64355345815682</v>
      </c>
      <c r="E826" s="44">
        <v>1960882.771816982</v>
      </c>
      <c r="F826" s="44" t="s">
        <v>765</v>
      </c>
      <c r="G826" s="25">
        <f t="shared" si="12"/>
        <v>-1.4352343735931083E-2</v>
      </c>
    </row>
    <row r="827" spans="1:7">
      <c r="A827" s="44">
        <v>553.41180096883647</v>
      </c>
      <c r="B827" s="44">
        <v>554.89196321092231</v>
      </c>
      <c r="C827" s="44">
        <v>536.20615665143669</v>
      </c>
      <c r="D827" s="44">
        <v>536.20615665143669</v>
      </c>
      <c r="E827" s="44">
        <v>1143298.6546227068</v>
      </c>
      <c r="F827" s="44" t="s">
        <v>766</v>
      </c>
      <c r="G827" s="25">
        <f t="shared" si="12"/>
        <v>3.208774107490231E-2</v>
      </c>
    </row>
    <row r="828" spans="1:7">
      <c r="A828" s="44">
        <v>539.11681126171277</v>
      </c>
      <c r="B828" s="44">
        <v>546.36861285045518</v>
      </c>
      <c r="C828" s="44">
        <v>530.95108399329331</v>
      </c>
      <c r="D828" s="44">
        <v>543.55729798797006</v>
      </c>
      <c r="E828" s="44">
        <v>1931726.2653388907</v>
      </c>
      <c r="F828" s="44" t="s">
        <v>767</v>
      </c>
      <c r="G828" s="25">
        <f t="shared" si="12"/>
        <v>-8.1693075278248539E-3</v>
      </c>
    </row>
    <row r="829" spans="1:7">
      <c r="A829" s="44">
        <v>552.28926181879831</v>
      </c>
      <c r="B829" s="44">
        <v>557.77281589686106</v>
      </c>
      <c r="C829" s="44">
        <v>541.40162546090562</v>
      </c>
      <c r="D829" s="44">
        <v>546.91498146330559</v>
      </c>
      <c r="E829" s="44">
        <v>1419304.9925659799</v>
      </c>
      <c r="F829" s="44" t="s">
        <v>768</v>
      </c>
      <c r="G829" s="25">
        <f t="shared" si="12"/>
        <v>9.8265370992645096E-3</v>
      </c>
    </row>
    <row r="830" spans="1:7">
      <c r="A830" s="44">
        <v>537.63664901962716</v>
      </c>
      <c r="B830" s="44">
        <v>547.42521789349803</v>
      </c>
      <c r="C830" s="44">
        <v>534.15207734140336</v>
      </c>
      <c r="D830" s="44">
        <v>539.5526670649183</v>
      </c>
      <c r="E830" s="44">
        <v>1416059.6956109046</v>
      </c>
      <c r="F830" s="44" t="s">
        <v>769</v>
      </c>
      <c r="G830" s="25">
        <f t="shared" si="12"/>
        <v>-3.5511232957368133E-3</v>
      </c>
    </row>
    <row r="831" spans="1:7">
      <c r="A831" s="44">
        <v>539.89020392263808</v>
      </c>
      <c r="B831" s="44">
        <v>551.51537040468952</v>
      </c>
      <c r="C831" s="44">
        <v>536.03831272277807</v>
      </c>
      <c r="D831" s="44">
        <v>547.87195785224469</v>
      </c>
      <c r="E831" s="44">
        <v>1089586.5491093306</v>
      </c>
      <c r="F831" s="44" t="s">
        <v>770</v>
      </c>
      <c r="G831" s="25">
        <f t="shared" si="12"/>
        <v>-1.4568648413575525E-2</v>
      </c>
    </row>
    <row r="832" spans="1:7">
      <c r="A832" s="44">
        <v>549.20225017384587</v>
      </c>
      <c r="B832" s="44">
        <v>560.3211113693178</v>
      </c>
      <c r="C832" s="44">
        <v>546.97847793475148</v>
      </c>
      <c r="D832" s="44">
        <v>552.12095123765721</v>
      </c>
      <c r="E832" s="44">
        <v>1020630.9981296827</v>
      </c>
      <c r="F832" s="44" t="s">
        <v>771</v>
      </c>
      <c r="G832" s="25">
        <f t="shared" si="12"/>
        <v>-5.2863436123347096E-3</v>
      </c>
    </row>
    <row r="833" spans="1:7">
      <c r="A833" s="44">
        <v>550.73109358822319</v>
      </c>
      <c r="B833" s="44">
        <v>555.76932756742156</v>
      </c>
      <c r="C833" s="44">
        <v>541.57788821123643</v>
      </c>
      <c r="D833" s="44">
        <v>544.30796573691032</v>
      </c>
      <c r="E833" s="44">
        <v>1463630.322737305</v>
      </c>
      <c r="F833" s="44" t="s">
        <v>772</v>
      </c>
      <c r="G833" s="25">
        <f t="shared" si="12"/>
        <v>1.1800539870139293E-2</v>
      </c>
    </row>
    <row r="834" spans="1:7">
      <c r="A834" s="44">
        <v>544.85398124204517</v>
      </c>
      <c r="B834" s="44">
        <v>558.93125371988378</v>
      </c>
      <c r="C834" s="44">
        <v>544.16897997196691</v>
      </c>
      <c r="D834" s="44">
        <v>556.74719169934463</v>
      </c>
      <c r="E834" s="44">
        <v>1020206.9259232664</v>
      </c>
      <c r="F834" s="44" t="s">
        <v>773</v>
      </c>
      <c r="G834" s="25">
        <f t="shared" si="12"/>
        <v>-2.1361958595602637E-2</v>
      </c>
    </row>
    <row r="835" spans="1:7">
      <c r="A835" s="44">
        <v>554.4737816870562</v>
      </c>
      <c r="B835" s="44">
        <v>563.21002976921284</v>
      </c>
      <c r="C835" s="44">
        <v>551.29696420263565</v>
      </c>
      <c r="D835" s="44">
        <v>555.45660959629879</v>
      </c>
      <c r="E835" s="44">
        <v>1171538.2511749233</v>
      </c>
      <c r="F835" s="44" t="s">
        <v>774</v>
      </c>
      <c r="G835" s="25">
        <f t="shared" si="12"/>
        <v>-1.7694053725580972E-3</v>
      </c>
    </row>
    <row r="836" spans="1:7">
      <c r="A836" s="44">
        <v>555.38711671382714</v>
      </c>
      <c r="B836" s="44">
        <v>556.46922016945791</v>
      </c>
      <c r="C836" s="44">
        <v>545.6432218358309</v>
      </c>
      <c r="D836" s="44">
        <v>551.43594996757906</v>
      </c>
      <c r="E836" s="44">
        <v>1162066.633700025</v>
      </c>
      <c r="F836" s="44" t="s">
        <v>775</v>
      </c>
      <c r="G836" s="25">
        <f t="shared" si="12"/>
        <v>7.1652324199762418E-3</v>
      </c>
    </row>
    <row r="837" spans="1:7">
      <c r="A837" s="44">
        <v>544.77456080493459</v>
      </c>
      <c r="B837" s="44">
        <v>546.8891299430021</v>
      </c>
      <c r="C837" s="44">
        <v>528.06648634781016</v>
      </c>
      <c r="D837" s="44">
        <v>530.95540474770519</v>
      </c>
      <c r="E837" s="44">
        <v>948065.2932597833</v>
      </c>
      <c r="F837" s="44" t="s">
        <v>776</v>
      </c>
      <c r="G837" s="25">
        <f t="shared" si="12"/>
        <v>2.6026961838341078E-2</v>
      </c>
    </row>
    <row r="838" spans="1:7">
      <c r="A838" s="44">
        <v>534.61867240942763</v>
      </c>
      <c r="B838" s="44">
        <v>538.68896981134151</v>
      </c>
      <c r="C838" s="44">
        <v>532.37504506105563</v>
      </c>
      <c r="D838" s="44">
        <v>535.43273188981038</v>
      </c>
      <c r="E838" s="44">
        <v>1134281.3421518393</v>
      </c>
      <c r="F838" s="44" t="s">
        <v>777</v>
      </c>
      <c r="G838" s="25">
        <f t="shared" ref="G838:G901" si="13">A838/D838-1</f>
        <v>-1.5203767567767423E-3</v>
      </c>
    </row>
    <row r="839" spans="1:7">
      <c r="A839" s="44">
        <v>537.83520011240341</v>
      </c>
      <c r="B839" s="44">
        <v>541.28006157207199</v>
      </c>
      <c r="C839" s="44">
        <v>534.98599193106372</v>
      </c>
      <c r="D839" s="44">
        <v>536.49498023616354</v>
      </c>
      <c r="E839" s="44">
        <v>1197450.9768520216</v>
      </c>
      <c r="F839" s="44" t="s">
        <v>778</v>
      </c>
      <c r="G839" s="25">
        <f t="shared" si="13"/>
        <v>2.4981032919448865E-3</v>
      </c>
    </row>
    <row r="840" spans="1:7">
      <c r="A840" s="44">
        <v>537.42817037221209</v>
      </c>
      <c r="B840" s="44">
        <v>550.40348428514233</v>
      </c>
      <c r="C840" s="44">
        <v>537.11048862376992</v>
      </c>
      <c r="D840" s="44">
        <v>544.5164443843255</v>
      </c>
      <c r="E840" s="44">
        <v>1118779.0351286889</v>
      </c>
      <c r="F840" s="44" t="s">
        <v>779</v>
      </c>
      <c r="G840" s="25">
        <f t="shared" si="13"/>
        <v>-1.301755729366072E-2</v>
      </c>
    </row>
    <row r="841" spans="1:7">
      <c r="A841" s="44">
        <v>538.85773824020134</v>
      </c>
      <c r="B841" s="44">
        <v>542.69970188542243</v>
      </c>
      <c r="C841" s="44">
        <v>535.26575042078548</v>
      </c>
      <c r="D841" s="44">
        <v>540.66455318446549</v>
      </c>
      <c r="E841" s="44">
        <v>858873.13746563951</v>
      </c>
      <c r="F841" s="44" t="s">
        <v>780</v>
      </c>
      <c r="G841" s="25">
        <f t="shared" si="13"/>
        <v>-3.3418409504047952E-3</v>
      </c>
    </row>
    <row r="842" spans="1:7">
      <c r="A842" s="44">
        <v>546.95862282547387</v>
      </c>
      <c r="B842" s="44">
        <v>553.62993954275692</v>
      </c>
      <c r="C842" s="44">
        <v>542.93796319675403</v>
      </c>
      <c r="D842" s="44">
        <v>549.3610910480669</v>
      </c>
      <c r="E842" s="44">
        <v>1168668.460875446</v>
      </c>
      <c r="F842" s="44" t="s">
        <v>781</v>
      </c>
      <c r="G842" s="25">
        <f t="shared" si="13"/>
        <v>-4.3732041852647674E-3</v>
      </c>
    </row>
    <row r="843" spans="1:7">
      <c r="A843" s="44">
        <v>544.42709639257612</v>
      </c>
      <c r="B843" s="44">
        <v>549.28167061095633</v>
      </c>
      <c r="C843" s="44">
        <v>540.76382873085367</v>
      </c>
      <c r="D843" s="44">
        <v>546.01550513478639</v>
      </c>
      <c r="E843" s="44">
        <v>1717776.4938533513</v>
      </c>
      <c r="F843" s="44" t="s">
        <v>782</v>
      </c>
      <c r="G843" s="25">
        <f t="shared" si="13"/>
        <v>-2.9090909090908612E-3</v>
      </c>
    </row>
    <row r="844" spans="1:7">
      <c r="A844" s="44">
        <v>546.77992684197511</v>
      </c>
      <c r="B844" s="44">
        <v>550.22478830164368</v>
      </c>
      <c r="C844" s="44">
        <v>540.18803056180241</v>
      </c>
      <c r="D844" s="44">
        <v>544.67528525854652</v>
      </c>
      <c r="E844" s="44">
        <v>1405389.3942271338</v>
      </c>
      <c r="F844" s="44" t="s">
        <v>783</v>
      </c>
      <c r="G844" s="25">
        <f t="shared" si="13"/>
        <v>3.8640298915519899E-3</v>
      </c>
    </row>
    <row r="845" spans="1:7">
      <c r="A845" s="44">
        <v>555.64523313443635</v>
      </c>
      <c r="B845" s="44">
        <v>557.42226541478408</v>
      </c>
      <c r="C845" s="44">
        <v>548.8895322027231</v>
      </c>
      <c r="D845" s="44">
        <v>548.91435108932012</v>
      </c>
      <c r="E845" s="44">
        <v>1191167.4556557634</v>
      </c>
      <c r="F845" s="44" t="s">
        <v>784</v>
      </c>
      <c r="G845" s="25">
        <f t="shared" si="13"/>
        <v>1.2262171742747796E-2</v>
      </c>
    </row>
    <row r="846" spans="1:7">
      <c r="A846" s="44">
        <v>553.54059155100776</v>
      </c>
      <c r="B846" s="44">
        <v>561.30393927856039</v>
      </c>
      <c r="C846" s="44">
        <v>547.30608723783223</v>
      </c>
      <c r="D846" s="44">
        <v>552.09116857374079</v>
      </c>
      <c r="E846" s="44">
        <v>1182289.1363508871</v>
      </c>
      <c r="F846" s="44" t="s">
        <v>785</v>
      </c>
      <c r="G846" s="25">
        <f t="shared" si="13"/>
        <v>2.6253326620155892E-3</v>
      </c>
    </row>
    <row r="847" spans="1:7">
      <c r="A847" s="44">
        <v>562.72357959191095</v>
      </c>
      <c r="B847" s="44">
        <v>566.37691969899458</v>
      </c>
      <c r="C847" s="44">
        <v>558.6929924085523</v>
      </c>
      <c r="D847" s="44">
        <v>564.34177099803765</v>
      </c>
      <c r="E847" s="44">
        <v>1045977.6226666245</v>
      </c>
      <c r="F847" s="44" t="s">
        <v>786</v>
      </c>
      <c r="G847" s="25">
        <f t="shared" si="13"/>
        <v>-2.8673961228582456E-3</v>
      </c>
    </row>
    <row r="848" spans="1:7">
      <c r="A848" s="44">
        <v>567.33989249895956</v>
      </c>
      <c r="B848" s="44">
        <v>574.90468913373604</v>
      </c>
      <c r="C848" s="44">
        <v>562.52502849913458</v>
      </c>
      <c r="D848" s="44">
        <v>571.71794409467668</v>
      </c>
      <c r="E848" s="44">
        <v>856286.39773624053</v>
      </c>
      <c r="F848" s="44" t="s">
        <v>787</v>
      </c>
      <c r="G848" s="25">
        <f t="shared" si="13"/>
        <v>-7.6577124103561767E-3</v>
      </c>
    </row>
    <row r="849" spans="1:7">
      <c r="A849" s="44">
        <v>570.83439173182217</v>
      </c>
      <c r="B849" s="44">
        <v>573.04823641627775</v>
      </c>
      <c r="C849" s="44">
        <v>564.88778650317238</v>
      </c>
      <c r="D849" s="44">
        <v>570.5067824287413</v>
      </c>
      <c r="E849" s="44">
        <v>1004890.9689195626</v>
      </c>
      <c r="F849" s="44" t="s">
        <v>788</v>
      </c>
      <c r="G849" s="25">
        <f t="shared" si="13"/>
        <v>5.742426088015673E-4</v>
      </c>
    </row>
    <row r="850" spans="1:7">
      <c r="A850" s="44">
        <v>567.27039961648779</v>
      </c>
      <c r="B850" s="44">
        <v>567.56822625565235</v>
      </c>
      <c r="C850" s="44">
        <v>559.26879057760357</v>
      </c>
      <c r="D850" s="44">
        <v>563.00155112179766</v>
      </c>
      <c r="E850" s="44">
        <v>769321.37649883388</v>
      </c>
      <c r="F850" s="44" t="s">
        <v>789</v>
      </c>
      <c r="G850" s="25">
        <f t="shared" si="13"/>
        <v>7.5823032568638205E-3</v>
      </c>
    </row>
    <row r="851" spans="1:7">
      <c r="A851" s="44">
        <v>564.80836606606181</v>
      </c>
      <c r="B851" s="44">
        <v>579.09411719131572</v>
      </c>
      <c r="C851" s="44">
        <v>563.58727684548774</v>
      </c>
      <c r="D851" s="44">
        <v>578.43889858515388</v>
      </c>
      <c r="E851" s="44">
        <v>967850.62883799768</v>
      </c>
      <c r="F851" s="44" t="s">
        <v>790</v>
      </c>
      <c r="G851" s="25">
        <f t="shared" si="13"/>
        <v>-2.3564342841451369E-2</v>
      </c>
    </row>
    <row r="852" spans="1:7">
      <c r="A852" s="44">
        <v>575.03374734404065</v>
      </c>
      <c r="B852" s="44">
        <v>580.85129436238583</v>
      </c>
      <c r="C852" s="44">
        <v>571.85692985961998</v>
      </c>
      <c r="D852" s="44">
        <v>574.36860118324</v>
      </c>
      <c r="E852" s="44">
        <v>913850.42239198938</v>
      </c>
      <c r="F852" s="44" t="s">
        <v>791</v>
      </c>
      <c r="G852" s="25">
        <f t="shared" si="13"/>
        <v>1.1580475663719447E-3</v>
      </c>
    </row>
    <row r="853" spans="1:7">
      <c r="A853" s="44">
        <v>578.92534876245577</v>
      </c>
      <c r="B853" s="44">
        <v>582.09223869223763</v>
      </c>
      <c r="C853" s="44">
        <v>565.284888688725</v>
      </c>
      <c r="D853" s="44">
        <v>566.64496367424249</v>
      </c>
      <c r="E853" s="44">
        <v>1179657.0682383794</v>
      </c>
      <c r="F853" s="44" t="s">
        <v>792</v>
      </c>
      <c r="G853" s="25">
        <f t="shared" si="13"/>
        <v>2.1672097831038295E-2</v>
      </c>
    </row>
    <row r="854" spans="1:7">
      <c r="A854" s="44">
        <v>571.99591562456339</v>
      </c>
      <c r="B854" s="44">
        <v>579.60042247789522</v>
      </c>
      <c r="C854" s="44">
        <v>569.2658380988895</v>
      </c>
      <c r="D854" s="44">
        <v>576.35411211100291</v>
      </c>
      <c r="E854" s="44">
        <v>1127668.4347049918</v>
      </c>
      <c r="F854" s="44" t="s">
        <v>793</v>
      </c>
      <c r="G854" s="25">
        <f t="shared" si="13"/>
        <v>-7.5616645996968712E-3</v>
      </c>
    </row>
    <row r="855" spans="1:7">
      <c r="A855" s="44">
        <v>583.50195145094926</v>
      </c>
      <c r="B855" s="44">
        <v>588.54514920746692</v>
      </c>
      <c r="C855" s="44">
        <v>578.42897103051507</v>
      </c>
      <c r="D855" s="44">
        <v>580.3251339665286</v>
      </c>
      <c r="E855" s="44">
        <v>1292532.8005580795</v>
      </c>
      <c r="F855" s="44" t="s">
        <v>794</v>
      </c>
      <c r="G855" s="25">
        <f t="shared" si="13"/>
        <v>5.4742028192145131E-3</v>
      </c>
    </row>
    <row r="856" spans="1:7">
      <c r="A856" s="44">
        <v>582.81695018087112</v>
      </c>
      <c r="B856" s="44">
        <v>590.85826943831057</v>
      </c>
      <c r="C856" s="44">
        <v>582.81695018087112</v>
      </c>
      <c r="D856" s="44">
        <v>587.38362531472558</v>
      </c>
      <c r="E856" s="44">
        <v>2329377.2576770168</v>
      </c>
      <c r="F856" s="44" t="s">
        <v>795</v>
      </c>
      <c r="G856" s="25">
        <f t="shared" si="13"/>
        <v>-7.7746040867373578E-3</v>
      </c>
    </row>
    <row r="857" spans="1:7">
      <c r="A857" s="44">
        <v>583.10484926539664</v>
      </c>
      <c r="B857" s="44">
        <v>593.21109988770957</v>
      </c>
      <c r="C857" s="44">
        <v>572.15475649878454</v>
      </c>
      <c r="D857" s="44">
        <v>581.84404982626722</v>
      </c>
      <c r="E857" s="44">
        <v>2646683.9978166241</v>
      </c>
      <c r="F857" s="44" t="s">
        <v>796</v>
      </c>
      <c r="G857" s="25">
        <f t="shared" si="13"/>
        <v>2.1669026941255609E-3</v>
      </c>
    </row>
    <row r="858" spans="1:7">
      <c r="A858" s="44">
        <v>566.19822371549594</v>
      </c>
      <c r="B858" s="44">
        <v>566.49605035466038</v>
      </c>
      <c r="C858" s="44">
        <v>553.95754884583789</v>
      </c>
      <c r="D858" s="44">
        <v>558.10726668486222</v>
      </c>
      <c r="E858" s="44">
        <v>1812957.032704846</v>
      </c>
      <c r="F858" s="44" t="s">
        <v>797</v>
      </c>
      <c r="G858" s="25">
        <f t="shared" si="13"/>
        <v>1.4497136148564627E-2</v>
      </c>
    </row>
    <row r="859" spans="1:7">
      <c r="A859" s="44">
        <v>560.20198071365201</v>
      </c>
      <c r="B859" s="44">
        <v>566.73431166599187</v>
      </c>
      <c r="C859" s="44">
        <v>556.69755392615059</v>
      </c>
      <c r="D859" s="44">
        <v>563.65676972795939</v>
      </c>
      <c r="E859" s="44">
        <v>1230383.5581265425</v>
      </c>
      <c r="F859" s="44" t="s">
        <v>798</v>
      </c>
      <c r="G859" s="25">
        <f t="shared" si="13"/>
        <v>-6.1292424749458396E-3</v>
      </c>
    </row>
    <row r="860" spans="1:7">
      <c r="A860" s="44">
        <v>569.47431674630457</v>
      </c>
      <c r="B860" s="44">
        <v>573.32620794616457</v>
      </c>
      <c r="C860" s="44">
        <v>564.07372702278974</v>
      </c>
      <c r="D860" s="44">
        <v>570.73511618543398</v>
      </c>
      <c r="E860" s="44">
        <v>1118187.7515534719</v>
      </c>
      <c r="F860" s="44" t="s">
        <v>799</v>
      </c>
      <c r="G860" s="25">
        <f t="shared" si="13"/>
        <v>-2.2090798399722056E-3</v>
      </c>
    </row>
    <row r="861" spans="1:7">
      <c r="A861" s="44">
        <v>573.18722218122116</v>
      </c>
      <c r="B861" s="44">
        <v>574.32889096468477</v>
      </c>
      <c r="C861" s="44">
        <v>563.20010221457392</v>
      </c>
      <c r="D861" s="44">
        <v>571.85692985961998</v>
      </c>
      <c r="E861" s="44">
        <v>1219612.5270025304</v>
      </c>
      <c r="F861" s="44" t="s">
        <v>800</v>
      </c>
      <c r="G861" s="25">
        <f t="shared" si="13"/>
        <v>2.3262677291113754E-3</v>
      </c>
    </row>
    <row r="862" spans="1:7">
      <c r="A862" s="44">
        <v>571.15207348026433</v>
      </c>
      <c r="B862" s="44">
        <v>571.84700230498117</v>
      </c>
      <c r="C862" s="44">
        <v>562.81789136097962</v>
      </c>
      <c r="D862" s="44">
        <v>567.01228319587869</v>
      </c>
      <c r="E862" s="44">
        <v>1247316.2274611208</v>
      </c>
      <c r="F862" s="44" t="s">
        <v>801</v>
      </c>
      <c r="G862" s="25">
        <f t="shared" si="13"/>
        <v>7.3010592663924623E-3</v>
      </c>
    </row>
    <row r="863" spans="1:7">
      <c r="A863" s="44">
        <v>576.51295298522393</v>
      </c>
      <c r="B863" s="44">
        <v>605.43191964809</v>
      </c>
      <c r="C863" s="44">
        <v>572.60149645753108</v>
      </c>
      <c r="D863" s="44">
        <v>605.43191964809</v>
      </c>
      <c r="E863" s="44">
        <v>2117928.408854492</v>
      </c>
      <c r="F863" s="44" t="s">
        <v>802</v>
      </c>
      <c r="G863" s="25">
        <f t="shared" si="13"/>
        <v>-4.7765844060014828E-2</v>
      </c>
    </row>
    <row r="864" spans="1:7">
      <c r="A864" s="44">
        <v>600.43835966476649</v>
      </c>
      <c r="B864" s="44">
        <v>604.8064837058447</v>
      </c>
      <c r="C864" s="44">
        <v>585.72572369004365</v>
      </c>
      <c r="D864" s="44">
        <v>588.91246872910301</v>
      </c>
      <c r="E864" s="44">
        <v>2324039.5887416257</v>
      </c>
      <c r="F864" s="44" t="s">
        <v>803</v>
      </c>
      <c r="G864" s="25">
        <f t="shared" si="13"/>
        <v>1.9571483960149072E-2</v>
      </c>
    </row>
    <row r="865" spans="1:7">
      <c r="A865" s="44">
        <v>589.35920868784967</v>
      </c>
      <c r="B865" s="44">
        <v>591.03696542180933</v>
      </c>
      <c r="C865" s="44">
        <v>580.70833757558694</v>
      </c>
      <c r="D865" s="44">
        <v>582.74745729839935</v>
      </c>
      <c r="E865" s="44">
        <v>2412145.8779359669</v>
      </c>
      <c r="F865" s="44" t="s">
        <v>804</v>
      </c>
      <c r="G865" s="25">
        <f t="shared" si="13"/>
        <v>1.1345826235093615E-2</v>
      </c>
    </row>
    <row r="866" spans="1:7">
      <c r="A866" s="44">
        <v>579.63020514181164</v>
      </c>
      <c r="B866" s="44">
        <v>582.90629817262038</v>
      </c>
      <c r="C866" s="44">
        <v>569.54380962877633</v>
      </c>
      <c r="D866" s="44">
        <v>570.86417439573859</v>
      </c>
      <c r="E866" s="44">
        <v>1647987.907921907</v>
      </c>
      <c r="F866" s="44" t="s">
        <v>805</v>
      </c>
      <c r="G866" s="25">
        <f t="shared" si="13"/>
        <v>1.5355720571100795E-2</v>
      </c>
    </row>
    <row r="867" spans="1:7">
      <c r="A867" s="44">
        <v>575.8478068244234</v>
      </c>
      <c r="B867" s="44">
        <v>592.52609861763142</v>
      </c>
      <c r="C867" s="44">
        <v>574.55722472137757</v>
      </c>
      <c r="D867" s="44">
        <v>586.84753736422965</v>
      </c>
      <c r="E867" s="44">
        <v>1762506.5423049442</v>
      </c>
      <c r="F867" s="44" t="s">
        <v>806</v>
      </c>
      <c r="G867" s="25">
        <f t="shared" si="13"/>
        <v>-1.8743761947456528E-2</v>
      </c>
    </row>
    <row r="868" spans="1:7">
      <c r="A868" s="44">
        <v>583.60122699733733</v>
      </c>
      <c r="B868" s="44">
        <v>587.01630579308949</v>
      </c>
      <c r="C868" s="44">
        <v>577.51563600374425</v>
      </c>
      <c r="D868" s="44">
        <v>580.76194637063645</v>
      </c>
      <c r="E868" s="44">
        <v>2101575.9428237043</v>
      </c>
      <c r="F868" s="44" t="s">
        <v>807</v>
      </c>
      <c r="G868" s="25">
        <f t="shared" si="13"/>
        <v>4.8888888888889426E-3</v>
      </c>
    </row>
    <row r="869" spans="1:7">
      <c r="A869" s="44">
        <v>579.61035003253403</v>
      </c>
      <c r="B869" s="44">
        <v>580.62296060569304</v>
      </c>
      <c r="C869" s="44">
        <v>568.32272040820214</v>
      </c>
      <c r="D869" s="44">
        <v>574.45794917498938</v>
      </c>
      <c r="E869" s="44">
        <v>2055381.2839490015</v>
      </c>
      <c r="F869" s="44" t="s">
        <v>808</v>
      </c>
      <c r="G869" s="25">
        <f t="shared" si="13"/>
        <v>8.9691523373369719E-3</v>
      </c>
    </row>
    <row r="870" spans="1:7">
      <c r="A870" s="44">
        <v>577.32701246560669</v>
      </c>
      <c r="B870" s="44">
        <v>582.27589845305567</v>
      </c>
      <c r="C870" s="44">
        <v>572.68091689464165</v>
      </c>
      <c r="D870" s="44">
        <v>577.75389731507573</v>
      </c>
      <c r="E870" s="44">
        <v>1647152.858375306</v>
      </c>
      <c r="F870" s="44" t="s">
        <v>809</v>
      </c>
      <c r="G870" s="25">
        <f t="shared" si="13"/>
        <v>-7.3886970118741679E-4</v>
      </c>
    </row>
    <row r="871" spans="1:7">
      <c r="A871" s="44">
        <v>578.33962303876569</v>
      </c>
      <c r="B871" s="44">
        <v>580.66763460156767</v>
      </c>
      <c r="C871" s="44">
        <v>563.92481370320741</v>
      </c>
      <c r="D871" s="44">
        <v>566.98250053196227</v>
      </c>
      <c r="E871" s="44">
        <v>2028173.1738123989</v>
      </c>
      <c r="F871" s="44" t="s">
        <v>810</v>
      </c>
      <c r="G871" s="25">
        <f t="shared" si="13"/>
        <v>2.0030816640985938E-2</v>
      </c>
    </row>
    <row r="872" spans="1:7">
      <c r="A872" s="44">
        <v>563.9148861485686</v>
      </c>
      <c r="B872" s="44">
        <v>568.47659750510377</v>
      </c>
      <c r="C872" s="44">
        <v>543.46908736993055</v>
      </c>
      <c r="D872" s="44">
        <v>543.50383381116649</v>
      </c>
      <c r="E872" s="44">
        <v>2118188.2915843148</v>
      </c>
      <c r="F872" s="44" t="s">
        <v>811</v>
      </c>
      <c r="G872" s="25">
        <f t="shared" si="13"/>
        <v>3.7554569200138666E-2</v>
      </c>
    </row>
    <row r="873" spans="1:7">
      <c r="A873" s="44">
        <v>542.13383127101008</v>
      </c>
      <c r="B873" s="44">
        <v>548.94413375323666</v>
      </c>
      <c r="C873" s="44">
        <v>533.11961165896662</v>
      </c>
      <c r="D873" s="44">
        <v>534.8370786114815</v>
      </c>
      <c r="E873" s="44">
        <v>1884855.9066943475</v>
      </c>
      <c r="F873" s="44" t="s">
        <v>812</v>
      </c>
      <c r="G873" s="25">
        <f t="shared" si="13"/>
        <v>1.3642944648624589E-2</v>
      </c>
    </row>
    <row r="874" spans="1:7">
      <c r="A874" s="44">
        <v>531.12417317656502</v>
      </c>
      <c r="B874" s="44">
        <v>551.7337766067435</v>
      </c>
      <c r="C874" s="44">
        <v>518.99270140793385</v>
      </c>
      <c r="D874" s="44">
        <v>551.7337766067435</v>
      </c>
      <c r="E874" s="44">
        <v>2959629.1402037791</v>
      </c>
      <c r="F874" s="44" t="s">
        <v>813</v>
      </c>
      <c r="G874" s="25">
        <f t="shared" si="13"/>
        <v>-3.7354253634662382E-2</v>
      </c>
    </row>
    <row r="875" spans="1:7">
      <c r="A875" s="44">
        <v>552.90522805412365</v>
      </c>
      <c r="B875" s="44">
        <v>560.23176337756854</v>
      </c>
      <c r="C875" s="44">
        <v>548.29884270171362</v>
      </c>
      <c r="D875" s="44">
        <v>551.76355927065993</v>
      </c>
      <c r="E875" s="44">
        <v>2236248.5836342396</v>
      </c>
      <c r="F875" s="44" t="s">
        <v>814</v>
      </c>
      <c r="G875" s="25">
        <f t="shared" si="13"/>
        <v>2.0691268284784847E-3</v>
      </c>
    </row>
    <row r="876" spans="1:7">
      <c r="A876" s="44">
        <v>557.84915026425301</v>
      </c>
      <c r="B876" s="44">
        <v>563.69647994651461</v>
      </c>
      <c r="C876" s="44">
        <v>550.93957223563837</v>
      </c>
      <c r="D876" s="44">
        <v>555.24813094888373</v>
      </c>
      <c r="E876" s="44">
        <v>1950048.1945785771</v>
      </c>
      <c r="F876" s="44" t="s">
        <v>815</v>
      </c>
      <c r="G876" s="25">
        <f t="shared" si="13"/>
        <v>4.684426962274113E-3</v>
      </c>
    </row>
    <row r="877" spans="1:7">
      <c r="A877" s="44">
        <v>549.17246750992933</v>
      </c>
      <c r="B877" s="44">
        <v>552.07131346446317</v>
      </c>
      <c r="C877" s="44">
        <v>543.00249230190627</v>
      </c>
      <c r="D877" s="44">
        <v>549.28167061095633</v>
      </c>
      <c r="E877" s="44">
        <v>1798830.6939333931</v>
      </c>
      <c r="F877" s="44" t="s">
        <v>816</v>
      </c>
      <c r="G877" s="25">
        <f t="shared" si="13"/>
        <v>-1.9881075023953088E-4</v>
      </c>
    </row>
    <row r="878" spans="1:7">
      <c r="A878" s="44">
        <v>546.70050640486465</v>
      </c>
      <c r="B878" s="44">
        <v>550.97928245419359</v>
      </c>
      <c r="C878" s="44">
        <v>541.2999166813496</v>
      </c>
      <c r="D878" s="44">
        <v>548.79522043365444</v>
      </c>
      <c r="E878" s="44">
        <v>691055.37562867394</v>
      </c>
      <c r="F878" s="44" t="s">
        <v>817</v>
      </c>
      <c r="G878" s="25">
        <f t="shared" si="13"/>
        <v>-3.8169319826337755E-3</v>
      </c>
    </row>
    <row r="879" spans="1:7">
      <c r="A879" s="44">
        <v>552.9747209365953</v>
      </c>
      <c r="B879" s="44">
        <v>557.50168585189465</v>
      </c>
      <c r="C879" s="44">
        <v>542.18346904420412</v>
      </c>
      <c r="D879" s="44">
        <v>544.63557503999129</v>
      </c>
      <c r="E879" s="44">
        <v>1035071.6136906889</v>
      </c>
      <c r="F879" s="44" t="s">
        <v>818</v>
      </c>
      <c r="G879" s="25">
        <f t="shared" si="13"/>
        <v>1.5311423415541148E-2</v>
      </c>
    </row>
    <row r="880" spans="1:7">
      <c r="A880" s="44">
        <v>539.47324662780773</v>
      </c>
      <c r="B880" s="44">
        <v>549.02355419034711</v>
      </c>
      <c r="C880" s="44">
        <v>539.14563732472698</v>
      </c>
      <c r="D880" s="44">
        <v>543.41448581941711</v>
      </c>
      <c r="E880" s="44">
        <v>832847.59447947075</v>
      </c>
      <c r="F880" s="44" t="s">
        <v>819</v>
      </c>
      <c r="G880" s="25">
        <f t="shared" si="13"/>
        <v>-7.2527311922250259E-3</v>
      </c>
    </row>
    <row r="881" spans="1:7">
      <c r="A881" s="44">
        <v>541.48854021948716</v>
      </c>
      <c r="B881" s="44">
        <v>544.86390879668397</v>
      </c>
      <c r="C881" s="44">
        <v>532.93098812082928</v>
      </c>
      <c r="D881" s="44">
        <v>536.76302421141145</v>
      </c>
      <c r="E881" s="44">
        <v>1057640.1119917729</v>
      </c>
      <c r="F881" s="44" t="s">
        <v>820</v>
      </c>
      <c r="G881" s="25">
        <f t="shared" si="13"/>
        <v>8.8037286380115987E-3</v>
      </c>
    </row>
    <row r="882" spans="1:7">
      <c r="A882" s="44">
        <v>536.76302421141145</v>
      </c>
      <c r="B882" s="44">
        <v>539.15556487936578</v>
      </c>
      <c r="C882" s="44">
        <v>531.45178247964589</v>
      </c>
      <c r="D882" s="44">
        <v>534.08258445893171</v>
      </c>
      <c r="E882" s="44">
        <v>625957.77370027138</v>
      </c>
      <c r="F882" s="44" t="s">
        <v>821</v>
      </c>
      <c r="G882" s="25">
        <f t="shared" si="13"/>
        <v>5.0187739321161384E-3</v>
      </c>
    </row>
    <row r="883" spans="1:7">
      <c r="A883" s="44">
        <v>535.23418079703413</v>
      </c>
      <c r="B883" s="44">
        <v>535.43273188981038</v>
      </c>
      <c r="C883" s="44">
        <v>523.88936845798264</v>
      </c>
      <c r="D883" s="44">
        <v>530.8462016466782</v>
      </c>
      <c r="E883" s="44">
        <v>1112663.7325986337</v>
      </c>
      <c r="F883" s="44" t="s">
        <v>822</v>
      </c>
      <c r="G883" s="25">
        <f t="shared" si="13"/>
        <v>8.2660083782166716E-3</v>
      </c>
    </row>
    <row r="884" spans="1:7">
      <c r="A884" s="44">
        <v>535.97874739494512</v>
      </c>
      <c r="B884" s="44">
        <v>537.14027128768635</v>
      </c>
      <c r="C884" s="44">
        <v>525.64416301593951</v>
      </c>
      <c r="D884" s="44">
        <v>527.6098188344248</v>
      </c>
      <c r="E884" s="44">
        <v>1217144.6483666163</v>
      </c>
      <c r="F884" s="44" t="s">
        <v>823</v>
      </c>
      <c r="G884" s="25">
        <f t="shared" si="13"/>
        <v>1.586196515259819E-2</v>
      </c>
    </row>
    <row r="885" spans="1:7">
      <c r="A885" s="44">
        <v>524.67126266133573</v>
      </c>
      <c r="B885" s="44">
        <v>527.08842366479416</v>
      </c>
      <c r="C885" s="44">
        <v>516.24276877298234</v>
      </c>
      <c r="D885" s="44">
        <v>525.97177231902026</v>
      </c>
      <c r="E885" s="44">
        <v>995945.1606887246</v>
      </c>
      <c r="F885" s="44" t="s">
        <v>824</v>
      </c>
      <c r="G885" s="25">
        <f t="shared" si="13"/>
        <v>-2.4725845114283995E-3</v>
      </c>
    </row>
    <row r="886" spans="1:7">
      <c r="A886" s="44">
        <v>526.32916428601766</v>
      </c>
      <c r="B886" s="44">
        <v>531.06460784873218</v>
      </c>
      <c r="C886" s="44">
        <v>523.45017344076155</v>
      </c>
      <c r="D886" s="44">
        <v>529.98250439310141</v>
      </c>
      <c r="E886" s="44">
        <v>1061092.1201898456</v>
      </c>
      <c r="F886" s="44" t="s">
        <v>825</v>
      </c>
      <c r="G886" s="25">
        <f t="shared" si="13"/>
        <v>-6.8933220942214435E-3</v>
      </c>
    </row>
    <row r="887" spans="1:7">
      <c r="A887" s="44">
        <v>532.55374104455427</v>
      </c>
      <c r="B887" s="44">
        <v>546.83949216980807</v>
      </c>
      <c r="C887" s="44">
        <v>527.70909438081276</v>
      </c>
      <c r="D887" s="44">
        <v>545.41985185645751</v>
      </c>
      <c r="E887" s="44">
        <v>2353437.5634310762</v>
      </c>
      <c r="F887" s="44" t="s">
        <v>826</v>
      </c>
      <c r="G887" s="25">
        <f t="shared" si="13"/>
        <v>-2.3589370222060313E-2</v>
      </c>
    </row>
    <row r="888" spans="1:7">
      <c r="A888" s="44">
        <v>549.77804834289702</v>
      </c>
      <c r="B888" s="44">
        <v>557.5711787343663</v>
      </c>
      <c r="C888" s="44">
        <v>546.93876771619614</v>
      </c>
      <c r="D888" s="44">
        <v>557.32298986839589</v>
      </c>
      <c r="E888" s="44">
        <v>1376916.1185530992</v>
      </c>
      <c r="F888" s="44" t="s">
        <v>827</v>
      </c>
      <c r="G888" s="25">
        <f t="shared" si="13"/>
        <v>-1.3537825753932253E-2</v>
      </c>
    </row>
    <row r="889" spans="1:7">
      <c r="A889" s="44">
        <v>563.12068177746346</v>
      </c>
      <c r="B889" s="44">
        <v>571.97606051528578</v>
      </c>
      <c r="C889" s="44">
        <v>559.61625498996204</v>
      </c>
      <c r="D889" s="44">
        <v>564.98706204956056</v>
      </c>
      <c r="E889" s="44">
        <v>2095108.0862028045</v>
      </c>
      <c r="F889" s="44" t="s">
        <v>828</v>
      </c>
      <c r="G889" s="25">
        <f t="shared" si="13"/>
        <v>-3.3034035599445177E-3</v>
      </c>
    </row>
    <row r="890" spans="1:7">
      <c r="A890" s="44">
        <v>566.94279031340727</v>
      </c>
      <c r="B890" s="44">
        <v>580.1692725054296</v>
      </c>
      <c r="C890" s="44">
        <v>562.34378468999967</v>
      </c>
      <c r="D890" s="44">
        <v>572.36038917075473</v>
      </c>
      <c r="E890" s="44">
        <v>1882043.5304418528</v>
      </c>
      <c r="F890" s="44" t="s">
        <v>829</v>
      </c>
      <c r="G890" s="25">
        <f t="shared" si="13"/>
        <v>-9.465363012273742E-3</v>
      </c>
    </row>
    <row r="891" spans="1:7">
      <c r="A891" s="44">
        <v>563.19214495062818</v>
      </c>
      <c r="B891" s="44">
        <v>564.45228241378413</v>
      </c>
      <c r="C891" s="44">
        <v>559.02476121420705</v>
      </c>
      <c r="D891" s="44">
        <v>560.98938497566269</v>
      </c>
      <c r="E891" s="44">
        <v>1172119.4180680017</v>
      </c>
      <c r="F891" s="44" t="s">
        <v>830</v>
      </c>
      <c r="G891" s="25">
        <f t="shared" si="13"/>
        <v>3.9265626658178121E-3</v>
      </c>
    </row>
    <row r="892" spans="1:7">
      <c r="A892" s="44">
        <v>555.87937872743203</v>
      </c>
      <c r="B892" s="44">
        <v>566.66496473097914</v>
      </c>
      <c r="C892" s="44">
        <v>554.9764455845409</v>
      </c>
      <c r="D892" s="44">
        <v>559.62010174798149</v>
      </c>
      <c r="E892" s="44">
        <v>1166210.5309682149</v>
      </c>
      <c r="F892" s="44" t="s">
        <v>831</v>
      </c>
      <c r="G892" s="25">
        <f t="shared" si="13"/>
        <v>-6.6843971631206367E-3</v>
      </c>
    </row>
    <row r="893" spans="1:7">
      <c r="A893" s="44">
        <v>563.53942692866337</v>
      </c>
      <c r="B893" s="44">
        <v>564.59119520499814</v>
      </c>
      <c r="C893" s="44">
        <v>552.44624831599936</v>
      </c>
      <c r="D893" s="44">
        <v>555.7801553051363</v>
      </c>
      <c r="E893" s="44">
        <v>1169433.5602953713</v>
      </c>
      <c r="F893" s="44" t="s">
        <v>832</v>
      </c>
      <c r="G893" s="25">
        <f t="shared" si="13"/>
        <v>1.3961044757467178E-2</v>
      </c>
    </row>
    <row r="894" spans="1:7">
      <c r="A894" s="44">
        <v>553.80560920145103</v>
      </c>
      <c r="B894" s="44">
        <v>554.90698918893384</v>
      </c>
      <c r="C894" s="44">
        <v>546.16540568467906</v>
      </c>
      <c r="D894" s="44">
        <v>546.16540568467906</v>
      </c>
      <c r="E894" s="44">
        <v>959474.06164084724</v>
      </c>
      <c r="F894" s="44" t="s">
        <v>833</v>
      </c>
      <c r="G894" s="25">
        <f t="shared" si="13"/>
        <v>1.3988808952837495E-2</v>
      </c>
    </row>
    <row r="895" spans="1:7">
      <c r="A895" s="44">
        <v>546.25470676474515</v>
      </c>
      <c r="B895" s="44">
        <v>552.12873336465304</v>
      </c>
      <c r="C895" s="44">
        <v>541.56143889015652</v>
      </c>
      <c r="D895" s="44">
        <v>548.14987413059384</v>
      </c>
      <c r="E895" s="44">
        <v>1985107.9053988019</v>
      </c>
      <c r="F895" s="44" t="s">
        <v>834</v>
      </c>
      <c r="G895" s="25">
        <f t="shared" si="13"/>
        <v>-3.4573890377236349E-3</v>
      </c>
    </row>
    <row r="896" spans="1:7">
      <c r="A896" s="44">
        <v>552.88283137410076</v>
      </c>
      <c r="B896" s="44">
        <v>555.30388287811672</v>
      </c>
      <c r="C896" s="44">
        <v>547.66814441534802</v>
      </c>
      <c r="D896" s="44">
        <v>551.54331517310823</v>
      </c>
      <c r="E896" s="44">
        <v>1838337.1161733123</v>
      </c>
      <c r="F896" s="44" t="s">
        <v>835</v>
      </c>
      <c r="G896" s="25">
        <f t="shared" si="13"/>
        <v>2.4286690893391416E-3</v>
      </c>
    </row>
    <row r="897" spans="1:7">
      <c r="A897" s="44">
        <v>558.62786752502416</v>
      </c>
      <c r="B897" s="44">
        <v>560.41388912634739</v>
      </c>
      <c r="C897" s="44">
        <v>546.00664820900579</v>
      </c>
      <c r="D897" s="44">
        <v>549.2413317758469</v>
      </c>
      <c r="E897" s="44">
        <v>1022392.6735527843</v>
      </c>
      <c r="F897" s="44" t="s">
        <v>836</v>
      </c>
      <c r="G897" s="25">
        <f t="shared" si="13"/>
        <v>1.7090002529176029E-2</v>
      </c>
    </row>
    <row r="898" spans="1:7">
      <c r="A898" s="44">
        <v>560.17575291283765</v>
      </c>
      <c r="B898" s="44">
        <v>564.90871015634457</v>
      </c>
      <c r="C898" s="44">
        <v>550.13077053330608</v>
      </c>
      <c r="D898" s="44">
        <v>563.24175666177609</v>
      </c>
      <c r="E898" s="44">
        <v>1435067.4135749033</v>
      </c>
      <c r="F898" s="44" t="s">
        <v>837</v>
      </c>
      <c r="G898" s="25">
        <f t="shared" si="13"/>
        <v>-5.4434951114243901E-3</v>
      </c>
    </row>
    <row r="899" spans="1:7">
      <c r="A899" s="44">
        <v>555.86945638520251</v>
      </c>
      <c r="B899" s="44">
        <v>557.61578861760756</v>
      </c>
      <c r="C899" s="44">
        <v>535.6675676057896</v>
      </c>
      <c r="D899" s="44">
        <v>537.10630722907774</v>
      </c>
      <c r="E899" s="44">
        <v>3156721.3945355238</v>
      </c>
      <c r="F899" s="44" t="s">
        <v>838</v>
      </c>
      <c r="G899" s="25">
        <f t="shared" si="13"/>
        <v>3.4933771775877087E-2</v>
      </c>
    </row>
    <row r="900" spans="1:7">
      <c r="A900" s="44">
        <v>535.55842184126425</v>
      </c>
      <c r="B900" s="44">
        <v>536.18849057284217</v>
      </c>
      <c r="C900" s="44">
        <v>526.45963401674476</v>
      </c>
      <c r="D900" s="44">
        <v>531.30173702477691</v>
      </c>
      <c r="E900" s="44">
        <v>1204930.2194360143</v>
      </c>
      <c r="F900" s="44" t="s">
        <v>839</v>
      </c>
      <c r="G900" s="25">
        <f t="shared" si="13"/>
        <v>8.0118029357936216E-3</v>
      </c>
    </row>
    <row r="901" spans="1:7">
      <c r="A901" s="44">
        <v>535.83624742369227</v>
      </c>
      <c r="B901" s="44">
        <v>545.72882262657777</v>
      </c>
      <c r="C901" s="44">
        <v>533.98076942676187</v>
      </c>
      <c r="D901" s="44">
        <v>539.08085333276301</v>
      </c>
      <c r="E901" s="44">
        <v>1836946.3155255714</v>
      </c>
      <c r="F901" s="44" t="s">
        <v>840</v>
      </c>
      <c r="G901" s="25">
        <f t="shared" si="13"/>
        <v>-6.0187741579238452E-3</v>
      </c>
    </row>
    <row r="902" spans="1:7">
      <c r="A902" s="44">
        <v>546.96911540527447</v>
      </c>
      <c r="B902" s="44">
        <v>550.15418726096777</v>
      </c>
      <c r="C902" s="44">
        <v>543.11924662019976</v>
      </c>
      <c r="D902" s="44">
        <v>546.21501739582686</v>
      </c>
      <c r="E902" s="44">
        <v>553466.09428887826</v>
      </c>
      <c r="F902" s="44" t="s">
        <v>841</v>
      </c>
      <c r="G902" s="25">
        <f t="shared" ref="G902:G965" si="14">A902/D902-1</f>
        <v>1.3805882032371652E-3</v>
      </c>
    </row>
    <row r="903" spans="1:7">
      <c r="A903" s="44">
        <v>543.03986788236307</v>
      </c>
      <c r="B903" s="44">
        <v>548.5269231353177</v>
      </c>
      <c r="C903" s="44">
        <v>538.77822189476103</v>
      </c>
      <c r="D903" s="44">
        <v>541.42252609894251</v>
      </c>
      <c r="E903" s="44">
        <v>830078.20224655734</v>
      </c>
      <c r="F903" s="44" t="s">
        <v>842</v>
      </c>
      <c r="G903" s="25">
        <f t="shared" si="14"/>
        <v>2.9872081515962545E-3</v>
      </c>
    </row>
    <row r="904" spans="1:7">
      <c r="A904" s="44">
        <v>540.51959295605127</v>
      </c>
      <c r="B904" s="44">
        <v>541.21415691212155</v>
      </c>
      <c r="C904" s="44">
        <v>533.46480763082411</v>
      </c>
      <c r="D904" s="44">
        <v>536.80863696219058</v>
      </c>
      <c r="E904" s="44">
        <v>1515376.0727163849</v>
      </c>
      <c r="F904" s="44" t="s">
        <v>843</v>
      </c>
      <c r="G904" s="25">
        <f t="shared" si="14"/>
        <v>6.9129960629192855E-3</v>
      </c>
    </row>
    <row r="905" spans="1:7">
      <c r="A905" s="44">
        <v>532.11536908760195</v>
      </c>
      <c r="B905" s="44">
        <v>535.80648039700361</v>
      </c>
      <c r="C905" s="44">
        <v>528.40441309374125</v>
      </c>
      <c r="D905" s="44">
        <v>528.64254930725099</v>
      </c>
      <c r="E905" s="44">
        <v>1340080.7684669718</v>
      </c>
      <c r="F905" s="44" t="s">
        <v>844</v>
      </c>
      <c r="G905" s="25">
        <f t="shared" si="14"/>
        <v>6.5693156650024065E-3</v>
      </c>
    </row>
    <row r="906" spans="1:7">
      <c r="A906" s="44">
        <v>531.08344549572632</v>
      </c>
      <c r="B906" s="44">
        <v>538.941940541549</v>
      </c>
      <c r="C906" s="44">
        <v>525.26399177808105</v>
      </c>
      <c r="D906" s="44">
        <v>537.10630722907774</v>
      </c>
      <c r="E906" s="44">
        <v>1238017.1652804625</v>
      </c>
      <c r="F906" s="44" t="s">
        <v>845</v>
      </c>
      <c r="G906" s="25">
        <f t="shared" si="14"/>
        <v>-1.1213537529326856E-2</v>
      </c>
    </row>
    <row r="907" spans="1:7">
      <c r="A907" s="44">
        <v>525.7749924029041</v>
      </c>
      <c r="B907" s="44">
        <v>527.2286155395368</v>
      </c>
      <c r="C907" s="44">
        <v>515.00925108381614</v>
      </c>
      <c r="D907" s="44">
        <v>525.11019547352271</v>
      </c>
      <c r="E907" s="44">
        <v>1291866.346011949</v>
      </c>
      <c r="F907" s="44" t="s">
        <v>846</v>
      </c>
      <c r="G907" s="25">
        <f t="shared" si="14"/>
        <v>1.2660141340083975E-3</v>
      </c>
    </row>
    <row r="908" spans="1:7">
      <c r="A908" s="44">
        <v>531.84746584740344</v>
      </c>
      <c r="B908" s="44">
        <v>543.92295634079517</v>
      </c>
      <c r="C908" s="44">
        <v>527.09466391943749</v>
      </c>
      <c r="D908" s="44">
        <v>541.75988573474808</v>
      </c>
      <c r="E908" s="44">
        <v>1142646.5382545677</v>
      </c>
      <c r="F908" s="44" t="s">
        <v>847</v>
      </c>
      <c r="G908" s="25">
        <f t="shared" si="14"/>
        <v>-1.8296703296703409E-2</v>
      </c>
    </row>
    <row r="909" spans="1:7">
      <c r="A909" s="44">
        <v>541.84918681481429</v>
      </c>
      <c r="B909" s="44">
        <v>548.58645718869502</v>
      </c>
      <c r="C909" s="44">
        <v>536.28275282402319</v>
      </c>
      <c r="D909" s="44">
        <v>539.56704810201211</v>
      </c>
      <c r="E909" s="44">
        <v>1543428.9249119444</v>
      </c>
      <c r="F909" s="44" t="s">
        <v>848</v>
      </c>
      <c r="G909" s="25">
        <f t="shared" si="14"/>
        <v>4.2295739164017743E-3</v>
      </c>
    </row>
    <row r="910" spans="1:7">
      <c r="A910" s="44">
        <v>530.61709541093626</v>
      </c>
      <c r="B910" s="44">
        <v>537.97947334528033</v>
      </c>
      <c r="C910" s="44">
        <v>530.03167721939133</v>
      </c>
      <c r="D910" s="44">
        <v>536.3720539040894</v>
      </c>
      <c r="E910" s="44">
        <v>1469871.6958713445</v>
      </c>
      <c r="F910" s="44" t="s">
        <v>849</v>
      </c>
      <c r="G910" s="25">
        <f t="shared" si="14"/>
        <v>-1.0729415246869323E-2</v>
      </c>
    </row>
    <row r="911" spans="1:7">
      <c r="A911" s="44">
        <v>534.49673122269974</v>
      </c>
      <c r="B911" s="44">
        <v>541.22407925435107</v>
      </c>
      <c r="C911" s="44">
        <v>522.53038649383336</v>
      </c>
      <c r="D911" s="44">
        <v>522.76852270734321</v>
      </c>
      <c r="E911" s="44">
        <v>2441461.8483724403</v>
      </c>
      <c r="F911" s="44" t="s">
        <v>850</v>
      </c>
      <c r="G911" s="25">
        <f t="shared" si="14"/>
        <v>2.2434802414303512E-2</v>
      </c>
    </row>
    <row r="912" spans="1:7">
      <c r="A912" s="44">
        <v>516.5372917871706</v>
      </c>
      <c r="B912" s="44">
        <v>516.6265928672367</v>
      </c>
      <c r="C912" s="44">
        <v>502.30865302996131</v>
      </c>
      <c r="D912" s="44">
        <v>503.08259572386805</v>
      </c>
      <c r="E912" s="44">
        <v>1952757.6807670339</v>
      </c>
      <c r="F912" s="44" t="s">
        <v>851</v>
      </c>
      <c r="G912" s="25">
        <f t="shared" si="14"/>
        <v>2.6744507120034733E-2</v>
      </c>
    </row>
    <row r="913" spans="1:7">
      <c r="A913" s="44">
        <v>480.94585020968816</v>
      </c>
      <c r="B913" s="44">
        <v>492.0985628757295</v>
      </c>
      <c r="C913" s="44">
        <v>479.97346067118991</v>
      </c>
      <c r="D913" s="44">
        <v>487.66327589910986</v>
      </c>
      <c r="E913" s="44">
        <v>1069356.3832513965</v>
      </c>
      <c r="F913" s="44" t="s">
        <v>852</v>
      </c>
      <c r="G913" s="25">
        <f t="shared" si="14"/>
        <v>-1.3774721250101707E-2</v>
      </c>
    </row>
    <row r="914" spans="1:7">
      <c r="A914" s="44">
        <v>488.34791751295046</v>
      </c>
      <c r="B914" s="44">
        <v>496.84144246146593</v>
      </c>
      <c r="C914" s="44">
        <v>484.0118539586266</v>
      </c>
      <c r="D914" s="44">
        <v>490.42168703893145</v>
      </c>
      <c r="E914" s="44">
        <v>2018837.8445861912</v>
      </c>
      <c r="F914" s="44" t="s">
        <v>853</v>
      </c>
      <c r="G914" s="25">
        <f t="shared" si="14"/>
        <v>-4.2285436814631927E-3</v>
      </c>
    </row>
    <row r="915" spans="1:7">
      <c r="A915" s="44">
        <v>488.27846111734345</v>
      </c>
      <c r="B915" s="44">
        <v>496.20641255877314</v>
      </c>
      <c r="C915" s="44">
        <v>485.89709898224567</v>
      </c>
      <c r="D915" s="44">
        <v>495.1248772557496</v>
      </c>
      <c r="E915" s="44">
        <v>1351563.9442498423</v>
      </c>
      <c r="F915" s="44" t="s">
        <v>854</v>
      </c>
      <c r="G915" s="25">
        <f t="shared" si="14"/>
        <v>-1.3827655310621245E-2</v>
      </c>
    </row>
    <row r="916" spans="1:7">
      <c r="A916" s="44">
        <v>491.70166918654655</v>
      </c>
      <c r="B916" s="44">
        <v>491.85050431999014</v>
      </c>
      <c r="C916" s="44">
        <v>480.07268409348563</v>
      </c>
      <c r="D916" s="44">
        <v>489.43937515820363</v>
      </c>
      <c r="E916" s="44">
        <v>1786121.6222896434</v>
      </c>
      <c r="F916" s="44" t="s">
        <v>855</v>
      </c>
      <c r="G916" s="25">
        <f t="shared" si="14"/>
        <v>4.62221501408977E-3</v>
      </c>
    </row>
    <row r="917" spans="1:7">
      <c r="A917" s="44">
        <v>483.15853252688316</v>
      </c>
      <c r="B917" s="44">
        <v>487.0183236541875</v>
      </c>
      <c r="C917" s="44">
        <v>472.07527625644883</v>
      </c>
      <c r="D917" s="44">
        <v>480.35050967591371</v>
      </c>
      <c r="E917" s="44">
        <v>1483082.2863717717</v>
      </c>
      <c r="F917" s="44" t="s">
        <v>856</v>
      </c>
      <c r="G917" s="25">
        <f t="shared" si="14"/>
        <v>5.8457788519137299E-3</v>
      </c>
    </row>
    <row r="918" spans="1:7">
      <c r="A918" s="44">
        <v>487.16715878763114</v>
      </c>
      <c r="B918" s="44">
        <v>511.99285904602561</v>
      </c>
      <c r="C918" s="44">
        <v>486.32375969811733</v>
      </c>
      <c r="D918" s="44">
        <v>511.99285904602561</v>
      </c>
      <c r="E918" s="44">
        <v>1817641.3978389918</v>
      </c>
      <c r="F918" s="44" t="s">
        <v>857</v>
      </c>
      <c r="G918" s="25">
        <f t="shared" si="14"/>
        <v>-4.8488372093023258E-2</v>
      </c>
    </row>
    <row r="919" spans="1:7">
      <c r="A919" s="44">
        <v>513.66973488282372</v>
      </c>
      <c r="B919" s="44">
        <v>521.87551190668148</v>
      </c>
      <c r="C919" s="44">
        <v>509.01615637715338</v>
      </c>
      <c r="D919" s="44">
        <v>512.52866552642263</v>
      </c>
      <c r="E919" s="44">
        <v>2128638.5322456774</v>
      </c>
      <c r="F919" s="44" t="s">
        <v>858</v>
      </c>
      <c r="G919" s="25">
        <f t="shared" si="14"/>
        <v>2.2263522670076252E-3</v>
      </c>
    </row>
    <row r="920" spans="1:7">
      <c r="A920" s="44">
        <v>509.97862357342211</v>
      </c>
      <c r="B920" s="44">
        <v>512.45920913081568</v>
      </c>
      <c r="C920" s="44">
        <v>496.50408282566042</v>
      </c>
      <c r="D920" s="44">
        <v>496.50408282566042</v>
      </c>
      <c r="E920" s="44">
        <v>2897674.6956281918</v>
      </c>
      <c r="F920" s="44" t="s">
        <v>859</v>
      </c>
      <c r="G920" s="25">
        <f t="shared" si="14"/>
        <v>2.7138831711265299E-2</v>
      </c>
    </row>
    <row r="921" spans="1:7">
      <c r="A921" s="44">
        <v>499.92729089486346</v>
      </c>
      <c r="B921" s="44">
        <v>504.5163741760415</v>
      </c>
      <c r="C921" s="44">
        <v>495.73510130286843</v>
      </c>
      <c r="D921" s="44">
        <v>497.3574042574038</v>
      </c>
      <c r="E921" s="44">
        <v>2032931.2911499671</v>
      </c>
      <c r="F921" s="44" t="s">
        <v>860</v>
      </c>
      <c r="G921" s="25">
        <f t="shared" si="14"/>
        <v>5.1670822942642136E-3</v>
      </c>
    </row>
    <row r="922" spans="1:7">
      <c r="A922" s="44">
        <v>494.45015798413857</v>
      </c>
      <c r="B922" s="44">
        <v>503.46956707082148</v>
      </c>
      <c r="C922" s="44">
        <v>486.31383735588776</v>
      </c>
      <c r="D922" s="44">
        <v>494.77759527771451</v>
      </c>
      <c r="E922" s="44">
        <v>2353073.4437288279</v>
      </c>
      <c r="F922" s="44" t="s">
        <v>861</v>
      </c>
      <c r="G922" s="25">
        <f t="shared" si="14"/>
        <v>-6.6178682442596948E-4</v>
      </c>
    </row>
    <row r="923" spans="1:7">
      <c r="A923" s="44">
        <v>499.09381414757928</v>
      </c>
      <c r="B923" s="44">
        <v>513.570511460528</v>
      </c>
      <c r="C923" s="44">
        <v>491.36430955074098</v>
      </c>
      <c r="D923" s="44">
        <v>496.11711147870705</v>
      </c>
      <c r="E923" s="44">
        <v>2466005.4484988442</v>
      </c>
      <c r="F923" s="44" t="s">
        <v>862</v>
      </c>
      <c r="G923" s="25">
        <f t="shared" si="14"/>
        <v>6.0000000000000053E-3</v>
      </c>
    </row>
    <row r="924" spans="1:7">
      <c r="A924" s="44">
        <v>510.62357581834442</v>
      </c>
      <c r="B924" s="44">
        <v>513.6201231716758</v>
      </c>
      <c r="C924" s="44">
        <v>500.78061232660684</v>
      </c>
      <c r="D924" s="44">
        <v>503.70770328433122</v>
      </c>
      <c r="E924" s="44">
        <v>2401436.0166876321</v>
      </c>
      <c r="F924" s="44" t="s">
        <v>863</v>
      </c>
      <c r="G924" s="25">
        <f t="shared" si="14"/>
        <v>1.3729932039791226E-2</v>
      </c>
    </row>
    <row r="925" spans="1:7">
      <c r="A925" s="44">
        <v>501.08820493572364</v>
      </c>
      <c r="B925" s="44">
        <v>505.28535569883354</v>
      </c>
      <c r="C925" s="44">
        <v>491.900116031138</v>
      </c>
      <c r="D925" s="44">
        <v>495.84920823850854</v>
      </c>
      <c r="E925" s="44">
        <v>1833149.8328878609</v>
      </c>
      <c r="F925" s="44" t="s">
        <v>864</v>
      </c>
      <c r="G925" s="25">
        <f t="shared" si="14"/>
        <v>1.0565705480959586E-2</v>
      </c>
    </row>
    <row r="926" spans="1:7">
      <c r="A926" s="44">
        <v>492.88242791186588</v>
      </c>
      <c r="B926" s="44">
        <v>493.08087475645732</v>
      </c>
      <c r="C926" s="44">
        <v>474.59555118276069</v>
      </c>
      <c r="D926" s="44">
        <v>482.38458983297642</v>
      </c>
      <c r="E926" s="44">
        <v>2859083.0011330466</v>
      </c>
      <c r="F926" s="44" t="s">
        <v>865</v>
      </c>
      <c r="G926" s="25">
        <f t="shared" si="14"/>
        <v>2.1762382754648701E-2</v>
      </c>
    </row>
    <row r="927" spans="1:7">
      <c r="A927" s="44">
        <v>483.07915378904659</v>
      </c>
      <c r="B927" s="44">
        <v>498.27025974252462</v>
      </c>
      <c r="C927" s="44">
        <v>481.78924929920197</v>
      </c>
      <c r="D927" s="44">
        <v>494.87681870001023</v>
      </c>
      <c r="E927" s="44">
        <v>3292874.7309900341</v>
      </c>
      <c r="F927" s="44" t="s">
        <v>866</v>
      </c>
      <c r="G927" s="25">
        <f t="shared" si="14"/>
        <v>-2.3839598997493772E-2</v>
      </c>
    </row>
    <row r="928" spans="1:7">
      <c r="A928" s="44">
        <v>501.68354546949814</v>
      </c>
      <c r="B928" s="44">
        <v>511.80433454366369</v>
      </c>
      <c r="C928" s="44">
        <v>494.79743996217366</v>
      </c>
      <c r="D928" s="44">
        <v>510.00839060011083</v>
      </c>
      <c r="E928" s="44">
        <v>1963188.6856250919</v>
      </c>
      <c r="F928" s="44" t="s">
        <v>867</v>
      </c>
      <c r="G928" s="25">
        <f t="shared" si="14"/>
        <v>-1.6322957198443566E-2</v>
      </c>
    </row>
    <row r="929" spans="1:7">
      <c r="A929" s="44">
        <v>520.32762651886787</v>
      </c>
      <c r="B929" s="44">
        <v>528.57309291164404</v>
      </c>
      <c r="C929" s="44">
        <v>517.25170042769992</v>
      </c>
      <c r="D929" s="44">
        <v>526.6580808613362</v>
      </c>
      <c r="E929" s="44">
        <v>977969.6946026904</v>
      </c>
      <c r="F929" s="44" t="s">
        <v>868</v>
      </c>
      <c r="G929" s="25">
        <f t="shared" si="14"/>
        <v>-1.2020045970081772E-2</v>
      </c>
    </row>
    <row r="930" spans="1:7">
      <c r="A930" s="44">
        <v>513.21330714026328</v>
      </c>
      <c r="B930" s="44">
        <v>517.14255466317468</v>
      </c>
      <c r="C930" s="44">
        <v>505.3349674099814</v>
      </c>
      <c r="D930" s="44">
        <v>506.36689100185708</v>
      </c>
      <c r="E930" s="44">
        <v>1079542.4862562651</v>
      </c>
      <c r="F930" s="44" t="s">
        <v>869</v>
      </c>
      <c r="G930" s="25">
        <f t="shared" si="14"/>
        <v>1.352066310034683E-2</v>
      </c>
    </row>
    <row r="931" spans="1:7">
      <c r="A931" s="44">
        <v>499.14342585872714</v>
      </c>
      <c r="B931" s="44">
        <v>513.38694812928077</v>
      </c>
      <c r="C931" s="44">
        <v>498.2404927158359</v>
      </c>
      <c r="D931" s="44">
        <v>510.08776933794746</v>
      </c>
      <c r="E931" s="44">
        <v>1277385.8940505409</v>
      </c>
      <c r="F931" s="44" t="s">
        <v>870</v>
      </c>
      <c r="G931" s="25">
        <f t="shared" si="14"/>
        <v>-2.1455804544039947E-2</v>
      </c>
    </row>
    <row r="932" spans="1:7">
      <c r="A932" s="44">
        <v>506.57526018867816</v>
      </c>
      <c r="B932" s="44">
        <v>510.772410951788</v>
      </c>
      <c r="C932" s="44">
        <v>484.46828170118698</v>
      </c>
      <c r="D932" s="44">
        <v>485.3811371863078</v>
      </c>
      <c r="E932" s="44">
        <v>1751191.3616736601</v>
      </c>
      <c r="F932" s="44" t="s">
        <v>871</v>
      </c>
      <c r="G932" s="25">
        <f t="shared" si="14"/>
        <v>4.3664908622592868E-2</v>
      </c>
    </row>
    <row r="933" spans="1:7">
      <c r="A933" s="44">
        <v>496.7819084080885</v>
      </c>
      <c r="B933" s="44">
        <v>500.18527179283245</v>
      </c>
      <c r="C933" s="44">
        <v>494.54938140643429</v>
      </c>
      <c r="D933" s="44">
        <v>498.50839595603441</v>
      </c>
      <c r="E933" s="44">
        <v>1107546.9627771203</v>
      </c>
      <c r="F933" s="44" t="s">
        <v>872</v>
      </c>
      <c r="G933" s="25">
        <f t="shared" si="14"/>
        <v>-3.4633068609303264E-3</v>
      </c>
    </row>
    <row r="934" spans="1:7">
      <c r="A934" s="44">
        <v>496.92082119930251</v>
      </c>
      <c r="B934" s="44">
        <v>503.77715967993828</v>
      </c>
      <c r="C934" s="44">
        <v>492.91219493855453</v>
      </c>
      <c r="D934" s="44">
        <v>503.07267338163848</v>
      </c>
      <c r="E934" s="44">
        <v>1680274.6382106557</v>
      </c>
      <c r="F934" s="44" t="s">
        <v>873</v>
      </c>
      <c r="G934" s="25">
        <f t="shared" si="14"/>
        <v>-1.2228555649789974E-2</v>
      </c>
    </row>
    <row r="935" spans="1:7">
      <c r="A935" s="44">
        <v>506.87293045556538</v>
      </c>
      <c r="B935" s="44">
        <v>520.02003390975119</v>
      </c>
      <c r="C935" s="44">
        <v>505.97991965490371</v>
      </c>
      <c r="D935" s="44">
        <v>520.02003390975119</v>
      </c>
      <c r="E935" s="44">
        <v>955372.2075565675</v>
      </c>
      <c r="F935" s="44" t="s">
        <v>874</v>
      </c>
      <c r="G935" s="25">
        <f t="shared" si="14"/>
        <v>-2.528191722795714E-2</v>
      </c>
    </row>
    <row r="936" spans="1:7">
      <c r="A936" s="44">
        <v>519.54376148273161</v>
      </c>
      <c r="B936" s="44">
        <v>531.63909666058237</v>
      </c>
      <c r="C936" s="44">
        <v>516.85480673851691</v>
      </c>
      <c r="D936" s="44">
        <v>530.84530928221648</v>
      </c>
      <c r="E936" s="44">
        <v>984398.62020554557</v>
      </c>
      <c r="F936" s="44" t="s">
        <v>875</v>
      </c>
      <c r="G936" s="25">
        <f t="shared" si="14"/>
        <v>-2.1289719626168102E-2</v>
      </c>
    </row>
    <row r="937" spans="1:7">
      <c r="A937" s="44">
        <v>536.39189858854843</v>
      </c>
      <c r="B937" s="44">
        <v>542.06747834386476</v>
      </c>
      <c r="C937" s="44">
        <v>533.03814691495245</v>
      </c>
      <c r="D937" s="44">
        <v>540.11277692463875</v>
      </c>
      <c r="E937" s="44">
        <v>979278.86129936832</v>
      </c>
      <c r="F937" s="44" t="s">
        <v>876</v>
      </c>
      <c r="G937" s="25">
        <f t="shared" si="14"/>
        <v>-6.8890766800161485E-3</v>
      </c>
    </row>
    <row r="938" spans="1:7">
      <c r="A938" s="44">
        <v>542.02778897494659</v>
      </c>
      <c r="B938" s="44">
        <v>544.66217083689844</v>
      </c>
      <c r="C938" s="44">
        <v>529.85307505925914</v>
      </c>
      <c r="D938" s="44">
        <v>531.63909666058237</v>
      </c>
      <c r="E938" s="44">
        <v>1176487.3383631536</v>
      </c>
      <c r="F938" s="44" t="s">
        <v>877</v>
      </c>
      <c r="G938" s="25">
        <f t="shared" si="14"/>
        <v>1.9540873460246466E-2</v>
      </c>
    </row>
    <row r="939" spans="1:7">
      <c r="A939" s="44">
        <v>535.73702400139655</v>
      </c>
      <c r="B939" s="44">
        <v>537.41886100930935</v>
      </c>
      <c r="C939" s="44">
        <v>525.17469069801484</v>
      </c>
      <c r="D939" s="44">
        <v>526.59854680795877</v>
      </c>
      <c r="E939" s="44">
        <v>1204683.3019297125</v>
      </c>
      <c r="F939" s="44" t="s">
        <v>878</v>
      </c>
      <c r="G939" s="25">
        <f t="shared" si="14"/>
        <v>1.7353783539342693E-2</v>
      </c>
    </row>
    <row r="940" spans="1:7">
      <c r="A940" s="44">
        <v>518.86904221112047</v>
      </c>
      <c r="B940" s="44">
        <v>522.78836739180235</v>
      </c>
      <c r="C940" s="44">
        <v>505.67232704578691</v>
      </c>
      <c r="D940" s="44">
        <v>508.82763187479145</v>
      </c>
      <c r="E940" s="44">
        <v>2482162.9238499925</v>
      </c>
      <c r="F940" s="44" t="s">
        <v>879</v>
      </c>
      <c r="G940" s="25">
        <f t="shared" si="14"/>
        <v>1.9734404555293406E-2</v>
      </c>
    </row>
    <row r="941" spans="1:7">
      <c r="A941" s="44">
        <v>503.25127554177084</v>
      </c>
      <c r="B941" s="44">
        <v>517.53944835235757</v>
      </c>
      <c r="C941" s="44">
        <v>502.80477014143997</v>
      </c>
      <c r="D941" s="44">
        <v>510.80217797847672</v>
      </c>
      <c r="E941" s="44">
        <v>1710489.2783695518</v>
      </c>
      <c r="F941" s="44" t="s">
        <v>880</v>
      </c>
      <c r="G941" s="25">
        <f t="shared" si="14"/>
        <v>-1.478243978243976E-2</v>
      </c>
    </row>
    <row r="942" spans="1:7">
      <c r="A942" s="44">
        <v>512.59812192202969</v>
      </c>
      <c r="B942" s="44">
        <v>514.00709451862917</v>
      </c>
      <c r="C942" s="44">
        <v>508.45058287006765</v>
      </c>
      <c r="D942" s="44">
        <v>510.91132374300201</v>
      </c>
      <c r="E942" s="44">
        <v>1083064.8400706528</v>
      </c>
      <c r="F942" s="44" t="s">
        <v>881</v>
      </c>
      <c r="G942" s="25">
        <f t="shared" si="14"/>
        <v>3.3015478433124912E-3</v>
      </c>
    </row>
    <row r="943" spans="1:7">
      <c r="A943" s="44">
        <v>513.80864767403773</v>
      </c>
      <c r="B943" s="44">
        <v>517.16239934763382</v>
      </c>
      <c r="C943" s="44">
        <v>503.62336337537988</v>
      </c>
      <c r="D943" s="44">
        <v>506.71417297989223</v>
      </c>
      <c r="E943" s="44">
        <v>1881348.1301179822</v>
      </c>
      <c r="F943" s="44" t="s">
        <v>882</v>
      </c>
      <c r="G943" s="25">
        <f t="shared" si="14"/>
        <v>1.4000939923239697E-2</v>
      </c>
    </row>
    <row r="944" spans="1:7">
      <c r="A944" s="44">
        <v>504.70985984951824</v>
      </c>
      <c r="B944" s="44">
        <v>514.18004094369064</v>
      </c>
      <c r="C944" s="44">
        <v>501.64881727169461</v>
      </c>
      <c r="D944" s="44">
        <v>513.17361777134499</v>
      </c>
      <c r="E944" s="44">
        <v>1175690.1475570933</v>
      </c>
      <c r="F944" s="44" t="s">
        <v>883</v>
      </c>
      <c r="G944" s="25">
        <f t="shared" si="14"/>
        <v>-1.6492971635182485E-2</v>
      </c>
    </row>
    <row r="945" spans="1:7">
      <c r="A945" s="44">
        <v>510.31598320922757</v>
      </c>
      <c r="B945" s="44">
        <v>516.92426313412398</v>
      </c>
      <c r="C945" s="44">
        <v>507.41865927819197</v>
      </c>
      <c r="D945" s="44">
        <v>512.13177183723963</v>
      </c>
      <c r="E945" s="44">
        <v>999674.24731990125</v>
      </c>
      <c r="F945" s="44" t="s">
        <v>884</v>
      </c>
      <c r="G945" s="25">
        <f t="shared" si="14"/>
        <v>-3.5455496570697687E-3</v>
      </c>
    </row>
    <row r="946" spans="1:7">
      <c r="A946" s="44">
        <v>516.74566097399168</v>
      </c>
      <c r="B946" s="44">
        <v>517.4699919567505</v>
      </c>
      <c r="C946" s="44">
        <v>509.05584574607167</v>
      </c>
      <c r="D946" s="44">
        <v>512.34014102406081</v>
      </c>
      <c r="E946" s="44">
        <v>1377002.4943582711</v>
      </c>
      <c r="F946" s="44" t="s">
        <v>885</v>
      </c>
      <c r="G946" s="25">
        <f t="shared" si="14"/>
        <v>8.5988186307734971E-3</v>
      </c>
    </row>
    <row r="947" spans="1:7">
      <c r="A947" s="44">
        <v>516.24954386251295</v>
      </c>
      <c r="B947" s="44">
        <v>522.86774612963893</v>
      </c>
      <c r="C947" s="44">
        <v>514.5429009990263</v>
      </c>
      <c r="D947" s="44">
        <v>517.95618672599971</v>
      </c>
      <c r="E947" s="44">
        <v>1146357.3556349897</v>
      </c>
      <c r="F947" s="44" t="s">
        <v>886</v>
      </c>
      <c r="G947" s="25">
        <f t="shared" si="14"/>
        <v>-3.2949560353250362E-3</v>
      </c>
    </row>
    <row r="948" spans="1:7">
      <c r="A948" s="44">
        <v>521.60760866648309</v>
      </c>
      <c r="B948" s="44">
        <v>536.01484958382468</v>
      </c>
      <c r="C948" s="44">
        <v>520.12917967427643</v>
      </c>
      <c r="D948" s="44">
        <v>528.97990894305656</v>
      </c>
      <c r="E948" s="44">
        <v>1278898.6417115983</v>
      </c>
      <c r="F948" s="44" t="s">
        <v>887</v>
      </c>
      <c r="G948" s="25">
        <f t="shared" si="14"/>
        <v>-1.3936824729891772E-2</v>
      </c>
    </row>
    <row r="949" spans="1:7">
      <c r="A949" s="44">
        <v>528.0273640890174</v>
      </c>
      <c r="B949" s="44">
        <v>531.33150405146569</v>
      </c>
      <c r="C949" s="44">
        <v>524.40570917522291</v>
      </c>
      <c r="D949" s="44">
        <v>529.07913236535239</v>
      </c>
      <c r="E949" s="44">
        <v>1062084.914647446</v>
      </c>
      <c r="F949" s="44" t="s">
        <v>888</v>
      </c>
      <c r="G949" s="25">
        <f t="shared" si="14"/>
        <v>-1.9879224335174195E-3</v>
      </c>
    </row>
    <row r="950" spans="1:7">
      <c r="A950" s="44">
        <v>535.47904310342756</v>
      </c>
      <c r="B950" s="44">
        <v>535.81640273923313</v>
      </c>
      <c r="C950" s="44">
        <v>527.03512986606006</v>
      </c>
      <c r="D950" s="44">
        <v>531.58948494943456</v>
      </c>
      <c r="E950" s="44">
        <v>1080881.8877496331</v>
      </c>
      <c r="F950" s="44" t="s">
        <v>889</v>
      </c>
      <c r="G950" s="25">
        <f t="shared" si="14"/>
        <v>7.3168455436303237E-3</v>
      </c>
    </row>
    <row r="951" spans="1:7">
      <c r="A951" s="44">
        <v>537.07654020238908</v>
      </c>
      <c r="B951" s="44">
        <v>543.74435418066287</v>
      </c>
      <c r="C951" s="44">
        <v>532.27412656327522</v>
      </c>
      <c r="D951" s="44">
        <v>543.39707220262778</v>
      </c>
      <c r="E951" s="44">
        <v>1850010.77117533</v>
      </c>
      <c r="F951" s="44" t="s">
        <v>890</v>
      </c>
      <c r="G951" s="25">
        <f t="shared" si="14"/>
        <v>-1.1631516479503334E-2</v>
      </c>
    </row>
    <row r="952" spans="1:7">
      <c r="A952" s="44">
        <v>547.69344638803341</v>
      </c>
      <c r="B952" s="44">
        <v>556.60370971019097</v>
      </c>
      <c r="C952" s="44">
        <v>545.97688118231713</v>
      </c>
      <c r="D952" s="44">
        <v>555.65116485615181</v>
      </c>
      <c r="E952" s="44">
        <v>897419.15708768845</v>
      </c>
      <c r="F952" s="44" t="s">
        <v>891</v>
      </c>
      <c r="G952" s="25">
        <f t="shared" si="14"/>
        <v>-1.4321428571428485E-2</v>
      </c>
    </row>
    <row r="953" spans="1:7">
      <c r="A953" s="44">
        <v>553.79568685922152</v>
      </c>
      <c r="B953" s="44">
        <v>565.90590555041672</v>
      </c>
      <c r="C953" s="44">
        <v>548.32847629072614</v>
      </c>
      <c r="D953" s="44">
        <v>558.2508185203003</v>
      </c>
      <c r="E953" s="44">
        <v>1148316.5704605032</v>
      </c>
      <c r="F953" s="44" t="s">
        <v>892</v>
      </c>
      <c r="G953" s="25">
        <f t="shared" si="14"/>
        <v>-7.9805197113504978E-3</v>
      </c>
    </row>
    <row r="954" spans="1:7">
      <c r="A954" s="44">
        <v>555.17489242913211</v>
      </c>
      <c r="B954" s="44">
        <v>564.67540235995102</v>
      </c>
      <c r="C954" s="44">
        <v>552.58654890935782</v>
      </c>
      <c r="D954" s="44">
        <v>560.31191136876078</v>
      </c>
      <c r="E954" s="44">
        <v>1656615.7726907667</v>
      </c>
      <c r="F954" s="44" t="s">
        <v>893</v>
      </c>
      <c r="G954" s="25">
        <f t="shared" si="14"/>
        <v>-9.1681415929203425E-3</v>
      </c>
    </row>
    <row r="955" spans="1:7">
      <c r="A955" s="44">
        <v>574.38416981534965</v>
      </c>
      <c r="B955" s="44">
        <v>575.31141165097756</v>
      </c>
      <c r="C955" s="44">
        <v>562.76141653881541</v>
      </c>
      <c r="D955" s="44">
        <v>564.52664698525143</v>
      </c>
      <c r="E955" s="44">
        <v>1106365.0663532226</v>
      </c>
      <c r="F955" s="44" t="s">
        <v>894</v>
      </c>
      <c r="G955" s="25">
        <f t="shared" si="14"/>
        <v>1.7461572244180878E-2</v>
      </c>
    </row>
    <row r="956" spans="1:7">
      <c r="A956" s="44">
        <v>564.67540235995102</v>
      </c>
      <c r="B956" s="44">
        <v>567.56621514161475</v>
      </c>
      <c r="C956" s="44">
        <v>561.22923617940864</v>
      </c>
      <c r="D956" s="44">
        <v>561.6903778409777</v>
      </c>
      <c r="E956" s="44">
        <v>1157249.2782029256</v>
      </c>
      <c r="F956" s="44" t="s">
        <v>895</v>
      </c>
      <c r="G956" s="25">
        <f t="shared" si="14"/>
        <v>5.3143593636892916E-3</v>
      </c>
    </row>
    <row r="957" spans="1:7">
      <c r="A957" s="44">
        <v>561.85896726563726</v>
      </c>
      <c r="B957" s="44">
        <v>562.47382281439593</v>
      </c>
      <c r="C957" s="44">
        <v>542.74886012921957</v>
      </c>
      <c r="D957" s="44">
        <v>545.33720364899386</v>
      </c>
      <c r="E957" s="44">
        <v>1870397.6280637567</v>
      </c>
      <c r="F957" s="44" t="s">
        <v>896</v>
      </c>
      <c r="G957" s="25">
        <f t="shared" si="14"/>
        <v>3.0296417530459863E-2</v>
      </c>
    </row>
    <row r="958" spans="1:7">
      <c r="A958" s="44">
        <v>547.14210219534993</v>
      </c>
      <c r="B958" s="44">
        <v>549.69077761520418</v>
      </c>
      <c r="C958" s="44">
        <v>537.27466234027168</v>
      </c>
      <c r="D958" s="44">
        <v>538.89113741200811</v>
      </c>
      <c r="E958" s="44">
        <v>1149317.4639583502</v>
      </c>
      <c r="F958" s="44" t="s">
        <v>897</v>
      </c>
      <c r="G958" s="25">
        <f t="shared" si="14"/>
        <v>1.5311004784689164E-2</v>
      </c>
    </row>
    <row r="959" spans="1:7">
      <c r="A959" s="44">
        <v>540.62661678350423</v>
      </c>
      <c r="B959" s="44">
        <v>548.55031974250676</v>
      </c>
      <c r="C959" s="44">
        <v>537.18253317820768</v>
      </c>
      <c r="D959" s="44">
        <v>542.71910905427967</v>
      </c>
      <c r="E959" s="44">
        <v>1052012.0722760421</v>
      </c>
      <c r="F959" s="44" t="s">
        <v>898</v>
      </c>
      <c r="G959" s="25">
        <f t="shared" si="14"/>
        <v>-3.8555713920258583E-3</v>
      </c>
    </row>
    <row r="960" spans="1:7">
      <c r="A960" s="44">
        <v>539.0398927867077</v>
      </c>
      <c r="B960" s="44">
        <v>553.24315513328224</v>
      </c>
      <c r="C960" s="44">
        <v>537.07632184067222</v>
      </c>
      <c r="D960" s="44">
        <v>549.17509231624535</v>
      </c>
      <c r="E960" s="44">
        <v>803589.78787382517</v>
      </c>
      <c r="F960" s="44" t="s">
        <v>899</v>
      </c>
      <c r="G960" s="25">
        <f t="shared" si="14"/>
        <v>-1.84553153836432E-2</v>
      </c>
    </row>
    <row r="961" spans="1:7">
      <c r="A961" s="44">
        <v>546.180150772292</v>
      </c>
      <c r="B961" s="44">
        <v>546.40824234683157</v>
      </c>
      <c r="C961" s="44">
        <v>537.05152927822212</v>
      </c>
      <c r="D961" s="44">
        <v>537.93910301393032</v>
      </c>
      <c r="E961" s="44">
        <v>921594.93582522101</v>
      </c>
      <c r="F961" s="44" t="s">
        <v>900</v>
      </c>
      <c r="G961" s="25">
        <f t="shared" si="14"/>
        <v>1.5319666691246736E-2</v>
      </c>
    </row>
    <row r="962" spans="1:7">
      <c r="A962" s="44">
        <v>540.79520620816402</v>
      </c>
      <c r="B962" s="44">
        <v>554.50053473049354</v>
      </c>
      <c r="C962" s="44">
        <v>539.80350371016618</v>
      </c>
      <c r="D962" s="44">
        <v>551.55517831144005</v>
      </c>
      <c r="E962" s="44">
        <v>1176334.6390225389</v>
      </c>
      <c r="F962" s="44" t="s">
        <v>901</v>
      </c>
      <c r="G962" s="25">
        <f t="shared" si="14"/>
        <v>-1.9508423683405884E-2</v>
      </c>
    </row>
    <row r="963" spans="1:7">
      <c r="A963" s="44">
        <v>549.69077761520418</v>
      </c>
      <c r="B963" s="44">
        <v>554.26252613097415</v>
      </c>
      <c r="C963" s="44">
        <v>545.92230812281264</v>
      </c>
      <c r="D963" s="44">
        <v>552.79480643393731</v>
      </c>
      <c r="E963" s="44">
        <v>1067123.4590379549</v>
      </c>
      <c r="F963" s="44" t="s">
        <v>902</v>
      </c>
      <c r="G963" s="25">
        <f t="shared" si="14"/>
        <v>-5.6151555380143936E-3</v>
      </c>
    </row>
    <row r="964" spans="1:7">
      <c r="A964" s="44">
        <v>552.07086361039899</v>
      </c>
      <c r="B964" s="44">
        <v>557.44390774455098</v>
      </c>
      <c r="C964" s="44">
        <v>550.7370237505919</v>
      </c>
      <c r="D964" s="44">
        <v>556.45418865154932</v>
      </c>
      <c r="E964" s="44">
        <v>710385.42448196816</v>
      </c>
      <c r="F964" s="44" t="s">
        <v>903</v>
      </c>
      <c r="G964" s="25">
        <f t="shared" si="14"/>
        <v>-7.8772433212739301E-3</v>
      </c>
    </row>
    <row r="965" spans="1:7">
      <c r="A965" s="44">
        <v>559.03261514634357</v>
      </c>
      <c r="B965" s="44">
        <v>580.39388695321634</v>
      </c>
      <c r="C965" s="44">
        <v>558.83427464674401</v>
      </c>
      <c r="D965" s="44">
        <v>579.15425883071907</v>
      </c>
      <c r="E965" s="44">
        <v>778423.9744868601</v>
      </c>
      <c r="F965" s="44" t="s">
        <v>904</v>
      </c>
      <c r="G965" s="25">
        <f t="shared" si="14"/>
        <v>-3.4743150684931501E-2</v>
      </c>
    </row>
    <row r="966" spans="1:7">
      <c r="A966" s="44">
        <v>580.61206150277587</v>
      </c>
      <c r="B966" s="44">
        <v>581.22691705153454</v>
      </c>
      <c r="C966" s="44">
        <v>568.354618627523</v>
      </c>
      <c r="D966" s="44">
        <v>573.55113971703145</v>
      </c>
      <c r="E966" s="44">
        <v>935774.59154696262</v>
      </c>
      <c r="F966" s="44" t="s">
        <v>905</v>
      </c>
      <c r="G966" s="25">
        <f t="shared" ref="G966:G1029" si="15">A966/D966-1</f>
        <v>1.2310884412553014E-2</v>
      </c>
    </row>
    <row r="967" spans="1:7">
      <c r="A967" s="44">
        <v>568.39428672744282</v>
      </c>
      <c r="B967" s="44">
        <v>571.40906232135626</v>
      </c>
      <c r="C967" s="44">
        <v>566.2422923067877</v>
      </c>
      <c r="D967" s="44">
        <v>568.22569730278326</v>
      </c>
      <c r="E967" s="44">
        <v>862477.40801989159</v>
      </c>
      <c r="F967" s="44" t="s">
        <v>906</v>
      </c>
      <c r="G967" s="25">
        <f t="shared" si="15"/>
        <v>2.9669447450153541E-4</v>
      </c>
    </row>
    <row r="968" spans="1:7">
      <c r="A968" s="44">
        <v>568.21578027780333</v>
      </c>
      <c r="B968" s="44">
        <v>571.71649009573548</v>
      </c>
      <c r="C968" s="44">
        <v>562.94984001343494</v>
      </c>
      <c r="D968" s="44">
        <v>567.2240777798055</v>
      </c>
      <c r="E968" s="44">
        <v>921118.98663586949</v>
      </c>
      <c r="F968" s="44" t="s">
        <v>907</v>
      </c>
      <c r="G968" s="25">
        <f t="shared" si="15"/>
        <v>1.7483434445864088E-3</v>
      </c>
    </row>
    <row r="969" spans="1:7">
      <c r="A969" s="44">
        <v>571.32972612151639</v>
      </c>
      <c r="B969" s="44">
        <v>579.29051875394396</v>
      </c>
      <c r="C969" s="44">
        <v>569.76283617467982</v>
      </c>
      <c r="D969" s="44">
        <v>575.88164058732639</v>
      </c>
      <c r="E969" s="44">
        <v>729191.46766291535</v>
      </c>
      <c r="F969" s="44" t="s">
        <v>908</v>
      </c>
      <c r="G969" s="25">
        <f t="shared" si="15"/>
        <v>-7.9042534871707204E-3</v>
      </c>
    </row>
    <row r="970" spans="1:7">
      <c r="A970" s="44">
        <v>583.66650519660902</v>
      </c>
      <c r="B970" s="44">
        <v>588.33742396217872</v>
      </c>
      <c r="C970" s="44">
        <v>581.11386296676278</v>
      </c>
      <c r="D970" s="44">
        <v>586.53252541582276</v>
      </c>
      <c r="E970" s="44">
        <v>858209.99918655283</v>
      </c>
      <c r="F970" s="44" t="s">
        <v>909</v>
      </c>
      <c r="G970" s="25">
        <f t="shared" si="15"/>
        <v>-4.8863790071690394E-3</v>
      </c>
    </row>
    <row r="971" spans="1:7">
      <c r="A971" s="44">
        <v>590.07290333367496</v>
      </c>
      <c r="B971" s="44">
        <v>593.74220257626689</v>
      </c>
      <c r="C971" s="44">
        <v>584.37557248267751</v>
      </c>
      <c r="D971" s="44">
        <v>593.14718107746819</v>
      </c>
      <c r="E971" s="44">
        <v>767390.42357608664</v>
      </c>
      <c r="F971" s="44" t="s">
        <v>910</v>
      </c>
      <c r="G971" s="25">
        <f t="shared" si="15"/>
        <v>-5.1829930949156555E-3</v>
      </c>
    </row>
    <row r="972" spans="1:7">
      <c r="A972" s="44">
        <v>591.09435690661257</v>
      </c>
      <c r="B972" s="44">
        <v>595.66610542238254</v>
      </c>
      <c r="C972" s="44">
        <v>589.64647125953593</v>
      </c>
      <c r="D972" s="44">
        <v>592.00672320477065</v>
      </c>
      <c r="E972" s="44">
        <v>997627.8188241371</v>
      </c>
      <c r="F972" s="44" t="s">
        <v>911</v>
      </c>
      <c r="G972" s="25">
        <f t="shared" si="15"/>
        <v>-1.5411417850443865E-3</v>
      </c>
    </row>
    <row r="973" spans="1:7">
      <c r="A973" s="44">
        <v>597.11399106945942</v>
      </c>
      <c r="B973" s="44">
        <v>598.89905556585541</v>
      </c>
      <c r="C973" s="44">
        <v>592.90213139021284</v>
      </c>
      <c r="D973" s="44">
        <v>595.02149879868398</v>
      </c>
      <c r="E973" s="44">
        <v>804630.42254206853</v>
      </c>
      <c r="F973" s="44" t="s">
        <v>912</v>
      </c>
      <c r="G973" s="25">
        <f t="shared" si="15"/>
        <v>3.5166666666668345E-3</v>
      </c>
    </row>
    <row r="974" spans="1:7">
      <c r="A974" s="44">
        <v>599.47424301469414</v>
      </c>
      <c r="B974" s="44">
        <v>601.13038618635039</v>
      </c>
      <c r="C974" s="44">
        <v>594.17855167538585</v>
      </c>
      <c r="D974" s="44">
        <v>597.99660629267737</v>
      </c>
      <c r="E974" s="44">
        <v>862687.14834062278</v>
      </c>
      <c r="F974" s="44" t="s">
        <v>913</v>
      </c>
      <c r="G974" s="25">
        <f t="shared" si="15"/>
        <v>2.470978441127647E-3</v>
      </c>
    </row>
    <row r="975" spans="1:7">
      <c r="A975" s="44">
        <v>598.20486381725698</v>
      </c>
      <c r="B975" s="44">
        <v>599.02797689059503</v>
      </c>
      <c r="C975" s="44">
        <v>587.54406196378056</v>
      </c>
      <c r="D975" s="44">
        <v>589.62663720957585</v>
      </c>
      <c r="E975" s="44">
        <v>997270.85693212342</v>
      </c>
      <c r="F975" s="44" t="s">
        <v>914</v>
      </c>
      <c r="G975" s="25">
        <f t="shared" si="15"/>
        <v>1.4548573735199355E-2</v>
      </c>
    </row>
    <row r="976" spans="1:7">
      <c r="A976" s="44">
        <v>587.62339816362032</v>
      </c>
      <c r="B976" s="44">
        <v>594.82315829908441</v>
      </c>
      <c r="C976" s="44">
        <v>587.25646823936108</v>
      </c>
      <c r="D976" s="44">
        <v>590.13240548355486</v>
      </c>
      <c r="E976" s="44">
        <v>1095853.8495104241</v>
      </c>
      <c r="F976" s="44" t="s">
        <v>915</v>
      </c>
      <c r="G976" s="25">
        <f t="shared" si="15"/>
        <v>-4.2516006520242344E-3</v>
      </c>
    </row>
    <row r="977" spans="1:7">
      <c r="A977" s="44">
        <v>587.4349746890008</v>
      </c>
      <c r="B977" s="44">
        <v>587.84157271317986</v>
      </c>
      <c r="C977" s="44">
        <v>579.0749226308792</v>
      </c>
      <c r="D977" s="44">
        <v>584.29127777034762</v>
      </c>
      <c r="E977" s="44">
        <v>1000203.187954654</v>
      </c>
      <c r="F977" s="44" t="s">
        <v>916</v>
      </c>
      <c r="G977" s="25">
        <f t="shared" si="15"/>
        <v>5.3803591432162179E-3</v>
      </c>
    </row>
    <row r="978" spans="1:7">
      <c r="A978" s="44">
        <v>576.05023001198595</v>
      </c>
      <c r="B978" s="44">
        <v>581.17733192663457</v>
      </c>
      <c r="C978" s="44">
        <v>571.26030694665644</v>
      </c>
      <c r="D978" s="44">
        <v>579.10467370581921</v>
      </c>
      <c r="E978" s="44">
        <v>774391.5151474172</v>
      </c>
      <c r="F978" s="44" t="s">
        <v>917</v>
      </c>
      <c r="G978" s="25">
        <f t="shared" si="15"/>
        <v>-5.2744241801524483E-3</v>
      </c>
    </row>
    <row r="979" spans="1:7">
      <c r="A979" s="44">
        <v>579.10467370581921</v>
      </c>
      <c r="B979" s="44">
        <v>588.37709206209865</v>
      </c>
      <c r="C979" s="44">
        <v>577.65182954625243</v>
      </c>
      <c r="D979" s="44">
        <v>585.89783581710412</v>
      </c>
      <c r="E979" s="44">
        <v>929325.07668447797</v>
      </c>
      <c r="F979" s="44" t="s">
        <v>918</v>
      </c>
      <c r="G979" s="25">
        <f t="shared" si="15"/>
        <v>-1.1594448205822561E-2</v>
      </c>
    </row>
    <row r="980" spans="1:7">
      <c r="A980" s="44">
        <v>585.36231646818533</v>
      </c>
      <c r="B980" s="44">
        <v>585.76891449236439</v>
      </c>
      <c r="C980" s="44">
        <v>576.24857051158551</v>
      </c>
      <c r="D980" s="44">
        <v>580.42363802815623</v>
      </c>
      <c r="E980" s="44">
        <v>990687.22926840198</v>
      </c>
      <c r="F980" s="44" t="s">
        <v>919</v>
      </c>
      <c r="G980" s="25">
        <f t="shared" si="15"/>
        <v>8.5087479496992469E-3</v>
      </c>
    </row>
    <row r="981" spans="1:7">
      <c r="A981" s="44">
        <v>585.10447381870586</v>
      </c>
      <c r="B981" s="44">
        <v>588.07958131269936</v>
      </c>
      <c r="C981" s="44">
        <v>578.7179097316</v>
      </c>
      <c r="D981" s="44">
        <v>585.92758689204413</v>
      </c>
      <c r="E981" s="44">
        <v>1007941.3957493235</v>
      </c>
      <c r="F981" s="44" t="s">
        <v>920</v>
      </c>
      <c r="G981" s="25">
        <f t="shared" si="15"/>
        <v>-1.4048034121492137E-3</v>
      </c>
    </row>
    <row r="982" spans="1:7">
      <c r="A982" s="44">
        <v>583.10123477275033</v>
      </c>
      <c r="B982" s="44">
        <v>588.72418793639793</v>
      </c>
      <c r="C982" s="44">
        <v>579.06500560589927</v>
      </c>
      <c r="D982" s="44">
        <v>585.4416526680252</v>
      </c>
      <c r="E982" s="44">
        <v>1086749.3045302217</v>
      </c>
      <c r="F982" s="44" t="s">
        <v>921</v>
      </c>
      <c r="G982" s="25">
        <f t="shared" si="15"/>
        <v>-3.997696242843185E-3</v>
      </c>
    </row>
    <row r="983" spans="1:7">
      <c r="A983" s="44">
        <v>581.17733192663457</v>
      </c>
      <c r="B983" s="44">
        <v>589.93406498395518</v>
      </c>
      <c r="C983" s="44">
        <v>578.41048195722067</v>
      </c>
      <c r="D983" s="44">
        <v>582.42687707411176</v>
      </c>
      <c r="E983" s="44">
        <v>1404380.8529391042</v>
      </c>
      <c r="F983" s="44" t="s">
        <v>922</v>
      </c>
      <c r="G983" s="25">
        <f t="shared" si="15"/>
        <v>-2.1454112038139517E-3</v>
      </c>
    </row>
    <row r="984" spans="1:7">
      <c r="A984" s="44">
        <v>584.65820769460686</v>
      </c>
      <c r="B984" s="44">
        <v>593.87112390100651</v>
      </c>
      <c r="C984" s="44">
        <v>583.4483306470496</v>
      </c>
      <c r="D984" s="44">
        <v>589.18037108547696</v>
      </c>
      <c r="E984" s="44">
        <v>1550712.0362254058</v>
      </c>
      <c r="F984" s="44" t="s">
        <v>923</v>
      </c>
      <c r="G984" s="25">
        <f t="shared" si="15"/>
        <v>-7.6753463163389268E-3</v>
      </c>
    </row>
    <row r="985" spans="1:7">
      <c r="A985" s="44">
        <v>593.44469182686748</v>
      </c>
      <c r="B985" s="44">
        <v>605.98972842653961</v>
      </c>
      <c r="C985" s="44">
        <v>592.90917247794869</v>
      </c>
      <c r="D985" s="44">
        <v>597.96685521773747</v>
      </c>
      <c r="E985" s="44">
        <v>2391140.4930284289</v>
      </c>
      <c r="F985" s="44" t="s">
        <v>924</v>
      </c>
      <c r="G985" s="25">
        <f t="shared" si="15"/>
        <v>-7.5625653017562522E-3</v>
      </c>
    </row>
    <row r="986" spans="1:7">
      <c r="A986" s="44">
        <v>592.68108090340911</v>
      </c>
      <c r="B986" s="44">
        <v>597.99660629267737</v>
      </c>
      <c r="C986" s="44">
        <v>568.55295912712245</v>
      </c>
      <c r="D986" s="44">
        <v>585.05488869380611</v>
      </c>
      <c r="E986" s="44">
        <v>2313908.6617537946</v>
      </c>
      <c r="F986" s="44" t="s">
        <v>925</v>
      </c>
      <c r="G986" s="25">
        <f t="shared" si="15"/>
        <v>1.3035002966352849E-2</v>
      </c>
    </row>
    <row r="987" spans="1:7">
      <c r="A987" s="44">
        <v>577.10143465986357</v>
      </c>
      <c r="B987" s="44">
        <v>580.50297422799611</v>
      </c>
      <c r="C987" s="44">
        <v>562.29531636475633</v>
      </c>
      <c r="D987" s="44">
        <v>568.25544837772316</v>
      </c>
      <c r="E987" s="44">
        <v>1274462.8581169464</v>
      </c>
      <c r="F987" s="44" t="s">
        <v>926</v>
      </c>
      <c r="G987" s="25">
        <f t="shared" si="15"/>
        <v>1.5566918552904818E-2</v>
      </c>
    </row>
    <row r="988" spans="1:7">
      <c r="A988" s="44">
        <v>568.51329102720263</v>
      </c>
      <c r="B988" s="44">
        <v>568.80951256335459</v>
      </c>
      <c r="C988" s="44">
        <v>561.81929916571744</v>
      </c>
      <c r="D988" s="44">
        <v>564.724987484851</v>
      </c>
      <c r="E988" s="44">
        <v>1021261.9228496085</v>
      </c>
      <c r="F988" s="44" t="s">
        <v>927</v>
      </c>
      <c r="G988" s="25">
        <f t="shared" si="15"/>
        <v>6.7082272368075291E-3</v>
      </c>
    </row>
    <row r="989" spans="1:7">
      <c r="A989" s="44">
        <v>562.7316654638754</v>
      </c>
      <c r="B989" s="44">
        <v>563.65394878701341</v>
      </c>
      <c r="C989" s="44">
        <v>549.61144141536442</v>
      </c>
      <c r="D989" s="44">
        <v>555.86908417773054</v>
      </c>
      <c r="E989" s="44">
        <v>1204361.1893802467</v>
      </c>
      <c r="F989" s="44" t="s">
        <v>928</v>
      </c>
      <c r="G989" s="25">
        <f t="shared" si="15"/>
        <v>1.2345679012345734E-2</v>
      </c>
    </row>
    <row r="990" spans="1:7">
      <c r="A990" s="44">
        <v>556.88062072568835</v>
      </c>
      <c r="B990" s="44">
        <v>571.89499654537508</v>
      </c>
      <c r="C990" s="44">
        <v>553.97493240655479</v>
      </c>
      <c r="D990" s="44">
        <v>568.72154855178212</v>
      </c>
      <c r="E990" s="44">
        <v>1262961.4249522341</v>
      </c>
      <c r="F990" s="44" t="s">
        <v>929</v>
      </c>
      <c r="G990" s="25">
        <f t="shared" si="15"/>
        <v>-2.0820255283532041E-2</v>
      </c>
    </row>
    <row r="991" spans="1:7">
      <c r="A991" s="44">
        <v>570.22893634873878</v>
      </c>
      <c r="B991" s="44">
        <v>570.39752577339846</v>
      </c>
      <c r="C991" s="44">
        <v>550.94032276268138</v>
      </c>
      <c r="D991" s="44">
        <v>550.94032276268138</v>
      </c>
      <c r="E991" s="44">
        <v>2168260.1428767964</v>
      </c>
      <c r="F991" s="44" t="s">
        <v>930</v>
      </c>
      <c r="G991" s="25">
        <f t="shared" si="15"/>
        <v>3.5010350103501064E-2</v>
      </c>
    </row>
    <row r="992" spans="1:7">
      <c r="A992" s="44">
        <v>534.18055054651848</v>
      </c>
      <c r="B992" s="44">
        <v>543.81989882705727</v>
      </c>
      <c r="C992" s="44">
        <v>532.80208407430155</v>
      </c>
      <c r="D992" s="44">
        <v>535.51934891881558</v>
      </c>
      <c r="E992" s="44">
        <v>929400.70420397236</v>
      </c>
      <c r="F992" s="44" t="s">
        <v>931</v>
      </c>
      <c r="G992" s="25">
        <f t="shared" si="15"/>
        <v>-2.5000000000001688E-3</v>
      </c>
    </row>
    <row r="993" spans="1:7">
      <c r="A993" s="44">
        <v>532.41532010008245</v>
      </c>
      <c r="B993" s="44">
        <v>533.19876507350068</v>
      </c>
      <c r="C993" s="44">
        <v>519.61244085093085</v>
      </c>
      <c r="D993" s="44">
        <v>524.18418936670071</v>
      </c>
      <c r="E993" s="44">
        <v>2010430.5515265623</v>
      </c>
      <c r="F993" s="44" t="s">
        <v>932</v>
      </c>
      <c r="G993" s="25">
        <f t="shared" si="15"/>
        <v>1.5702745142554431E-2</v>
      </c>
    </row>
    <row r="994" spans="1:7">
      <c r="A994" s="44">
        <v>516.43899285733778</v>
      </c>
      <c r="B994" s="44">
        <v>535.51439040632556</v>
      </c>
      <c r="C994" s="44">
        <v>513.00770221426535</v>
      </c>
      <c r="D994" s="44">
        <v>534.37889104611816</v>
      </c>
      <c r="E994" s="44">
        <v>1328699.8899975689</v>
      </c>
      <c r="F994" s="44" t="s">
        <v>933</v>
      </c>
      <c r="G994" s="25">
        <f t="shared" si="15"/>
        <v>-3.3571494850143879E-2</v>
      </c>
    </row>
    <row r="995" spans="1:7">
      <c r="A995" s="44">
        <v>534.39872509607801</v>
      </c>
      <c r="B995" s="44">
        <v>535.8267766931948</v>
      </c>
      <c r="C995" s="44">
        <v>522.91976868175345</v>
      </c>
      <c r="D995" s="44">
        <v>529.10303375676972</v>
      </c>
      <c r="E995" s="44">
        <v>1686979.7175843155</v>
      </c>
      <c r="F995" s="44" t="s">
        <v>934</v>
      </c>
      <c r="G995" s="25">
        <f t="shared" si="15"/>
        <v>1.0008809251588424E-2</v>
      </c>
    </row>
    <row r="996" spans="1:7">
      <c r="A996" s="44">
        <v>521.26858402258711</v>
      </c>
      <c r="B996" s="44">
        <v>522.0123608960854</v>
      </c>
      <c r="C996" s="44">
        <v>506.13768315938557</v>
      </c>
      <c r="D996" s="44">
        <v>512.81927873964582</v>
      </c>
      <c r="E996" s="44">
        <v>1349853.4113836233</v>
      </c>
      <c r="F996" s="44" t="s">
        <v>935</v>
      </c>
      <c r="G996" s="25">
        <f t="shared" si="15"/>
        <v>1.6476184950977579E-2</v>
      </c>
    </row>
    <row r="997" spans="1:7">
      <c r="A997" s="44">
        <v>518.80916182755254</v>
      </c>
      <c r="B997" s="44">
        <v>520.51489012410877</v>
      </c>
      <c r="C997" s="44">
        <v>510.34002249465129</v>
      </c>
      <c r="D997" s="44">
        <v>517.24227188071609</v>
      </c>
      <c r="E997" s="44">
        <v>1932856.8838638132</v>
      </c>
      <c r="F997" s="44" t="s">
        <v>936</v>
      </c>
      <c r="G997" s="25">
        <f t="shared" si="15"/>
        <v>3.0293153363880609E-3</v>
      </c>
    </row>
    <row r="998" spans="1:7">
      <c r="A998" s="44">
        <v>526.52460726197546</v>
      </c>
      <c r="B998" s="44">
        <v>549.08583909142556</v>
      </c>
      <c r="C998" s="44">
        <v>525.23539401457833</v>
      </c>
      <c r="D998" s="44">
        <v>546.31898912201166</v>
      </c>
      <c r="E998" s="44">
        <v>1653093.5470161797</v>
      </c>
      <c r="F998" s="44" t="s">
        <v>937</v>
      </c>
      <c r="G998" s="25">
        <f t="shared" si="15"/>
        <v>-3.6232278676323726E-2</v>
      </c>
    </row>
    <row r="999" spans="1:7">
      <c r="A999" s="44">
        <v>553.39974495771605</v>
      </c>
      <c r="B999" s="44">
        <v>556.00792252745021</v>
      </c>
      <c r="C999" s="44">
        <v>542.31251103010061</v>
      </c>
      <c r="D999" s="44">
        <v>545.43637389879359</v>
      </c>
      <c r="E999" s="44">
        <v>1098132.7587645228</v>
      </c>
      <c r="F999" s="44" t="s">
        <v>938</v>
      </c>
      <c r="G999" s="25">
        <f t="shared" si="15"/>
        <v>1.4600000000000168E-2</v>
      </c>
    </row>
    <row r="1000" spans="1:7">
      <c r="A1000" s="44">
        <v>549.11559016636556</v>
      </c>
      <c r="B1000" s="44">
        <v>553.54850033241564</v>
      </c>
      <c r="C1000" s="44">
        <v>544.3355841260161</v>
      </c>
      <c r="D1000" s="44">
        <v>545.30745257405397</v>
      </c>
      <c r="E1000" s="44">
        <v>758842.49713936332</v>
      </c>
      <c r="F1000" s="44" t="s">
        <v>939</v>
      </c>
      <c r="G1000" s="25">
        <f t="shared" si="15"/>
        <v>6.9834688199028605E-3</v>
      </c>
    </row>
    <row r="1001" spans="1:7">
      <c r="A1001" s="44">
        <v>549.16517529126543</v>
      </c>
      <c r="B1001" s="44">
        <v>554.23277505603414</v>
      </c>
      <c r="C1001" s="44">
        <v>543.99840527669676</v>
      </c>
      <c r="D1001" s="44">
        <v>548.4114813927871</v>
      </c>
      <c r="E1001" s="44">
        <v>1254059.561724277</v>
      </c>
      <c r="F1001" s="44" t="s">
        <v>940</v>
      </c>
      <c r="G1001" s="25">
        <f t="shared" si="15"/>
        <v>1.3743218806510082E-3</v>
      </c>
    </row>
    <row r="1002" spans="1:7">
      <c r="A1002" s="44">
        <v>551.42625698670031</v>
      </c>
      <c r="B1002" s="44">
        <v>554.54020283041348</v>
      </c>
      <c r="C1002" s="44">
        <v>539.08947791160767</v>
      </c>
      <c r="D1002" s="44">
        <v>540.47786140880464</v>
      </c>
      <c r="E1002" s="44">
        <v>1230826.7877355893</v>
      </c>
      <c r="F1002" s="44" t="s">
        <v>941</v>
      </c>
      <c r="G1002" s="25">
        <f t="shared" si="15"/>
        <v>2.0256880733944715E-2</v>
      </c>
    </row>
    <row r="1003" spans="1:7">
      <c r="A1003" s="44">
        <v>540.54728058366447</v>
      </c>
      <c r="B1003" s="44">
        <v>540.6464508334642</v>
      </c>
      <c r="C1003" s="44">
        <v>528.91956879464021</v>
      </c>
      <c r="D1003" s="44">
        <v>535.38051056909592</v>
      </c>
      <c r="E1003" s="44">
        <v>647125.52534219727</v>
      </c>
      <c r="F1003" s="44" t="s">
        <v>942</v>
      </c>
      <c r="G1003" s="25">
        <f t="shared" si="15"/>
        <v>9.6506501685622581E-3</v>
      </c>
    </row>
    <row r="1004" spans="1:7">
      <c r="A1004" s="44">
        <v>543.72072857725743</v>
      </c>
      <c r="B1004" s="44">
        <v>544.48433950071569</v>
      </c>
      <c r="C1004" s="44">
        <v>529.52946583090886</v>
      </c>
      <c r="D1004" s="44">
        <v>539.43657378590694</v>
      </c>
      <c r="E1004" s="44">
        <v>842309.06112111814</v>
      </c>
      <c r="F1004" s="44" t="s">
        <v>943</v>
      </c>
      <c r="G1004" s="25">
        <f t="shared" si="15"/>
        <v>7.9419064252228555E-3</v>
      </c>
    </row>
    <row r="1005" spans="1:7">
      <c r="A1005" s="44">
        <v>538.77213311224841</v>
      </c>
      <c r="B1005" s="44">
        <v>541.69269696885192</v>
      </c>
      <c r="C1005" s="44">
        <v>525.1064726898386</v>
      </c>
      <c r="D1005" s="44">
        <v>526.64361156173516</v>
      </c>
      <c r="E1005" s="44">
        <v>1376037.6753664466</v>
      </c>
      <c r="F1005" s="44" t="s">
        <v>944</v>
      </c>
      <c r="G1005" s="25">
        <f t="shared" si="15"/>
        <v>2.3029846530458586E-2</v>
      </c>
    </row>
    <row r="1006" spans="1:7">
      <c r="A1006" s="44">
        <v>531.47320272698448</v>
      </c>
      <c r="B1006" s="44">
        <v>533.85328872217929</v>
      </c>
      <c r="C1006" s="44">
        <v>523.69825514268177</v>
      </c>
      <c r="D1006" s="44">
        <v>531.57237297678432</v>
      </c>
      <c r="E1006" s="44">
        <v>867941.74839509546</v>
      </c>
      <c r="F1006" s="44" t="s">
        <v>945</v>
      </c>
      <c r="G1006" s="25">
        <f t="shared" si="15"/>
        <v>-1.8656020297758147E-4</v>
      </c>
    </row>
    <row r="1007" spans="1:7">
      <c r="A1007" s="44">
        <v>531.32444735228489</v>
      </c>
      <c r="B1007" s="44">
        <v>540.59964247555877</v>
      </c>
      <c r="C1007" s="44">
        <v>529.86664468022809</v>
      </c>
      <c r="D1007" s="44">
        <v>538.09777541360995</v>
      </c>
      <c r="E1007" s="44">
        <v>866060.13571007422</v>
      </c>
      <c r="F1007" s="44" t="s">
        <v>946</v>
      </c>
      <c r="G1007" s="25">
        <f t="shared" si="15"/>
        <v>-1.2587541467010799E-2</v>
      </c>
    </row>
    <row r="1008" spans="1:7">
      <c r="A1008" s="44">
        <v>539.12914601152761</v>
      </c>
      <c r="B1008" s="44">
        <v>542.57035367957997</v>
      </c>
      <c r="C1008" s="44">
        <v>535.26150626933611</v>
      </c>
      <c r="D1008" s="44">
        <v>541.31089150712285</v>
      </c>
      <c r="E1008" s="44">
        <v>773839.93843857129</v>
      </c>
      <c r="F1008" s="44" t="s">
        <v>947</v>
      </c>
      <c r="G1008" s="25">
        <f t="shared" si="15"/>
        <v>-4.0304851238459616E-3</v>
      </c>
    </row>
    <row r="1009" spans="1:7">
      <c r="A1009" s="44">
        <v>540.289437934185</v>
      </c>
      <c r="B1009" s="44">
        <v>540.67620190840421</v>
      </c>
      <c r="C1009" s="44">
        <v>532.84175217422148</v>
      </c>
      <c r="D1009" s="44">
        <v>536.63005571657311</v>
      </c>
      <c r="E1009" s="44">
        <v>1302914.939317676</v>
      </c>
      <c r="F1009" s="44" t="s">
        <v>948</v>
      </c>
      <c r="G1009" s="25">
        <f t="shared" si="15"/>
        <v>6.8191898285037134E-3</v>
      </c>
    </row>
    <row r="1010" spans="1:7">
      <c r="A1010" s="44">
        <v>536.11437041761428</v>
      </c>
      <c r="B1010" s="44">
        <v>536.58047059167325</v>
      </c>
      <c r="C1010" s="44">
        <v>516.57783120705744</v>
      </c>
      <c r="D1010" s="44">
        <v>518.66040645285284</v>
      </c>
      <c r="E1010" s="44">
        <v>1376705.2142718507</v>
      </c>
      <c r="F1010" s="44" t="s">
        <v>949</v>
      </c>
      <c r="G1010" s="25">
        <f t="shared" si="15"/>
        <v>3.3652007648183657E-2</v>
      </c>
    </row>
    <row r="1011" spans="1:7">
      <c r="A1011" s="44">
        <v>514.91177101042115</v>
      </c>
      <c r="B1011" s="44">
        <v>521.12974567286744</v>
      </c>
      <c r="C1011" s="44">
        <v>504.22121808200478</v>
      </c>
      <c r="D1011" s="44">
        <v>504.22121808200478</v>
      </c>
      <c r="E1011" s="44">
        <v>1225011.5356699312</v>
      </c>
      <c r="F1011" s="44" t="s">
        <v>950</v>
      </c>
      <c r="G1011" s="25">
        <f t="shared" si="15"/>
        <v>2.1202108410038667E-2</v>
      </c>
    </row>
    <row r="1012" spans="1:7">
      <c r="A1012" s="44">
        <v>509.27890082179357</v>
      </c>
      <c r="B1012" s="44">
        <v>512.31846897815694</v>
      </c>
      <c r="C1012" s="44">
        <v>501.36511488777114</v>
      </c>
      <c r="D1012" s="44">
        <v>502.10889176126949</v>
      </c>
      <c r="E1012" s="44">
        <v>1475642.1436413852</v>
      </c>
      <c r="F1012" s="44" t="s">
        <v>951</v>
      </c>
      <c r="G1012" s="25">
        <f t="shared" si="15"/>
        <v>1.4279789062036974E-2</v>
      </c>
    </row>
    <row r="1013" spans="1:7">
      <c r="A1013" s="44">
        <v>496.74378124710131</v>
      </c>
      <c r="B1013" s="44">
        <v>508.15827699905606</v>
      </c>
      <c r="C1013" s="44">
        <v>496.62477694734156</v>
      </c>
      <c r="D1013" s="44">
        <v>497.98340936959858</v>
      </c>
      <c r="E1013" s="44">
        <v>2193439.065033807</v>
      </c>
      <c r="F1013" s="44" t="s">
        <v>952</v>
      </c>
      <c r="G1013" s="25">
        <f t="shared" si="15"/>
        <v>-2.4892960270835873E-3</v>
      </c>
    </row>
    <row r="1014" spans="1:7">
      <c r="A1014" s="44">
        <v>500.70067421411255</v>
      </c>
      <c r="B1014" s="44">
        <v>501.97501192403979</v>
      </c>
      <c r="C1014" s="44">
        <v>493.69925457824809</v>
      </c>
      <c r="D1014" s="44">
        <v>499.39162691675546</v>
      </c>
      <c r="E1014" s="44">
        <v>1189956.6678338749</v>
      </c>
      <c r="F1014" s="44" t="s">
        <v>953</v>
      </c>
      <c r="G1014" s="25">
        <f t="shared" si="15"/>
        <v>2.6212840320114505E-3</v>
      </c>
    </row>
    <row r="1015" spans="1:7">
      <c r="A1015" s="44">
        <v>510.48877786935094</v>
      </c>
      <c r="B1015" s="44">
        <v>517.36127618047578</v>
      </c>
      <c r="C1015" s="44">
        <v>502.92208780962767</v>
      </c>
      <c r="D1015" s="44">
        <v>510.51852894429084</v>
      </c>
      <c r="E1015" s="44">
        <v>1331574.7441052836</v>
      </c>
      <c r="F1015" s="44" t="s">
        <v>954</v>
      </c>
      <c r="G1015" s="25">
        <f t="shared" si="15"/>
        <v>-5.827619029108444E-5</v>
      </c>
    </row>
    <row r="1016" spans="1:7">
      <c r="A1016" s="44">
        <v>503.23943260898699</v>
      </c>
      <c r="B1016" s="44">
        <v>509.92251574299416</v>
      </c>
      <c r="C1016" s="44">
        <v>498.68751814317704</v>
      </c>
      <c r="D1016" s="44">
        <v>505.90711232860104</v>
      </c>
      <c r="E1016" s="44">
        <v>1017581.3835675464</v>
      </c>
      <c r="F1016" s="44" t="s">
        <v>955</v>
      </c>
      <c r="G1016" s="25">
        <f t="shared" si="15"/>
        <v>-5.2730622966243867E-3</v>
      </c>
    </row>
    <row r="1017" spans="1:7">
      <c r="A1017" s="44">
        <v>507.36491500065796</v>
      </c>
      <c r="B1017" s="44">
        <v>513.27199806878309</v>
      </c>
      <c r="C1017" s="44">
        <v>504.21314920256435</v>
      </c>
      <c r="D1017" s="44">
        <v>507.05766739140984</v>
      </c>
      <c r="E1017" s="44">
        <v>1476836.3571987005</v>
      </c>
      <c r="F1017" s="44" t="s">
        <v>956</v>
      </c>
      <c r="G1017" s="25">
        <f t="shared" si="15"/>
        <v>6.0594214229858778E-4</v>
      </c>
    </row>
    <row r="1018" spans="1:7">
      <c r="A1018" s="44">
        <v>522.20200116338151</v>
      </c>
      <c r="B1018" s="44">
        <v>529.12002797806497</v>
      </c>
      <c r="C1018" s="44">
        <v>518.30689437517162</v>
      </c>
      <c r="D1018" s="44">
        <v>525.5817248651108</v>
      </c>
      <c r="E1018" s="44">
        <v>1188250.0921436758</v>
      </c>
      <c r="F1018" s="44" t="s">
        <v>957</v>
      </c>
      <c r="G1018" s="25">
        <f t="shared" si="15"/>
        <v>-6.4304437194742103E-3</v>
      </c>
    </row>
    <row r="1019" spans="1:7">
      <c r="A1019" s="44">
        <v>535.02711104619016</v>
      </c>
      <c r="B1019" s="44">
        <v>547.11879115208376</v>
      </c>
      <c r="C1019" s="44">
        <v>534.7892419293529</v>
      </c>
      <c r="D1019" s="44">
        <v>543.06510495264888</v>
      </c>
      <c r="E1019" s="44">
        <v>840401.657255798</v>
      </c>
      <c r="F1019" s="44" t="s">
        <v>958</v>
      </c>
      <c r="G1019" s="25">
        <f t="shared" si="15"/>
        <v>-1.4801160732210161E-2</v>
      </c>
    </row>
    <row r="1020" spans="1:7">
      <c r="A1020" s="44">
        <v>547.15843600488995</v>
      </c>
      <c r="B1020" s="44">
        <v>555.47394388099235</v>
      </c>
      <c r="C1020" s="44">
        <v>544.7995672629205</v>
      </c>
      <c r="D1020" s="44">
        <v>554.20530859119356</v>
      </c>
      <c r="E1020" s="44">
        <v>844967.19318765681</v>
      </c>
      <c r="F1020" s="44" t="s">
        <v>959</v>
      </c>
      <c r="G1020" s="25">
        <f t="shared" si="15"/>
        <v>-1.2715274424593637E-2</v>
      </c>
    </row>
    <row r="1021" spans="1:7">
      <c r="A1021" s="44">
        <v>555.68207935822477</v>
      </c>
      <c r="B1021" s="44">
        <v>556.564177333163</v>
      </c>
      <c r="C1021" s="44">
        <v>545.24557185699041</v>
      </c>
      <c r="D1021" s="44">
        <v>545.66184281145559</v>
      </c>
      <c r="E1021" s="44">
        <v>1123606.1391814228</v>
      </c>
      <c r="F1021" s="44" t="s">
        <v>960</v>
      </c>
      <c r="G1021" s="25">
        <f t="shared" si="15"/>
        <v>1.8363454727091E-2</v>
      </c>
    </row>
    <row r="1022" spans="1:7">
      <c r="A1022" s="44">
        <v>547.97115548741726</v>
      </c>
      <c r="B1022" s="44">
        <v>557.40663045529493</v>
      </c>
      <c r="C1022" s="44">
        <v>545.65193159825401</v>
      </c>
      <c r="D1022" s="44">
        <v>553.98726190075945</v>
      </c>
      <c r="E1022" s="44">
        <v>1124404.2251310581</v>
      </c>
      <c r="F1022" s="44" t="s">
        <v>961</v>
      </c>
      <c r="G1022" s="25">
        <f t="shared" si="15"/>
        <v>-1.0859647553448482E-2</v>
      </c>
    </row>
    <row r="1023" spans="1:7">
      <c r="A1023" s="44">
        <v>553.14480877862752</v>
      </c>
      <c r="B1023" s="44">
        <v>557.66927760513602</v>
      </c>
      <c r="C1023" s="44">
        <v>549.83446356930904</v>
      </c>
      <c r="D1023" s="44">
        <v>556.05870545988375</v>
      </c>
      <c r="E1023" s="44">
        <v>743000.86682089779</v>
      </c>
      <c r="F1023" s="44" t="s">
        <v>962</v>
      </c>
      <c r="G1023" s="25">
        <f t="shared" si="15"/>
        <v>-5.2402680735774698E-3</v>
      </c>
    </row>
    <row r="1024" spans="1:7">
      <c r="A1024" s="44">
        <v>565.03826462049017</v>
      </c>
      <c r="B1024" s="44">
        <v>565.33560101653666</v>
      </c>
      <c r="C1024" s="44">
        <v>544.13551597841649</v>
      </c>
      <c r="D1024" s="44">
        <v>549.63623930527797</v>
      </c>
      <c r="E1024" s="44">
        <v>850303.5731972924</v>
      </c>
      <c r="F1024" s="44" t="s">
        <v>963</v>
      </c>
      <c r="G1024" s="25">
        <f t="shared" si="15"/>
        <v>2.8022215810733053E-2</v>
      </c>
    </row>
    <row r="1025" spans="1:7">
      <c r="A1025" s="44">
        <v>551.28150069673575</v>
      </c>
      <c r="B1025" s="44">
        <v>568.00171736775428</v>
      </c>
      <c r="C1025" s="44">
        <v>545.4338849078199</v>
      </c>
      <c r="D1025" s="44">
        <v>564.49314789440473</v>
      </c>
      <c r="E1025" s="44">
        <v>1321222.7134766122</v>
      </c>
      <c r="F1025" s="44" t="s">
        <v>964</v>
      </c>
      <c r="G1025" s="25">
        <f t="shared" si="15"/>
        <v>-2.3404442103414858E-2</v>
      </c>
    </row>
    <row r="1026" spans="1:7">
      <c r="A1026" s="44">
        <v>562.53072768049742</v>
      </c>
      <c r="B1026" s="44">
        <v>568.19994163178524</v>
      </c>
      <c r="C1026" s="44">
        <v>557.50574258731046</v>
      </c>
      <c r="D1026" s="44">
        <v>563.63087234586965</v>
      </c>
      <c r="E1026" s="44">
        <v>2654454.0476517845</v>
      </c>
      <c r="F1026" s="44" t="s">
        <v>965</v>
      </c>
      <c r="G1026" s="25">
        <f t="shared" si="15"/>
        <v>-1.9518885840893452E-3</v>
      </c>
    </row>
    <row r="1027" spans="1:7">
      <c r="A1027" s="44">
        <v>567.26828759083935</v>
      </c>
      <c r="B1027" s="44">
        <v>568.02153979415732</v>
      </c>
      <c r="C1027" s="44">
        <v>539.43760092088075</v>
      </c>
      <c r="D1027" s="44">
        <v>540.7260586370827</v>
      </c>
      <c r="E1027" s="44">
        <v>1736689.5101504158</v>
      </c>
      <c r="F1027" s="44" t="s">
        <v>966</v>
      </c>
      <c r="G1027" s="25">
        <f t="shared" si="15"/>
        <v>4.9086276738090184E-2</v>
      </c>
    </row>
    <row r="1028" spans="1:7">
      <c r="A1028" s="44">
        <v>535.31453622903507</v>
      </c>
      <c r="B1028" s="44">
        <v>536.74175093005863</v>
      </c>
      <c r="C1028" s="44">
        <v>529.06056069885562</v>
      </c>
      <c r="D1028" s="44">
        <v>534.20448035046127</v>
      </c>
      <c r="E1028" s="44">
        <v>1871804.1497780122</v>
      </c>
      <c r="F1028" s="44" t="s">
        <v>967</v>
      </c>
      <c r="G1028" s="25">
        <f t="shared" si="15"/>
        <v>2.077960630067377E-3</v>
      </c>
    </row>
    <row r="1029" spans="1:7">
      <c r="A1029" s="44">
        <v>529.52638771932857</v>
      </c>
      <c r="B1029" s="44">
        <v>545.94926799430061</v>
      </c>
      <c r="C1029" s="44">
        <v>524.99200767961861</v>
      </c>
      <c r="D1029" s="44">
        <v>545.94926799430061</v>
      </c>
      <c r="E1029" s="44">
        <v>1552072.353522866</v>
      </c>
      <c r="F1029" s="44" t="s">
        <v>968</v>
      </c>
      <c r="G1029" s="25">
        <f t="shared" si="15"/>
        <v>-3.0081330331856893E-2</v>
      </c>
    </row>
    <row r="1030" spans="1:7">
      <c r="A1030" s="44">
        <v>543.94720292758711</v>
      </c>
      <c r="B1030" s="44">
        <v>548.33787037587467</v>
      </c>
      <c r="C1030" s="44">
        <v>538.4563908139271</v>
      </c>
      <c r="D1030" s="44">
        <v>547.60444059895985</v>
      </c>
      <c r="E1030" s="44">
        <v>1021601.4724024184</v>
      </c>
      <c r="F1030" s="44" t="s">
        <v>969</v>
      </c>
      <c r="G1030" s="25">
        <f t="shared" ref="G1030:G1093" si="16">A1030/D1030-1</f>
        <v>-6.6786121518161989E-3</v>
      </c>
    </row>
    <row r="1031" spans="1:7">
      <c r="A1031" s="44">
        <v>550.28046816337894</v>
      </c>
      <c r="B1031" s="44">
        <v>555.81092512984503</v>
      </c>
      <c r="C1031" s="44">
        <v>545.87096941000834</v>
      </c>
      <c r="D1031" s="44">
        <v>554.20530859119356</v>
      </c>
      <c r="E1031" s="44">
        <v>1191380.8894909814</v>
      </c>
      <c r="F1031" s="44" t="s">
        <v>970</v>
      </c>
      <c r="G1031" s="25">
        <f t="shared" si="16"/>
        <v>-7.0819249959760411E-3</v>
      </c>
    </row>
    <row r="1032" spans="1:7">
      <c r="A1032" s="44">
        <v>550.2210008841696</v>
      </c>
      <c r="B1032" s="44">
        <v>560.89537750224122</v>
      </c>
      <c r="C1032" s="44">
        <v>539.60609154530721</v>
      </c>
      <c r="D1032" s="44">
        <v>553.95752826115472</v>
      </c>
      <c r="E1032" s="44">
        <v>2187016.8221792812</v>
      </c>
      <c r="F1032" s="44" t="s">
        <v>971</v>
      </c>
      <c r="G1032" s="25">
        <f t="shared" si="16"/>
        <v>-6.7451513633435267E-3</v>
      </c>
    </row>
    <row r="1033" spans="1:7">
      <c r="A1033" s="44">
        <v>545.85015586228508</v>
      </c>
      <c r="B1033" s="44">
        <v>554.95856079451153</v>
      </c>
      <c r="C1033" s="44">
        <v>532.65833109101902</v>
      </c>
      <c r="D1033" s="44">
        <v>535.20551288381807</v>
      </c>
      <c r="E1033" s="44">
        <v>2084183.8007041316</v>
      </c>
      <c r="F1033" s="44" t="s">
        <v>972</v>
      </c>
      <c r="G1033" s="25">
        <f t="shared" si="16"/>
        <v>1.9888888888888845E-2</v>
      </c>
    </row>
    <row r="1034" spans="1:7">
      <c r="A1034" s="44">
        <v>537.35624614855487</v>
      </c>
      <c r="B1034" s="44">
        <v>545.46361854742452</v>
      </c>
      <c r="C1034" s="44">
        <v>534.42252704089549</v>
      </c>
      <c r="D1034" s="44">
        <v>542.5794555057729</v>
      </c>
      <c r="E1034" s="44">
        <v>1416067.8127478883</v>
      </c>
      <c r="F1034" s="44" t="s">
        <v>973</v>
      </c>
      <c r="G1034" s="25">
        <f t="shared" si="16"/>
        <v>-9.626625748940576E-3</v>
      </c>
    </row>
    <row r="1035" spans="1:7">
      <c r="A1035" s="44">
        <v>549.67588415808427</v>
      </c>
      <c r="B1035" s="44">
        <v>555.99923818067452</v>
      </c>
      <c r="C1035" s="44">
        <v>539.30875514926061</v>
      </c>
      <c r="D1035" s="44">
        <v>548.27840309666544</v>
      </c>
      <c r="E1035" s="44">
        <v>1568837.2032562948</v>
      </c>
      <c r="F1035" s="44" t="s">
        <v>974</v>
      </c>
      <c r="G1035" s="25">
        <f t="shared" si="16"/>
        <v>2.5488530161426048E-3</v>
      </c>
    </row>
    <row r="1036" spans="1:7">
      <c r="A1036" s="44">
        <v>534.59101766532183</v>
      </c>
      <c r="B1036" s="44">
        <v>538.94699586740398</v>
      </c>
      <c r="C1036" s="44">
        <v>528.2924416757354</v>
      </c>
      <c r="D1036" s="44">
        <v>532.56913017220518</v>
      </c>
      <c r="E1036" s="44">
        <v>891575.00906307914</v>
      </c>
      <c r="F1036" s="44" t="s">
        <v>975</v>
      </c>
      <c r="G1036" s="25">
        <f t="shared" si="16"/>
        <v>3.7964789518740716E-3</v>
      </c>
    </row>
    <row r="1037" spans="1:7">
      <c r="A1037" s="44">
        <v>536.61290515843837</v>
      </c>
      <c r="B1037" s="44">
        <v>546.96021174085899</v>
      </c>
      <c r="C1037" s="44">
        <v>528.25775242953</v>
      </c>
      <c r="D1037" s="44">
        <v>530.06159323221243</v>
      </c>
      <c r="E1037" s="44">
        <v>1387475.9547949568</v>
      </c>
      <c r="F1037" s="44" t="s">
        <v>976</v>
      </c>
      <c r="G1037" s="25">
        <f t="shared" si="16"/>
        <v>1.2359529552551152E-2</v>
      </c>
    </row>
    <row r="1038" spans="1:7">
      <c r="A1038" s="44">
        <v>521.1315901376139</v>
      </c>
      <c r="B1038" s="44">
        <v>522.90569730069183</v>
      </c>
      <c r="C1038" s="44">
        <v>507.55322805148745</v>
      </c>
      <c r="D1038" s="44">
        <v>509.20840065614664</v>
      </c>
      <c r="E1038" s="44">
        <v>1546407.0531344931</v>
      </c>
      <c r="F1038" s="44" t="s">
        <v>977</v>
      </c>
      <c r="G1038" s="25">
        <f t="shared" si="16"/>
        <v>2.3415146855596758E-2</v>
      </c>
    </row>
    <row r="1039" spans="1:7">
      <c r="A1039" s="44">
        <v>515.3830864807137</v>
      </c>
      <c r="B1039" s="44">
        <v>527.79192540905694</v>
      </c>
      <c r="C1039" s="44">
        <v>514.98663795265156</v>
      </c>
      <c r="D1039" s="44">
        <v>515.79935743517876</v>
      </c>
      <c r="E1039" s="44">
        <v>1156708.0403642789</v>
      </c>
      <c r="F1039" s="44" t="s">
        <v>978</v>
      </c>
      <c r="G1039" s="25">
        <f t="shared" si="16"/>
        <v>-8.0704046731461254E-4</v>
      </c>
    </row>
    <row r="1040" spans="1:7">
      <c r="A1040" s="44">
        <v>521.55777230528065</v>
      </c>
      <c r="B1040" s="44">
        <v>527.53918947241743</v>
      </c>
      <c r="C1040" s="44">
        <v>511.96867353277889</v>
      </c>
      <c r="D1040" s="44">
        <v>522.60836090464522</v>
      </c>
      <c r="E1040" s="44">
        <v>1697776.0096377239</v>
      </c>
      <c r="F1040" s="44" t="s">
        <v>979</v>
      </c>
      <c r="G1040" s="25">
        <f t="shared" si="16"/>
        <v>-2.0102789736199389E-3</v>
      </c>
    </row>
    <row r="1041" spans="1:7">
      <c r="A1041" s="44">
        <v>512.79625983510857</v>
      </c>
      <c r="B1041" s="44">
        <v>533.87741031481005</v>
      </c>
      <c r="C1041" s="44">
        <v>510.30854532151892</v>
      </c>
      <c r="D1041" s="44">
        <v>533.87741031481005</v>
      </c>
      <c r="E1041" s="44">
        <v>1582787.0595643348</v>
      </c>
      <c r="F1041" s="44" t="s">
        <v>980</v>
      </c>
      <c r="G1041" s="25">
        <f t="shared" si="16"/>
        <v>-3.948687483755986E-2</v>
      </c>
    </row>
    <row r="1042" spans="1:7">
      <c r="A1042" s="44">
        <v>541.82620330245481</v>
      </c>
      <c r="B1042" s="44">
        <v>544.23462811043214</v>
      </c>
      <c r="C1042" s="44">
        <v>528.85242522162309</v>
      </c>
      <c r="D1042" s="44">
        <v>537.57429283898898</v>
      </c>
      <c r="E1042" s="44">
        <v>1126493.7775984348</v>
      </c>
      <c r="F1042" s="44" t="s">
        <v>981</v>
      </c>
      <c r="G1042" s="25">
        <f t="shared" si="16"/>
        <v>7.9094378583675073E-3</v>
      </c>
    </row>
    <row r="1043" spans="1:7">
      <c r="A1043" s="44">
        <v>545.62219795864939</v>
      </c>
      <c r="B1043" s="44">
        <v>556.5294880869576</v>
      </c>
      <c r="C1043" s="44">
        <v>538.23834412349299</v>
      </c>
      <c r="D1043" s="44">
        <v>554.95856079451153</v>
      </c>
      <c r="E1043" s="44">
        <v>1390548.2325656773</v>
      </c>
      <c r="F1043" s="44" t="s">
        <v>982</v>
      </c>
      <c r="G1043" s="25">
        <f t="shared" si="16"/>
        <v>-1.682353151286764E-2</v>
      </c>
    </row>
    <row r="1044" spans="1:7">
      <c r="A1044" s="44">
        <v>557.98148082098498</v>
      </c>
      <c r="B1044" s="44">
        <v>560.72688687781488</v>
      </c>
      <c r="C1044" s="44">
        <v>536.04043348391679</v>
      </c>
      <c r="D1044" s="44">
        <v>537.56438162578741</v>
      </c>
      <c r="E1044" s="44">
        <v>1262507.3989973653</v>
      </c>
      <c r="F1044" s="44" t="s">
        <v>983</v>
      </c>
      <c r="G1044" s="25">
        <f t="shared" si="16"/>
        <v>3.7980751502636689E-2</v>
      </c>
    </row>
    <row r="1045" spans="1:7">
      <c r="A1045" s="44">
        <v>541.4693996271991</v>
      </c>
      <c r="B1045" s="44">
        <v>548.90280952836326</v>
      </c>
      <c r="C1045" s="44">
        <v>536.59308273203533</v>
      </c>
      <c r="D1045" s="44">
        <v>539.51689062649325</v>
      </c>
      <c r="E1045" s="44">
        <v>1440855.898222785</v>
      </c>
      <c r="F1045" s="44" t="s">
        <v>984</v>
      </c>
      <c r="G1045" s="25">
        <f t="shared" si="16"/>
        <v>3.6189951318086333E-3</v>
      </c>
    </row>
    <row r="1046" spans="1:7">
      <c r="A1046" s="44">
        <v>540.67650257107482</v>
      </c>
      <c r="B1046" s="44">
        <v>548.50140539370022</v>
      </c>
      <c r="C1046" s="44">
        <v>531.1518266843832</v>
      </c>
      <c r="D1046" s="44">
        <v>544.05622627280411</v>
      </c>
      <c r="E1046" s="44">
        <v>1989707.9801402721</v>
      </c>
      <c r="F1046" s="44" t="s">
        <v>985</v>
      </c>
      <c r="G1046" s="25">
        <f t="shared" si="16"/>
        <v>-6.2120853296413481E-3</v>
      </c>
    </row>
    <row r="1047" spans="1:7">
      <c r="A1047" s="44">
        <v>548.01080034022345</v>
      </c>
      <c r="B1047" s="44">
        <v>561.29678163690426</v>
      </c>
      <c r="C1047" s="44">
        <v>546.61331927880462</v>
      </c>
      <c r="D1047" s="44">
        <v>553.0060517938058</v>
      </c>
      <c r="E1047" s="44">
        <v>2188255.822869739</v>
      </c>
      <c r="F1047" s="44" t="s">
        <v>986</v>
      </c>
      <c r="G1047" s="25">
        <f t="shared" si="16"/>
        <v>-9.032905584629769E-3</v>
      </c>
    </row>
    <row r="1048" spans="1:7">
      <c r="A1048" s="44">
        <v>553.92779462155011</v>
      </c>
      <c r="B1048" s="44">
        <v>562.29285856366016</v>
      </c>
      <c r="C1048" s="44">
        <v>543.23359557707533</v>
      </c>
      <c r="D1048" s="44">
        <v>554.76033653048057</v>
      </c>
      <c r="E1048" s="44">
        <v>2761806.192980811</v>
      </c>
      <c r="F1048" s="44" t="s">
        <v>987</v>
      </c>
      <c r="G1048" s="25">
        <f t="shared" si="16"/>
        <v>-1.5007235631466775E-3</v>
      </c>
    </row>
    <row r="1049" spans="1:7">
      <c r="A1049" s="44">
        <v>515.85882471438822</v>
      </c>
      <c r="B1049" s="44">
        <v>523.63912707760664</v>
      </c>
      <c r="C1049" s="44">
        <v>511.16090965685243</v>
      </c>
      <c r="D1049" s="44">
        <v>515.72006772956649</v>
      </c>
      <c r="E1049" s="44">
        <v>1912900.0269140436</v>
      </c>
      <c r="F1049" s="44" t="s">
        <v>988</v>
      </c>
      <c r="G1049" s="25">
        <f t="shared" si="16"/>
        <v>2.6905484875272556E-4</v>
      </c>
    </row>
    <row r="1050" spans="1:7">
      <c r="A1050" s="44">
        <v>511.85469458096117</v>
      </c>
      <c r="B1050" s="44">
        <v>533.34220480192619</v>
      </c>
      <c r="C1050" s="44">
        <v>509.45618098618542</v>
      </c>
      <c r="D1050" s="44">
        <v>529.3678083081038</v>
      </c>
      <c r="E1050" s="44">
        <v>2492074.330126592</v>
      </c>
      <c r="F1050" s="44" t="s">
        <v>989</v>
      </c>
      <c r="G1050" s="25">
        <f t="shared" si="16"/>
        <v>-3.3083072775270894E-2</v>
      </c>
    </row>
    <row r="1051" spans="1:7">
      <c r="A1051" s="44">
        <v>539.32857757566376</v>
      </c>
      <c r="B1051" s="44">
        <v>544.98788031375</v>
      </c>
      <c r="C1051" s="44">
        <v>524.78882780898675</v>
      </c>
      <c r="D1051" s="44">
        <v>541.63789025162544</v>
      </c>
      <c r="E1051" s="44">
        <v>2620478.388653019</v>
      </c>
      <c r="F1051" s="44" t="s">
        <v>990</v>
      </c>
      <c r="G1051" s="25">
        <f t="shared" si="16"/>
        <v>-4.2635729839521908E-3</v>
      </c>
    </row>
    <row r="1052" spans="1:7">
      <c r="A1052" s="44">
        <v>556.29657457672101</v>
      </c>
      <c r="B1052" s="44">
        <v>571.5895765467161</v>
      </c>
      <c r="C1052" s="44">
        <v>555.72172421103107</v>
      </c>
      <c r="D1052" s="44">
        <v>569.74609089122748</v>
      </c>
      <c r="E1052" s="44">
        <v>1491240.2447043837</v>
      </c>
      <c r="F1052" s="44" t="s">
        <v>991</v>
      </c>
      <c r="G1052" s="25">
        <f t="shared" si="16"/>
        <v>-2.3606158128207655E-2</v>
      </c>
    </row>
    <row r="1053" spans="1:7">
      <c r="A1053" s="44">
        <v>575.27654785769346</v>
      </c>
      <c r="B1053" s="44">
        <v>590.21274615243271</v>
      </c>
      <c r="C1053" s="44">
        <v>573.00688003453809</v>
      </c>
      <c r="D1053" s="44">
        <v>587.21955976556387</v>
      </c>
      <c r="E1053" s="44">
        <v>1242992.1291644343</v>
      </c>
      <c r="F1053" s="44" t="s">
        <v>992</v>
      </c>
      <c r="G1053" s="25">
        <f t="shared" si="16"/>
        <v>-2.0338239265460523E-2</v>
      </c>
    </row>
    <row r="1054" spans="1:7">
      <c r="A1054" s="44">
        <v>585.90136840975742</v>
      </c>
      <c r="B1054" s="44">
        <v>593.27035542511157</v>
      </c>
      <c r="C1054" s="44">
        <v>569.97404879486317</v>
      </c>
      <c r="D1054" s="44">
        <v>569.97404879486317</v>
      </c>
      <c r="E1054" s="44">
        <v>1612366.6876116949</v>
      </c>
      <c r="F1054" s="44" t="s">
        <v>993</v>
      </c>
      <c r="G1054" s="25">
        <f t="shared" si="16"/>
        <v>2.7943938234680221E-2</v>
      </c>
    </row>
    <row r="1055" spans="1:7">
      <c r="A1055" s="44">
        <v>569.05230596711874</v>
      </c>
      <c r="B1055" s="44">
        <v>570.8858804094059</v>
      </c>
      <c r="C1055" s="44">
        <v>563.30380231021854</v>
      </c>
      <c r="D1055" s="44">
        <v>569.65688997241341</v>
      </c>
      <c r="E1055" s="44">
        <v>1149204.4181045587</v>
      </c>
      <c r="F1055" s="44" t="s">
        <v>994</v>
      </c>
      <c r="G1055" s="25">
        <f t="shared" si="16"/>
        <v>-1.0613125478460272E-3</v>
      </c>
    </row>
    <row r="1056" spans="1:7">
      <c r="A1056" s="44">
        <v>567.05024090040524</v>
      </c>
      <c r="B1056" s="44">
        <v>569.89475908925067</v>
      </c>
      <c r="C1056" s="44">
        <v>560.92511114184606</v>
      </c>
      <c r="D1056" s="44">
        <v>563.90838631551321</v>
      </c>
      <c r="E1056" s="44">
        <v>1171579.0755244263</v>
      </c>
      <c r="F1056" s="44" t="s">
        <v>995</v>
      </c>
      <c r="G1056" s="25">
        <f t="shared" si="16"/>
        <v>5.5715691788527089E-3</v>
      </c>
    </row>
    <row r="1057" spans="1:7">
      <c r="A1057" s="44">
        <v>563.84891903630387</v>
      </c>
      <c r="B1057" s="44">
        <v>572.93750154212728</v>
      </c>
      <c r="C1057" s="44">
        <v>559.62674221244265</v>
      </c>
      <c r="D1057" s="44">
        <v>572.89785668932097</v>
      </c>
      <c r="E1057" s="44">
        <v>1236619.5490659545</v>
      </c>
      <c r="F1057" s="44" t="s">
        <v>996</v>
      </c>
      <c r="G1057" s="25">
        <f t="shared" si="16"/>
        <v>-1.5795027939726203E-2</v>
      </c>
    </row>
    <row r="1058" spans="1:7">
      <c r="A1058" s="44">
        <v>571.67877746553006</v>
      </c>
      <c r="B1058" s="44">
        <v>573.20014869196837</v>
      </c>
      <c r="C1058" s="44">
        <v>559.58709735963646</v>
      </c>
      <c r="D1058" s="44">
        <v>566.42583446870742</v>
      </c>
      <c r="E1058" s="44">
        <v>1297786.632012476</v>
      </c>
      <c r="F1058" s="44" t="s">
        <v>997</v>
      </c>
      <c r="G1058" s="25">
        <f t="shared" si="16"/>
        <v>9.273840769903785E-3</v>
      </c>
    </row>
    <row r="1059" spans="1:7">
      <c r="A1059" s="44">
        <v>565.87080652942052</v>
      </c>
      <c r="B1059" s="44">
        <v>580.46011236210529</v>
      </c>
      <c r="C1059" s="44">
        <v>560.50884018738077</v>
      </c>
      <c r="D1059" s="44">
        <v>578.89414067626012</v>
      </c>
      <c r="E1059" s="44">
        <v>1423853.9433083646</v>
      </c>
      <c r="F1059" s="44" t="s">
        <v>998</v>
      </c>
      <c r="G1059" s="25">
        <f t="shared" si="16"/>
        <v>-2.249691823037947E-2</v>
      </c>
    </row>
    <row r="1060" spans="1:7">
      <c r="A1060" s="44">
        <v>580.47002357530687</v>
      </c>
      <c r="B1060" s="44">
        <v>598.32011855130236</v>
      </c>
      <c r="C1060" s="44">
        <v>579.3600668088651</v>
      </c>
      <c r="D1060" s="44">
        <v>593.20593253930144</v>
      </c>
      <c r="E1060" s="44">
        <v>1483296.7166620579</v>
      </c>
      <c r="F1060" s="44" t="s">
        <v>999</v>
      </c>
      <c r="G1060" s="25">
        <f t="shared" si="16"/>
        <v>-2.1469625075185461E-2</v>
      </c>
    </row>
    <row r="1061" spans="1:7">
      <c r="A1061" s="44">
        <v>603.45412698970642</v>
      </c>
      <c r="B1061" s="44">
        <v>612.86482392458026</v>
      </c>
      <c r="C1061" s="44">
        <v>601.37277221738043</v>
      </c>
      <c r="D1061" s="44">
        <v>604.58400529468338</v>
      </c>
      <c r="E1061" s="44">
        <v>1643623.2042156849</v>
      </c>
      <c r="F1061" s="44" t="s">
        <v>1000</v>
      </c>
      <c r="G1061" s="25">
        <f t="shared" si="16"/>
        <v>-1.8688524590163569E-3</v>
      </c>
    </row>
    <row r="1062" spans="1:7">
      <c r="A1062" s="44">
        <v>606.77438341222637</v>
      </c>
      <c r="B1062" s="44">
        <v>611.65565591399081</v>
      </c>
      <c r="C1062" s="44">
        <v>576.79296347753109</v>
      </c>
      <c r="D1062" s="44">
        <v>577.81381843729093</v>
      </c>
      <c r="E1062" s="44">
        <v>2159468.2270227126</v>
      </c>
      <c r="F1062" s="44" t="s">
        <v>1001</v>
      </c>
      <c r="G1062" s="25">
        <f t="shared" si="16"/>
        <v>5.0120928317809899E-2</v>
      </c>
    </row>
    <row r="1063" spans="1:7">
      <c r="A1063" s="44">
        <v>582.19457467237692</v>
      </c>
      <c r="B1063" s="44">
        <v>584.870602236796</v>
      </c>
      <c r="C1063" s="44">
        <v>567.94225008854482</v>
      </c>
      <c r="D1063" s="44">
        <v>574.02773499429793</v>
      </c>
      <c r="E1063" s="44">
        <v>1243839.6540667019</v>
      </c>
      <c r="F1063" s="44" t="s">
        <v>1002</v>
      </c>
      <c r="G1063" s="25">
        <f t="shared" si="16"/>
        <v>1.4227256246007292E-2</v>
      </c>
    </row>
    <row r="1064" spans="1:7">
      <c r="A1064" s="44">
        <v>579.09236494029108</v>
      </c>
      <c r="B1064" s="44">
        <v>588.45846141575794</v>
      </c>
      <c r="C1064" s="44">
        <v>575.53423940093398</v>
      </c>
      <c r="D1064" s="44">
        <v>579.67712651918271</v>
      </c>
      <c r="E1064" s="44">
        <v>1091926.8690845161</v>
      </c>
      <c r="F1064" s="44" t="s">
        <v>1003</v>
      </c>
      <c r="G1064" s="25">
        <f t="shared" si="16"/>
        <v>-1.0087711799203758E-3</v>
      </c>
    </row>
    <row r="1065" spans="1:7">
      <c r="A1065" s="44">
        <v>584.90033587640073</v>
      </c>
      <c r="B1065" s="44">
        <v>589.45949394911474</v>
      </c>
      <c r="C1065" s="44">
        <v>580.05623042414209</v>
      </c>
      <c r="D1065" s="44">
        <v>586.02030296817611</v>
      </c>
      <c r="E1065" s="44">
        <v>1036874.072932926</v>
      </c>
      <c r="F1065" s="44" t="s">
        <v>1004</v>
      </c>
      <c r="G1065" s="25">
        <f t="shared" si="16"/>
        <v>-1.9111404265395038E-3</v>
      </c>
    </row>
    <row r="1066" spans="1:7">
      <c r="A1066" s="44">
        <v>587.08080278074226</v>
      </c>
      <c r="B1066" s="44">
        <v>588.88464358342469</v>
      </c>
      <c r="C1066" s="44">
        <v>579.25094435151595</v>
      </c>
      <c r="D1066" s="44">
        <v>586.96186822232357</v>
      </c>
      <c r="E1066" s="44">
        <v>1037941.5507264965</v>
      </c>
      <c r="F1066" s="44" t="s">
        <v>1005</v>
      </c>
      <c r="G1066" s="25">
        <f t="shared" si="16"/>
        <v>2.0262740197907192E-4</v>
      </c>
    </row>
    <row r="1067" spans="1:7">
      <c r="A1067" s="44">
        <v>585.40580774967987</v>
      </c>
      <c r="B1067" s="44">
        <v>595.79275918490657</v>
      </c>
      <c r="C1067" s="44">
        <v>585.40580774967987</v>
      </c>
      <c r="D1067" s="44">
        <v>587.07089156754068</v>
      </c>
      <c r="E1067" s="44">
        <v>1652048.0053275127</v>
      </c>
      <c r="F1067" s="44" t="s">
        <v>1006</v>
      </c>
      <c r="G1067" s="25">
        <f t="shared" si="16"/>
        <v>-2.8362568163018409E-3</v>
      </c>
    </row>
    <row r="1068" spans="1:7">
      <c r="A1068" s="44">
        <v>589.86585369037834</v>
      </c>
      <c r="B1068" s="44">
        <v>593.92449549641401</v>
      </c>
      <c r="C1068" s="44">
        <v>585.64367686651713</v>
      </c>
      <c r="D1068" s="44">
        <v>587.26911583157164</v>
      </c>
      <c r="E1068" s="44">
        <v>1102694.4711761838</v>
      </c>
      <c r="F1068" s="44" t="s">
        <v>1007</v>
      </c>
      <c r="G1068" s="25">
        <f t="shared" si="16"/>
        <v>4.4217170438627384E-3</v>
      </c>
    </row>
    <row r="1069" spans="1:7">
      <c r="A1069" s="44">
        <v>587.60609708042443</v>
      </c>
      <c r="B1069" s="44">
        <v>591.30297960460348</v>
      </c>
      <c r="C1069" s="44">
        <v>579.74650501159363</v>
      </c>
      <c r="D1069" s="44">
        <v>587.49707373520732</v>
      </c>
      <c r="E1069" s="44">
        <v>1212021.1477358511</v>
      </c>
      <c r="F1069" s="44" t="s">
        <v>1008</v>
      </c>
      <c r="G1069" s="25">
        <f t="shared" si="16"/>
        <v>1.8557257574736141E-4</v>
      </c>
    </row>
    <row r="1070" spans="1:7">
      <c r="A1070" s="44">
        <v>578.012042701322</v>
      </c>
      <c r="B1070" s="44">
        <v>578.121066046539</v>
      </c>
      <c r="C1070" s="44">
        <v>569.90467030245225</v>
      </c>
      <c r="D1070" s="44">
        <v>571.86709051635955</v>
      </c>
      <c r="E1070" s="44">
        <v>953829.74896751076</v>
      </c>
      <c r="F1070" s="44" t="s">
        <v>1009</v>
      </c>
      <c r="G1070" s="25">
        <f t="shared" si="16"/>
        <v>1.0745420197923794E-2</v>
      </c>
    </row>
    <row r="1071" spans="1:7">
      <c r="A1071" s="44">
        <v>569.19106295194047</v>
      </c>
      <c r="B1071" s="44">
        <v>575.8910430761897</v>
      </c>
      <c r="C1071" s="44">
        <v>563.22451260460605</v>
      </c>
      <c r="D1071" s="44">
        <v>572.74918849129767</v>
      </c>
      <c r="E1071" s="44">
        <v>1046584.2868131932</v>
      </c>
      <c r="F1071" s="44" t="s">
        <v>1010</v>
      </c>
      <c r="G1071" s="25">
        <f t="shared" si="16"/>
        <v>-6.2123624281856804E-3</v>
      </c>
    </row>
    <row r="1072" spans="1:7">
      <c r="A1072" s="44">
        <v>568.59639015984737</v>
      </c>
      <c r="B1072" s="44">
        <v>570.32589686351821</v>
      </c>
      <c r="C1072" s="44">
        <v>562.02525580721817</v>
      </c>
      <c r="D1072" s="44">
        <v>569.04239475391716</v>
      </c>
      <c r="E1072" s="44">
        <v>980018.26844758319</v>
      </c>
      <c r="F1072" s="44" t="s">
        <v>1011</v>
      </c>
      <c r="G1072" s="25">
        <f t="shared" si="16"/>
        <v>-7.8378095934783509E-4</v>
      </c>
    </row>
    <row r="1073" spans="1:7">
      <c r="A1073" s="44">
        <v>566.23752141787793</v>
      </c>
      <c r="B1073" s="44">
        <v>577.90301935610489</v>
      </c>
      <c r="C1073" s="44">
        <v>564.88959642246687</v>
      </c>
      <c r="D1073" s="44">
        <v>576.43615980227514</v>
      </c>
      <c r="E1073" s="44">
        <v>1205797.8934534853</v>
      </c>
      <c r="F1073" s="44" t="s">
        <v>1012</v>
      </c>
      <c r="G1073" s="25">
        <f t="shared" si="16"/>
        <v>-1.7692572214580538E-2</v>
      </c>
    </row>
    <row r="1074" spans="1:7">
      <c r="A1074" s="44">
        <v>582.14501860636915</v>
      </c>
      <c r="B1074" s="44">
        <v>589.39863910005715</v>
      </c>
      <c r="C1074" s="44">
        <v>581.31743230403958</v>
      </c>
      <c r="D1074" s="44">
        <v>585.02918164802088</v>
      </c>
      <c r="E1074" s="44">
        <v>1513207.2830045894</v>
      </c>
      <c r="F1074" s="44" t="s">
        <v>1013</v>
      </c>
      <c r="G1074" s="25">
        <f t="shared" si="16"/>
        <v>-4.9299473122470516E-3</v>
      </c>
    </row>
    <row r="1075" spans="1:7">
      <c r="A1075" s="44">
        <v>584.06779396747027</v>
      </c>
      <c r="B1075" s="44">
        <v>584.9498919424085</v>
      </c>
      <c r="C1075" s="44">
        <v>576.64429527950767</v>
      </c>
      <c r="D1075" s="44">
        <v>576.64429527950767</v>
      </c>
      <c r="E1075" s="44">
        <v>1706191.7301255988</v>
      </c>
      <c r="F1075" s="44" t="s">
        <v>1014</v>
      </c>
      <c r="G1075" s="25">
        <f t="shared" si="16"/>
        <v>1.28736185352607E-2</v>
      </c>
    </row>
    <row r="1076" spans="1:7">
      <c r="A1076" s="44">
        <v>583.85965849023773</v>
      </c>
      <c r="B1076" s="44">
        <v>585.32651804406748</v>
      </c>
      <c r="C1076" s="44">
        <v>568.249497697793</v>
      </c>
      <c r="D1076" s="44">
        <v>571.68868867873152</v>
      </c>
      <c r="E1076" s="44">
        <v>2645615.5736709926</v>
      </c>
      <c r="F1076" s="44" t="s">
        <v>1015</v>
      </c>
      <c r="G1076" s="25">
        <f t="shared" si="16"/>
        <v>2.1289506076524578E-2</v>
      </c>
    </row>
    <row r="1077" spans="1:7">
      <c r="A1077" s="44">
        <v>567.16917545882382</v>
      </c>
      <c r="B1077" s="44">
        <v>567.58544641328899</v>
      </c>
      <c r="C1077" s="44">
        <v>554.04672917996868</v>
      </c>
      <c r="D1077" s="44">
        <v>557.604854719326</v>
      </c>
      <c r="E1077" s="44">
        <v>1342534.9378939944</v>
      </c>
      <c r="F1077" s="44" t="s">
        <v>1016</v>
      </c>
      <c r="G1077" s="25">
        <f t="shared" si="16"/>
        <v>1.7152506221116193E-2</v>
      </c>
    </row>
    <row r="1078" spans="1:7">
      <c r="A1078" s="44">
        <v>557.55529865331812</v>
      </c>
      <c r="B1078" s="44">
        <v>560.90528871544279</v>
      </c>
      <c r="C1078" s="44">
        <v>546.10784740552549</v>
      </c>
      <c r="D1078" s="44">
        <v>551.87617348882884</v>
      </c>
      <c r="E1078" s="44">
        <v>1410210.8102982882</v>
      </c>
      <c r="F1078" s="44" t="s">
        <v>1017</v>
      </c>
      <c r="G1078" s="25">
        <f t="shared" si="16"/>
        <v>1.0290578643008308E-2</v>
      </c>
    </row>
    <row r="1079" spans="1:7">
      <c r="A1079" s="44">
        <v>545.75104373026954</v>
      </c>
      <c r="B1079" s="44">
        <v>547.59452938575828</v>
      </c>
      <c r="C1079" s="44">
        <v>534.94782134057766</v>
      </c>
      <c r="D1079" s="44">
        <v>535.50284927986456</v>
      </c>
      <c r="E1079" s="44">
        <v>1264336.6402447599</v>
      </c>
      <c r="F1079" s="44" t="s">
        <v>1018</v>
      </c>
      <c r="G1079" s="25">
        <f t="shared" si="16"/>
        <v>1.9137516194706716E-2</v>
      </c>
    </row>
    <row r="1080" spans="1:7">
      <c r="A1080" s="44">
        <v>530.82475664873175</v>
      </c>
      <c r="B1080" s="44">
        <v>546.18834344642187</v>
      </c>
      <c r="C1080" s="44">
        <v>525.66390537206553</v>
      </c>
      <c r="D1080" s="44">
        <v>530.62664335596139</v>
      </c>
      <c r="E1080" s="44">
        <v>1112867.2736545235</v>
      </c>
      <c r="F1080" s="44" t="s">
        <v>1019</v>
      </c>
      <c r="G1080" s="25">
        <f t="shared" si="16"/>
        <v>3.7335722819609174E-4</v>
      </c>
    </row>
    <row r="1081" spans="1:7">
      <c r="A1081" s="44">
        <v>524.81201821315324</v>
      </c>
      <c r="B1081" s="44">
        <v>538.37287310327997</v>
      </c>
      <c r="C1081" s="44">
        <v>523.94031972496384</v>
      </c>
      <c r="D1081" s="44">
        <v>538.11532582267864</v>
      </c>
      <c r="E1081" s="44">
        <v>961300.46266412991</v>
      </c>
      <c r="F1081" s="44" t="s">
        <v>1020</v>
      </c>
      <c r="G1081" s="25">
        <f t="shared" si="16"/>
        <v>-2.4722038141521296E-2</v>
      </c>
    </row>
    <row r="1082" spans="1:7">
      <c r="A1082" s="44">
        <v>533.17239916805977</v>
      </c>
      <c r="B1082" s="44">
        <v>536.44126849876955</v>
      </c>
      <c r="C1082" s="44">
        <v>528.83371805639024</v>
      </c>
      <c r="D1082" s="44">
        <v>531.36956820385001</v>
      </c>
      <c r="E1082" s="44">
        <v>1495306.0234250785</v>
      </c>
      <c r="F1082" s="44" t="s">
        <v>1021</v>
      </c>
      <c r="G1082" s="25">
        <f t="shared" si="16"/>
        <v>3.392800551796249E-3</v>
      </c>
    </row>
    <row r="1083" spans="1:7">
      <c r="A1083" s="44">
        <v>536.58985346834743</v>
      </c>
      <c r="B1083" s="44">
        <v>538.7096657009896</v>
      </c>
      <c r="C1083" s="44">
        <v>526.01060363441354</v>
      </c>
      <c r="D1083" s="44">
        <v>534.60872054064441</v>
      </c>
      <c r="E1083" s="44">
        <v>1495089.9854227742</v>
      </c>
      <c r="F1083" s="44" t="s">
        <v>1022</v>
      </c>
      <c r="G1083" s="25">
        <f t="shared" si="16"/>
        <v>3.7057624606264827E-3</v>
      </c>
    </row>
    <row r="1084" spans="1:7">
      <c r="A1084" s="44">
        <v>519.05682705817617</v>
      </c>
      <c r="B1084" s="44">
        <v>530.67121884683479</v>
      </c>
      <c r="C1084" s="44">
        <v>514.98559889174658</v>
      </c>
      <c r="D1084" s="44">
        <v>521.63229986419003</v>
      </c>
      <c r="E1084" s="44">
        <v>1802324.2913538399</v>
      </c>
      <c r="F1084" s="44" t="s">
        <v>1023</v>
      </c>
      <c r="G1084" s="25">
        <f t="shared" si="16"/>
        <v>-4.9373338397266098E-3</v>
      </c>
    </row>
    <row r="1085" spans="1:7">
      <c r="A1085" s="44">
        <v>529.70541654457952</v>
      </c>
      <c r="B1085" s="44">
        <v>539.75966615267203</v>
      </c>
      <c r="C1085" s="44">
        <v>519.21531769239232</v>
      </c>
      <c r="D1085" s="44">
        <v>536.88702340750274</v>
      </c>
      <c r="E1085" s="44">
        <v>2189060.582132848</v>
      </c>
      <c r="F1085" s="44" t="s">
        <v>1024</v>
      </c>
      <c r="G1085" s="25">
        <f t="shared" si="16"/>
        <v>-1.3376383763837651E-2</v>
      </c>
    </row>
    <row r="1086" spans="1:7">
      <c r="A1086" s="44">
        <v>542.15683699519275</v>
      </c>
      <c r="B1086" s="44">
        <v>546.12900851523716</v>
      </c>
      <c r="C1086" s="44">
        <v>531.98371941143796</v>
      </c>
      <c r="D1086" s="44">
        <v>545.07900806355451</v>
      </c>
      <c r="E1086" s="44">
        <v>1330457.9229098533</v>
      </c>
      <c r="F1086" s="44" t="s">
        <v>1025</v>
      </c>
      <c r="G1086" s="25">
        <f t="shared" si="16"/>
        <v>-5.3610045977426912E-3</v>
      </c>
    </row>
    <row r="1087" spans="1:7">
      <c r="A1087" s="44">
        <v>549.06108524823742</v>
      </c>
      <c r="B1087" s="44">
        <v>563.59269527293873</v>
      </c>
      <c r="C1087" s="44">
        <v>545.50495164301071</v>
      </c>
      <c r="D1087" s="44">
        <v>552.74599249376502</v>
      </c>
      <c r="E1087" s="44">
        <v>1368104.0590964213</v>
      </c>
      <c r="F1087" s="44" t="s">
        <v>1026</v>
      </c>
      <c r="G1087" s="25">
        <f t="shared" si="16"/>
        <v>-6.6665471944948873E-3</v>
      </c>
    </row>
    <row r="1088" spans="1:7">
      <c r="A1088" s="44">
        <v>551.2007088101567</v>
      </c>
      <c r="B1088" s="44">
        <v>556.47052239784659</v>
      </c>
      <c r="C1088" s="44">
        <v>537.23372166985087</v>
      </c>
      <c r="D1088" s="44">
        <v>539.63089251237136</v>
      </c>
      <c r="E1088" s="44">
        <v>1659629.1717851718</v>
      </c>
      <c r="F1088" s="44" t="s">
        <v>1027</v>
      </c>
      <c r="G1088" s="25">
        <f t="shared" si="16"/>
        <v>2.1440240835582047E-2</v>
      </c>
    </row>
    <row r="1089" spans="1:7">
      <c r="A1089" s="44">
        <v>537.94692952382388</v>
      </c>
      <c r="B1089" s="44">
        <v>542.44410126970956</v>
      </c>
      <c r="C1089" s="44">
        <v>533.73702205245513</v>
      </c>
      <c r="D1089" s="44">
        <v>539.48230754279371</v>
      </c>
      <c r="E1089" s="44">
        <v>1625266.0056149273</v>
      </c>
      <c r="F1089" s="44" t="s">
        <v>1028</v>
      </c>
      <c r="G1089" s="25">
        <f t="shared" si="16"/>
        <v>-2.8460210789174045E-3</v>
      </c>
    </row>
    <row r="1090" spans="1:7">
      <c r="A1090" s="44">
        <v>538.86815633520575</v>
      </c>
      <c r="B1090" s="44">
        <v>544.50447951452077</v>
      </c>
      <c r="C1090" s="44">
        <v>533.75683338173212</v>
      </c>
      <c r="D1090" s="44">
        <v>539.97759077471937</v>
      </c>
      <c r="E1090" s="44">
        <v>1789707.2682099252</v>
      </c>
      <c r="F1090" s="44" t="s">
        <v>1029</v>
      </c>
      <c r="G1090" s="25">
        <f t="shared" si="16"/>
        <v>-2.0545934840034974E-3</v>
      </c>
    </row>
    <row r="1091" spans="1:7">
      <c r="A1091" s="44">
        <v>544.64315881945993</v>
      </c>
      <c r="B1091" s="44">
        <v>544.88089477078427</v>
      </c>
      <c r="C1091" s="44">
        <v>529.50730325180916</v>
      </c>
      <c r="D1091" s="44">
        <v>531.78560611866772</v>
      </c>
      <c r="E1091" s="44">
        <v>1167920.6214005831</v>
      </c>
      <c r="F1091" s="44" t="s">
        <v>1030</v>
      </c>
      <c r="G1091" s="25">
        <f t="shared" si="16"/>
        <v>2.4178075812610667E-2</v>
      </c>
    </row>
    <row r="1092" spans="1:7">
      <c r="A1092" s="44">
        <v>535.0742867786546</v>
      </c>
      <c r="B1092" s="44">
        <v>537.25848583144705</v>
      </c>
      <c r="C1092" s="44">
        <v>509.09172843183029</v>
      </c>
      <c r="D1092" s="44">
        <v>513.90588144614844</v>
      </c>
      <c r="E1092" s="44">
        <v>2195188.3890206348</v>
      </c>
      <c r="F1092" s="44" t="s">
        <v>1031</v>
      </c>
      <c r="G1092" s="25">
        <f t="shared" si="16"/>
        <v>4.1191210485736374E-2</v>
      </c>
    </row>
    <row r="1093" spans="1:7">
      <c r="A1093" s="44">
        <v>523.59362146261594</v>
      </c>
      <c r="B1093" s="44">
        <v>537.53089160900629</v>
      </c>
      <c r="C1093" s="44">
        <v>522.86060227936582</v>
      </c>
      <c r="D1093" s="44">
        <v>526.981358768988</v>
      </c>
      <c r="E1093" s="44">
        <v>1534777.3778741043</v>
      </c>
      <c r="F1093" s="44" t="s">
        <v>1032</v>
      </c>
      <c r="G1093" s="25">
        <f t="shared" si="16"/>
        <v>-6.4285714285714501E-3</v>
      </c>
    </row>
    <row r="1094" spans="1:7">
      <c r="A1094" s="44">
        <v>524.89126353026131</v>
      </c>
      <c r="B1094" s="44">
        <v>535.60423983681517</v>
      </c>
      <c r="C1094" s="44">
        <v>521.92946980334546</v>
      </c>
      <c r="D1094" s="44">
        <v>531.27051155746494</v>
      </c>
      <c r="E1094" s="44">
        <v>1744455.3829141993</v>
      </c>
      <c r="F1094" s="44" t="s">
        <v>1033</v>
      </c>
      <c r="G1094" s="25">
        <f t="shared" ref="G1094:G1157" si="17">A1094/D1094-1</f>
        <v>-1.2007532675778143E-2</v>
      </c>
    </row>
    <row r="1095" spans="1:7">
      <c r="A1095" s="44">
        <v>532.07287039318453</v>
      </c>
      <c r="B1095" s="44">
        <v>540.34410036634449</v>
      </c>
      <c r="C1095" s="44">
        <v>529.50730325180916</v>
      </c>
      <c r="D1095" s="44">
        <v>536.75824976720207</v>
      </c>
      <c r="E1095" s="44">
        <v>1487738.6362041803</v>
      </c>
      <c r="F1095" s="44" t="s">
        <v>1034</v>
      </c>
      <c r="G1095" s="25">
        <f t="shared" si="17"/>
        <v>-8.7290309483825101E-3</v>
      </c>
    </row>
    <row r="1096" spans="1:7">
      <c r="A1096" s="44">
        <v>535.4407963702796</v>
      </c>
      <c r="B1096" s="44">
        <v>545.60400828939578</v>
      </c>
      <c r="C1096" s="44">
        <v>534.49975822962074</v>
      </c>
      <c r="D1096" s="44">
        <v>545.60400828939578</v>
      </c>
      <c r="E1096" s="44">
        <v>1683377.1996646286</v>
      </c>
      <c r="F1096" s="44" t="s">
        <v>1035</v>
      </c>
      <c r="G1096" s="25">
        <f t="shared" si="17"/>
        <v>-1.8627450980392091E-2</v>
      </c>
    </row>
    <row r="1097" spans="1:7">
      <c r="A1097" s="44">
        <v>545.1582533806627</v>
      </c>
      <c r="B1097" s="44">
        <v>549.46721749841663</v>
      </c>
      <c r="C1097" s="44">
        <v>534.08372031480303</v>
      </c>
      <c r="D1097" s="44">
        <v>547.15919763764271</v>
      </c>
      <c r="E1097" s="44">
        <v>2175201.8452373715</v>
      </c>
      <c r="F1097" s="44" t="s">
        <v>1036</v>
      </c>
      <c r="G1097" s="25">
        <f t="shared" si="17"/>
        <v>-3.6569690605934291E-3</v>
      </c>
    </row>
    <row r="1098" spans="1:7">
      <c r="A1098" s="44">
        <v>551.41863343220393</v>
      </c>
      <c r="B1098" s="44">
        <v>565.84128114588157</v>
      </c>
      <c r="C1098" s="44">
        <v>548.59551901022735</v>
      </c>
      <c r="D1098" s="44">
        <v>562.1266569064386</v>
      </c>
      <c r="E1098" s="44">
        <v>1452298.3085925404</v>
      </c>
      <c r="F1098" s="44" t="s">
        <v>1037</v>
      </c>
      <c r="G1098" s="25">
        <f t="shared" si="17"/>
        <v>-1.9049129484739802E-2</v>
      </c>
    </row>
    <row r="1099" spans="1:7">
      <c r="A1099" s="44">
        <v>555.89599384881274</v>
      </c>
      <c r="B1099" s="44">
        <v>563.40448764480698</v>
      </c>
      <c r="C1099" s="44">
        <v>550.72523690750802</v>
      </c>
      <c r="D1099" s="44">
        <v>559.19458017343811</v>
      </c>
      <c r="E1099" s="44">
        <v>1400906.5021285245</v>
      </c>
      <c r="F1099" s="44" t="s">
        <v>1038</v>
      </c>
      <c r="G1099" s="25">
        <f t="shared" si="17"/>
        <v>-5.8988166938283015E-3</v>
      </c>
    </row>
    <row r="1100" spans="1:7">
      <c r="A1100" s="44">
        <v>560.94788281445528</v>
      </c>
      <c r="B1100" s="44">
        <v>579.36251337745432</v>
      </c>
      <c r="C1100" s="44">
        <v>559.24410849663082</v>
      </c>
      <c r="D1100" s="44">
        <v>573.50826557609207</v>
      </c>
      <c r="E1100" s="44">
        <v>1742608.9646608613</v>
      </c>
      <c r="F1100" s="44" t="s">
        <v>1039</v>
      </c>
      <c r="G1100" s="25">
        <f t="shared" si="17"/>
        <v>-2.1900962053301609E-2</v>
      </c>
    </row>
    <row r="1101" spans="1:7">
      <c r="A1101" s="44">
        <v>574.80590764373744</v>
      </c>
      <c r="B1101" s="44">
        <v>581.67053323822824</v>
      </c>
      <c r="C1101" s="44">
        <v>571.87383091073718</v>
      </c>
      <c r="D1101" s="44">
        <v>576.182795028491</v>
      </c>
      <c r="E1101" s="44">
        <v>1949530.970886515</v>
      </c>
      <c r="F1101" s="44" t="s">
        <v>1040</v>
      </c>
      <c r="G1101" s="25">
        <f t="shared" si="17"/>
        <v>-2.3896711193631681E-3</v>
      </c>
    </row>
    <row r="1102" spans="1:7">
      <c r="A1102" s="44">
        <v>584.2856287027962</v>
      </c>
      <c r="B1102" s="44">
        <v>592.81935878887668</v>
      </c>
      <c r="C1102" s="44">
        <v>582.43326941539397</v>
      </c>
      <c r="D1102" s="44">
        <v>588.58468715591164</v>
      </c>
      <c r="E1102" s="44">
        <v>1348018.5820223833</v>
      </c>
      <c r="F1102" s="44" t="s">
        <v>1041</v>
      </c>
      <c r="G1102" s="25">
        <f t="shared" si="17"/>
        <v>-7.3040609905922205E-3</v>
      </c>
    </row>
    <row r="1103" spans="1:7">
      <c r="A1103" s="44">
        <v>581.98751450666066</v>
      </c>
      <c r="B1103" s="44">
        <v>587.05921480158031</v>
      </c>
      <c r="C1103" s="44">
        <v>572.43845379513243</v>
      </c>
      <c r="D1103" s="44">
        <v>572.43845379513243</v>
      </c>
      <c r="E1103" s="44">
        <v>1154872.531775435</v>
      </c>
      <c r="F1103" s="44" t="s">
        <v>1042</v>
      </c>
      <c r="G1103" s="25">
        <f t="shared" si="17"/>
        <v>1.6681375348249539E-2</v>
      </c>
    </row>
    <row r="1104" spans="1:7">
      <c r="A1104" s="44">
        <v>581.51204260401198</v>
      </c>
      <c r="B1104" s="44">
        <v>594.09223669492587</v>
      </c>
      <c r="C1104" s="44">
        <v>579.38232470673131</v>
      </c>
      <c r="D1104" s="44">
        <v>592.25968873680063</v>
      </c>
      <c r="E1104" s="44">
        <v>1254841.593533261</v>
      </c>
      <c r="F1104" s="44" t="s">
        <v>1043</v>
      </c>
      <c r="G1104" s="25">
        <f t="shared" si="17"/>
        <v>-1.8146847298879498E-2</v>
      </c>
    </row>
    <row r="1105" spans="1:7">
      <c r="A1105" s="44">
        <v>588.81251744259737</v>
      </c>
      <c r="B1105" s="44">
        <v>593.5276138105304</v>
      </c>
      <c r="C1105" s="44">
        <v>582.17572213479252</v>
      </c>
      <c r="D1105" s="44">
        <v>586.72242220387079</v>
      </c>
      <c r="E1105" s="44">
        <v>1406439.6997482874</v>
      </c>
      <c r="F1105" s="44" t="s">
        <v>1044</v>
      </c>
      <c r="G1105" s="25">
        <f t="shared" si="17"/>
        <v>3.562323783153909E-3</v>
      </c>
    </row>
    <row r="1106" spans="1:7">
      <c r="A1106" s="44">
        <v>589.31770633916165</v>
      </c>
      <c r="B1106" s="44">
        <v>595.82572800666594</v>
      </c>
      <c r="C1106" s="44">
        <v>584.11723240394133</v>
      </c>
      <c r="D1106" s="44">
        <v>589.59506494904019</v>
      </c>
      <c r="E1106" s="44">
        <v>1774749.1603587982</v>
      </c>
      <c r="F1106" s="44" t="s">
        <v>1045</v>
      </c>
      <c r="G1106" s="25">
        <f t="shared" si="17"/>
        <v>-4.7042220392823353E-4</v>
      </c>
    </row>
    <row r="1107" spans="1:7">
      <c r="A1107" s="44">
        <v>598.43091780659529</v>
      </c>
      <c r="B1107" s="44">
        <v>602.96771221103518</v>
      </c>
      <c r="C1107" s="44">
        <v>588.70355513157369</v>
      </c>
      <c r="D1107" s="44">
        <v>600.4170035666175</v>
      </c>
      <c r="E1107" s="44">
        <v>2107097.3792960383</v>
      </c>
      <c r="F1107" s="44" t="s">
        <v>1046</v>
      </c>
      <c r="G1107" s="25">
        <f t="shared" si="17"/>
        <v>-3.3078439621536671E-3</v>
      </c>
    </row>
    <row r="1108" spans="1:7">
      <c r="A1108" s="44">
        <v>588.70355513157369</v>
      </c>
      <c r="B1108" s="44">
        <v>590.22902748590514</v>
      </c>
      <c r="C1108" s="44">
        <v>574.73656799126798</v>
      </c>
      <c r="D1108" s="44">
        <v>582.75025068382638</v>
      </c>
      <c r="E1108" s="44">
        <v>2236652.5426124106</v>
      </c>
      <c r="F1108" s="44" t="s">
        <v>1047</v>
      </c>
      <c r="G1108" s="25">
        <f t="shared" si="17"/>
        <v>1.0215876253611977E-2</v>
      </c>
    </row>
    <row r="1109" spans="1:7">
      <c r="A1109" s="44">
        <v>575.816285436866</v>
      </c>
      <c r="B1109" s="44">
        <v>576.12336104066003</v>
      </c>
      <c r="C1109" s="44">
        <v>566.77241362190193</v>
      </c>
      <c r="D1109" s="44">
        <v>568.58515025075019</v>
      </c>
      <c r="E1109" s="44">
        <v>1904227.5998986512</v>
      </c>
      <c r="F1109" s="44" t="s">
        <v>1048</v>
      </c>
      <c r="G1109" s="25">
        <f t="shared" si="17"/>
        <v>1.271777003484309E-2</v>
      </c>
    </row>
    <row r="1110" spans="1:7">
      <c r="A1110" s="44">
        <v>566.63373431696277</v>
      </c>
      <c r="B1110" s="44">
        <v>566.99033824394928</v>
      </c>
      <c r="C1110" s="44">
        <v>538.57098639605033</v>
      </c>
      <c r="D1110" s="44">
        <v>549.34834952275446</v>
      </c>
      <c r="E1110" s="44">
        <v>1598965.9026428303</v>
      </c>
      <c r="F1110" s="44" t="s">
        <v>1049</v>
      </c>
      <c r="G1110" s="25">
        <f t="shared" si="17"/>
        <v>3.1465252984240299E-2</v>
      </c>
    </row>
    <row r="1111" spans="1:7">
      <c r="A1111" s="44">
        <v>548.51627369311916</v>
      </c>
      <c r="B1111" s="44">
        <v>566.01958310937482</v>
      </c>
      <c r="C1111" s="44">
        <v>547.59504688173729</v>
      </c>
      <c r="D1111" s="44">
        <v>563.21628001667523</v>
      </c>
      <c r="E1111" s="44">
        <v>1952227.4078218164</v>
      </c>
      <c r="F1111" s="44" t="s">
        <v>1050</v>
      </c>
      <c r="G1111" s="25">
        <f t="shared" si="17"/>
        <v>-2.6100109043582398E-2</v>
      </c>
    </row>
    <row r="1112" spans="1:7">
      <c r="A1112" s="44">
        <v>557.58986250199871</v>
      </c>
      <c r="B1112" s="44">
        <v>570.1799622575511</v>
      </c>
      <c r="C1112" s="44">
        <v>553.11250208539002</v>
      </c>
      <c r="D1112" s="44">
        <v>569.82335833056459</v>
      </c>
      <c r="E1112" s="44">
        <v>1910897.5208389491</v>
      </c>
      <c r="F1112" s="44" t="s">
        <v>1051</v>
      </c>
      <c r="G1112" s="25">
        <f t="shared" si="17"/>
        <v>-2.1468926553672496E-2</v>
      </c>
    </row>
    <row r="1113" spans="1:7">
      <c r="A1113" s="44">
        <v>562.39410985167842</v>
      </c>
      <c r="B1113" s="44">
        <v>571.52713264838917</v>
      </c>
      <c r="C1113" s="44">
        <v>555.43042761080255</v>
      </c>
      <c r="D1113" s="44">
        <v>563.22618568131372</v>
      </c>
      <c r="E1113" s="44">
        <v>1882446.1235541876</v>
      </c>
      <c r="F1113" s="44" t="s">
        <v>1052</v>
      </c>
      <c r="G1113" s="25">
        <f t="shared" si="17"/>
        <v>-1.4773386798924149E-3</v>
      </c>
    </row>
    <row r="1114" spans="1:7">
      <c r="A1114" s="44">
        <v>570.36816988568285</v>
      </c>
      <c r="B1114" s="44">
        <v>570.77430213586206</v>
      </c>
      <c r="C1114" s="44">
        <v>547.15919763764271</v>
      </c>
      <c r="D1114" s="44">
        <v>565.46486588961807</v>
      </c>
      <c r="E1114" s="44">
        <v>2612331.5238622702</v>
      </c>
      <c r="F1114" s="44" t="s">
        <v>1053</v>
      </c>
      <c r="G1114" s="25">
        <f t="shared" si="17"/>
        <v>8.6712796706664985E-3</v>
      </c>
    </row>
    <row r="1115" spans="1:7">
      <c r="A1115" s="44">
        <v>574.85543596693014</v>
      </c>
      <c r="B1115" s="44">
        <v>584.95921389821513</v>
      </c>
      <c r="C1115" s="44">
        <v>572.82477471603454</v>
      </c>
      <c r="D1115" s="44">
        <v>582.34411843364728</v>
      </c>
      <c r="E1115" s="44">
        <v>2115491.5661612689</v>
      </c>
      <c r="F1115" s="44" t="s">
        <v>1054</v>
      </c>
      <c r="G1115" s="25">
        <f t="shared" si="17"/>
        <v>-1.285954855500171E-2</v>
      </c>
    </row>
    <row r="1116" spans="1:7">
      <c r="A1116" s="44">
        <v>582.61157137888711</v>
      </c>
      <c r="B1116" s="44">
        <v>596.7964831412404</v>
      </c>
      <c r="C1116" s="44">
        <v>581.24458965877204</v>
      </c>
      <c r="D1116" s="44">
        <v>589.44647997946231</v>
      </c>
      <c r="E1116" s="44">
        <v>1544957.4115901578</v>
      </c>
      <c r="F1116" s="44" t="s">
        <v>1055</v>
      </c>
      <c r="G1116" s="25">
        <f t="shared" si="17"/>
        <v>-1.1595469364433786E-2</v>
      </c>
    </row>
    <row r="1117" spans="1:7">
      <c r="A1117" s="44">
        <v>587.77242265555344</v>
      </c>
      <c r="B1117" s="44">
        <v>596.90544545226408</v>
      </c>
      <c r="C1117" s="44">
        <v>586.66298821603971</v>
      </c>
      <c r="D1117" s="44">
        <v>588.10921525326296</v>
      </c>
      <c r="E1117" s="44">
        <v>1893905.223386687</v>
      </c>
      <c r="F1117" s="44" t="s">
        <v>1056</v>
      </c>
      <c r="G1117" s="25">
        <f t="shared" si="17"/>
        <v>-5.7267015883177841E-4</v>
      </c>
    </row>
    <row r="1118" spans="1:7">
      <c r="A1118" s="44">
        <v>584.53327031875904</v>
      </c>
      <c r="B1118" s="44">
        <v>589.18893269886098</v>
      </c>
      <c r="C1118" s="44">
        <v>578.66911685275818</v>
      </c>
      <c r="D1118" s="44">
        <v>580.61062712190721</v>
      </c>
      <c r="E1118" s="44">
        <v>1867198.2824943629</v>
      </c>
      <c r="F1118" s="44" t="s">
        <v>1057</v>
      </c>
      <c r="G1118" s="25">
        <f t="shared" si="17"/>
        <v>6.756065103900033E-3</v>
      </c>
    </row>
    <row r="1119" spans="1:7">
      <c r="A1119" s="44">
        <v>589.18893269886098</v>
      </c>
      <c r="B1119" s="44">
        <v>596.55874718991606</v>
      </c>
      <c r="C1119" s="44">
        <v>582.64128837280282</v>
      </c>
      <c r="D1119" s="44">
        <v>592.28940573071611</v>
      </c>
      <c r="E1119" s="44">
        <v>2449352.0511146388</v>
      </c>
      <c r="F1119" s="44" t="s">
        <v>1058</v>
      </c>
      <c r="G1119" s="25">
        <f t="shared" si="17"/>
        <v>-5.2347264729984966E-3</v>
      </c>
    </row>
    <row r="1120" spans="1:7">
      <c r="A1120" s="44">
        <v>595.22148246371648</v>
      </c>
      <c r="B1120" s="44">
        <v>619.99554972464205</v>
      </c>
      <c r="C1120" s="44">
        <v>594.19129334131105</v>
      </c>
      <c r="D1120" s="44">
        <v>618.81677563265885</v>
      </c>
      <c r="E1120" s="44">
        <v>2037303.9807479067</v>
      </c>
      <c r="F1120" s="44" t="s">
        <v>1059</v>
      </c>
      <c r="G1120" s="25">
        <f t="shared" si="17"/>
        <v>-3.8129692177170327E-2</v>
      </c>
    </row>
    <row r="1121" spans="1:7">
      <c r="A1121" s="44">
        <v>619.30215319994602</v>
      </c>
      <c r="B1121" s="44">
        <v>625.92904284311237</v>
      </c>
      <c r="C1121" s="44">
        <v>612.84365985563431</v>
      </c>
      <c r="D1121" s="44">
        <v>612.84365985563431</v>
      </c>
      <c r="E1121" s="44">
        <v>1569008.2964821907</v>
      </c>
      <c r="F1121" s="44" t="s">
        <v>1060</v>
      </c>
      <c r="G1121" s="25">
        <f t="shared" si="17"/>
        <v>1.0538565979181458E-2</v>
      </c>
    </row>
    <row r="1122" spans="1:7">
      <c r="A1122" s="44">
        <v>614.64649081984408</v>
      </c>
      <c r="B1122" s="44">
        <v>621.36253144475711</v>
      </c>
      <c r="C1122" s="44">
        <v>606.21677021246796</v>
      </c>
      <c r="D1122" s="44">
        <v>619.10403990717577</v>
      </c>
      <c r="E1122" s="44">
        <v>2498360.3728896817</v>
      </c>
      <c r="F1122" s="44" t="s">
        <v>1061</v>
      </c>
      <c r="G1122" s="25">
        <f t="shared" si="17"/>
        <v>-7.2000000000000952E-3</v>
      </c>
    </row>
    <row r="1123" spans="1:7">
      <c r="A1123" s="44">
        <v>619.14366256572976</v>
      </c>
      <c r="B1123" s="44">
        <v>619.52007782199337</v>
      </c>
      <c r="C1123" s="44">
        <v>593.27006652992907</v>
      </c>
      <c r="D1123" s="44">
        <v>594.18138767667244</v>
      </c>
      <c r="E1123" s="44">
        <v>2115665.2041818127</v>
      </c>
      <c r="F1123" s="44" t="s">
        <v>1062</v>
      </c>
      <c r="G1123" s="25">
        <f t="shared" si="17"/>
        <v>4.2011202987463303E-2</v>
      </c>
    </row>
    <row r="1124" spans="1:7">
      <c r="A1124" s="44">
        <v>601.34318321031867</v>
      </c>
      <c r="B1124" s="44">
        <v>615.61229312209923</v>
      </c>
      <c r="C1124" s="44">
        <v>600.47168283542214</v>
      </c>
      <c r="D1124" s="44">
        <v>615.14177405176986</v>
      </c>
      <c r="E1124" s="44">
        <v>1758463.5292692131</v>
      </c>
      <c r="F1124" s="44" t="s">
        <v>1063</v>
      </c>
      <c r="G1124" s="25">
        <f t="shared" si="17"/>
        <v>-2.2431561996779426E-2</v>
      </c>
    </row>
    <row r="1125" spans="1:7">
      <c r="A1125" s="44">
        <v>614.5474341734589</v>
      </c>
      <c r="B1125" s="44">
        <v>620.90687087138542</v>
      </c>
      <c r="C1125" s="44">
        <v>603.85922202850145</v>
      </c>
      <c r="D1125" s="44">
        <v>612.17007466021539</v>
      </c>
      <c r="E1125" s="44">
        <v>1702073.5725743184</v>
      </c>
      <c r="F1125" s="44" t="s">
        <v>1064</v>
      </c>
      <c r="G1125" s="25">
        <f t="shared" si="17"/>
        <v>3.8834951456310218E-3</v>
      </c>
    </row>
    <row r="1126" spans="1:7">
      <c r="A1126" s="44">
        <v>612.68516922141816</v>
      </c>
      <c r="B1126" s="44">
        <v>622.82856981125724</v>
      </c>
      <c r="C1126" s="44">
        <v>609.98092277510352</v>
      </c>
      <c r="D1126" s="44">
        <v>612.17007466021539</v>
      </c>
      <c r="E1126" s="44">
        <v>1933592.6158380171</v>
      </c>
      <c r="F1126" s="44" t="s">
        <v>1065</v>
      </c>
      <c r="G1126" s="25">
        <f t="shared" si="17"/>
        <v>8.4142394822017685E-4</v>
      </c>
    </row>
    <row r="1127" spans="1:7">
      <c r="A1127" s="44">
        <v>612.17007466021539</v>
      </c>
      <c r="B1127" s="44">
        <v>632.00616809884127</v>
      </c>
      <c r="C1127" s="44">
        <v>606.81111009077893</v>
      </c>
      <c r="D1127" s="44">
        <v>631.28800741254895</v>
      </c>
      <c r="E1127" s="44">
        <v>2622774.0336558893</v>
      </c>
      <c r="F1127" s="44" t="s">
        <v>1066</v>
      </c>
      <c r="G1127" s="25">
        <f t="shared" si="17"/>
        <v>-3.0284010670014072E-2</v>
      </c>
    </row>
    <row r="1128" spans="1:7">
      <c r="A1128" s="44">
        <v>638.83612386709717</v>
      </c>
      <c r="B1128" s="44">
        <v>658.00358494262343</v>
      </c>
      <c r="C1128" s="44">
        <v>634.14083882844113</v>
      </c>
      <c r="D1128" s="44">
        <v>656.73565986889355</v>
      </c>
      <c r="E1128" s="44">
        <v>1908028.4554064795</v>
      </c>
      <c r="F1128" s="44" t="s">
        <v>1067</v>
      </c>
      <c r="G1128" s="25">
        <f t="shared" si="17"/>
        <v>-2.7255313051479102E-2</v>
      </c>
    </row>
    <row r="1129" spans="1:7">
      <c r="A1129" s="44">
        <v>660.9455673402623</v>
      </c>
      <c r="B1129" s="44">
        <v>665.99745630590485</v>
      </c>
      <c r="C1129" s="44">
        <v>657.07245246660307</v>
      </c>
      <c r="D1129" s="44">
        <v>658.72669846123495</v>
      </c>
      <c r="E1129" s="44">
        <v>786190.55703945586</v>
      </c>
      <c r="F1129" s="44" t="s">
        <v>1068</v>
      </c>
      <c r="G1129" s="25">
        <f t="shared" si="17"/>
        <v>3.3684210526316871E-3</v>
      </c>
    </row>
    <row r="1130" spans="1:7">
      <c r="A1130" s="44">
        <v>659.17245336996814</v>
      </c>
      <c r="B1130" s="44">
        <v>662.62953032880989</v>
      </c>
      <c r="C1130" s="44">
        <v>656.13141432594409</v>
      </c>
      <c r="D1130" s="44">
        <v>658.41962285744103</v>
      </c>
      <c r="E1130" s="44">
        <v>560943.68250620551</v>
      </c>
      <c r="F1130" s="44" t="s">
        <v>1069</v>
      </c>
      <c r="G1130" s="25">
        <f t="shared" si="17"/>
        <v>1.1433901518000944E-3</v>
      </c>
    </row>
    <row r="1131" spans="1:7">
      <c r="A1131" s="44">
        <v>656.47811258829211</v>
      </c>
      <c r="B1131" s="44">
        <v>658.89509476008971</v>
      </c>
      <c r="C1131" s="44">
        <v>648.0384863162775</v>
      </c>
      <c r="D1131" s="44">
        <v>653.90263978227824</v>
      </c>
      <c r="E1131" s="44">
        <v>650281.45359923982</v>
      </c>
      <c r="F1131" s="44" t="s">
        <v>1070</v>
      </c>
      <c r="G1131" s="25">
        <f t="shared" si="17"/>
        <v>3.9386181509701856E-3</v>
      </c>
    </row>
    <row r="1132" spans="1:7">
      <c r="A1132" s="44">
        <v>649.19744907898371</v>
      </c>
      <c r="B1132" s="44">
        <v>660.37103879122844</v>
      </c>
      <c r="C1132" s="44">
        <v>647.06773118170304</v>
      </c>
      <c r="D1132" s="44">
        <v>659.22198169316073</v>
      </c>
      <c r="E1132" s="44">
        <v>825976.88278156077</v>
      </c>
      <c r="F1132" s="44" t="s">
        <v>1071</v>
      </c>
      <c r="G1132" s="25">
        <f t="shared" si="17"/>
        <v>-1.5206611570247941E-2</v>
      </c>
    </row>
    <row r="1133" spans="1:7">
      <c r="A1133" s="44">
        <v>655.96301802708933</v>
      </c>
      <c r="B1133" s="44">
        <v>656.4979239175691</v>
      </c>
      <c r="C1133" s="44">
        <v>646.66159893152394</v>
      </c>
      <c r="D1133" s="44">
        <v>650.71301576867643</v>
      </c>
      <c r="E1133" s="44">
        <v>536428.41686155624</v>
      </c>
      <c r="F1133" s="44" t="s">
        <v>1072</v>
      </c>
      <c r="G1133" s="25">
        <f t="shared" si="17"/>
        <v>8.0680762966007791E-3</v>
      </c>
    </row>
    <row r="1134" spans="1:7">
      <c r="A1134" s="44">
        <v>644.56159802815887</v>
      </c>
      <c r="B1134" s="44">
        <v>650.0394305732575</v>
      </c>
      <c r="C1134" s="44">
        <v>642.91725769816526</v>
      </c>
      <c r="D1134" s="44">
        <v>647.09744817561864</v>
      </c>
      <c r="E1134" s="44">
        <v>847969.34951145225</v>
      </c>
      <c r="F1134" s="44" t="s">
        <v>1073</v>
      </c>
      <c r="G1134" s="25">
        <f t="shared" si="17"/>
        <v>-3.9188072130544871E-3</v>
      </c>
    </row>
    <row r="1135" spans="1:7">
      <c r="A1135" s="44">
        <v>645.55216449201032</v>
      </c>
      <c r="B1135" s="44">
        <v>647.30546713302738</v>
      </c>
      <c r="C1135" s="44">
        <v>639.32150143438446</v>
      </c>
      <c r="D1135" s="44">
        <v>642.60027642973284</v>
      </c>
      <c r="E1135" s="44">
        <v>927334.03918035992</v>
      </c>
      <c r="F1135" s="44" t="s">
        <v>1074</v>
      </c>
      <c r="G1135" s="25">
        <f t="shared" si="17"/>
        <v>4.5936613639168122E-3</v>
      </c>
    </row>
    <row r="1136" spans="1:7">
      <c r="A1136" s="44">
        <v>639.25216178191488</v>
      </c>
      <c r="B1136" s="44">
        <v>643.86820150346273</v>
      </c>
      <c r="C1136" s="44">
        <v>629.69319540574816</v>
      </c>
      <c r="D1136" s="44">
        <v>642.52103111262477</v>
      </c>
      <c r="E1136" s="44">
        <v>1212440.6022492503</v>
      </c>
      <c r="F1136" s="44" t="s">
        <v>1075</v>
      </c>
      <c r="G1136" s="25">
        <f t="shared" si="17"/>
        <v>-5.087567834237805E-3</v>
      </c>
    </row>
    <row r="1137" spans="1:7">
      <c r="A1137" s="44">
        <v>643.19461630804381</v>
      </c>
      <c r="B1137" s="44">
        <v>650.16820421355817</v>
      </c>
      <c r="C1137" s="44">
        <v>634.33895212121149</v>
      </c>
      <c r="D1137" s="44">
        <v>644.31395641219592</v>
      </c>
      <c r="E1137" s="44">
        <v>1010880.1746695663</v>
      </c>
      <c r="F1137" s="44" t="s">
        <v>1076</v>
      </c>
      <c r="G1137" s="25">
        <f t="shared" si="17"/>
        <v>-1.7372588208163231E-3</v>
      </c>
    </row>
    <row r="1138" spans="1:7">
      <c r="A1138" s="44">
        <v>644.92810761978387</v>
      </c>
      <c r="B1138" s="44">
        <v>654.1007530750486</v>
      </c>
      <c r="C1138" s="44">
        <v>641.40169100847254</v>
      </c>
      <c r="D1138" s="44">
        <v>649.28660006073039</v>
      </c>
      <c r="E1138" s="44">
        <v>2502842.6566758063</v>
      </c>
      <c r="F1138" s="44" t="s">
        <v>1077</v>
      </c>
      <c r="G1138" s="25">
        <f t="shared" si="17"/>
        <v>-6.7127404762994392E-3</v>
      </c>
    </row>
    <row r="1139" spans="1:7">
      <c r="A1139" s="44">
        <v>655.01207422179198</v>
      </c>
      <c r="B1139" s="44">
        <v>657.90452829623825</v>
      </c>
      <c r="C1139" s="44">
        <v>644.87857929659128</v>
      </c>
      <c r="D1139" s="44">
        <v>649.31631705464588</v>
      </c>
      <c r="E1139" s="44">
        <v>1640603.6942551495</v>
      </c>
      <c r="F1139" s="44" t="s">
        <v>1078</v>
      </c>
      <c r="G1139" s="25">
        <f t="shared" si="17"/>
        <v>8.7719298245614308E-3</v>
      </c>
    </row>
    <row r="1140" spans="1:7">
      <c r="A1140" s="44">
        <v>649.55405300597022</v>
      </c>
      <c r="B1140" s="44">
        <v>650.53471380518329</v>
      </c>
      <c r="C1140" s="44">
        <v>627.24649624003496</v>
      </c>
      <c r="D1140" s="44">
        <v>630.74319585743069</v>
      </c>
      <c r="E1140" s="44">
        <v>1436362.9821141683</v>
      </c>
      <c r="F1140" s="44" t="s">
        <v>1079</v>
      </c>
      <c r="G1140" s="25">
        <f t="shared" si="17"/>
        <v>2.9823321554770077E-2</v>
      </c>
    </row>
    <row r="1141" spans="1:7">
      <c r="A1141" s="44">
        <v>626.14696746515983</v>
      </c>
      <c r="B1141" s="44">
        <v>637.26112318957337</v>
      </c>
      <c r="C1141" s="44">
        <v>618.48988869958782</v>
      </c>
      <c r="D1141" s="44">
        <v>633.96253686494799</v>
      </c>
      <c r="E1141" s="44">
        <v>1505819.1998549656</v>
      </c>
      <c r="F1141" s="44" t="s">
        <v>1080</v>
      </c>
      <c r="G1141" s="25">
        <f t="shared" si="17"/>
        <v>-1.2328124999999912E-2</v>
      </c>
    </row>
    <row r="1142" spans="1:7">
      <c r="A1142" s="44">
        <v>639.65829403209432</v>
      </c>
      <c r="B1142" s="44">
        <v>643.00506116236863</v>
      </c>
      <c r="C1142" s="44">
        <v>634.15296111957218</v>
      </c>
      <c r="D1142" s="44">
        <v>636.18280508911721</v>
      </c>
      <c r="E1142" s="44">
        <v>1193636.0805816285</v>
      </c>
      <c r="F1142" s="44" t="s">
        <v>1081</v>
      </c>
      <c r="G1142" s="25">
        <f t="shared" si="17"/>
        <v>5.4630350194553312E-3</v>
      </c>
    </row>
    <row r="1143" spans="1:7">
      <c r="A1143" s="44">
        <v>636.1927067670174</v>
      </c>
      <c r="B1143" s="44">
        <v>638.44474438864336</v>
      </c>
      <c r="C1143" s="44">
        <v>630.69727553239557</v>
      </c>
      <c r="D1143" s="44">
        <v>630.69727553239557</v>
      </c>
      <c r="E1143" s="44">
        <v>999493.22728225566</v>
      </c>
      <c r="F1143" s="44" t="s">
        <v>1082</v>
      </c>
      <c r="G1143" s="25">
        <f t="shared" si="17"/>
        <v>8.7132629992461297E-3</v>
      </c>
    </row>
    <row r="1144" spans="1:7">
      <c r="A1144" s="44">
        <v>630.80619398929798</v>
      </c>
      <c r="B1144" s="44">
        <v>636.01447656481355</v>
      </c>
      <c r="C1144" s="44">
        <v>628.82585840925401</v>
      </c>
      <c r="D1144" s="44">
        <v>631.83596849092078</v>
      </c>
      <c r="E1144" s="44">
        <v>1039513.7171419801</v>
      </c>
      <c r="F1144" s="44" t="s">
        <v>1083</v>
      </c>
      <c r="G1144" s="25">
        <f t="shared" si="17"/>
        <v>-1.6298130416384504E-3</v>
      </c>
    </row>
    <row r="1145" spans="1:7">
      <c r="A1145" s="44">
        <v>631.87557520252165</v>
      </c>
      <c r="B1145" s="44">
        <v>632.40036413123323</v>
      </c>
      <c r="C1145" s="44">
        <v>621.7214045158463</v>
      </c>
      <c r="D1145" s="44">
        <v>624.79587550386452</v>
      </c>
      <c r="E1145" s="44">
        <v>1280039.6183073928</v>
      </c>
      <c r="F1145" s="44" t="s">
        <v>1084</v>
      </c>
      <c r="G1145" s="25">
        <f t="shared" si="17"/>
        <v>1.1331220285261567E-2</v>
      </c>
    </row>
    <row r="1146" spans="1:7">
      <c r="A1146" s="44">
        <v>622.52839126471429</v>
      </c>
      <c r="B1146" s="44">
        <v>631.47950808651285</v>
      </c>
      <c r="C1146" s="44">
        <v>618.05283285381495</v>
      </c>
      <c r="D1146" s="44">
        <v>626.95444128611234</v>
      </c>
      <c r="E1146" s="44">
        <v>1601056.9279019076</v>
      </c>
      <c r="F1146" s="44" t="s">
        <v>1085</v>
      </c>
      <c r="G1146" s="25">
        <f t="shared" si="17"/>
        <v>-7.0596039041028735E-3</v>
      </c>
    </row>
    <row r="1147" spans="1:7">
      <c r="A1147" s="44">
        <v>616.13190734117222</v>
      </c>
      <c r="B1147" s="44">
        <v>629.41005740536684</v>
      </c>
      <c r="C1147" s="44">
        <v>603.22011935928583</v>
      </c>
      <c r="D1147" s="44">
        <v>628.75654666395246</v>
      </c>
      <c r="E1147" s="44">
        <v>2342781.7218216355</v>
      </c>
      <c r="F1147" s="44" t="s">
        <v>1086</v>
      </c>
      <c r="G1147" s="25">
        <f t="shared" si="17"/>
        <v>-2.0078740157480457E-2</v>
      </c>
    </row>
    <row r="1148" spans="1:7">
      <c r="A1148" s="44">
        <v>629.85563291087681</v>
      </c>
      <c r="B1148" s="44">
        <v>630.34081512798764</v>
      </c>
      <c r="C1148" s="44">
        <v>612.25044960428613</v>
      </c>
      <c r="D1148" s="44">
        <v>627.9149040424337</v>
      </c>
      <c r="E1148" s="44">
        <v>1715392.0952753965</v>
      </c>
      <c r="F1148" s="44" t="s">
        <v>1087</v>
      </c>
      <c r="G1148" s="25">
        <f t="shared" si="17"/>
        <v>3.0907513995113156E-3</v>
      </c>
    </row>
    <row r="1149" spans="1:7">
      <c r="A1149" s="44">
        <v>621.40950166198945</v>
      </c>
      <c r="B1149" s="44">
        <v>627.2712949789194</v>
      </c>
      <c r="C1149" s="44">
        <v>612.82474692249889</v>
      </c>
      <c r="D1149" s="44">
        <v>616.51807277928083</v>
      </c>
      <c r="E1149" s="44">
        <v>1496422.1366634439</v>
      </c>
      <c r="F1149" s="44" t="s">
        <v>1088</v>
      </c>
      <c r="G1149" s="25">
        <f t="shared" si="17"/>
        <v>7.9339586277786811E-3</v>
      </c>
    </row>
    <row r="1150" spans="1:7">
      <c r="A1150" s="44">
        <v>619.99356172225794</v>
      </c>
      <c r="B1150" s="44">
        <v>631.4101963412113</v>
      </c>
      <c r="C1150" s="44">
        <v>619.72621641895205</v>
      </c>
      <c r="D1150" s="44">
        <v>628.43969297114529</v>
      </c>
      <c r="E1150" s="44">
        <v>1517775.083318607</v>
      </c>
      <c r="F1150" s="44" t="s">
        <v>1089</v>
      </c>
      <c r="G1150" s="25">
        <f t="shared" si="17"/>
        <v>-1.3439843700762455E-2</v>
      </c>
    </row>
    <row r="1151" spans="1:7">
      <c r="A1151" s="44">
        <v>626.60788255960472</v>
      </c>
      <c r="B1151" s="44">
        <v>642.84663431596505</v>
      </c>
      <c r="C1151" s="44">
        <v>624.88499060496656</v>
      </c>
      <c r="D1151" s="44">
        <v>635.13322723169392</v>
      </c>
      <c r="E1151" s="44">
        <v>2588410.7984800502</v>
      </c>
      <c r="F1151" s="44" t="s">
        <v>1090</v>
      </c>
      <c r="G1151" s="25">
        <f t="shared" si="17"/>
        <v>-1.3422923422299893E-2</v>
      </c>
    </row>
    <row r="1152" spans="1:7">
      <c r="A1152" s="44">
        <v>642.39115713255501</v>
      </c>
      <c r="B1152" s="44">
        <v>648.2133437378842</v>
      </c>
      <c r="C1152" s="44">
        <v>632.00429701522444</v>
      </c>
      <c r="D1152" s="44">
        <v>633.70738561406233</v>
      </c>
      <c r="E1152" s="44">
        <v>1888505.1794691335</v>
      </c>
      <c r="F1152" s="44" t="s">
        <v>1091</v>
      </c>
      <c r="G1152" s="25">
        <f t="shared" si="17"/>
        <v>1.3703124999999927E-2</v>
      </c>
    </row>
    <row r="1153" spans="1:7">
      <c r="A1153" s="44">
        <v>632.45977419863459</v>
      </c>
      <c r="B1153" s="44">
        <v>660.0953572181478</v>
      </c>
      <c r="C1153" s="44">
        <v>630.632914626044</v>
      </c>
      <c r="D1153" s="44">
        <v>646.29241822524159</v>
      </c>
      <c r="E1153" s="44">
        <v>1694389.5942755018</v>
      </c>
      <c r="F1153" s="44" t="s">
        <v>1092</v>
      </c>
      <c r="G1153" s="25">
        <f t="shared" si="17"/>
        <v>-2.140307334038094E-2</v>
      </c>
    </row>
    <row r="1154" spans="1:7">
      <c r="A1154" s="44">
        <v>626.77621108390849</v>
      </c>
      <c r="B1154" s="44">
        <v>627.44952518112336</v>
      </c>
      <c r="C1154" s="44">
        <v>617.76568419470846</v>
      </c>
      <c r="D1154" s="44">
        <v>627.023753031414</v>
      </c>
      <c r="E1154" s="44">
        <v>1295984.3906571877</v>
      </c>
      <c r="F1154" s="44" t="s">
        <v>1093</v>
      </c>
      <c r="G1154" s="25">
        <f t="shared" si="17"/>
        <v>-3.9478878799847905E-4</v>
      </c>
    </row>
    <row r="1155" spans="1:7">
      <c r="A1155" s="44">
        <v>626.53857081430317</v>
      </c>
      <c r="B1155" s="44">
        <v>627.84559229713227</v>
      </c>
      <c r="C1155" s="44">
        <v>616.18636656962337</v>
      </c>
      <c r="D1155" s="44">
        <v>623.01357348182501</v>
      </c>
      <c r="E1155" s="44">
        <v>1032640.1346354748</v>
      </c>
      <c r="F1155" s="44" t="s">
        <v>1094</v>
      </c>
      <c r="G1155" s="25">
        <f t="shared" si="17"/>
        <v>5.6579783852510612E-3</v>
      </c>
    </row>
    <row r="1156" spans="1:7">
      <c r="A1156" s="44">
        <v>627.72677216232955</v>
      </c>
      <c r="B1156" s="44">
        <v>634.49951984607981</v>
      </c>
      <c r="C1156" s="44">
        <v>624.79587550386452</v>
      </c>
      <c r="D1156" s="44">
        <v>633.70738561406233</v>
      </c>
      <c r="E1156" s="44">
        <v>1332001.5186221446</v>
      </c>
      <c r="F1156" s="44" t="s">
        <v>1095</v>
      </c>
      <c r="G1156" s="25">
        <f t="shared" si="17"/>
        <v>-9.4375000000000986E-3</v>
      </c>
    </row>
    <row r="1157" spans="1:7">
      <c r="A1157" s="44">
        <v>629.79622284347545</v>
      </c>
      <c r="B1157" s="44">
        <v>638.66812624207239</v>
      </c>
      <c r="C1157" s="44">
        <v>629.63779599707198</v>
      </c>
      <c r="D1157" s="44">
        <v>631.89537855832202</v>
      </c>
      <c r="E1157" s="44">
        <v>1237708.4089685495</v>
      </c>
      <c r="F1157" s="44" t="s">
        <v>1096</v>
      </c>
      <c r="G1157" s="25">
        <f t="shared" si="17"/>
        <v>-3.3219988404343814E-3</v>
      </c>
    </row>
    <row r="1158" spans="1:7">
      <c r="A1158" s="44">
        <v>631.36068795171025</v>
      </c>
      <c r="B1158" s="44">
        <v>633.94502588366754</v>
      </c>
      <c r="C1158" s="44">
        <v>624.96935290067643</v>
      </c>
      <c r="D1158" s="44">
        <v>632.15282218372772</v>
      </c>
      <c r="E1158" s="44">
        <v>978373.57442065736</v>
      </c>
      <c r="F1158" s="44" t="s">
        <v>1097</v>
      </c>
      <c r="G1158" s="25">
        <f t="shared" ref="G1158:G1221" si="18">A1158/D1158-1</f>
        <v>-1.2530739470261176E-3</v>
      </c>
    </row>
    <row r="1159" spans="1:7">
      <c r="A1159" s="44">
        <v>631.03393258100289</v>
      </c>
      <c r="B1159" s="44">
        <v>640.63856014421606</v>
      </c>
      <c r="C1159" s="44">
        <v>627.11781897146602</v>
      </c>
      <c r="D1159" s="44">
        <v>637.00464435483548</v>
      </c>
      <c r="E1159" s="44">
        <v>1404168.0753613962</v>
      </c>
      <c r="F1159" s="44" t="s">
        <v>1098</v>
      </c>
      <c r="G1159" s="25">
        <f t="shared" si="18"/>
        <v>-9.3731055601325997E-3</v>
      </c>
    </row>
    <row r="1160" spans="1:7">
      <c r="A1160" s="44">
        <v>635.17283394329479</v>
      </c>
      <c r="B1160" s="44">
        <v>645.16362694461657</v>
      </c>
      <c r="C1160" s="44">
        <v>624.1819714740509</v>
      </c>
      <c r="D1160" s="44">
        <v>624.1819714740509</v>
      </c>
      <c r="E1160" s="44">
        <v>1360304.8024518259</v>
      </c>
      <c r="F1160" s="44" t="s">
        <v>1099</v>
      </c>
      <c r="G1160" s="25">
        <f t="shared" si="18"/>
        <v>1.760842666328255E-2</v>
      </c>
    </row>
    <row r="1161" spans="1:7">
      <c r="A1161" s="44">
        <v>626.14250369829438</v>
      </c>
      <c r="B1161" s="44">
        <v>632.97466144944599</v>
      </c>
      <c r="C1161" s="44">
        <v>625.79594497178675</v>
      </c>
      <c r="D1161" s="44">
        <v>630.33091345008734</v>
      </c>
      <c r="E1161" s="44">
        <v>834316.17178909457</v>
      </c>
      <c r="F1161" s="44" t="s">
        <v>1100</v>
      </c>
      <c r="G1161" s="25">
        <f t="shared" si="18"/>
        <v>-6.6447792142509954E-3</v>
      </c>
    </row>
    <row r="1162" spans="1:7">
      <c r="A1162" s="44">
        <v>629.00408861145786</v>
      </c>
      <c r="B1162" s="44">
        <v>633.42023695495595</v>
      </c>
      <c r="C1162" s="44">
        <v>623.65718254533931</v>
      </c>
      <c r="D1162" s="44">
        <v>626.68709598280645</v>
      </c>
      <c r="E1162" s="44">
        <v>896939.90144871525</v>
      </c>
      <c r="F1162" s="44" t="s">
        <v>1101</v>
      </c>
      <c r="G1162" s="25">
        <f t="shared" si="18"/>
        <v>3.6972081338579876E-3</v>
      </c>
    </row>
    <row r="1163" spans="1:7">
      <c r="A1163" s="44">
        <v>625.27115604307505</v>
      </c>
      <c r="B1163" s="44">
        <v>626.01378188559158</v>
      </c>
      <c r="C1163" s="44">
        <v>619.32024762504307</v>
      </c>
      <c r="D1163" s="44">
        <v>621.79566710009794</v>
      </c>
      <c r="E1163" s="44">
        <v>694447.95814327733</v>
      </c>
      <c r="F1163" s="44" t="s">
        <v>1102</v>
      </c>
      <c r="G1163" s="25">
        <f t="shared" si="18"/>
        <v>5.5894389859387772E-3</v>
      </c>
    </row>
    <row r="1164" spans="1:7">
      <c r="A1164" s="44">
        <v>620.6965808531736</v>
      </c>
      <c r="B1164" s="44">
        <v>622.72642482271863</v>
      </c>
      <c r="C1164" s="44">
        <v>609.63640663862816</v>
      </c>
      <c r="D1164" s="44">
        <v>609.63640663862816</v>
      </c>
      <c r="E1164" s="44">
        <v>1130186.2283110293</v>
      </c>
      <c r="F1164" s="44" t="s">
        <v>1103</v>
      </c>
      <c r="G1164" s="25">
        <f t="shared" si="18"/>
        <v>1.8142246909971016E-2</v>
      </c>
    </row>
    <row r="1165" spans="1:7">
      <c r="A1165" s="44">
        <v>612.49799155179164</v>
      </c>
      <c r="B1165" s="44">
        <v>618.47820893640835</v>
      </c>
      <c r="C1165" s="44">
        <v>608.96309254141318</v>
      </c>
      <c r="D1165" s="44">
        <v>617.61715902620517</v>
      </c>
      <c r="E1165" s="44">
        <v>936302.92698112025</v>
      </c>
      <c r="F1165" s="44" t="s">
        <v>1104</v>
      </c>
      <c r="G1165" s="25">
        <f t="shared" si="18"/>
        <v>-8.2885771543085296E-3</v>
      </c>
    </row>
    <row r="1166" spans="1:7">
      <c r="A1166" s="44">
        <v>618.33007983502102</v>
      </c>
      <c r="B1166" s="44">
        <v>620.14208689076122</v>
      </c>
      <c r="C1166" s="44">
        <v>609.36906133532216</v>
      </c>
      <c r="D1166" s="44">
        <v>615.37937982075562</v>
      </c>
      <c r="E1166" s="44">
        <v>1182560.1800014284</v>
      </c>
      <c r="F1166" s="44" t="s">
        <v>1105</v>
      </c>
      <c r="G1166" s="25">
        <f t="shared" si="18"/>
        <v>4.7949283174306689E-3</v>
      </c>
    </row>
    <row r="1167" spans="1:7">
      <c r="A1167" s="44">
        <v>610.7354928855525</v>
      </c>
      <c r="B1167" s="44">
        <v>615.67643015776207</v>
      </c>
      <c r="C1167" s="44">
        <v>593.5560817286713</v>
      </c>
      <c r="D1167" s="44">
        <v>608.14125327569491</v>
      </c>
      <c r="E1167" s="44">
        <v>2720097.5704736197</v>
      </c>
      <c r="F1167" s="44" t="s">
        <v>1106</v>
      </c>
      <c r="G1167" s="25">
        <f t="shared" si="18"/>
        <v>4.2658504021622079E-3</v>
      </c>
    </row>
    <row r="1168" spans="1:7">
      <c r="A1168" s="44">
        <v>633.46974534445701</v>
      </c>
      <c r="B1168" s="44">
        <v>637.19277623493963</v>
      </c>
      <c r="C1168" s="44">
        <v>624.34515112584654</v>
      </c>
      <c r="D1168" s="44">
        <v>636.38083864712166</v>
      </c>
      <c r="E1168" s="44">
        <v>1409938.8144801401</v>
      </c>
      <c r="F1168" s="44" t="s">
        <v>1107</v>
      </c>
      <c r="G1168" s="25">
        <f t="shared" si="18"/>
        <v>-4.5744515325969459E-3</v>
      </c>
    </row>
    <row r="1169" spans="1:7">
      <c r="A1169" s="44">
        <v>636.0540832764143</v>
      </c>
      <c r="B1169" s="44">
        <v>636.26201851231906</v>
      </c>
      <c r="C1169" s="44">
        <v>622.21153757190712</v>
      </c>
      <c r="D1169" s="44">
        <v>630.24179834898541</v>
      </c>
      <c r="E1169" s="44">
        <v>1228731.1426005908</v>
      </c>
      <c r="F1169" s="44" t="s">
        <v>1108</v>
      </c>
      <c r="G1169" s="25">
        <f t="shared" si="18"/>
        <v>9.2223095051058301E-3</v>
      </c>
    </row>
    <row r="1170" spans="1:7">
      <c r="A1170" s="44">
        <v>629.94474801197885</v>
      </c>
      <c r="B1170" s="44">
        <v>637.03434938853616</v>
      </c>
      <c r="C1170" s="44">
        <v>626.56827584800385</v>
      </c>
      <c r="D1170" s="44">
        <v>631.58842654341527</v>
      </c>
      <c r="E1170" s="44">
        <v>1390262.351363149</v>
      </c>
      <c r="F1170" s="44" t="s">
        <v>1109</v>
      </c>
      <c r="G1170" s="25">
        <f t="shared" si="18"/>
        <v>-2.6024519487033437E-3</v>
      </c>
    </row>
    <row r="1171" spans="1:7">
      <c r="A1171" s="44">
        <v>628.85556344295469</v>
      </c>
      <c r="B1171" s="44">
        <v>632.43997084283421</v>
      </c>
      <c r="C1171" s="44">
        <v>621.66694528739515</v>
      </c>
      <c r="D1171" s="44">
        <v>626.13260202039419</v>
      </c>
      <c r="E1171" s="44">
        <v>1598303.8591518733</v>
      </c>
      <c r="F1171" s="44" t="s">
        <v>1110</v>
      </c>
      <c r="G1171" s="25">
        <f t="shared" si="18"/>
        <v>4.3488574365464494E-3</v>
      </c>
    </row>
    <row r="1172" spans="1:7">
      <c r="A1172" s="44">
        <v>626.84552282921004</v>
      </c>
      <c r="B1172" s="44">
        <v>627.86539565293265</v>
      </c>
      <c r="C1172" s="44">
        <v>610.8840180540559</v>
      </c>
      <c r="D1172" s="44">
        <v>615.55761002295947</v>
      </c>
      <c r="E1172" s="44">
        <v>1557035.0960071003</v>
      </c>
      <c r="F1172" s="44" t="s">
        <v>1111</v>
      </c>
      <c r="G1172" s="25">
        <f t="shared" si="18"/>
        <v>1.8337703283092477E-2</v>
      </c>
    </row>
    <row r="1173" spans="1:7">
      <c r="A1173" s="44">
        <v>613.9733415589244</v>
      </c>
      <c r="B1173" s="44">
        <v>621.19166474818451</v>
      </c>
      <c r="C1173" s="44">
        <v>605.47671175274581</v>
      </c>
      <c r="D1173" s="44">
        <v>608.95319086351299</v>
      </c>
      <c r="E1173" s="44">
        <v>1292805.1315137146</v>
      </c>
      <c r="F1173" s="44" t="s">
        <v>1112</v>
      </c>
      <c r="G1173" s="25">
        <f t="shared" si="18"/>
        <v>8.2439024390243976E-3</v>
      </c>
    </row>
    <row r="1174" spans="1:7">
      <c r="A1174" s="44">
        <v>606.26983615255335</v>
      </c>
      <c r="B1174" s="44">
        <v>619.83513487585446</v>
      </c>
      <c r="C1174" s="44">
        <v>603.14090593608398</v>
      </c>
      <c r="D1174" s="44">
        <v>610.7354928855525</v>
      </c>
      <c r="E1174" s="44">
        <v>1788693.8131573622</v>
      </c>
      <c r="F1174" s="44" t="s">
        <v>1113</v>
      </c>
      <c r="G1174" s="25">
        <f t="shared" si="18"/>
        <v>-7.3119325551233016E-3</v>
      </c>
    </row>
    <row r="1175" spans="1:7">
      <c r="A1175" s="44">
        <v>602.3586733819667</v>
      </c>
      <c r="B1175" s="44">
        <v>604.99251970342505</v>
      </c>
      <c r="C1175" s="44">
        <v>597.92272168266823</v>
      </c>
      <c r="D1175" s="44">
        <v>603.66569486479557</v>
      </c>
      <c r="E1175" s="44">
        <v>1061943.2490090055</v>
      </c>
      <c r="F1175" s="44" t="s">
        <v>1114</v>
      </c>
      <c r="G1175" s="25">
        <f t="shared" si="18"/>
        <v>-2.1651412262569947E-3</v>
      </c>
    </row>
    <row r="1176" spans="1:7">
      <c r="A1176" s="44">
        <v>601.77447438585364</v>
      </c>
      <c r="B1176" s="44">
        <v>605.98268749344709</v>
      </c>
      <c r="C1176" s="44">
        <v>596.57609348823826</v>
      </c>
      <c r="D1176" s="44">
        <v>605.98268749344709</v>
      </c>
      <c r="E1176" s="44">
        <v>961339.08777105052</v>
      </c>
      <c r="F1176" s="44" t="s">
        <v>1115</v>
      </c>
      <c r="G1176" s="25">
        <f t="shared" si="18"/>
        <v>-6.9444444444445308E-3</v>
      </c>
    </row>
    <row r="1177" spans="1:7">
      <c r="A1177" s="44">
        <v>605.94308078184622</v>
      </c>
      <c r="B1177" s="44">
        <v>606.04209756084833</v>
      </c>
      <c r="C1177" s="44">
        <v>599.10102135279431</v>
      </c>
      <c r="D1177" s="44">
        <v>602.94287237807953</v>
      </c>
      <c r="E1177" s="44">
        <v>746019.01560906984</v>
      </c>
      <c r="F1177" s="44" t="s">
        <v>1116</v>
      </c>
      <c r="G1177" s="25">
        <f t="shared" si="18"/>
        <v>4.9759414054162399E-3</v>
      </c>
    </row>
    <row r="1178" spans="1:7">
      <c r="A1178" s="44">
        <v>602.42798512726813</v>
      </c>
      <c r="B1178" s="44">
        <v>605.98268749344709</v>
      </c>
      <c r="C1178" s="44">
        <v>591.69456628343005</v>
      </c>
      <c r="D1178" s="44">
        <v>604.9232079581235</v>
      </c>
      <c r="E1178" s="44">
        <v>968779.24091907055</v>
      </c>
      <c r="F1178" s="44" t="s">
        <v>1117</v>
      </c>
      <c r="G1178" s="25">
        <f t="shared" si="18"/>
        <v>-4.1248588217962512E-3</v>
      </c>
    </row>
    <row r="1179" spans="1:7">
      <c r="A1179" s="44">
        <v>599.6456136373065</v>
      </c>
      <c r="B1179" s="44">
        <v>603.87363010070021</v>
      </c>
      <c r="C1179" s="44">
        <v>594.1070110870395</v>
      </c>
      <c r="D1179" s="44">
        <v>603.78451499959829</v>
      </c>
      <c r="E1179" s="44">
        <v>1072651.5351266186</v>
      </c>
      <c r="F1179" s="44" t="s">
        <v>1118</v>
      </c>
      <c r="G1179" s="25">
        <f t="shared" si="18"/>
        <v>-6.8549312866934553E-3</v>
      </c>
    </row>
    <row r="1180" spans="1:7">
      <c r="A1180" s="44">
        <v>586.27834847200984</v>
      </c>
      <c r="B1180" s="44">
        <v>591.14007232101767</v>
      </c>
      <c r="C1180" s="44">
        <v>583.82273235275534</v>
      </c>
      <c r="D1180" s="44">
        <v>585.18916390298568</v>
      </c>
      <c r="E1180" s="44">
        <v>773298.23057868693</v>
      </c>
      <c r="F1180" s="44" t="s">
        <v>1119</v>
      </c>
      <c r="G1180" s="25">
        <f t="shared" si="18"/>
        <v>1.8612521150591643E-3</v>
      </c>
    </row>
    <row r="1181" spans="1:7">
      <c r="A1181" s="44">
        <v>582.24836556662035</v>
      </c>
      <c r="B1181" s="44">
        <v>585.08024544608315</v>
      </c>
      <c r="C1181" s="44">
        <v>575.28253516381585</v>
      </c>
      <c r="D1181" s="44">
        <v>577.82231554522207</v>
      </c>
      <c r="E1181" s="44">
        <v>1549244.4972038118</v>
      </c>
      <c r="F1181" s="44" t="s">
        <v>1120</v>
      </c>
      <c r="G1181" s="25">
        <f t="shared" si="18"/>
        <v>7.6598807320584772E-3</v>
      </c>
    </row>
    <row r="1182" spans="1:7">
      <c r="A1182" s="44">
        <v>576.66381923089648</v>
      </c>
      <c r="B1182" s="44">
        <v>578.06658993902056</v>
      </c>
      <c r="C1182" s="44">
        <v>572.27737592109918</v>
      </c>
      <c r="D1182" s="44">
        <v>574.45574505914738</v>
      </c>
      <c r="E1182" s="44">
        <v>883384.62310573645</v>
      </c>
      <c r="F1182" s="44" t="s">
        <v>1121</v>
      </c>
      <c r="G1182" s="25">
        <f t="shared" si="18"/>
        <v>3.8437672366244957E-3</v>
      </c>
    </row>
    <row r="1183" spans="1:7">
      <c r="A1183" s="44">
        <v>571.67337356918574</v>
      </c>
      <c r="B1183" s="44">
        <v>578.81248333524411</v>
      </c>
      <c r="C1183" s="44">
        <v>569.60392288803973</v>
      </c>
      <c r="D1183" s="44">
        <v>571.96052222829212</v>
      </c>
      <c r="E1183" s="44">
        <v>854162.30311958748</v>
      </c>
      <c r="F1183" s="44" t="s">
        <v>1122</v>
      </c>
      <c r="G1183" s="25">
        <f t="shared" si="18"/>
        <v>-5.0204279482035652E-4</v>
      </c>
    </row>
    <row r="1184" spans="1:7">
      <c r="A1184" s="44">
        <v>567.92063764500233</v>
      </c>
      <c r="B1184" s="44">
        <v>577.74310212202045</v>
      </c>
      <c r="C1184" s="44">
        <v>564.91052756333568</v>
      </c>
      <c r="D1184" s="44">
        <v>573.35665881222303</v>
      </c>
      <c r="E1184" s="44">
        <v>1235254.2794518278</v>
      </c>
      <c r="F1184" s="44" t="s">
        <v>1123</v>
      </c>
      <c r="G1184" s="25">
        <f t="shared" si="18"/>
        <v>-9.4810465417495271E-3</v>
      </c>
    </row>
    <row r="1185" spans="1:7">
      <c r="A1185" s="44">
        <v>570.24753195155404</v>
      </c>
      <c r="B1185" s="44">
        <v>577.25791990490961</v>
      </c>
      <c r="C1185" s="44">
        <v>564.35603360092341</v>
      </c>
      <c r="D1185" s="44">
        <v>576.27765379278787</v>
      </c>
      <c r="E1185" s="44">
        <v>1022267.145225496</v>
      </c>
      <c r="F1185" s="44" t="s">
        <v>1124</v>
      </c>
      <c r="G1185" s="25">
        <f t="shared" si="18"/>
        <v>-1.0463917525773248E-2</v>
      </c>
    </row>
    <row r="1186" spans="1:7">
      <c r="A1186" s="44">
        <v>572.97049337411443</v>
      </c>
      <c r="B1186" s="44">
        <v>580.97104911749204</v>
      </c>
      <c r="C1186" s="44">
        <v>572.77245981611009</v>
      </c>
      <c r="D1186" s="44">
        <v>575.4855195607704</v>
      </c>
      <c r="E1186" s="44">
        <v>682686.31520017411</v>
      </c>
      <c r="F1186" s="44" t="s">
        <v>1125</v>
      </c>
      <c r="G1186" s="25">
        <f t="shared" si="18"/>
        <v>-4.3702684101860623E-3</v>
      </c>
    </row>
    <row r="1187" spans="1:7">
      <c r="A1187" s="44">
        <v>578.17877594962999</v>
      </c>
      <c r="B1187" s="44">
        <v>583.76332228535398</v>
      </c>
      <c r="C1187" s="44">
        <v>574.6933853287527</v>
      </c>
      <c r="D1187" s="44">
        <v>579.52540414405996</v>
      </c>
      <c r="E1187" s="44">
        <v>859860.32728968782</v>
      </c>
      <c r="F1187" s="44" t="s">
        <v>1126</v>
      </c>
      <c r="G1187" s="25">
        <f t="shared" si="18"/>
        <v>-2.3236741388737991E-3</v>
      </c>
    </row>
    <row r="1188" spans="1:7">
      <c r="A1188" s="44">
        <v>577.77280715572101</v>
      </c>
      <c r="B1188" s="44">
        <v>583.32764845774432</v>
      </c>
      <c r="C1188" s="44">
        <v>574.23790814534266</v>
      </c>
      <c r="D1188" s="44">
        <v>574.23790814534266</v>
      </c>
      <c r="E1188" s="44">
        <v>1038026.090484313</v>
      </c>
      <c r="F1188" s="44" t="s">
        <v>1127</v>
      </c>
      <c r="G1188" s="25">
        <f t="shared" si="18"/>
        <v>6.1558092216433824E-3</v>
      </c>
    </row>
    <row r="1189" spans="1:7">
      <c r="A1189" s="44">
        <v>569.94057993664728</v>
      </c>
      <c r="B1189" s="44">
        <v>570.33664705265608</v>
      </c>
      <c r="C1189" s="44">
        <v>560.3458540513343</v>
      </c>
      <c r="D1189" s="44">
        <v>561.92022083746929</v>
      </c>
      <c r="E1189" s="44">
        <v>1144773.6549528101</v>
      </c>
      <c r="F1189" s="44" t="s">
        <v>1128</v>
      </c>
      <c r="G1189" s="25">
        <f t="shared" si="18"/>
        <v>1.4273127753303916E-2</v>
      </c>
    </row>
    <row r="1190" spans="1:7">
      <c r="A1190" s="44">
        <v>566.25715575776553</v>
      </c>
      <c r="B1190" s="44">
        <v>576.20834204748633</v>
      </c>
      <c r="C1190" s="44">
        <v>563.5738010468059</v>
      </c>
      <c r="D1190" s="44">
        <v>565.41551313624677</v>
      </c>
      <c r="E1190" s="44">
        <v>1398250.8964155228</v>
      </c>
      <c r="F1190" s="44" t="s">
        <v>1129</v>
      </c>
      <c r="G1190" s="25">
        <f t="shared" si="18"/>
        <v>1.4885382554332693E-3</v>
      </c>
    </row>
    <row r="1191" spans="1:7">
      <c r="A1191" s="44">
        <v>563.40547252250224</v>
      </c>
      <c r="B1191" s="44">
        <v>568.8711987234235</v>
      </c>
      <c r="C1191" s="44">
        <v>557.08325118321193</v>
      </c>
      <c r="D1191" s="44">
        <v>565.93040038705817</v>
      </c>
      <c r="E1191" s="44">
        <v>1336807.7747415185</v>
      </c>
      <c r="F1191" s="44" t="s">
        <v>1130</v>
      </c>
      <c r="G1191" s="25">
        <f t="shared" si="18"/>
        <v>-4.4615519202167997E-3</v>
      </c>
    </row>
    <row r="1192" spans="1:7">
      <c r="A1192" s="44">
        <v>567.08889670138399</v>
      </c>
      <c r="B1192" s="44">
        <v>570.53468061066053</v>
      </c>
      <c r="C1192" s="44">
        <v>546.58252177002896</v>
      </c>
      <c r="D1192" s="44">
        <v>564.96003595283673</v>
      </c>
      <c r="E1192" s="44">
        <v>1674092.0243055134</v>
      </c>
      <c r="F1192" s="44" t="s">
        <v>1131</v>
      </c>
      <c r="G1192" s="25">
        <f t="shared" si="18"/>
        <v>3.768161662898617E-3</v>
      </c>
    </row>
    <row r="1193" spans="1:7">
      <c r="A1193" s="44">
        <v>565.71256347325345</v>
      </c>
      <c r="B1193" s="44">
        <v>582.92158064705632</v>
      </c>
      <c r="C1193" s="44">
        <v>565.37590642464602</v>
      </c>
      <c r="D1193" s="44">
        <v>577.12919809220682</v>
      </c>
      <c r="E1193" s="44">
        <v>1525867.651144735</v>
      </c>
      <c r="F1193" s="44" t="s">
        <v>1132</v>
      </c>
      <c r="G1193" s="25">
        <f t="shared" si="18"/>
        <v>-1.9781765775658045E-2</v>
      </c>
    </row>
    <row r="1194" spans="1:7">
      <c r="A1194" s="44">
        <v>573.90125109673522</v>
      </c>
      <c r="B1194" s="44">
        <v>580.17891488547446</v>
      </c>
      <c r="C1194" s="44">
        <v>572.31698263270005</v>
      </c>
      <c r="D1194" s="44">
        <v>575.28748600276595</v>
      </c>
      <c r="E1194" s="44">
        <v>1051264.2508568182</v>
      </c>
      <c r="F1194" s="44" t="s">
        <v>1133</v>
      </c>
      <c r="G1194" s="25">
        <f t="shared" si="18"/>
        <v>-2.4096385542168308E-3</v>
      </c>
    </row>
    <row r="1195" spans="1:7">
      <c r="A1195" s="44">
        <v>570.78222255816593</v>
      </c>
      <c r="B1195" s="44">
        <v>582.80285952903273</v>
      </c>
      <c r="C1195" s="44">
        <v>564.55406715892775</v>
      </c>
      <c r="D1195" s="44">
        <v>579.6046175672617</v>
      </c>
      <c r="E1195" s="44">
        <v>1767556.9914884453</v>
      </c>
      <c r="F1195" s="44" t="s">
        <v>1134</v>
      </c>
      <c r="G1195" s="25">
        <f t="shared" si="18"/>
        <v>-1.5221402214022128E-2</v>
      </c>
    </row>
    <row r="1196" spans="1:7">
      <c r="A1196" s="44">
        <v>588.82307969236626</v>
      </c>
      <c r="B1196" s="44">
        <v>599.56144937515455</v>
      </c>
      <c r="C1196" s="44">
        <v>578.08966084852818</v>
      </c>
      <c r="D1196" s="44">
        <v>597.57616295616049</v>
      </c>
      <c r="E1196" s="44">
        <v>1725926.673460139</v>
      </c>
      <c r="F1196" s="44" t="s">
        <v>1135</v>
      </c>
      <c r="G1196" s="25">
        <f t="shared" si="18"/>
        <v>-1.4647644612351018E-2</v>
      </c>
    </row>
    <row r="1197" spans="1:7">
      <c r="A1197" s="44">
        <v>603.78451499959829</v>
      </c>
      <c r="B1197" s="44">
        <v>610.8642146982553</v>
      </c>
      <c r="C1197" s="44">
        <v>599.89315558481189</v>
      </c>
      <c r="D1197" s="44">
        <v>605.38858681943384</v>
      </c>
      <c r="E1197" s="44">
        <v>1313818.7417418743</v>
      </c>
      <c r="F1197" s="44" t="s">
        <v>1136</v>
      </c>
      <c r="G1197" s="25">
        <f t="shared" si="18"/>
        <v>-2.6496565260057947E-3</v>
      </c>
    </row>
    <row r="1198" spans="1:7">
      <c r="A1198" s="44">
        <v>602.24975492506428</v>
      </c>
      <c r="B1198" s="44">
        <v>608.09174488619385</v>
      </c>
      <c r="C1198" s="44">
        <v>597.22960422965275</v>
      </c>
      <c r="D1198" s="44">
        <v>601.13086532233945</v>
      </c>
      <c r="E1198" s="44">
        <v>1190860.7933750644</v>
      </c>
      <c r="F1198" s="44" t="s">
        <v>1137</v>
      </c>
      <c r="G1198" s="25">
        <f t="shared" si="18"/>
        <v>1.8613078570253183E-3</v>
      </c>
    </row>
    <row r="1199" spans="1:7">
      <c r="A1199" s="44">
        <v>600.6654864610291</v>
      </c>
      <c r="B1199" s="44">
        <v>604.19048379350738</v>
      </c>
      <c r="C1199" s="44">
        <v>589.50134462853134</v>
      </c>
      <c r="D1199" s="44">
        <v>595.60572905401682</v>
      </c>
      <c r="E1199" s="44">
        <v>1713554.022962461</v>
      </c>
      <c r="F1199" s="44" t="s">
        <v>1138</v>
      </c>
      <c r="G1199" s="25">
        <f t="shared" si="18"/>
        <v>8.4951456310680129E-3</v>
      </c>
    </row>
    <row r="1200" spans="1:7">
      <c r="A1200" s="44">
        <v>591.16977735471835</v>
      </c>
      <c r="B1200" s="44">
        <v>596.83353711364407</v>
      </c>
      <c r="C1200" s="44">
        <v>583.20882832294171</v>
      </c>
      <c r="D1200" s="44">
        <v>587.65468170014037</v>
      </c>
      <c r="E1200" s="44">
        <v>1378001.8030779634</v>
      </c>
      <c r="F1200" s="44" t="s">
        <v>1139</v>
      </c>
      <c r="G1200" s="25">
        <f t="shared" si="18"/>
        <v>5.981566664981619E-3</v>
      </c>
    </row>
    <row r="1201" spans="1:7">
      <c r="A1201" s="44">
        <v>584.3970296709681</v>
      </c>
      <c r="B1201" s="44">
        <v>596.2691414733315</v>
      </c>
      <c r="C1201" s="44">
        <v>579.24815716285377</v>
      </c>
      <c r="D1201" s="44">
        <v>586.86254746812278</v>
      </c>
      <c r="E1201" s="44">
        <v>2700889.7148034428</v>
      </c>
      <c r="F1201" s="44" t="s">
        <v>1140</v>
      </c>
      <c r="G1201" s="25">
        <f t="shared" si="18"/>
        <v>-4.2011844303092571E-3</v>
      </c>
    </row>
    <row r="1202" spans="1:7">
      <c r="A1202" s="44">
        <v>590.93213708511303</v>
      </c>
      <c r="B1202" s="44">
        <v>603.30923446038764</v>
      </c>
      <c r="C1202" s="44">
        <v>570.33664705265608</v>
      </c>
      <c r="D1202" s="44">
        <v>591.18958071051873</v>
      </c>
      <c r="E1202" s="44">
        <v>5337475.1766897235</v>
      </c>
      <c r="F1202" s="44" t="s">
        <v>1141</v>
      </c>
      <c r="G1202" s="25">
        <f t="shared" si="18"/>
        <v>-4.3546712223230255E-4</v>
      </c>
    </row>
    <row r="1203" spans="1:7">
      <c r="A1203" s="44">
        <v>554.9296362399142</v>
      </c>
      <c r="B1203" s="44">
        <v>557.2565305464658</v>
      </c>
      <c r="C1203" s="44">
        <v>549.83027212130094</v>
      </c>
      <c r="D1203" s="44">
        <v>556.58321644925081</v>
      </c>
      <c r="E1203" s="44">
        <v>1063865.1454988497</v>
      </c>
      <c r="F1203" s="44" t="s">
        <v>1142</v>
      </c>
      <c r="G1203" s="25">
        <f t="shared" si="18"/>
        <v>-2.9709487466864637E-3</v>
      </c>
    </row>
    <row r="1204" spans="1:7">
      <c r="A1204" s="44">
        <v>557.42485907076957</v>
      </c>
      <c r="B1204" s="44">
        <v>560.52408425353838</v>
      </c>
      <c r="C1204" s="44">
        <v>551.5630657538394</v>
      </c>
      <c r="D1204" s="44">
        <v>553.94937012779246</v>
      </c>
      <c r="E1204" s="44">
        <v>1253757.2040920984</v>
      </c>
      <c r="F1204" s="44" t="s">
        <v>1143</v>
      </c>
      <c r="G1204" s="25">
        <f t="shared" si="18"/>
        <v>6.2740191259271771E-3</v>
      </c>
    </row>
    <row r="1205" spans="1:7">
      <c r="A1205" s="44">
        <v>556.87036510835719</v>
      </c>
      <c r="B1205" s="44">
        <v>560.57359264303943</v>
      </c>
      <c r="C1205" s="44">
        <v>554.87022617251284</v>
      </c>
      <c r="D1205" s="44">
        <v>557.65259766247459</v>
      </c>
      <c r="E1205" s="44">
        <v>793233.23573529976</v>
      </c>
      <c r="F1205" s="44" t="s">
        <v>1144</v>
      </c>
      <c r="G1205" s="25">
        <f t="shared" si="18"/>
        <v>-1.402723769953429E-3</v>
      </c>
    </row>
    <row r="1206" spans="1:7">
      <c r="A1206" s="44">
        <v>553.37507280957982</v>
      </c>
      <c r="B1206" s="44">
        <v>569.37864072282161</v>
      </c>
      <c r="C1206" s="44">
        <v>543.52649493050308</v>
      </c>
      <c r="D1206" s="44">
        <v>567.44871138263477</v>
      </c>
      <c r="E1206" s="44">
        <v>1386747.2991217743</v>
      </c>
      <c r="F1206" s="44" t="s">
        <v>1145</v>
      </c>
      <c r="G1206" s="25">
        <f t="shared" si="18"/>
        <v>-2.4801604604517302E-2</v>
      </c>
    </row>
    <row r="1207" spans="1:7">
      <c r="A1207" s="44">
        <v>566.07301816065547</v>
      </c>
      <c r="B1207" s="44">
        <v>569.70524414962244</v>
      </c>
      <c r="C1207" s="44">
        <v>563.34142586377561</v>
      </c>
      <c r="D1207" s="44">
        <v>565.69692936615752</v>
      </c>
      <c r="E1207" s="44">
        <v>1065642.2788001508</v>
      </c>
      <c r="F1207" s="44" t="s">
        <v>1146</v>
      </c>
      <c r="G1207" s="25">
        <f t="shared" si="18"/>
        <v>6.6482382168731036E-4</v>
      </c>
    </row>
    <row r="1208" spans="1:7">
      <c r="A1208" s="44">
        <v>562.92574877511993</v>
      </c>
      <c r="B1208" s="44">
        <v>569.70524414962244</v>
      </c>
      <c r="C1208" s="44">
        <v>561.2135550528003</v>
      </c>
      <c r="D1208" s="44">
        <v>568.02274164792107</v>
      </c>
      <c r="E1208" s="44">
        <v>1134280.7502931922</v>
      </c>
      <c r="F1208" s="44" t="s">
        <v>1147</v>
      </c>
      <c r="G1208" s="25">
        <f t="shared" si="18"/>
        <v>-8.973219730629034E-3</v>
      </c>
    </row>
    <row r="1209" spans="1:7">
      <c r="A1209" s="44">
        <v>566.6866367200995</v>
      </c>
      <c r="B1209" s="44">
        <v>567.36953479431941</v>
      </c>
      <c r="C1209" s="44">
        <v>560.35250965487069</v>
      </c>
      <c r="D1209" s="44">
        <v>562.94554292219868</v>
      </c>
      <c r="E1209" s="44">
        <v>954910.5563738218</v>
      </c>
      <c r="F1209" s="44" t="s">
        <v>1148</v>
      </c>
      <c r="G1209" s="25">
        <f t="shared" si="18"/>
        <v>6.645569620253422E-3</v>
      </c>
    </row>
    <row r="1210" spans="1:7">
      <c r="A1210" s="44">
        <v>563.31173464315725</v>
      </c>
      <c r="B1210" s="44">
        <v>563.58885270226108</v>
      </c>
      <c r="C1210" s="44">
        <v>552.70207180889929</v>
      </c>
      <c r="D1210" s="44">
        <v>562.15377703904517</v>
      </c>
      <c r="E1210" s="44">
        <v>1254801.2248808676</v>
      </c>
      <c r="F1210" s="44" t="s">
        <v>1149</v>
      </c>
      <c r="G1210" s="25">
        <f t="shared" si="18"/>
        <v>2.0598591549294554E-3</v>
      </c>
    </row>
    <row r="1211" spans="1:7">
      <c r="A1211" s="44">
        <v>562.26264484797878</v>
      </c>
      <c r="B1211" s="44">
        <v>562.94059438542899</v>
      </c>
      <c r="C1211" s="44">
        <v>554.7606631050985</v>
      </c>
      <c r="D1211" s="44">
        <v>557.15575490163826</v>
      </c>
      <c r="E1211" s="44">
        <v>834135.46106518654</v>
      </c>
      <c r="F1211" s="44" t="s">
        <v>1150</v>
      </c>
      <c r="G1211" s="25">
        <f t="shared" si="18"/>
        <v>9.1660005329068373E-3</v>
      </c>
    </row>
    <row r="1212" spans="1:7">
      <c r="A1212" s="44">
        <v>559.64981743357203</v>
      </c>
      <c r="B1212" s="44">
        <v>565.79095156478195</v>
      </c>
      <c r="C1212" s="44">
        <v>554.18663283981232</v>
      </c>
      <c r="D1212" s="44">
        <v>555.63160557656749</v>
      </c>
      <c r="E1212" s="44">
        <v>1149050.7729082378</v>
      </c>
      <c r="F1212" s="44" t="s">
        <v>1151</v>
      </c>
      <c r="G1212" s="25">
        <f t="shared" si="18"/>
        <v>7.2317913824122559E-3</v>
      </c>
    </row>
    <row r="1213" spans="1:7">
      <c r="A1213" s="44">
        <v>555.93841485628957</v>
      </c>
      <c r="B1213" s="44">
        <v>557.53184369613621</v>
      </c>
      <c r="C1213" s="44">
        <v>546.22443717734893</v>
      </c>
      <c r="D1213" s="44">
        <v>547.09043111204824</v>
      </c>
      <c r="E1213" s="44">
        <v>1073960.8994178597</v>
      </c>
      <c r="F1213" s="44" t="s">
        <v>1152</v>
      </c>
      <c r="G1213" s="25">
        <f t="shared" si="18"/>
        <v>1.6172799305329555E-2</v>
      </c>
    </row>
    <row r="1214" spans="1:7">
      <c r="A1214" s="44">
        <v>549.23809607010242</v>
      </c>
      <c r="B1214" s="44">
        <v>554.15694161919396</v>
      </c>
      <c r="C1214" s="44">
        <v>542.96335144611021</v>
      </c>
      <c r="D1214" s="44">
        <v>554.06786795733922</v>
      </c>
      <c r="E1214" s="44">
        <v>1300554.1434781102</v>
      </c>
      <c r="F1214" s="44" t="s">
        <v>1153</v>
      </c>
      <c r="G1214" s="25">
        <f t="shared" si="18"/>
        <v>-8.7169319257630606E-3</v>
      </c>
    </row>
    <row r="1215" spans="1:7">
      <c r="A1215" s="44">
        <v>552.78124839721454</v>
      </c>
      <c r="B1215" s="44">
        <v>552.99898401508187</v>
      </c>
      <c r="C1215" s="44">
        <v>542.3893211808238</v>
      </c>
      <c r="D1215" s="44">
        <v>543.34933731414753</v>
      </c>
      <c r="E1215" s="44">
        <v>882408.31648018293</v>
      </c>
      <c r="F1215" s="44" t="s">
        <v>1154</v>
      </c>
      <c r="G1215" s="25">
        <f t="shared" si="18"/>
        <v>1.7358834244080024E-2</v>
      </c>
    </row>
    <row r="1216" spans="1:7">
      <c r="A1216" s="44">
        <v>542.86438071071598</v>
      </c>
      <c r="B1216" s="44">
        <v>551.88061470512741</v>
      </c>
      <c r="C1216" s="44">
        <v>541.83508506261637</v>
      </c>
      <c r="D1216" s="44">
        <v>548.97087508453797</v>
      </c>
      <c r="E1216" s="44">
        <v>854936.55940804759</v>
      </c>
      <c r="F1216" s="44" t="s">
        <v>1155</v>
      </c>
      <c r="G1216" s="25">
        <f t="shared" si="18"/>
        <v>-1.1123530684358451E-2</v>
      </c>
    </row>
    <row r="1217" spans="1:7">
      <c r="A1217" s="44">
        <v>547.08053403850874</v>
      </c>
      <c r="B1217" s="44">
        <v>548.35329769567829</v>
      </c>
      <c r="C1217" s="44">
        <v>539.52906692793147</v>
      </c>
      <c r="D1217" s="44">
        <v>544.33904466808951</v>
      </c>
      <c r="E1217" s="44">
        <v>773968.18054249289</v>
      </c>
      <c r="F1217" s="44" t="s">
        <v>1156</v>
      </c>
      <c r="G1217" s="25">
        <f t="shared" si="18"/>
        <v>5.0363636363635056E-3</v>
      </c>
    </row>
    <row r="1218" spans="1:7">
      <c r="A1218" s="44">
        <v>542.43880654852092</v>
      </c>
      <c r="B1218" s="44">
        <v>547.48631405362494</v>
      </c>
      <c r="C1218" s="44">
        <v>538.55915372106836</v>
      </c>
      <c r="D1218" s="44">
        <v>546.89248964125989</v>
      </c>
      <c r="E1218" s="44">
        <v>973199.80109642004</v>
      </c>
      <c r="F1218" s="44" t="s">
        <v>1157</v>
      </c>
      <c r="G1218" s="25">
        <f t="shared" si="18"/>
        <v>-8.1436172137971941E-3</v>
      </c>
    </row>
    <row r="1219" spans="1:7">
      <c r="A1219" s="44">
        <v>544.82400127152107</v>
      </c>
      <c r="B1219" s="44">
        <v>548.62447751065838</v>
      </c>
      <c r="C1219" s="44">
        <v>542.64664509284864</v>
      </c>
      <c r="D1219" s="44">
        <v>548.62447751065838</v>
      </c>
      <c r="E1219" s="44">
        <v>885232.38360352768</v>
      </c>
      <c r="F1219" s="44" t="s">
        <v>1158</v>
      </c>
      <c r="G1219" s="25">
        <f t="shared" si="18"/>
        <v>-6.9272815831726842E-3</v>
      </c>
    </row>
    <row r="1220" spans="1:7">
      <c r="A1220" s="44">
        <v>546.92218086187813</v>
      </c>
      <c r="B1220" s="44">
        <v>554.92396481849903</v>
      </c>
      <c r="C1220" s="44">
        <v>545.82360569900254</v>
      </c>
      <c r="D1220" s="44">
        <v>551.95979129344278</v>
      </c>
      <c r="E1220" s="44">
        <v>1288484.9192246748</v>
      </c>
      <c r="F1220" s="44" t="s">
        <v>1159</v>
      </c>
      <c r="G1220" s="25">
        <f t="shared" si="18"/>
        <v>-9.1267706652321534E-3</v>
      </c>
    </row>
    <row r="1221" spans="1:7">
      <c r="A1221" s="44">
        <v>549.28758143779942</v>
      </c>
      <c r="B1221" s="44">
        <v>552.24680642608598</v>
      </c>
      <c r="C1221" s="44">
        <v>544.75472175674508</v>
      </c>
      <c r="D1221" s="44">
        <v>546.59557743507719</v>
      </c>
      <c r="E1221" s="44">
        <v>944742.90433009458</v>
      </c>
      <c r="F1221" s="44" t="s">
        <v>1160</v>
      </c>
      <c r="G1221" s="25">
        <f t="shared" si="18"/>
        <v>4.9250380241907532E-3</v>
      </c>
    </row>
    <row r="1222" spans="1:7">
      <c r="A1222" s="44">
        <v>546.19969449350049</v>
      </c>
      <c r="B1222" s="44">
        <v>548.56509506942177</v>
      </c>
      <c r="C1222" s="44">
        <v>536.79747463105161</v>
      </c>
      <c r="D1222" s="44">
        <v>538.44038883859525</v>
      </c>
      <c r="E1222" s="44">
        <v>843595.83332846954</v>
      </c>
      <c r="F1222" s="44" t="s">
        <v>1161</v>
      </c>
      <c r="G1222" s="25">
        <f t="shared" ref="G1222:G1285" si="19">A1222/D1222-1</f>
        <v>1.4410705095213805E-2</v>
      </c>
    </row>
    <row r="1223" spans="1:7">
      <c r="A1223" s="44">
        <v>539.05400739803929</v>
      </c>
      <c r="B1223" s="44">
        <v>550.26729274746663</v>
      </c>
      <c r="C1223" s="44">
        <v>538.71750689769908</v>
      </c>
      <c r="D1223" s="44">
        <v>548.26818286323919</v>
      </c>
      <c r="E1223" s="44">
        <v>922673.75438086584</v>
      </c>
      <c r="F1223" s="44" t="s">
        <v>1162</v>
      </c>
      <c r="G1223" s="25">
        <f t="shared" si="19"/>
        <v>-1.6805964221889402E-2</v>
      </c>
    </row>
    <row r="1224" spans="1:7">
      <c r="A1224" s="44">
        <v>550.58409807146336</v>
      </c>
      <c r="B1224" s="44">
        <v>551.85092348450917</v>
      </c>
      <c r="C1224" s="44">
        <v>546.43227572167677</v>
      </c>
      <c r="D1224" s="44">
        <v>548.26818286323919</v>
      </c>
      <c r="E1224" s="44">
        <v>838995.4835565238</v>
      </c>
      <c r="F1224" s="44" t="s">
        <v>1163</v>
      </c>
      <c r="G1224" s="25">
        <f t="shared" si="19"/>
        <v>4.2240554542662956E-3</v>
      </c>
    </row>
    <row r="1225" spans="1:7">
      <c r="A1225" s="44">
        <v>548.75313946667075</v>
      </c>
      <c r="B1225" s="44">
        <v>548.83231605498611</v>
      </c>
      <c r="C1225" s="44">
        <v>537.13397513139194</v>
      </c>
      <c r="D1225" s="44">
        <v>540.78599526743778</v>
      </c>
      <c r="E1225" s="44">
        <v>1153249.9940047029</v>
      </c>
      <c r="F1225" s="44" t="s">
        <v>1164</v>
      </c>
      <c r="G1225" s="25">
        <f t="shared" si="19"/>
        <v>1.4732526857121897E-2</v>
      </c>
    </row>
    <row r="1226" spans="1:7">
      <c r="A1226" s="44">
        <v>539.03421325096053</v>
      </c>
      <c r="B1226" s="44">
        <v>539.08369861865765</v>
      </c>
      <c r="C1226" s="44">
        <v>535.07538383519261</v>
      </c>
      <c r="D1226" s="44">
        <v>536.38179754239604</v>
      </c>
      <c r="E1226" s="44">
        <v>614658.46199589001</v>
      </c>
      <c r="F1226" s="44" t="s">
        <v>1165</v>
      </c>
      <c r="G1226" s="25">
        <f t="shared" si="19"/>
        <v>4.9450143922060708E-3</v>
      </c>
    </row>
    <row r="1227" spans="1:7">
      <c r="A1227" s="44">
        <v>536.43128291009305</v>
      </c>
      <c r="B1227" s="44">
        <v>537.54945427857683</v>
      </c>
      <c r="C1227" s="44">
        <v>530.43365634520478</v>
      </c>
      <c r="D1227" s="44">
        <v>531.11655441942469</v>
      </c>
      <c r="E1227" s="44">
        <v>609456.9244105668</v>
      </c>
      <c r="F1227" s="44" t="s">
        <v>1166</v>
      </c>
      <c r="G1227" s="25">
        <f t="shared" si="19"/>
        <v>1.000670840787099E-2</v>
      </c>
    </row>
    <row r="1228" spans="1:7">
      <c r="A1228" s="44">
        <v>531.73017297886872</v>
      </c>
      <c r="B1228" s="44">
        <v>538.36121225028</v>
      </c>
      <c r="C1228" s="44">
        <v>528.53341822563607</v>
      </c>
      <c r="D1228" s="44">
        <v>534.88733943794364</v>
      </c>
      <c r="E1228" s="44">
        <v>908299.80844286899</v>
      </c>
      <c r="F1228" s="44" t="s">
        <v>1167</v>
      </c>
      <c r="G1228" s="25">
        <f t="shared" si="19"/>
        <v>-5.902488666851724E-3</v>
      </c>
    </row>
    <row r="1229" spans="1:7">
      <c r="A1229" s="44">
        <v>534.80816284962827</v>
      </c>
      <c r="B1229" s="44">
        <v>540.97403966468676</v>
      </c>
      <c r="C1229" s="44">
        <v>533.66999939259495</v>
      </c>
      <c r="D1229" s="44">
        <v>535.21394286474447</v>
      </c>
      <c r="E1229" s="44">
        <v>912562.68471957417</v>
      </c>
      <c r="F1229" s="44" t="s">
        <v>1168</v>
      </c>
      <c r="G1229" s="25">
        <f t="shared" si="19"/>
        <v>-7.5816413328888554E-4</v>
      </c>
    </row>
    <row r="1230" spans="1:7">
      <c r="A1230" s="44">
        <v>535.59003165924241</v>
      </c>
      <c r="B1230" s="44">
        <v>540.42970062001871</v>
      </c>
      <c r="C1230" s="44">
        <v>533.5809257307402</v>
      </c>
      <c r="D1230" s="44">
        <v>538.23255029426753</v>
      </c>
      <c r="E1230" s="44">
        <v>870685.65931916516</v>
      </c>
      <c r="F1230" s="44" t="s">
        <v>1169</v>
      </c>
      <c r="G1230" s="25">
        <f t="shared" si="19"/>
        <v>-4.9096224923229626E-3</v>
      </c>
    </row>
    <row r="1231" spans="1:7">
      <c r="A1231" s="44">
        <v>532.66049789157421</v>
      </c>
      <c r="B1231" s="44">
        <v>536.42138583655367</v>
      </c>
      <c r="C1231" s="44">
        <v>528.08310137959256</v>
      </c>
      <c r="D1231" s="44">
        <v>533.73927890737082</v>
      </c>
      <c r="E1231" s="44">
        <v>773903.51496256655</v>
      </c>
      <c r="F1231" s="44" t="s">
        <v>1170</v>
      </c>
      <c r="G1231" s="25">
        <f t="shared" si="19"/>
        <v>-2.0211759906541005E-3</v>
      </c>
    </row>
    <row r="1232" spans="1:7">
      <c r="A1232" s="44">
        <v>536.76778341043337</v>
      </c>
      <c r="B1232" s="44">
        <v>537.51501246265957</v>
      </c>
      <c r="C1232" s="44">
        <v>531.18583393420067</v>
      </c>
      <c r="D1232" s="44">
        <v>535.40198726199344</v>
      </c>
      <c r="E1232" s="44">
        <v>789254.51739726262</v>
      </c>
      <c r="F1232" s="44" t="s">
        <v>1171</v>
      </c>
      <c r="G1232" s="25">
        <f t="shared" si="19"/>
        <v>2.5509732517514649E-3</v>
      </c>
    </row>
    <row r="1233" spans="1:7">
      <c r="A1233" s="44">
        <v>533.33349889225474</v>
      </c>
      <c r="B1233" s="44">
        <v>535.72859068879427</v>
      </c>
      <c r="C1233" s="44">
        <v>529.899214374076</v>
      </c>
      <c r="D1233" s="44">
        <v>533.32360181871525</v>
      </c>
      <c r="E1233" s="44">
        <v>863482.51995518513</v>
      </c>
      <c r="F1233" s="44" t="s">
        <v>1172</v>
      </c>
      <c r="G1233" s="25">
        <f t="shared" si="19"/>
        <v>1.8557351495029906E-5</v>
      </c>
    </row>
    <row r="1234" spans="1:7">
      <c r="A1234" s="44">
        <v>531.46295199330439</v>
      </c>
      <c r="B1234" s="44">
        <v>532.883182046211</v>
      </c>
      <c r="C1234" s="44">
        <v>526.82122450331644</v>
      </c>
      <c r="D1234" s="44">
        <v>528.74125676996391</v>
      </c>
      <c r="E1234" s="44">
        <v>943813.33661865385</v>
      </c>
      <c r="F1234" s="44" t="s">
        <v>1173</v>
      </c>
      <c r="G1234" s="25">
        <f t="shared" si="19"/>
        <v>5.1474992512727802E-3</v>
      </c>
    </row>
    <row r="1235" spans="1:7">
      <c r="A1235" s="44">
        <v>528.18702065175637</v>
      </c>
      <c r="B1235" s="44">
        <v>538.75709519185682</v>
      </c>
      <c r="C1235" s="44">
        <v>526.40554741466087</v>
      </c>
      <c r="D1235" s="44">
        <v>536.50056242486903</v>
      </c>
      <c r="E1235" s="44">
        <v>1159314.4129221679</v>
      </c>
      <c r="F1235" s="44" t="s">
        <v>1174</v>
      </c>
      <c r="G1235" s="25">
        <f t="shared" si="19"/>
        <v>-1.5495867768595128E-2</v>
      </c>
    </row>
    <row r="1236" spans="1:7">
      <c r="A1236" s="44">
        <v>534.45186820220908</v>
      </c>
      <c r="B1236" s="44">
        <v>537.70800539667823</v>
      </c>
      <c r="C1236" s="44">
        <v>525.91069373768983</v>
      </c>
      <c r="D1236" s="44">
        <v>529.38456655002619</v>
      </c>
      <c r="E1236" s="44">
        <v>1427515.9160662589</v>
      </c>
      <c r="F1236" s="44" t="s">
        <v>1175</v>
      </c>
      <c r="G1236" s="25">
        <f t="shared" si="19"/>
        <v>9.5720615453642743E-3</v>
      </c>
    </row>
    <row r="1237" spans="1:7">
      <c r="A1237" s="44">
        <v>528.27609431361111</v>
      </c>
      <c r="B1237" s="44">
        <v>529.899214374076</v>
      </c>
      <c r="C1237" s="44">
        <v>524.4954122215529</v>
      </c>
      <c r="D1237" s="44">
        <v>526.05914984078106</v>
      </c>
      <c r="E1237" s="44">
        <v>1011245.3908861948</v>
      </c>
      <c r="F1237" s="44" t="s">
        <v>1176</v>
      </c>
      <c r="G1237" s="25">
        <f t="shared" si="19"/>
        <v>4.2142494308881062E-3</v>
      </c>
    </row>
    <row r="1238" spans="1:7">
      <c r="A1238" s="44">
        <v>522.83270386693027</v>
      </c>
      <c r="B1238" s="44">
        <v>523.7333375590174</v>
      </c>
      <c r="C1238" s="44">
        <v>510.68899463406217</v>
      </c>
      <c r="D1238" s="44">
        <v>512.66840934194613</v>
      </c>
      <c r="E1238" s="44">
        <v>1833418.7300646987</v>
      </c>
      <c r="F1238" s="44" t="s">
        <v>1177</v>
      </c>
      <c r="G1238" s="25">
        <f t="shared" si="19"/>
        <v>1.9826254826254885E-2</v>
      </c>
    </row>
    <row r="1239" spans="1:7">
      <c r="A1239" s="44">
        <v>524.82201564835361</v>
      </c>
      <c r="B1239" s="44">
        <v>528.99858068198887</v>
      </c>
      <c r="C1239" s="44">
        <v>522.13001164563138</v>
      </c>
      <c r="D1239" s="44">
        <v>522.92177752878501</v>
      </c>
      <c r="E1239" s="44">
        <v>1102848.2264505697</v>
      </c>
      <c r="F1239" s="44" t="s">
        <v>1178</v>
      </c>
      <c r="G1239" s="25">
        <f t="shared" si="19"/>
        <v>3.6338859868272344E-3</v>
      </c>
    </row>
    <row r="1240" spans="1:7">
      <c r="A1240" s="44">
        <v>523.67395511778102</v>
      </c>
      <c r="B1240" s="44">
        <v>527.51401965107584</v>
      </c>
      <c r="C1240" s="44">
        <v>519.98234668757732</v>
      </c>
      <c r="D1240" s="44">
        <v>523.29786632328296</v>
      </c>
      <c r="E1240" s="44">
        <v>883612.71290631068</v>
      </c>
      <c r="F1240" s="44" t="s">
        <v>1179</v>
      </c>
      <c r="G1240" s="25">
        <f t="shared" si="19"/>
        <v>7.186897151720828E-4</v>
      </c>
    </row>
    <row r="1241" spans="1:7">
      <c r="A1241" s="44">
        <v>526.78163620915882</v>
      </c>
      <c r="B1241" s="44">
        <v>527.66247575416708</v>
      </c>
      <c r="C1241" s="44">
        <v>520.0516262023533</v>
      </c>
      <c r="D1241" s="44">
        <v>521.7836140717518</v>
      </c>
      <c r="E1241" s="44">
        <v>1015582.0263400035</v>
      </c>
      <c r="F1241" s="44" t="s">
        <v>1180</v>
      </c>
      <c r="G1241" s="25">
        <f t="shared" si="19"/>
        <v>9.5787257449593266E-3</v>
      </c>
    </row>
    <row r="1242" spans="1:7">
      <c r="A1242" s="44">
        <v>519.10150714256906</v>
      </c>
      <c r="B1242" s="44">
        <v>520.3930752394632</v>
      </c>
      <c r="C1242" s="44">
        <v>513.3166676587781</v>
      </c>
      <c r="D1242" s="44">
        <v>514.360808917187</v>
      </c>
      <c r="E1242" s="44">
        <v>877402.79643401143</v>
      </c>
      <c r="F1242" s="44" t="s">
        <v>1181</v>
      </c>
      <c r="G1242" s="25">
        <f t="shared" si="19"/>
        <v>9.2166785322582712E-3</v>
      </c>
    </row>
    <row r="1243" spans="1:7">
      <c r="A1243" s="44">
        <v>508.96690383820311</v>
      </c>
      <c r="B1243" s="44">
        <v>517.58725489103779</v>
      </c>
      <c r="C1243" s="44">
        <v>501.93998162521507</v>
      </c>
      <c r="D1243" s="44">
        <v>517.58725489103779</v>
      </c>
      <c r="E1243" s="44">
        <v>1124625.3708904437</v>
      </c>
      <c r="F1243" s="44" t="s">
        <v>1182</v>
      </c>
      <c r="G1243" s="25">
        <f t="shared" si="19"/>
        <v>-1.6654875040633343E-2</v>
      </c>
    </row>
    <row r="1244" spans="1:7">
      <c r="A1244" s="44">
        <v>517.20126902300046</v>
      </c>
      <c r="B1244" s="44">
        <v>524.09952927997597</v>
      </c>
      <c r="C1244" s="44">
        <v>514.69730941752709</v>
      </c>
      <c r="D1244" s="44">
        <v>516.4886797281622</v>
      </c>
      <c r="E1244" s="44">
        <v>1157334.0295369246</v>
      </c>
      <c r="F1244" s="44" t="s">
        <v>1183</v>
      </c>
      <c r="G1244" s="25">
        <f t="shared" si="19"/>
        <v>1.3796803740466768E-3</v>
      </c>
    </row>
    <row r="1245" spans="1:7">
      <c r="A1245" s="44">
        <v>516.25114996321611</v>
      </c>
      <c r="B1245" s="44">
        <v>517.32003390547345</v>
      </c>
      <c r="C1245" s="44">
        <v>510.90673025192945</v>
      </c>
      <c r="D1245" s="44">
        <v>513.21274838661418</v>
      </c>
      <c r="E1245" s="44">
        <v>1330978.2884337567</v>
      </c>
      <c r="F1245" s="44" t="s">
        <v>1184</v>
      </c>
      <c r="G1245" s="25">
        <f t="shared" si="19"/>
        <v>5.920354835599273E-3</v>
      </c>
    </row>
    <row r="1246" spans="1:7">
      <c r="A1246" s="44">
        <v>514.43998550550225</v>
      </c>
      <c r="B1246" s="44">
        <v>516.13238508074312</v>
      </c>
      <c r="C1246" s="44">
        <v>508.59081504370516</v>
      </c>
      <c r="D1246" s="44">
        <v>509.4617575151741</v>
      </c>
      <c r="E1246" s="44">
        <v>1092153.1457705686</v>
      </c>
      <c r="F1246" s="44" t="s">
        <v>1185</v>
      </c>
      <c r="G1246" s="25">
        <f t="shared" si="19"/>
        <v>9.7715440205143889E-3</v>
      </c>
    </row>
    <row r="1247" spans="1:7">
      <c r="A1247" s="44">
        <v>509.18463945607039</v>
      </c>
      <c r="B1247" s="44">
        <v>510.51084731035269</v>
      </c>
      <c r="C1247" s="44">
        <v>504.15692609804506</v>
      </c>
      <c r="D1247" s="44">
        <v>504.68147099563436</v>
      </c>
      <c r="E1247" s="44">
        <v>1085961.4164926235</v>
      </c>
      <c r="F1247" s="44" t="s">
        <v>1186</v>
      </c>
      <c r="G1247" s="25">
        <f t="shared" si="19"/>
        <v>8.9227933245739077E-3</v>
      </c>
    </row>
    <row r="1248" spans="1:7">
      <c r="A1248" s="44">
        <v>505.52272224648499</v>
      </c>
      <c r="B1248" s="44">
        <v>511.56983417907054</v>
      </c>
      <c r="C1248" s="44">
        <v>504.22620561282105</v>
      </c>
      <c r="D1248" s="44">
        <v>511.24323075226965</v>
      </c>
      <c r="E1248" s="44">
        <v>872885.29943634628</v>
      </c>
      <c r="F1248" s="44" t="s">
        <v>1187</v>
      </c>
      <c r="G1248" s="25">
        <f t="shared" si="19"/>
        <v>-1.1189406845284244E-2</v>
      </c>
    </row>
    <row r="1249" spans="1:7">
      <c r="A1249" s="44">
        <v>509.00649213236073</v>
      </c>
      <c r="B1249" s="44">
        <v>512.57933568009128</v>
      </c>
      <c r="C1249" s="44">
        <v>507.00302753577608</v>
      </c>
      <c r="D1249" s="44">
        <v>508.61060919078398</v>
      </c>
      <c r="E1249" s="44">
        <v>951564.11261263478</v>
      </c>
      <c r="F1249" s="44" t="s">
        <v>1188</v>
      </c>
      <c r="G1249" s="25">
        <f t="shared" si="19"/>
        <v>7.7836154893939913E-4</v>
      </c>
    </row>
    <row r="1250" spans="1:7">
      <c r="A1250" s="44">
        <v>509.39247800039823</v>
      </c>
      <c r="B1250" s="44">
        <v>515.56825188899609</v>
      </c>
      <c r="C1250" s="44">
        <v>507.65059305746024</v>
      </c>
      <c r="D1250" s="44">
        <v>514.34101477010813</v>
      </c>
      <c r="E1250" s="44">
        <v>1442483.9770198287</v>
      </c>
      <c r="F1250" s="44" t="s">
        <v>1189</v>
      </c>
      <c r="G1250" s="25">
        <f t="shared" si="19"/>
        <v>-9.6211202832457987E-3</v>
      </c>
    </row>
    <row r="1251" spans="1:7">
      <c r="A1251" s="44">
        <v>511.93602590002905</v>
      </c>
      <c r="B1251" s="44">
        <v>514.59833868213309</v>
      </c>
      <c r="C1251" s="44">
        <v>509.293507265004</v>
      </c>
      <c r="D1251" s="44">
        <v>513.73729328420347</v>
      </c>
      <c r="E1251" s="44">
        <v>1196508.2357763508</v>
      </c>
      <c r="F1251" s="44" t="s">
        <v>1190</v>
      </c>
      <c r="G1251" s="25">
        <f t="shared" si="19"/>
        <v>-3.5062032827309908E-3</v>
      </c>
    </row>
    <row r="1252" spans="1:7">
      <c r="A1252" s="44">
        <v>513.27213082785079</v>
      </c>
      <c r="B1252" s="44">
        <v>515.46433261683228</v>
      </c>
      <c r="C1252" s="44">
        <v>506.21056885747475</v>
      </c>
      <c r="D1252" s="44">
        <v>506.73016521829425</v>
      </c>
      <c r="E1252" s="44">
        <v>1398366.8955147846</v>
      </c>
      <c r="F1252" s="44" t="s">
        <v>1191</v>
      </c>
      <c r="G1252" s="25">
        <f t="shared" si="19"/>
        <v>1.2910156250000027E-2</v>
      </c>
    </row>
    <row r="1253" spans="1:7">
      <c r="A1253" s="44">
        <v>517.33982805255232</v>
      </c>
      <c r="B1253" s="44">
        <v>518.86397737762297</v>
      </c>
      <c r="C1253" s="44">
        <v>511.74798150278014</v>
      </c>
      <c r="D1253" s="44">
        <v>514.62802990275122</v>
      </c>
      <c r="E1253" s="44">
        <v>1448375.6175909282</v>
      </c>
      <c r="F1253" s="44" t="s">
        <v>1192</v>
      </c>
      <c r="G1253" s="25">
        <f t="shared" si="19"/>
        <v>5.2694334397478393E-3</v>
      </c>
    </row>
    <row r="1254" spans="1:7">
      <c r="A1254" s="44">
        <v>511.73808442924064</v>
      </c>
      <c r="B1254" s="44">
        <v>513.12367472475944</v>
      </c>
      <c r="C1254" s="44">
        <v>507.99699063133994</v>
      </c>
      <c r="D1254" s="44">
        <v>510.36239120726128</v>
      </c>
      <c r="E1254" s="44">
        <v>1302078.8366048106</v>
      </c>
      <c r="F1254" s="44" t="s">
        <v>1193</v>
      </c>
      <c r="G1254" s="25">
        <f t="shared" si="19"/>
        <v>2.6955223301723397E-3</v>
      </c>
    </row>
    <row r="1255" spans="1:7">
      <c r="A1255" s="44">
        <v>508.03657892549774</v>
      </c>
      <c r="B1255" s="44">
        <v>509.33309555916168</v>
      </c>
      <c r="C1255" s="44">
        <v>502.2072026107794</v>
      </c>
      <c r="D1255" s="44">
        <v>503.67196949461356</v>
      </c>
      <c r="E1255" s="44">
        <v>933139.4743320659</v>
      </c>
      <c r="F1255" s="44" t="s">
        <v>1194</v>
      </c>
      <c r="G1255" s="25">
        <f t="shared" si="19"/>
        <v>8.6655793755281429E-3</v>
      </c>
    </row>
    <row r="1256" spans="1:7">
      <c r="A1256" s="44">
        <v>504.28558805405754</v>
      </c>
      <c r="B1256" s="44">
        <v>504.32517634821522</v>
      </c>
      <c r="C1256" s="44">
        <v>498.08012294484132</v>
      </c>
      <c r="D1256" s="44">
        <v>500.63356791801164</v>
      </c>
      <c r="E1256" s="44">
        <v>1141174.7073531495</v>
      </c>
      <c r="F1256" s="44" t="s">
        <v>1195</v>
      </c>
      <c r="G1256" s="25">
        <f t="shared" si="19"/>
        <v>7.2947967736833874E-3</v>
      </c>
    </row>
    <row r="1257" spans="1:7">
      <c r="A1257" s="44">
        <v>499.27766884311114</v>
      </c>
      <c r="B1257" s="44">
        <v>503.61258705337701</v>
      </c>
      <c r="C1257" s="44">
        <v>498.10981416545962</v>
      </c>
      <c r="D1257" s="44">
        <v>502.27648212555533</v>
      </c>
      <c r="E1257" s="44">
        <v>1020527.9328046804</v>
      </c>
      <c r="F1257" s="44" t="s">
        <v>1196</v>
      </c>
      <c r="G1257" s="25">
        <f t="shared" si="19"/>
        <v>-5.9704433497537179E-3</v>
      </c>
    </row>
    <row r="1258" spans="1:7">
      <c r="A1258" s="44">
        <v>503.00886556747241</v>
      </c>
      <c r="B1258" s="44">
        <v>505.34457492277551</v>
      </c>
      <c r="C1258" s="44">
        <v>495.60338029160152</v>
      </c>
      <c r="D1258" s="44">
        <v>499.61416934345141</v>
      </c>
      <c r="E1258" s="44">
        <v>1363925.4014062157</v>
      </c>
      <c r="F1258" s="44" t="s">
        <v>1197</v>
      </c>
      <c r="G1258" s="25">
        <f t="shared" si="19"/>
        <v>6.7946356054753299E-3</v>
      </c>
    </row>
    <row r="1259" spans="1:7">
      <c r="A1259" s="44">
        <v>499.90118447609461</v>
      </c>
      <c r="B1259" s="44">
        <v>500.53459718261746</v>
      </c>
      <c r="C1259" s="44">
        <v>486.94591521299407</v>
      </c>
      <c r="D1259" s="44">
        <v>488.59872649407714</v>
      </c>
      <c r="E1259" s="44">
        <v>1464758.2381053863</v>
      </c>
      <c r="F1259" s="44" t="s">
        <v>1198</v>
      </c>
      <c r="G1259" s="25">
        <f t="shared" si="19"/>
        <v>2.3132393453249245E-2</v>
      </c>
    </row>
    <row r="1260" spans="1:7">
      <c r="A1260" s="44">
        <v>487.79706353738413</v>
      </c>
      <c r="B1260" s="44">
        <v>492.58229859369362</v>
      </c>
      <c r="C1260" s="44">
        <v>486.12940664599193</v>
      </c>
      <c r="D1260" s="44">
        <v>489.90514020128057</v>
      </c>
      <c r="E1260" s="44">
        <v>4724743.1085311761</v>
      </c>
      <c r="F1260" s="44" t="s">
        <v>1199</v>
      </c>
      <c r="G1260" s="25">
        <f t="shared" si="19"/>
        <v>-4.303030303030364E-3</v>
      </c>
    </row>
    <row r="1261" spans="1:7">
      <c r="A1261" s="44">
        <v>490.26143484869971</v>
      </c>
      <c r="B1261" s="44">
        <v>493.29983642530158</v>
      </c>
      <c r="C1261" s="44">
        <v>488.47006453806472</v>
      </c>
      <c r="D1261" s="44">
        <v>489.90514020128057</v>
      </c>
      <c r="E1261" s="44">
        <v>1340539.7006656746</v>
      </c>
      <c r="F1261" s="44" t="s">
        <v>1200</v>
      </c>
      <c r="G1261" s="25">
        <f t="shared" si="19"/>
        <v>7.2727272727268755E-4</v>
      </c>
    </row>
    <row r="1262" spans="1:7">
      <c r="A1262" s="44">
        <v>488.93522699441741</v>
      </c>
      <c r="B1262" s="44">
        <v>489.07378602396932</v>
      </c>
      <c r="C1262" s="44">
        <v>484.11040364395024</v>
      </c>
      <c r="D1262" s="44">
        <v>485.83744297657904</v>
      </c>
      <c r="E1262" s="44">
        <v>1372199.5644377253</v>
      </c>
      <c r="F1262" s="44" t="s">
        <v>1201</v>
      </c>
      <c r="G1262" s="25">
        <f t="shared" si="19"/>
        <v>6.3761738882437413E-3</v>
      </c>
    </row>
    <row r="1263" spans="1:7">
      <c r="A1263" s="44">
        <v>487.14385668378242</v>
      </c>
      <c r="B1263" s="44">
        <v>487.33190108103139</v>
      </c>
      <c r="C1263" s="44">
        <v>477.99896073335856</v>
      </c>
      <c r="D1263" s="44">
        <v>479.33506566118018</v>
      </c>
      <c r="E1263" s="44">
        <v>1859850.7858595813</v>
      </c>
      <c r="F1263" s="44" t="s">
        <v>1202</v>
      </c>
      <c r="G1263" s="25">
        <f t="shared" si="19"/>
        <v>1.629088206144691E-2</v>
      </c>
    </row>
    <row r="1264" spans="1:7">
      <c r="A1264" s="44">
        <v>478.58288807218429</v>
      </c>
      <c r="B1264" s="44">
        <v>481.98748136974473</v>
      </c>
      <c r="C1264" s="44">
        <v>471.81328977122121</v>
      </c>
      <c r="D1264" s="44">
        <v>479.23609492578606</v>
      </c>
      <c r="E1264" s="44">
        <v>1122827.8698484295</v>
      </c>
      <c r="F1264" s="44" t="s">
        <v>1203</v>
      </c>
      <c r="G1264" s="25">
        <f t="shared" si="19"/>
        <v>-1.3630168105408513E-3</v>
      </c>
    </row>
    <row r="1265" spans="1:7">
      <c r="A1265" s="44">
        <v>477.50410705638757</v>
      </c>
      <c r="B1265" s="44">
        <v>483.0365711649232</v>
      </c>
      <c r="C1265" s="44">
        <v>475.49698054259323</v>
      </c>
      <c r="D1265" s="44">
        <v>478.16721098352866</v>
      </c>
      <c r="E1265" s="44">
        <v>2345465.0415137582</v>
      </c>
      <c r="F1265" s="44" t="s">
        <v>1204</v>
      </c>
      <c r="G1265" s="25">
        <f t="shared" si="19"/>
        <v>-1.3867616011921102E-3</v>
      </c>
    </row>
    <row r="1266" spans="1:7">
      <c r="A1266" s="44">
        <v>481.07695060411811</v>
      </c>
      <c r="B1266" s="44">
        <v>484.28360243089008</v>
      </c>
      <c r="C1266" s="44">
        <v>463.23252701254421</v>
      </c>
      <c r="D1266" s="44">
        <v>464.01439582215835</v>
      </c>
      <c r="E1266" s="44">
        <v>2260651.0814419603</v>
      </c>
      <c r="F1266" s="44" t="s">
        <v>1205</v>
      </c>
      <c r="G1266" s="25">
        <f t="shared" si="19"/>
        <v>3.6771606518215094E-2</v>
      </c>
    </row>
    <row r="1267" spans="1:7">
      <c r="A1267" s="44">
        <v>463.59871873350272</v>
      </c>
      <c r="B1267" s="44">
        <v>472.40711418358632</v>
      </c>
      <c r="C1267" s="44">
        <v>461.1343474221872</v>
      </c>
      <c r="D1267" s="44">
        <v>463.24242408608359</v>
      </c>
      <c r="E1267" s="44">
        <v>1709397.220563825</v>
      </c>
      <c r="F1267" s="44" t="s">
        <v>1206</v>
      </c>
      <c r="G1267" s="25">
        <f t="shared" si="19"/>
        <v>7.6913216254337335E-4</v>
      </c>
    </row>
    <row r="1268" spans="1:7">
      <c r="A1268" s="44">
        <v>465.24163294104636</v>
      </c>
      <c r="B1268" s="44">
        <v>468.56704965029144</v>
      </c>
      <c r="C1268" s="44">
        <v>462.77745957120163</v>
      </c>
      <c r="D1268" s="44">
        <v>467.88415157607147</v>
      </c>
      <c r="E1268" s="44">
        <v>1273868.4773619543</v>
      </c>
      <c r="F1268" s="44" t="s">
        <v>1207</v>
      </c>
      <c r="G1268" s="25">
        <f t="shared" si="19"/>
        <v>-5.6478053939714723E-3</v>
      </c>
    </row>
    <row r="1269" spans="1:7">
      <c r="A1269" s="44">
        <v>465.23173586750698</v>
      </c>
      <c r="B1269" s="44">
        <v>466.09278126543649</v>
      </c>
      <c r="C1269" s="44">
        <v>458.62049074317451</v>
      </c>
      <c r="D1269" s="44">
        <v>459.91700737683851</v>
      </c>
      <c r="E1269" s="44">
        <v>1467855.1131440452</v>
      </c>
      <c r="F1269" s="44" t="s">
        <v>1208</v>
      </c>
      <c r="G1269" s="25">
        <f t="shared" si="19"/>
        <v>1.1555842479018752E-2</v>
      </c>
    </row>
    <row r="1270" spans="1:7">
      <c r="A1270" s="44">
        <v>460.10505177408754</v>
      </c>
      <c r="B1270" s="44">
        <v>460.84691738481649</v>
      </c>
      <c r="C1270" s="44">
        <v>456.15338095427137</v>
      </c>
      <c r="D1270" s="44">
        <v>459.03676529463786</v>
      </c>
      <c r="E1270" s="44">
        <v>1956362.4179505133</v>
      </c>
      <c r="F1270" s="44" t="s">
        <v>1209</v>
      </c>
      <c r="G1270" s="25">
        <f t="shared" si="19"/>
        <v>2.3272351153920123E-3</v>
      </c>
    </row>
    <row r="1271" spans="1:7">
      <c r="A1271" s="44">
        <v>459.8676547786543</v>
      </c>
      <c r="B1271" s="44">
        <v>460.64414078455059</v>
      </c>
      <c r="C1271" s="44">
        <v>442.94322731255812</v>
      </c>
      <c r="D1271" s="44">
        <v>443.92248991872032</v>
      </c>
      <c r="E1271" s="44">
        <v>2709029.7365654735</v>
      </c>
      <c r="F1271" s="44" t="s">
        <v>1210</v>
      </c>
      <c r="G1271" s="25">
        <f t="shared" si="19"/>
        <v>3.5918803894917417E-2</v>
      </c>
    </row>
    <row r="1272" spans="1:7">
      <c r="A1272" s="44">
        <v>443.34878051308993</v>
      </c>
      <c r="B1272" s="44">
        <v>445.03034256407557</v>
      </c>
      <c r="C1272" s="44">
        <v>437.69081878859726</v>
      </c>
      <c r="D1272" s="44">
        <v>439.82739174749656</v>
      </c>
      <c r="E1272" s="44">
        <v>1815379.3362610519</v>
      </c>
      <c r="F1272" s="44" t="s">
        <v>1211</v>
      </c>
      <c r="G1272" s="25">
        <f t="shared" si="19"/>
        <v>8.0062970875969253E-3</v>
      </c>
    </row>
    <row r="1273" spans="1:7">
      <c r="A1273" s="44">
        <v>436.21697910861576</v>
      </c>
      <c r="B1273" s="44">
        <v>439.18444155153151</v>
      </c>
      <c r="C1273" s="44">
        <v>433.9617076519998</v>
      </c>
      <c r="D1273" s="44">
        <v>436.97862780229741</v>
      </c>
      <c r="E1273" s="44">
        <v>2850347.447595357</v>
      </c>
      <c r="F1273" s="44" t="s">
        <v>1212</v>
      </c>
      <c r="G1273" s="25">
        <f t="shared" si="19"/>
        <v>-1.7429884328947765E-3</v>
      </c>
    </row>
    <row r="1274" spans="1:7">
      <c r="A1274" s="44">
        <v>439.62956091796883</v>
      </c>
      <c r="B1274" s="44">
        <v>445.69307584299338</v>
      </c>
      <c r="C1274" s="44">
        <v>438.65029831180664</v>
      </c>
      <c r="D1274" s="44">
        <v>444.42695853401602</v>
      </c>
      <c r="E1274" s="44">
        <v>2812502.9922196539</v>
      </c>
      <c r="F1274" s="44" t="s">
        <v>1213</v>
      </c>
      <c r="G1274" s="25">
        <f t="shared" si="19"/>
        <v>-1.079456933006917E-2</v>
      </c>
    </row>
    <row r="1275" spans="1:7">
      <c r="A1275" s="44">
        <v>443.89281529429115</v>
      </c>
      <c r="B1275" s="44">
        <v>447.58236026498309</v>
      </c>
      <c r="C1275" s="44">
        <v>440.30218573836311</v>
      </c>
      <c r="D1275" s="44">
        <v>444.10053766529529</v>
      </c>
      <c r="E1275" s="44">
        <v>1750220.6346028051</v>
      </c>
      <c r="F1275" s="44" t="s">
        <v>1214</v>
      </c>
      <c r="G1275" s="25">
        <f t="shared" si="19"/>
        <v>-4.6773726529625304E-4</v>
      </c>
    </row>
    <row r="1276" spans="1:7">
      <c r="A1276" s="44">
        <v>440.50001656789078</v>
      </c>
      <c r="B1276" s="44">
        <v>446.59320611734449</v>
      </c>
      <c r="C1276" s="44">
        <v>439.18444155153151</v>
      </c>
      <c r="D1276" s="44">
        <v>442.72561340007763</v>
      </c>
      <c r="E1276" s="44">
        <v>2422420.2119764052</v>
      </c>
      <c r="F1276" s="44" t="s">
        <v>1215</v>
      </c>
      <c r="G1276" s="25">
        <f t="shared" si="19"/>
        <v>-5.027034273202613E-3</v>
      </c>
    </row>
    <row r="1277" spans="1:7">
      <c r="A1277" s="44">
        <v>444.33793466072848</v>
      </c>
      <c r="B1277" s="44">
        <v>447.57246872350669</v>
      </c>
      <c r="C1277" s="44">
        <v>441.68700154505706</v>
      </c>
      <c r="D1277" s="44">
        <v>442.8522251309754</v>
      </c>
      <c r="E1277" s="44">
        <v>2381007.0509460503</v>
      </c>
      <c r="F1277" s="44" t="s">
        <v>1216</v>
      </c>
      <c r="G1277" s="25">
        <f t="shared" si="19"/>
        <v>3.3548652246551125E-3</v>
      </c>
    </row>
    <row r="1278" spans="1:7">
      <c r="A1278" s="44">
        <v>442.1617955359236</v>
      </c>
      <c r="B1278" s="44">
        <v>465.80257966448585</v>
      </c>
      <c r="C1278" s="44">
        <v>441.46938763257663</v>
      </c>
      <c r="D1278" s="44">
        <v>461.93498694721893</v>
      </c>
      <c r="E1278" s="44">
        <v>4669740.314011924</v>
      </c>
      <c r="F1278" s="44" t="s">
        <v>1217</v>
      </c>
      <c r="G1278" s="25">
        <f t="shared" si="19"/>
        <v>-4.2805139186295582E-2</v>
      </c>
    </row>
    <row r="1279" spans="1:7">
      <c r="A1279" s="44">
        <v>464.40787231631538</v>
      </c>
      <c r="B1279" s="44">
        <v>475.47650722839114</v>
      </c>
      <c r="C1279" s="44">
        <v>464.31884844302795</v>
      </c>
      <c r="D1279" s="44">
        <v>466.62357760702582</v>
      </c>
      <c r="E1279" s="44">
        <v>1635925.0010355804</v>
      </c>
      <c r="F1279" s="44" t="s">
        <v>1218</v>
      </c>
      <c r="G1279" s="25">
        <f t="shared" si="19"/>
        <v>-4.7483783440031013E-3</v>
      </c>
    </row>
    <row r="1280" spans="1:7">
      <c r="A1280" s="44">
        <v>467.35555167627842</v>
      </c>
      <c r="B1280" s="44">
        <v>467.51381633990053</v>
      </c>
      <c r="C1280" s="44">
        <v>452.06322855378585</v>
      </c>
      <c r="D1280" s="44">
        <v>454.68448704502811</v>
      </c>
      <c r="E1280" s="44">
        <v>4104349.1650842023</v>
      </c>
      <c r="F1280" s="44" t="s">
        <v>1219</v>
      </c>
      <c r="G1280" s="25">
        <f t="shared" si="19"/>
        <v>2.7867818217417017E-2</v>
      </c>
    </row>
    <row r="1281" spans="1:7">
      <c r="A1281" s="44">
        <v>454.70427012798086</v>
      </c>
      <c r="B1281" s="44">
        <v>459.46210157812249</v>
      </c>
      <c r="C1281" s="44">
        <v>452.29073400774274</v>
      </c>
      <c r="D1281" s="44">
        <v>457.07824008231347</v>
      </c>
      <c r="E1281" s="44">
        <v>2166104.2468608883</v>
      </c>
      <c r="F1281" s="44" t="s">
        <v>1220</v>
      </c>
      <c r="G1281" s="25">
        <f t="shared" si="19"/>
        <v>-5.1937934168668765E-3</v>
      </c>
    </row>
    <row r="1282" spans="1:7">
      <c r="A1282" s="44">
        <v>458.98730758725594</v>
      </c>
      <c r="B1282" s="44">
        <v>461.37116908306496</v>
      </c>
      <c r="C1282" s="44">
        <v>456.56882569627959</v>
      </c>
      <c r="D1282" s="44">
        <v>460.25342489623335</v>
      </c>
      <c r="E1282" s="44">
        <v>1610220.2106743413</v>
      </c>
      <c r="F1282" s="44" t="s">
        <v>1221</v>
      </c>
      <c r="G1282" s="25">
        <f t="shared" si="19"/>
        <v>-2.7509133892112958E-3</v>
      </c>
    </row>
    <row r="1283" spans="1:7">
      <c r="A1283" s="44">
        <v>457.44422711693977</v>
      </c>
      <c r="B1283" s="44">
        <v>461.50965066373436</v>
      </c>
      <c r="C1283" s="44">
        <v>456.71225304768723</v>
      </c>
      <c r="D1283" s="44">
        <v>460.32266568656803</v>
      </c>
      <c r="E1283" s="44">
        <v>1207929.0198119499</v>
      </c>
      <c r="F1283" s="44" t="s">
        <v>1222</v>
      </c>
      <c r="G1283" s="25">
        <f t="shared" si="19"/>
        <v>-6.2530889399832201E-3</v>
      </c>
    </row>
    <row r="1284" spans="1:7">
      <c r="A1284" s="44">
        <v>457.32552861922312</v>
      </c>
      <c r="B1284" s="44">
        <v>466.73238456326607</v>
      </c>
      <c r="C1284" s="44">
        <v>457.06834854083706</v>
      </c>
      <c r="D1284" s="44">
        <v>462.52847943580213</v>
      </c>
      <c r="E1284" s="44">
        <v>1430838.6649126476</v>
      </c>
      <c r="F1284" s="44" t="s">
        <v>1223</v>
      </c>
      <c r="G1284" s="25">
        <f t="shared" si="19"/>
        <v>-1.1248930710008653E-2</v>
      </c>
    </row>
    <row r="1285" spans="1:7">
      <c r="A1285" s="44">
        <v>460.24353335475701</v>
      </c>
      <c r="B1285" s="44">
        <v>462.59277445539863</v>
      </c>
      <c r="C1285" s="44">
        <v>452.73585337418007</v>
      </c>
      <c r="D1285" s="44">
        <v>452.73585337418007</v>
      </c>
      <c r="E1285" s="44">
        <v>1194199.1072069004</v>
      </c>
      <c r="F1285" s="44" t="s">
        <v>1224</v>
      </c>
      <c r="G1285" s="25">
        <f t="shared" si="19"/>
        <v>1.6582914572864427E-2</v>
      </c>
    </row>
    <row r="1286" spans="1:7">
      <c r="A1286" s="44">
        <v>451.99398776345117</v>
      </c>
      <c r="B1286" s="44">
        <v>453.15624388692652</v>
      </c>
      <c r="C1286" s="44">
        <v>444.70392169535478</v>
      </c>
      <c r="D1286" s="44">
        <v>446.99875931787631</v>
      </c>
      <c r="E1286" s="44">
        <v>1149272.8435845017</v>
      </c>
      <c r="F1286" s="44" t="s">
        <v>1225</v>
      </c>
      <c r="G1286" s="25">
        <f t="shared" ref="G1286:G1349" si="20">A1286/D1286-1</f>
        <v>1.1175038725381725E-2</v>
      </c>
    </row>
    <row r="1287" spans="1:7">
      <c r="A1287" s="44">
        <v>449.67936705797689</v>
      </c>
      <c r="B1287" s="44">
        <v>454.06131993201581</v>
      </c>
      <c r="C1287" s="44">
        <v>443.65541829885785</v>
      </c>
      <c r="D1287" s="44">
        <v>445.82166588218638</v>
      </c>
      <c r="E1287" s="44">
        <v>1918064.0393909749</v>
      </c>
      <c r="F1287" s="44" t="s">
        <v>1226</v>
      </c>
      <c r="G1287" s="25">
        <f t="shared" si="20"/>
        <v>8.6530141332565869E-3</v>
      </c>
    </row>
    <row r="1288" spans="1:7">
      <c r="A1288" s="44">
        <v>448.00769654846766</v>
      </c>
      <c r="B1288" s="44">
        <v>456.43528988634841</v>
      </c>
      <c r="C1288" s="44">
        <v>446.91962698606523</v>
      </c>
      <c r="D1288" s="44">
        <v>455.87147202219444</v>
      </c>
      <c r="E1288" s="44">
        <v>1104226.2751539152</v>
      </c>
      <c r="F1288" s="44" t="s">
        <v>1227</v>
      </c>
      <c r="G1288" s="25">
        <f t="shared" si="20"/>
        <v>-1.7249983726430496E-2</v>
      </c>
    </row>
    <row r="1289" spans="1:7">
      <c r="A1289" s="44">
        <v>454.09099455644497</v>
      </c>
      <c r="B1289" s="44">
        <v>456.39572372044285</v>
      </c>
      <c r="C1289" s="44">
        <v>449.98105907300669</v>
      </c>
      <c r="D1289" s="44">
        <v>452.91390112075504</v>
      </c>
      <c r="E1289" s="44">
        <v>1020820.6702773089</v>
      </c>
      <c r="F1289" s="44" t="s">
        <v>1228</v>
      </c>
      <c r="G1289" s="25">
        <f t="shared" si="20"/>
        <v>2.5989342185726017E-3</v>
      </c>
    </row>
    <row r="1290" spans="1:7">
      <c r="A1290" s="44">
        <v>451.96431313902201</v>
      </c>
      <c r="B1290" s="44">
        <v>454.00197068315748</v>
      </c>
      <c r="C1290" s="44">
        <v>448.64075520295637</v>
      </c>
      <c r="D1290" s="44">
        <v>452.10279471969142</v>
      </c>
      <c r="E1290" s="44">
        <v>1253957.2350387592</v>
      </c>
      <c r="F1290" s="44" t="s">
        <v>1229</v>
      </c>
      <c r="G1290" s="25">
        <f t="shared" si="20"/>
        <v>-3.0630551787513838E-4</v>
      </c>
    </row>
    <row r="1291" spans="1:7">
      <c r="A1291" s="44">
        <v>449.8475232630754</v>
      </c>
      <c r="B1291" s="44">
        <v>458.96752450430319</v>
      </c>
      <c r="C1291" s="44">
        <v>449.13533227677567</v>
      </c>
      <c r="D1291" s="44">
        <v>452.73585337418007</v>
      </c>
      <c r="E1291" s="44">
        <v>1470523.0761782844</v>
      </c>
      <c r="F1291" s="44" t="s">
        <v>1230</v>
      </c>
      <c r="G1291" s="25">
        <f t="shared" si="20"/>
        <v>-6.3797247105090715E-3</v>
      </c>
    </row>
    <row r="1292" spans="1:7">
      <c r="A1292" s="44">
        <v>458.96752450430319</v>
      </c>
      <c r="B1292" s="44">
        <v>459.10600608497259</v>
      </c>
      <c r="C1292" s="44">
        <v>450.55971424937519</v>
      </c>
      <c r="D1292" s="44">
        <v>452.77541954008564</v>
      </c>
      <c r="E1292" s="44">
        <v>1585946.9464340617</v>
      </c>
      <c r="F1292" s="44" t="s">
        <v>1231</v>
      </c>
      <c r="G1292" s="25">
        <f t="shared" si="20"/>
        <v>1.3675885874077087E-2</v>
      </c>
    </row>
    <row r="1293" spans="1:7">
      <c r="A1293" s="44">
        <v>458.44327280605478</v>
      </c>
      <c r="B1293" s="44">
        <v>464.85299168275276</v>
      </c>
      <c r="C1293" s="44">
        <v>457.38487786808145</v>
      </c>
      <c r="D1293" s="44">
        <v>462.94392417781029</v>
      </c>
      <c r="E1293" s="44">
        <v>1519182.8327136089</v>
      </c>
      <c r="F1293" s="44" t="s">
        <v>1232</v>
      </c>
      <c r="G1293" s="25">
        <f t="shared" si="20"/>
        <v>-9.7218067603948022E-3</v>
      </c>
    </row>
    <row r="1294" spans="1:7">
      <c r="A1294" s="44">
        <v>463.36926046129486</v>
      </c>
      <c r="B1294" s="44">
        <v>473.79494517740557</v>
      </c>
      <c r="C1294" s="44">
        <v>462.82522568009364</v>
      </c>
      <c r="D1294" s="44">
        <v>468.3051396580114</v>
      </c>
      <c r="E1294" s="44">
        <v>1457897.1371071951</v>
      </c>
      <c r="F1294" s="44" t="s">
        <v>1233</v>
      </c>
      <c r="G1294" s="25">
        <f t="shared" si="20"/>
        <v>-1.0539878337276098E-2</v>
      </c>
    </row>
    <row r="1295" spans="1:7">
      <c r="A1295" s="44">
        <v>465.04093097080408</v>
      </c>
      <c r="B1295" s="44">
        <v>465.47615879576506</v>
      </c>
      <c r="C1295" s="44">
        <v>457.29357894025441</v>
      </c>
      <c r="D1295" s="44">
        <v>463.95286140840165</v>
      </c>
      <c r="E1295" s="44">
        <v>1547699.1161132578</v>
      </c>
      <c r="F1295" s="44" t="s">
        <v>1234</v>
      </c>
      <c r="G1295" s="25">
        <f t="shared" si="20"/>
        <v>2.3452157598498058E-3</v>
      </c>
    </row>
    <row r="1296" spans="1:7">
      <c r="A1296" s="44">
        <v>462.69663564090064</v>
      </c>
      <c r="B1296" s="44">
        <v>468.36448890686972</v>
      </c>
      <c r="C1296" s="44">
        <v>459.77863090536681</v>
      </c>
      <c r="D1296" s="44">
        <v>463.51763358344067</v>
      </c>
      <c r="E1296" s="44">
        <v>1603371.935290599</v>
      </c>
      <c r="F1296" s="44" t="s">
        <v>1235</v>
      </c>
      <c r="G1296" s="25">
        <f t="shared" si="20"/>
        <v>-1.7712334613743108E-3</v>
      </c>
    </row>
    <row r="1297" spans="1:7">
      <c r="A1297" s="44">
        <v>460.23364181328054</v>
      </c>
      <c r="B1297" s="44">
        <v>460.71832734562344</v>
      </c>
      <c r="C1297" s="44">
        <v>454.64096426253201</v>
      </c>
      <c r="D1297" s="44">
        <v>458.89828371396851</v>
      </c>
      <c r="E1297" s="44">
        <v>1721964.1691502512</v>
      </c>
      <c r="F1297" s="44" t="s">
        <v>1236</v>
      </c>
      <c r="G1297" s="25">
        <f t="shared" si="20"/>
        <v>2.9099217554371393E-3</v>
      </c>
    </row>
    <row r="1298" spans="1:7">
      <c r="A1298" s="44">
        <v>462.31086552332158</v>
      </c>
      <c r="B1298" s="44">
        <v>467.99850187224348</v>
      </c>
      <c r="C1298" s="44">
        <v>460.09516023261114</v>
      </c>
      <c r="D1298" s="44">
        <v>466.66314377293133</v>
      </c>
      <c r="E1298" s="44">
        <v>1598704.3109258604</v>
      </c>
      <c r="F1298" s="44" t="s">
        <v>1237</v>
      </c>
      <c r="G1298" s="25">
        <f t="shared" si="20"/>
        <v>-9.3263809402687192E-3</v>
      </c>
    </row>
    <row r="1299" spans="1:7">
      <c r="A1299" s="44">
        <v>465.12995484409157</v>
      </c>
      <c r="B1299" s="44">
        <v>470.01637633342619</v>
      </c>
      <c r="C1299" s="44">
        <v>459.95667865194179</v>
      </c>
      <c r="D1299" s="44">
        <v>460.42158110133192</v>
      </c>
      <c r="E1299" s="44">
        <v>2117727.5604624767</v>
      </c>
      <c r="F1299" s="44" t="s">
        <v>1238</v>
      </c>
      <c r="G1299" s="25">
        <f t="shared" si="20"/>
        <v>1.02262229574408E-2</v>
      </c>
    </row>
    <row r="1300" spans="1:7">
      <c r="A1300" s="44">
        <v>459.35329462188224</v>
      </c>
      <c r="B1300" s="44">
        <v>474.57637695404003</v>
      </c>
      <c r="C1300" s="44">
        <v>456.59355454997058</v>
      </c>
      <c r="D1300" s="44">
        <v>472.44969553661707</v>
      </c>
      <c r="E1300" s="44">
        <v>3396348.2921445458</v>
      </c>
      <c r="F1300" s="44" t="s">
        <v>1239</v>
      </c>
      <c r="G1300" s="25">
        <f t="shared" si="20"/>
        <v>-2.772020182986823E-2</v>
      </c>
    </row>
    <row r="1301" spans="1:7">
      <c r="A1301" s="44">
        <v>480.53108492282433</v>
      </c>
      <c r="B1301" s="44">
        <v>486.25828743765169</v>
      </c>
      <c r="C1301" s="44">
        <v>479.78921931209538</v>
      </c>
      <c r="D1301" s="44">
        <v>484.25030451794538</v>
      </c>
      <c r="E1301" s="44">
        <v>1153331.8671548776</v>
      </c>
      <c r="F1301" s="44" t="s">
        <v>1240</v>
      </c>
      <c r="G1301" s="25">
        <f t="shared" si="20"/>
        <v>-7.6803660429772824E-3</v>
      </c>
    </row>
    <row r="1302" spans="1:7">
      <c r="A1302" s="44">
        <v>484.9031462553869</v>
      </c>
      <c r="B1302" s="44">
        <v>491.1348173855099</v>
      </c>
      <c r="C1302" s="44">
        <v>484.79433929914666</v>
      </c>
      <c r="D1302" s="44">
        <v>490.2247955696825</v>
      </c>
      <c r="E1302" s="44">
        <v>989028.86100766819</v>
      </c>
      <c r="F1302" s="44" t="s">
        <v>1241</v>
      </c>
      <c r="G1302" s="25">
        <f t="shared" si="20"/>
        <v>-1.0855528652138902E-2</v>
      </c>
    </row>
    <row r="1303" spans="1:7">
      <c r="A1303" s="44">
        <v>488.68171509936627</v>
      </c>
      <c r="B1303" s="44">
        <v>490.86774576564756</v>
      </c>
      <c r="C1303" s="44">
        <v>481.3125166994588</v>
      </c>
      <c r="D1303" s="44">
        <v>483.75572744412614</v>
      </c>
      <c r="E1303" s="44">
        <v>1690045.9892837743</v>
      </c>
      <c r="F1303" s="44" t="s">
        <v>1242</v>
      </c>
      <c r="G1303" s="25">
        <f t="shared" si="20"/>
        <v>1.0182799656483832E-2</v>
      </c>
    </row>
    <row r="1304" spans="1:7">
      <c r="A1304" s="44">
        <v>482.79624792091664</v>
      </c>
      <c r="B1304" s="44">
        <v>485.04657360679448</v>
      </c>
      <c r="C1304" s="44">
        <v>478.91876366217343</v>
      </c>
      <c r="D1304" s="44">
        <v>480.14531480524528</v>
      </c>
      <c r="E1304" s="44">
        <v>1224104.4562069718</v>
      </c>
      <c r="F1304" s="44" t="s">
        <v>1243</v>
      </c>
      <c r="G1304" s="25">
        <f t="shared" si="20"/>
        <v>5.5211058692650195E-3</v>
      </c>
    </row>
    <row r="1305" spans="1:7">
      <c r="A1305" s="44">
        <v>478.95832982807894</v>
      </c>
      <c r="B1305" s="44">
        <v>483.52327621943101</v>
      </c>
      <c r="C1305" s="44">
        <v>473.69602976264167</v>
      </c>
      <c r="D1305" s="44">
        <v>474.31919687565397</v>
      </c>
      <c r="E1305" s="44">
        <v>1099141.1223372302</v>
      </c>
      <c r="F1305" s="44" t="s">
        <v>1244</v>
      </c>
      <c r="G1305" s="25">
        <f t="shared" si="20"/>
        <v>9.7806139472806919E-3</v>
      </c>
    </row>
    <row r="1306" spans="1:7">
      <c r="A1306" s="44">
        <v>475.19954406705239</v>
      </c>
      <c r="B1306" s="44">
        <v>480.63563851622973</v>
      </c>
      <c r="C1306" s="44">
        <v>471.30722249609454</v>
      </c>
      <c r="D1306" s="44">
        <v>478.99789599398451</v>
      </c>
      <c r="E1306" s="44">
        <v>1326831.6198574316</v>
      </c>
      <c r="F1306" s="44" t="s">
        <v>1245</v>
      </c>
      <c r="G1306" s="25">
        <f t="shared" si="20"/>
        <v>-7.9297883324728202E-3</v>
      </c>
    </row>
    <row r="1307" spans="1:7">
      <c r="A1307" s="44">
        <v>477.12839465494761</v>
      </c>
      <c r="B1307" s="44">
        <v>484.68553234290636</v>
      </c>
      <c r="C1307" s="44">
        <v>476.64370912260472</v>
      </c>
      <c r="D1307" s="44">
        <v>482.41047780333764</v>
      </c>
      <c r="E1307" s="44">
        <v>1480619.5813831021</v>
      </c>
      <c r="F1307" s="44" t="s">
        <v>1246</v>
      </c>
      <c r="G1307" s="25">
        <f t="shared" si="20"/>
        <v>-1.0949354111133847E-2</v>
      </c>
    </row>
    <row r="1308" spans="1:7">
      <c r="A1308" s="44">
        <v>482.35112855447932</v>
      </c>
      <c r="B1308" s="44">
        <v>489.38401454418965</v>
      </c>
      <c r="C1308" s="44">
        <v>480.80804808416309</v>
      </c>
      <c r="D1308" s="44">
        <v>484.68553234290636</v>
      </c>
      <c r="E1308" s="44">
        <v>1695661.8986071709</v>
      </c>
      <c r="F1308" s="44" t="s">
        <v>1247</v>
      </c>
      <c r="G1308" s="25">
        <f t="shared" si="20"/>
        <v>-4.8163265306122582E-3</v>
      </c>
    </row>
    <row r="1309" spans="1:7">
      <c r="A1309" s="44">
        <v>487.57386245401108</v>
      </c>
      <c r="B1309" s="44">
        <v>493.58791967165365</v>
      </c>
      <c r="C1309" s="44">
        <v>485.58566261725753</v>
      </c>
      <c r="D1309" s="44">
        <v>492.67789785582613</v>
      </c>
      <c r="E1309" s="44">
        <v>2618917.3913735813</v>
      </c>
      <c r="F1309" s="44" t="s">
        <v>1248</v>
      </c>
      <c r="G1309" s="25">
        <f t="shared" si="20"/>
        <v>-1.0359781561194881E-2</v>
      </c>
    </row>
    <row r="1310" spans="1:7">
      <c r="A1310" s="44">
        <v>489.01802750956335</v>
      </c>
      <c r="B1310" s="44">
        <v>492.6531690021352</v>
      </c>
      <c r="C1310" s="44">
        <v>478.75060745707486</v>
      </c>
      <c r="D1310" s="44">
        <v>479.73976160471346</v>
      </c>
      <c r="E1310" s="44">
        <v>2406120.4269140963</v>
      </c>
      <c r="F1310" s="44" t="s">
        <v>1249</v>
      </c>
      <c r="G1310" s="25">
        <f t="shared" si="20"/>
        <v>1.9340206185566977E-2</v>
      </c>
    </row>
    <row r="1311" spans="1:7">
      <c r="A1311" s="44">
        <v>472.85524873714894</v>
      </c>
      <c r="B1311" s="44">
        <v>487.85082561534983</v>
      </c>
      <c r="C1311" s="44">
        <v>468.31503119948781</v>
      </c>
      <c r="D1311" s="44">
        <v>478.75060745707486</v>
      </c>
      <c r="E1311" s="44">
        <v>1763672.5318948152</v>
      </c>
      <c r="F1311" s="44" t="s">
        <v>1250</v>
      </c>
      <c r="G1311" s="25">
        <f t="shared" si="20"/>
        <v>-1.2314049586776732E-2</v>
      </c>
    </row>
    <row r="1312" spans="1:7">
      <c r="A1312" s="44">
        <v>479.59138848256771</v>
      </c>
      <c r="B1312" s="44">
        <v>482.41047780333764</v>
      </c>
      <c r="C1312" s="44">
        <v>472.86514027862529</v>
      </c>
      <c r="D1312" s="44">
        <v>473.3992835183501</v>
      </c>
      <c r="E1312" s="44">
        <v>1857511.2932462106</v>
      </c>
      <c r="F1312" s="44" t="s">
        <v>1251</v>
      </c>
      <c r="G1312" s="25">
        <f t="shared" si="20"/>
        <v>1.3080089429365671E-2</v>
      </c>
    </row>
    <row r="1313" spans="1:7">
      <c r="A1313" s="44">
        <v>470.81759119301347</v>
      </c>
      <c r="B1313" s="44">
        <v>475.9908673851632</v>
      </c>
      <c r="C1313" s="44">
        <v>469.41299230336665</v>
      </c>
      <c r="D1313" s="44">
        <v>472.94427261043637</v>
      </c>
      <c r="E1313" s="44">
        <v>1175870.3158417912</v>
      </c>
      <c r="F1313" s="44" t="s">
        <v>1252</v>
      </c>
      <c r="G1313" s="25">
        <f t="shared" si="20"/>
        <v>-4.4966850019867444E-3</v>
      </c>
    </row>
    <row r="1314" spans="1:7">
      <c r="A1314" s="44">
        <v>473.68613822116532</v>
      </c>
      <c r="B1314" s="44">
        <v>473.94331829955132</v>
      </c>
      <c r="C1314" s="44">
        <v>465.9410612451552</v>
      </c>
      <c r="D1314" s="44">
        <v>467.34566013480202</v>
      </c>
      <c r="E1314" s="44">
        <v>1160166.999996549</v>
      </c>
      <c r="F1314" s="44" t="s">
        <v>1253</v>
      </c>
      <c r="G1314" s="25">
        <f t="shared" si="20"/>
        <v>1.3566998962897037E-2</v>
      </c>
    </row>
    <row r="1315" spans="1:7">
      <c r="A1315" s="44">
        <v>466.39607215306893</v>
      </c>
      <c r="B1315" s="44">
        <v>470.62965190496209</v>
      </c>
      <c r="C1315" s="44">
        <v>464.6947270191306</v>
      </c>
      <c r="D1315" s="44">
        <v>466.73238456326607</v>
      </c>
      <c r="E1315" s="44">
        <v>1354107.4494785371</v>
      </c>
      <c r="F1315" s="44" t="s">
        <v>1254</v>
      </c>
      <c r="G1315" s="25">
        <f t="shared" si="20"/>
        <v>-7.2056797711139708E-4</v>
      </c>
    </row>
    <row r="1316" spans="1:7">
      <c r="A1316" s="44">
        <v>461.32171137568304</v>
      </c>
      <c r="B1316" s="44">
        <v>465.7135557911983</v>
      </c>
      <c r="C1316" s="44">
        <v>457.43433557546336</v>
      </c>
      <c r="D1316" s="44">
        <v>461.93498694721893</v>
      </c>
      <c r="E1316" s="44">
        <v>1821577.5612946693</v>
      </c>
      <c r="F1316" s="44" t="s">
        <v>1255</v>
      </c>
      <c r="G1316" s="25">
        <f t="shared" si="20"/>
        <v>-1.3276231263382732E-3</v>
      </c>
    </row>
    <row r="1317" spans="1:7">
      <c r="A1317" s="44">
        <v>463.65611516411008</v>
      </c>
      <c r="B1317" s="44">
        <v>467.86991183305042</v>
      </c>
      <c r="C1317" s="44">
        <v>458.56197130377132</v>
      </c>
      <c r="D1317" s="44">
        <v>462.87468338747556</v>
      </c>
      <c r="E1317" s="44">
        <v>1163320.1991288036</v>
      </c>
      <c r="F1317" s="44" t="s">
        <v>1256</v>
      </c>
      <c r="G1317" s="25">
        <f t="shared" si="20"/>
        <v>1.6882145528369641E-3</v>
      </c>
    </row>
    <row r="1318" spans="1:7">
      <c r="A1318" s="44">
        <v>460.34244876952079</v>
      </c>
      <c r="B1318" s="44">
        <v>462.38010631365631</v>
      </c>
      <c r="C1318" s="44">
        <v>455.23841336770573</v>
      </c>
      <c r="D1318" s="44">
        <v>455.23841336770573</v>
      </c>
      <c r="E1318" s="44">
        <v>1526470.8777743408</v>
      </c>
      <c r="F1318" s="44" t="s">
        <v>1257</v>
      </c>
      <c r="G1318" s="25">
        <f t="shared" si="20"/>
        <v>1.1211785411641806E-2</v>
      </c>
    </row>
    <row r="1319" spans="1:7">
      <c r="A1319" s="44">
        <v>451.35103756748612</v>
      </c>
      <c r="B1319" s="44">
        <v>457.10791470674263</v>
      </c>
      <c r="C1319" s="44">
        <v>451.14331519648198</v>
      </c>
      <c r="D1319" s="44">
        <v>456.24735059829709</v>
      </c>
      <c r="E1319" s="44">
        <v>1004143.7953540414</v>
      </c>
      <c r="F1319" s="44" t="s">
        <v>1258</v>
      </c>
      <c r="G1319" s="25">
        <f t="shared" si="20"/>
        <v>-1.073170731707318E-2</v>
      </c>
    </row>
    <row r="1320" spans="1:7">
      <c r="A1320" s="44">
        <v>451.43016989929714</v>
      </c>
      <c r="B1320" s="44">
        <v>455.84179739776522</v>
      </c>
      <c r="C1320" s="44">
        <v>448.08682888027874</v>
      </c>
      <c r="D1320" s="44">
        <v>451.13342365500557</v>
      </c>
      <c r="E1320" s="44">
        <v>1580755.6423160343</v>
      </c>
      <c r="F1320" s="44" t="s">
        <v>1259</v>
      </c>
      <c r="G1320" s="25">
        <f t="shared" si="20"/>
        <v>6.577793369584306E-4</v>
      </c>
    </row>
    <row r="1321" spans="1:7">
      <c r="A1321" s="44">
        <v>446.57342303439174</v>
      </c>
      <c r="B1321" s="44">
        <v>453.37880357014518</v>
      </c>
      <c r="C1321" s="44">
        <v>445.84144896513919</v>
      </c>
      <c r="D1321" s="44">
        <v>450.09481179998505</v>
      </c>
      <c r="E1321" s="44">
        <v>1464164.1077454914</v>
      </c>
      <c r="F1321" s="44" t="s">
        <v>1260</v>
      </c>
      <c r="G1321" s="25">
        <f t="shared" si="20"/>
        <v>-7.8236599784629046E-3</v>
      </c>
    </row>
    <row r="1322" spans="1:7">
      <c r="A1322" s="44">
        <v>453.59641748262567</v>
      </c>
      <c r="B1322" s="44">
        <v>455.95060435400546</v>
      </c>
      <c r="C1322" s="44">
        <v>445.34687189131989</v>
      </c>
      <c r="D1322" s="44">
        <v>451.53897685553744</v>
      </c>
      <c r="E1322" s="44">
        <v>1948255.4914222832</v>
      </c>
      <c r="F1322" s="44" t="s">
        <v>1261</v>
      </c>
      <c r="G1322" s="25">
        <f t="shared" si="20"/>
        <v>4.5565072619333513E-3</v>
      </c>
    </row>
    <row r="1323" spans="1:7">
      <c r="A1323" s="44">
        <v>455.07025716260716</v>
      </c>
      <c r="B1323" s="44">
        <v>455.63407502676114</v>
      </c>
      <c r="C1323" s="44">
        <v>437.46331333464036</v>
      </c>
      <c r="D1323" s="44">
        <v>439.77793404011464</v>
      </c>
      <c r="E1323" s="44">
        <v>1770092.1582140895</v>
      </c>
      <c r="F1323" s="44" t="s">
        <v>1262</v>
      </c>
      <c r="G1323" s="25">
        <f t="shared" si="20"/>
        <v>3.4772829509671643E-2</v>
      </c>
    </row>
    <row r="1324" spans="1:7">
      <c r="A1324" s="44">
        <v>437.49298795906952</v>
      </c>
      <c r="B1324" s="44">
        <v>439.96587332816597</v>
      </c>
      <c r="C1324" s="44">
        <v>429.91606718815797</v>
      </c>
      <c r="D1324" s="44">
        <v>439.96587332816597</v>
      </c>
      <c r="E1324" s="44">
        <v>1699139.6174321007</v>
      </c>
      <c r="F1324" s="44" t="s">
        <v>1263</v>
      </c>
      <c r="G1324" s="25">
        <f t="shared" si="20"/>
        <v>-5.6206299602059584E-3</v>
      </c>
    </row>
    <row r="1325" spans="1:7">
      <c r="A1325" s="44">
        <v>440.53958273379635</v>
      </c>
      <c r="B1325" s="44">
        <v>449.79806555569354</v>
      </c>
      <c r="C1325" s="44">
        <v>440.1637041576937</v>
      </c>
      <c r="D1325" s="44">
        <v>445.59416042822954</v>
      </c>
      <c r="E1325" s="44">
        <v>1564726.7958133423</v>
      </c>
      <c r="F1325" s="44" t="s">
        <v>1264</v>
      </c>
      <c r="G1325" s="25">
        <f t="shared" si="20"/>
        <v>-1.1343455869295083E-2</v>
      </c>
    </row>
    <row r="1326" spans="1:7">
      <c r="A1326" s="44">
        <v>447.10756627411655</v>
      </c>
      <c r="B1326" s="44">
        <v>453.16118965766469</v>
      </c>
      <c r="C1326" s="44">
        <v>445.6139435111823</v>
      </c>
      <c r="D1326" s="44">
        <v>449.18478998415759</v>
      </c>
      <c r="E1326" s="44">
        <v>1169044.281683092</v>
      </c>
      <c r="F1326" s="44" t="s">
        <v>1265</v>
      </c>
      <c r="G1326" s="25">
        <f t="shared" si="20"/>
        <v>-4.62443020413561E-3</v>
      </c>
    </row>
    <row r="1327" spans="1:7">
      <c r="A1327" s="44">
        <v>449.72882476535881</v>
      </c>
      <c r="B1327" s="44">
        <v>451.44006144077355</v>
      </c>
      <c r="C1327" s="44">
        <v>438.2942028186568</v>
      </c>
      <c r="D1327" s="44">
        <v>440.18348724064646</v>
      </c>
      <c r="E1327" s="44">
        <v>1447497.3424699707</v>
      </c>
      <c r="F1327" s="44" t="s">
        <v>1266</v>
      </c>
      <c r="G1327" s="25">
        <f t="shared" si="20"/>
        <v>2.1684905957169542E-2</v>
      </c>
    </row>
    <row r="1328" spans="1:7">
      <c r="A1328" s="44">
        <v>440.18348724064646</v>
      </c>
      <c r="B1328" s="44">
        <v>445.50019078420382</v>
      </c>
      <c r="C1328" s="44">
        <v>439.94609024521321</v>
      </c>
      <c r="D1328" s="44">
        <v>442.31016865806947</v>
      </c>
      <c r="E1328" s="44">
        <v>2722659.5636578291</v>
      </c>
      <c r="F1328" s="44" t="s">
        <v>1267</v>
      </c>
      <c r="G1328" s="25">
        <f t="shared" si="20"/>
        <v>-4.8081223723053235E-3</v>
      </c>
    </row>
    <row r="1329" spans="1:7">
      <c r="A1329" s="44">
        <v>440.915461309899</v>
      </c>
      <c r="B1329" s="44">
        <v>448.6011890370508</v>
      </c>
      <c r="C1329" s="44">
        <v>433.57593753442069</v>
      </c>
      <c r="D1329" s="44">
        <v>436.1873044841866</v>
      </c>
      <c r="E1329" s="44">
        <v>2150174.4749061158</v>
      </c>
      <c r="F1329" s="44" t="s">
        <v>1268</v>
      </c>
      <c r="G1329" s="25">
        <f t="shared" si="20"/>
        <v>1.0839739664829651E-2</v>
      </c>
    </row>
    <row r="1330" spans="1:7">
      <c r="A1330" s="44">
        <v>437.80951728631385</v>
      </c>
      <c r="B1330" s="44">
        <v>441.06383443204476</v>
      </c>
      <c r="C1330" s="44">
        <v>435.43554733198124</v>
      </c>
      <c r="D1330" s="44">
        <v>438.00734811584158</v>
      </c>
      <c r="E1330" s="44">
        <v>1896857.0313123264</v>
      </c>
      <c r="F1330" s="44" t="s">
        <v>1269</v>
      </c>
      <c r="G1330" s="25">
        <f t="shared" si="20"/>
        <v>-4.5166098326598902E-4</v>
      </c>
    </row>
    <row r="1331" spans="1:7">
      <c r="A1331" s="44">
        <v>441.58808613029328</v>
      </c>
      <c r="B1331" s="44">
        <v>450.77732816185573</v>
      </c>
      <c r="C1331" s="44">
        <v>437.2061332562543</v>
      </c>
      <c r="D1331" s="44">
        <v>450.35199187837111</v>
      </c>
      <c r="E1331" s="44">
        <v>2428777.1584796486</v>
      </c>
      <c r="F1331" s="44" t="s">
        <v>1270</v>
      </c>
      <c r="G1331" s="25">
        <f t="shared" si="20"/>
        <v>-1.9460124316369676E-2</v>
      </c>
    </row>
    <row r="1332" spans="1:7">
      <c r="A1332" s="44">
        <v>447.90878113370383</v>
      </c>
      <c r="B1332" s="44">
        <v>450.24813069286904</v>
      </c>
      <c r="C1332" s="44">
        <v>440.915461309899</v>
      </c>
      <c r="D1332" s="44">
        <v>442.56734873645547</v>
      </c>
      <c r="E1332" s="44">
        <v>1720505.3469803752</v>
      </c>
      <c r="F1332" s="44" t="s">
        <v>1271</v>
      </c>
      <c r="G1332" s="25">
        <f t="shared" si="20"/>
        <v>1.2069196727906739E-2</v>
      </c>
    </row>
    <row r="1333" spans="1:7">
      <c r="A1333" s="44">
        <v>445.34687189131989</v>
      </c>
      <c r="B1333" s="44">
        <v>451.90117889178481</v>
      </c>
      <c r="C1333" s="44">
        <v>442.39100794993374</v>
      </c>
      <c r="D1333" s="44">
        <v>449.78561071968909</v>
      </c>
      <c r="E1333" s="44">
        <v>1595580.3289742379</v>
      </c>
      <c r="F1333" s="44" t="s">
        <v>1272</v>
      </c>
      <c r="G1333" s="25">
        <f t="shared" si="20"/>
        <v>-9.8685656512375042E-3</v>
      </c>
    </row>
    <row r="1334" spans="1:7">
      <c r="A1334" s="44">
        <v>455.26236196894632</v>
      </c>
      <c r="B1334" s="44">
        <v>457.9414225980957</v>
      </c>
      <c r="C1334" s="44">
        <v>442.89518541150795</v>
      </c>
      <c r="D1334" s="44">
        <v>444.86246609490541</v>
      </c>
      <c r="E1334" s="44">
        <v>2647317.743701837</v>
      </c>
      <c r="F1334" s="44" t="s">
        <v>1273</v>
      </c>
      <c r="G1334" s="25">
        <f t="shared" si="20"/>
        <v>2.337777777777772E-2</v>
      </c>
    </row>
    <row r="1335" spans="1:7">
      <c r="A1335" s="44">
        <v>436.05418926622627</v>
      </c>
      <c r="B1335" s="44">
        <v>454.53081035803467</v>
      </c>
      <c r="C1335" s="44">
        <v>435.69829929335037</v>
      </c>
      <c r="D1335" s="44">
        <v>451.48597392342958</v>
      </c>
      <c r="E1335" s="44">
        <v>2791695.0623005652</v>
      </c>
      <c r="F1335" s="44" t="s">
        <v>1274</v>
      </c>
      <c r="G1335" s="25">
        <f t="shared" si="20"/>
        <v>-3.417998686227286E-2</v>
      </c>
    </row>
    <row r="1336" spans="1:7">
      <c r="A1336" s="44">
        <v>442.99404373730687</v>
      </c>
      <c r="B1336" s="44">
        <v>455.7961969282602</v>
      </c>
      <c r="C1336" s="44">
        <v>442.60849626669125</v>
      </c>
      <c r="D1336" s="44">
        <v>444.86246609490541</v>
      </c>
      <c r="E1336" s="44">
        <v>2896375.1680617584</v>
      </c>
      <c r="F1336" s="44" t="s">
        <v>1275</v>
      </c>
      <c r="G1336" s="25">
        <f t="shared" si="20"/>
        <v>-4.1999999999998705E-3</v>
      </c>
    </row>
    <row r="1337" spans="1:7">
      <c r="A1337" s="44">
        <v>434.82834602632039</v>
      </c>
      <c r="B1337" s="44">
        <v>448.90577162007912</v>
      </c>
      <c r="C1337" s="44">
        <v>434.43291272312484</v>
      </c>
      <c r="D1337" s="44">
        <v>440.52258559233513</v>
      </c>
      <c r="E1337" s="44">
        <v>1590325.3340529508</v>
      </c>
      <c r="F1337" s="44" t="s">
        <v>1276</v>
      </c>
      <c r="G1337" s="25">
        <f t="shared" si="20"/>
        <v>-1.2926101299342352E-2</v>
      </c>
    </row>
    <row r="1338" spans="1:7">
      <c r="A1338" s="44">
        <v>441.76820049740087</v>
      </c>
      <c r="B1338" s="44">
        <v>443.72559534821846</v>
      </c>
      <c r="C1338" s="44">
        <v>428.57061400325199</v>
      </c>
      <c r="D1338" s="44">
        <v>439.91954980496206</v>
      </c>
      <c r="E1338" s="44">
        <v>2780948.3700881</v>
      </c>
      <c r="F1338" s="44" t="s">
        <v>1277</v>
      </c>
      <c r="G1338" s="25">
        <f t="shared" si="20"/>
        <v>4.2022471910112547E-3</v>
      </c>
    </row>
    <row r="1339" spans="1:7">
      <c r="A1339" s="44">
        <v>436.4199650716821</v>
      </c>
      <c r="B1339" s="44">
        <v>446.77043178282361</v>
      </c>
      <c r="C1339" s="44">
        <v>433.98805025702995</v>
      </c>
      <c r="D1339" s="44">
        <v>440.98721972358982</v>
      </c>
      <c r="E1339" s="44">
        <v>2537844.9207246555</v>
      </c>
      <c r="F1339" s="44" t="s">
        <v>1278</v>
      </c>
      <c r="G1339" s="25">
        <f t="shared" si="20"/>
        <v>-1.0356886657101882E-2</v>
      </c>
    </row>
    <row r="1340" spans="1:7">
      <c r="A1340" s="44">
        <v>445.81150602257452</v>
      </c>
      <c r="B1340" s="44">
        <v>459.69121496473559</v>
      </c>
      <c r="C1340" s="44">
        <v>445.55447437549748</v>
      </c>
      <c r="D1340" s="44">
        <v>456.94295350752714</v>
      </c>
      <c r="E1340" s="44">
        <v>2024248.3208459485</v>
      </c>
      <c r="F1340" s="44" t="s">
        <v>1279</v>
      </c>
      <c r="G1340" s="25">
        <f t="shared" si="20"/>
        <v>-2.4360694041798525E-2</v>
      </c>
    </row>
    <row r="1341" spans="1:7">
      <c r="A1341" s="44">
        <v>456.83420934914835</v>
      </c>
      <c r="B1341" s="44">
        <v>461.97484229068948</v>
      </c>
      <c r="C1341" s="44">
        <v>452.84527590316401</v>
      </c>
      <c r="D1341" s="44">
        <v>454.74829867479224</v>
      </c>
      <c r="E1341" s="44">
        <v>1738597.1147203902</v>
      </c>
      <c r="F1341" s="44" t="s">
        <v>1280</v>
      </c>
      <c r="G1341" s="25">
        <f t="shared" si="20"/>
        <v>4.5869565217391273E-3</v>
      </c>
    </row>
    <row r="1342" spans="1:7">
      <c r="A1342" s="44">
        <v>454.31332204127722</v>
      </c>
      <c r="B1342" s="44">
        <v>455.34144862958544</v>
      </c>
      <c r="C1342" s="44">
        <v>448.75748413138081</v>
      </c>
      <c r="D1342" s="44">
        <v>449.00462994587798</v>
      </c>
      <c r="E1342" s="44">
        <v>1326561.0047535503</v>
      </c>
      <c r="F1342" s="44" t="s">
        <v>1281</v>
      </c>
      <c r="G1342" s="25">
        <f t="shared" si="20"/>
        <v>1.1823245778198599E-2</v>
      </c>
    </row>
    <row r="1343" spans="1:7">
      <c r="A1343" s="44">
        <v>444.94155275554454</v>
      </c>
      <c r="B1343" s="44">
        <v>450.70499314961853</v>
      </c>
      <c r="C1343" s="44">
        <v>443.70582368305867</v>
      </c>
      <c r="D1343" s="44">
        <v>449.52857907261205</v>
      </c>
      <c r="E1343" s="44">
        <v>2177940.990403316</v>
      </c>
      <c r="F1343" s="44" t="s">
        <v>1282</v>
      </c>
      <c r="G1343" s="25">
        <f t="shared" si="20"/>
        <v>-1.0204081632653184E-2</v>
      </c>
    </row>
    <row r="1344" spans="1:7">
      <c r="A1344" s="44">
        <v>446.31568348414879</v>
      </c>
      <c r="B1344" s="44">
        <v>452.77113215881485</v>
      </c>
      <c r="C1344" s="44">
        <v>443.41913453824196</v>
      </c>
      <c r="D1344" s="44">
        <v>452.52398634431768</v>
      </c>
      <c r="E1344" s="44">
        <v>2173047.1183284004</v>
      </c>
      <c r="F1344" s="44" t="s">
        <v>1283</v>
      </c>
      <c r="G1344" s="25">
        <f t="shared" si="20"/>
        <v>-1.3719279082468505E-2</v>
      </c>
    </row>
    <row r="1345" spans="1:7">
      <c r="A1345" s="44">
        <v>451.44643059311005</v>
      </c>
      <c r="B1345" s="44">
        <v>467.95577100152099</v>
      </c>
      <c r="C1345" s="44">
        <v>449.40500616536343</v>
      </c>
      <c r="D1345" s="44">
        <v>465.45465535880959</v>
      </c>
      <c r="E1345" s="44">
        <v>2454890.8555639251</v>
      </c>
      <c r="F1345" s="44" t="s">
        <v>1284</v>
      </c>
      <c r="G1345" s="25">
        <f t="shared" si="20"/>
        <v>-3.0095788288766578E-2</v>
      </c>
    </row>
    <row r="1346" spans="1:7">
      <c r="A1346" s="44">
        <v>453.5718845977857</v>
      </c>
      <c r="B1346" s="44">
        <v>456.1224294033965</v>
      </c>
      <c r="C1346" s="44">
        <v>447.8776450317709</v>
      </c>
      <c r="D1346" s="44">
        <v>455.61825194182228</v>
      </c>
      <c r="E1346" s="44">
        <v>2079173.3861464392</v>
      </c>
      <c r="F1346" s="44" t="s">
        <v>1285</v>
      </c>
      <c r="G1346" s="25">
        <f t="shared" si="20"/>
        <v>-4.4914077417115283E-3</v>
      </c>
    </row>
    <row r="1347" spans="1:7">
      <c r="A1347" s="44">
        <v>457.99085176099504</v>
      </c>
      <c r="B1347" s="44">
        <v>470.81277661710823</v>
      </c>
      <c r="C1347" s="44">
        <v>456.48820520885226</v>
      </c>
      <c r="D1347" s="44">
        <v>469.34967339528498</v>
      </c>
      <c r="E1347" s="44">
        <v>2151923.9606871456</v>
      </c>
      <c r="F1347" s="44" t="s">
        <v>1286</v>
      </c>
      <c r="G1347" s="25">
        <f t="shared" si="20"/>
        <v>-2.4201192156201978E-2</v>
      </c>
    </row>
    <row r="1348" spans="1:7">
      <c r="A1348" s="44">
        <v>473.39297892045869</v>
      </c>
      <c r="B1348" s="44">
        <v>484.30693808865368</v>
      </c>
      <c r="C1348" s="44">
        <v>472.60211231406777</v>
      </c>
      <c r="D1348" s="44">
        <v>483.55561481258229</v>
      </c>
      <c r="E1348" s="44">
        <v>1940103.6629956407</v>
      </c>
      <c r="F1348" s="44" t="s">
        <v>1287</v>
      </c>
      <c r="G1348" s="25">
        <f t="shared" si="20"/>
        <v>-2.1016477899987729E-2</v>
      </c>
    </row>
    <row r="1349" spans="1:7">
      <c r="A1349" s="44">
        <v>483.21949650486619</v>
      </c>
      <c r="B1349" s="44">
        <v>493.84676652824447</v>
      </c>
      <c r="C1349" s="44">
        <v>482.7548623736115</v>
      </c>
      <c r="D1349" s="44">
        <v>492.16617498966372</v>
      </c>
      <c r="E1349" s="44">
        <v>1485114.1652823878</v>
      </c>
      <c r="F1349" s="44" t="s">
        <v>1288</v>
      </c>
      <c r="G1349" s="25">
        <f t="shared" si="20"/>
        <v>-1.8178166114291461E-2</v>
      </c>
    </row>
    <row r="1350" spans="1:7">
      <c r="A1350" s="44">
        <v>492.76921077703679</v>
      </c>
      <c r="B1350" s="44">
        <v>499.78815190875645</v>
      </c>
      <c r="C1350" s="44">
        <v>488.44910193962625</v>
      </c>
      <c r="D1350" s="44">
        <v>491.89925751000675</v>
      </c>
      <c r="E1350" s="44">
        <v>1018402.8425166083</v>
      </c>
      <c r="F1350" s="44" t="s">
        <v>1289</v>
      </c>
      <c r="G1350" s="25">
        <f t="shared" ref="G1350:G1413" si="21">A1350/D1350-1</f>
        <v>1.7685598295751337E-3</v>
      </c>
    </row>
    <row r="1351" spans="1:7">
      <c r="A1351" s="44">
        <v>494.37071565497843</v>
      </c>
      <c r="B1351" s="44">
        <v>507.74624713556528</v>
      </c>
      <c r="C1351" s="44">
        <v>492.6308091209184</v>
      </c>
      <c r="D1351" s="44">
        <v>504.17746157422619</v>
      </c>
      <c r="E1351" s="44">
        <v>1484301.8917651994</v>
      </c>
      <c r="F1351" s="44" t="s">
        <v>1290</v>
      </c>
      <c r="G1351" s="25">
        <f t="shared" si="21"/>
        <v>-1.945098039215698E-2</v>
      </c>
    </row>
    <row r="1352" spans="1:7">
      <c r="A1352" s="44">
        <v>502.03223590439069</v>
      </c>
      <c r="B1352" s="44">
        <v>505.44284814445166</v>
      </c>
      <c r="C1352" s="44">
        <v>488.10309779933027</v>
      </c>
      <c r="D1352" s="44">
        <v>488.5183027676855</v>
      </c>
      <c r="E1352" s="44">
        <v>1783144.7030435018</v>
      </c>
      <c r="F1352" s="44" t="s">
        <v>1291</v>
      </c>
      <c r="G1352" s="25">
        <f t="shared" si="21"/>
        <v>2.7663105067184723E-2</v>
      </c>
    </row>
    <row r="1353" spans="1:7">
      <c r="A1353" s="44">
        <v>488.40955860930677</v>
      </c>
      <c r="B1353" s="44">
        <v>488.8741927405614</v>
      </c>
      <c r="C1353" s="44">
        <v>478.5731551923194</v>
      </c>
      <c r="D1353" s="44">
        <v>482.59668905233332</v>
      </c>
      <c r="E1353" s="44">
        <v>1039054.6185152605</v>
      </c>
      <c r="F1353" s="44" t="s">
        <v>1292</v>
      </c>
      <c r="G1353" s="25">
        <f t="shared" si="21"/>
        <v>1.2044984329229624E-2</v>
      </c>
    </row>
    <row r="1354" spans="1:7">
      <c r="A1354" s="44">
        <v>479.34425013355053</v>
      </c>
      <c r="B1354" s="44">
        <v>488.59738942832462</v>
      </c>
      <c r="C1354" s="44">
        <v>478.28646604750264</v>
      </c>
      <c r="D1354" s="44">
        <v>488.59738942832462</v>
      </c>
      <c r="E1354" s="44">
        <v>1697194.4309613367</v>
      </c>
      <c r="F1354" s="44" t="s">
        <v>1293</v>
      </c>
      <c r="G1354" s="25">
        <f t="shared" si="21"/>
        <v>-1.8938167691809782E-2</v>
      </c>
    </row>
    <row r="1355" spans="1:7">
      <c r="A1355" s="44">
        <v>483.71378813386053</v>
      </c>
      <c r="B1355" s="44">
        <v>494.28174316175949</v>
      </c>
      <c r="C1355" s="44">
        <v>482.72678660908463</v>
      </c>
      <c r="D1355" s="44">
        <v>489.63540184921271</v>
      </c>
      <c r="E1355" s="44">
        <v>1469307.7070263659</v>
      </c>
      <c r="F1355" s="44" t="s">
        <v>1294</v>
      </c>
      <c r="G1355" s="25">
        <f t="shared" si="21"/>
        <v>-1.2093924771346076E-2</v>
      </c>
    </row>
    <row r="1356" spans="1:7">
      <c r="A1356" s="44">
        <v>490.10003598046734</v>
      </c>
      <c r="B1356" s="44">
        <v>496.41708299901501</v>
      </c>
      <c r="C1356" s="44">
        <v>487.60880617033592</v>
      </c>
      <c r="D1356" s="44">
        <v>491.32587922037334</v>
      </c>
      <c r="E1356" s="44">
        <v>1435269.0969972394</v>
      </c>
      <c r="F1356" s="44" t="s">
        <v>1295</v>
      </c>
      <c r="G1356" s="25">
        <f t="shared" si="21"/>
        <v>-2.4949698189135061E-3</v>
      </c>
    </row>
    <row r="1357" spans="1:7">
      <c r="A1357" s="44">
        <v>486.9365695549036</v>
      </c>
      <c r="B1357" s="44">
        <v>488.72590525186314</v>
      </c>
      <c r="C1357" s="44">
        <v>481.4993616359659</v>
      </c>
      <c r="D1357" s="44">
        <v>485.91832879917524</v>
      </c>
      <c r="E1357" s="44">
        <v>1698208.0026477911</v>
      </c>
      <c r="F1357" s="44" t="s">
        <v>1296</v>
      </c>
      <c r="G1357" s="25">
        <f t="shared" si="21"/>
        <v>2.0954977315728041E-3</v>
      </c>
    </row>
    <row r="1358" spans="1:7">
      <c r="A1358" s="44">
        <v>483.37766982614431</v>
      </c>
      <c r="B1358" s="44">
        <v>497.30680793120484</v>
      </c>
      <c r="C1358" s="44">
        <v>482.0925115907591</v>
      </c>
      <c r="D1358" s="44">
        <v>494.50911731109693</v>
      </c>
      <c r="E1358" s="44">
        <v>2955601.3379638493</v>
      </c>
      <c r="F1358" s="44" t="s">
        <v>1297</v>
      </c>
      <c r="G1358" s="25">
        <f t="shared" si="21"/>
        <v>-2.251009555795469E-2</v>
      </c>
    </row>
    <row r="1359" spans="1:7">
      <c r="A1359" s="44">
        <v>494.50911731109693</v>
      </c>
      <c r="B1359" s="44">
        <v>513.64156453625492</v>
      </c>
      <c r="C1359" s="44">
        <v>493.5996207137473</v>
      </c>
      <c r="D1359" s="44">
        <v>512.87699424452649</v>
      </c>
      <c r="E1359" s="44">
        <v>1724883.5504955798</v>
      </c>
      <c r="F1359" s="44" t="s">
        <v>1298</v>
      </c>
      <c r="G1359" s="25">
        <f t="shared" si="21"/>
        <v>-3.5813415574402319E-2</v>
      </c>
    </row>
    <row r="1360" spans="1:7">
      <c r="A1360" s="44">
        <v>512.61007676486952</v>
      </c>
      <c r="B1360" s="44">
        <v>519.72787622238809</v>
      </c>
      <c r="C1360" s="44">
        <v>512.09601347071543</v>
      </c>
      <c r="D1360" s="44">
        <v>514.05340832153308</v>
      </c>
      <c r="E1360" s="44">
        <v>1519637.3070857774</v>
      </c>
      <c r="F1360" s="44" t="s">
        <v>1299</v>
      </c>
      <c r="G1360" s="25">
        <f t="shared" si="21"/>
        <v>-2.8077463028136629E-3</v>
      </c>
    </row>
    <row r="1361" spans="1:7">
      <c r="A1361" s="44">
        <v>509.58501199542428</v>
      </c>
      <c r="B1361" s="44">
        <v>520.58280302389664</v>
      </c>
      <c r="C1361" s="44">
        <v>506.15462809020352</v>
      </c>
      <c r="D1361" s="44">
        <v>510.93937105886874</v>
      </c>
      <c r="E1361" s="44">
        <v>2107121.4621195369</v>
      </c>
      <c r="F1361" s="44" t="s">
        <v>1300</v>
      </c>
      <c r="G1361" s="25">
        <f t="shared" si="21"/>
        <v>-2.6507236282020674E-3</v>
      </c>
    </row>
    <row r="1362" spans="1:7">
      <c r="A1362" s="44">
        <v>503.88088659682955</v>
      </c>
      <c r="B1362" s="44">
        <v>507.81544796362442</v>
      </c>
      <c r="C1362" s="44">
        <v>485.02860386698546</v>
      </c>
      <c r="D1362" s="44">
        <v>488.39967277672685</v>
      </c>
      <c r="E1362" s="44">
        <v>2616219.7054217351</v>
      </c>
      <c r="F1362" s="44" t="s">
        <v>1301</v>
      </c>
      <c r="G1362" s="25">
        <f t="shared" si="21"/>
        <v>3.169783823172212E-2</v>
      </c>
    </row>
    <row r="1363" spans="1:7">
      <c r="A1363" s="44">
        <v>490.81181592621925</v>
      </c>
      <c r="B1363" s="44">
        <v>497.59349707602155</v>
      </c>
      <c r="C1363" s="44">
        <v>484.06967810673643</v>
      </c>
      <c r="D1363" s="44">
        <v>485.72061214757753</v>
      </c>
      <c r="E1363" s="44">
        <v>1638538.7744635975</v>
      </c>
      <c r="F1363" s="44" t="s">
        <v>1302</v>
      </c>
      <c r="G1363" s="25">
        <f t="shared" si="21"/>
        <v>1.0481753607554989E-2</v>
      </c>
    </row>
    <row r="1364" spans="1:7">
      <c r="A1364" s="44">
        <v>476.97165031437771</v>
      </c>
      <c r="B1364" s="44">
        <v>495.28021225232806</v>
      </c>
      <c r="C1364" s="44">
        <v>473.70932556301511</v>
      </c>
      <c r="D1364" s="44">
        <v>494.50911731109693</v>
      </c>
      <c r="E1364" s="44">
        <v>2533873.580963159</v>
      </c>
      <c r="F1364" s="44" t="s">
        <v>1303</v>
      </c>
      <c r="G1364" s="25">
        <f t="shared" si="21"/>
        <v>-3.5464395665907089E-2</v>
      </c>
    </row>
    <row r="1365" spans="1:7">
      <c r="A1365" s="44">
        <v>502.03223590439069</v>
      </c>
      <c r="B1365" s="44">
        <v>512.23935804312384</v>
      </c>
      <c r="C1365" s="44">
        <v>501.40942845185782</v>
      </c>
      <c r="D1365" s="44">
        <v>510.31656360633588</v>
      </c>
      <c r="E1365" s="44">
        <v>1017914.2645479882</v>
      </c>
      <c r="F1365" s="44" t="s">
        <v>1304</v>
      </c>
      <c r="G1365" s="25">
        <f t="shared" si="21"/>
        <v>-1.6233703337788952E-2</v>
      </c>
    </row>
    <row r="1366" spans="1:7">
      <c r="A1366" s="44">
        <v>512.90665174226626</v>
      </c>
      <c r="B1366" s="44">
        <v>516.04046067009028</v>
      </c>
      <c r="C1366" s="44">
        <v>509.73329948412254</v>
      </c>
      <c r="D1366" s="44">
        <v>512.61007676486952</v>
      </c>
      <c r="E1366" s="44">
        <v>1527140.9745210242</v>
      </c>
      <c r="F1366" s="44" t="s">
        <v>1305</v>
      </c>
      <c r="G1366" s="25">
        <f t="shared" si="21"/>
        <v>5.7855861763078664E-4</v>
      </c>
    </row>
    <row r="1367" spans="1:7">
      <c r="A1367" s="44">
        <v>508.72494456097411</v>
      </c>
      <c r="B1367" s="44">
        <v>511.20628853852565</v>
      </c>
      <c r="C1367" s="44">
        <v>504.18734740680605</v>
      </c>
      <c r="D1367" s="44">
        <v>505.86793894538675</v>
      </c>
      <c r="E1367" s="44">
        <v>1958921.5014019359</v>
      </c>
      <c r="F1367" s="44" t="s">
        <v>1306</v>
      </c>
      <c r="G1367" s="25">
        <f t="shared" si="21"/>
        <v>5.6477301596609131E-3</v>
      </c>
    </row>
    <row r="1368" spans="1:7">
      <c r="A1368" s="44">
        <v>506.51051806307947</v>
      </c>
      <c r="B1368" s="44">
        <v>514.0632941541129</v>
      </c>
      <c r="C1368" s="44">
        <v>506.16451392278339</v>
      </c>
      <c r="D1368" s="44">
        <v>509.91124447056046</v>
      </c>
      <c r="E1368" s="44">
        <v>1531885.1374047273</v>
      </c>
      <c r="F1368" s="44" t="s">
        <v>1307</v>
      </c>
      <c r="G1368" s="25">
        <f t="shared" si="21"/>
        <v>-6.6692516479254227E-3</v>
      </c>
    </row>
    <row r="1369" spans="1:7">
      <c r="A1369" s="44">
        <v>509.95078780088005</v>
      </c>
      <c r="B1369" s="44">
        <v>513.8260341721957</v>
      </c>
      <c r="C1369" s="44">
        <v>503.59419745201285</v>
      </c>
      <c r="D1369" s="44">
        <v>503.84134326651002</v>
      </c>
      <c r="E1369" s="44">
        <v>1271629.870161524</v>
      </c>
      <c r="F1369" s="44" t="s">
        <v>1308</v>
      </c>
      <c r="G1369" s="25">
        <f t="shared" si="21"/>
        <v>1.2125730879409824E-2</v>
      </c>
    </row>
    <row r="1370" spans="1:7">
      <c r="A1370" s="44">
        <v>501.5873734382958</v>
      </c>
      <c r="B1370" s="44">
        <v>508.09719419215128</v>
      </c>
      <c r="C1370" s="44">
        <v>497.35969713550725</v>
      </c>
      <c r="D1370" s="44">
        <v>504.17746157422619</v>
      </c>
      <c r="E1370" s="44">
        <v>1778987.2383415787</v>
      </c>
      <c r="F1370" s="44" t="s">
        <v>1309</v>
      </c>
      <c r="G1370" s="25">
        <f t="shared" si="21"/>
        <v>-5.1372549019609304E-3</v>
      </c>
    </row>
    <row r="1371" spans="1:7">
      <c r="A1371" s="44">
        <v>497.39578042442383</v>
      </c>
      <c r="B1371" s="44">
        <v>505.66527937749913</v>
      </c>
      <c r="C1371" s="44">
        <v>491.32587922037334</v>
      </c>
      <c r="D1371" s="44">
        <v>491.65211169550957</v>
      </c>
      <c r="E1371" s="44">
        <v>1914597.4653170544</v>
      </c>
      <c r="F1371" s="44" t="s">
        <v>1310</v>
      </c>
      <c r="G1371" s="25">
        <f t="shared" si="21"/>
        <v>1.1682383930187168E-2</v>
      </c>
    </row>
    <row r="1372" spans="1:7">
      <c r="A1372" s="44">
        <v>491.23690672715441</v>
      </c>
      <c r="B1372" s="44">
        <v>501.52746529286168</v>
      </c>
      <c r="C1372" s="44">
        <v>490.39661095786397</v>
      </c>
      <c r="D1372" s="44">
        <v>496.26879551031675</v>
      </c>
      <c r="E1372" s="44">
        <v>1443364.5203572128</v>
      </c>
      <c r="F1372" s="44" t="s">
        <v>1311</v>
      </c>
      <c r="G1372" s="25">
        <f t="shared" si="21"/>
        <v>-1.0139442231075657E-2</v>
      </c>
    </row>
    <row r="1373" spans="1:7">
      <c r="A1373" s="44">
        <v>495.98210636549999</v>
      </c>
      <c r="B1373" s="44">
        <v>499.23454528428277</v>
      </c>
      <c r="C1373" s="44">
        <v>494.06425484500198</v>
      </c>
      <c r="D1373" s="44">
        <v>494.29162899433936</v>
      </c>
      <c r="E1373" s="44">
        <v>1426605.1833300933</v>
      </c>
      <c r="F1373" s="44" t="s">
        <v>1312</v>
      </c>
      <c r="G1373" s="25">
        <f t="shared" si="21"/>
        <v>3.4199999999999786E-3</v>
      </c>
    </row>
    <row r="1374" spans="1:7">
      <c r="A1374" s="44">
        <v>493.07567158701329</v>
      </c>
      <c r="B1374" s="44">
        <v>509.81238614476166</v>
      </c>
      <c r="C1374" s="44">
        <v>490.27798096690532</v>
      </c>
      <c r="D1374" s="44">
        <v>506.42154556986043</v>
      </c>
      <c r="E1374" s="44">
        <v>2062568.816053479</v>
      </c>
      <c r="F1374" s="44" t="s">
        <v>1313</v>
      </c>
      <c r="G1374" s="25">
        <f t="shared" si="21"/>
        <v>-2.6353290257090989E-2</v>
      </c>
    </row>
    <row r="1375" spans="1:7">
      <c r="A1375" s="44">
        <v>507.48921548848824</v>
      </c>
      <c r="B1375" s="44">
        <v>512.72870675582817</v>
      </c>
      <c r="C1375" s="44">
        <v>503.1493349859179</v>
      </c>
      <c r="D1375" s="44">
        <v>503.17899248365762</v>
      </c>
      <c r="E1375" s="44">
        <v>1688942.2175700257</v>
      </c>
      <c r="F1375" s="44" t="s">
        <v>1314</v>
      </c>
      <c r="G1375" s="25">
        <f t="shared" si="21"/>
        <v>8.5659836146092516E-3</v>
      </c>
    </row>
    <row r="1376" spans="1:7">
      <c r="A1376" s="44">
        <v>506.45120306760009</v>
      </c>
      <c r="B1376" s="44">
        <v>513.07471089612432</v>
      </c>
      <c r="C1376" s="44">
        <v>497.30680793120484</v>
      </c>
      <c r="D1376" s="44">
        <v>504.05883158326753</v>
      </c>
      <c r="E1376" s="44">
        <v>2247453.5979097513</v>
      </c>
      <c r="F1376" s="44" t="s">
        <v>1315</v>
      </c>
      <c r="G1376" s="25">
        <f t="shared" si="21"/>
        <v>4.7462147956380818E-3</v>
      </c>
    </row>
    <row r="1377" spans="1:7">
      <c r="A1377" s="44">
        <v>494.6178614694756</v>
      </c>
      <c r="B1377" s="44">
        <v>499.71895108069725</v>
      </c>
      <c r="C1377" s="44">
        <v>482.42862989847521</v>
      </c>
      <c r="D1377" s="44">
        <v>484.31682392123361</v>
      </c>
      <c r="E1377" s="44">
        <v>2169186.0373631353</v>
      </c>
      <c r="F1377" s="44" t="s">
        <v>1316</v>
      </c>
      <c r="G1377" s="25">
        <f t="shared" si="21"/>
        <v>2.1269212712538899E-2</v>
      </c>
    </row>
    <row r="1378" spans="1:7">
      <c r="A1378" s="44">
        <v>479.67048260868677</v>
      </c>
      <c r="B1378" s="44">
        <v>484.36625308413301</v>
      </c>
      <c r="C1378" s="44">
        <v>464.86625060365475</v>
      </c>
      <c r="D1378" s="44">
        <v>465.91928949006433</v>
      </c>
      <c r="E1378" s="44">
        <v>2136784.1129514566</v>
      </c>
      <c r="F1378" s="44" t="s">
        <v>1317</v>
      </c>
      <c r="G1378" s="25">
        <f t="shared" si="21"/>
        <v>2.9514109908762798E-2</v>
      </c>
    </row>
    <row r="1379" spans="1:7">
      <c r="A1379" s="44">
        <v>472.26599400635166</v>
      </c>
      <c r="B1379" s="44">
        <v>477.38685528273294</v>
      </c>
      <c r="C1379" s="44">
        <v>465.61777159637774</v>
      </c>
      <c r="D1379" s="44">
        <v>466.61129777065639</v>
      </c>
      <c r="E1379" s="44">
        <v>2070355.7170937231</v>
      </c>
      <c r="F1379" s="44" t="s">
        <v>1318</v>
      </c>
      <c r="G1379" s="25">
        <f t="shared" si="21"/>
        <v>1.2118644067796724E-2</v>
      </c>
    </row>
    <row r="1380" spans="1:7">
      <c r="A1380" s="44">
        <v>466.43335278421841</v>
      </c>
      <c r="B1380" s="44">
        <v>470.94129244064675</v>
      </c>
      <c r="C1380" s="44">
        <v>456.89352434462768</v>
      </c>
      <c r="D1380" s="44">
        <v>463.69497715958977</v>
      </c>
      <c r="E1380" s="44">
        <v>2246151.7348753535</v>
      </c>
      <c r="F1380" s="44" t="s">
        <v>1319</v>
      </c>
      <c r="G1380" s="25">
        <f t="shared" si="21"/>
        <v>5.9055537789147738E-3</v>
      </c>
    </row>
    <row r="1381" spans="1:7">
      <c r="A1381" s="44">
        <v>460.46230990596678</v>
      </c>
      <c r="B1381" s="44">
        <v>460.90717237206172</v>
      </c>
      <c r="C1381" s="44">
        <v>454.2836645435375</v>
      </c>
      <c r="D1381" s="44">
        <v>456.30037438983442</v>
      </c>
      <c r="E1381" s="44">
        <v>978529.62022453977</v>
      </c>
      <c r="F1381" s="44" t="s">
        <v>1320</v>
      </c>
      <c r="G1381" s="25">
        <f t="shared" si="21"/>
        <v>9.1210433953681225E-3</v>
      </c>
    </row>
    <row r="1382" spans="1:7">
      <c r="A1382" s="44">
        <v>456.45854771111266</v>
      </c>
      <c r="B1382" s="44">
        <v>461.27294817751755</v>
      </c>
      <c r="C1382" s="44">
        <v>456.21140189661548</v>
      </c>
      <c r="D1382" s="44">
        <v>460.00756160729196</v>
      </c>
      <c r="E1382" s="44">
        <v>723354.34999667911</v>
      </c>
      <c r="F1382" s="44" t="s">
        <v>1321</v>
      </c>
      <c r="G1382" s="25">
        <f t="shared" si="21"/>
        <v>-7.7151207770994601E-3</v>
      </c>
    </row>
    <row r="1383" spans="1:7">
      <c r="A1383" s="44">
        <v>457.57564679263987</v>
      </c>
      <c r="B1383" s="44">
        <v>461.00603069786052</v>
      </c>
      <c r="C1383" s="44">
        <v>455.48973611828376</v>
      </c>
      <c r="D1383" s="44">
        <v>460.67979822272429</v>
      </c>
      <c r="E1383" s="44">
        <v>812527.41588427627</v>
      </c>
      <c r="F1383" s="44" t="s">
        <v>1322</v>
      </c>
      <c r="G1383" s="25">
        <f t="shared" si="21"/>
        <v>-6.7381974248926779E-3</v>
      </c>
    </row>
    <row r="1384" spans="1:7">
      <c r="A1384" s="44">
        <v>455.46996445312396</v>
      </c>
      <c r="B1384" s="44">
        <v>458.20834007775261</v>
      </c>
      <c r="C1384" s="44">
        <v>452.12855304112225</v>
      </c>
      <c r="D1384" s="44">
        <v>456.80455185140863</v>
      </c>
      <c r="E1384" s="44">
        <v>745052.06723664235</v>
      </c>
      <c r="F1384" s="44" t="s">
        <v>1323</v>
      </c>
      <c r="G1384" s="25">
        <f t="shared" si="21"/>
        <v>-2.9215720221605901E-3</v>
      </c>
    </row>
    <row r="1385" spans="1:7">
      <c r="A1385" s="44">
        <v>452.86010465203384</v>
      </c>
      <c r="B1385" s="44">
        <v>456.93306767494715</v>
      </c>
      <c r="C1385" s="44">
        <v>451.19928477861288</v>
      </c>
      <c r="D1385" s="44">
        <v>452.17798220402165</v>
      </c>
      <c r="E1385" s="44">
        <v>447182.3657012232</v>
      </c>
      <c r="F1385" s="44" t="s">
        <v>1324</v>
      </c>
      <c r="G1385" s="25">
        <f t="shared" si="21"/>
        <v>1.5085264538696741E-3</v>
      </c>
    </row>
    <row r="1386" spans="1:7">
      <c r="A1386" s="44">
        <v>453.10725046653101</v>
      </c>
      <c r="B1386" s="44">
        <v>464.02120963472601</v>
      </c>
      <c r="C1386" s="44">
        <v>453.10725046653101</v>
      </c>
      <c r="D1386" s="44">
        <v>462.48890558484356</v>
      </c>
      <c r="E1386" s="44">
        <v>1255399.5730465958</v>
      </c>
      <c r="F1386" s="44" t="s">
        <v>1325</v>
      </c>
      <c r="G1386" s="25">
        <f t="shared" si="21"/>
        <v>-2.0285146313831937E-2</v>
      </c>
    </row>
    <row r="1387" spans="1:7">
      <c r="A1387" s="44">
        <v>459.88893161633337</v>
      </c>
      <c r="B1387" s="44">
        <v>460.07676243535121</v>
      </c>
      <c r="C1387" s="44">
        <v>454.25400704579789</v>
      </c>
      <c r="D1387" s="44">
        <v>457.08135516364553</v>
      </c>
      <c r="E1387" s="44">
        <v>1056051.6694608598</v>
      </c>
      <c r="F1387" s="44" t="s">
        <v>1326</v>
      </c>
      <c r="G1387" s="25">
        <f t="shared" si="21"/>
        <v>6.1423998615797171E-3</v>
      </c>
    </row>
    <row r="1388" spans="1:7">
      <c r="A1388" s="44">
        <v>457.59541845779961</v>
      </c>
      <c r="B1388" s="44">
        <v>460.95660153496112</v>
      </c>
      <c r="C1388" s="44">
        <v>448.81679912686013</v>
      </c>
      <c r="D1388" s="44">
        <v>457.03192600074607</v>
      </c>
      <c r="E1388" s="44">
        <v>1297273.6384482516</v>
      </c>
      <c r="F1388" s="44" t="s">
        <v>1327</v>
      </c>
      <c r="G1388" s="25">
        <f t="shared" si="21"/>
        <v>1.2329389370768773E-3</v>
      </c>
    </row>
    <row r="1389" spans="1:7">
      <c r="A1389" s="44">
        <v>461.35203483815661</v>
      </c>
      <c r="B1389" s="44">
        <v>463.79383548538863</v>
      </c>
      <c r="C1389" s="44">
        <v>450.21070152062418</v>
      </c>
      <c r="D1389" s="44">
        <v>457.45701680168122</v>
      </c>
      <c r="E1389" s="44">
        <v>3418655.9125793972</v>
      </c>
      <c r="F1389" s="44" t="s">
        <v>1328</v>
      </c>
      <c r="G1389" s="25">
        <f t="shared" si="21"/>
        <v>8.5145005834810217E-3</v>
      </c>
    </row>
    <row r="1390" spans="1:7">
      <c r="A1390" s="44">
        <v>459.63189996925627</v>
      </c>
      <c r="B1390" s="44">
        <v>459.68132913215572</v>
      </c>
      <c r="C1390" s="44">
        <v>452.9144767312232</v>
      </c>
      <c r="D1390" s="44">
        <v>453.12702213169081</v>
      </c>
      <c r="E1390" s="44">
        <v>1786227.9031436141</v>
      </c>
      <c r="F1390" s="44" t="s">
        <v>1329</v>
      </c>
      <c r="G1390" s="25">
        <f t="shared" si="21"/>
        <v>1.4355528405619822E-2</v>
      </c>
    </row>
    <row r="1391" spans="1:7">
      <c r="A1391" s="44">
        <v>452.56352967463727</v>
      </c>
      <c r="B1391" s="44">
        <v>463.12159886995636</v>
      </c>
      <c r="C1391" s="44">
        <v>452.35592719045962</v>
      </c>
      <c r="D1391" s="44">
        <v>461.01591653044039</v>
      </c>
      <c r="E1391" s="44">
        <v>2082397.1915004607</v>
      </c>
      <c r="F1391" s="44" t="s">
        <v>1330</v>
      </c>
      <c r="G1391" s="25">
        <f t="shared" si="21"/>
        <v>-1.8334262555217085E-2</v>
      </c>
    </row>
    <row r="1392" spans="1:7">
      <c r="A1392" s="44">
        <v>465.6029428475079</v>
      </c>
      <c r="B1392" s="44">
        <v>468.07440099247964</v>
      </c>
      <c r="C1392" s="44">
        <v>459.9284749466529</v>
      </c>
      <c r="D1392" s="44">
        <v>464.42652877050142</v>
      </c>
      <c r="E1392" s="44">
        <v>1142821.2959003381</v>
      </c>
      <c r="F1392" s="44" t="s">
        <v>1331</v>
      </c>
      <c r="G1392" s="25">
        <f t="shared" si="21"/>
        <v>2.5330466804316387E-3</v>
      </c>
    </row>
    <row r="1393" spans="1:7">
      <c r="A1393" s="44">
        <v>461.7968973042515</v>
      </c>
      <c r="B1393" s="44">
        <v>471.98919069411477</v>
      </c>
      <c r="C1393" s="44">
        <v>460.71439863675391</v>
      </c>
      <c r="D1393" s="44">
        <v>466.02803364844306</v>
      </c>
      <c r="E1393" s="44">
        <v>1765897.7995963513</v>
      </c>
      <c r="F1393" s="44" t="s">
        <v>1332</v>
      </c>
      <c r="G1393" s="25">
        <f t="shared" si="21"/>
        <v>-9.0791455420971001E-3</v>
      </c>
    </row>
    <row r="1394" spans="1:7">
      <c r="A1394" s="44">
        <v>465.79077366652581</v>
      </c>
      <c r="B1394" s="44">
        <v>466.29471582603264</v>
      </c>
      <c r="C1394" s="44">
        <v>459.51619971972502</v>
      </c>
      <c r="D1394" s="44">
        <v>462.44104048862744</v>
      </c>
      <c r="E1394" s="44">
        <v>1206962.4430613793</v>
      </c>
      <c r="F1394" s="44" t="s">
        <v>1333</v>
      </c>
      <c r="G1394" s="25">
        <f t="shared" si="21"/>
        <v>7.243589743589629E-3</v>
      </c>
    </row>
    <row r="1395" spans="1:7">
      <c r="A1395" s="44">
        <v>463.17225068085304</v>
      </c>
      <c r="B1395" s="44">
        <v>467.38066177367585</v>
      </c>
      <c r="C1395" s="44">
        <v>456.51230920031168</v>
      </c>
      <c r="D1395" s="44">
        <v>457.54983717576692</v>
      </c>
      <c r="E1395" s="44">
        <v>1583146.8055396448</v>
      </c>
      <c r="F1395" s="44" t="s">
        <v>1334</v>
      </c>
      <c r="G1395" s="25">
        <f t="shared" si="21"/>
        <v>1.2288089839110228E-2</v>
      </c>
    </row>
    <row r="1396" spans="1:7">
      <c r="A1396" s="44">
        <v>455.89967363385239</v>
      </c>
      <c r="B1396" s="44">
        <v>471.82819836179402</v>
      </c>
      <c r="C1396" s="44">
        <v>453.41948771157365</v>
      </c>
      <c r="D1396" s="44">
        <v>471.82819836179402</v>
      </c>
      <c r="E1396" s="44">
        <v>2446277.1703927531</v>
      </c>
      <c r="F1396" s="44" t="s">
        <v>1335</v>
      </c>
      <c r="G1396" s="25">
        <f t="shared" si="21"/>
        <v>-3.3759162303664936E-2</v>
      </c>
    </row>
    <row r="1397" spans="1:7">
      <c r="A1397" s="44">
        <v>468.35000933931548</v>
      </c>
      <c r="B1397" s="44">
        <v>473.85384821863522</v>
      </c>
      <c r="C1397" s="44">
        <v>467.27295648860473</v>
      </c>
      <c r="D1397" s="44">
        <v>467.27295648860473</v>
      </c>
      <c r="E1397" s="44">
        <v>1451053.7890213535</v>
      </c>
      <c r="F1397" s="44" t="s">
        <v>1336</v>
      </c>
      <c r="G1397" s="25">
        <f t="shared" si="21"/>
        <v>2.3049757871811405E-3</v>
      </c>
    </row>
    <row r="1398" spans="1:7">
      <c r="A1398" s="44">
        <v>467.27295648860473</v>
      </c>
      <c r="B1398" s="44">
        <v>472.42512279033929</v>
      </c>
      <c r="C1398" s="44">
        <v>465.40540613278529</v>
      </c>
      <c r="D1398" s="44">
        <v>468.21167227592139</v>
      </c>
      <c r="E1398" s="44">
        <v>1278694.4847611163</v>
      </c>
      <c r="F1398" s="44" t="s">
        <v>1337</v>
      </c>
      <c r="G1398" s="25">
        <f t="shared" si="21"/>
        <v>-2.0048961674826726E-3</v>
      </c>
    </row>
    <row r="1399" spans="1:7">
      <c r="A1399" s="44">
        <v>468.98240734340243</v>
      </c>
      <c r="B1399" s="44">
        <v>473.03370705708488</v>
      </c>
      <c r="C1399" s="44">
        <v>463.66631162154601</v>
      </c>
      <c r="D1399" s="44">
        <v>470.80055160515258</v>
      </c>
      <c r="E1399" s="44">
        <v>1669808.1796202299</v>
      </c>
      <c r="F1399" s="44" t="s">
        <v>1338</v>
      </c>
      <c r="G1399" s="25">
        <f t="shared" si="21"/>
        <v>-3.8618142131553457E-3</v>
      </c>
    </row>
    <row r="1400" spans="1:7">
      <c r="A1400" s="44">
        <v>471.53176179737818</v>
      </c>
      <c r="B1400" s="44">
        <v>475.73127979326853</v>
      </c>
      <c r="C1400" s="44">
        <v>466.05756657450002</v>
      </c>
      <c r="D1400" s="44">
        <v>474.2985030652589</v>
      </c>
      <c r="E1400" s="44">
        <v>1506220.060537922</v>
      </c>
      <c r="F1400" s="44" t="s">
        <v>1339</v>
      </c>
      <c r="G1400" s="25">
        <f t="shared" si="21"/>
        <v>-5.833333333333468E-3</v>
      </c>
    </row>
    <row r="1401" spans="1:7">
      <c r="A1401" s="44">
        <v>473.20168777692049</v>
      </c>
      <c r="B1401" s="44">
        <v>476.47237120430799</v>
      </c>
      <c r="C1401" s="44">
        <v>464.02203549884496</v>
      </c>
      <c r="D1401" s="44">
        <v>470.81043282396649</v>
      </c>
      <c r="E1401" s="44">
        <v>2027576.79770219</v>
      </c>
      <c r="F1401" s="44" t="s">
        <v>1340</v>
      </c>
      <c r="G1401" s="25">
        <f t="shared" si="21"/>
        <v>5.079018616072295E-3</v>
      </c>
    </row>
    <row r="1402" spans="1:7">
      <c r="A1402" s="44">
        <v>465.50421832092388</v>
      </c>
      <c r="B1402" s="44">
        <v>470.14048618838677</v>
      </c>
      <c r="C1402" s="44">
        <v>459.77311140888537</v>
      </c>
      <c r="D1402" s="44">
        <v>464.41728425139934</v>
      </c>
      <c r="E1402" s="44">
        <v>3078681.9493695274</v>
      </c>
      <c r="F1402" s="44" t="s">
        <v>1341</v>
      </c>
      <c r="G1402" s="25">
        <f t="shared" si="21"/>
        <v>2.3404255319148248E-3</v>
      </c>
    </row>
    <row r="1403" spans="1:7">
      <c r="A1403" s="44">
        <v>459.45691240684187</v>
      </c>
      <c r="B1403" s="44">
        <v>461.04778863587319</v>
      </c>
      <c r="C1403" s="44">
        <v>449.59545603060997</v>
      </c>
      <c r="D1403" s="44">
        <v>451.64086832507894</v>
      </c>
      <c r="E1403" s="44">
        <v>2587936.8205197859</v>
      </c>
      <c r="F1403" s="44" t="s">
        <v>1342</v>
      </c>
      <c r="G1403" s="25">
        <f t="shared" si="21"/>
        <v>1.7305883125123156E-2</v>
      </c>
    </row>
    <row r="1404" spans="1:7">
      <c r="A1404" s="44">
        <v>448.01446102039245</v>
      </c>
      <c r="B1404" s="44">
        <v>449.20020727805564</v>
      </c>
      <c r="C1404" s="44">
        <v>436.74987157259255</v>
      </c>
      <c r="D1404" s="44">
        <v>448.09351077090338</v>
      </c>
      <c r="E1404" s="44">
        <v>910495.97923901107</v>
      </c>
      <c r="F1404" s="44" t="s">
        <v>1343</v>
      </c>
      <c r="G1404" s="25">
        <f t="shared" si="21"/>
        <v>-1.7641351327524202E-4</v>
      </c>
    </row>
    <row r="1405" spans="1:7">
      <c r="A1405" s="44">
        <v>443.12325770753199</v>
      </c>
      <c r="B1405" s="44">
        <v>444.34358823104361</v>
      </c>
      <c r="C1405" s="44">
        <v>432.97524598569822</v>
      </c>
      <c r="D1405" s="44">
        <v>433.27168255011401</v>
      </c>
      <c r="E1405" s="44">
        <v>2682137.7503377167</v>
      </c>
      <c r="F1405" s="44" t="s">
        <v>1344</v>
      </c>
      <c r="G1405" s="25">
        <f t="shared" si="21"/>
        <v>2.2737639116949371E-2</v>
      </c>
    </row>
    <row r="1406" spans="1:7">
      <c r="A1406" s="44">
        <v>434.33885418201083</v>
      </c>
      <c r="B1406" s="44">
        <v>440.2280605950711</v>
      </c>
      <c r="C1406" s="44">
        <v>430.59387225155803</v>
      </c>
      <c r="D1406" s="44">
        <v>439.0225518997803</v>
      </c>
      <c r="E1406" s="44">
        <v>2867435.7418599618</v>
      </c>
      <c r="F1406" s="44" t="s">
        <v>1345</v>
      </c>
      <c r="G1406" s="25">
        <f t="shared" si="21"/>
        <v>-1.0668467251856883E-2</v>
      </c>
    </row>
    <row r="1407" spans="1:7">
      <c r="A1407" s="44">
        <v>440.73200275457793</v>
      </c>
      <c r="B1407" s="44">
        <v>450.5045281614851</v>
      </c>
      <c r="C1407" s="44">
        <v>436.51272232105993</v>
      </c>
      <c r="D1407" s="44">
        <v>449.10139508991699</v>
      </c>
      <c r="E1407" s="44">
        <v>2278614.6551495655</v>
      </c>
      <c r="F1407" s="44" t="s">
        <v>1346</v>
      </c>
      <c r="G1407" s="25">
        <f t="shared" si="21"/>
        <v>-1.8635863586358714E-2</v>
      </c>
    </row>
    <row r="1408" spans="1:7">
      <c r="A1408" s="44">
        <v>445.6824933803216</v>
      </c>
      <c r="B1408" s="44">
        <v>451.84837392016993</v>
      </c>
      <c r="C1408" s="44">
        <v>444.40781615333373</v>
      </c>
      <c r="D1408" s="44">
        <v>447.40182545393316</v>
      </c>
      <c r="E1408" s="44">
        <v>1891299.0747444462</v>
      </c>
      <c r="F1408" s="44" t="s">
        <v>1347</v>
      </c>
      <c r="G1408" s="25">
        <f t="shared" si="21"/>
        <v>-3.8429259242899194E-3</v>
      </c>
    </row>
    <row r="1409" spans="1:7">
      <c r="A1409" s="44">
        <v>447.71802445597672</v>
      </c>
      <c r="B1409" s="44">
        <v>454.24456948253089</v>
      </c>
      <c r="C1409" s="44">
        <v>444.70425271774951</v>
      </c>
      <c r="D1409" s="44">
        <v>453.47877502445681</v>
      </c>
      <c r="E1409" s="44">
        <v>2118705.2320545395</v>
      </c>
      <c r="F1409" s="44" t="s">
        <v>1348</v>
      </c>
      <c r="G1409" s="25">
        <f t="shared" si="21"/>
        <v>-1.2703462401673415E-2</v>
      </c>
    </row>
    <row r="1410" spans="1:7">
      <c r="A1410" s="44">
        <v>448.78519608787349</v>
      </c>
      <c r="B1410" s="44">
        <v>475.72139857445467</v>
      </c>
      <c r="C1410" s="44">
        <v>446.37417869729177</v>
      </c>
      <c r="D1410" s="44">
        <v>474.20957209593416</v>
      </c>
      <c r="E1410" s="44">
        <v>3570245.8031308814</v>
      </c>
      <c r="F1410" s="44" t="s">
        <v>1349</v>
      </c>
      <c r="G1410" s="25">
        <f t="shared" si="21"/>
        <v>-5.3614219332791646E-2</v>
      </c>
    </row>
    <row r="1411" spans="1:7">
      <c r="A1411" s="44">
        <v>473.31038118387295</v>
      </c>
      <c r="B1411" s="44">
        <v>478.17826482033269</v>
      </c>
      <c r="C1411" s="44">
        <v>471.46259326568122</v>
      </c>
      <c r="D1411" s="44">
        <v>473.40919337201154</v>
      </c>
      <c r="E1411" s="44">
        <v>1565405.067065631</v>
      </c>
      <c r="F1411" s="44" t="s">
        <v>1350</v>
      </c>
      <c r="G1411" s="25">
        <f t="shared" si="21"/>
        <v>-2.0872469213106815E-4</v>
      </c>
    </row>
    <row r="1412" spans="1:7">
      <c r="A1412" s="44">
        <v>475.27674372783099</v>
      </c>
      <c r="B1412" s="44">
        <v>489.84166025946001</v>
      </c>
      <c r="C1412" s="44">
        <v>474.42695890983907</v>
      </c>
      <c r="D1412" s="44">
        <v>489.84166025946001</v>
      </c>
      <c r="E1412" s="44">
        <v>1758378.2251264036</v>
      </c>
      <c r="F1412" s="44" t="s">
        <v>1351</v>
      </c>
      <c r="G1412" s="25">
        <f t="shared" si="21"/>
        <v>-2.9733927742924604E-2</v>
      </c>
    </row>
    <row r="1413" spans="1:7">
      <c r="A1413" s="44">
        <v>482.78647002636421</v>
      </c>
      <c r="B1413" s="44">
        <v>488.48793328196126</v>
      </c>
      <c r="C1413" s="44">
        <v>480.30628410408548</v>
      </c>
      <c r="D1413" s="44">
        <v>487.13420630446245</v>
      </c>
      <c r="E1413" s="44">
        <v>1174922.8732508267</v>
      </c>
      <c r="F1413" s="44" t="s">
        <v>1352</v>
      </c>
      <c r="G1413" s="25">
        <f t="shared" si="21"/>
        <v>-8.9251303271872251E-3</v>
      </c>
    </row>
    <row r="1414" spans="1:7">
      <c r="A1414" s="44">
        <v>480.78058260715079</v>
      </c>
      <c r="B1414" s="44">
        <v>492.11434058664764</v>
      </c>
      <c r="C1414" s="44">
        <v>477.1591159118712</v>
      </c>
      <c r="D1414" s="44">
        <v>479.23911247218865</v>
      </c>
      <c r="E1414" s="44">
        <v>1481750.4070918448</v>
      </c>
      <c r="F1414" s="44" t="s">
        <v>1353</v>
      </c>
      <c r="G1414" s="25">
        <f t="shared" ref="G1414:G1452" si="22">A1414/D1414-1</f>
        <v>3.2164948453610176E-3</v>
      </c>
    </row>
    <row r="1415" spans="1:7">
      <c r="A1415" s="44">
        <v>478.2509905908027</v>
      </c>
      <c r="B1415" s="44">
        <v>482.74645109016814</v>
      </c>
      <c r="C1415" s="44">
        <v>463.4983309017104</v>
      </c>
      <c r="D1415" s="44">
        <v>466.4528153270544</v>
      </c>
      <c r="E1415" s="44">
        <v>1940914.4116007006</v>
      </c>
      <c r="F1415" s="44" t="s">
        <v>1354</v>
      </c>
      <c r="G1415" s="25">
        <f t="shared" si="22"/>
        <v>2.5293394907426991E-2</v>
      </c>
    </row>
    <row r="1416" spans="1:7">
      <c r="A1416" s="44">
        <v>463.02403239864509</v>
      </c>
      <c r="B1416" s="44">
        <v>478.23122815317504</v>
      </c>
      <c r="C1416" s="44">
        <v>456.51230920031168</v>
      </c>
      <c r="D1416" s="44">
        <v>474.6641081613717</v>
      </c>
      <c r="E1416" s="44">
        <v>3417807.1183517054</v>
      </c>
      <c r="F1416" s="44" t="s">
        <v>1355</v>
      </c>
      <c r="G1416" s="25">
        <f t="shared" si="22"/>
        <v>-2.4522763702979011E-2</v>
      </c>
    </row>
    <row r="1417" spans="1:7">
      <c r="A1417" s="44">
        <v>479.22923125337485</v>
      </c>
      <c r="B1417" s="44">
        <v>516.78774396485505</v>
      </c>
      <c r="C1417" s="44">
        <v>478.55730837403235</v>
      </c>
      <c r="D1417" s="44">
        <v>515.58223526956408</v>
      </c>
      <c r="E1417" s="44">
        <v>4242413.8954601437</v>
      </c>
      <c r="F1417" s="44" t="s">
        <v>1356</v>
      </c>
      <c r="G1417" s="25">
        <f t="shared" si="22"/>
        <v>-7.0508643489593181E-2</v>
      </c>
    </row>
    <row r="1418" spans="1:7">
      <c r="A1418" s="44">
        <v>521.39239193211347</v>
      </c>
      <c r="B1418" s="44">
        <v>526.24495967941186</v>
      </c>
      <c r="C1418" s="44">
        <v>508.39364858248132</v>
      </c>
      <c r="D1418" s="44">
        <v>512.42024524912915</v>
      </c>
      <c r="E1418" s="44">
        <v>1383536.8143881995</v>
      </c>
      <c r="F1418" s="44" t="s">
        <v>1357</v>
      </c>
      <c r="G1418" s="25">
        <f t="shared" si="22"/>
        <v>1.750935246249341E-2</v>
      </c>
    </row>
    <row r="1419" spans="1:7">
      <c r="A1419" s="44">
        <v>508.64561966223471</v>
      </c>
      <c r="B1419" s="44">
        <v>523.57604247778841</v>
      </c>
      <c r="C1419" s="44">
        <v>505.671372799263</v>
      </c>
      <c r="D1419" s="44">
        <v>518.76398772762695</v>
      </c>
      <c r="E1419" s="44">
        <v>1544423.8496768198</v>
      </c>
      <c r="F1419" s="44" t="s">
        <v>1358</v>
      </c>
      <c r="G1419" s="25">
        <f t="shared" si="22"/>
        <v>-1.9504761904762025E-2</v>
      </c>
    </row>
    <row r="1420" spans="1:7">
      <c r="A1420" s="44">
        <v>504.90063773178196</v>
      </c>
      <c r="B1420" s="44">
        <v>511.84713455792524</v>
      </c>
      <c r="C1420" s="44">
        <v>493.29020562549698</v>
      </c>
      <c r="D1420" s="44">
        <v>494.06094069297802</v>
      </c>
      <c r="E1420" s="44">
        <v>2327908.169358239</v>
      </c>
      <c r="F1420" s="44" t="s">
        <v>1359</v>
      </c>
      <c r="G1420" s="25">
        <f t="shared" si="22"/>
        <v>2.1940000000000071E-2</v>
      </c>
    </row>
    <row r="1421" spans="1:7">
      <c r="A1421" s="44">
        <v>485.66190470119739</v>
      </c>
      <c r="B1421" s="44">
        <v>495.77039154777572</v>
      </c>
      <c r="C1421" s="44">
        <v>483.08290659078006</v>
      </c>
      <c r="D1421" s="44">
        <v>485.18760619813213</v>
      </c>
      <c r="E1421" s="44">
        <v>1734878.0877066858</v>
      </c>
      <c r="F1421" s="44" t="s">
        <v>1360</v>
      </c>
      <c r="G1421" s="25">
        <f t="shared" si="22"/>
        <v>9.7755692232492919E-4</v>
      </c>
    </row>
    <row r="1422" spans="1:7">
      <c r="A1422" s="44">
        <v>474.84197010002117</v>
      </c>
      <c r="B1422" s="44">
        <v>483.50779899977601</v>
      </c>
      <c r="C1422" s="44">
        <v>471.87760445586332</v>
      </c>
      <c r="D1422" s="44">
        <v>473.11275680759576</v>
      </c>
      <c r="E1422" s="44">
        <v>1675954.1825722968</v>
      </c>
      <c r="F1422" s="44" t="s">
        <v>1361</v>
      </c>
      <c r="G1422" s="25">
        <f t="shared" si="22"/>
        <v>3.6549707602338E-3</v>
      </c>
    </row>
    <row r="1423" spans="1:7">
      <c r="A1423" s="44">
        <v>467.5002245213235</v>
      </c>
      <c r="B1423" s="44">
        <v>469.82231094258054</v>
      </c>
      <c r="C1423" s="44">
        <v>459.9707357851625</v>
      </c>
      <c r="D1423" s="44">
        <v>463.48844968289654</v>
      </c>
      <c r="E1423" s="44">
        <v>1266943.9100408053</v>
      </c>
      <c r="F1423" s="44" t="s">
        <v>1362</v>
      </c>
      <c r="G1423" s="25">
        <f t="shared" si="22"/>
        <v>8.6556090905214322E-3</v>
      </c>
    </row>
    <row r="1424" spans="1:7">
      <c r="A1424" s="44">
        <v>466.27495338840492</v>
      </c>
      <c r="B1424" s="44">
        <v>474.26885940881732</v>
      </c>
      <c r="C1424" s="44">
        <v>465.50915893033084</v>
      </c>
      <c r="D1424" s="44">
        <v>473.95266040677376</v>
      </c>
      <c r="E1424" s="44">
        <v>1346129.4857010187</v>
      </c>
      <c r="F1424" s="44" t="s">
        <v>1363</v>
      </c>
      <c r="G1424" s="25">
        <f t="shared" si="22"/>
        <v>-1.6199311998332022E-2</v>
      </c>
    </row>
    <row r="1425" spans="1:7">
      <c r="A1425" s="44">
        <v>471.04758207549907</v>
      </c>
      <c r="B1425" s="44">
        <v>480.45450238629343</v>
      </c>
      <c r="C1425" s="44">
        <v>470.07922263174089</v>
      </c>
      <c r="D1425" s="44">
        <v>476.62058948651588</v>
      </c>
      <c r="E1425" s="44">
        <v>1693383.206586869</v>
      </c>
      <c r="F1425" s="44" t="s">
        <v>1364</v>
      </c>
      <c r="G1425" s="25">
        <f t="shared" si="22"/>
        <v>-1.1692754224111201E-2</v>
      </c>
    </row>
    <row r="1426" spans="1:7">
      <c r="A1426" s="44">
        <v>483.4880365621483</v>
      </c>
      <c r="B1426" s="44">
        <v>484.88128841490249</v>
      </c>
      <c r="C1426" s="44">
        <v>478.33992156012744</v>
      </c>
      <c r="D1426" s="44">
        <v>479.23911247218865</v>
      </c>
      <c r="E1426" s="44">
        <v>1348120.1308198588</v>
      </c>
      <c r="F1426" s="44" t="s">
        <v>1365</v>
      </c>
      <c r="G1426" s="25">
        <f t="shared" si="22"/>
        <v>8.8659793814434007E-3</v>
      </c>
    </row>
    <row r="1427" spans="1:7">
      <c r="A1427" s="44">
        <v>476.69963923702676</v>
      </c>
      <c r="B1427" s="44">
        <v>476.88738239449009</v>
      </c>
      <c r="C1427" s="44">
        <v>469.35789365832909</v>
      </c>
      <c r="D1427" s="44">
        <v>469.42706219002611</v>
      </c>
      <c r="E1427" s="44">
        <v>1326646.059250633</v>
      </c>
      <c r="F1427" s="44" t="s">
        <v>1366</v>
      </c>
      <c r="G1427" s="25">
        <f t="shared" si="22"/>
        <v>1.5492453743658929E-2</v>
      </c>
    </row>
    <row r="1428" spans="1:7">
      <c r="A1428" s="44">
        <v>474.46648378509451</v>
      </c>
      <c r="B1428" s="44">
        <v>477.96443524520078</v>
      </c>
      <c r="C1428" s="44">
        <v>467.8658296174363</v>
      </c>
      <c r="D1428" s="44">
        <v>475.28662494664485</v>
      </c>
      <c r="E1428" s="44">
        <v>1178430.5377052748</v>
      </c>
      <c r="F1428" s="44" t="s">
        <v>1367</v>
      </c>
      <c r="G1428" s="25">
        <f t="shared" si="22"/>
        <v>-1.7255717255717506E-3</v>
      </c>
    </row>
    <row r="1429" spans="1:7">
      <c r="A1429" s="44">
        <v>476.26486560921694</v>
      </c>
      <c r="B1429" s="44">
        <v>479.23911247218865</v>
      </c>
      <c r="C1429" s="44">
        <v>464.52597765835179</v>
      </c>
      <c r="D1429" s="44">
        <v>466.08721023094159</v>
      </c>
      <c r="E1429" s="44">
        <v>1472113.9440407036</v>
      </c>
      <c r="F1429" s="44" t="s">
        <v>1368</v>
      </c>
      <c r="G1429" s="25">
        <f t="shared" si="22"/>
        <v>2.1836375585660095E-2</v>
      </c>
    </row>
    <row r="1430" spans="1:7">
      <c r="A1430" s="44">
        <v>463.19201311848076</v>
      </c>
      <c r="B1430" s="44">
        <v>473.30049996505909</v>
      </c>
      <c r="C1430" s="44">
        <v>456.92237978108687</v>
      </c>
      <c r="D1430" s="44">
        <v>469.35789365832909</v>
      </c>
      <c r="E1430" s="44">
        <v>2239535.4679284124</v>
      </c>
      <c r="F1430" s="44" t="s">
        <v>1369</v>
      </c>
      <c r="G1430" s="25">
        <f t="shared" si="22"/>
        <v>-1.3136842105263113E-2</v>
      </c>
    </row>
    <row r="1431" spans="1:7">
      <c r="A1431" s="44">
        <v>459.73358653362988</v>
      </c>
      <c r="B1431" s="44">
        <v>464.792770566326</v>
      </c>
      <c r="C1431" s="44">
        <v>455.69216803876134</v>
      </c>
      <c r="D1431" s="44">
        <v>455.79098022689993</v>
      </c>
      <c r="E1431" s="44">
        <v>1095891.1247680732</v>
      </c>
      <c r="F1431" s="44" t="s">
        <v>1370</v>
      </c>
      <c r="G1431" s="25">
        <f t="shared" si="22"/>
        <v>8.6500314349513552E-3</v>
      </c>
    </row>
    <row r="1432" spans="1:7">
      <c r="A1432" s="44">
        <v>455.81074266452765</v>
      </c>
      <c r="B1432" s="44">
        <v>465.66231782194563</v>
      </c>
      <c r="C1432" s="44">
        <v>453.33549735165587</v>
      </c>
      <c r="D1432" s="44">
        <v>463.30070652543321</v>
      </c>
      <c r="E1432" s="44">
        <v>1263912.9074323021</v>
      </c>
      <c r="F1432" s="44" t="s">
        <v>1371</v>
      </c>
      <c r="G1432" s="25">
        <f t="shared" si="22"/>
        <v>-1.6166528035489569E-2</v>
      </c>
    </row>
    <row r="1433" spans="1:7">
      <c r="A1433" s="44">
        <v>463.02403239864509</v>
      </c>
      <c r="B1433" s="44">
        <v>468.21167227592139</v>
      </c>
      <c r="C1433" s="44">
        <v>461.94697954793446</v>
      </c>
      <c r="D1433" s="44">
        <v>462.63866486490463</v>
      </c>
      <c r="E1433" s="44">
        <v>1083128.5291434205</v>
      </c>
      <c r="F1433" s="44" t="s">
        <v>1372</v>
      </c>
      <c r="G1433" s="25">
        <f t="shared" si="22"/>
        <v>8.3297736010234935E-4</v>
      </c>
    </row>
    <row r="1434" spans="1:7">
      <c r="A1434" s="44">
        <v>459.04190121665971</v>
      </c>
      <c r="B1434" s="44">
        <v>460.46479672585554</v>
      </c>
      <c r="C1434" s="44">
        <v>452.92542677088068</v>
      </c>
      <c r="D1434" s="44">
        <v>456.48266554387016</v>
      </c>
      <c r="E1434" s="44">
        <v>947888.12761262688</v>
      </c>
      <c r="F1434" s="44" t="s">
        <v>1373</v>
      </c>
      <c r="G1434" s="25">
        <f t="shared" si="22"/>
        <v>5.6064246596096989E-3</v>
      </c>
    </row>
    <row r="1435" spans="1:7">
      <c r="A1435" s="44">
        <v>461.46279982605529</v>
      </c>
      <c r="B1435" s="44">
        <v>466.82830164198106</v>
      </c>
      <c r="C1435" s="44">
        <v>458.78004891809246</v>
      </c>
      <c r="D1435" s="44">
        <v>461.46279982605529</v>
      </c>
      <c r="E1435" s="44">
        <v>862418.91415735614</v>
      </c>
      <c r="F1435" s="44" t="s">
        <v>1374</v>
      </c>
      <c r="G1435" s="25">
        <f t="shared" si="22"/>
        <v>0</v>
      </c>
    </row>
    <row r="1436" spans="1:7">
      <c r="A1436" s="44">
        <v>461.97662320437598</v>
      </c>
      <c r="B1436" s="44">
        <v>465.27200967879821</v>
      </c>
      <c r="C1436" s="44">
        <v>460.47467794466934</v>
      </c>
      <c r="D1436" s="44">
        <v>461.34422520028897</v>
      </c>
      <c r="E1436" s="44">
        <v>927468.58182572515</v>
      </c>
      <c r="F1436" s="44" t="s">
        <v>1375</v>
      </c>
      <c r="G1436" s="25">
        <f t="shared" si="22"/>
        <v>1.3707725588467667E-3</v>
      </c>
    </row>
    <row r="1437" spans="1:7">
      <c r="A1437" s="44">
        <v>461.17624448045342</v>
      </c>
      <c r="B1437" s="44">
        <v>465.72160513482879</v>
      </c>
      <c r="C1437" s="44">
        <v>457.01625135981851</v>
      </c>
      <c r="D1437" s="44">
        <v>460.24740991195057</v>
      </c>
      <c r="E1437" s="44">
        <v>938359.95079825004</v>
      </c>
      <c r="F1437" s="44" t="s">
        <v>1376</v>
      </c>
      <c r="G1437" s="25">
        <f t="shared" si="22"/>
        <v>2.0181201425566453E-3</v>
      </c>
    </row>
    <row r="1438" spans="1:7">
      <c r="A1438" s="44">
        <v>459.18023828005374</v>
      </c>
      <c r="B1438" s="44">
        <v>459.87192359702391</v>
      </c>
      <c r="C1438" s="44">
        <v>449.88201137621195</v>
      </c>
      <c r="D1438" s="44">
        <v>451.95706732712239</v>
      </c>
      <c r="E1438" s="44">
        <v>1078871.9692197596</v>
      </c>
      <c r="F1438" s="44" t="s">
        <v>1377</v>
      </c>
      <c r="G1438" s="25">
        <f t="shared" si="22"/>
        <v>1.5981984739500188E-2</v>
      </c>
    </row>
    <row r="1439" spans="1:7">
      <c r="A1439" s="44">
        <v>448.15279808378654</v>
      </c>
      <c r="B1439" s="44">
        <v>449.35830677907734</v>
      </c>
      <c r="C1439" s="44">
        <v>441.85846169935797</v>
      </c>
      <c r="D1439" s="44">
        <v>449.35830677907734</v>
      </c>
      <c r="E1439" s="44">
        <v>842406.20077399968</v>
      </c>
      <c r="F1439" s="44" t="s">
        <v>1378</v>
      </c>
      <c r="G1439" s="25">
        <f t="shared" si="22"/>
        <v>-2.6827337496699855E-3</v>
      </c>
    </row>
    <row r="1440" spans="1:7">
      <c r="A1440" s="44">
        <v>446.98681426375106</v>
      </c>
      <c r="B1440" s="44">
        <v>450.53763024451155</v>
      </c>
      <c r="C1440" s="44">
        <v>442.56990945395586</v>
      </c>
      <c r="D1440" s="44">
        <v>442.56990945395586</v>
      </c>
      <c r="E1440" s="44">
        <v>1025104.3105929913</v>
      </c>
      <c r="F1440" s="44" t="s">
        <v>1379</v>
      </c>
      <c r="G1440" s="25">
        <f t="shared" si="22"/>
        <v>9.9801290495433737E-3</v>
      </c>
    </row>
    <row r="1441" spans="1:7">
      <c r="A1441" s="44">
        <v>440.5936656911839</v>
      </c>
      <c r="B1441" s="44">
        <v>446.63109038645212</v>
      </c>
      <c r="C1441" s="44">
        <v>439.9811289369128</v>
      </c>
      <c r="D1441" s="44">
        <v>446.49275332305808</v>
      </c>
      <c r="E1441" s="44">
        <v>1212467.8367809979</v>
      </c>
      <c r="F1441" s="44" t="s">
        <v>1380</v>
      </c>
      <c r="G1441" s="25">
        <f t="shared" si="22"/>
        <v>-1.3212056831762076E-2</v>
      </c>
    </row>
    <row r="1442" spans="1:7">
      <c r="A1442" s="44">
        <v>445.3168882842088</v>
      </c>
      <c r="B1442" s="44">
        <v>446.38405991610563</v>
      </c>
      <c r="C1442" s="44">
        <v>434.77362780982065</v>
      </c>
      <c r="D1442" s="44">
        <v>434.77362780982065</v>
      </c>
      <c r="E1442" s="44">
        <v>1163069.0723982728</v>
      </c>
      <c r="F1442" s="44" t="s">
        <v>1381</v>
      </c>
      <c r="G1442" s="25">
        <f t="shared" si="22"/>
        <v>2.4250000000000105E-2</v>
      </c>
    </row>
    <row r="1443" spans="1:7">
      <c r="A1443" s="44">
        <v>429.89230571577406</v>
      </c>
      <c r="B1443" s="44">
        <v>436.55224719631536</v>
      </c>
      <c r="C1443" s="44">
        <v>427.8666558589328</v>
      </c>
      <c r="D1443" s="44">
        <v>429.05240211659594</v>
      </c>
      <c r="E1443" s="44">
        <v>960466.53543268936</v>
      </c>
      <c r="F1443" s="44" t="s">
        <v>1382</v>
      </c>
      <c r="G1443" s="25">
        <f t="shared" si="22"/>
        <v>1.9575781303977635E-3</v>
      </c>
    </row>
    <row r="1444" spans="1:7">
      <c r="A1444" s="44">
        <v>432.99500842332594</v>
      </c>
      <c r="B1444" s="44">
        <v>447.30795387520152</v>
      </c>
      <c r="C1444" s="44">
        <v>430.92983369122931</v>
      </c>
      <c r="D1444" s="44">
        <v>440.67271544169483</v>
      </c>
      <c r="E1444" s="44">
        <v>1469736.706936405</v>
      </c>
      <c r="F1444" s="44" t="s">
        <v>1383</v>
      </c>
      <c r="G1444" s="25">
        <f t="shared" si="22"/>
        <v>-1.7422696593941356E-2</v>
      </c>
    </row>
    <row r="1445" spans="1:7">
      <c r="A1445" s="44">
        <v>436.2755730695273</v>
      </c>
      <c r="B1445" s="44">
        <v>439.51661284047327</v>
      </c>
      <c r="C1445" s="44">
        <v>429.90218693458786</v>
      </c>
      <c r="D1445" s="44">
        <v>431.41401341310842</v>
      </c>
      <c r="E1445" s="44">
        <v>1534600.1627583753</v>
      </c>
      <c r="F1445" s="44" t="s">
        <v>1384</v>
      </c>
      <c r="G1445" s="25">
        <f t="shared" si="22"/>
        <v>1.1268896014658747E-2</v>
      </c>
    </row>
    <row r="1446" spans="1:7">
      <c r="A1446" s="44">
        <v>429.18085796117612</v>
      </c>
      <c r="B1446" s="44">
        <v>431.11757684869264</v>
      </c>
      <c r="C1446" s="44">
        <v>424.89240899596109</v>
      </c>
      <c r="D1446" s="44">
        <v>425.65326284462827</v>
      </c>
      <c r="E1446" s="44">
        <v>922911.45169347466</v>
      </c>
      <c r="F1446" s="44" t="s">
        <v>1385</v>
      </c>
      <c r="G1446" s="25">
        <f t="shared" si="22"/>
        <v>8.2874852009191535E-3</v>
      </c>
    </row>
    <row r="1447" spans="1:7">
      <c r="A1447" s="44">
        <v>423.30153276692971</v>
      </c>
      <c r="B1447" s="44">
        <v>425.99910550311336</v>
      </c>
      <c r="C1447" s="44">
        <v>419.00320258290083</v>
      </c>
      <c r="D1447" s="44">
        <v>421.44386362992407</v>
      </c>
      <c r="E1447" s="44">
        <v>1124047.5703686669</v>
      </c>
      <c r="F1447" s="44" t="s">
        <v>1386</v>
      </c>
      <c r="G1447" s="25">
        <f t="shared" si="22"/>
        <v>4.4078685142201479E-3</v>
      </c>
    </row>
    <row r="1448" spans="1:7">
      <c r="A1448" s="44">
        <v>417.27398929047541</v>
      </c>
      <c r="B1448" s="44">
        <v>419.74429399394029</v>
      </c>
      <c r="C1448" s="44">
        <v>407.89671263612269</v>
      </c>
      <c r="D1448" s="44">
        <v>410.8314346238389</v>
      </c>
      <c r="E1448" s="44">
        <v>1126312.4731525837</v>
      </c>
      <c r="F1448" s="44" t="s">
        <v>1387</v>
      </c>
      <c r="G1448" s="25">
        <f t="shared" si="22"/>
        <v>1.5681747119802081E-2</v>
      </c>
    </row>
    <row r="1449" spans="1:7">
      <c r="A1449" s="44">
        <v>413.17328348272366</v>
      </c>
      <c r="B1449" s="44">
        <v>416.10800547043993</v>
      </c>
      <c r="C1449" s="44">
        <v>410.64369146637557</v>
      </c>
      <c r="D1449" s="44">
        <v>414.50724802259469</v>
      </c>
      <c r="E1449" s="44">
        <v>915579.36024151929</v>
      </c>
      <c r="F1449" s="44" t="s">
        <v>1388</v>
      </c>
      <c r="G1449" s="25">
        <f t="shared" si="22"/>
        <v>-3.2181935207037382E-3</v>
      </c>
    </row>
    <row r="1450" spans="1:7">
      <c r="A1450" s="44">
        <v>415.76216281195485</v>
      </c>
      <c r="B1450" s="44">
        <v>426.63150350720036</v>
      </c>
      <c r="C1450" s="44">
        <v>415.20881455837872</v>
      </c>
      <c r="D1450" s="44">
        <v>425.65326284462827</v>
      </c>
      <c r="E1450" s="44">
        <v>978161.72094510333</v>
      </c>
      <c r="F1450" s="44" t="s">
        <v>1389</v>
      </c>
      <c r="G1450" s="25">
        <f t="shared" si="22"/>
        <v>-2.32374585045384E-2</v>
      </c>
    </row>
    <row r="1451" spans="1:7">
      <c r="A1451" s="44">
        <v>425.12955824749372</v>
      </c>
      <c r="B1451" s="44">
        <v>426.18684866057669</v>
      </c>
      <c r="C1451" s="44">
        <v>417.10600857063974</v>
      </c>
      <c r="D1451" s="44">
        <v>418.86486551950674</v>
      </c>
      <c r="E1451" s="44">
        <v>1182637.5086046231</v>
      </c>
      <c r="F1451" s="44" t="s">
        <v>1390</v>
      </c>
      <c r="G1451" s="25">
        <f t="shared" si="22"/>
        <v>1.4956357631516815E-2</v>
      </c>
    </row>
    <row r="1452" spans="1:7">
      <c r="A1452" s="44">
        <v>420.41621687328274</v>
      </c>
      <c r="B1452" s="44">
        <v>421.16224889372916</v>
      </c>
      <c r="C1452" s="44">
        <v>410.53499805942317</v>
      </c>
      <c r="D1452" s="44">
        <v>419.70476911868479</v>
      </c>
      <c r="E1452" s="44">
        <v>1298639.3927438818</v>
      </c>
      <c r="F1452" s="44" t="s">
        <v>1391</v>
      </c>
      <c r="G1452" s="25">
        <f t="shared" si="22"/>
        <v>1.6951147733963445E-3</v>
      </c>
    </row>
    <row r="1453" spans="1:7">
      <c r="G1453" s="25"/>
    </row>
    <row r="1454" spans="1:7">
      <c r="G1454" s="25"/>
    </row>
    <row r="1455" spans="1:7">
      <c r="G1455" s="25"/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  <row r="1616" spans="7:7">
      <c r="G1616" s="25"/>
    </row>
    <row r="1617" spans="7:7">
      <c r="G1617" s="25"/>
    </row>
    <row r="1618" spans="7:7">
      <c r="G1618" s="25"/>
    </row>
    <row r="1619" spans="7:7">
      <c r="G1619" s="25"/>
    </row>
    <row r="1620" spans="7:7">
      <c r="G1620" s="25"/>
    </row>
    <row r="1621" spans="7:7">
      <c r="G1621" s="25"/>
    </row>
    <row r="1622" spans="7:7">
      <c r="G1622" s="25"/>
    </row>
    <row r="1623" spans="7:7">
      <c r="G1623" s="25"/>
    </row>
    <row r="1624" spans="7:7">
      <c r="G1624" s="25"/>
    </row>
    <row r="1625" spans="7:7">
      <c r="G1625" s="25"/>
    </row>
    <row r="1626" spans="7:7">
      <c r="G1626" s="25"/>
    </row>
    <row r="1627" spans="7:7">
      <c r="G1627" s="25"/>
    </row>
    <row r="1628" spans="7:7">
      <c r="G1628" s="25"/>
    </row>
    <row r="1629" spans="7:7">
      <c r="G1629" s="25"/>
    </row>
    <row r="1630" spans="7:7">
      <c r="G1630" s="25"/>
    </row>
  </sheetData>
  <sortState xmlns:xlrd2="http://schemas.microsoft.com/office/spreadsheetml/2017/richdata2" ref="I218:I306">
    <sortCondition ref="I21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F9FB-3337-4492-B2FA-436D1060E9C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743-879F-4C46-9032-8F8018F1EBA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topLeftCell="A16" workbookViewId="0">
      <selection activeCell="T20" sqref="T20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Notes | Quant Analysis</vt:lpstr>
      <vt:lpstr>Consumables</vt:lpstr>
      <vt:lpstr>Instruments</vt:lpstr>
      <vt:lpstr>Services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2026-10-22T21:07:23Z</dcterms:modified>
</cp:coreProperties>
</file>