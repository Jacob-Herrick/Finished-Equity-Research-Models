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User\OneDrive\Desktop\Equity Research\Models\Consumer Discretionary\"/>
    </mc:Choice>
  </mc:AlternateContent>
  <xr:revisionPtr revIDLastSave="0" documentId="13_ncr:1_{548F0BCF-7787-4A3E-A984-E26FF844C63D}" xr6:coauthVersionLast="47" xr6:coauthVersionMax="47" xr10:uidLastSave="{00000000-0000-0000-0000-000000000000}"/>
  <bookViews>
    <workbookView xWindow="28680" yWindow="-120" windowWidth="29040" windowHeight="15720" xr2:uid="{00000000-000D-0000-FFFF-FFFF00000000}"/>
  </bookViews>
  <sheets>
    <sheet name="Main" sheetId="1" r:id="rId1"/>
    <sheet name="Model" sheetId="2" r:id="rId2"/>
    <sheet name="Notes | Quant Analysis" sheetId="3" r:id="rId3"/>
    <sheet name="Product Lines" sheetId="5" r:id="rId4"/>
    <sheet name="Debt Schedule" sheetId="7" r:id="rId5"/>
    <sheet name="Management" sheetId="6" r:id="rId6"/>
    <sheet name="Table Formatting" sheetId="4" r:id="rId7"/>
  </sheets>
  <externalReferences>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Q102" i="2" l="1"/>
  <c r="BQ101" i="2"/>
  <c r="BQ94" i="2"/>
  <c r="BQ91" i="2"/>
  <c r="BQ90" i="2"/>
  <c r="BQ89" i="2"/>
  <c r="BQ85" i="2"/>
  <c r="BQ87" i="2" s="1"/>
  <c r="BQ73" i="2"/>
  <c r="BQ28" i="2"/>
  <c r="BQ25" i="2"/>
  <c r="BQ16" i="2"/>
  <c r="BQ15" i="2"/>
  <c r="BQ13" i="2"/>
  <c r="BQ12" i="2"/>
  <c r="BQ9" i="2"/>
  <c r="BQ6" i="2"/>
  <c r="CK18" i="2"/>
  <c r="CJ18" i="2"/>
  <c r="CI18" i="2"/>
  <c r="CH18" i="2"/>
  <c r="CG18" i="2"/>
  <c r="CF18" i="2"/>
  <c r="CE18" i="2"/>
  <c r="CD18" i="2"/>
  <c r="CC18" i="2"/>
  <c r="CB18" i="2"/>
  <c r="CL18" i="2"/>
  <c r="AW18" i="2"/>
  <c r="AV18" i="2"/>
  <c r="AU18" i="2"/>
  <c r="AT18" i="2"/>
  <c r="AS18" i="2"/>
  <c r="AR18" i="2"/>
  <c r="AQ18" i="2"/>
  <c r="AP18" i="2"/>
  <c r="AO18" i="2"/>
  <c r="AN18" i="2"/>
  <c r="AM18" i="2"/>
  <c r="AL18" i="2"/>
  <c r="AK18" i="2"/>
  <c r="AJ18"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AX18" i="2"/>
  <c r="BP101" i="2"/>
  <c r="BO101" i="2"/>
  <c r="BN101" i="2"/>
  <c r="BM101" i="2"/>
  <c r="BL101" i="2"/>
  <c r="BK101" i="2"/>
  <c r="BJ101" i="2"/>
  <c r="BI101" i="2"/>
  <c r="BH101" i="2"/>
  <c r="BG101" i="2"/>
  <c r="BF101" i="2"/>
  <c r="BE101" i="2"/>
  <c r="BD101" i="2"/>
  <c r="BC101" i="2"/>
  <c r="BB101" i="2"/>
  <c r="BA101" i="2"/>
  <c r="AZ101" i="2"/>
  <c r="AY101" i="2"/>
  <c r="AX101" i="2"/>
  <c r="AW101" i="2"/>
  <c r="AV101" i="2"/>
  <c r="AU101" i="2"/>
  <c r="AT101" i="2"/>
  <c r="AS101" i="2"/>
  <c r="AR101" i="2"/>
  <c r="AQ101" i="2"/>
  <c r="AP101" i="2"/>
  <c r="AO101" i="2"/>
  <c r="AN101" i="2"/>
  <c r="AM101" i="2"/>
  <c r="AL101" i="2"/>
  <c r="AK101" i="2"/>
  <c r="AJ101" i="2"/>
  <c r="AI101" i="2"/>
  <c r="AH101" i="2"/>
  <c r="AG101" i="2"/>
  <c r="AF101" i="2"/>
  <c r="AE101" i="2"/>
  <c r="AD101" i="2"/>
  <c r="AC101" i="2"/>
  <c r="AB101" i="2"/>
  <c r="AA101" i="2"/>
  <c r="Z101" i="2"/>
  <c r="Y101" i="2"/>
  <c r="X101" i="2"/>
  <c r="W101" i="2"/>
  <c r="V101" i="2"/>
  <c r="U101" i="2"/>
  <c r="T101" i="2"/>
  <c r="S101" i="2"/>
  <c r="R101" i="2"/>
  <c r="Q101" i="2"/>
  <c r="P101" i="2"/>
  <c r="O101" i="2"/>
  <c r="N101" i="2"/>
  <c r="M101" i="2"/>
  <c r="L101" i="2"/>
  <c r="K101" i="2"/>
  <c r="J101" i="2"/>
  <c r="I101" i="2"/>
  <c r="H101" i="2"/>
  <c r="G101" i="2"/>
  <c r="F101" i="2"/>
  <c r="E101" i="2"/>
  <c r="D101" i="2"/>
  <c r="BP102" i="2"/>
  <c r="BO102" i="2"/>
  <c r="BN102" i="2"/>
  <c r="BM102" i="2"/>
  <c r="BL102" i="2"/>
  <c r="BK102" i="2"/>
  <c r="BJ102" i="2"/>
  <c r="BI102" i="2"/>
  <c r="BH102" i="2"/>
  <c r="BG102" i="2"/>
  <c r="BF102" i="2"/>
  <c r="BE102" i="2"/>
  <c r="BD102" i="2"/>
  <c r="BC102" i="2"/>
  <c r="BB102" i="2"/>
  <c r="BA102" i="2"/>
  <c r="AZ102" i="2"/>
  <c r="AY102" i="2"/>
  <c r="AX102" i="2"/>
  <c r="AW102" i="2"/>
  <c r="AV102" i="2"/>
  <c r="AU102" i="2"/>
  <c r="AT102" i="2"/>
  <c r="AS102" i="2"/>
  <c r="AR102" i="2"/>
  <c r="AQ102" i="2"/>
  <c r="AP102" i="2"/>
  <c r="AO102" i="2"/>
  <c r="AN102" i="2"/>
  <c r="AM102" i="2"/>
  <c r="AL102" i="2"/>
  <c r="AK102" i="2"/>
  <c r="AJ102" i="2"/>
  <c r="AI102" i="2"/>
  <c r="AH102" i="2"/>
  <c r="AG102" i="2"/>
  <c r="AF102" i="2"/>
  <c r="AE102" i="2"/>
  <c r="AD102" i="2"/>
  <c r="AC102" i="2"/>
  <c r="AB102" i="2"/>
  <c r="AA102" i="2"/>
  <c r="Z102" i="2"/>
  <c r="Y102" i="2"/>
  <c r="X102" i="2"/>
  <c r="W102" i="2"/>
  <c r="V102" i="2"/>
  <c r="U102" i="2"/>
  <c r="T102" i="2"/>
  <c r="S102" i="2"/>
  <c r="R102" i="2"/>
  <c r="Q102" i="2"/>
  <c r="P102" i="2"/>
  <c r="O102" i="2"/>
  <c r="N102" i="2"/>
  <c r="M102" i="2"/>
  <c r="L102" i="2"/>
  <c r="K102" i="2"/>
  <c r="J102" i="2"/>
  <c r="I102" i="2"/>
  <c r="H102" i="2"/>
  <c r="G102" i="2"/>
  <c r="F102" i="2"/>
  <c r="E102" i="2"/>
  <c r="D102" i="2"/>
  <c r="C102" i="2"/>
  <c r="C103" i="2" s="1"/>
  <c r="C101" i="2"/>
  <c r="BP98" i="2"/>
  <c r="BO98" i="2"/>
  <c r="BN98" i="2"/>
  <c r="BM98" i="2"/>
  <c r="BL98" i="2"/>
  <c r="BK98" i="2"/>
  <c r="BJ98" i="2"/>
  <c r="BI98" i="2"/>
  <c r="BH98" i="2"/>
  <c r="BG98" i="2"/>
  <c r="BF98" i="2"/>
  <c r="BE98" i="2"/>
  <c r="BD98" i="2"/>
  <c r="BC98" i="2"/>
  <c r="BB98" i="2"/>
  <c r="BA98" i="2"/>
  <c r="AZ98" i="2"/>
  <c r="AY98" i="2"/>
  <c r="AX98" i="2"/>
  <c r="AW98" i="2"/>
  <c r="AV98" i="2"/>
  <c r="AU98" i="2"/>
  <c r="AT98" i="2"/>
  <c r="AS98" i="2"/>
  <c r="AR98" i="2"/>
  <c r="AQ98" i="2"/>
  <c r="AP98" i="2"/>
  <c r="AO98" i="2"/>
  <c r="AN98" i="2"/>
  <c r="AM98" i="2"/>
  <c r="AL98" i="2"/>
  <c r="AK98" i="2"/>
  <c r="AJ98" i="2"/>
  <c r="AI98" i="2"/>
  <c r="AH98" i="2"/>
  <c r="AG98" i="2"/>
  <c r="AF98" i="2"/>
  <c r="AE98" i="2"/>
  <c r="AD98" i="2"/>
  <c r="AC98" i="2"/>
  <c r="AB98" i="2"/>
  <c r="AA98" i="2"/>
  <c r="Z98" i="2"/>
  <c r="Y98" i="2"/>
  <c r="X98" i="2"/>
  <c r="W98" i="2"/>
  <c r="V98" i="2"/>
  <c r="U98" i="2"/>
  <c r="T98" i="2"/>
  <c r="S98" i="2"/>
  <c r="R98" i="2"/>
  <c r="Q98" i="2"/>
  <c r="P98" i="2"/>
  <c r="O98" i="2"/>
  <c r="N98" i="2"/>
  <c r="M98" i="2"/>
  <c r="L98" i="2"/>
  <c r="K98" i="2"/>
  <c r="J98" i="2"/>
  <c r="I98" i="2"/>
  <c r="H98" i="2"/>
  <c r="G98" i="2"/>
  <c r="F98" i="2"/>
  <c r="E98" i="2"/>
  <c r="D98" i="2"/>
  <c r="C98" i="2"/>
  <c r="BQ103" i="2" l="1"/>
  <c r="BQ32" i="2"/>
  <c r="BQ29" i="2"/>
  <c r="BQ35" i="2" s="1"/>
  <c r="BQ31" i="2"/>
  <c r="BQ17" i="2"/>
  <c r="BQ10" i="2"/>
  <c r="BQ14" i="2"/>
  <c r="CQ45" i="2"/>
  <c r="CT64" i="2"/>
  <c r="CU64" i="2"/>
  <c r="BP43" i="2"/>
  <c r="BQ18" i="2" l="1"/>
  <c r="BQ38" i="2"/>
  <c r="BQ33" i="2"/>
  <c r="BQ36" i="2"/>
  <c r="BQ21" i="2"/>
  <c r="BQ20" i="2"/>
  <c r="CZ65" i="2"/>
  <c r="CS46" i="2"/>
  <c r="CT46" i="2" s="1"/>
  <c r="CU46" i="2" s="1"/>
  <c r="CV46" i="2" s="1"/>
  <c r="CW46" i="2" s="1"/>
  <c r="CX46" i="2" s="1"/>
  <c r="CY46" i="2" s="1"/>
  <c r="CZ46" i="2" s="1"/>
  <c r="CR46" i="2"/>
  <c r="CR45" i="2"/>
  <c r="CS45" i="2" s="1"/>
  <c r="CT45" i="2" s="1"/>
  <c r="CU45" i="2" s="1"/>
  <c r="CV45" i="2" s="1"/>
  <c r="CW45" i="2" s="1"/>
  <c r="CX45" i="2" s="1"/>
  <c r="CY45" i="2" s="1"/>
  <c r="CZ45" i="2" s="1"/>
  <c r="BO94" i="2"/>
  <c r="BM94" i="2"/>
  <c r="BL94" i="2"/>
  <c r="BK94" i="2"/>
  <c r="BI94" i="2"/>
  <c r="BH94" i="2"/>
  <c r="BG94" i="2"/>
  <c r="BE94" i="2"/>
  <c r="BD94" i="2"/>
  <c r="BC94" i="2"/>
  <c r="BA94" i="2"/>
  <c r="AZ94" i="2"/>
  <c r="AY94" i="2"/>
  <c r="BO91" i="2"/>
  <c r="BN91" i="2"/>
  <c r="BM91" i="2"/>
  <c r="BL91" i="2"/>
  <c r="BK91" i="2"/>
  <c r="BJ91" i="2"/>
  <c r="BI91" i="2"/>
  <c r="BH91" i="2"/>
  <c r="BG91" i="2"/>
  <c r="BF91" i="2"/>
  <c r="BE91" i="2"/>
  <c r="BD91" i="2"/>
  <c r="BC91" i="2"/>
  <c r="BB91" i="2"/>
  <c r="BA91" i="2"/>
  <c r="BO90" i="2"/>
  <c r="BN90" i="2"/>
  <c r="BM90" i="2"/>
  <c r="BL90" i="2"/>
  <c r="BK90" i="2"/>
  <c r="BJ90" i="2"/>
  <c r="BI90" i="2"/>
  <c r="BH90" i="2"/>
  <c r="BG90" i="2"/>
  <c r="BF90" i="2"/>
  <c r="BE90" i="2"/>
  <c r="BD90" i="2"/>
  <c r="BC90" i="2"/>
  <c r="BB90" i="2"/>
  <c r="BA90" i="2"/>
  <c r="BO89" i="2"/>
  <c r="BN89" i="2"/>
  <c r="BM89" i="2"/>
  <c r="BL89" i="2"/>
  <c r="BK89" i="2"/>
  <c r="BJ89" i="2"/>
  <c r="BI89" i="2"/>
  <c r="BH89" i="2"/>
  <c r="BG89" i="2"/>
  <c r="BF89" i="2"/>
  <c r="BE89" i="2"/>
  <c r="BD89" i="2"/>
  <c r="BC89" i="2"/>
  <c r="BB89" i="2"/>
  <c r="BA89" i="2"/>
  <c r="AX89" i="2"/>
  <c r="BP94" i="2"/>
  <c r="BP91" i="2"/>
  <c r="BP90" i="2"/>
  <c r="BP89" i="2"/>
  <c r="CL84" i="2"/>
  <c r="AY60" i="2"/>
  <c r="AY90" i="2" s="1"/>
  <c r="AZ60" i="2"/>
  <c r="AZ91" i="2" s="1"/>
  <c r="AX60" i="2"/>
  <c r="CL60" i="2" s="1"/>
  <c r="CP51" i="2"/>
  <c r="CO51" i="2"/>
  <c r="CN51" i="2"/>
  <c r="CM51" i="2"/>
  <c r="CL51" i="2"/>
  <c r="CK51" i="2"/>
  <c r="CJ51" i="2"/>
  <c r="CI51" i="2"/>
  <c r="CH51" i="2"/>
  <c r="CG51" i="2"/>
  <c r="CF51" i="2"/>
  <c r="CE51" i="2"/>
  <c r="CD51" i="2"/>
  <c r="CC51" i="2"/>
  <c r="CB51" i="2"/>
  <c r="CA51" i="2"/>
  <c r="CK49" i="2"/>
  <c r="CJ49" i="2"/>
  <c r="CI49" i="2"/>
  <c r="CH49" i="2"/>
  <c r="CG49" i="2"/>
  <c r="CF49" i="2"/>
  <c r="CE49" i="2"/>
  <c r="CD49" i="2"/>
  <c r="CC49" i="2"/>
  <c r="CB49" i="2"/>
  <c r="CA49" i="2"/>
  <c r="CK47" i="2"/>
  <c r="CJ47" i="2"/>
  <c r="CI47" i="2"/>
  <c r="CH47" i="2"/>
  <c r="CG47" i="2"/>
  <c r="CF47" i="2"/>
  <c r="CE47" i="2"/>
  <c r="CD47" i="2"/>
  <c r="CC47" i="2"/>
  <c r="CB47" i="2"/>
  <c r="CA47" i="2"/>
  <c r="CK46" i="2"/>
  <c r="CJ46" i="2"/>
  <c r="CI46" i="2"/>
  <c r="CH46" i="2"/>
  <c r="CG46" i="2"/>
  <c r="CF46" i="2"/>
  <c r="CE46" i="2"/>
  <c r="CD46" i="2"/>
  <c r="CC46" i="2"/>
  <c r="CB46" i="2"/>
  <c r="CA46" i="2"/>
  <c r="CK45" i="2"/>
  <c r="CJ45" i="2"/>
  <c r="CI45" i="2"/>
  <c r="CH45" i="2"/>
  <c r="CG45" i="2"/>
  <c r="CF45" i="2"/>
  <c r="CE45" i="2"/>
  <c r="CD45" i="2"/>
  <c r="CC45" i="2"/>
  <c r="CB45" i="2"/>
  <c r="CA45" i="2"/>
  <c r="CK44" i="2"/>
  <c r="CJ44" i="2"/>
  <c r="CI44" i="2"/>
  <c r="CH44" i="2"/>
  <c r="CG44" i="2"/>
  <c r="CF44" i="2"/>
  <c r="CE44" i="2"/>
  <c r="CD44" i="2"/>
  <c r="CC44" i="2"/>
  <c r="CB44" i="2"/>
  <c r="CA44" i="2"/>
  <c r="CK42" i="2"/>
  <c r="CJ42" i="2"/>
  <c r="CI42" i="2"/>
  <c r="CH42" i="2"/>
  <c r="CG42" i="2"/>
  <c r="CF42" i="2"/>
  <c r="CE42" i="2"/>
  <c r="CD42" i="2"/>
  <c r="CC42" i="2"/>
  <c r="CB42" i="2"/>
  <c r="CA42" i="2"/>
  <c r="CK41" i="2"/>
  <c r="CJ41" i="2"/>
  <c r="CI41" i="2"/>
  <c r="CH41" i="2"/>
  <c r="CG41" i="2"/>
  <c r="CF41" i="2"/>
  <c r="CE41" i="2"/>
  <c r="CD41" i="2"/>
  <c r="CC41" i="2"/>
  <c r="CB41" i="2"/>
  <c r="CA41" i="2"/>
  <c r="CN86" i="2"/>
  <c r="CM86" i="2"/>
  <c r="CL86" i="2"/>
  <c r="CN84" i="2"/>
  <c r="CM84" i="2"/>
  <c r="CN83" i="2"/>
  <c r="CM83" i="2"/>
  <c r="CN82" i="2"/>
  <c r="CM82" i="2"/>
  <c r="CL82" i="2"/>
  <c r="CN81" i="2"/>
  <c r="CM81" i="2"/>
  <c r="CL81" i="2"/>
  <c r="CN80" i="2"/>
  <c r="CM80" i="2"/>
  <c r="CL80" i="2"/>
  <c r="CN79" i="2"/>
  <c r="CM79" i="2"/>
  <c r="CL79" i="2"/>
  <c r="CN78" i="2"/>
  <c r="CM78" i="2"/>
  <c r="CL78" i="2"/>
  <c r="CN77" i="2"/>
  <c r="CM77" i="2"/>
  <c r="CL77" i="2"/>
  <c r="CN76" i="2"/>
  <c r="CM76" i="2"/>
  <c r="CL76" i="2"/>
  <c r="CN75" i="2"/>
  <c r="CM75" i="2"/>
  <c r="CL75" i="2"/>
  <c r="CN72" i="2"/>
  <c r="CM72" i="2"/>
  <c r="CL72" i="2"/>
  <c r="CN71" i="2"/>
  <c r="CM71" i="2"/>
  <c r="CL71" i="2"/>
  <c r="CN70" i="2"/>
  <c r="CM70" i="2"/>
  <c r="CL70" i="2"/>
  <c r="CN69" i="2"/>
  <c r="CM69" i="2"/>
  <c r="CL69" i="2"/>
  <c r="CN68" i="2"/>
  <c r="CM68" i="2"/>
  <c r="CL68" i="2"/>
  <c r="CN67" i="2"/>
  <c r="CM67" i="2"/>
  <c r="CL67" i="2"/>
  <c r="CN66" i="2"/>
  <c r="CM66" i="2"/>
  <c r="CL66" i="2"/>
  <c r="CN65" i="2"/>
  <c r="CM65" i="2"/>
  <c r="CL65" i="2"/>
  <c r="CN64" i="2"/>
  <c r="CM64" i="2"/>
  <c r="CM89" i="2" s="1"/>
  <c r="CL64" i="2"/>
  <c r="CN63" i="2"/>
  <c r="CM63" i="2"/>
  <c r="CL63" i="2"/>
  <c r="CN62" i="2"/>
  <c r="CM62" i="2"/>
  <c r="CL62" i="2"/>
  <c r="CN61" i="2"/>
  <c r="CM61" i="2"/>
  <c r="CL61" i="2"/>
  <c r="CM60" i="2"/>
  <c r="CM90" i="2" s="1"/>
  <c r="CN60" i="2"/>
  <c r="CN90" i="2" s="1"/>
  <c r="CP86" i="2"/>
  <c r="CO86" i="2"/>
  <c r="CP84" i="2"/>
  <c r="CO84" i="2"/>
  <c r="CP83" i="2"/>
  <c r="CO83" i="2"/>
  <c r="CP82" i="2"/>
  <c r="CO82" i="2"/>
  <c r="CP81" i="2"/>
  <c r="CO81" i="2"/>
  <c r="CP80" i="2"/>
  <c r="CO80" i="2"/>
  <c r="CP79" i="2"/>
  <c r="CO79" i="2"/>
  <c r="CP78" i="2"/>
  <c r="CO78" i="2"/>
  <c r="CP77" i="2"/>
  <c r="CO77" i="2"/>
  <c r="CP76" i="2"/>
  <c r="CO76" i="2"/>
  <c r="CP75" i="2"/>
  <c r="CO75" i="2"/>
  <c r="CP72" i="2"/>
  <c r="CO72" i="2"/>
  <c r="CP71" i="2"/>
  <c r="CO71" i="2"/>
  <c r="CP70" i="2"/>
  <c r="CO70" i="2"/>
  <c r="CP69" i="2"/>
  <c r="CO69" i="2"/>
  <c r="CP68" i="2"/>
  <c r="CO68" i="2"/>
  <c r="CP67" i="2"/>
  <c r="CO67" i="2"/>
  <c r="CP66" i="2"/>
  <c r="CO66" i="2"/>
  <c r="CP65" i="2"/>
  <c r="CO65" i="2"/>
  <c r="CP64" i="2"/>
  <c r="CO64" i="2"/>
  <c r="CP63" i="2"/>
  <c r="CO63" i="2"/>
  <c r="CP62" i="2"/>
  <c r="CP89" i="2" s="1"/>
  <c r="CO62" i="2"/>
  <c r="CP61" i="2"/>
  <c r="CO61" i="2"/>
  <c r="CP60" i="2"/>
  <c r="CP91" i="2" s="1"/>
  <c r="CO60" i="2"/>
  <c r="CO90" i="2" s="1"/>
  <c r="AT55" i="2"/>
  <c r="AS55" i="2"/>
  <c r="AR55" i="2"/>
  <c r="AQ55" i="2"/>
  <c r="AP55" i="2"/>
  <c r="AO55" i="2"/>
  <c r="AN55" i="2"/>
  <c r="AM55" i="2"/>
  <c r="AL55" i="2"/>
  <c r="AK55" i="2"/>
  <c r="AJ55" i="2"/>
  <c r="AI55" i="2"/>
  <c r="AH55" i="2"/>
  <c r="AG55" i="2"/>
  <c r="AF55" i="2"/>
  <c r="AE55" i="2"/>
  <c r="AD55" i="2"/>
  <c r="AC55" i="2"/>
  <c r="AB55" i="2"/>
  <c r="AA55" i="2"/>
  <c r="Z55" i="2"/>
  <c r="Y55" i="2"/>
  <c r="X55" i="2"/>
  <c r="W55" i="2"/>
  <c r="V55" i="2"/>
  <c r="U55" i="2"/>
  <c r="T55" i="2"/>
  <c r="S55" i="2"/>
  <c r="R55" i="2"/>
  <c r="Q55" i="2"/>
  <c r="P55" i="2"/>
  <c r="O55" i="2"/>
  <c r="N55" i="2"/>
  <c r="M55" i="2"/>
  <c r="L55" i="2"/>
  <c r="K55" i="2"/>
  <c r="J55" i="2"/>
  <c r="I55" i="2"/>
  <c r="H55" i="2"/>
  <c r="G55" i="2"/>
  <c r="F55" i="2"/>
  <c r="E55" i="2"/>
  <c r="D55" i="2"/>
  <c r="C55" i="2"/>
  <c r="BQ40" i="2" l="1"/>
  <c r="BQ55" i="2"/>
  <c r="BQ93" i="2"/>
  <c r="BQ92" i="2"/>
  <c r="CL89" i="2"/>
  <c r="CL90" i="2"/>
  <c r="CL91" i="2"/>
  <c r="AY89" i="2"/>
  <c r="CN89" i="2"/>
  <c r="AZ89" i="2"/>
  <c r="AX90" i="2"/>
  <c r="CO89" i="2"/>
  <c r="CM91" i="2"/>
  <c r="AY73" i="2"/>
  <c r="AZ90" i="2"/>
  <c r="AX91" i="2"/>
  <c r="CO91" i="2"/>
  <c r="CP90" i="2"/>
  <c r="CN91" i="2"/>
  <c r="AY91" i="2"/>
  <c r="CQ46" i="2"/>
  <c r="BQ43" i="2" l="1"/>
  <c r="BQ54" i="2"/>
  <c r="CA3" i="2"/>
  <c r="J40" i="2"/>
  <c r="AX5" i="2"/>
  <c r="AX4" i="2"/>
  <c r="G40" i="2"/>
  <c r="F40" i="2"/>
  <c r="E40" i="2"/>
  <c r="D40" i="2"/>
  <c r="C40" i="2"/>
  <c r="AT40" i="2"/>
  <c r="AS40" i="2"/>
  <c r="AR40" i="2"/>
  <c r="AQ40" i="2"/>
  <c r="AP40" i="2"/>
  <c r="AO40" i="2"/>
  <c r="AN40" i="2"/>
  <c r="AM40" i="2"/>
  <c r="AL40" i="2"/>
  <c r="AK40" i="2"/>
  <c r="AJ40" i="2"/>
  <c r="AI40" i="2"/>
  <c r="AH40" i="2"/>
  <c r="AG40" i="2"/>
  <c r="AF40" i="2"/>
  <c r="AE40" i="2"/>
  <c r="AD40" i="2"/>
  <c r="AC40" i="2"/>
  <c r="AB40" i="2"/>
  <c r="AA40" i="2"/>
  <c r="Z40" i="2"/>
  <c r="Y40" i="2"/>
  <c r="X40" i="2"/>
  <c r="W40" i="2"/>
  <c r="V40" i="2"/>
  <c r="U40" i="2"/>
  <c r="T40" i="2"/>
  <c r="S40" i="2"/>
  <c r="R40" i="2"/>
  <c r="Q40" i="2"/>
  <c r="P40" i="2"/>
  <c r="O40" i="2"/>
  <c r="N40" i="2"/>
  <c r="M40" i="2"/>
  <c r="L40" i="2"/>
  <c r="K40" i="2"/>
  <c r="I40" i="2"/>
  <c r="H40" i="2"/>
  <c r="CE101" i="2"/>
  <c r="CD101" i="2"/>
  <c r="CC101" i="2"/>
  <c r="CB101" i="2"/>
  <c r="BQ56" i="2" l="1"/>
  <c r="BQ48" i="2"/>
  <c r="AT43" i="2"/>
  <c r="AT54" i="2"/>
  <c r="U43" i="2"/>
  <c r="U54" i="2"/>
  <c r="AS43" i="2"/>
  <c r="AS54" i="2"/>
  <c r="N43" i="2"/>
  <c r="N54" i="2"/>
  <c r="J43" i="2"/>
  <c r="J54" i="2"/>
  <c r="O43" i="2"/>
  <c r="CD40" i="2"/>
  <c r="O54" i="2"/>
  <c r="AE43" i="2"/>
  <c r="CH40" i="2"/>
  <c r="AE54" i="2"/>
  <c r="P43" i="2"/>
  <c r="P54" i="2"/>
  <c r="AF43" i="2"/>
  <c r="AF54" i="2"/>
  <c r="H43" i="2"/>
  <c r="H54" i="2"/>
  <c r="AG43" i="2"/>
  <c r="AG54" i="2"/>
  <c r="I43" i="2"/>
  <c r="I54" i="2"/>
  <c r="R43" i="2"/>
  <c r="R54" i="2"/>
  <c r="Z43" i="2"/>
  <c r="Z54" i="2"/>
  <c r="AH43" i="2"/>
  <c r="AH54" i="2"/>
  <c r="AP43" i="2"/>
  <c r="AP54" i="2"/>
  <c r="F43" i="2"/>
  <c r="F54" i="2"/>
  <c r="CB40" i="2"/>
  <c r="V43" i="2"/>
  <c r="V54" i="2"/>
  <c r="AL43" i="2"/>
  <c r="AL54" i="2"/>
  <c r="AN43" i="2"/>
  <c r="AN54" i="2"/>
  <c r="Q43" i="2"/>
  <c r="Q54" i="2"/>
  <c r="AO43" i="2"/>
  <c r="AO54" i="2"/>
  <c r="K43" i="2"/>
  <c r="CC40" i="2"/>
  <c r="K54" i="2"/>
  <c r="S43" i="2"/>
  <c r="S54" i="2"/>
  <c r="CE40" i="2"/>
  <c r="AA43" i="2"/>
  <c r="CG40" i="2"/>
  <c r="AA54" i="2"/>
  <c r="AI43" i="2"/>
  <c r="AI54" i="2"/>
  <c r="CI40" i="2"/>
  <c r="AQ43" i="2"/>
  <c r="CK40" i="2"/>
  <c r="AQ54" i="2"/>
  <c r="G43" i="2"/>
  <c r="G54" i="2"/>
  <c r="M43" i="2"/>
  <c r="M54" i="2"/>
  <c r="AC43" i="2"/>
  <c r="AC54" i="2"/>
  <c r="AK43" i="2"/>
  <c r="AK54" i="2"/>
  <c r="AD43" i="2"/>
  <c r="AD54" i="2"/>
  <c r="W43" i="2"/>
  <c r="CF40" i="2"/>
  <c r="W54" i="2"/>
  <c r="AM43" i="2"/>
  <c r="AM54" i="2"/>
  <c r="CJ40" i="2"/>
  <c r="C43" i="2"/>
  <c r="CA40" i="2"/>
  <c r="C54" i="2"/>
  <c r="X43" i="2"/>
  <c r="X54" i="2"/>
  <c r="D43" i="2"/>
  <c r="D54" i="2"/>
  <c r="Y43" i="2"/>
  <c r="Y54" i="2"/>
  <c r="E43" i="2"/>
  <c r="E54" i="2"/>
  <c r="L43" i="2"/>
  <c r="L54" i="2"/>
  <c r="T43" i="2"/>
  <c r="T54" i="2"/>
  <c r="AB43" i="2"/>
  <c r="AB54" i="2"/>
  <c r="AJ43" i="2"/>
  <c r="AJ54" i="2"/>
  <c r="AR43" i="2"/>
  <c r="AR54" i="2"/>
  <c r="BQ50" i="2" l="1"/>
  <c r="BQ57" i="2"/>
  <c r="C50" i="2"/>
  <c r="C48" i="2"/>
  <c r="C56" i="2"/>
  <c r="CA43" i="2"/>
  <c r="AJ48" i="2"/>
  <c r="AJ56" i="2"/>
  <c r="E48" i="2"/>
  <c r="E56" i="2"/>
  <c r="K48" i="2"/>
  <c r="K56" i="2"/>
  <c r="CC43" i="2"/>
  <c r="AL48" i="2"/>
  <c r="AL56" i="2"/>
  <c r="AB48" i="2"/>
  <c r="AB56" i="2"/>
  <c r="Y48" i="2"/>
  <c r="Y50" i="2" s="1"/>
  <c r="Y56" i="2"/>
  <c r="AA48" i="2"/>
  <c r="CG43" i="2"/>
  <c r="AA56" i="2"/>
  <c r="AO48" i="2"/>
  <c r="AO56" i="2"/>
  <c r="V48" i="2"/>
  <c r="V56" i="2"/>
  <c r="AE48" i="2"/>
  <c r="CH43" i="2"/>
  <c r="AE56" i="2"/>
  <c r="AK48" i="2"/>
  <c r="AK56" i="2"/>
  <c r="Z48" i="2"/>
  <c r="Z56" i="2"/>
  <c r="H48" i="2"/>
  <c r="H56" i="2"/>
  <c r="AS48" i="2"/>
  <c r="AS56" i="2"/>
  <c r="G48" i="2"/>
  <c r="G56" i="2"/>
  <c r="AG48" i="2"/>
  <c r="AG56" i="2"/>
  <c r="T48" i="2"/>
  <c r="T56" i="2"/>
  <c r="D48" i="2"/>
  <c r="D56" i="2"/>
  <c r="AM48" i="2"/>
  <c r="AM56" i="2"/>
  <c r="CJ43" i="2"/>
  <c r="AQ48" i="2"/>
  <c r="CK43" i="2"/>
  <c r="AQ56" i="2"/>
  <c r="Q48" i="2"/>
  <c r="Q56" i="2"/>
  <c r="N48" i="2"/>
  <c r="N56" i="2"/>
  <c r="AC48" i="2"/>
  <c r="AC56" i="2"/>
  <c r="S48" i="2"/>
  <c r="CE43" i="2"/>
  <c r="S56" i="2"/>
  <c r="F48" i="2"/>
  <c r="F56" i="2"/>
  <c r="CB43" i="2"/>
  <c r="R48" i="2"/>
  <c r="R56" i="2"/>
  <c r="AF48" i="2"/>
  <c r="AF56" i="2"/>
  <c r="O48" i="2"/>
  <c r="CD43" i="2"/>
  <c r="O56" i="2"/>
  <c r="U48" i="2"/>
  <c r="U56" i="2"/>
  <c r="AD48" i="2"/>
  <c r="AD56" i="2"/>
  <c r="AH48" i="2"/>
  <c r="AH56" i="2"/>
  <c r="AR48" i="2"/>
  <c r="AR56" i="2"/>
  <c r="L48" i="2"/>
  <c r="L56" i="2"/>
  <c r="X48" i="2"/>
  <c r="X56" i="2"/>
  <c r="AN48" i="2"/>
  <c r="AN56" i="2"/>
  <c r="W48" i="2"/>
  <c r="CF43" i="2"/>
  <c r="W56" i="2"/>
  <c r="M48" i="2"/>
  <c r="M56" i="2"/>
  <c r="AI48" i="2"/>
  <c r="AI56" i="2"/>
  <c r="CI43" i="2"/>
  <c r="AP48" i="2"/>
  <c r="AP56" i="2"/>
  <c r="I48" i="2"/>
  <c r="I56" i="2"/>
  <c r="P48" i="2"/>
  <c r="P56" i="2"/>
  <c r="J48" i="2"/>
  <c r="J56" i="2"/>
  <c r="AT48" i="2"/>
  <c r="AT56" i="2"/>
  <c r="BQ98" i="2" l="1"/>
  <c r="BQ58" i="2"/>
  <c r="BQ96" i="2"/>
  <c r="BQ52" i="2"/>
  <c r="BQ95" i="2"/>
  <c r="Y58" i="2"/>
  <c r="Y52" i="2"/>
  <c r="AE50" i="2"/>
  <c r="AE57" i="2"/>
  <c r="CH48" i="2"/>
  <c r="K50" i="2"/>
  <c r="K57" i="2"/>
  <c r="CC48" i="2"/>
  <c r="CC57" i="2" s="1"/>
  <c r="AF50" i="2"/>
  <c r="AF57" i="2"/>
  <c r="T50" i="2"/>
  <c r="T57" i="2"/>
  <c r="P50" i="2"/>
  <c r="P57" i="2"/>
  <c r="AD50" i="2"/>
  <c r="AD57" i="2"/>
  <c r="V50" i="2"/>
  <c r="V57" i="2"/>
  <c r="E50" i="2"/>
  <c r="E57" i="2"/>
  <c r="M50" i="2"/>
  <c r="M57" i="2"/>
  <c r="R50" i="2"/>
  <c r="R57" i="2"/>
  <c r="AC50" i="2"/>
  <c r="AC57" i="2"/>
  <c r="AG50" i="2"/>
  <c r="AG57" i="2"/>
  <c r="Z50" i="2"/>
  <c r="Z57" i="2"/>
  <c r="AB50" i="2"/>
  <c r="AB57" i="2"/>
  <c r="J50" i="2"/>
  <c r="J57" i="2"/>
  <c r="AH50" i="2"/>
  <c r="AH57" i="2"/>
  <c r="H50" i="2"/>
  <c r="H57" i="2"/>
  <c r="AQ50" i="2"/>
  <c r="CK48" i="2"/>
  <c r="AQ57" i="2"/>
  <c r="I50" i="2"/>
  <c r="I57" i="2"/>
  <c r="L50" i="2"/>
  <c r="L57" i="2"/>
  <c r="U50" i="2"/>
  <c r="U57" i="2"/>
  <c r="AO50" i="2"/>
  <c r="AO57" i="2"/>
  <c r="AJ50" i="2"/>
  <c r="AJ57" i="2"/>
  <c r="N50" i="2"/>
  <c r="N57" i="2"/>
  <c r="AM50" i="2"/>
  <c r="AM57" i="2"/>
  <c r="CJ48" i="2"/>
  <c r="G50" i="2"/>
  <c r="G57" i="2"/>
  <c r="AK50" i="2"/>
  <c r="AK57" i="2"/>
  <c r="AL50" i="2"/>
  <c r="AL57" i="2"/>
  <c r="AN50" i="2"/>
  <c r="AN57" i="2"/>
  <c r="C58" i="2"/>
  <c r="C52" i="2"/>
  <c r="AI50" i="2"/>
  <c r="AI57" i="2"/>
  <c r="CI48" i="2"/>
  <c r="S50" i="2"/>
  <c r="CE48" i="2"/>
  <c r="S57" i="2"/>
  <c r="X50" i="2"/>
  <c r="X57" i="2"/>
  <c r="AT50" i="2"/>
  <c r="AT57" i="2"/>
  <c r="AP50" i="2"/>
  <c r="AP57" i="2"/>
  <c r="W50" i="2"/>
  <c r="CF48" i="2"/>
  <c r="W57" i="2"/>
  <c r="AR50" i="2"/>
  <c r="AR57" i="2"/>
  <c r="F57" i="2"/>
  <c r="CB48" i="2"/>
  <c r="F50" i="2"/>
  <c r="O50" i="2"/>
  <c r="O57" i="2"/>
  <c r="CD48" i="2"/>
  <c r="Q50" i="2"/>
  <c r="Q57" i="2"/>
  <c r="D50" i="2"/>
  <c r="CA50" i="2" s="1"/>
  <c r="D57" i="2"/>
  <c r="AS50" i="2"/>
  <c r="AS57" i="2"/>
  <c r="AA50" i="2"/>
  <c r="CG48" i="2"/>
  <c r="AA57" i="2"/>
  <c r="C57" i="2"/>
  <c r="CA48" i="2"/>
  <c r="AP58" i="2" l="1"/>
  <c r="AP52" i="2"/>
  <c r="AN58" i="2"/>
  <c r="AN52" i="2"/>
  <c r="AQ58" i="2"/>
  <c r="CK50" i="2"/>
  <c r="AQ52" i="2"/>
  <c r="AB58" i="2"/>
  <c r="AB52" i="2"/>
  <c r="R58" i="2"/>
  <c r="R52" i="2"/>
  <c r="AD58" i="2"/>
  <c r="AD52" i="2"/>
  <c r="U58" i="2"/>
  <c r="U52" i="2"/>
  <c r="K58" i="2"/>
  <c r="CC50" i="2"/>
  <c r="K52" i="2"/>
  <c r="AT58" i="2"/>
  <c r="AT52" i="2"/>
  <c r="AI58" i="2"/>
  <c r="CI50" i="2"/>
  <c r="AI52" i="2"/>
  <c r="AL58" i="2"/>
  <c r="AL52" i="2"/>
  <c r="H58" i="2"/>
  <c r="H52" i="2"/>
  <c r="Z58" i="2"/>
  <c r="Z52" i="2"/>
  <c r="M58" i="2"/>
  <c r="M52" i="2"/>
  <c r="P58" i="2"/>
  <c r="P52" i="2"/>
  <c r="N58" i="2"/>
  <c r="N52" i="2"/>
  <c r="L58" i="2"/>
  <c r="L52" i="2"/>
  <c r="Q58" i="2"/>
  <c r="Q52" i="2"/>
  <c r="X58" i="2"/>
  <c r="X52" i="2"/>
  <c r="AK58" i="2"/>
  <c r="AK52" i="2"/>
  <c r="AH58" i="2"/>
  <c r="AH52" i="2"/>
  <c r="AG58" i="2"/>
  <c r="AG52" i="2"/>
  <c r="E58" i="2"/>
  <c r="E52" i="2"/>
  <c r="T58" i="2"/>
  <c r="T52" i="2"/>
  <c r="AE58" i="2"/>
  <c r="CH50" i="2"/>
  <c r="AE52" i="2"/>
  <c r="CG50" i="2"/>
  <c r="AA58" i="2"/>
  <c r="AA52" i="2"/>
  <c r="AJ58" i="2"/>
  <c r="AJ52" i="2"/>
  <c r="I58" i="2"/>
  <c r="I52" i="2"/>
  <c r="AM58" i="2"/>
  <c r="CJ50" i="2"/>
  <c r="AM52" i="2"/>
  <c r="AR58" i="2"/>
  <c r="AR52" i="2"/>
  <c r="CD50" i="2"/>
  <c r="O58" i="2"/>
  <c r="O52" i="2"/>
  <c r="CF50" i="2"/>
  <c r="W58" i="2"/>
  <c r="W52" i="2"/>
  <c r="CF52" i="2" s="1"/>
  <c r="G58" i="2"/>
  <c r="G52" i="2"/>
  <c r="J52" i="2"/>
  <c r="J58" i="2"/>
  <c r="AC58" i="2"/>
  <c r="AC52" i="2"/>
  <c r="V58" i="2"/>
  <c r="V52" i="2"/>
  <c r="AF58" i="2"/>
  <c r="AF52" i="2"/>
  <c r="D58" i="2"/>
  <c r="D52" i="2"/>
  <c r="CA52" i="2" s="1"/>
  <c r="AS58" i="2"/>
  <c r="AS52" i="2"/>
  <c r="F52" i="2"/>
  <c r="CB52" i="2" s="1"/>
  <c r="CB50" i="2"/>
  <c r="F58" i="2"/>
  <c r="S58" i="2"/>
  <c r="CE50" i="2"/>
  <c r="S52" i="2"/>
  <c r="CE52" i="2" s="1"/>
  <c r="AO58" i="2"/>
  <c r="AO52" i="2"/>
  <c r="CH52" i="2" l="1"/>
  <c r="CJ52" i="2"/>
  <c r="CD52" i="2"/>
  <c r="CG52" i="2"/>
  <c r="CI52" i="2"/>
  <c r="CC52" i="2"/>
  <c r="CK52" i="2"/>
  <c r="H103" i="2" l="1"/>
  <c r="G103" i="2"/>
  <c r="F103" i="2"/>
  <c r="E103" i="2"/>
  <c r="D103" i="2"/>
  <c r="BM103" i="2"/>
  <c r="BI103" i="2"/>
  <c r="BE103" i="2"/>
  <c r="BA103" i="2"/>
  <c r="AW103" i="2"/>
  <c r="AO103" i="2"/>
  <c r="AG103" i="2"/>
  <c r="AC103" i="2"/>
  <c r="Y103" i="2"/>
  <c r="U103" i="2"/>
  <c r="Q103" i="2"/>
  <c r="M103" i="2"/>
  <c r="AX49" i="2"/>
  <c r="CL49" i="2" s="1"/>
  <c r="AX47" i="2"/>
  <c r="CL47" i="2" s="1"/>
  <c r="AX46" i="2"/>
  <c r="CL46" i="2" s="1"/>
  <c r="AX45" i="2"/>
  <c r="CL45" i="2" s="1"/>
  <c r="AX44" i="2"/>
  <c r="CL44" i="2" s="1"/>
  <c r="AX42" i="2"/>
  <c r="CL42" i="2" s="1"/>
  <c r="AX41" i="2"/>
  <c r="CL41" i="2" s="1"/>
  <c r="AX39" i="2"/>
  <c r="AX94" i="2" s="1"/>
  <c r="BB49" i="2"/>
  <c r="CM49" i="2" s="1"/>
  <c r="BB47" i="2"/>
  <c r="CM47" i="2" s="1"/>
  <c r="BB46" i="2"/>
  <c r="CM46" i="2" s="1"/>
  <c r="BB45" i="2"/>
  <c r="CM45" i="2" s="1"/>
  <c r="BB44" i="2"/>
  <c r="CM44" i="2" s="1"/>
  <c r="BB42" i="2"/>
  <c r="CM42" i="2" s="1"/>
  <c r="BB41" i="2"/>
  <c r="CM41" i="2" s="1"/>
  <c r="BB39" i="2"/>
  <c r="BB94" i="2" s="1"/>
  <c r="BF49" i="2"/>
  <c r="CN49" i="2" s="1"/>
  <c r="BF47" i="2"/>
  <c r="CN47" i="2" s="1"/>
  <c r="BF46" i="2"/>
  <c r="CN46" i="2" s="1"/>
  <c r="BF45" i="2"/>
  <c r="CN45" i="2" s="1"/>
  <c r="BF44" i="2"/>
  <c r="CN44" i="2" s="1"/>
  <c r="BF42" i="2"/>
  <c r="CN42" i="2" s="1"/>
  <c r="BF41" i="2"/>
  <c r="CN41" i="2" s="1"/>
  <c r="BF39" i="2"/>
  <c r="BF94" i="2" s="1"/>
  <c r="BJ49" i="2"/>
  <c r="CO49" i="2" s="1"/>
  <c r="BJ47" i="2"/>
  <c r="CO47" i="2" s="1"/>
  <c r="BJ46" i="2"/>
  <c r="CO46" i="2" s="1"/>
  <c r="BJ45" i="2"/>
  <c r="CO45" i="2" s="1"/>
  <c r="BJ44" i="2"/>
  <c r="CO44" i="2" s="1"/>
  <c r="BJ42" i="2"/>
  <c r="CO42" i="2" s="1"/>
  <c r="BJ41" i="2"/>
  <c r="CO41" i="2" s="1"/>
  <c r="BJ39" i="2"/>
  <c r="BJ94" i="2" s="1"/>
  <c r="BN49" i="2"/>
  <c r="CP49" i="2" s="1"/>
  <c r="BN47" i="2"/>
  <c r="CP47" i="2" s="1"/>
  <c r="BN46" i="2"/>
  <c r="CP46" i="2" s="1"/>
  <c r="BN45" i="2"/>
  <c r="CP45" i="2" s="1"/>
  <c r="BN44" i="2"/>
  <c r="CP44" i="2" s="1"/>
  <c r="BN42" i="2"/>
  <c r="CP42" i="2" s="1"/>
  <c r="BN41" i="2"/>
  <c r="CP41" i="2" s="1"/>
  <c r="BN39" i="2"/>
  <c r="BN94" i="2" s="1"/>
  <c r="CP102" i="2"/>
  <c r="CO102" i="2"/>
  <c r="CN102" i="2"/>
  <c r="CM102" i="2"/>
  <c r="CL102" i="2"/>
  <c r="CK102" i="2"/>
  <c r="CJ102" i="2"/>
  <c r="CI102" i="2"/>
  <c r="CH102" i="2"/>
  <c r="CG102" i="2"/>
  <c r="CD102" i="2"/>
  <c r="CD103" i="2" s="1"/>
  <c r="CC102" i="2"/>
  <c r="CC103" i="2" s="1"/>
  <c r="CB102" i="2"/>
  <c r="CB103" i="2" s="1"/>
  <c r="CA102" i="2"/>
  <c r="CK39" i="2"/>
  <c r="CJ39" i="2"/>
  <c r="CI39" i="2"/>
  <c r="CH39" i="2"/>
  <c r="CG39" i="2"/>
  <c r="CF39" i="2"/>
  <c r="CE39" i="2"/>
  <c r="CD39" i="2"/>
  <c r="CC39" i="2"/>
  <c r="CB39" i="2"/>
  <c r="CA39" i="2"/>
  <c r="CF102" i="2"/>
  <c r="CE102" i="2"/>
  <c r="CE103" i="2" s="1"/>
  <c r="CA101" i="2"/>
  <c r="CP100" i="2"/>
  <c r="CO100" i="2"/>
  <c r="CN100" i="2"/>
  <c r="CM100" i="2"/>
  <c r="CL100" i="2"/>
  <c r="CK100" i="2"/>
  <c r="CJ100" i="2"/>
  <c r="CI100" i="2"/>
  <c r="CH100" i="2"/>
  <c r="CG100" i="2"/>
  <c r="CF100" i="2"/>
  <c r="CE100" i="2"/>
  <c r="CD100" i="2"/>
  <c r="CC100" i="2"/>
  <c r="CB100" i="2"/>
  <c r="CA100" i="2"/>
  <c r="CP99" i="2"/>
  <c r="CO99" i="2"/>
  <c r="CN99" i="2"/>
  <c r="CM99" i="2"/>
  <c r="CL99" i="2"/>
  <c r="CK99" i="2"/>
  <c r="CJ99" i="2"/>
  <c r="CI99" i="2"/>
  <c r="CH99" i="2"/>
  <c r="CG99" i="2"/>
  <c r="CF99" i="2"/>
  <c r="CE99" i="2"/>
  <c r="CD99" i="2"/>
  <c r="CC99" i="2"/>
  <c r="CB99" i="2"/>
  <c r="CA99" i="2"/>
  <c r="CK98" i="2"/>
  <c r="CJ98" i="2"/>
  <c r="CI98" i="2"/>
  <c r="CH98" i="2"/>
  <c r="CG98" i="2"/>
  <c r="CF98" i="2"/>
  <c r="CE98" i="2"/>
  <c r="CD98" i="2"/>
  <c r="CC98" i="2"/>
  <c r="CB98" i="2"/>
  <c r="CA98" i="2"/>
  <c r="BO16" i="2"/>
  <c r="BM16" i="2"/>
  <c r="BL16" i="2"/>
  <c r="BK16" i="2"/>
  <c r="BI16" i="2"/>
  <c r="BH16" i="2"/>
  <c r="BG16" i="2"/>
  <c r="BO15" i="2"/>
  <c r="BM15" i="2"/>
  <c r="BL15" i="2"/>
  <c r="BK15" i="2"/>
  <c r="BI15" i="2"/>
  <c r="BH15" i="2"/>
  <c r="BG15" i="2"/>
  <c r="BO13" i="2"/>
  <c r="BM13" i="2"/>
  <c r="BL13" i="2"/>
  <c r="BK13" i="2"/>
  <c r="BI13" i="2"/>
  <c r="BH13" i="2"/>
  <c r="BG13" i="2"/>
  <c r="BE13" i="2"/>
  <c r="BD13" i="2"/>
  <c r="BC13" i="2"/>
  <c r="BA13" i="2"/>
  <c r="AZ13" i="2"/>
  <c r="AY13" i="2"/>
  <c r="BO12" i="2"/>
  <c r="BM12" i="2"/>
  <c r="BL12" i="2"/>
  <c r="BK12" i="2"/>
  <c r="BI12" i="2"/>
  <c r="BH12" i="2"/>
  <c r="BG12" i="2"/>
  <c r="BE12" i="2"/>
  <c r="BD12" i="2"/>
  <c r="BC12" i="2"/>
  <c r="BA12" i="2"/>
  <c r="AZ12" i="2"/>
  <c r="AY12" i="2"/>
  <c r="BL103" i="2" l="1"/>
  <c r="BK103" i="2"/>
  <c r="O103" i="2"/>
  <c r="W103" i="2"/>
  <c r="P103" i="2"/>
  <c r="AF103" i="2"/>
  <c r="AN103" i="2"/>
  <c r="AV103" i="2"/>
  <c r="BD103" i="2"/>
  <c r="BC103" i="2"/>
  <c r="AM103" i="2"/>
  <c r="AU103" i="2"/>
  <c r="AE103" i="2"/>
  <c r="R103" i="2"/>
  <c r="BN103" i="2"/>
  <c r="CA103" i="2"/>
  <c r="K103" i="2"/>
  <c r="BG103" i="2"/>
  <c r="L103" i="2"/>
  <c r="AJ103" i="2"/>
  <c r="AZ103" i="2"/>
  <c r="BH103" i="2"/>
  <c r="BP103" i="2"/>
  <c r="AX103" i="2"/>
  <c r="S103" i="2"/>
  <c r="BO103" i="2"/>
  <c r="AP103" i="2"/>
  <c r="J103" i="2"/>
  <c r="BF103" i="2"/>
  <c r="AY103" i="2"/>
  <c r="N103" i="2"/>
  <c r="T103" i="2"/>
  <c r="V103" i="2"/>
  <c r="X103" i="2"/>
  <c r="Z103" i="2"/>
  <c r="AA103" i="2"/>
  <c r="AB103" i="2"/>
  <c r="AH103" i="2"/>
  <c r="AI103" i="2"/>
  <c r="AK103" i="2"/>
  <c r="AQ103" i="2"/>
  <c r="AR103" i="2"/>
  <c r="AS103" i="2"/>
  <c r="CG101" i="2"/>
  <c r="CG103" i="2" s="1"/>
  <c r="CI101" i="2"/>
  <c r="CI103" i="2" s="1"/>
  <c r="CK101" i="2"/>
  <c r="CK103" i="2" s="1"/>
  <c r="CM101" i="2"/>
  <c r="CM103" i="2" s="1"/>
  <c r="CO101" i="2"/>
  <c r="CO103" i="2" s="1"/>
  <c r="CK57" i="2"/>
  <c r="CF57" i="2"/>
  <c r="CG57" i="2"/>
  <c r="CL101" i="2"/>
  <c r="CL103" i="2" s="1"/>
  <c r="CH57" i="2"/>
  <c r="AD103" i="2"/>
  <c r="AL103" i="2"/>
  <c r="AT103" i="2"/>
  <c r="BB103" i="2"/>
  <c r="BJ103" i="2"/>
  <c r="CA57" i="2"/>
  <c r="CI57" i="2"/>
  <c r="CB57" i="2"/>
  <c r="CJ57" i="2"/>
  <c r="I103" i="2"/>
  <c r="CD57" i="2"/>
  <c r="CF101" i="2"/>
  <c r="CF103" i="2" s="1"/>
  <c r="CH101" i="2"/>
  <c r="CH103" i="2" s="1"/>
  <c r="CJ101" i="2"/>
  <c r="CJ103" i="2" s="1"/>
  <c r="CN101" i="2"/>
  <c r="CN103" i="2" s="1"/>
  <c r="CP101" i="2"/>
  <c r="CP103" i="2" s="1"/>
  <c r="CE57" i="2"/>
  <c r="AU8" i="2"/>
  <c r="AU7" i="2"/>
  <c r="AV7" i="2" s="1"/>
  <c r="BP16" i="2"/>
  <c r="BP15" i="2"/>
  <c r="BP13" i="2"/>
  <c r="BP12" i="2"/>
  <c r="BF5" i="2"/>
  <c r="BF4" i="2"/>
  <c r="BB8" i="2"/>
  <c r="BB7" i="2"/>
  <c r="BB5" i="2"/>
  <c r="BB13" i="2" s="1"/>
  <c r="BB4" i="2"/>
  <c r="BB12" i="2" s="1"/>
  <c r="BM24" i="2"/>
  <c r="BM23" i="2"/>
  <c r="BF7" i="2"/>
  <c r="BF8" i="2"/>
  <c r="BJ8" i="2"/>
  <c r="BJ7" i="2"/>
  <c r="BJ5" i="2"/>
  <c r="BJ4" i="2"/>
  <c r="BN27" i="2"/>
  <c r="CP27" i="2" s="1"/>
  <c r="BN26" i="2"/>
  <c r="CP26" i="2" s="1"/>
  <c r="BN8" i="2"/>
  <c r="BN7" i="2"/>
  <c r="BN5" i="2"/>
  <c r="BN4" i="2"/>
  <c r="BK24" i="2"/>
  <c r="BK23" i="2"/>
  <c r="BO24" i="2"/>
  <c r="BO23" i="2"/>
  <c r="BL24" i="2"/>
  <c r="BL23" i="2"/>
  <c r="BP24" i="2"/>
  <c r="BP23" i="2"/>
  <c r="CL39" i="2"/>
  <c r="CL94" i="2" s="1"/>
  <c r="CM39" i="2"/>
  <c r="CM94" i="2" s="1"/>
  <c r="CN39" i="2"/>
  <c r="CN94" i="2" s="1"/>
  <c r="CO39" i="2"/>
  <c r="CO94" i="2" s="1"/>
  <c r="CP39" i="2"/>
  <c r="CP94" i="2" s="1"/>
  <c r="BJ13" i="2" l="1"/>
  <c r="BJ15" i="2"/>
  <c r="BJ16" i="2"/>
  <c r="BN24" i="2"/>
  <c r="CP28" i="2"/>
  <c r="BF12" i="2"/>
  <c r="BN12" i="2"/>
  <c r="BN13" i="2"/>
  <c r="BN16" i="2"/>
  <c r="BF13" i="2"/>
  <c r="BN15" i="2"/>
  <c r="BN23" i="2"/>
  <c r="CP23" i="2" s="1"/>
  <c r="AV8" i="2"/>
  <c r="AW8" i="2" s="1"/>
  <c r="CP24" i="2"/>
  <c r="BJ12" i="2"/>
  <c r="AW7" i="2"/>
  <c r="AX7" i="2" s="1"/>
  <c r="CP25" i="2" l="1"/>
  <c r="CP29" i="2" s="1"/>
  <c r="CP36" i="2" s="1"/>
  <c r="AX8" i="2"/>
  <c r="BO85" i="2"/>
  <c r="BO87" i="2" s="1"/>
  <c r="BN85" i="2"/>
  <c r="CP85" i="2" s="1"/>
  <c r="BM85" i="2"/>
  <c r="BM87" i="2" s="1"/>
  <c r="BL85" i="2"/>
  <c r="BL87" i="2" s="1"/>
  <c r="BK85" i="2"/>
  <c r="BK87" i="2" s="1"/>
  <c r="BJ85" i="2"/>
  <c r="CO85" i="2" s="1"/>
  <c r="BI85" i="2"/>
  <c r="BI87" i="2" s="1"/>
  <c r="BH85" i="2"/>
  <c r="BH87" i="2" s="1"/>
  <c r="BG85" i="2"/>
  <c r="BG87" i="2" s="1"/>
  <c r="BF85" i="2"/>
  <c r="CN85" i="2" s="1"/>
  <c r="BE85" i="2"/>
  <c r="BE87" i="2" s="1"/>
  <c r="BD85" i="2"/>
  <c r="BD87" i="2" s="1"/>
  <c r="BC85" i="2"/>
  <c r="BC87" i="2" s="1"/>
  <c r="BB85" i="2"/>
  <c r="CM85" i="2" s="1"/>
  <c r="BA85" i="2"/>
  <c r="BA87" i="2" s="1"/>
  <c r="AZ85" i="2"/>
  <c r="AZ87" i="2" s="1"/>
  <c r="AY85" i="2"/>
  <c r="AY87" i="2" s="1"/>
  <c r="AX85" i="2"/>
  <c r="BP85" i="2"/>
  <c r="BP87" i="2" s="1"/>
  <c r="BO73" i="2"/>
  <c r="BN73" i="2"/>
  <c r="CP73" i="2" s="1"/>
  <c r="BM73" i="2"/>
  <c r="BL73" i="2"/>
  <c r="BK73" i="2"/>
  <c r="BJ73" i="2"/>
  <c r="CO73" i="2" s="1"/>
  <c r="BI73" i="2"/>
  <c r="BH73" i="2"/>
  <c r="BG73" i="2"/>
  <c r="BF73" i="2"/>
  <c r="CN73" i="2" s="1"/>
  <c r="BE73" i="2"/>
  <c r="BD73" i="2"/>
  <c r="BC73" i="2"/>
  <c r="BB73" i="2"/>
  <c r="CM73" i="2" s="1"/>
  <c r="BA73" i="2"/>
  <c r="AZ73" i="2"/>
  <c r="AX73" i="2"/>
  <c r="CL73" i="2" s="1"/>
  <c r="BP73" i="2"/>
  <c r="CL85" i="2" l="1"/>
  <c r="CL83" i="2"/>
  <c r="CP35" i="2"/>
  <c r="BN87" i="2"/>
  <c r="CP87" i="2" s="1"/>
  <c r="BF87" i="2"/>
  <c r="CN87" i="2" s="1"/>
  <c r="BB87" i="2"/>
  <c r="CM87" i="2" s="1"/>
  <c r="BJ87" i="2"/>
  <c r="CO87" i="2" s="1"/>
  <c r="AX87" i="2"/>
  <c r="CL87" i="2" s="1"/>
  <c r="BO28" i="2"/>
  <c r="BN28" i="2"/>
  <c r="BM28" i="2"/>
  <c r="BL28" i="2"/>
  <c r="BK28" i="2"/>
  <c r="BO25" i="2"/>
  <c r="BN25" i="2"/>
  <c r="BM25" i="2"/>
  <c r="BL25" i="2"/>
  <c r="BK25" i="2"/>
  <c r="BP28" i="2"/>
  <c r="BP25" i="2"/>
  <c r="BP9" i="2"/>
  <c r="BP17" i="2" s="1"/>
  <c r="BP6" i="2"/>
  <c r="BN9" i="2"/>
  <c r="BM9" i="2"/>
  <c r="BL9" i="2"/>
  <c r="BK9" i="2"/>
  <c r="BJ9" i="2"/>
  <c r="BI9" i="2"/>
  <c r="BH9" i="2"/>
  <c r="BH17" i="2" s="1"/>
  <c r="BG9" i="2"/>
  <c r="BF9" i="2"/>
  <c r="BE9" i="2"/>
  <c r="BD9" i="2"/>
  <c r="BC9" i="2"/>
  <c r="BB9" i="2"/>
  <c r="BA9" i="2"/>
  <c r="AZ9" i="2"/>
  <c r="AY9" i="2"/>
  <c r="AX9" i="2"/>
  <c r="AW9" i="2"/>
  <c r="AV9" i="2"/>
  <c r="AU9" i="2"/>
  <c r="BN6" i="2"/>
  <c r="BM6" i="2"/>
  <c r="BL6" i="2"/>
  <c r="BL14" i="2" s="1"/>
  <c r="BK6" i="2"/>
  <c r="BJ6" i="2"/>
  <c r="BI6" i="2"/>
  <c r="BH6" i="2"/>
  <c r="BG6" i="2"/>
  <c r="BF6" i="2"/>
  <c r="BE6" i="2"/>
  <c r="BD6" i="2"/>
  <c r="BD14" i="2" s="1"/>
  <c r="BC6" i="2"/>
  <c r="BB6" i="2"/>
  <c r="BA6" i="2"/>
  <c r="AZ6" i="2"/>
  <c r="AY6" i="2"/>
  <c r="AX6" i="2"/>
  <c r="AW6" i="2"/>
  <c r="AV6" i="2"/>
  <c r="AU6" i="2"/>
  <c r="BO6" i="2"/>
  <c r="BO9" i="2"/>
  <c r="BE14" i="2" l="1"/>
  <c r="BI17" i="2"/>
  <c r="BJ17" i="2"/>
  <c r="BF14" i="2"/>
  <c r="BM14" i="2"/>
  <c r="BN14" i="2"/>
  <c r="BC14" i="2"/>
  <c r="BK14" i="2"/>
  <c r="BG17" i="2"/>
  <c r="BP14" i="2"/>
  <c r="AY14" i="2"/>
  <c r="BK17" i="2"/>
  <c r="BK29" i="2"/>
  <c r="BK35" i="2" s="1"/>
  <c r="BG14" i="2"/>
  <c r="AZ14" i="2"/>
  <c r="BL17" i="2"/>
  <c r="BI14" i="2"/>
  <c r="BM17" i="2"/>
  <c r="BH14" i="2"/>
  <c r="BO32" i="2"/>
  <c r="BO17" i="2"/>
  <c r="BA14" i="2"/>
  <c r="BO14" i="2"/>
  <c r="BB14" i="2"/>
  <c r="BJ14" i="2"/>
  <c r="BN17" i="2"/>
  <c r="AV10" i="2"/>
  <c r="AV38" i="2" s="1"/>
  <c r="BD10" i="2"/>
  <c r="BD38" i="2" s="1"/>
  <c r="BL10" i="2"/>
  <c r="BP29" i="2"/>
  <c r="BM29" i="2"/>
  <c r="BO31" i="2"/>
  <c r="BL29" i="2"/>
  <c r="BP31" i="2"/>
  <c r="BP32" i="2"/>
  <c r="BO29" i="2"/>
  <c r="AX10" i="2"/>
  <c r="AX38" i="2" s="1"/>
  <c r="BF10" i="2"/>
  <c r="BF38" i="2" s="1"/>
  <c r="BN29" i="2"/>
  <c r="BN10" i="2"/>
  <c r="BN38" i="2" s="1"/>
  <c r="AY10" i="2"/>
  <c r="BG10" i="2"/>
  <c r="AZ10" i="2"/>
  <c r="AZ18" i="2" s="1"/>
  <c r="BP10" i="2"/>
  <c r="BA10" i="2"/>
  <c r="BB10" i="2"/>
  <c r="AW10" i="2"/>
  <c r="BE10" i="2"/>
  <c r="BM10" i="2"/>
  <c r="BI10" i="2"/>
  <c r="BJ10" i="2"/>
  <c r="BH10" i="2"/>
  <c r="BH38" i="2" s="1"/>
  <c r="AU10" i="2"/>
  <c r="AU38" i="2" s="1"/>
  <c r="BC10" i="2"/>
  <c r="BC38" i="2" s="1"/>
  <c r="BK10" i="2"/>
  <c r="BO10" i="2"/>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169" i="3"/>
  <c r="CZ66" i="2"/>
  <c r="CZ72" i="2"/>
  <c r="CZ70" i="2"/>
  <c r="BG38" i="2"/>
  <c r="CK38" i="2"/>
  <c r="CJ38" i="2"/>
  <c r="CI38" i="2"/>
  <c r="CH38" i="2"/>
  <c r="CG38" i="2"/>
  <c r="CF38" i="2"/>
  <c r="CE38" i="2"/>
  <c r="CD38" i="2"/>
  <c r="CC38" i="2"/>
  <c r="CB38" i="2"/>
  <c r="CA38" i="2"/>
  <c r="CP9" i="2"/>
  <c r="CO9" i="2"/>
  <c r="CN9" i="2"/>
  <c r="CM9" i="2"/>
  <c r="CL9" i="2"/>
  <c r="CP8" i="2"/>
  <c r="CQ8" i="2" s="1"/>
  <c r="CR8" i="2" s="1"/>
  <c r="CS8" i="2" s="1"/>
  <c r="CT8" i="2" s="1"/>
  <c r="CU8" i="2" s="1"/>
  <c r="CV8" i="2" s="1"/>
  <c r="CW8" i="2" s="1"/>
  <c r="CX8" i="2" s="1"/>
  <c r="CY8" i="2" s="1"/>
  <c r="CZ8" i="2" s="1"/>
  <c r="CO8" i="2"/>
  <c r="CN8" i="2"/>
  <c r="CM8" i="2"/>
  <c r="CL8" i="2"/>
  <c r="CP7" i="2"/>
  <c r="CQ7" i="2" s="1"/>
  <c r="CO7" i="2"/>
  <c r="CN7" i="2"/>
  <c r="CM7" i="2"/>
  <c r="CL7" i="2"/>
  <c r="CP6" i="2"/>
  <c r="CO6" i="2"/>
  <c r="CN6" i="2"/>
  <c r="CM6" i="2"/>
  <c r="CL6" i="2"/>
  <c r="CP5" i="2"/>
  <c r="CQ5" i="2" s="1"/>
  <c r="CR5" i="2" s="1"/>
  <c r="CS5" i="2" s="1"/>
  <c r="CT5" i="2" s="1"/>
  <c r="CU5" i="2" s="1"/>
  <c r="CV5" i="2" s="1"/>
  <c r="CW5" i="2" s="1"/>
  <c r="CX5" i="2" s="1"/>
  <c r="CY5" i="2" s="1"/>
  <c r="CZ5" i="2" s="1"/>
  <c r="CO5" i="2"/>
  <c r="CN5" i="2"/>
  <c r="CM5" i="2"/>
  <c r="CL5" i="2"/>
  <c r="CM4" i="2"/>
  <c r="CO4" i="2"/>
  <c r="CP4" i="2"/>
  <c r="CQ4" i="2" s="1"/>
  <c r="CN4" i="2"/>
  <c r="CL4" i="2"/>
  <c r="CB3" i="2"/>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EX3" i="2" s="1"/>
  <c r="G187" i="3"/>
  <c r="K202" i="3" s="1"/>
  <c r="C5" i="1"/>
  <c r="C8" i="1" s="1"/>
  <c r="BN92" i="2" l="1"/>
  <c r="BN93" i="2"/>
  <c r="BC93" i="2"/>
  <c r="BC92" i="2"/>
  <c r="BF92" i="2"/>
  <c r="BF93" i="2"/>
  <c r="AX92" i="2"/>
  <c r="AX93" i="2"/>
  <c r="BH93" i="2"/>
  <c r="BH92" i="2"/>
  <c r="BD93" i="2"/>
  <c r="BD92" i="2"/>
  <c r="BG92" i="2"/>
  <c r="BG93" i="2"/>
  <c r="BO33" i="2"/>
  <c r="BK36" i="2"/>
  <c r="BC18" i="2"/>
  <c r="BA18" i="2"/>
  <c r="BJ18" i="2"/>
  <c r="BD21" i="2"/>
  <c r="BD20" i="2"/>
  <c r="BI18" i="2"/>
  <c r="BL18" i="2"/>
  <c r="BH18" i="2"/>
  <c r="BK18" i="2"/>
  <c r="BN20" i="2"/>
  <c r="BN18" i="2"/>
  <c r="CH55" i="2"/>
  <c r="CH56" i="2"/>
  <c r="CH54" i="2"/>
  <c r="CH58" i="2"/>
  <c r="BM38" i="2"/>
  <c r="BM55" i="2" s="1"/>
  <c r="BM18" i="2"/>
  <c r="BL21" i="2"/>
  <c r="BF20" i="2"/>
  <c r="BF18" i="2"/>
  <c r="CA54" i="2"/>
  <c r="CA55" i="2"/>
  <c r="CA56" i="2"/>
  <c r="CA58" i="2"/>
  <c r="CI54" i="2"/>
  <c r="CI58" i="2"/>
  <c r="CI55" i="2"/>
  <c r="CI56" i="2"/>
  <c r="BO18" i="2"/>
  <c r="BE18" i="2"/>
  <c r="BP33" i="2"/>
  <c r="CF55" i="2"/>
  <c r="CF56" i="2"/>
  <c r="CF54" i="2"/>
  <c r="CF58" i="2"/>
  <c r="CC54" i="2"/>
  <c r="CC56" i="2"/>
  <c r="CC55" i="2"/>
  <c r="CC58" i="2"/>
  <c r="CK56" i="2"/>
  <c r="CK55" i="2"/>
  <c r="CK54" i="2"/>
  <c r="CK58" i="2"/>
  <c r="BL20" i="2"/>
  <c r="CB58" i="2"/>
  <c r="CB56" i="2"/>
  <c r="CB55" i="2"/>
  <c r="CB54" i="2"/>
  <c r="BP38" i="2"/>
  <c r="BP18" i="2"/>
  <c r="CR4" i="2"/>
  <c r="CQ6" i="2"/>
  <c r="CD56" i="2"/>
  <c r="CD58" i="2"/>
  <c r="CD55" i="2"/>
  <c r="CD54" i="2"/>
  <c r="BF21" i="2"/>
  <c r="BG20" i="2"/>
  <c r="BG18" i="2"/>
  <c r="BD18" i="2"/>
  <c r="CG56" i="2"/>
  <c r="CG55" i="2"/>
  <c r="CG54" i="2"/>
  <c r="CG58" i="2"/>
  <c r="CJ54" i="2"/>
  <c r="CJ55" i="2"/>
  <c r="CJ58" i="2"/>
  <c r="CJ56" i="2"/>
  <c r="CR7" i="2"/>
  <c r="CQ9" i="2"/>
  <c r="CQ17" i="2" s="1"/>
  <c r="CE55" i="2"/>
  <c r="CE54" i="2"/>
  <c r="CE56" i="2"/>
  <c r="CE58" i="2"/>
  <c r="BL38" i="2"/>
  <c r="BB18" i="2"/>
  <c r="AY38" i="2"/>
  <c r="AY18" i="2"/>
  <c r="AU40" i="2"/>
  <c r="AU55" i="2"/>
  <c r="AV40" i="2"/>
  <c r="AV43" i="2" s="1"/>
  <c r="AV48" i="2" s="1"/>
  <c r="AV55" i="2"/>
  <c r="AX40" i="2"/>
  <c r="AX43" i="2" s="1"/>
  <c r="AX48" i="2" s="1"/>
  <c r="AX55" i="2"/>
  <c r="BC40" i="2"/>
  <c r="BC55" i="2"/>
  <c r="BG40" i="2"/>
  <c r="BG55" i="2"/>
  <c r="BG21" i="2"/>
  <c r="CO15" i="2"/>
  <c r="BD40" i="2"/>
  <c r="BD43" i="2" s="1"/>
  <c r="BD48" i="2" s="1"/>
  <c r="BD55" i="2"/>
  <c r="BH40" i="2"/>
  <c r="BH43" i="2" s="1"/>
  <c r="BH48" i="2" s="1"/>
  <c r="BH55" i="2"/>
  <c r="BF40" i="2"/>
  <c r="BF43" i="2" s="1"/>
  <c r="BF48" i="2" s="1"/>
  <c r="BF55" i="2"/>
  <c r="CP14" i="2"/>
  <c r="BN40" i="2"/>
  <c r="BN43" i="2" s="1"/>
  <c r="BN48" i="2" s="1"/>
  <c r="BN55" i="2"/>
  <c r="BP35" i="2"/>
  <c r="BM36" i="2"/>
  <c r="BO36" i="2"/>
  <c r="BP36" i="2"/>
  <c r="BL36" i="2"/>
  <c r="BO35" i="2"/>
  <c r="AZ38" i="2"/>
  <c r="BL35" i="2"/>
  <c r="BM35" i="2"/>
  <c r="BN21" i="2"/>
  <c r="BN36" i="2"/>
  <c r="BN35" i="2"/>
  <c r="K204" i="3"/>
  <c r="M223" i="3" s="1"/>
  <c r="P212" i="3"/>
  <c r="P211" i="3"/>
  <c r="M236" i="3"/>
  <c r="M267" i="3"/>
  <c r="M266" i="3"/>
  <c r="M224" i="3"/>
  <c r="M233" i="3"/>
  <c r="M280" i="3"/>
  <c r="M239" i="3"/>
  <c r="P221" i="3"/>
  <c r="K203" i="3"/>
  <c r="K200" i="3"/>
  <c r="K201" i="3"/>
  <c r="BJ38" i="2"/>
  <c r="BK38" i="2"/>
  <c r="BP20" i="2"/>
  <c r="BP21" i="2"/>
  <c r="CO10" i="2"/>
  <c r="BA38" i="2"/>
  <c r="AW38" i="2"/>
  <c r="CL38" i="2" s="1"/>
  <c r="BC21" i="2"/>
  <c r="BM20" i="2"/>
  <c r="CL10" i="2"/>
  <c r="BH21" i="2"/>
  <c r="CM10" i="2"/>
  <c r="CM18" i="2" s="1"/>
  <c r="BB38" i="2"/>
  <c r="CP10" i="2"/>
  <c r="BI38" i="2"/>
  <c r="CN13" i="2"/>
  <c r="BE38" i="2"/>
  <c r="BI21" i="2"/>
  <c r="CN10" i="2"/>
  <c r="BO38" i="2"/>
  <c r="BK21" i="2"/>
  <c r="BJ20" i="2"/>
  <c r="BI20" i="2"/>
  <c r="BJ21" i="2"/>
  <c r="BO20" i="2"/>
  <c r="CM14" i="2"/>
  <c r="BM21" i="2"/>
  <c r="BK20" i="2"/>
  <c r="BH20" i="2"/>
  <c r="BE21" i="2"/>
  <c r="BC20" i="2"/>
  <c r="BO21" i="2"/>
  <c r="BE20" i="2"/>
  <c r="CW64" i="2"/>
  <c r="CO17" i="2"/>
  <c r="CM13" i="2"/>
  <c r="CO16" i="2"/>
  <c r="CO13" i="2"/>
  <c r="CN14" i="2"/>
  <c r="CO14" i="2"/>
  <c r="CP13" i="2"/>
  <c r="CP15" i="2"/>
  <c r="CP16" i="2"/>
  <c r="CP17" i="2"/>
  <c r="K205" i="3"/>
  <c r="CZ67" i="2"/>
  <c r="CM12" i="2"/>
  <c r="CN12" i="2"/>
  <c r="CO12" i="2"/>
  <c r="CP12" i="2"/>
  <c r="AU43" i="2" l="1"/>
  <c r="BI93" i="2"/>
  <c r="BI92" i="2"/>
  <c r="CL55" i="2"/>
  <c r="CL92" i="2"/>
  <c r="CL93" i="2"/>
  <c r="BE93" i="2"/>
  <c r="BE92" i="2"/>
  <c r="BM40" i="2"/>
  <c r="BM43" i="2" s="1"/>
  <c r="BM48" i="2" s="1"/>
  <c r="CP21" i="2"/>
  <c r="CP18" i="2"/>
  <c r="BC43" i="2"/>
  <c r="CN40" i="2"/>
  <c r="AY55" i="2"/>
  <c r="AY92" i="2"/>
  <c r="AY93" i="2"/>
  <c r="BJ93" i="2"/>
  <c r="BJ92" i="2"/>
  <c r="BA93" i="2"/>
  <c r="BA92" i="2"/>
  <c r="BB93" i="2"/>
  <c r="BB92" i="2"/>
  <c r="CO20" i="2"/>
  <c r="CO18" i="2"/>
  <c r="AZ93" i="2"/>
  <c r="AZ92" i="2"/>
  <c r="BL40" i="2"/>
  <c r="BL43" i="2" s="1"/>
  <c r="BL48" i="2" s="1"/>
  <c r="BL93" i="2"/>
  <c r="BL92" i="2"/>
  <c r="BM93" i="2"/>
  <c r="BM92" i="2"/>
  <c r="BG43" i="2"/>
  <c r="BO92" i="2"/>
  <c r="BO93" i="2"/>
  <c r="CN20" i="2"/>
  <c r="CN18" i="2"/>
  <c r="BK93" i="2"/>
  <c r="BK92" i="2"/>
  <c r="BP40" i="2"/>
  <c r="BP93" i="2"/>
  <c r="BP92" i="2"/>
  <c r="CQ14" i="2"/>
  <c r="CQ10" i="2"/>
  <c r="BP55" i="2"/>
  <c r="BL55" i="2"/>
  <c r="CO21" i="2"/>
  <c r="BP54" i="2"/>
  <c r="BP48" i="2"/>
  <c r="CN21" i="2"/>
  <c r="CS7" i="2"/>
  <c r="CR9" i="2"/>
  <c r="CR17" i="2" s="1"/>
  <c r="CP20" i="2"/>
  <c r="CS4" i="2"/>
  <c r="CR6" i="2"/>
  <c r="AY40" i="2"/>
  <c r="AU54" i="2"/>
  <c r="AV54" i="2"/>
  <c r="AW40" i="2"/>
  <c r="CL40" i="2" s="1"/>
  <c r="AW55" i="2"/>
  <c r="AX54" i="2"/>
  <c r="AZ40" i="2"/>
  <c r="AZ43" i="2" s="1"/>
  <c r="AZ48" i="2" s="1"/>
  <c r="AZ55" i="2"/>
  <c r="BA40" i="2"/>
  <c r="BA43" i="2" s="1"/>
  <c r="BA48" i="2" s="1"/>
  <c r="BA55" i="2"/>
  <c r="BE40" i="2"/>
  <c r="BE43" i="2" s="1"/>
  <c r="BE48" i="2" s="1"/>
  <c r="BE55" i="2"/>
  <c r="BB40" i="2"/>
  <c r="BB43" i="2" s="1"/>
  <c r="BB48" i="2" s="1"/>
  <c r="BB55" i="2"/>
  <c r="BC54" i="2"/>
  <c r="BG54" i="2"/>
  <c r="BD54" i="2"/>
  <c r="BH54" i="2"/>
  <c r="BI40" i="2"/>
  <c r="BI43" i="2" s="1"/>
  <c r="BI48" i="2" s="1"/>
  <c r="BI55" i="2"/>
  <c r="BM54" i="2"/>
  <c r="BF54" i="2"/>
  <c r="BJ40" i="2"/>
  <c r="BJ43" i="2" s="1"/>
  <c r="BJ48" i="2" s="1"/>
  <c r="BJ55" i="2"/>
  <c r="BK40" i="2"/>
  <c r="CP40" i="2" s="1"/>
  <c r="BK55" i="2"/>
  <c r="BO40" i="2"/>
  <c r="BO43" i="2" s="1"/>
  <c r="BO48" i="2" s="1"/>
  <c r="BO55" i="2"/>
  <c r="BN54" i="2"/>
  <c r="BL54" i="2"/>
  <c r="P216" i="3"/>
  <c r="M271" i="3"/>
  <c r="M241" i="3"/>
  <c r="M274" i="3"/>
  <c r="M275" i="3"/>
  <c r="M244" i="3"/>
  <c r="M278" i="3"/>
  <c r="M229" i="3"/>
  <c r="P219" i="3"/>
  <c r="P214" i="3"/>
  <c r="M232" i="3"/>
  <c r="M216" i="3"/>
  <c r="M249" i="3"/>
  <c r="M212" i="3"/>
  <c r="M282" i="3"/>
  <c r="M283" i="3"/>
  <c r="M252" i="3"/>
  <c r="M231" i="3"/>
  <c r="M237" i="3"/>
  <c r="P224" i="3"/>
  <c r="M279" i="3"/>
  <c r="M226" i="3"/>
  <c r="M246" i="3"/>
  <c r="M260" i="3"/>
  <c r="M245" i="3"/>
  <c r="M254" i="3"/>
  <c r="P218" i="3"/>
  <c r="M257" i="3"/>
  <c r="M247" i="3"/>
  <c r="P223" i="3"/>
  <c r="P222" i="3"/>
  <c r="M248" i="3"/>
  <c r="M213" i="3"/>
  <c r="M265" i="3"/>
  <c r="M234" i="3"/>
  <c r="M235" i="3"/>
  <c r="M211" i="3"/>
  <c r="M268" i="3"/>
  <c r="M214" i="3"/>
  <c r="M253" i="3"/>
  <c r="P215" i="3"/>
  <c r="M255" i="3"/>
  <c r="M240" i="3"/>
  <c r="M227" i="3"/>
  <c r="P220" i="3"/>
  <c r="M230" i="3"/>
  <c r="M256" i="3"/>
  <c r="M217" i="3"/>
  <c r="M273" i="3"/>
  <c r="M242" i="3"/>
  <c r="M243" i="3"/>
  <c r="M263" i="3"/>
  <c r="M276" i="3"/>
  <c r="M218" i="3"/>
  <c r="M261" i="3"/>
  <c r="P213" i="3"/>
  <c r="M270" i="3"/>
  <c r="M264" i="3"/>
  <c r="M221" i="3"/>
  <c r="M281" i="3"/>
  <c r="M250" i="3"/>
  <c r="M251" i="3"/>
  <c r="M222" i="3"/>
  <c r="M215" i="3"/>
  <c r="M269" i="3"/>
  <c r="P217" i="3"/>
  <c r="M220" i="3"/>
  <c r="M272" i="3"/>
  <c r="M225" i="3"/>
  <c r="M262" i="3"/>
  <c r="M258" i="3"/>
  <c r="M259" i="3"/>
  <c r="M228" i="3"/>
  <c r="M284" i="3"/>
  <c r="M219" i="3"/>
  <c r="M277" i="3"/>
  <c r="M238" i="3"/>
  <c r="CP38" i="2"/>
  <c r="CN38" i="2"/>
  <c r="CM38" i="2"/>
  <c r="CO38" i="2"/>
  <c r="BC48" i="2" l="1"/>
  <c r="CN48" i="2" s="1"/>
  <c r="CN43" i="2"/>
  <c r="CN55" i="2"/>
  <c r="CN92" i="2"/>
  <c r="CN93" i="2"/>
  <c r="CP55" i="2"/>
  <c r="CP93" i="2"/>
  <c r="CP92" i="2"/>
  <c r="CM55" i="2"/>
  <c r="CM92" i="2"/>
  <c r="CM93" i="2"/>
  <c r="CO40" i="2"/>
  <c r="CO55" i="2"/>
  <c r="CO93" i="2"/>
  <c r="CO92" i="2"/>
  <c r="AY43" i="2"/>
  <c r="CM40" i="2"/>
  <c r="BG48" i="2"/>
  <c r="CO48" i="2" s="1"/>
  <c r="CO43" i="2"/>
  <c r="AU48" i="2"/>
  <c r="CQ18" i="2"/>
  <c r="CQ38" i="2"/>
  <c r="CR10" i="2"/>
  <c r="CR14" i="2"/>
  <c r="CN54" i="2"/>
  <c r="BP56" i="2"/>
  <c r="AY54" i="2"/>
  <c r="CL54" i="2"/>
  <c r="AW43" i="2"/>
  <c r="CL43" i="2" s="1"/>
  <c r="CO54" i="2"/>
  <c r="CP54" i="2"/>
  <c r="BK43" i="2"/>
  <c r="CP43" i="2" s="1"/>
  <c r="CT7" i="2"/>
  <c r="CS9" i="2"/>
  <c r="CS17" i="2" s="1"/>
  <c r="CT4" i="2"/>
  <c r="CS6" i="2"/>
  <c r="CM54" i="2"/>
  <c r="AU56" i="2"/>
  <c r="AV56" i="2"/>
  <c r="AW54" i="2"/>
  <c r="AX56" i="2"/>
  <c r="AZ54" i="2"/>
  <c r="BA54" i="2"/>
  <c r="CN56" i="2"/>
  <c r="BE54" i="2"/>
  <c r="BB54" i="2"/>
  <c r="BC56" i="2"/>
  <c r="BG56" i="2"/>
  <c r="BD56" i="2"/>
  <c r="BH56" i="2"/>
  <c r="CO56" i="2"/>
  <c r="BI54" i="2"/>
  <c r="BM56" i="2"/>
  <c r="BF56" i="2"/>
  <c r="BJ54" i="2"/>
  <c r="BK54" i="2"/>
  <c r="BO54" i="2"/>
  <c r="BL56" i="2"/>
  <c r="BN56" i="2"/>
  <c r="BP50" i="2"/>
  <c r="BP57" i="2"/>
  <c r="BP96" i="2" l="1"/>
  <c r="BP95" i="2"/>
  <c r="AY48" i="2"/>
  <c r="CM48" i="2" s="1"/>
  <c r="CM43" i="2"/>
  <c r="CM56" i="2" s="1"/>
  <c r="CL48" i="2"/>
  <c r="CL57" i="2" s="1"/>
  <c r="AY56" i="2"/>
  <c r="CS14" i="2"/>
  <c r="CS10" i="2"/>
  <c r="CQ41" i="2"/>
  <c r="CQ39" i="2"/>
  <c r="CQ40" i="2" s="1"/>
  <c r="CQ43" i="2" s="1"/>
  <c r="CR64" i="2" s="1"/>
  <c r="CR18" i="2"/>
  <c r="CR38" i="2"/>
  <c r="CP56" i="2"/>
  <c r="BK48" i="2"/>
  <c r="CP48" i="2" s="1"/>
  <c r="CP57" i="2" s="1"/>
  <c r="CL56" i="2"/>
  <c r="AW48" i="2"/>
  <c r="CU4" i="2"/>
  <c r="CT6" i="2"/>
  <c r="CU7" i="2"/>
  <c r="CT9" i="2"/>
  <c r="CT17" i="2" s="1"/>
  <c r="AU50" i="2"/>
  <c r="AU57" i="2"/>
  <c r="AV50" i="2"/>
  <c r="AV57" i="2"/>
  <c r="AW56" i="2"/>
  <c r="AX50" i="2"/>
  <c r="AX57" i="2"/>
  <c r="AY50" i="2"/>
  <c r="AY57" i="2"/>
  <c r="AZ56" i="2"/>
  <c r="BA56" i="2"/>
  <c r="CN57" i="2"/>
  <c r="BE56" i="2"/>
  <c r="BB56" i="2"/>
  <c r="BC50" i="2"/>
  <c r="BC57" i="2"/>
  <c r="BG50" i="2"/>
  <c r="BG57" i="2"/>
  <c r="BD50" i="2"/>
  <c r="BD57" i="2"/>
  <c r="BH50" i="2"/>
  <c r="BH57" i="2"/>
  <c r="BI56" i="2"/>
  <c r="BM50" i="2"/>
  <c r="BM57" i="2"/>
  <c r="BF50" i="2"/>
  <c r="BF57" i="2"/>
  <c r="BJ56" i="2"/>
  <c r="BK56" i="2"/>
  <c r="BO56" i="2"/>
  <c r="BN50" i="2"/>
  <c r="BN57" i="2"/>
  <c r="BL50" i="2"/>
  <c r="BL57" i="2"/>
  <c r="BP52" i="2"/>
  <c r="BP58" i="2"/>
  <c r="BF96" i="2" l="1"/>
  <c r="BF95" i="2"/>
  <c r="BG96" i="2"/>
  <c r="BG95" i="2"/>
  <c r="AX96" i="2"/>
  <c r="AX95" i="2"/>
  <c r="BM96" i="2"/>
  <c r="BM95" i="2"/>
  <c r="BN96" i="2"/>
  <c r="BN95" i="2"/>
  <c r="BL96" i="2"/>
  <c r="BL95" i="2"/>
  <c r="AY96" i="2"/>
  <c r="AY95" i="2"/>
  <c r="BC96" i="2"/>
  <c r="BC95" i="2"/>
  <c r="BH95" i="2"/>
  <c r="BH96" i="2"/>
  <c r="BD96" i="2"/>
  <c r="BD95" i="2"/>
  <c r="CR65" i="2"/>
  <c r="CQ56" i="2"/>
  <c r="CQ48" i="2"/>
  <c r="CT10" i="2"/>
  <c r="CT14" i="2"/>
  <c r="CR39" i="2"/>
  <c r="CR40" i="2" s="1"/>
  <c r="CR41" i="2"/>
  <c r="CS18" i="2"/>
  <c r="CS38" i="2"/>
  <c r="CM57" i="2"/>
  <c r="CO57" i="2"/>
  <c r="CV7" i="2"/>
  <c r="CU9" i="2"/>
  <c r="CU17" i="2" s="1"/>
  <c r="CV4" i="2"/>
  <c r="CU6" i="2"/>
  <c r="AU52" i="2"/>
  <c r="AU58" i="2"/>
  <c r="AV52" i="2"/>
  <c r="AV58" i="2"/>
  <c r="AW50" i="2"/>
  <c r="CL50" i="2" s="1"/>
  <c r="AW57" i="2"/>
  <c r="AX52" i="2"/>
  <c r="AX58" i="2"/>
  <c r="AY52" i="2"/>
  <c r="AY58" i="2"/>
  <c r="AZ50" i="2"/>
  <c r="AZ57" i="2"/>
  <c r="BA50" i="2"/>
  <c r="BA57" i="2"/>
  <c r="BE50" i="2"/>
  <c r="CN50" i="2" s="1"/>
  <c r="BE57" i="2"/>
  <c r="BB50" i="2"/>
  <c r="BB57" i="2"/>
  <c r="BC52" i="2"/>
  <c r="BC58" i="2"/>
  <c r="BG52" i="2"/>
  <c r="BG58" i="2"/>
  <c r="BD52" i="2"/>
  <c r="BD58" i="2"/>
  <c r="BH52" i="2"/>
  <c r="BH58" i="2"/>
  <c r="BI50" i="2"/>
  <c r="CO50" i="2" s="1"/>
  <c r="BI57" i="2"/>
  <c r="BM52" i="2"/>
  <c r="BM58" i="2"/>
  <c r="BF52" i="2"/>
  <c r="BF58" i="2"/>
  <c r="BJ50" i="2"/>
  <c r="BJ57" i="2"/>
  <c r="BK50" i="2"/>
  <c r="BK57" i="2"/>
  <c r="BO50" i="2"/>
  <c r="BO57" i="2"/>
  <c r="BL52" i="2"/>
  <c r="BL58" i="2"/>
  <c r="BN52" i="2"/>
  <c r="BN58" i="2"/>
  <c r="CL95" i="2" l="1"/>
  <c r="CL96" i="2"/>
  <c r="CN95" i="2"/>
  <c r="CN96" i="2"/>
  <c r="CO95" i="2"/>
  <c r="CO96" i="2"/>
  <c r="CM98" i="2"/>
  <c r="BA95" i="2"/>
  <c r="BA96" i="2"/>
  <c r="CP98" i="2"/>
  <c r="BK96" i="2"/>
  <c r="CP50" i="2"/>
  <c r="BK95" i="2"/>
  <c r="BO96" i="2"/>
  <c r="BO95" i="2"/>
  <c r="AZ95" i="2"/>
  <c r="AZ96" i="2"/>
  <c r="BJ96" i="2"/>
  <c r="BJ95" i="2"/>
  <c r="BB95" i="2"/>
  <c r="BB96" i="2"/>
  <c r="CN52" i="2"/>
  <c r="BI95" i="2"/>
  <c r="BI96" i="2"/>
  <c r="BE95" i="2"/>
  <c r="BE96" i="2"/>
  <c r="CM50" i="2"/>
  <c r="CU10" i="2"/>
  <c r="CU14" i="2"/>
  <c r="CT38" i="2"/>
  <c r="CT18" i="2"/>
  <c r="CR43" i="2"/>
  <c r="CQ49" i="2"/>
  <c r="CQ50" i="2" s="1"/>
  <c r="CS39" i="2"/>
  <c r="CS40" i="2" s="1"/>
  <c r="CS41" i="2"/>
  <c r="CL98" i="2"/>
  <c r="CO98" i="2"/>
  <c r="CP58" i="2"/>
  <c r="CL58" i="2"/>
  <c r="CN58" i="2"/>
  <c r="CN98" i="2"/>
  <c r="CM58" i="2"/>
  <c r="CO58" i="2"/>
  <c r="CW4" i="2"/>
  <c r="CV6" i="2"/>
  <c r="CW7" i="2"/>
  <c r="CV9" i="2"/>
  <c r="CV17" i="2" s="1"/>
  <c r="AW52" i="2"/>
  <c r="CL52" i="2" s="1"/>
  <c r="AW58" i="2"/>
  <c r="AZ52" i="2"/>
  <c r="CM52" i="2" s="1"/>
  <c r="AZ58" i="2"/>
  <c r="BA52" i="2"/>
  <c r="BA58" i="2"/>
  <c r="BE52" i="2"/>
  <c r="BE58" i="2"/>
  <c r="BB52" i="2"/>
  <c r="BB58" i="2"/>
  <c r="BI52" i="2"/>
  <c r="BI58" i="2"/>
  <c r="BJ52" i="2"/>
  <c r="CO52" i="2" s="1"/>
  <c r="BJ58" i="2"/>
  <c r="BK52" i="2"/>
  <c r="CP52" i="2" s="1"/>
  <c r="BK58" i="2"/>
  <c r="BO52" i="2"/>
  <c r="BO58" i="2"/>
  <c r="CP96" i="2" l="1"/>
  <c r="CP95" i="2"/>
  <c r="CM95" i="2"/>
  <c r="CM96" i="2"/>
  <c r="CQ60" i="2"/>
  <c r="CR48" i="2" s="1"/>
  <c r="CQ58" i="2"/>
  <c r="CR56" i="2"/>
  <c r="CT39" i="2"/>
  <c r="CT40" i="2" s="1"/>
  <c r="CT41" i="2"/>
  <c r="CS43" i="2"/>
  <c r="CV10" i="2"/>
  <c r="CV14" i="2"/>
  <c r="CU38" i="2"/>
  <c r="CU18" i="2"/>
  <c r="CX7" i="2"/>
  <c r="CW9" i="2"/>
  <c r="CW17" i="2" s="1"/>
  <c r="CX4" i="2"/>
  <c r="CW6" i="2"/>
  <c r="CT43" i="2" l="1"/>
  <c r="CT56" i="2" s="1"/>
  <c r="CR49" i="2"/>
  <c r="CR50" i="2" s="1"/>
  <c r="CR60" i="2" s="1"/>
  <c r="CS48" i="2" s="1"/>
  <c r="CV18" i="2"/>
  <c r="CV38" i="2"/>
  <c r="CU39" i="2"/>
  <c r="CU40" i="2" s="1"/>
  <c r="CU41" i="2"/>
  <c r="CW10" i="2"/>
  <c r="CW14" i="2"/>
  <c r="CS56" i="2"/>
  <c r="CY4" i="2"/>
  <c r="CX6" i="2"/>
  <c r="CY7" i="2"/>
  <c r="CX9" i="2"/>
  <c r="CX17" i="2" s="1"/>
  <c r="CU43" i="2" l="1"/>
  <c r="CU56" i="2" s="1"/>
  <c r="CX14" i="2"/>
  <c r="CX10" i="2"/>
  <c r="CR58" i="2"/>
  <c r="CW38" i="2"/>
  <c r="CW18" i="2"/>
  <c r="CV41" i="2"/>
  <c r="CV39" i="2"/>
  <c r="CV40" i="2" s="1"/>
  <c r="CS49" i="2"/>
  <c r="CS50" i="2" s="1"/>
  <c r="CS58" i="2" s="1"/>
  <c r="CZ7" i="2"/>
  <c r="CZ9" i="2" s="1"/>
  <c r="CY9" i="2"/>
  <c r="CY17" i="2" s="1"/>
  <c r="CZ4" i="2"/>
  <c r="CZ6" i="2" s="1"/>
  <c r="CY6" i="2"/>
  <c r="CZ17" i="2" l="1"/>
  <c r="CV43" i="2"/>
  <c r="CV56" i="2" s="1"/>
  <c r="CW41" i="2"/>
  <c r="CW39" i="2"/>
  <c r="CW40" i="2" s="1"/>
  <c r="CW43" i="2" s="1"/>
  <c r="CS60" i="2"/>
  <c r="CX18" i="2"/>
  <c r="CX38" i="2"/>
  <c r="CY14" i="2"/>
  <c r="CY10" i="2"/>
  <c r="CZ14" i="2"/>
  <c r="CZ10" i="2"/>
  <c r="CT48" i="2" l="1"/>
  <c r="CT49" i="2" s="1"/>
  <c r="CT50" i="2" s="1"/>
  <c r="CT58" i="2" s="1"/>
  <c r="CW56" i="2"/>
  <c r="CY18" i="2"/>
  <c r="CY38" i="2"/>
  <c r="CZ18" i="2"/>
  <c r="CZ38" i="2"/>
  <c r="CX39" i="2"/>
  <c r="CX40" i="2" s="1"/>
  <c r="CX41" i="2"/>
  <c r="CX43" i="2" l="1"/>
  <c r="CX56" i="2" s="1"/>
  <c r="CT60" i="2"/>
  <c r="CY41" i="2"/>
  <c r="CY39" i="2"/>
  <c r="CY40" i="2" s="1"/>
  <c r="CY43" i="2" s="1"/>
  <c r="CZ39" i="2"/>
  <c r="CZ40" i="2" s="1"/>
  <c r="CZ41" i="2"/>
  <c r="CZ43" i="2" l="1"/>
  <c r="CU48" i="2"/>
  <c r="CU49" i="2" s="1"/>
  <c r="CU50" i="2" s="1"/>
  <c r="CU58" i="2" s="1"/>
  <c r="CY56" i="2"/>
  <c r="CZ56" i="2"/>
  <c r="CU60" i="2" l="1"/>
  <c r="CV48" i="2"/>
  <c r="CV49" i="2" s="1"/>
  <c r="CV50" i="2" s="1"/>
  <c r="CV58" i="2" s="1"/>
  <c r="CV60" i="2" l="1"/>
  <c r="CW48" i="2" l="1"/>
  <c r="CW49" i="2" s="1"/>
  <c r="CW50" i="2" s="1"/>
  <c r="CW60" i="2" s="1"/>
  <c r="CX48" i="2" l="1"/>
  <c r="CX49" i="2" s="1"/>
  <c r="CX50" i="2" s="1"/>
  <c r="CX58" i="2" s="1"/>
  <c r="CW58" i="2"/>
  <c r="CX60" i="2" l="1"/>
  <c r="CY48" i="2" l="1"/>
  <c r="CY49" i="2" s="1"/>
  <c r="CY50" i="2" s="1"/>
  <c r="CY60" i="2" s="1"/>
  <c r="CZ48" i="2" l="1"/>
  <c r="CZ49" i="2" s="1"/>
  <c r="CZ50" i="2" s="1"/>
  <c r="CY58" i="2"/>
  <c r="CZ58" i="2" l="1"/>
  <c r="DA50" i="2"/>
  <c r="CZ60" i="2"/>
  <c r="DB50" i="2" l="1"/>
  <c r="DC50" i="2" s="1"/>
  <c r="DD50" i="2" s="1"/>
  <c r="DE50" i="2" s="1"/>
  <c r="DF50" i="2" s="1"/>
  <c r="DG50" i="2" s="1"/>
  <c r="DH50" i="2" s="1"/>
  <c r="DI50" i="2" s="1"/>
  <c r="DJ50" i="2" s="1"/>
  <c r="DK50" i="2" s="1"/>
  <c r="DL50" i="2" s="1"/>
  <c r="DM50" i="2" s="1"/>
  <c r="DN50" i="2" s="1"/>
  <c r="DO50" i="2" s="1"/>
  <c r="DP50" i="2" s="1"/>
  <c r="DQ50" i="2" s="1"/>
  <c r="DR50" i="2" s="1"/>
  <c r="DS50" i="2" s="1"/>
  <c r="DT50" i="2" s="1"/>
  <c r="DU50" i="2" s="1"/>
  <c r="DV50" i="2" s="1"/>
  <c r="DW50" i="2" s="1"/>
  <c r="DX50" i="2" s="1"/>
  <c r="DY50" i="2" s="1"/>
  <c r="DZ50" i="2" s="1"/>
  <c r="EA50" i="2" s="1"/>
  <c r="EB50" i="2" s="1"/>
  <c r="EC50" i="2" s="1"/>
  <c r="ED50" i="2" s="1"/>
  <c r="EE50" i="2" s="1"/>
  <c r="EF50" i="2" s="1"/>
  <c r="EG50" i="2" s="1"/>
  <c r="EH50" i="2" s="1"/>
  <c r="EI50" i="2" s="1"/>
  <c r="EJ50" i="2" s="1"/>
  <c r="EK50" i="2" s="1"/>
  <c r="EL50" i="2" s="1"/>
  <c r="EM50" i="2" s="1"/>
  <c r="EN50" i="2" s="1"/>
  <c r="EO50" i="2" s="1"/>
  <c r="EP50" i="2" s="1"/>
  <c r="EQ50" i="2" s="1"/>
  <c r="ER50" i="2" s="1"/>
  <c r="ES50" i="2" s="1"/>
  <c r="ET50" i="2" s="1"/>
  <c r="EU50" i="2" s="1"/>
  <c r="EV50" i="2" s="1"/>
  <c r="EW50" i="2" s="1"/>
  <c r="EX50" i="2" s="1"/>
  <c r="CZ69" i="2" l="1"/>
  <c r="CZ71" i="2" s="1"/>
  <c r="CZ73" i="2" s="1"/>
  <c r="DA73" i="2" l="1"/>
  <c r="CY74" i="2" a="1"/>
  <c r="CY7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<sst xmlns="http://schemas.openxmlformats.org/spreadsheetml/2006/main" count="1550" uniqueCount="1456">
  <si>
    <t xml:space="preserve">Price </t>
  </si>
  <si>
    <t>SO</t>
  </si>
  <si>
    <t>MC</t>
  </si>
  <si>
    <t>Cash</t>
  </si>
  <si>
    <t>Debt</t>
  </si>
  <si>
    <t>EV</t>
  </si>
  <si>
    <t>Investor Relations Contact:</t>
  </si>
  <si>
    <t>SEC filings</t>
  </si>
  <si>
    <t>Godel Terminal</t>
  </si>
  <si>
    <t>Company Overview:</t>
  </si>
  <si>
    <t>[Bold Title]</t>
  </si>
  <si>
    <t>Line Titles</t>
  </si>
  <si>
    <t>&lt;-- General</t>
  </si>
  <si>
    <t>&lt;-- Info</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</si>
  <si>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</si>
  <si>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</si>
  <si>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</si>
  <si>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</si>
  <si>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</si>
  <si>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</si>
  <si>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</si>
  <si>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</si>
  <si>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</si>
  <si>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</si>
  <si>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</si>
  <si>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</si>
  <si>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</si>
  <si>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</si>
  <si>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</si>
  <si>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</si>
  <si>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</si>
  <si>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</si>
  <si>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</si>
  <si>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</si>
  <si>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</si>
  <si>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</si>
  <si>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</si>
  <si>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</si>
  <si>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</si>
  <si>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</si>
  <si>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</si>
  <si>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</si>
  <si>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</si>
  <si>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</si>
  <si>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</si>
  <si>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</si>
  <si>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</si>
  <si>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</si>
  <si>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</si>
  <si>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</si>
  <si>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</si>
  <si>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</si>
  <si>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</si>
  <si>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</si>
  <si>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</si>
  <si>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</si>
  <si>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</si>
  <si>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</si>
  <si>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</si>
  <si>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</si>
  <si>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</si>
  <si>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</si>
  <si>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</si>
  <si>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</si>
  <si>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</si>
  <si>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</si>
  <si>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</si>
  <si>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</si>
  <si>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</si>
  <si>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</si>
  <si>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</si>
  <si>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</si>
  <si>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</si>
  <si>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</si>
  <si>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</si>
  <si>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</si>
  <si>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</si>
  <si>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</si>
  <si>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</si>
  <si>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</si>
  <si>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</si>
  <si>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</si>
  <si>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</si>
  <si>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</si>
  <si>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</si>
  <si>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</si>
  <si>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</si>
  <si>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</si>
  <si>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</si>
  <si>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</si>
  <si>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</si>
  <si>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</si>
  <si>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</si>
  <si>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</si>
  <si>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</si>
  <si>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</si>
  <si>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</si>
  <si>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</si>
  <si>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</si>
  <si>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</si>
  <si>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</si>
  <si>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</si>
  <si>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</si>
  <si>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</si>
  <si>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</si>
  <si>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</si>
  <si>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</si>
  <si>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</si>
  <si>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</si>
  <si>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</si>
  <si>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</si>
  <si>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</si>
  <si>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</si>
  <si>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</si>
  <si>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</si>
  <si>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</si>
  <si>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</si>
  <si>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</si>
  <si>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</si>
  <si>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U.S. Revenues</t>
  </si>
  <si>
    <t>U.S. % of Revenues</t>
  </si>
  <si>
    <t>U.S. Revenue Growth Y/y</t>
  </si>
  <si>
    <t>COGS</t>
  </si>
  <si>
    <t>GP</t>
  </si>
  <si>
    <t>Gross Profit Margin</t>
  </si>
  <si>
    <t>Operating Profit Margin</t>
  </si>
  <si>
    <t>Effective Tax Rate</t>
  </si>
  <si>
    <t>Net Profit Margin</t>
  </si>
  <si>
    <t xml:space="preserve">Cash &amp; CEs </t>
  </si>
  <si>
    <t>Current Ratio</t>
  </si>
  <si>
    <t>Quick Ratio</t>
  </si>
  <si>
    <t>Cash Ratio</t>
  </si>
  <si>
    <t>Ttl Asset Turnover</t>
  </si>
  <si>
    <t>Inventory Turnover Ratio</t>
  </si>
  <si>
    <t>Return on Assets</t>
  </si>
  <si>
    <t>Return on Equity</t>
  </si>
  <si>
    <t>Net Income</t>
  </si>
  <si>
    <t>CFFO</t>
  </si>
  <si>
    <t>CapEx, net</t>
  </si>
  <si>
    <t>FCF</t>
  </si>
  <si>
    <t>SC</t>
  </si>
  <si>
    <t>FCF per Share</t>
  </si>
  <si>
    <t>General Notes/Observations (Updated Q1'25)</t>
  </si>
  <si>
    <t>Financial Stmts. Notes/Observations (Updated Q1'25)</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</si>
  <si>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</si>
  <si>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</si>
  <si>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</si>
  <si>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</si>
  <si>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</si>
  <si>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</si>
  <si>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</si>
  <si>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</si>
  <si>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</si>
  <si>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</si>
  <si>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</si>
  <si>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</si>
  <si>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</si>
  <si>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</si>
  <si>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</si>
  <si>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</si>
  <si>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https://app.godelterminal.com/</t>
  </si>
  <si>
    <t>Investors Relation Department</t>
  </si>
  <si>
    <t>Business Segments and Geographical Info:</t>
  </si>
  <si>
    <t>Employee Scope:</t>
  </si>
  <si>
    <t>Resources:</t>
  </si>
  <si>
    <t>Y/y Total Revenues, Net Income, FCF</t>
  </si>
  <si>
    <t>Q/q Total Revenues, Net Income, FCF</t>
  </si>
  <si>
    <t>Institutional Ownership Snapshot Q2'25</t>
  </si>
  <si>
    <t>Company IR Page</t>
  </si>
  <si>
    <t>Company Homepage</t>
  </si>
  <si>
    <t>MacroTrends</t>
  </si>
  <si>
    <t>ROIC, WACC</t>
  </si>
  <si>
    <t>Ttl Revenue Growth Y/y</t>
  </si>
  <si>
    <t>Projected ROIC:</t>
  </si>
  <si>
    <t>Invested Capital</t>
  </si>
  <si>
    <t>AVG Invested Capital</t>
  </si>
  <si>
    <t>ROIC</t>
  </si>
  <si>
    <t>2023-2024</t>
  </si>
  <si>
    <t>Terminal</t>
  </si>
  <si>
    <t>RFR (10-year yield)</t>
  </si>
  <si>
    <t>ERP 
(Avg. market return - (less) RFR)</t>
  </si>
  <si>
    <t>Equity β (1-year avg.)</t>
  </si>
  <si>
    <t>Discount (Cost of Equity)</t>
  </si>
  <si>
    <t>NPV</t>
  </si>
  <si>
    <t>Q2'25</t>
  </si>
  <si>
    <t>FV</t>
  </si>
  <si>
    <t>CP</t>
  </si>
  <si>
    <t>Change Δ</t>
  </si>
  <si>
    <t>CROX</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</si>
  <si>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</si>
  <si>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</si>
  <si>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</si>
  <si>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</si>
  <si>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</si>
  <si>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</si>
  <si>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</si>
  <si>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</si>
  <si>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</si>
  <si>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</si>
  <si>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</si>
  <si>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</si>
  <si>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</si>
  <si>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</si>
  <si>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</si>
  <si>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</si>
  <si>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</si>
  <si>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</si>
  <si>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</si>
  <si>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</si>
  <si>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</si>
  <si>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</si>
  <si>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</si>
  <si>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</si>
  <si>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</si>
  <si>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</si>
  <si>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</si>
  <si>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</si>
  <si>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</si>
  <si>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</si>
  <si>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</si>
  <si>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</si>
  <si>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</si>
  <si>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</si>
  <si>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</si>
  <si>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</si>
  <si>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</si>
  <si>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</si>
  <si>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</si>
  <si>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</si>
  <si>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</si>
  <si>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</si>
  <si>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</si>
  <si>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</si>
  <si>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</si>
  <si>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</si>
  <si>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</si>
  <si>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</si>
  <si>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</si>
  <si>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</si>
  <si>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</si>
  <si>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</si>
  <si>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</si>
  <si>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</si>
  <si>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</si>
  <si>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</si>
  <si>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</si>
  <si>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</si>
  <si>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</si>
  <si>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</si>
  <si>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</si>
  <si>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</si>
  <si>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</si>
  <si>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</si>
  <si>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</si>
  <si>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</si>
  <si>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</si>
  <si>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</si>
  <si>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</si>
  <si>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</si>
  <si>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</si>
  <si>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</si>
  <si>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</si>
  <si>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</si>
  <si>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</si>
  <si>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</si>
  <si>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</si>
  <si>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</si>
  <si>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</si>
  <si>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</si>
  <si>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</si>
  <si>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</si>
  <si>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</si>
  <si>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</si>
  <si>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</si>
  <si>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</si>
  <si>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</si>
  <si>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</si>
  <si>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</si>
  <si>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</si>
  <si>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</si>
  <si>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</si>
  <si>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</si>
  <si>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</si>
  <si>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</si>
  <si>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</si>
  <si>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</si>
  <si>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</si>
  <si>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</si>
  <si>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</si>
  <si>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</si>
  <si>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</si>
  <si>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</si>
  <si>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</si>
  <si>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</si>
  <si>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</si>
  <si>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</si>
  <si>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</si>
  <si>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</si>
  <si>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</si>
  <si>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</si>
  <si>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</si>
  <si>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</si>
  <si>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</si>
  <si>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</si>
  <si>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</si>
  <si>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</si>
  <si>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</si>
  <si>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</si>
  <si>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</si>
  <si>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</si>
  <si>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</si>
  <si>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</si>
  <si>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</si>
  <si>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</si>
  <si>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</si>
  <si>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</si>
  <si>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</si>
  <si>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</si>
  <si>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</si>
  <si>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</si>
  <si>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</si>
  <si>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</si>
  <si>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</si>
  <si>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</si>
  <si>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</si>
  <si>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</si>
  <si>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</si>
  <si>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</si>
  <si>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</si>
  <si>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</si>
  <si>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</si>
  <si>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</si>
  <si>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</si>
  <si>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</si>
  <si>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</si>
  <si>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</si>
  <si>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</si>
  <si>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</si>
  <si>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</si>
  <si>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</si>
  <si>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</si>
  <si>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</si>
  <si>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</si>
  <si>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</si>
  <si>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</si>
  <si>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</si>
  <si>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</si>
  <si>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</si>
  <si>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</si>
  <si>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</si>
  <si>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</si>
  <si>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</si>
  <si>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</si>
  <si>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</si>
  <si>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</si>
  <si>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</si>
  <si>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</si>
  <si>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</si>
  <si>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</si>
  <si>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</si>
  <si>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</si>
  <si>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</si>
  <si>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</si>
  <si>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</si>
  <si>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</si>
  <si>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</si>
  <si>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</si>
  <si>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</si>
  <si>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</si>
  <si>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</si>
  <si>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</si>
  <si>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</si>
  <si>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</si>
  <si>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</si>
  <si>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</si>
  <si>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</si>
  <si>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</si>
  <si>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</si>
  <si>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</si>
  <si>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</si>
  <si>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</si>
  <si>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</si>
  <si>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</si>
  <si>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</si>
  <si>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</si>
  <si>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</si>
  <si>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</si>
  <si>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</si>
  <si>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</si>
  <si>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</si>
  <si>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</si>
  <si>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</si>
  <si>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</si>
  <si>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</si>
  <si>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</si>
  <si>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</si>
  <si>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</si>
  <si>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</si>
  <si>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</si>
  <si>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</si>
  <si>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</si>
  <si>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</si>
  <si>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</si>
  <si>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</si>
  <si>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</si>
  <si>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</si>
  <si>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</si>
  <si>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</si>
  <si>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</si>
  <si>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</si>
  <si>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</si>
  <si>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</si>
  <si>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</si>
  <si>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</si>
  <si>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</si>
  <si>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</si>
  <si>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</si>
  <si>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</si>
  <si>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</si>
  <si>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</si>
  <si>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</si>
  <si>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</si>
  <si>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</si>
  <si>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</si>
  <si>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</si>
  <si>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</si>
  <si>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</si>
  <si>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</si>
  <si>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</si>
  <si>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</si>
  <si>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</si>
  <si>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</si>
  <si>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</si>
  <si>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</si>
  <si>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</si>
  <si>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</si>
  <si>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</si>
  <si>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</si>
  <si>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</si>
  <si>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</si>
  <si>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</si>
  <si>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</si>
  <si>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</si>
  <si>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</si>
  <si>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</si>
  <si>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</si>
  <si>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</si>
  <si>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</si>
  <si>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</si>
  <si>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</si>
  <si>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</si>
  <si>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</si>
  <si>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</si>
  <si>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</si>
  <si>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</si>
  <si>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</si>
  <si>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</si>
  <si>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</si>
  <si>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</si>
  <si>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</si>
  <si>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</si>
  <si>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</si>
  <si>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</si>
  <si>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</si>
  <si>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</si>
  <si>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</si>
  <si>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</si>
  <si>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</si>
  <si>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</si>
  <si>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</si>
  <si>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</si>
  <si>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</si>
  <si>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</si>
  <si>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</si>
  <si>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</si>
  <si>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</si>
  <si>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</si>
  <si>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</si>
  <si>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</si>
  <si>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</si>
  <si>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</si>
  <si>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</si>
  <si>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</si>
  <si>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</si>
  <si>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</si>
  <si>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</si>
  <si>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</si>
  <si>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</si>
  <si>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</si>
  <si>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</si>
  <si>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</si>
  <si>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</si>
  <si>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</si>
  <si>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</si>
  <si>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</si>
  <si>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</si>
  <si>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</si>
  <si>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</si>
  <si>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</si>
  <si>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</si>
  <si>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</si>
  <si>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</si>
  <si>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</si>
  <si>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</si>
  <si>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</si>
  <si>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</si>
  <si>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</si>
  <si>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</si>
  <si>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</si>
  <si>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</si>
  <si>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</si>
  <si>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</si>
  <si>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</si>
  <si>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</si>
  <si>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</si>
  <si>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</si>
  <si>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</si>
  <si>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</si>
  <si>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</si>
  <si>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</si>
  <si>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</si>
  <si>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</si>
  <si>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</si>
  <si>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</si>
  <si>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</si>
  <si>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</si>
  <si>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</si>
  <si>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</si>
  <si>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</si>
  <si>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</si>
  <si>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</si>
  <si>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</si>
  <si>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</si>
  <si>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</si>
  <si>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</si>
  <si>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</si>
  <si>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</si>
  <si>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</si>
  <si>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</si>
  <si>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</si>
  <si>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</si>
  <si>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</si>
  <si>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</si>
  <si>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</si>
  <si>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</si>
  <si>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</si>
  <si>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</si>
  <si>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</si>
  <si>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</si>
  <si>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</si>
  <si>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</si>
  <si>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</si>
  <si>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</si>
  <si>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</si>
  <si>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</si>
  <si>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</si>
  <si>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</si>
  <si>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</si>
  <si>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</si>
  <si>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</si>
  <si>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</si>
  <si>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</si>
  <si>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</si>
  <si>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</si>
  <si>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</si>
  <si>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</si>
  <si>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</si>
  <si>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</si>
  <si>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</si>
  <si>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</si>
  <si>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</si>
  <si>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</si>
  <si>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</si>
  <si>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</si>
  <si>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</si>
  <si>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</si>
  <si>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</si>
  <si>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</si>
  <si>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</si>
  <si>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</si>
  <si>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</si>
  <si>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</si>
  <si>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</si>
  <si>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</si>
  <si>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</si>
  <si>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</si>
  <si>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</si>
  <si>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</si>
  <si>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</si>
  <si>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</si>
  <si>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</si>
  <si>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</si>
  <si>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</si>
  <si>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</si>
  <si>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</si>
  <si>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</si>
  <si>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</si>
  <si>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</si>
  <si>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</si>
  <si>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</si>
  <si>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</si>
  <si>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</si>
  <si>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</si>
  <si>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</si>
  <si>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</si>
  <si>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</si>
  <si>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</si>
  <si>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</si>
  <si>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</si>
  <si>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</si>
  <si>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</si>
  <si>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</si>
  <si>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</si>
  <si>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</si>
  <si>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</si>
  <si>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</si>
  <si>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</si>
  <si>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</si>
  <si>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</si>
  <si>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</si>
  <si>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</si>
  <si>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</si>
  <si>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</si>
  <si>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</si>
  <si>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</si>
  <si>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</si>
  <si>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</si>
  <si>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</si>
  <si>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</si>
  <si>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</si>
  <si>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</si>
  <si>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</si>
  <si>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</si>
  <si>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</si>
  <si>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</si>
  <si>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</si>
  <si>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</si>
  <si>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</si>
  <si>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</si>
  <si>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</si>
  <si>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</si>
  <si>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</si>
  <si>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</si>
  <si>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</si>
  <si>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</si>
  <si>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</si>
  <si>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</si>
  <si>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</si>
  <si>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</si>
  <si>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</si>
  <si>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</si>
  <si>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</si>
  <si>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</si>
  <si>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</si>
  <si>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</si>
  <si>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</si>
  <si>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</si>
  <si>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</si>
  <si>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</si>
  <si>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</si>
  <si>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</si>
  <si>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</si>
  <si>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</si>
  <si>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</si>
  <si>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</si>
  <si>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</si>
  <si>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</si>
  <si>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</si>
  <si>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</si>
  <si>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</si>
  <si>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</si>
  <si>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</si>
  <si>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</si>
  <si>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</si>
  <si>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</si>
  <si>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</si>
  <si>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</si>
  <si>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</si>
  <si>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</si>
  <si>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</si>
  <si>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</si>
  <si>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</si>
  <si>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</si>
  <si>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</si>
  <si>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</si>
  <si>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</si>
  <si>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</si>
  <si>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</si>
  <si>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</si>
  <si>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</si>
  <si>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</si>
  <si>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</si>
  <si>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</si>
  <si>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</si>
  <si>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</si>
  <si>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</si>
  <si>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</si>
  <si>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</si>
  <si>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</si>
  <si>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</si>
  <si>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</si>
  <si>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</si>
  <si>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</si>
  <si>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</si>
  <si>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</si>
  <si>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</si>
  <si>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</si>
  <si>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</si>
  <si>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</si>
  <si>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</si>
  <si>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</si>
  <si>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</si>
  <si>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</si>
  <si>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</si>
  <si>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</si>
  <si>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</si>
  <si>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</si>
  <si>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</si>
  <si>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</si>
  <si>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</si>
  <si>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</si>
  <si>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</si>
  <si>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</si>
  <si>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</si>
  <si>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</si>
  <si>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</si>
  <si>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</si>
  <si>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</si>
  <si>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</si>
  <si>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</si>
  <si>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</si>
  <si>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</si>
  <si>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</si>
  <si>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</si>
  <si>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</si>
  <si>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</si>
  <si>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</si>
  <si>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</si>
  <si>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</si>
  <si>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</si>
  <si>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</si>
  <si>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</si>
  <si>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</si>
  <si>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</si>
  <si>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</si>
  <si>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</si>
  <si>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</si>
  <si>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</si>
  <si>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</si>
  <si>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</si>
  <si>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</si>
  <si>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</si>
  <si>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</si>
  <si>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</si>
  <si>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</si>
  <si>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</si>
  <si>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</si>
  <si>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</si>
  <si>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</si>
  <si>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</si>
  <si>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</si>
  <si>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</si>
  <si>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</si>
  <si>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</si>
  <si>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</si>
  <si>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</si>
  <si>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</si>
  <si>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</si>
  <si>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</si>
  <si>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</si>
  <si>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</si>
  <si>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</si>
  <si>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</si>
  <si>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</si>
  <si>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</si>
  <si>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</si>
  <si>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</si>
  <si>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</si>
  <si>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</si>
  <si>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</si>
  <si>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</si>
  <si>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</si>
  <si>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</si>
  <si>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</si>
  <si>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</si>
  <si>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</si>
  <si>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</si>
  <si>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</si>
  <si>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</si>
  <si>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</si>
  <si>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</si>
  <si>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</si>
  <si>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</si>
  <si>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</si>
  <si>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</si>
  <si>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</si>
  <si>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</si>
  <si>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</si>
  <si>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</si>
  <si>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</si>
  <si>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</si>
  <si>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</si>
  <si>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</si>
  <si>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</si>
  <si>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</si>
  <si>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</si>
  <si>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</si>
  <si>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</si>
  <si>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</si>
  <si>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</si>
  <si>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</si>
  <si>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</si>
  <si>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</si>
  <si>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</si>
  <si>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</si>
  <si>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</si>
  <si>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</si>
  <si>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</si>
  <si>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</si>
  <si>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</si>
  <si>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</si>
  <si>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</si>
  <si>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</si>
  <si>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</si>
  <si>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</si>
  <si>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</si>
  <si>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</si>
  <si>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</si>
  <si>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</si>
  <si>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</si>
  <si>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</si>
  <si>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</si>
  <si>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</si>
  <si>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</si>
  <si>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</si>
  <si>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</si>
  <si>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</si>
  <si>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</si>
  <si>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</si>
  <si>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</si>
  <si>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</si>
  <si>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</si>
  <si>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</si>
  <si>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</si>
  <si>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</si>
  <si>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</si>
  <si>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</si>
  <si>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</si>
  <si>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</si>
  <si>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</si>
  <si>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</si>
  <si>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</si>
  <si>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</si>
  <si>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</si>
  <si>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</si>
  <si>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</si>
  <si>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</si>
  <si>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</si>
  <si>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</si>
  <si>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</si>
  <si>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</si>
  <si>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</si>
  <si>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</si>
  <si>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</si>
  <si>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</si>
  <si>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</si>
  <si>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</si>
  <si>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</si>
  <si>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</si>
  <si>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</si>
  <si>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</si>
  <si>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</si>
  <si>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</si>
  <si>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</si>
  <si>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</si>
  <si>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</si>
  <si>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</si>
  <si>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</si>
  <si>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</si>
  <si>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</si>
  <si>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</si>
  <si>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</si>
  <si>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</si>
  <si>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</si>
  <si>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</si>
  <si>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</si>
  <si>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</si>
  <si>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</si>
  <si>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</si>
  <si>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</si>
  <si>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</si>
  <si>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</si>
  <si>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</si>
  <si>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</si>
  <si>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</si>
  <si>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</si>
  <si>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</si>
  <si>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</si>
  <si>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</si>
  <si>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</si>
  <si>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</si>
  <si>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</si>
  <si>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</si>
  <si>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</si>
  <si>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</si>
  <si>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</si>
  <si>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</si>
  <si>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</si>
  <si>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</si>
  <si>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</si>
  <si>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</si>
  <si>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</si>
  <si>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</si>
  <si>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</si>
  <si>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</si>
  <si>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</si>
  <si>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</si>
  <si>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</si>
  <si>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</si>
  <si>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</si>
  <si>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</si>
  <si>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</si>
  <si>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</si>
  <si>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</si>
  <si>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</si>
  <si>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</si>
  <si>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</si>
  <si>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</si>
  <si>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</si>
  <si>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</si>
  <si>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</si>
  <si>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</si>
  <si>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</si>
  <si>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</si>
  <si>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</si>
  <si>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</si>
  <si>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</si>
  <si>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</si>
  <si>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</si>
  <si>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</si>
  <si>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</si>
  <si>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</si>
  <si>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</si>
  <si>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</si>
  <si>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</si>
  <si>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</si>
  <si>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</si>
  <si>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</si>
  <si>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</si>
  <si>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</si>
  <si>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</si>
  <si>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</si>
  <si>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</si>
  <si>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</si>
  <si>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</si>
  <si>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</si>
  <si>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</si>
  <si>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</si>
  <si>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</si>
  <si>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</si>
  <si>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</si>
  <si>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</si>
  <si>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</si>
  <si>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</si>
  <si>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</si>
  <si>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</si>
  <si>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</si>
  <si>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</si>
  <si>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</si>
  <si>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</si>
  <si>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</si>
  <si>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</si>
  <si>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</si>
  <si>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</si>
  <si>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</si>
  <si>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</si>
  <si>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</si>
  <si>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</si>
  <si>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</si>
  <si>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</si>
  <si>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</si>
  <si>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</si>
  <si>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</si>
  <si>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</si>
  <si>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</si>
  <si>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</si>
  <si>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</si>
  <si>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</si>
  <si>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</si>
  <si>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</si>
  <si>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</si>
  <si>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</si>
  <si>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</si>
  <si>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</si>
  <si>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</si>
  <si>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</si>
  <si>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</si>
  <si>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</si>
  <si>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</si>
  <si>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</si>
  <si>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</si>
  <si>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</si>
  <si>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</si>
  <si>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</si>
  <si>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</si>
  <si>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</si>
  <si>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</si>
  <si>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</si>
  <si>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</si>
  <si>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</si>
  <si>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</si>
  <si>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</si>
  <si>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</si>
  <si>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</si>
  <si>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</si>
  <si>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</si>
  <si>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</si>
  <si>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</si>
  <si>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</si>
  <si>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</si>
  <si>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</si>
  <si>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</si>
  <si>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</si>
  <si>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</si>
  <si>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</si>
  <si>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</si>
  <si>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</si>
  <si>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</si>
  <si>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</si>
  <si>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</si>
  <si>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</si>
  <si>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</si>
  <si>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</si>
  <si>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</si>
  <si>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</si>
  <si>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</si>
  <si>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</si>
  <si>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</si>
  <si>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</si>
  <si>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</si>
  <si>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</si>
  <si>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</si>
  <si>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</si>
  <si>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</si>
  <si>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</si>
  <si>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</si>
  <si>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</si>
  <si>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</si>
  <si>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</si>
  <si>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</si>
  <si>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</si>
  <si>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</si>
  <si>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</si>
  <si>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</si>
  <si>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</si>
  <si>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</si>
  <si>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</si>
  <si>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</si>
  <si>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</si>
  <si>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</si>
  <si>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</si>
  <si>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</si>
  <si>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</si>
  <si>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</si>
  <si>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</si>
  <si>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</si>
  <si>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</si>
  <si>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</si>
  <si>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</si>
  <si>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</si>
  <si>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</si>
  <si>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</si>
  <si>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</si>
  <si>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</si>
  <si>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</si>
  <si>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</si>
  <si>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</si>
  <si>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</si>
  <si>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</si>
  <si>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</si>
  <si>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</si>
  <si>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</si>
  <si>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</si>
  <si>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</si>
  <si>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</si>
  <si>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</si>
  <si>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</si>
  <si>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</si>
  <si>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</si>
  <si>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</si>
  <si>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</si>
  <si>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</si>
  <si>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</si>
  <si>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</si>
  <si>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</si>
  <si>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</si>
  <si>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</si>
  <si>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</si>
  <si>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</si>
  <si>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</si>
  <si>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</si>
  <si>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</si>
  <si>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</si>
  <si>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</si>
  <si>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</si>
  <si>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</si>
  <si>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</si>
  <si>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</si>
  <si>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</si>
  <si>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</si>
  <si>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</si>
  <si>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</si>
  <si>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</si>
  <si>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</si>
  <si>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</si>
  <si>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</si>
  <si>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</si>
  <si>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</si>
  <si>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</si>
  <si>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</si>
  <si>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</si>
  <si>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</si>
  <si>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</si>
  <si>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</si>
  <si>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</si>
  <si>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</si>
  <si>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</si>
  <si>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</si>
  <si>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</si>
  <si>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</si>
  <si>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</si>
  <si>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</si>
  <si>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</si>
  <si>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</si>
  <si>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</si>
  <si>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</si>
  <si>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</si>
  <si>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</si>
  <si>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</si>
  <si>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</si>
  <si>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</si>
  <si>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</si>
  <si>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</si>
  <si>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</si>
  <si>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</si>
  <si>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</si>
  <si>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</si>
  <si>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</si>
  <si>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</si>
  <si>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</si>
  <si>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</si>
  <si>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</si>
  <si>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</si>
  <si>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</si>
  <si>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</si>
  <si>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</si>
  <si>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</si>
  <si>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</si>
  <si>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</si>
  <si>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</si>
  <si>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</si>
  <si>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</si>
  <si>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</si>
  <si>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</si>
  <si>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</si>
  <si>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</si>
  <si>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</si>
  <si>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</si>
  <si>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</si>
  <si>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</si>
  <si>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</si>
  <si>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</si>
  <si>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r>
      <t xml:space="preserve">983 Trading Days? (From: </t>
    </r>
    <r>
      <rPr>
        <i/>
        <sz val="11"/>
        <color theme="1"/>
        <rFont val="Calibre"/>
      </rPr>
      <t>8/30/2021 - 8/30/2025</t>
    </r>
    <r>
      <rPr>
        <sz val="11"/>
        <color theme="1"/>
        <rFont val="Calibre"/>
      </rPr>
      <t>)</t>
    </r>
  </si>
  <si>
    <t>Employees: 7,910</t>
  </si>
  <si>
    <t>Founder(s): Scott Seamans, Lyndon Hanson, George Boeddecker Jr</t>
  </si>
  <si>
    <t>Current CEO: Andrew Reese</t>
  </si>
  <si>
    <t>Industry: Footwair &amp; Accessories</t>
  </si>
  <si>
    <t>Sector: Consumer Discretionary</t>
  </si>
  <si>
    <t>Founded: 1999</t>
  </si>
  <si>
    <t>IPO: February 8, 2006 -- ~$1B valuation</t>
  </si>
  <si>
    <t>Headquarters: Broomfield, CO.</t>
  </si>
  <si>
    <t>Registered Exchange: NASDAQ</t>
  </si>
  <si>
    <t>Crocs, Inc. (CROX)</t>
  </si>
  <si>
    <t>https://www.sec.gov/edgar/browse/?CIK=1334036&amp;owner=exclude</t>
  </si>
  <si>
    <t>https://www.crocs.com/</t>
  </si>
  <si>
    <t>https://investors.crocs.com/overview/default.aspx</t>
  </si>
  <si>
    <t>https://seekingalpha.com/symbol/CROX/earnings/transcripts</t>
  </si>
  <si>
    <t>https://stockanalysis.com/stocks/crox/company/</t>
  </si>
  <si>
    <t>https://www.macrotrends.net/stocks/charts/CROX/crocs/cash-flow-statement</t>
  </si>
  <si>
    <t>https://www.gurufocus.com/term/wacc/CROX</t>
  </si>
  <si>
    <t>Crocs DTC</t>
  </si>
  <si>
    <t>Crocs Wholesale</t>
  </si>
  <si>
    <t>Ttl Crox Revenues</t>
  </si>
  <si>
    <t>HEYDUDE Wholesale</t>
  </si>
  <si>
    <t>HEYDUDE DTC</t>
  </si>
  <si>
    <t>Ttl HEYDUDE Revenues</t>
  </si>
  <si>
    <t>Crocs Wholesale Growth Y/y</t>
  </si>
  <si>
    <t>Crocs DTC Growth Y/y</t>
  </si>
  <si>
    <t>Ttl Crox Revenue Growth Y/y</t>
  </si>
  <si>
    <t>HEYDUDE Wholesale Growth Y/y</t>
  </si>
  <si>
    <t>HEYDUDE DTC Growth Y/y</t>
  </si>
  <si>
    <t>Ttl HEYDUDE Revenue Growth Y/y</t>
  </si>
  <si>
    <t>Crocs Brand % of Ttl Revenues</t>
  </si>
  <si>
    <t>HEYDUDE Brand % of Ttl Revenues</t>
  </si>
  <si>
    <t>International Revenues</t>
  </si>
  <si>
    <t>International Revenue Growth Y/y</t>
  </si>
  <si>
    <t>International % of Revenues</t>
  </si>
  <si>
    <t>Wholesale</t>
  </si>
  <si>
    <t>DTC</t>
  </si>
  <si>
    <t>SG&amp;A</t>
  </si>
  <si>
    <t>OI</t>
  </si>
  <si>
    <t>ForEx G/L</t>
  </si>
  <si>
    <t>Interest Income</t>
  </si>
  <si>
    <t>Interest Expenses</t>
  </si>
  <si>
    <t>Other Income</t>
  </si>
  <si>
    <t>Pretax Income</t>
  </si>
  <si>
    <t>Taxes</t>
  </si>
  <si>
    <t>NI</t>
  </si>
  <si>
    <t>EPS</t>
  </si>
  <si>
    <t>Fixed Asset Turnover Ratio</t>
  </si>
  <si>
    <t xml:space="preserve">SG&amp;A as % of Revenues </t>
  </si>
  <si>
    <t>A/R</t>
  </si>
  <si>
    <t>Inventories</t>
  </si>
  <si>
    <t>ST Taxes Recievable</t>
  </si>
  <si>
    <t>Other Recievables</t>
  </si>
  <si>
    <t>ST Prepaid Expenses</t>
  </si>
  <si>
    <t>PP&amp;E</t>
  </si>
  <si>
    <t>LT Intangibles</t>
  </si>
  <si>
    <t>Goodwill</t>
  </si>
  <si>
    <t>LT Deferred Tax Assets</t>
  </si>
  <si>
    <t>Restricted Cash</t>
  </si>
  <si>
    <t>Right-of-use Assets</t>
  </si>
  <si>
    <t>Other LT Assets</t>
  </si>
  <si>
    <t>Ttl Assets</t>
  </si>
  <si>
    <t>A/P</t>
  </si>
  <si>
    <t>Accrued ST Expenses</t>
  </si>
  <si>
    <t>ST Taxes Payable</t>
  </si>
  <si>
    <t>ST Operating Lease</t>
  </si>
  <si>
    <t>LT Deferred Tax Liabilities</t>
  </si>
  <si>
    <t>LT Taxes Payable</t>
  </si>
  <si>
    <t>LT Debt</t>
  </si>
  <si>
    <t>LT Operating Lease</t>
  </si>
  <si>
    <t>Other LT Liabilities</t>
  </si>
  <si>
    <t>Ttl Liabilities</t>
  </si>
  <si>
    <t>Ttl SE</t>
  </si>
  <si>
    <t>Ttl L + SE</t>
  </si>
  <si>
    <t>More</t>
  </si>
  <si>
    <t xml:space="preserve">Revenue Breakdown by Segment </t>
  </si>
  <si>
    <t>Asset Impairment</t>
  </si>
  <si>
    <t>IR@crocs.com</t>
  </si>
  <si>
    <t>ST Debt</t>
  </si>
  <si>
    <t>It sells its products through wholesalers, retail stores, e-commerce sites, third-party marketplaces, and kiosks/store-in-store locations</t>
  </si>
  <si>
    <t>Crocs, Inc. was founded in 1999 and is headquartered in Broomfield, Colorado</t>
  </si>
  <si>
    <r>
      <rPr>
        <b/>
        <sz val="11"/>
        <color theme="1"/>
        <rFont val="Calibre"/>
      </rPr>
      <t>The Company offers various footwear products</t>
    </r>
    <r>
      <rPr>
        <sz val="11"/>
        <color theme="1"/>
        <rFont val="Calibre"/>
      </rPr>
      <t xml:space="preserve">, including </t>
    </r>
    <r>
      <rPr>
        <b/>
        <sz val="11"/>
        <color theme="1"/>
        <rFont val="Calibre"/>
      </rPr>
      <t>clogs, sandals, platforms, wedges, boots, slides, flip flops, flips, sneakers, and slippers</t>
    </r>
    <r>
      <rPr>
        <sz val="11"/>
        <color theme="1"/>
        <rFont val="Calibre"/>
      </rPr>
      <t xml:space="preserve">, as well as </t>
    </r>
    <r>
      <rPr>
        <b/>
        <sz val="11"/>
        <color theme="1"/>
        <rFont val="Calibre"/>
      </rPr>
      <t xml:space="preserve">accessories </t>
    </r>
    <r>
      <rPr>
        <sz val="11"/>
        <color theme="1"/>
        <rFont val="Calibre"/>
      </rPr>
      <t xml:space="preserve">such as </t>
    </r>
    <r>
      <rPr>
        <b/>
        <sz val="11"/>
        <color theme="1"/>
        <rFont val="Calibre"/>
      </rPr>
      <t>lace and beads, straps, strap covers, bags, socks</t>
    </r>
    <r>
      <rPr>
        <sz val="11"/>
        <color theme="1"/>
        <rFont val="Calibre"/>
      </rPr>
      <t xml:space="preserve">, </t>
    </r>
    <r>
      <rPr>
        <b/>
        <sz val="11"/>
        <color theme="1"/>
        <rFont val="Calibre"/>
      </rPr>
      <t xml:space="preserve">and </t>
    </r>
    <r>
      <rPr>
        <sz val="11"/>
        <color theme="1"/>
        <rFont val="Calibre"/>
      </rPr>
      <t xml:space="preserve">charms called </t>
    </r>
    <r>
      <rPr>
        <b/>
        <sz val="11"/>
        <color theme="1"/>
        <rFont val="Calibre"/>
      </rPr>
      <t>Gibblitz</t>
    </r>
  </si>
  <si>
    <r>
      <rPr>
        <b/>
        <sz val="11"/>
        <color theme="1"/>
        <rFont val="Calibre"/>
      </rPr>
      <t>Crocs, Inc.</t>
    </r>
    <r>
      <rPr>
        <sz val="11"/>
        <color theme="1"/>
        <rFont val="Calibre"/>
      </rPr>
      <t xml:space="preserve">, together with its subsidiaries, designs, develops, manufactures, markets, distributes, and </t>
    </r>
    <r>
      <rPr>
        <b/>
        <sz val="11"/>
        <color theme="1"/>
        <rFont val="Calibre"/>
      </rPr>
      <t xml:space="preserve">sells casual lifestyle footwear and accessories </t>
    </r>
    <r>
      <rPr>
        <sz val="11"/>
        <color theme="1"/>
        <rFont val="Calibre"/>
      </rPr>
      <t xml:space="preserve">for men, women, and children </t>
    </r>
    <r>
      <rPr>
        <b/>
        <sz val="11"/>
        <color theme="1"/>
        <rFont val="Calibre"/>
      </rPr>
      <t xml:space="preserve">under the Crocs and HEYDUDE Brands </t>
    </r>
    <r>
      <rPr>
        <sz val="11"/>
        <color theme="1"/>
        <rFont val="Calibre"/>
      </rPr>
      <t>in the United States and internationally</t>
    </r>
  </si>
  <si>
    <t>On February 17, 2022 The Company acquired a privately-owned casual footwear brand, “HEYDUDE” ... funded by $2.05 billion in cash and $450 million in Crocs shares issued to HEYDUDE's founder, Alessandro Rosano</t>
  </si>
  <si>
    <t>Managers believed the Heydude acquisition offered several opportunities from a product and portfolio perspective</t>
  </si>
  <si>
    <t>Managers viewed Heydude as a high-growth, highly profitable brand offering casual, comfortable, and lightweight footwear that aligned strongly with long-term consumer trends toward comfort, versatility, and accessibility</t>
  </si>
  <si>
    <t>Crocs noted that Heydude would immediately expand the company’s addressable market far beyond clogs—moving into broader casual and sandal categories, increasing their total market opportunity from $8 billion for clogs and $30 billion for sandals, to an estimated $125+ billion for casual footwear</t>
  </si>
  <si>
    <t>Heydude troubles have persisted since the acquisition</t>
  </si>
  <si>
    <t xml:space="preserve">Managers acknowledge the heart of the Crocs brand is the consumers and have oriented the brand towards a mass market platform (their clog) that can be highly personalized to reach niche audiences </t>
  </si>
  <si>
    <t>The Company manages brands with  a broad democratic appeal and accessible price points, which are aligned with global megatrends such as casualization, comfort, and personalization</t>
  </si>
  <si>
    <t>The Company began with a single clog style in 6 different colors … It has since expanded into a broad portfolio of all-season products, while remaining true to The Company's core casual footwear heritage</t>
  </si>
  <si>
    <t>Crocs Brand</t>
  </si>
  <si>
    <t xml:space="preserve">The Company reports two operating segments … Crocs Brand &amp; Heydude Footware … The Company breaks out Wholesale revenue vs. DTC </t>
  </si>
  <si>
    <t>Crocs Brand:</t>
  </si>
  <si>
    <r>
      <t xml:space="preserve">Managers iterated mission of “everyone comfortable in their own shoes” continued in 2024 as </t>
    </r>
    <r>
      <rPr>
        <b/>
        <sz val="11"/>
        <color theme="1"/>
        <rFont val="Calibre"/>
      </rPr>
      <t>The Company has repeatedly brought consumers new silhouettes, compelling collaborations, trend-right colors</t>
    </r>
    <r>
      <rPr>
        <sz val="11"/>
        <color theme="1"/>
        <rFont val="Calibre"/>
      </rPr>
      <t xml:space="preserve"> and </t>
    </r>
    <r>
      <rPr>
        <b/>
        <sz val="11"/>
        <color theme="1"/>
        <rFont val="Calibre"/>
      </rPr>
      <t>graphics</t>
    </r>
    <r>
      <rPr>
        <sz val="11"/>
        <color theme="1"/>
        <rFont val="Calibre"/>
      </rPr>
      <t>, and</t>
    </r>
    <r>
      <rPr>
        <b/>
        <sz val="11"/>
        <color theme="1"/>
        <rFont val="Calibre"/>
      </rPr>
      <t xml:space="preserve"> increased personalization through Jibbitz</t>
    </r>
    <r>
      <rPr>
        <sz val="11"/>
        <color theme="1"/>
        <rFont val="Calibre"/>
      </rPr>
      <t xml:space="preserve"> charms accessories</t>
    </r>
  </si>
  <si>
    <r>
      <rPr>
        <b/>
        <sz val="11"/>
        <color theme="1"/>
        <rFont val="Calibre"/>
      </rPr>
      <t>The vast majority of Crocs shoes feature Croslite material</t>
    </r>
    <r>
      <rPr>
        <sz val="11"/>
        <color theme="1"/>
        <rFont val="Calibre"/>
      </rPr>
      <t xml:space="preserve">, a </t>
    </r>
    <r>
      <rPr>
        <b/>
        <sz val="11"/>
        <color theme="1"/>
        <rFont val="Calibre"/>
      </rPr>
      <t>proprietary</t>
    </r>
    <r>
      <rPr>
        <sz val="11"/>
        <color theme="1"/>
        <rFont val="Calibre"/>
      </rPr>
      <t xml:space="preserve">, revolutionary </t>
    </r>
    <r>
      <rPr>
        <b/>
        <sz val="11"/>
        <color theme="1"/>
        <rFont val="Calibre"/>
      </rPr>
      <t>technology</t>
    </r>
    <r>
      <rPr>
        <sz val="11"/>
        <color theme="1"/>
        <rFont val="Calibre"/>
      </rPr>
      <t xml:space="preserve"> </t>
    </r>
    <r>
      <rPr>
        <b/>
        <sz val="11"/>
        <color theme="1"/>
        <rFont val="Calibre"/>
      </rPr>
      <t>that gives each pair of shoes the soft, comfortable, and lightweight qualities</t>
    </r>
    <r>
      <rPr>
        <sz val="11"/>
        <color theme="1"/>
        <rFont val="Calibre"/>
      </rPr>
      <t xml:space="preserve"> that fans know and love</t>
    </r>
  </si>
  <si>
    <t>The Company's products containing LiteRide and Free Feel Technology feature comfort-focused, proprietary foam insoles which are soft, lightweight, and resilient</t>
  </si>
  <si>
    <t>The Company also use Croslite material formulations in connection with material technologies used in The Business's visible comfort collections, such as LiteRide and Free Feel Technology products</t>
  </si>
  <si>
    <t>HEYDUDE Brand:</t>
  </si>
  <si>
    <r>
      <rPr>
        <b/>
        <sz val="11"/>
        <color theme="1"/>
        <rFont val="Calibre"/>
      </rPr>
      <t xml:space="preserve">The HEYDUDE Brand offers shoes with an iconic and versatile loafer silhouette </t>
    </r>
    <r>
      <rPr>
        <sz val="11"/>
        <color theme="1"/>
        <rFont val="Calibre"/>
      </rPr>
      <t xml:space="preserve">with many wearing occasions that </t>
    </r>
    <r>
      <rPr>
        <b/>
        <sz val="11"/>
        <color theme="1"/>
        <rFont val="Calibre"/>
      </rPr>
      <t>focus on casualization, comfort-led functionality, and personalization</t>
    </r>
  </si>
  <si>
    <t>The shoes are known for being lightweight, flexible, and soft, with design and functional flexibility for convenience</t>
  </si>
  <si>
    <t>The HEYDUDE Brand utilizes leading technologies including a flex-and-fold outsole and ergonomic insole</t>
  </si>
  <si>
    <t>Marketing:</t>
  </si>
  <si>
    <r>
      <rPr>
        <b/>
        <sz val="11"/>
        <color theme="1"/>
        <rFont val="Calibre"/>
      </rPr>
      <t>Reilly then returned to Crocs in 2024</t>
    </r>
    <r>
      <rPr>
        <sz val="11"/>
        <color theme="1"/>
        <rFont val="Calibre"/>
      </rPr>
      <t xml:space="preserve"> as President of the HEYDUDE brand and was later </t>
    </r>
    <r>
      <rPr>
        <b/>
        <sz val="11"/>
        <color theme="1"/>
        <rFont val="Calibre"/>
      </rPr>
      <t xml:space="preserve">promoted to Chief Brand Officer for The Company </t>
    </r>
  </si>
  <si>
    <r>
      <rPr>
        <b/>
        <sz val="11"/>
        <color theme="1"/>
        <rFont val="Calibre"/>
      </rPr>
      <t>Crocs is an incredibly compelling business case study due to their incredible marketing strategy</t>
    </r>
    <r>
      <rPr>
        <sz val="11"/>
        <color theme="1"/>
        <rFont val="Calibre"/>
      </rPr>
      <t xml:space="preserve"> … originally </t>
    </r>
    <r>
      <rPr>
        <b/>
        <sz val="11"/>
        <color theme="1"/>
        <rFont val="Calibre"/>
      </rPr>
      <t>lead by</t>
    </r>
    <r>
      <rPr>
        <sz val="11"/>
        <color theme="1"/>
        <rFont val="Calibre"/>
      </rPr>
      <t xml:space="preserve"> the </t>
    </r>
    <r>
      <rPr>
        <b/>
        <sz val="11"/>
        <color theme="1"/>
        <rFont val="Calibre"/>
      </rPr>
      <t>legendary Terence Reilly</t>
    </r>
    <r>
      <rPr>
        <sz val="11"/>
        <color theme="1"/>
        <rFont val="Calibre"/>
      </rPr>
      <t xml:space="preserve"> (who left for Stanely Cup in 2020 and started that second wave, then returning back to Crocs in 2024)</t>
    </r>
  </si>
  <si>
    <r>
      <t>As Chief Marketing Officer,</t>
    </r>
    <r>
      <rPr>
        <b/>
        <sz val="11"/>
        <color theme="1"/>
        <rFont val="Calibre"/>
      </rPr>
      <t xml:space="preserve"> Reilly helped transform Crocs from a "meme" brand into a streetwear staple </t>
    </r>
    <r>
      <rPr>
        <sz val="11"/>
        <color theme="1"/>
        <rFont val="Calibre"/>
      </rPr>
      <t xml:space="preserve">… </t>
    </r>
    <r>
      <rPr>
        <b/>
        <sz val="11"/>
        <color theme="1"/>
        <rFont val="Calibre"/>
      </rPr>
      <t xml:space="preserve">He secured influential collaborations with celebrities </t>
    </r>
    <r>
      <rPr>
        <sz val="11"/>
        <color theme="1"/>
        <rFont val="Calibre"/>
      </rPr>
      <t xml:space="preserve">and brands (Post Malone, Justin Bieber and many others), which helped grow the brand's cultural relevance </t>
    </r>
  </si>
  <si>
    <t>Crocs has been cemented into GenZ culture with their high-profile collaborations and the "Sportsmode meme"… Crocs also lean into the comfort megatrend … Incredibly popular with zoomers, nurses, and casualware consumers</t>
  </si>
  <si>
    <t>Each season, The Company focuses on presenting compelling brand stories and experiences for new product introductions as well as ongoing core products</t>
  </si>
  <si>
    <t>This has been a huge driver for The Business</t>
  </si>
  <si>
    <t>Managers strive to listen and respond quickly to customers to give them new and innovative reasons to continue choosing the Crocs and HEYDUDE brands</t>
  </si>
  <si>
    <t>In 2024, The Company expanded “Old Crocs New Life,” a circularity program in the United States and Canada that allows our Crocs consumers to return their gently worn or well-loved Crocs shoes to over 160 retail stores or via a mail-back initiative to be donated to communities in need or repurposed into something new</t>
  </si>
  <si>
    <t xml:space="preserve">Genuis idea to increase product velocity through consumer markets … or does everyone just buy lightly used Crocs stoking demand destruction??? </t>
  </si>
  <si>
    <r>
      <rPr>
        <b/>
        <sz val="11"/>
        <color theme="1"/>
        <rFont val="Calibre"/>
      </rPr>
      <t>The Company employs social and digital marketing centered on showcasing</t>
    </r>
    <r>
      <rPr>
        <sz val="11"/>
        <color theme="1"/>
        <rFont val="Calibre"/>
      </rPr>
      <t xml:space="preserve"> The Company's clog, sandal silhouettes, and Jibbitz charms for</t>
    </r>
    <r>
      <rPr>
        <b/>
        <sz val="11"/>
        <color theme="1"/>
        <rFont val="Calibre"/>
      </rPr>
      <t xml:space="preserve"> the Crocs Brand and </t>
    </r>
    <r>
      <rPr>
        <sz val="11"/>
        <color theme="1"/>
        <rFont val="Calibre"/>
      </rPr>
      <t xml:space="preserve">the versatile loafer silhouette for </t>
    </r>
    <r>
      <rPr>
        <b/>
        <sz val="11"/>
        <color theme="1"/>
        <rFont val="Calibre"/>
      </rPr>
      <t>the HEYDUDE Brand</t>
    </r>
  </si>
  <si>
    <r>
      <t>Managers continue to</t>
    </r>
    <r>
      <rPr>
        <b/>
        <sz val="11"/>
        <color theme="1"/>
        <rFont val="Calibre"/>
      </rPr>
      <t xml:space="preserve"> invest in partnerships including McDonald’s, Toy Story, Simone Rocha, Sydney Sweeney, and Jelly Roll</t>
    </r>
  </si>
  <si>
    <r>
      <t xml:space="preserve">Innovation is not only core to our brands’ values; it is at the forefront of </t>
    </r>
    <r>
      <rPr>
        <b/>
        <sz val="11"/>
        <color theme="1"/>
        <rFont val="Calibre"/>
      </rPr>
      <t>how we drive consumer acquisition and engagement</t>
    </r>
  </si>
  <si>
    <t>Employee Workforce:</t>
  </si>
  <si>
    <r>
      <t xml:space="preserve">As of December 31, 2024, </t>
    </r>
    <r>
      <rPr>
        <b/>
        <sz val="11"/>
        <color theme="1"/>
        <rFont val="Calibre"/>
      </rPr>
      <t>The Company employed more than 7,910 employees globally</t>
    </r>
    <r>
      <rPr>
        <sz val="11"/>
        <color theme="1"/>
        <rFont val="Calibre"/>
      </rPr>
      <t>, including approximately 4,560 employees in retail stores (60%), 2,300 employees at corporate/regional offices (30%), and 1,050 employees at distribution centers (10%)</t>
    </r>
  </si>
  <si>
    <t>Managers believe The Company has one of the most talented workforces in the footwear industry and continues to improve and implement new initiatives to remain an employer of choice across all businesses and geographies</t>
  </si>
  <si>
    <t>These initiatives include pay transparency in hiring, offering employee training and developing leadership capabilities, enabling meaningful professional experiences, offering a compelling employee value proposition, and creating a collaborative culture</t>
  </si>
  <si>
    <t>The broad appeal of our footwear has allowed us to market our products in more than 80 countries through two distribution channels: wholesale and direct-to-consumer (“DTC”)</t>
  </si>
  <si>
    <t>The Company's wholesale channel includes domestic and international multi-brand retailers, mono-branded partner stores, e-tailers, and distributors</t>
  </si>
  <si>
    <t>Brick-and-mortar customers typically include family footwear retailers, international, national, and regional retail chains, sporting goods stores, and independent footwear retailers</t>
  </si>
  <si>
    <t>Outside the U.S., The Company uses distributors when Managers believe such arrangements are economically preferable to direct sales</t>
  </si>
  <si>
    <t>Distributors purchase products pursuant to a price list and are granted the right to resell those products in a defined territory, usually a country or group of countries</t>
  </si>
  <si>
    <t>The Company's typical distribution agreements have terms of one to five years and can be terminated or renegotiated if minimum requirements or other terms are not met</t>
  </si>
  <si>
    <t>Wholesale Channel:</t>
  </si>
  <si>
    <t>DTC Channel:</t>
  </si>
  <si>
    <t>The Company's DTC channel includes company-operated e-commerce sites, third-party marketplaces, company-operated full-price retail stores, outlet stores, and kiosks/store-in-store locations</t>
  </si>
  <si>
    <t>E-commerce:</t>
  </si>
  <si>
    <t>As of December 31, 2024, The Company offered products through 23 company-operated e-commerce sites worldwide and also on third-party marketplaces</t>
  </si>
  <si>
    <t>The Company's e-commerce presence facilitates a greater connection with our consumers and provides us with an opportunity to educate them about our products and brands</t>
  </si>
  <si>
    <t>The Company continues to leverage increasingly sophisticated digital marketing activities to enhance the consumer experience and drive sales, thereby benefiting from the continued migration of consumers to online shopping</t>
  </si>
  <si>
    <t>Retail:</t>
  </si>
  <si>
    <t>With the continued worldwide consumer shift toward e-commerce, The Company carefully manages a retail fleet, especially full-priced retail stores</t>
  </si>
  <si>
    <t>As of December 31, 2024, we had 390 company-operated stores for the Crocs Brand and 52 company-operated stores for HEYDUDE Brand</t>
  </si>
  <si>
    <t>Company-operated full-price retail stores allow Managers to effectively showcase the full extent of The Company's product range to consumers and provide The Company with the opportunity to interact with those consumers directly</t>
  </si>
  <si>
    <t>As of December 31, 2024, The Company operated 87 full-price Crocs Brand retail stores</t>
  </si>
  <si>
    <t>Company-operated outlet stores allow us to sell discontinued and overstocked merchandise directly to consumers at discounted prices</t>
  </si>
  <si>
    <t>The Company also sells full-priced products in outlet stores as well as built-for-outlet products</t>
  </si>
  <si>
    <t>As of December 31, 2024, The Company had 232 Crocs Brand outlet stores and 52 HEYDUDE Brand outlet stores, of which 9 are clearance locations</t>
  </si>
  <si>
    <t>Company-operated kiosks and store-in-store locations allow The Company to market specific product lines, with flexibility to tailor products to consumer preferences in shopping malls and other high foot-traffic areas</t>
  </si>
  <si>
    <t>With efficient use of retail space and limited fixed cost and capital investment, Managers believe kiosks and store-in-store locations can be effective vehicles for selling products in certain geographic areas</t>
  </si>
  <si>
    <t>As of December 31, 2024, The Company had 71 Crocs Brand kiosks and store-in-store locations</t>
  </si>
  <si>
    <t>Retail Store Locations:</t>
  </si>
  <si>
    <t>The following table illustrates the net change during 2024 in the number of our company-operated retail stores (inclusive of full-price retail stores, outlet stores, kiosks, store-in-store locations, and temporary stores) by reportable operating segment and country:</t>
  </si>
  <si>
    <t>Opened</t>
  </si>
  <si>
    <t>Closed</t>
  </si>
  <si>
    <t>United States</t>
  </si>
  <si>
    <t>163 </t>
  </si>
  <si>
    <t>13 </t>
  </si>
  <si>
    <t>4 </t>
  </si>
  <si>
    <t>172 </t>
  </si>
  <si>
    <t>South Korea</t>
  </si>
  <si>
    <t>91 </t>
  </si>
  <si>
    <t>— </t>
  </si>
  <si>
    <t>95 </t>
  </si>
  <si>
    <t>China</t>
  </si>
  <si>
    <t>36 </t>
  </si>
  <si>
    <t>18 </t>
  </si>
  <si>
    <t>3 </t>
  </si>
  <si>
    <t>51 </t>
  </si>
  <si>
    <t>Japan</t>
  </si>
  <si>
    <t>14 </t>
  </si>
  <si>
    <t>7 </t>
  </si>
  <si>
    <t>21 </t>
  </si>
  <si>
    <t>Singapore</t>
  </si>
  <si>
    <t>17 </t>
  </si>
  <si>
    <t>Germany</t>
  </si>
  <si>
    <t>11 </t>
  </si>
  <si>
    <t>1 </t>
  </si>
  <si>
    <t>2 </t>
  </si>
  <si>
    <t>10 </t>
  </si>
  <si>
    <t>Canada</t>
  </si>
  <si>
    <t>8 </t>
  </si>
  <si>
    <t>9 </t>
  </si>
  <si>
    <t>Great Britain</t>
  </si>
  <si>
    <t>Austria</t>
  </si>
  <si>
    <t>Puerto Rico</t>
  </si>
  <si>
    <t>France</t>
  </si>
  <si>
    <t>The Netherlands</t>
  </si>
  <si>
    <t>Australia</t>
  </si>
  <si>
    <t>Total Crocs Brand</t>
  </si>
  <si>
    <t>349 </t>
  </si>
  <si>
    <t>390 </t>
  </si>
  <si>
    <t>HEYDUDE Brand</t>
  </si>
  <si>
    <t>39 </t>
  </si>
  <si>
    <t>52 </t>
  </si>
  <si>
    <t>Total HEYDUDE Brand</t>
  </si>
  <si>
    <t>Total</t>
  </si>
  <si>
    <t>363 </t>
  </si>
  <si>
    <t>90 </t>
  </si>
  <si>
    <t>442 </t>
  </si>
  <si>
    <t>Raw Materials:</t>
  </si>
  <si>
    <t>Croslite materials are formulated to create soft, comfortable, and lightweight footwear</t>
  </si>
  <si>
    <t>Croslite, The Company's proprietary closed-cell resin material, incorporates the primary material formulations used in the vast majority of Crocs Brand footwear and some accessories</t>
  </si>
  <si>
    <t>Managers continue to invest in research and development to refine materials to enhance these properties, develop new properties for specific applications, as well as reduce environmental impact through various sustainability initiatives described in the previous section</t>
  </si>
  <si>
    <t>Croslite is produced by compounding elastomer resins, purchased from major chemical manufacturers, with certain other production inputs such as color dyes</t>
  </si>
  <si>
    <t>Multiple suppliers produce the elastomer resins used in the Croslite material</t>
  </si>
  <si>
    <t>In the future, Managers may identify and utilize materials produced by other suppliers as an alternative to, or in addition to, those elastomer resins</t>
  </si>
  <si>
    <t>All other raw materials that we use to produce the Croslite formulations are readily available for purchase from multiple suppliers</t>
  </si>
  <si>
    <t>These materials are obtained from a number of third-party sources, and we believe these materials are also broadly available</t>
  </si>
  <si>
    <t>Some of the products offered are constructed using textile fabrics or other material formulations, such as LiteRide and Free Feel Technology</t>
  </si>
  <si>
    <t>The primary raw materials for the HEYDUDE Brand are fabrics, including polyester and cotton, Ethylene-vinyl acetate (“EVA”) insoles and outsoles, and other materials such as leather and polyurethane</t>
  </si>
  <si>
    <t>The Company purchases this material from a select group of third-party sources … Managers believe these materials are broadly available</t>
  </si>
  <si>
    <t>Raw Material Sourcing:</t>
  </si>
  <si>
    <t>The Company's sourcing strategy is to maintain a flexible, globally-diversified, cost-efficient third-party manufacturing base. Managers source inventory production from multiple third-party manufacturers, primarily in:</t>
  </si>
  <si>
    <t>We have additional third-party manufacturers in China, Indonesia, India, and Mexico, among other countries. During the years ended December 31, 2024, 2023, and 2022, approximately 51%, 56%, and 53%, respectively, of our Crocs Brand production was in Vietnam. Our largest third-party manufacturer for the Crocs Brand, with the majority of operations in Vietnam, produced approximately 50%, 47%, and 42% of our production during the years ended December 31, 2024, 2023, and 2022, respectively, and our second largest third-party manufacturer for the Crocs Brand, primarily operating in both Vietnam and China, produced approximately 25%, 26%, and 27% of our production during the years ended December 31, 2024, 2023, and 2022, respectively</t>
  </si>
  <si>
    <t>Vietnam for the Crocs Brand</t>
  </si>
  <si>
    <t>China for the HEYDUDE Brand</t>
  </si>
  <si>
    <t>We have additional third-party manufacturers in Vietnam, Cambodia, Indonesia, and India. During the years ended December 31, 2024 and 2023, approximately 58% and 83%, respectively, of our HEYDUDE Brand production was in China. During the partial period beginning on the Acquisition Date through December 31, 2022 (the “Partial Period”), the vast majority of production was in China for the HEYDUDE Brand</t>
  </si>
  <si>
    <t>We believe any potential concentration risk is mitigated by the fact that the manufacturing capabilities required to produce our footwear are broadly available for both brands</t>
  </si>
  <si>
    <t>Tarrif impact across SEA region should be investigated further … Listen to earnings call for management commentary … news changes every day but SEA seems to be most impacted by absurd rates</t>
  </si>
  <si>
    <t>Distribution and Logistics:</t>
  </si>
  <si>
    <t>Managers strive to enhance The Company's distribution and logistics network to further streamline supply chain activity, increase product speed to market, and lower operating costs</t>
  </si>
  <si>
    <t>As of December 31, 2024, The Company principally stored finished goods inventory in company-operated warehouses and distribution and logistics facilities located in the U.S. and the Netherlands</t>
  </si>
  <si>
    <t>During 2024, Managers further expanded U.S. distribution centers in Nevada for the HEYDUDE Brand to increase distribution capacity</t>
  </si>
  <si>
    <t>The Company also utilizes third-party operated distribution centers located in the United States, Japan, China, Australia, South Korea, Singapore, India, Brazil, Canada, the Netherlands, and the United Kingdom</t>
  </si>
  <si>
    <t>As of December 31, 2024, company-operated warehouse and distribution facilities provided The Company with 2.9 million square feet, and third-party operated distribution facilities provided us with 0.9 million square feet, with additional area available based on inventory levels</t>
  </si>
  <si>
    <t>Company owns a bunch of it's property … Crox is looking like a nice value play backed by cash and tangible assets</t>
  </si>
  <si>
    <t>The Company also ships directly to certain wholesale customers from third-party manufacturers and certain distributors pick up orders directly from third-party manufacturers or from the port of entry</t>
  </si>
  <si>
    <t>Intellectual Property and Trademarks:</t>
  </si>
  <si>
    <t>The HEYDUDE word mark is registered in the U.S., the European Union, China, and Singapore, among others</t>
  </si>
  <si>
    <t>Protection for the HEYDUDE logo has been filed in the U.S. and other countries and has moved to registration in some, including Singapore, the United Kingdom, and Australia among others</t>
  </si>
  <si>
    <t>In the U.S., The Company's patents are generally in effect for up to 20 years from the date of filing the patent application</t>
  </si>
  <si>
    <t>The Company also have registrations or pending trademark applications for other marks and logos in various countries around the world</t>
  </si>
  <si>
    <t>The Company's relies on a combination of trademarks, copyrights, trade secrets, trade dress, and patent protections to establish, protect, and enforce intellectual property rights in product designs, brands, materials, and research and development efforts, although no such methods can afford complete protection</t>
  </si>
  <si>
    <t>The Company owns or licenses the material trademarks used in connection with the marketing, distribution, and sale of all products, both domestically and internationally, in most countries where products are currently either sold or manufactured</t>
  </si>
  <si>
    <t>The Company's major trademarks for the HEYDUDE Brand include the HEYDUDE logo and word mark</t>
  </si>
  <si>
    <t>The Company's major trademarks for the Crocs Brand include the Crocs logo and the Crocs word mark</t>
  </si>
  <si>
    <t>Both the Crocs logo and the Crocs word mark are registered or pending registration in the U.S., the European Union, Japan, Taiwan, China, and Canada, among other countries</t>
  </si>
  <si>
    <t>The Company's trademarks registered within and outside of the U.S. are generally valid as long as they are in use and their registrations are properly maintained and have not been found to have become generic</t>
  </si>
  <si>
    <t>Managers believe The Company's trademarks and patents are crucial to the successful marketing and sale of products</t>
  </si>
  <si>
    <t>The Company strategically registers, both domestically and internationally, the trademarks and patents covering certain product designs and branding that are utilized today</t>
  </si>
  <si>
    <t>Manager aggressively police The Company's patents, trademarks, and copyrights and pursue those who infringe upon them, both domestically and internationally, through litigation and otherwise as deemed necessary</t>
  </si>
  <si>
    <t>Managers consider the formulations of the materials used to produce Crocs Brand footwear covered by The Company's trademarks Croslite™, LiteRide™, and Free Feel Technology™, among others, to be valuable trade secrets</t>
  </si>
  <si>
    <t>The material formulations are manufactured through a process that combines a number of components in various proportions to achieve the properties for which our Crocs Brand products are known</t>
  </si>
  <si>
    <t>We use multiple suppliers to source these components but protect the formulations by using an exclusive supply agreement for key components and confidentiality agreements with our third-party processors, and by requiring our employees to execute confidentiality agreements concerning the protection of our confidential information</t>
  </si>
  <si>
    <t>Other than our third-party processors, we are unaware of any third-party using our formulations in the production of footwear</t>
  </si>
  <si>
    <t>We believe the comfort and utility of our Crocs Brand products depend on the properties achieved from the compounding of the Croslite™, LiteRide™, and Free Feel Technology™ materials, which constitutes a key competitive advantage for us, and we intend to continue to vigorously protect these trade secrets</t>
  </si>
  <si>
    <t>We also actively combat counterfeiting and other infringements of our brand by monitoring the global marketplace</t>
  </si>
  <si>
    <t>We use our employees, sales representatives, distributors, and retailers, as well as outside investigators, attorneys, and customs agents, to police against infringing products by encouraging them to notify us of any suspect products and to assist law enforcement agencies</t>
  </si>
  <si>
    <t>Our sales representatives and distributors are also educated on our patents, pending patents, trademarks, and trade dress to assist in preventing potentially infringing products from obtaining retail shelf space</t>
  </si>
  <si>
    <t>The laws of certain countries do not protect intellectual property rights to the same extent or in the same manner as do the laws of the U.S., and, therefore, we may have difficulty obtaining legal protection for our intellectual property in certain foreign jurisdictions</t>
  </si>
  <si>
    <t>This is a considerable risk for the business … international makes up ~40% of Ttl Sales with China being a major driver</t>
  </si>
  <si>
    <t>Competition:</t>
  </si>
  <si>
    <t>The global casual, athletic, and fashion footwear markets are highly competitive</t>
  </si>
  <si>
    <t xml:space="preserve">Although we do not believe that we compete directly with any single company with respect to the entire spectrum of our products, we believe portions of our wholesale, retail, and e-commerce businesses compete with companies including, but not limited to: </t>
  </si>
  <si>
    <t>NIKE, Inc., adidas AG, Deckers Outdoor Corporation, Skechers USA, Inc., Birkenstock Holding plc., Steven Madden, Ltd., Wolverine World Wide, Inc., and V.F. Corporation</t>
  </si>
  <si>
    <t>Our company-operated retail locations and e-commerce sites also compete with some of our wholesale partners</t>
  </si>
  <si>
    <t>The principal elements of competition in these markets include brand awareness, product functionality, design, comfort, quality, price, customer service, and marketing and distribution</t>
  </si>
  <si>
    <t>We believe that our unique footwear designs, material formulations, prices, product line, and distribution networks position us well in the marketplace</t>
  </si>
  <si>
    <t>However, a number of companies in the casual footwear industry have greater financial resources, more comprehensive product lines, broader market presence, longer standing relationships with wholesalers, longer operating histories, greater distribution capabilities, stronger brand recognition, and greater marketing resources than we have</t>
  </si>
  <si>
    <r>
      <rPr>
        <b/>
        <sz val="11"/>
        <color theme="1"/>
        <rFont val="Calibre"/>
      </rPr>
      <t>Recognized</t>
    </r>
    <r>
      <rPr>
        <sz val="11"/>
        <color theme="1"/>
        <rFont val="Calibre"/>
      </rPr>
      <t xml:space="preserve"> globally </t>
    </r>
    <r>
      <rPr>
        <b/>
        <sz val="11"/>
        <color theme="1"/>
        <rFont val="Calibre"/>
      </rPr>
      <t>for</t>
    </r>
    <r>
      <rPr>
        <sz val="11"/>
        <color theme="1"/>
        <rFont val="Calibre"/>
      </rPr>
      <t xml:space="preserve"> an unmistakable, </t>
    </r>
    <r>
      <rPr>
        <b/>
        <sz val="11"/>
        <color theme="1"/>
        <rFont val="Calibre"/>
      </rPr>
      <t>iconic molded clog silhouette</t>
    </r>
    <r>
      <rPr>
        <sz val="11"/>
        <color theme="1"/>
        <rFont val="Calibre"/>
      </rPr>
      <t xml:space="preserve">, The Company has </t>
    </r>
    <r>
      <rPr>
        <b/>
        <sz val="11"/>
        <color theme="1"/>
        <rFont val="Calibre"/>
      </rPr>
      <t xml:space="preserve">taken the  formula of a simple design aesthetic, paired it with modern comfort, and expanded into a  variety of casual footwear products  </t>
    </r>
    <r>
      <rPr>
        <sz val="11"/>
        <color theme="1"/>
        <rFont val="Calibre"/>
      </rPr>
      <t>that meet the needs of the whole family</t>
    </r>
  </si>
  <si>
    <t>Location</t>
  </si>
  <si>
    <t>Use</t>
  </si>
  <si>
    <t>Approximate Square Feet</t>
  </si>
  <si>
    <t>Dayton, Ohio</t>
  </si>
  <si>
    <t>Distribution center</t>
  </si>
  <si>
    <t>Las Vegas, Nevada</t>
  </si>
  <si>
    <t>Dordrecht, the Netherlands</t>
  </si>
  <si>
    <t>Crocs Brand, HEYDUDE Brand</t>
  </si>
  <si>
    <t>Broomfield, Colorado</t>
  </si>
  <si>
    <t>Regional office and Crocs Brand headquarters</t>
  </si>
  <si>
    <t>Westwood, Massachusetts</t>
  </si>
  <si>
    <t>Regional office and HEYDUDE Brand headquarters</t>
  </si>
  <si>
    <t>Hoofddorp, the Netherlands</t>
  </si>
  <si>
    <t>Regional office</t>
  </si>
  <si>
    <t>Reportable  Segment(s)</t>
  </si>
  <si>
    <t>Our principal executive and administrative offices are located at 500 Eldorado Blvd., Building 5, Broomfield, CO 80021</t>
  </si>
  <si>
    <t>We lease all of our domestic and international facilities</t>
  </si>
  <si>
    <t>We currently enter into short-term and long-term leases for office, warehouse, and retail, including kiosk and store-in-store, space</t>
  </si>
  <si>
    <t>The terms of our leases include fixed monthly rents and/or contingent rents based on percentage of revenues for certain of our retail locations and expire at various dates through the year 2034</t>
  </si>
  <si>
    <t>The general location, use, and approximate size of our principal properties, as well as the reportable operating segment that utilizes each property, are given below</t>
  </si>
  <si>
    <t>We believe these properties, particularly our distribution centers and warehouses, along with various third-party distribution centers not included above, are adequate for our operations</t>
  </si>
  <si>
    <t>Aside from the principal properties listed above, we lease various other offices and distribution centers worldwide to meet our sales and operational needs</t>
  </si>
  <si>
    <t>We also lease 442 retail locations worldwide as of December 31, 2024</t>
  </si>
  <si>
    <t>Dividends:</t>
  </si>
  <si>
    <t xml:space="preserve">Makes sense … probably a better return from repurchasing shares or investing back into the company </t>
  </si>
  <si>
    <r>
      <rPr>
        <b/>
        <sz val="11"/>
        <color theme="1"/>
        <rFont val="Calibre"/>
      </rPr>
      <t xml:space="preserve">The Company's financing arrangements </t>
    </r>
    <r>
      <rPr>
        <sz val="11"/>
        <color theme="1"/>
        <rFont val="Calibre"/>
      </rPr>
      <t xml:space="preserve">also </t>
    </r>
    <r>
      <rPr>
        <b/>
        <sz val="11"/>
        <color theme="1"/>
        <rFont val="Calibre"/>
      </rPr>
      <t xml:space="preserve">include restrictions on cash dividends </t>
    </r>
    <r>
      <rPr>
        <sz val="11"/>
        <color theme="1"/>
        <rFont val="Calibre"/>
      </rPr>
      <t>paid on our common stock</t>
    </r>
  </si>
  <si>
    <r>
      <rPr>
        <b/>
        <sz val="11"/>
        <color theme="1"/>
        <rFont val="Calibre"/>
      </rPr>
      <t xml:space="preserve">The Company has never </t>
    </r>
    <r>
      <rPr>
        <sz val="11"/>
        <color theme="1"/>
        <rFont val="Calibre"/>
      </rPr>
      <t xml:space="preserve">declared or </t>
    </r>
    <r>
      <rPr>
        <b/>
        <sz val="11"/>
        <color theme="1"/>
        <rFont val="Calibre"/>
      </rPr>
      <t>paid a cash dividend on common stock</t>
    </r>
    <r>
      <rPr>
        <sz val="11"/>
        <color theme="1"/>
        <rFont val="Calibre"/>
      </rPr>
      <t xml:space="preserve">, and managers </t>
    </r>
    <r>
      <rPr>
        <b/>
        <sz val="11"/>
        <color theme="1"/>
        <rFont val="Calibre"/>
      </rPr>
      <t xml:space="preserve">do not anticipate initiating one in the foreseeable future </t>
    </r>
  </si>
  <si>
    <t>Any future determination to declare cash dividends on The Company's common stock will be made at the discretion of The Company's Board, subject to, among other things, our results of operations, financial condition, level of indebtedness, capital requirements, and compliance with covenants under any then-existing financing agreements</t>
  </si>
  <si>
    <t>Address: 500 Eldorado Boulevard, Broomfield, CO 80021 U.S.</t>
  </si>
  <si>
    <t>12/24/25</t>
  </si>
  <si>
    <t>Q3'25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</si>
</sst>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0.0"/>
    <numFmt numFmtId="166" formatCode="0.0%"/>
  </numFmts>
  <fonts count="22">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1"/>
      <color theme="4" tint="-0.249977111117893"/>
      <name val="Calibre"/>
    </font>
    <font>
      <sz val="10"/>
      <name val="Arial"/>
      <family val="2"/>
    </font>
    <font>
      <sz val="11"/>
      <color theme="1"/>
      <name val="Times New Roman"/>
      <family val="1"/>
    </font>
    <font>
      <b/>
      <sz val="10"/>
      <color rgb="FF000000"/>
      <name val="Times New Roman"/>
      <family val="1"/>
    </font>
    <font>
      <sz val="10"/>
      <color rgb="FF000000"/>
      <name val="Times New Roman"/>
      <family val="1"/>
    </font>
  </fonts>
  <fills count="8">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
      <patternFill patternType="solid">
        <fgColor rgb="FFCDFFCC"/>
        <bgColor indexed="64"/>
      </patternFill>
    </fill>
    <fill>
      <patternFill patternType="solid">
        <fgColor rgb="FFFFFFFF"/>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
      <left/>
      <right/>
      <top style="medium">
        <color rgb="FF000000"/>
      </top>
      <bottom/>
      <diagonal/>
    </border>
    <border>
      <left/>
      <right/>
      <top style="medium">
        <color rgb="FF000000"/>
      </top>
      <bottom style="double">
        <color rgb="FF000000"/>
      </bottom>
      <diagonal/>
    </border>
    <border>
      <left/>
      <right/>
      <top/>
      <bottom style="medium">
        <color rgb="FF000000"/>
      </bottom>
      <diagonal/>
    </border>
    <border>
      <left/>
      <right/>
      <top style="medium">
        <color rgb="FF000000"/>
      </top>
      <bottom style="medium">
        <color rgb="FF000000"/>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15" fillId="0" borderId="0" applyNumberFormat="0" applyFill="0" applyBorder="0" applyAlignment="0" applyProtection="0"/>
  </cellStyleXfs>
  <cellXfs count="125">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0" fontId="14" fillId="0" borderId="0" xfId="0" applyFont="1" applyAlignment="1">
      <alignment horizontal="left"/>
    </xf>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44" fontId="2" fillId="0" borderId="0" xfId="0" applyNumberFormat="1" applyFont="1" applyAlignment="1">
      <alignment horizontal="right" indent="1"/>
    </xf>
    <xf numFmtId="164" fontId="2" fillId="0" borderId="0" xfId="2" applyNumberFormat="1" applyFont="1" applyAlignment="1">
      <alignment horizontal="right" indent="1"/>
    </xf>
    <xf numFmtId="164" fontId="2" fillId="0" borderId="0" xfId="0" applyNumberFormat="1" applyFont="1" applyAlignment="1">
      <alignment horizontal="right" indent="1"/>
    </xf>
    <xf numFmtId="0" fontId="16" fillId="0" borderId="0" xfId="3"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horizontal="center"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5" fontId="13" fillId="0" borderId="0" xfId="0" applyNumberFormat="1" applyFont="1" applyAlignment="1">
      <alignment vertical="top"/>
    </xf>
    <xf numFmtId="166" fontId="13" fillId="0" borderId="0" xfId="1" applyNumberFormat="1" applyFont="1" applyAlignment="1">
      <alignment vertical="top"/>
    </xf>
    <xf numFmtId="0" fontId="12" fillId="0" borderId="0" xfId="0" applyFont="1" applyAlignment="1">
      <alignment vertical="top"/>
    </xf>
    <xf numFmtId="14" fontId="13" fillId="0" borderId="0" xfId="0" applyNumberFormat="1" applyFont="1" applyAlignment="1">
      <alignment horizontal="left" vertical="top"/>
    </xf>
    <xf numFmtId="2" fontId="13" fillId="0" borderId="0" xfId="0" applyNumberFormat="1" applyFont="1" applyAlignment="1">
      <alignment vertical="top"/>
    </xf>
    <xf numFmtId="49" fontId="13" fillId="0" borderId="0" xfId="0" applyNumberFormat="1" applyFont="1" applyAlignment="1">
      <alignment horizontal="right" vertical="top"/>
    </xf>
    <xf numFmtId="0" fontId="13" fillId="0" borderId="0" xfId="0" applyFont="1" applyAlignment="1">
      <alignment horizontal="left" vertical="top"/>
    </xf>
    <xf numFmtId="0" fontId="18" fillId="0" borderId="0" xfId="0" applyFont="1"/>
    <xf numFmtId="165" fontId="2" fillId="0" borderId="0" xfId="0" applyNumberFormat="1" applyFont="1" applyAlignment="1">
      <alignment horizontal="left" indent="5"/>
    </xf>
    <xf numFmtId="0" fontId="14" fillId="0" borderId="0" xfId="0" applyFont="1" applyAlignment="1">
      <alignment horizontal="left" vertical="top"/>
    </xf>
    <xf numFmtId="0" fontId="2" fillId="0" borderId="0" xfId="0" applyFont="1" applyAlignment="1">
      <alignment horizontal="left" indent="1"/>
    </xf>
    <xf numFmtId="0" fontId="2" fillId="0" borderId="0" xfId="0" applyFont="1" applyAlignment="1">
      <alignment vertical="top"/>
    </xf>
    <xf numFmtId="0" fontId="12" fillId="0" borderId="0" xfId="0" applyFont="1" applyAlignment="1">
      <alignment vertical="top" wrapText="1"/>
    </xf>
    <xf numFmtId="10" fontId="12" fillId="0" borderId="0" xfId="0" applyNumberFormat="1" applyFont="1" applyAlignment="1">
      <alignment vertical="top"/>
    </xf>
    <xf numFmtId="0" fontId="3" fillId="0" borderId="0" xfId="0" applyFont="1" applyAlignment="1">
      <alignment vertical="top"/>
    </xf>
    <xf numFmtId="10" fontId="0" fillId="0" borderId="0" xfId="0" applyNumberFormat="1"/>
    <xf numFmtId="0" fontId="0" fillId="0" borderId="18" xfId="0" applyBorder="1"/>
    <xf numFmtId="0" fontId="9" fillId="0" borderId="17" xfId="0" applyFont="1" applyBorder="1" applyAlignment="1">
      <alignment horizontal="center"/>
    </xf>
    <xf numFmtId="166" fontId="2" fillId="0" borderId="0" xfId="1" applyNumberFormat="1" applyFont="1"/>
    <xf numFmtId="10" fontId="2" fillId="0" borderId="0" xfId="1" applyNumberFormat="1" applyFont="1"/>
    <xf numFmtId="165" fontId="2" fillId="0" borderId="0" xfId="0" applyNumberFormat="1" applyFont="1"/>
    <xf numFmtId="165" fontId="3" fillId="0" borderId="0" xfId="0" applyNumberFormat="1" applyFont="1"/>
    <xf numFmtId="166" fontId="3" fillId="0" borderId="0" xfId="1" applyNumberFormat="1" applyFont="1"/>
    <xf numFmtId="165" fontId="13" fillId="0" borderId="0" xfId="0" applyNumberFormat="1" applyFont="1"/>
    <xf numFmtId="165" fontId="12" fillId="0" borderId="0" xfId="0" applyNumberFormat="1" applyFont="1"/>
    <xf numFmtId="1" fontId="13" fillId="0" borderId="0" xfId="0" applyNumberFormat="1" applyFont="1"/>
    <xf numFmtId="1" fontId="12" fillId="0" borderId="0" xfId="0" applyNumberFormat="1" applyFont="1"/>
    <xf numFmtId="1" fontId="2" fillId="0" borderId="0" xfId="0" applyNumberFormat="1" applyFont="1"/>
    <xf numFmtId="1" fontId="3" fillId="0" borderId="0" xfId="0" applyNumberFormat="1" applyFont="1"/>
    <xf numFmtId="9" fontId="2" fillId="0" borderId="0" xfId="1" applyFont="1"/>
    <xf numFmtId="2" fontId="2" fillId="0" borderId="0" xfId="0" applyNumberFormat="1" applyFont="1" applyAlignment="1">
      <alignment vertical="top"/>
    </xf>
    <xf numFmtId="166" fontId="2" fillId="0" borderId="0" xfId="0" applyNumberFormat="1" applyFont="1" applyAlignment="1">
      <alignment vertical="top"/>
    </xf>
    <xf numFmtId="166" fontId="13" fillId="0" borderId="0" xfId="0" applyNumberFormat="1" applyFont="1" applyAlignment="1">
      <alignment vertical="top"/>
    </xf>
    <xf numFmtId="166" fontId="13" fillId="0" borderId="0" xfId="0" applyNumberFormat="1" applyFont="1"/>
    <xf numFmtId="166" fontId="12" fillId="0" borderId="0" xfId="0" applyNumberFormat="1" applyFont="1"/>
    <xf numFmtId="0" fontId="19" fillId="7" borderId="0" xfId="0" applyFont="1" applyFill="1" applyAlignment="1">
      <alignment horizontal="right" wrapText="1"/>
    </xf>
    <xf numFmtId="0" fontId="19" fillId="6" borderId="0" xfId="0" applyFont="1" applyFill="1" applyAlignment="1">
      <alignment horizontal="right" wrapText="1"/>
    </xf>
    <xf numFmtId="0" fontId="19" fillId="6" borderId="19" xfId="0" applyFont="1" applyFill="1" applyBorder="1" applyAlignment="1">
      <alignment horizontal="right" wrapText="1"/>
    </xf>
    <xf numFmtId="0" fontId="19" fillId="7" borderId="19" xfId="0" applyFont="1" applyFill="1" applyBorder="1" applyAlignment="1">
      <alignment horizontal="right" wrapText="1"/>
    </xf>
    <xf numFmtId="0" fontId="19" fillId="6" borderId="20" xfId="0" applyFont="1" applyFill="1" applyBorder="1" applyAlignment="1">
      <alignment horizontal="right" wrapText="1"/>
    </xf>
    <xf numFmtId="0" fontId="2" fillId="0" borderId="0" xfId="0" applyFont="1" applyAlignment="1">
      <alignment vertical="top" wrapText="1"/>
    </xf>
    <xf numFmtId="0" fontId="19" fillId="6" borderId="19" xfId="0" applyFont="1" applyFill="1" applyBorder="1" applyAlignment="1">
      <alignment vertical="center" wrapText="1"/>
    </xf>
    <xf numFmtId="0" fontId="21" fillId="7" borderId="0" xfId="0" applyFont="1" applyFill="1" applyAlignment="1">
      <alignment horizontal="left" wrapText="1" indent="1"/>
    </xf>
    <xf numFmtId="0" fontId="21" fillId="7" borderId="0" xfId="0" applyFont="1" applyFill="1" applyAlignment="1">
      <alignment horizontal="right" wrapText="1"/>
    </xf>
    <xf numFmtId="15" fontId="20" fillId="0" borderId="0" xfId="0" applyNumberFormat="1" applyFont="1" applyAlignment="1">
      <alignment horizontal="center" wrapText="1"/>
    </xf>
    <xf numFmtId="0" fontId="20" fillId="6" borderId="0" xfId="0" applyFont="1" applyFill="1" applyAlignment="1">
      <alignment horizontal="left" wrapText="1"/>
    </xf>
    <xf numFmtId="0" fontId="20" fillId="0" borderId="0" xfId="0" applyFont="1" applyAlignment="1">
      <alignment horizontal="center" wrapText="1"/>
    </xf>
    <xf numFmtId="0" fontId="21" fillId="6" borderId="0" xfId="0" applyFont="1" applyFill="1" applyAlignment="1">
      <alignment horizontal="right" wrapText="1"/>
    </xf>
    <xf numFmtId="0" fontId="21" fillId="6" borderId="0" xfId="0" applyFont="1" applyFill="1" applyAlignment="1">
      <alignment horizontal="left" vertical="center" wrapText="1" indent="1"/>
    </xf>
    <xf numFmtId="0" fontId="21" fillId="6" borderId="0" xfId="0" applyFont="1" applyFill="1" applyAlignment="1">
      <alignment horizontal="left" wrapText="1" indent="1"/>
    </xf>
    <xf numFmtId="0" fontId="21" fillId="7" borderId="0" xfId="0" applyFont="1" applyFill="1" applyAlignment="1">
      <alignment horizontal="left" vertical="center" wrapText="1" indent="1"/>
    </xf>
    <xf numFmtId="0" fontId="21" fillId="7" borderId="21" xfId="0" applyFont="1" applyFill="1" applyBorder="1" applyAlignment="1">
      <alignment horizontal="right" wrapText="1"/>
    </xf>
    <xf numFmtId="0" fontId="21" fillId="6" borderId="22" xfId="0" applyFont="1" applyFill="1" applyBorder="1" applyAlignment="1">
      <alignment horizontal="right" wrapText="1"/>
    </xf>
    <xf numFmtId="0" fontId="20" fillId="7" borderId="0" xfId="0" applyFont="1" applyFill="1" applyAlignment="1">
      <alignment horizontal="left" wrapText="1"/>
    </xf>
    <xf numFmtId="0" fontId="19" fillId="7" borderId="19" xfId="0" applyFont="1" applyFill="1" applyBorder="1" applyAlignment="1">
      <alignment vertical="center" wrapText="1"/>
    </xf>
    <xf numFmtId="0" fontId="21" fillId="6" borderId="0" xfId="0" applyFont="1" applyFill="1" applyAlignment="1">
      <alignment horizontal="left" wrapText="1" indent="2"/>
    </xf>
    <xf numFmtId="0" fontId="21" fillId="6" borderId="21" xfId="0" applyFont="1" applyFill="1" applyBorder="1" applyAlignment="1">
      <alignment horizontal="right" wrapText="1"/>
    </xf>
    <xf numFmtId="0" fontId="21" fillId="7" borderId="0" xfId="0" applyFont="1" applyFill="1" applyAlignment="1">
      <alignment horizontal="left" wrapText="1" indent="2"/>
    </xf>
    <xf numFmtId="0" fontId="21" fillId="7" borderId="22" xfId="0" applyFont="1" applyFill="1" applyBorder="1" applyAlignment="1">
      <alignment horizontal="right" wrapText="1"/>
    </xf>
    <xf numFmtId="0" fontId="2" fillId="0" borderId="0" xfId="0" applyFont="1" applyAlignment="1">
      <alignment horizontal="left" vertical="top" wrapText="1"/>
    </xf>
    <xf numFmtId="0" fontId="20" fillId="0" borderId="21" xfId="0" applyFont="1" applyBorder="1" applyAlignment="1">
      <alignment horizontal="center" wrapText="1"/>
    </xf>
    <xf numFmtId="0" fontId="21" fillId="6" borderId="19" xfId="0" applyFont="1" applyFill="1" applyBorder="1" applyAlignment="1">
      <alignment horizontal="left" vertical="top" wrapText="1"/>
    </xf>
    <xf numFmtId="0" fontId="21" fillId="6" borderId="20" xfId="0" applyFont="1" applyFill="1" applyBorder="1" applyAlignment="1">
      <alignment horizontal="right" wrapText="1"/>
    </xf>
    <xf numFmtId="0" fontId="21" fillId="6" borderId="0" xfId="0" applyFont="1" applyFill="1" applyAlignment="1">
      <alignment horizontal="left" wrapText="1" indent="3"/>
    </xf>
    <xf numFmtId="3" fontId="21" fillId="6" borderId="0" xfId="0" applyNumberFormat="1" applyFont="1" applyFill="1" applyAlignment="1">
      <alignment horizontal="center" vertical="top" wrapText="1"/>
    </xf>
    <xf numFmtId="0" fontId="21" fillId="7" borderId="0" xfId="0" applyFont="1" applyFill="1" applyAlignment="1">
      <alignment horizontal="left" vertical="top" wrapText="1"/>
    </xf>
    <xf numFmtId="3" fontId="21" fillId="7" borderId="0" xfId="0" applyNumberFormat="1" applyFont="1" applyFill="1" applyAlignment="1">
      <alignment horizontal="center" vertical="top" wrapText="1"/>
    </xf>
    <xf numFmtId="0" fontId="21" fillId="6" borderId="0" xfId="0" applyFont="1" applyFill="1" applyAlignment="1">
      <alignment horizontal="left" vertical="top" wrapText="1"/>
    </xf>
    <xf numFmtId="3" fontId="21" fillId="6" borderId="19" xfId="0" applyNumberFormat="1" applyFont="1" applyFill="1" applyBorder="1" applyAlignment="1">
      <alignment horizontal="center" vertical="top" wrapText="1"/>
    </xf>
    <xf numFmtId="0" fontId="21" fillId="7" borderId="0" xfId="0" applyFont="1" applyFill="1" applyAlignment="1">
      <alignment horizontal="left" vertical="center" wrapText="1"/>
    </xf>
    <xf numFmtId="0" fontId="17" fillId="0" borderId="0" xfId="0" applyFont="1" applyAlignment="1">
      <alignment horizontal="center"/>
    </xf>
  </cellXfs>
  <cellStyles count="4">
    <cellStyle name="Currency" xfId="2" builtinId="4"/>
    <cellStyle name="Hyperlink" xfId="3" builtinId="8"/>
    <cellStyle name="Normal" xfId="0" builtinId="0"/>
    <cellStyle name="Percent" xfId="1" builtinId="5"/>
  </cellStyles>
  <dxfs count="5">
    <dxf>
      <font>
        <b/>
        <i val="0"/>
        <color theme="0"/>
      </font>
      <fill>
        <patternFill>
          <bgColor rgb="FF5A8C38"/>
        </patternFill>
      </fill>
    </dxf>
    <dxf>
      <font>
        <b/>
        <i val="0"/>
        <color theme="0"/>
      </font>
      <fill>
        <patternFill>
          <bgColor rgb="FF00CC66"/>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85BD5F"/>
      <color rgb="FF93C5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(CROX)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6"/>
          <c:order val="0"/>
          <c:tx>
            <c:strRef>
              <c:f>Model!$B$4</c:f>
              <c:strCache>
                <c:ptCount val="1"/>
                <c:pt idx="0">
                  <c:v>Crocs Wholesale</c:v>
                </c:pt>
              </c:strCache>
            </c:strRef>
          </c:tx>
          <c:spPr>
            <a:solidFill>
              <a:srgbClr val="85BD5F"/>
            </a:solidFill>
            <a:ln>
              <a:noFill/>
            </a:ln>
            <a:effectLst/>
          </c:spPr>
          <c:invertIfNegative val="0"/>
          <c:cat>
            <c:strRef>
              <c:f>Model!$AU$1:$BP$1</c:f>
              <c:strCache>
                <c:ptCount val="21"/>
                <c:pt idx="0">
                  <c:v>Q1 2020</c:v>
                </c:pt>
                <c:pt idx="4">
                  <c:v>Q1 2021</c:v>
                </c:pt>
                <c:pt idx="8">
                  <c:v>Q1 2022</c:v>
                </c:pt>
                <c:pt idx="12">
                  <c:v>Q1 2023</c:v>
                </c:pt>
                <c:pt idx="16">
                  <c:v>Q1 2024</c:v>
                </c:pt>
                <c:pt idx="20">
                  <c:v>Q1 2025</c:v>
                </c:pt>
              </c:strCache>
            </c:strRef>
          </c:cat>
          <c:val>
            <c:numRef>
              <c:f>Model!$AU$4:$BQ$4</c:f>
              <c:numCache>
                <c:formatCode>0.0</c:formatCode>
                <c:ptCount val="23"/>
                <c:pt idx="0">
                  <c:v>193.172</c:v>
                </c:pt>
                <c:pt idx="1">
                  <c:v>144.88999999999999</c:v>
                </c:pt>
                <c:pt idx="2">
                  <c:v>164.511</c:v>
                </c:pt>
                <c:pt idx="3">
                  <c:v>190.346</c:v>
                </c:pt>
                <c:pt idx="4">
                  <c:v>290.03899999999999</c:v>
                </c:pt>
                <c:pt idx="5">
                  <c:v>307.32</c:v>
                </c:pt>
                <c:pt idx="6">
                  <c:v>309.61099999999999</c:v>
                </c:pt>
                <c:pt idx="7">
                  <c:v>267.11</c:v>
                </c:pt>
                <c:pt idx="8">
                  <c:v>344.25</c:v>
                </c:pt>
                <c:pt idx="9">
                  <c:v>392.51100000000002</c:v>
                </c:pt>
                <c:pt idx="10">
                  <c:v>353.30399999999997</c:v>
                </c:pt>
                <c:pt idx="11">
                  <c:v>287.2349999999999</c:v>
                </c:pt>
                <c:pt idx="12">
                  <c:v>410.56</c:v>
                </c:pt>
                <c:pt idx="13">
                  <c:v>407.34</c:v>
                </c:pt>
                <c:pt idx="14">
                  <c:v>369.17700000000002</c:v>
                </c:pt>
                <c:pt idx="15">
                  <c:v>590.80300000000011</c:v>
                </c:pt>
                <c:pt idx="16">
                  <c:v>382.91</c:v>
                </c:pt>
                <c:pt idx="17">
                  <c:v>435.28</c:v>
                </c:pt>
                <c:pt idx="18">
                  <c:v>395.56</c:v>
                </c:pt>
                <c:pt idx="19">
                  <c:v>393.78999999999996</c:v>
                </c:pt>
                <c:pt idx="20">
                  <c:v>368.51</c:v>
                </c:pt>
                <c:pt idx="21">
                  <c:v>464.67</c:v>
                </c:pt>
                <c:pt idx="22">
                  <c:v>364.35599999999999</c:v>
                </c:pt>
              </c:numCache>
            </c:numRef>
          </c:val>
          <c:extLst>
            <c:ext xmlns:c16="http://schemas.microsoft.com/office/drawing/2014/chart" uri="{C3380CC4-5D6E-409C-BE32-E72D297353CC}">
              <c16:uniqueId val="{00000006-763E-43B3-B662-D76C6E829219}"/>
            </c:ext>
          </c:extLst>
        </c:ser>
        <c:ser>
          <c:idx val="7"/>
          <c:order val="1"/>
          <c:tx>
            <c:strRef>
              <c:f>Model!$B$5</c:f>
              <c:strCache>
                <c:ptCount val="1"/>
                <c:pt idx="0">
                  <c:v>Crocs DTC</c:v>
                </c:pt>
              </c:strCache>
            </c:strRef>
          </c:tx>
          <c:spPr>
            <a:solidFill>
              <a:srgbClr val="70AD47">
                <a:lumMod val="60000"/>
                <a:lumOff val="40000"/>
              </a:srgbClr>
            </a:solidFill>
            <a:ln>
              <a:noFill/>
            </a:ln>
            <a:effectLst/>
          </c:spPr>
          <c:invertIfNegative val="0"/>
          <c:cat>
            <c:strRef>
              <c:f>Model!$AU$1:$BP$1</c:f>
              <c:strCache>
                <c:ptCount val="21"/>
                <c:pt idx="0">
                  <c:v>Q1 2020</c:v>
                </c:pt>
                <c:pt idx="4">
                  <c:v>Q1 2021</c:v>
                </c:pt>
                <c:pt idx="8">
                  <c:v>Q1 2022</c:v>
                </c:pt>
                <c:pt idx="12">
                  <c:v>Q1 2023</c:v>
                </c:pt>
                <c:pt idx="16">
                  <c:v>Q1 2024</c:v>
                </c:pt>
                <c:pt idx="20">
                  <c:v>Q1 2025</c:v>
                </c:pt>
              </c:strCache>
            </c:strRef>
          </c:cat>
          <c:val>
            <c:numRef>
              <c:f>Model!$AU$5:$BQ$5</c:f>
              <c:numCache>
                <c:formatCode>0.0</c:formatCode>
                <c:ptCount val="23"/>
                <c:pt idx="0">
                  <c:v>87.988</c:v>
                </c:pt>
                <c:pt idx="1">
                  <c:v>186.65700000000001</c:v>
                </c:pt>
                <c:pt idx="2">
                  <c:v>197.22499999999999</c:v>
                </c:pt>
                <c:pt idx="3">
                  <c:v>221.16200000000003</c:v>
                </c:pt>
                <c:pt idx="4">
                  <c:v>170.059</c:v>
                </c:pt>
                <c:pt idx="5">
                  <c:v>333.44600000000003</c:v>
                </c:pt>
                <c:pt idx="6">
                  <c:v>316.30799999999999</c:v>
                </c:pt>
                <c:pt idx="7">
                  <c:v>319.52200000000005</c:v>
                </c:pt>
                <c:pt idx="8">
                  <c:v>200.96</c:v>
                </c:pt>
                <c:pt idx="9">
                  <c:v>339.70499999999998</c:v>
                </c:pt>
                <c:pt idx="10">
                  <c:v>362.40300000000002</c:v>
                </c:pt>
                <c:pt idx="11">
                  <c:v>378.75199999999995</c:v>
                </c:pt>
                <c:pt idx="12">
                  <c:v>238.21</c:v>
                </c:pt>
                <c:pt idx="13">
                  <c:v>425.608</c:v>
                </c:pt>
                <c:pt idx="14">
                  <c:v>429.59</c:v>
                </c:pt>
                <c:pt idx="15">
                  <c:v>141.66100000000006</c:v>
                </c:pt>
                <c:pt idx="16">
                  <c:v>360.9</c:v>
                </c:pt>
                <c:pt idx="17">
                  <c:v>478.70800000000003</c:v>
                </c:pt>
                <c:pt idx="18">
                  <c:v>462.53</c:v>
                </c:pt>
                <c:pt idx="19">
                  <c:v>368.28200000000015</c:v>
                </c:pt>
                <c:pt idx="20">
                  <c:v>393.09</c:v>
                </c:pt>
                <c:pt idx="21">
                  <c:v>494.91</c:v>
                </c:pt>
                <c:pt idx="22">
                  <c:v>471.87</c:v>
                </c:pt>
              </c:numCache>
            </c:numRef>
          </c:val>
          <c:extLst>
            <c:ext xmlns:c16="http://schemas.microsoft.com/office/drawing/2014/chart" uri="{C3380CC4-5D6E-409C-BE32-E72D297353CC}">
              <c16:uniqueId val="{00000007-763E-43B3-B662-D76C6E829219}"/>
            </c:ext>
          </c:extLst>
        </c:ser>
        <c:ser>
          <c:idx val="8"/>
          <c:order val="2"/>
          <c:tx>
            <c:strRef>
              <c:f>Model!$B$7</c:f>
              <c:strCache>
                <c:ptCount val="1"/>
                <c:pt idx="0">
                  <c:v>HEYDUDE Wholesale</c:v>
                </c:pt>
              </c:strCache>
            </c:strRef>
          </c:tx>
          <c:spPr>
            <a:solidFill>
              <a:srgbClr val="5B9BD5">
                <a:lumMod val="75000"/>
              </a:srgbClr>
            </a:solidFill>
            <a:ln>
              <a:noFill/>
            </a:ln>
            <a:effectLst/>
          </c:spPr>
          <c:invertIfNegative val="0"/>
          <c:cat>
            <c:strRef>
              <c:f>Model!$AU$1:$BP$1</c:f>
              <c:strCache>
                <c:ptCount val="21"/>
                <c:pt idx="0">
                  <c:v>Q1 2020</c:v>
                </c:pt>
                <c:pt idx="4">
                  <c:v>Q1 2021</c:v>
                </c:pt>
                <c:pt idx="8">
                  <c:v>Q1 2022</c:v>
                </c:pt>
                <c:pt idx="12">
                  <c:v>Q1 2023</c:v>
                </c:pt>
                <c:pt idx="16">
                  <c:v>Q1 2024</c:v>
                </c:pt>
                <c:pt idx="20">
                  <c:v>Q1 2025</c:v>
                </c:pt>
              </c:strCache>
            </c:strRef>
          </c:cat>
          <c:val>
            <c:numRef>
              <c:f>Model!$AU$7:$BQ$7</c:f>
              <c:numCache>
                <c:formatCode>0.0</c:formatCode>
                <c:ptCount val="23"/>
                <c:pt idx="0">
                  <c:v>0</c:v>
                </c:pt>
                <c:pt idx="1">
                  <c:v>0</c:v>
                </c:pt>
                <c:pt idx="2">
                  <c:v>0</c:v>
                </c:pt>
                <c:pt idx="3">
                  <c:v>0</c:v>
                </c:pt>
                <c:pt idx="4">
                  <c:v>0</c:v>
                </c:pt>
                <c:pt idx="5">
                  <c:v>0</c:v>
                </c:pt>
                <c:pt idx="6">
                  <c:v>0</c:v>
                </c:pt>
                <c:pt idx="7">
                  <c:v>0</c:v>
                </c:pt>
                <c:pt idx="8">
                  <c:v>86.918999999999997</c:v>
                </c:pt>
                <c:pt idx="9">
                  <c:v>162.499</c:v>
                </c:pt>
                <c:pt idx="10">
                  <c:v>181.768</c:v>
                </c:pt>
                <c:pt idx="11">
                  <c:v>142.95399999999995</c:v>
                </c:pt>
                <c:pt idx="12">
                  <c:v>167.86</c:v>
                </c:pt>
                <c:pt idx="13">
                  <c:v>148.82499999999999</c:v>
                </c:pt>
                <c:pt idx="14">
                  <c:v>146.5</c:v>
                </c:pt>
                <c:pt idx="15">
                  <c:v>103.75200000000001</c:v>
                </c:pt>
                <c:pt idx="16">
                  <c:v>134.75</c:v>
                </c:pt>
                <c:pt idx="17">
                  <c:v>113.82899999999999</c:v>
                </c:pt>
                <c:pt idx="18">
                  <c:v>113.018</c:v>
                </c:pt>
                <c:pt idx="19">
                  <c:v>94.873000000000047</c:v>
                </c:pt>
                <c:pt idx="20">
                  <c:v>110.69</c:v>
                </c:pt>
                <c:pt idx="21">
                  <c:v>99.76</c:v>
                </c:pt>
                <c:pt idx="22">
                  <c:v>69.400000000000006</c:v>
                </c:pt>
              </c:numCache>
            </c:numRef>
          </c:val>
          <c:extLst>
            <c:ext xmlns:c16="http://schemas.microsoft.com/office/drawing/2014/chart" uri="{C3380CC4-5D6E-409C-BE32-E72D297353CC}">
              <c16:uniqueId val="{00000008-763E-43B3-B662-D76C6E829219}"/>
            </c:ext>
          </c:extLst>
        </c:ser>
        <c:ser>
          <c:idx val="9"/>
          <c:order val="3"/>
          <c:tx>
            <c:strRef>
              <c:f>Model!$B$8</c:f>
              <c:strCache>
                <c:ptCount val="1"/>
                <c:pt idx="0">
                  <c:v>HEYDUDE DTC</c:v>
                </c:pt>
              </c:strCache>
            </c:strRef>
          </c:tx>
          <c:spPr>
            <a:solidFill>
              <a:srgbClr val="5B9BD5">
                <a:lumMod val="60000"/>
                <a:lumOff val="40000"/>
              </a:srgbClr>
            </a:solidFill>
            <a:ln>
              <a:noFill/>
            </a:ln>
            <a:effectLst/>
          </c:spPr>
          <c:invertIfNegative val="0"/>
          <c:cat>
            <c:strRef>
              <c:f>Model!$AU$1:$BP$1</c:f>
              <c:strCache>
                <c:ptCount val="21"/>
                <c:pt idx="0">
                  <c:v>Q1 2020</c:v>
                </c:pt>
                <c:pt idx="4">
                  <c:v>Q1 2021</c:v>
                </c:pt>
                <c:pt idx="8">
                  <c:v>Q1 2022</c:v>
                </c:pt>
                <c:pt idx="12">
                  <c:v>Q1 2023</c:v>
                </c:pt>
                <c:pt idx="16">
                  <c:v>Q1 2024</c:v>
                </c:pt>
                <c:pt idx="20">
                  <c:v>Q1 2025</c:v>
                </c:pt>
              </c:strCache>
            </c:strRef>
          </c:cat>
          <c:val>
            <c:numRef>
              <c:f>Model!$AU$8:$BQ$8</c:f>
              <c:numCache>
                <c:formatCode>0.0</c:formatCode>
                <c:ptCount val="23"/>
                <c:pt idx="0">
                  <c:v>0</c:v>
                </c:pt>
                <c:pt idx="1">
                  <c:v>0</c:v>
                </c:pt>
                <c:pt idx="2">
                  <c:v>0</c:v>
                </c:pt>
                <c:pt idx="3">
                  <c:v>0</c:v>
                </c:pt>
                <c:pt idx="4">
                  <c:v>0</c:v>
                </c:pt>
                <c:pt idx="5">
                  <c:v>0</c:v>
                </c:pt>
                <c:pt idx="6">
                  <c:v>0</c:v>
                </c:pt>
                <c:pt idx="7">
                  <c:v>0</c:v>
                </c:pt>
                <c:pt idx="8">
                  <c:v>28.004000000000001</c:v>
                </c:pt>
                <c:pt idx="9">
                  <c:v>69.866</c:v>
                </c:pt>
                <c:pt idx="10">
                  <c:v>87.619</c:v>
                </c:pt>
                <c:pt idx="11">
                  <c:v>136.23100000000002</c:v>
                </c:pt>
                <c:pt idx="12">
                  <c:v>67.52</c:v>
                </c:pt>
                <c:pt idx="13">
                  <c:v>90.59</c:v>
                </c:pt>
                <c:pt idx="14">
                  <c:v>100.447</c:v>
                </c:pt>
                <c:pt idx="15">
                  <c:v>123.899</c:v>
                </c:pt>
                <c:pt idx="16">
                  <c:v>60.06</c:v>
                </c:pt>
                <c:pt idx="17">
                  <c:v>83.683999999999997</c:v>
                </c:pt>
                <c:pt idx="18">
                  <c:v>91.08</c:v>
                </c:pt>
                <c:pt idx="19">
                  <c:v>132.84499999999997</c:v>
                </c:pt>
                <c:pt idx="20">
                  <c:v>65.03</c:v>
                </c:pt>
                <c:pt idx="21">
                  <c:v>90.022999999999996</c:v>
                </c:pt>
                <c:pt idx="22">
                  <c:v>90.67</c:v>
                </c:pt>
              </c:numCache>
            </c:numRef>
          </c:val>
          <c:extLst>
            <c:ext xmlns:c16="http://schemas.microsoft.com/office/drawing/2014/chart" uri="{C3380CC4-5D6E-409C-BE32-E72D297353CC}">
              <c16:uniqueId val="{00000009-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(CROX)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Model!$AU$50:$BQ$50</c:f>
              <c:numCache>
                <c:formatCode>0.0</c:formatCode>
                <c:ptCount val="23"/>
                <c:pt idx="0">
                  <c:v>11.070999999999984</c:v>
                </c:pt>
                <c:pt idx="1">
                  <c:v>56.549000000000021</c:v>
                </c:pt>
                <c:pt idx="2">
                  <c:v>61.89399999999997</c:v>
                </c:pt>
                <c:pt idx="3">
                  <c:v>183.35000000000002</c:v>
                </c:pt>
                <c:pt idx="4">
                  <c:v>98.388999999999982</c:v>
                </c:pt>
                <c:pt idx="5">
                  <c:v>318.94500000000005</c:v>
                </c:pt>
                <c:pt idx="6">
                  <c:v>153.49299999999999</c:v>
                </c:pt>
                <c:pt idx="7">
                  <c:v>154.87200000000013</c:v>
                </c:pt>
                <c:pt idx="8">
                  <c:v>72.745000000000047</c:v>
                </c:pt>
                <c:pt idx="9">
                  <c:v>160.32400000000001</c:v>
                </c:pt>
                <c:pt idx="10">
                  <c:v>169.34900000000016</c:v>
                </c:pt>
                <c:pt idx="11">
                  <c:v>137.73599999999988</c:v>
                </c:pt>
                <c:pt idx="12">
                  <c:v>149.52999999999997</c:v>
                </c:pt>
                <c:pt idx="13">
                  <c:v>212.40800000000013</c:v>
                </c:pt>
                <c:pt idx="14">
                  <c:v>177.02199999999993</c:v>
                </c:pt>
                <c:pt idx="15">
                  <c:v>253.60800000000012</c:v>
                </c:pt>
                <c:pt idx="16">
                  <c:v>152.44399999999985</c:v>
                </c:pt>
                <c:pt idx="17">
                  <c:v>228.90599999999998</c:v>
                </c:pt>
                <c:pt idx="18">
                  <c:v>199.78899999999987</c:v>
                </c:pt>
                <c:pt idx="19">
                  <c:v>368.93600000000049</c:v>
                </c:pt>
                <c:pt idx="20">
                  <c:v>160.08799999999997</c:v>
                </c:pt>
                <c:pt idx="21">
                  <c:v>-492.28500000000003</c:v>
                </c:pt>
                <c:pt idx="22">
                  <c:v>145.82600000000014</c:v>
                </c:pt>
              </c:numCache>
            </c:numRef>
          </c:val>
          <c:extLst>
            <c:ext xmlns:c16="http://schemas.microsoft.com/office/drawing/2014/chart" uri="{C3380CC4-5D6E-409C-BE32-E72D297353CC}">
              <c16:uniqueId val="{00000001-3646-4EF6-8D0F-B65629DF816B}"/>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Model!$AU$101:$BQ$101</c:f>
              <c:numCache>
                <c:formatCode>0.0</c:formatCode>
                <c:ptCount val="23"/>
                <c:pt idx="0">
                  <c:v>-101</c:v>
                </c:pt>
                <c:pt idx="1">
                  <c:v>116.9</c:v>
                </c:pt>
                <c:pt idx="2">
                  <c:v>109.5</c:v>
                </c:pt>
                <c:pt idx="3">
                  <c:v>99.5</c:v>
                </c:pt>
                <c:pt idx="4">
                  <c:v>22.2</c:v>
                </c:pt>
                <c:pt idx="5">
                  <c:v>198.89999999999998</c:v>
                </c:pt>
                <c:pt idx="6">
                  <c:v>98.399999999999991</c:v>
                </c:pt>
                <c:pt idx="7">
                  <c:v>191.8</c:v>
                </c:pt>
                <c:pt idx="8">
                  <c:v>-108.6</c:v>
                </c:pt>
                <c:pt idx="9">
                  <c:v>136.5</c:v>
                </c:pt>
                <c:pt idx="10">
                  <c:v>129.10000000000002</c:v>
                </c:pt>
                <c:pt idx="11">
                  <c:v>341.9</c:v>
                </c:pt>
                <c:pt idx="12">
                  <c:v>-17.700000000000003</c:v>
                </c:pt>
                <c:pt idx="13">
                  <c:v>296.59999999999997</c:v>
                </c:pt>
                <c:pt idx="14">
                  <c:v>215.39999999999998</c:v>
                </c:pt>
                <c:pt idx="15">
                  <c:v>320.5</c:v>
                </c:pt>
                <c:pt idx="16">
                  <c:v>-43.400000000000006</c:v>
                </c:pt>
                <c:pt idx="17">
                  <c:v>384.09999999999997</c:v>
                </c:pt>
                <c:pt idx="18">
                  <c:v>278.79999999999995</c:v>
                </c:pt>
                <c:pt idx="19">
                  <c:v>303.39999999999998</c:v>
                </c:pt>
                <c:pt idx="20">
                  <c:v>-82.600000000000009</c:v>
                </c:pt>
                <c:pt idx="21">
                  <c:v>269.2</c:v>
                </c:pt>
                <c:pt idx="22">
                  <c:v>226.10000000000002</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5400">
              <a:solidFill>
                <a:srgbClr val="00B0F0"/>
              </a:solidFill>
            </a:ln>
          </c:spPr>
          <c:marker>
            <c:symbol val="none"/>
          </c:marker>
          <c:cat>
            <c:strRef>
              <c:f>Model!$AU$1:$BP$1</c:f>
              <c:strCache>
                <c:ptCount val="21"/>
                <c:pt idx="0">
                  <c:v>Q1 2020</c:v>
                </c:pt>
                <c:pt idx="4">
                  <c:v>Q1 2021</c:v>
                </c:pt>
                <c:pt idx="8">
                  <c:v>Q1 2022</c:v>
                </c:pt>
                <c:pt idx="12">
                  <c:v>Q1 2023</c:v>
                </c:pt>
                <c:pt idx="16">
                  <c:v>Q1 2024</c:v>
                </c:pt>
                <c:pt idx="20">
                  <c:v>Q1 2025</c:v>
                </c:pt>
              </c:strCache>
            </c:strRef>
          </c:cat>
          <c:val>
            <c:numRef>
              <c:f>Model!$AU$10:$BQ$10</c:f>
              <c:numCache>
                <c:formatCode>0.0</c:formatCode>
                <c:ptCount val="23"/>
                <c:pt idx="0">
                  <c:v>281.15999999999997</c:v>
                </c:pt>
                <c:pt idx="1">
                  <c:v>331.54700000000003</c:v>
                </c:pt>
                <c:pt idx="2">
                  <c:v>361.73599999999999</c:v>
                </c:pt>
                <c:pt idx="3">
                  <c:v>411.50800000000004</c:v>
                </c:pt>
                <c:pt idx="4">
                  <c:v>460.09799999999996</c:v>
                </c:pt>
                <c:pt idx="5">
                  <c:v>640.76600000000008</c:v>
                </c:pt>
                <c:pt idx="6">
                  <c:v>625.91899999999998</c:v>
                </c:pt>
                <c:pt idx="7">
                  <c:v>586.63200000000006</c:v>
                </c:pt>
                <c:pt idx="8">
                  <c:v>660.13300000000004</c:v>
                </c:pt>
                <c:pt idx="9">
                  <c:v>964.58100000000002</c:v>
                </c:pt>
                <c:pt idx="10">
                  <c:v>985.09400000000005</c:v>
                </c:pt>
                <c:pt idx="11">
                  <c:v>945.1719999999998</c:v>
                </c:pt>
                <c:pt idx="12">
                  <c:v>884.15</c:v>
                </c:pt>
                <c:pt idx="13">
                  <c:v>1072.3630000000001</c:v>
                </c:pt>
                <c:pt idx="14">
                  <c:v>1045.7139999999999</c:v>
                </c:pt>
                <c:pt idx="15">
                  <c:v>960.11500000000024</c:v>
                </c:pt>
                <c:pt idx="16">
                  <c:v>938.61999999999989</c:v>
                </c:pt>
                <c:pt idx="17">
                  <c:v>1111.501</c:v>
                </c:pt>
                <c:pt idx="18">
                  <c:v>1062.1879999999999</c:v>
                </c:pt>
                <c:pt idx="19">
                  <c:v>989.79000000000019</c:v>
                </c:pt>
                <c:pt idx="20">
                  <c:v>937.31999999999994</c:v>
                </c:pt>
                <c:pt idx="21">
                  <c:v>1149.3630000000001</c:v>
                </c:pt>
                <c:pt idx="22">
                  <c:v>996.29600000000005</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(CROX)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Model!$CA$50:$CP$50</c:f>
              <c:numCache>
                <c:formatCode>0.0</c:formatCode>
                <c:ptCount val="16"/>
                <c:pt idx="0">
                  <c:v>-30.607000000000031</c:v>
                </c:pt>
                <c:pt idx="1">
                  <c:v>51.462999999999973</c:v>
                </c:pt>
                <c:pt idx="2">
                  <c:v>107.97999999999998</c:v>
                </c:pt>
                <c:pt idx="3">
                  <c:v>131.5</c:v>
                </c:pt>
                <c:pt idx="4">
                  <c:v>10.300000000000011</c:v>
                </c:pt>
                <c:pt idx="5">
                  <c:v>-5.0000000000000284</c:v>
                </c:pt>
                <c:pt idx="6">
                  <c:v>-83.400000000000034</c:v>
                </c:pt>
                <c:pt idx="7">
                  <c:v>-16.599999999999945</c:v>
                </c:pt>
                <c:pt idx="8">
                  <c:v>10.199999999999953</c:v>
                </c:pt>
                <c:pt idx="9">
                  <c:v>50.300000000000033</c:v>
                </c:pt>
                <c:pt idx="10">
                  <c:v>119.69999999999996</c:v>
                </c:pt>
                <c:pt idx="11">
                  <c:v>312.86400000000003</c:v>
                </c:pt>
                <c:pt idx="12">
                  <c:v>725.69900000000007</c:v>
                </c:pt>
                <c:pt idx="13">
                  <c:v>540.15400000000011</c:v>
                </c:pt>
                <c:pt idx="14">
                  <c:v>792.56800000000021</c:v>
                </c:pt>
                <c:pt idx="15">
                  <c:v>950.07500000000016</c:v>
                </c:pt>
              </c:numCache>
            </c:numRef>
          </c:val>
          <c:extLst>
            <c:ext xmlns:c16="http://schemas.microsoft.com/office/drawing/2014/chart" uri="{C3380CC4-5D6E-409C-BE32-E72D297353CC}">
              <c16:uniqueId val="{00000003-185C-48BA-84D0-EF540439F646}"/>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Model!$CA$101:$CP$101</c:f>
              <c:numCache>
                <c:formatCode>0.0</c:formatCode>
                <c:ptCount val="16"/>
                <c:pt idx="0">
                  <c:v>43.533000000000001</c:v>
                </c:pt>
                <c:pt idx="1">
                  <c:v>21.196999999999999</c:v>
                </c:pt>
                <c:pt idx="2">
                  <c:v>36.253</c:v>
                </c:pt>
                <c:pt idx="3">
                  <c:v>43.533000000000001</c:v>
                </c:pt>
                <c:pt idx="4">
                  <c:v>30.446000000000005</c:v>
                </c:pt>
                <c:pt idx="5">
                  <c:v>-27.599999999999998</c:v>
                </c:pt>
                <c:pt idx="6">
                  <c:v>-8.699999999999994</c:v>
                </c:pt>
                <c:pt idx="7">
                  <c:v>17.600000000000001</c:v>
                </c:pt>
                <c:pt idx="8">
                  <c:v>85.100000000000009</c:v>
                </c:pt>
                <c:pt idx="9">
                  <c:v>102.1</c:v>
                </c:pt>
                <c:pt idx="10">
                  <c:v>53.400000000000006</c:v>
                </c:pt>
                <c:pt idx="11">
                  <c:v>224.9</c:v>
                </c:pt>
                <c:pt idx="12">
                  <c:v>511.29999999999995</c:v>
                </c:pt>
                <c:pt idx="13">
                  <c:v>498.9</c:v>
                </c:pt>
                <c:pt idx="14">
                  <c:v>814.8</c:v>
                </c:pt>
                <c:pt idx="15">
                  <c:v>922.89999999999986</c:v>
                </c:pt>
              </c:numCache>
            </c:numRef>
          </c:val>
          <c:extLst>
            <c:ext xmlns:c16="http://schemas.microsoft.com/office/drawing/2014/chart" uri="{C3380CC4-5D6E-409C-BE32-E72D297353CC}">
              <c16:uniqueId val="{00000004-185C-48BA-84D0-EF540439F646}"/>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strRef>
              <c:f>Model!$B$38</c:f>
              <c:strCache>
                <c:ptCount val="1"/>
                <c:pt idx="0">
                  <c:v>Revenues</c:v>
                </c:pt>
              </c:strCache>
            </c:strRef>
          </c:tx>
          <c:spPr>
            <a:ln w="25400">
              <a:solidFill>
                <a:srgbClr val="00B0F0"/>
              </a:solidFill>
            </a:ln>
          </c:spPr>
          <c:marker>
            <c:symbol val="none"/>
          </c:marker>
          <c:cat>
            <c:numRef>
              <c:f>Model!$CA$3:$CP$3</c:f>
              <c:numCache>
                <c:formatCode>General</c:formatCode>
                <c:ptCount val="16"/>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numCache>
            </c:numRef>
          </c:cat>
          <c:val>
            <c:numRef>
              <c:f>Model!$CA$38:$CP$38</c:f>
              <c:numCache>
                <c:formatCode>0.0</c:formatCode>
                <c:ptCount val="16"/>
                <c:pt idx="0">
                  <c:v>509.75</c:v>
                </c:pt>
                <c:pt idx="1">
                  <c:v>746.46</c:v>
                </c:pt>
                <c:pt idx="2">
                  <c:v>1000.8999999999999</c:v>
                </c:pt>
                <c:pt idx="3">
                  <c:v>1123.3000000000002</c:v>
                </c:pt>
                <c:pt idx="4">
                  <c:v>1192.7</c:v>
                </c:pt>
                <c:pt idx="5">
                  <c:v>1198.1999999999998</c:v>
                </c:pt>
                <c:pt idx="6">
                  <c:v>1090.7</c:v>
                </c:pt>
                <c:pt idx="7">
                  <c:v>1036.2</c:v>
                </c:pt>
                <c:pt idx="8">
                  <c:v>1023.4999999999999</c:v>
                </c:pt>
                <c:pt idx="9">
                  <c:v>1088.2</c:v>
                </c:pt>
                <c:pt idx="10">
                  <c:v>1230.5999999999999</c:v>
                </c:pt>
                <c:pt idx="11">
                  <c:v>1385.951</c:v>
                </c:pt>
                <c:pt idx="12">
                  <c:v>2313.415</c:v>
                </c:pt>
                <c:pt idx="13">
                  <c:v>3554.9799999999996</c:v>
                </c:pt>
                <c:pt idx="14">
                  <c:v>3962.3420000000001</c:v>
                </c:pt>
                <c:pt idx="15">
                  <c:v>4102.0990000000002</c:v>
                </c:pt>
              </c:numCache>
            </c:numRef>
          </c:val>
          <c:smooth val="0"/>
          <c:extLst>
            <c:ext xmlns:c16="http://schemas.microsoft.com/office/drawing/2014/chart" uri="{C3380CC4-5D6E-409C-BE32-E72D297353CC}">
              <c16:uniqueId val="{00000005-185C-48BA-84D0-EF540439F64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(CROX)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2994868509228982E-2"/>
          <c:y val="6.1527102602017311E-2"/>
          <c:w val="0.93728801879445856"/>
          <c:h val="0.87215756826816704"/>
        </c:manualLayout>
      </c:layout>
      <c:scatterChart>
        <c:scatterStyle val="smoothMarker"/>
        <c:varyColors val="0"/>
        <c:ser>
          <c:idx val="0"/>
          <c:order val="0"/>
          <c:tx>
            <c:strRef>
              <c:f>'Notes | Quant Analysis'!$I$209</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77800" cap="flat" cmpd="sng" algn="ctr">
                <a:solidFill>
                  <a:srgbClr val="00B0F0"/>
                </a:solidFill>
                <a:round/>
              </a:ln>
              <a:effectLst/>
            </c:spPr>
          </c:errBars>
          <c:xVal>
            <c:numRef>
              <c:f>'Notes | Quant Analysis'!$I$211:$I$281</c:f>
              <c:numCache>
                <c:formatCode>0.00%</c:formatCode>
                <c:ptCount val="71"/>
                <c:pt idx="0">
                  <c:v>-8.7499999999999994E-2</c:v>
                </c:pt>
                <c:pt idx="1">
                  <c:v>-8.5000000000000006E-2</c:v>
                </c:pt>
                <c:pt idx="2">
                  <c:v>-8.2500000000000004E-2</c:v>
                </c:pt>
                <c:pt idx="3">
                  <c:v>-0.08</c:v>
                </c:pt>
                <c:pt idx="4">
                  <c:v>-7.7499999999999999E-2</c:v>
                </c:pt>
                <c:pt idx="5">
                  <c:v>-7.4999999999999997E-2</c:v>
                </c:pt>
                <c:pt idx="6">
                  <c:v>-7.2499999999999995E-2</c:v>
                </c:pt>
                <c:pt idx="7">
                  <c:v>-6.9999999999999993E-2</c:v>
                </c:pt>
                <c:pt idx="8">
                  <c:v>-6.7499999999999991E-2</c:v>
                </c:pt>
                <c:pt idx="9">
                  <c:v>-6.4999999999999988E-2</c:v>
                </c:pt>
                <c:pt idx="10">
                  <c:v>-6.2499999999999986E-2</c:v>
                </c:pt>
                <c:pt idx="11">
                  <c:v>-5.9999999999999984E-2</c:v>
                </c:pt>
                <c:pt idx="12">
                  <c:v>-5.7499999999999982E-2</c:v>
                </c:pt>
                <c:pt idx="13">
                  <c:v>-5.4999999999999979E-2</c:v>
                </c:pt>
                <c:pt idx="14">
                  <c:v>-5.2499999999999977E-2</c:v>
                </c:pt>
                <c:pt idx="15">
                  <c:v>-4.9999999999999975E-2</c:v>
                </c:pt>
                <c:pt idx="16">
                  <c:v>-4.7499999999999973E-2</c:v>
                </c:pt>
                <c:pt idx="17">
                  <c:v>-4.4999999999999971E-2</c:v>
                </c:pt>
                <c:pt idx="18">
                  <c:v>-4.2499999999999968E-2</c:v>
                </c:pt>
                <c:pt idx="19">
                  <c:v>-3.9999999999999966E-2</c:v>
                </c:pt>
                <c:pt idx="20">
                  <c:v>-3.7499999999999964E-2</c:v>
                </c:pt>
                <c:pt idx="21">
                  <c:v>-3.4999999999999962E-2</c:v>
                </c:pt>
                <c:pt idx="22">
                  <c:v>-3.2499999999999959E-2</c:v>
                </c:pt>
                <c:pt idx="23">
                  <c:v>-2.9999999999999961E-2</c:v>
                </c:pt>
                <c:pt idx="24">
                  <c:v>-2.7499999999999962E-2</c:v>
                </c:pt>
                <c:pt idx="25">
                  <c:v>-2.4999999999999963E-2</c:v>
                </c:pt>
                <c:pt idx="26">
                  <c:v>-2.2499999999999964E-2</c:v>
                </c:pt>
                <c:pt idx="27">
                  <c:v>-1.9999999999999966E-2</c:v>
                </c:pt>
                <c:pt idx="28">
                  <c:v>-1.7499999999999967E-2</c:v>
                </c:pt>
                <c:pt idx="29">
                  <c:v>-1.4999999999999966E-2</c:v>
                </c:pt>
                <c:pt idx="30">
                  <c:v>-1.2499999999999966E-2</c:v>
                </c:pt>
                <c:pt idx="31">
                  <c:v>-9.9999999999999655E-3</c:v>
                </c:pt>
                <c:pt idx="32">
                  <c:v>-7.499999999999965E-3</c:v>
                </c:pt>
                <c:pt idx="33">
                  <c:v>-4.9999999999999645E-3</c:v>
                </c:pt>
                <c:pt idx="34">
                  <c:v>-2.4999999999999645E-3</c:v>
                </c:pt>
                <c:pt idx="35">
                  <c:v>3.5561831257524545E-17</c:v>
                </c:pt>
                <c:pt idx="36">
                  <c:v>2.5000000000000356E-3</c:v>
                </c:pt>
                <c:pt idx="37">
                  <c:v>5.0000000000000357E-3</c:v>
                </c:pt>
                <c:pt idx="38">
                  <c:v>7.5000000000000362E-3</c:v>
                </c:pt>
                <c:pt idx="39">
                  <c:v>1.0000000000000037E-2</c:v>
                </c:pt>
                <c:pt idx="40">
                  <c:v>1.2500000000000037E-2</c:v>
                </c:pt>
                <c:pt idx="41">
                  <c:v>1.5000000000000038E-2</c:v>
                </c:pt>
                <c:pt idx="42">
                  <c:v>1.7500000000000036E-2</c:v>
                </c:pt>
                <c:pt idx="43">
                  <c:v>2.0000000000000035E-2</c:v>
                </c:pt>
                <c:pt idx="44">
                  <c:v>2.2500000000000034E-2</c:v>
                </c:pt>
                <c:pt idx="45">
                  <c:v>2.5000000000000033E-2</c:v>
                </c:pt>
                <c:pt idx="46">
                  <c:v>2.7500000000000031E-2</c:v>
                </c:pt>
                <c:pt idx="47">
                  <c:v>3.000000000000003E-2</c:v>
                </c:pt>
                <c:pt idx="48">
                  <c:v>3.2500000000000029E-2</c:v>
                </c:pt>
                <c:pt idx="49">
                  <c:v>3.5000000000000031E-2</c:v>
                </c:pt>
                <c:pt idx="50">
                  <c:v>3.7500000000000033E-2</c:v>
                </c:pt>
                <c:pt idx="51">
                  <c:v>4.0000000000000036E-2</c:v>
                </c:pt>
                <c:pt idx="52">
                  <c:v>4.2500000000000038E-2</c:v>
                </c:pt>
                <c:pt idx="53">
                  <c:v>4.500000000000004E-2</c:v>
                </c:pt>
                <c:pt idx="54">
                  <c:v>4.7500000000000042E-2</c:v>
                </c:pt>
                <c:pt idx="55">
                  <c:v>5.0000000000000044E-2</c:v>
                </c:pt>
                <c:pt idx="56">
                  <c:v>5.2500000000000047E-2</c:v>
                </c:pt>
                <c:pt idx="57">
                  <c:v>5.5000000000000049E-2</c:v>
                </c:pt>
                <c:pt idx="58">
                  <c:v>5.7500000000000051E-2</c:v>
                </c:pt>
                <c:pt idx="59">
                  <c:v>6.0000000000000053E-2</c:v>
                </c:pt>
                <c:pt idx="60">
                  <c:v>6.2500000000000056E-2</c:v>
                </c:pt>
                <c:pt idx="61">
                  <c:v>6.5000000000000058E-2</c:v>
                </c:pt>
                <c:pt idx="62">
                  <c:v>6.750000000000006E-2</c:v>
                </c:pt>
                <c:pt idx="63">
                  <c:v>7.0000000000000062E-2</c:v>
                </c:pt>
                <c:pt idx="64">
                  <c:v>7.2500000000000064E-2</c:v>
                </c:pt>
                <c:pt idx="65">
                  <c:v>7.5000000000000067E-2</c:v>
                </c:pt>
                <c:pt idx="66">
                  <c:v>7.7499999999999999E-2</c:v>
                </c:pt>
                <c:pt idx="67">
                  <c:v>0.08</c:v>
                </c:pt>
                <c:pt idx="68">
                  <c:v>8.2500000000000004E-2</c:v>
                </c:pt>
                <c:pt idx="69">
                  <c:v>8.5000000000000006E-2</c:v>
                </c:pt>
                <c:pt idx="70">
                  <c:v>8.7499999999999994E-2</c:v>
                </c:pt>
              </c:numCache>
            </c:numRef>
          </c:xVal>
          <c:yVal>
            <c:numRef>
              <c:f>'Notes | Quant Analysis'!$J$211:$J$281</c:f>
              <c:numCache>
                <c:formatCode>General</c:formatCode>
                <c:ptCount val="71"/>
                <c:pt idx="0">
                  <c:v>1</c:v>
                </c:pt>
                <c:pt idx="1">
                  <c:v>1</c:v>
                </c:pt>
                <c:pt idx="2">
                  <c:v>1</c:v>
                </c:pt>
                <c:pt idx="3">
                  <c:v>1</c:v>
                </c:pt>
                <c:pt idx="4">
                  <c:v>2</c:v>
                </c:pt>
                <c:pt idx="5">
                  <c:v>2</c:v>
                </c:pt>
                <c:pt idx="6">
                  <c:v>4</c:v>
                </c:pt>
                <c:pt idx="7">
                  <c:v>0</c:v>
                </c:pt>
                <c:pt idx="8">
                  <c:v>1</c:v>
                </c:pt>
                <c:pt idx="9">
                  <c:v>2</c:v>
                </c:pt>
                <c:pt idx="10">
                  <c:v>3</c:v>
                </c:pt>
                <c:pt idx="11">
                  <c:v>2</c:v>
                </c:pt>
                <c:pt idx="12">
                  <c:v>3</c:v>
                </c:pt>
                <c:pt idx="13">
                  <c:v>4</c:v>
                </c:pt>
                <c:pt idx="14">
                  <c:v>3</c:v>
                </c:pt>
                <c:pt idx="15">
                  <c:v>3</c:v>
                </c:pt>
                <c:pt idx="16">
                  <c:v>2</c:v>
                </c:pt>
                <c:pt idx="17">
                  <c:v>8</c:v>
                </c:pt>
                <c:pt idx="18">
                  <c:v>6</c:v>
                </c:pt>
                <c:pt idx="19">
                  <c:v>10</c:v>
                </c:pt>
                <c:pt idx="20">
                  <c:v>11</c:v>
                </c:pt>
                <c:pt idx="21">
                  <c:v>13</c:v>
                </c:pt>
                <c:pt idx="22">
                  <c:v>10</c:v>
                </c:pt>
                <c:pt idx="23">
                  <c:v>12</c:v>
                </c:pt>
                <c:pt idx="24">
                  <c:v>23</c:v>
                </c:pt>
                <c:pt idx="25">
                  <c:v>16</c:v>
                </c:pt>
                <c:pt idx="26">
                  <c:v>26</c:v>
                </c:pt>
                <c:pt idx="27">
                  <c:v>22</c:v>
                </c:pt>
                <c:pt idx="28">
                  <c:v>39</c:v>
                </c:pt>
                <c:pt idx="29">
                  <c:v>41</c:v>
                </c:pt>
                <c:pt idx="30">
                  <c:v>45</c:v>
                </c:pt>
                <c:pt idx="31">
                  <c:v>34</c:v>
                </c:pt>
                <c:pt idx="32">
                  <c:v>43</c:v>
                </c:pt>
                <c:pt idx="33">
                  <c:v>45</c:v>
                </c:pt>
                <c:pt idx="34">
                  <c:v>43</c:v>
                </c:pt>
                <c:pt idx="35">
                  <c:v>41</c:v>
                </c:pt>
                <c:pt idx="36">
                  <c:v>29</c:v>
                </c:pt>
                <c:pt idx="37">
                  <c:v>31</c:v>
                </c:pt>
                <c:pt idx="38">
                  <c:v>38</c:v>
                </c:pt>
                <c:pt idx="39">
                  <c:v>33</c:v>
                </c:pt>
                <c:pt idx="40">
                  <c:v>34</c:v>
                </c:pt>
                <c:pt idx="41">
                  <c:v>25</c:v>
                </c:pt>
                <c:pt idx="42">
                  <c:v>25</c:v>
                </c:pt>
                <c:pt idx="43">
                  <c:v>34</c:v>
                </c:pt>
                <c:pt idx="44">
                  <c:v>27</c:v>
                </c:pt>
                <c:pt idx="45">
                  <c:v>25</c:v>
                </c:pt>
                <c:pt idx="46">
                  <c:v>28</c:v>
                </c:pt>
                <c:pt idx="47">
                  <c:v>21</c:v>
                </c:pt>
                <c:pt idx="48">
                  <c:v>23</c:v>
                </c:pt>
                <c:pt idx="49">
                  <c:v>11</c:v>
                </c:pt>
                <c:pt idx="50">
                  <c:v>3</c:v>
                </c:pt>
                <c:pt idx="51">
                  <c:v>7</c:v>
                </c:pt>
                <c:pt idx="52">
                  <c:v>7</c:v>
                </c:pt>
                <c:pt idx="53">
                  <c:v>4</c:v>
                </c:pt>
                <c:pt idx="54">
                  <c:v>3</c:v>
                </c:pt>
                <c:pt idx="55">
                  <c:v>7</c:v>
                </c:pt>
                <c:pt idx="56">
                  <c:v>3</c:v>
                </c:pt>
                <c:pt idx="57">
                  <c:v>1</c:v>
                </c:pt>
                <c:pt idx="58">
                  <c:v>8</c:v>
                </c:pt>
                <c:pt idx="59">
                  <c:v>4</c:v>
                </c:pt>
                <c:pt idx="60">
                  <c:v>1</c:v>
                </c:pt>
                <c:pt idx="61">
                  <c:v>5</c:v>
                </c:pt>
                <c:pt idx="62">
                  <c:v>0</c:v>
                </c:pt>
                <c:pt idx="63">
                  <c:v>2</c:v>
                </c:pt>
                <c:pt idx="64">
                  <c:v>1</c:v>
                </c:pt>
                <c:pt idx="65">
                  <c:v>0</c:v>
                </c:pt>
                <c:pt idx="66">
                  <c:v>3</c:v>
                </c:pt>
                <c:pt idx="67">
                  <c:v>0</c:v>
                </c:pt>
                <c:pt idx="68">
                  <c:v>1</c:v>
                </c:pt>
                <c:pt idx="69">
                  <c:v>1</c:v>
                </c:pt>
                <c:pt idx="70">
                  <c:v>0</c:v>
                </c:pt>
              </c:numCache>
            </c:numRef>
          </c:yVal>
          <c:smooth val="1"/>
          <c:extLst>
            <c:ext xmlns:c16="http://schemas.microsoft.com/office/drawing/2014/chart" uri="{C3380CC4-5D6E-409C-BE32-E72D297353CC}">
              <c16:uniqueId val="{00000000-28C7-4862-86E9-AF862A5BA0AD}"/>
            </c:ext>
          </c:extLst>
        </c:ser>
        <c:ser>
          <c:idx val="1"/>
          <c:order val="1"/>
          <c:tx>
            <c:strRef>
              <c:f>'Notes | Quant Analysis'!$L$209</c:f>
              <c:strCache>
                <c:ptCount val="1"/>
                <c:pt idx="0">
                  <c:v>Distribution Overlay</c:v>
                </c:pt>
              </c:strCache>
            </c:strRef>
          </c:tx>
          <c:spPr>
            <a:ln w="19050" cap="rnd">
              <a:solidFill>
                <a:srgbClr val="FFC000"/>
              </a:solidFill>
              <a:round/>
            </a:ln>
            <a:effectLst/>
          </c:spPr>
          <c:marker>
            <c:symbol val="none"/>
          </c:marker>
          <c:xVal>
            <c:numRef>
              <c:f>'Notes | Quant Analysis'!$L$211:$L$284</c:f>
              <c:numCache>
                <c:formatCode>0.00%</c:formatCode>
                <c:ptCount val="74"/>
                <c:pt idx="0">
                  <c:v>-0.09</c:v>
                </c:pt>
                <c:pt idx="1">
                  <c:v>-8.7499999999999994E-2</c:v>
                </c:pt>
                <c:pt idx="2">
                  <c:v>-8.5000000000000006E-2</c:v>
                </c:pt>
                <c:pt idx="3">
                  <c:v>-8.2500000000000004E-2</c:v>
                </c:pt>
                <c:pt idx="4">
                  <c:v>-0.08</c:v>
                </c:pt>
                <c:pt idx="5">
                  <c:v>-7.7499999999999999E-2</c:v>
                </c:pt>
                <c:pt idx="6">
                  <c:v>-7.4999999999999997E-2</c:v>
                </c:pt>
                <c:pt idx="7">
                  <c:v>-7.2499999999999995E-2</c:v>
                </c:pt>
                <c:pt idx="8">
                  <c:v>-6.9999999999999993E-2</c:v>
                </c:pt>
                <c:pt idx="9">
                  <c:v>-6.7499999999999991E-2</c:v>
                </c:pt>
                <c:pt idx="10">
                  <c:v>-6.4999999999999988E-2</c:v>
                </c:pt>
                <c:pt idx="11">
                  <c:v>-6.2499999999999986E-2</c:v>
                </c:pt>
                <c:pt idx="12">
                  <c:v>-5.9999999999999984E-2</c:v>
                </c:pt>
                <c:pt idx="13">
                  <c:v>-5.7499999999999982E-2</c:v>
                </c:pt>
                <c:pt idx="14">
                  <c:v>-5.4999999999999979E-2</c:v>
                </c:pt>
                <c:pt idx="15">
                  <c:v>-5.2499999999999977E-2</c:v>
                </c:pt>
                <c:pt idx="16">
                  <c:v>-4.9999999999999975E-2</c:v>
                </c:pt>
                <c:pt idx="17">
                  <c:v>-4.7499999999999973E-2</c:v>
                </c:pt>
                <c:pt idx="18">
                  <c:v>-4.4999999999999971E-2</c:v>
                </c:pt>
                <c:pt idx="19">
                  <c:v>-4.2499999999999968E-2</c:v>
                </c:pt>
                <c:pt idx="20">
                  <c:v>-3.9999999999999966E-2</c:v>
                </c:pt>
                <c:pt idx="21">
                  <c:v>-3.7499999999999964E-2</c:v>
                </c:pt>
                <c:pt idx="22">
                  <c:v>-3.4999999999999962E-2</c:v>
                </c:pt>
                <c:pt idx="23">
                  <c:v>-3.2499999999999959E-2</c:v>
                </c:pt>
                <c:pt idx="24">
                  <c:v>-2.9999999999999961E-2</c:v>
                </c:pt>
                <c:pt idx="25">
                  <c:v>-2.7499999999999962E-2</c:v>
                </c:pt>
                <c:pt idx="26">
                  <c:v>-2.4999999999999963E-2</c:v>
                </c:pt>
                <c:pt idx="27">
                  <c:v>-2.2499999999999964E-2</c:v>
                </c:pt>
                <c:pt idx="28">
                  <c:v>-1.9999999999999966E-2</c:v>
                </c:pt>
                <c:pt idx="29">
                  <c:v>-1.7499999999999967E-2</c:v>
                </c:pt>
                <c:pt idx="30">
                  <c:v>-1.4999999999999966E-2</c:v>
                </c:pt>
                <c:pt idx="31">
                  <c:v>-1.2499999999999966E-2</c:v>
                </c:pt>
                <c:pt idx="32">
                  <c:v>-9.9999999999999655E-3</c:v>
                </c:pt>
                <c:pt idx="33">
                  <c:v>-7.499999999999965E-3</c:v>
                </c:pt>
                <c:pt idx="34">
                  <c:v>-4.9999999999999645E-3</c:v>
                </c:pt>
                <c:pt idx="35">
                  <c:v>-2.4999999999999645E-3</c:v>
                </c:pt>
                <c:pt idx="36">
                  <c:v>3.5561831257524545E-17</c:v>
                </c:pt>
                <c:pt idx="37">
                  <c:v>2.5000000000000356E-3</c:v>
                </c:pt>
                <c:pt idx="38">
                  <c:v>5.0000000000000357E-3</c:v>
                </c:pt>
                <c:pt idx="39">
                  <c:v>7.5000000000000362E-3</c:v>
                </c:pt>
                <c:pt idx="40">
                  <c:v>1.0000000000000037E-2</c:v>
                </c:pt>
                <c:pt idx="41">
                  <c:v>1.2500000000000037E-2</c:v>
                </c:pt>
                <c:pt idx="42">
                  <c:v>1.5000000000000038E-2</c:v>
                </c:pt>
                <c:pt idx="43">
                  <c:v>1.7500000000000036E-2</c:v>
                </c:pt>
                <c:pt idx="44">
                  <c:v>2.0000000000000035E-2</c:v>
                </c:pt>
                <c:pt idx="45">
                  <c:v>2.2500000000000034E-2</c:v>
                </c:pt>
                <c:pt idx="46">
                  <c:v>2.5000000000000033E-2</c:v>
                </c:pt>
                <c:pt idx="47">
                  <c:v>2.7500000000000031E-2</c:v>
                </c:pt>
                <c:pt idx="48">
                  <c:v>3.000000000000003E-2</c:v>
                </c:pt>
                <c:pt idx="49">
                  <c:v>3.2500000000000029E-2</c:v>
                </c:pt>
                <c:pt idx="50">
                  <c:v>3.5000000000000031E-2</c:v>
                </c:pt>
                <c:pt idx="51">
                  <c:v>3.7500000000000033E-2</c:v>
                </c:pt>
                <c:pt idx="52">
                  <c:v>4.0000000000000036E-2</c:v>
                </c:pt>
                <c:pt idx="53">
                  <c:v>4.2500000000000038E-2</c:v>
                </c:pt>
                <c:pt idx="54">
                  <c:v>4.500000000000004E-2</c:v>
                </c:pt>
                <c:pt idx="55">
                  <c:v>4.7500000000000042E-2</c:v>
                </c:pt>
                <c:pt idx="56">
                  <c:v>5.0000000000000044E-2</c:v>
                </c:pt>
                <c:pt idx="57">
                  <c:v>5.2500000000000047E-2</c:v>
                </c:pt>
                <c:pt idx="58">
                  <c:v>5.5000000000000049E-2</c:v>
                </c:pt>
                <c:pt idx="59">
                  <c:v>5.7500000000000051E-2</c:v>
                </c:pt>
                <c:pt idx="60">
                  <c:v>6.0000000000000053E-2</c:v>
                </c:pt>
                <c:pt idx="61">
                  <c:v>6.2500000000000056E-2</c:v>
                </c:pt>
                <c:pt idx="62">
                  <c:v>6.5000000000000058E-2</c:v>
                </c:pt>
                <c:pt idx="63">
                  <c:v>6.750000000000006E-2</c:v>
                </c:pt>
                <c:pt idx="64">
                  <c:v>7.0000000000000062E-2</c:v>
                </c:pt>
                <c:pt idx="65">
                  <c:v>7.2500000000000064E-2</c:v>
                </c:pt>
                <c:pt idx="66">
                  <c:v>7.5000000000000067E-2</c:v>
                </c:pt>
                <c:pt idx="67">
                  <c:v>7.7499999999999999E-2</c:v>
                </c:pt>
                <c:pt idx="68">
                  <c:v>0.08</c:v>
                </c:pt>
                <c:pt idx="69">
                  <c:v>8.2500000000000004E-2</c:v>
                </c:pt>
                <c:pt idx="70">
                  <c:v>8.5000000000000006E-2</c:v>
                </c:pt>
                <c:pt idx="71">
                  <c:v>8.7499999999999994E-2</c:v>
                </c:pt>
                <c:pt idx="72">
                  <c:v>0.09</c:v>
                </c:pt>
                <c:pt idx="73">
                  <c:v>0.09</c:v>
                </c:pt>
              </c:numCache>
            </c:numRef>
          </c:xVal>
          <c:yVal>
            <c:numRef>
              <c:f>'Notes | Quant Analysis'!$M$211:$M$283</c:f>
              <c:numCache>
                <c:formatCode>General</c:formatCode>
                <c:ptCount val="73"/>
                <c:pt idx="0">
                  <c:v>0.11664741937421173</c:v>
                </c:pt>
                <c:pt idx="1">
                  <c:v>0.15166962183342694</c:v>
                </c:pt>
                <c:pt idx="2">
                  <c:v>0.19574680040015044</c:v>
                </c:pt>
                <c:pt idx="3">
                  <c:v>0.25076293217359308</c:v>
                </c:pt>
                <c:pt idx="4">
                  <c:v>0.31886335123132242</c:v>
                </c:pt>
                <c:pt idx="5">
                  <c:v>0.40245606106246956</c:v>
                </c:pt>
                <c:pt idx="6">
                  <c:v>0.50420243395655084</c:v>
                </c:pt>
                <c:pt idx="7">
                  <c:v>0.62699489193629421</c:v>
                </c:pt>
                <c:pt idx="8">
                  <c:v>0.77391928160875956</c:v>
                </c:pt>
                <c:pt idx="9">
                  <c:v>0.94819995525171219</c:v>
                </c:pt>
                <c:pt idx="10">
                  <c:v>1.1531260768940996</c:v>
                </c:pt>
                <c:pt idx="11">
                  <c:v>1.3919583985656905</c:v>
                </c:pt>
                <c:pt idx="12">
                  <c:v>1.6678166969979034</c:v>
                </c:pt>
                <c:pt idx="13">
                  <c:v>1.9835492054288495</c:v>
                </c:pt>
                <c:pt idx="14">
                  <c:v>2.3415866788318982</c:v>
                </c:pt>
                <c:pt idx="15">
                  <c:v>2.7437851324012095</c:v>
                </c:pt>
                <c:pt idx="16">
                  <c:v>3.1912627105084654</c:v>
                </c:pt>
                <c:pt idx="17">
                  <c:v>3.684237477198713</c:v>
                </c:pt>
                <c:pt idx="18">
                  <c:v>4.2218740582230403</c:v>
                </c:pt>
                <c:pt idx="19">
                  <c:v>4.8021478927880477</c:v>
                </c:pt>
                <c:pt idx="20">
                  <c:v>5.4217362597404861</c:v>
                </c:pt>
                <c:pt idx="21">
                  <c:v>6.0759451323117339</c:v>
                </c:pt>
                <c:pt idx="22">
                  <c:v>6.7586802184563251</c:v>
                </c:pt>
                <c:pt idx="23">
                  <c:v>7.4624692268834005</c:v>
                </c:pt>
                <c:pt idx="24">
                  <c:v>8.1785404727061728</c:v>
                </c:pt>
                <c:pt idx="25">
                  <c:v>8.8969604606871524</c:v>
                </c:pt>
                <c:pt idx="26">
                  <c:v>9.6068301676304397</c:v>
                </c:pt>
                <c:pt idx="27">
                  <c:v>10.296536544146889</c:v>
                </c:pt>
                <c:pt idx="28">
                  <c:v>10.954052463431614</c:v>
                </c:pt>
                <c:pt idx="29">
                  <c:v>11.567275179954185</c:v>
                </c:pt>
                <c:pt idx="30">
                  <c:v>12.124390552519044</c:v>
                </c:pt>
                <c:pt idx="31">
                  <c:v>12.614248053407055</c:v>
                </c:pt>
                <c:pt idx="32">
                  <c:v>13.026730119589288</c:v>
                </c:pt>
                <c:pt idx="33">
                  <c:v>13.353098848748319</c:v>
                </c:pt>
                <c:pt idx="34">
                  <c:v>13.586303486797114</c:v>
                </c:pt>
                <c:pt idx="35">
                  <c:v>13.721233608665008</c:v>
                </c:pt>
                <c:pt idx="36">
                  <c:v>13.754905299143889</c:v>
                </c:pt>
                <c:pt idx="37">
                  <c:v>13.686570861576614</c:v>
                </c:pt>
                <c:pt idx="38">
                  <c:v>13.517746421210422</c:v>
                </c:pt>
                <c:pt idx="39">
                  <c:v>13.252156000051018</c:v>
                </c:pt>
                <c:pt idx="40">
                  <c:v>12.895594944173512</c:v>
                </c:pt>
                <c:pt idx="41">
                  <c:v>12.455719698221465</c:v>
                </c:pt>
                <c:pt idx="42">
                  <c:v>11.941774576136407</c:v>
                </c:pt>
                <c:pt idx="43">
                  <c:v>11.364269139684563</c:v>
                </c:pt>
                <c:pt idx="44">
                  <c:v>10.734621889550366</c:v>
                </c:pt>
                <c:pt idx="45">
                  <c:v>10.064787087773951</c:v>
                </c:pt>
                <c:pt idx="46">
                  <c:v>9.3668816295799608</c:v>
                </c:pt>
                <c:pt idx="47">
                  <c:v>8.6528280059941842</c:v>
                </c:pt>
                <c:pt idx="48">
                  <c:v>7.9340276528787159</c:v>
                </c:pt>
                <c:pt idx="49">
                  <c:v>7.2210765300434305</c:v>
                </c:pt>
                <c:pt idx="50">
                  <c:v>6.5235318188955418</c:v>
                </c:pt>
                <c:pt idx="51">
                  <c:v>5.8497353932904934</c:v>
                </c:pt>
                <c:pt idx="52">
                  <c:v>5.2066964330983989</c:v>
                </c:pt>
                <c:pt idx="53">
                  <c:v>4.6000324255947342</c:v>
                </c:pt>
                <c:pt idx="54">
                  <c:v>4.0339650180135207</c:v>
                </c:pt>
                <c:pt idx="55">
                  <c:v>3.5113648859816831</c:v>
                </c:pt>
                <c:pt idx="56">
                  <c:v>3.0338380595825631</c:v>
                </c:pt>
                <c:pt idx="57">
                  <c:v>2.6018450439872134</c:v>
                </c:pt>
                <c:pt idx="58">
                  <c:v>2.2148435798663697</c:v>
                </c:pt>
                <c:pt idx="59">
                  <c:v>1.8714459635340119</c:v>
                </c:pt>
                <c:pt idx="60">
                  <c:v>1.5695824085436549</c:v>
                </c:pt>
                <c:pt idx="61">
                  <c:v>1.3066628773164821</c:v>
                </c:pt>
                <c:pt idx="62">
                  <c:v>1.0797310296161986</c:v>
                </c:pt>
                <c:pt idx="63">
                  <c:v>0.88560530901013712</c:v>
                </c:pt>
                <c:pt idx="64">
                  <c:v>0.72100361081122877</c:v>
                </c:pt>
                <c:pt idx="65">
                  <c:v>0.58264935142123864</c:v>
                </c:pt>
                <c:pt idx="66">
                  <c:v>0.46735801426320772</c:v>
                </c:pt>
                <c:pt idx="67">
                  <c:v>0.37210432745951916</c:v>
                </c:pt>
                <c:pt idx="68">
                  <c:v>0.29407110029252315</c:v>
                </c:pt>
                <c:pt idx="69">
                  <c:v>0.23068139635488114</c:v>
                </c:pt>
                <c:pt idx="70">
                  <c:v>0.17961615531140873</c:v>
                </c:pt>
                <c:pt idx="71">
                  <c:v>0.13881960997642151</c:v>
                </c:pt>
                <c:pt idx="72">
                  <c:v>0.10649490808919815</c:v>
                </c:pt>
              </c:numCache>
            </c:numRef>
          </c:yVal>
          <c:smooth val="1"/>
          <c:extLst>
            <c:ext xmlns:c16="http://schemas.microsoft.com/office/drawing/2014/chart" uri="{C3380CC4-5D6E-409C-BE32-E72D297353CC}">
              <c16:uniqueId val="{00000001-28C7-4862-86E9-AF862A5BA0AD}"/>
            </c:ext>
          </c:extLst>
        </c:ser>
        <c:ser>
          <c:idx val="2"/>
          <c:order val="2"/>
          <c:tx>
            <c:strRef>
              <c:f>'Notes | Quant Analysis'!$O$211</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6.0689566288607041E-2"/>
                  <c:y val="-2.9660283235560459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592827296364473"/>
                      <c:h val="7.7448431605635068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Analysis'!$P$211:$P$212</c:f>
              <c:numCache>
                <c:formatCode>0.00%</c:formatCode>
                <c:ptCount val="2"/>
                <c:pt idx="0">
                  <c:v>-4.2546163198811697E-4</c:v>
                </c:pt>
                <c:pt idx="1">
                  <c:v>-4.2546163198811697E-4</c:v>
                </c:pt>
              </c:numCache>
            </c:numRef>
          </c:xVal>
          <c:yVal>
            <c:numRef>
              <c:f>'Notes | Quant Analysis'!$Q$211:$Q$212</c:f>
              <c:numCache>
                <c:formatCode>General</c:formatCode>
                <c:ptCount val="2"/>
                <c:pt idx="0">
                  <c:v>0</c:v>
                </c:pt>
                <c:pt idx="1">
                  <c:v>15</c:v>
                </c:pt>
              </c:numCache>
            </c:numRef>
          </c:yVal>
          <c:smooth val="1"/>
          <c:extLst>
            <c:ext xmlns:c16="http://schemas.microsoft.com/office/drawing/2014/chart" uri="{C3380CC4-5D6E-409C-BE32-E72D297353CC}">
              <c16:uniqueId val="{00000004-28C7-4862-86E9-AF862A5BA0AD}"/>
            </c:ext>
          </c:extLst>
        </c:ser>
        <c:ser>
          <c:idx val="3"/>
          <c:order val="3"/>
          <c:tx>
            <c:strRef>
              <c:f>'Notes | Quant Analysis'!$O$213</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2.0093304986668073E-2"/>
                  <c:y val="-3.7048222851491494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Analysis'!$P$213:$P$214</c:f>
              <c:numCache>
                <c:formatCode>0.00%</c:formatCode>
                <c:ptCount val="2"/>
                <c:pt idx="0">
                  <c:v>-8.7427009345003831E-2</c:v>
                </c:pt>
                <c:pt idx="1">
                  <c:v>-8.7427009345003831E-2</c:v>
                </c:pt>
              </c:numCache>
            </c:numRef>
          </c:xVal>
          <c:yVal>
            <c:numRef>
              <c:f>'Notes | Quant Analysis'!$Q$213:$Q$214</c:f>
              <c:numCache>
                <c:formatCode>General</c:formatCode>
                <c:ptCount val="2"/>
                <c:pt idx="0">
                  <c:v>0</c:v>
                </c:pt>
                <c:pt idx="1">
                  <c:v>2</c:v>
                </c:pt>
              </c:numCache>
            </c:numRef>
          </c:yVal>
          <c:smooth val="1"/>
          <c:extLst>
            <c:ext xmlns:c16="http://schemas.microsoft.com/office/drawing/2014/chart" uri="{C3380CC4-5D6E-409C-BE32-E72D297353CC}">
              <c16:uniqueId val="{00000007-28C7-4862-86E9-AF862A5BA0AD}"/>
            </c:ext>
          </c:extLst>
        </c:ser>
        <c:ser>
          <c:idx val="4"/>
          <c:order val="4"/>
          <c:tx>
            <c:strRef>
              <c:f>'Notes | Quant Analysis'!$O$215</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4.8476352203754076E-2"/>
                  <c:y val="-6.1104077470982301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Analysis'!$P$215:$P$216</c:f>
              <c:numCache>
                <c:formatCode>0.00%</c:formatCode>
                <c:ptCount val="2"/>
                <c:pt idx="0">
                  <c:v>-5.8426493440665257E-2</c:v>
                </c:pt>
                <c:pt idx="1">
                  <c:v>-5.8426493440665257E-2</c:v>
                </c:pt>
              </c:numCache>
            </c:numRef>
          </c:xVal>
          <c:yVal>
            <c:numRef>
              <c:f>'Notes | Quant Analysis'!$Q$215:$Q$216</c:f>
              <c:numCache>
                <c:formatCode>General</c:formatCode>
                <c:ptCount val="2"/>
                <c:pt idx="0">
                  <c:v>0</c:v>
                </c:pt>
                <c:pt idx="1">
                  <c:v>3</c:v>
                </c:pt>
              </c:numCache>
            </c:numRef>
          </c:yVal>
          <c:smooth val="1"/>
          <c:extLst>
            <c:ext xmlns:c16="http://schemas.microsoft.com/office/drawing/2014/chart" uri="{C3380CC4-5D6E-409C-BE32-E72D297353CC}">
              <c16:uniqueId val="{0000000A-28C7-4862-86E9-AF862A5BA0AD}"/>
            </c:ext>
          </c:extLst>
        </c:ser>
        <c:ser>
          <c:idx val="5"/>
          <c:order val="5"/>
          <c:tx>
            <c:strRef>
              <c:f>'Notes | Quant Analysis'!$O$217</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5.5034371676421466E-2"/>
                  <c:y val="-4.005550669591802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Analysis'!$P$217:$P$218</c:f>
              <c:numCache>
                <c:formatCode>0.00%</c:formatCode>
                <c:ptCount val="2"/>
                <c:pt idx="0">
                  <c:v>-2.9425977536326687E-2</c:v>
                </c:pt>
                <c:pt idx="1">
                  <c:v>-2.9425977536326687E-2</c:v>
                </c:pt>
              </c:numCache>
            </c:numRef>
          </c:xVal>
          <c:yVal>
            <c:numRef>
              <c:f>'Notes | Quant Analysis'!$Q$217:$Q$218</c:f>
              <c:numCache>
                <c:formatCode>General</c:formatCode>
                <c:ptCount val="2"/>
                <c:pt idx="0">
                  <c:v>0</c:v>
                </c:pt>
                <c:pt idx="1">
                  <c:v>9</c:v>
                </c:pt>
              </c:numCache>
            </c:numRef>
          </c:yVal>
          <c:smooth val="1"/>
          <c:extLst>
            <c:ext xmlns:c16="http://schemas.microsoft.com/office/drawing/2014/chart" uri="{C3380CC4-5D6E-409C-BE32-E72D297353CC}">
              <c16:uniqueId val="{0000000D-28C7-4862-86E9-AF862A5BA0AD}"/>
            </c:ext>
          </c:extLst>
        </c:ser>
        <c:ser>
          <c:idx val="6"/>
          <c:order val="6"/>
          <c:tx>
            <c:strRef>
              <c:f>'Notes | Quant Analysis'!$O$219</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3.148263686792184E-2"/>
                  <c:y val="-2.982719795884837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Analysis'!$P$219:$P$220</c:f>
              <c:numCache>
                <c:formatCode>0.00%</c:formatCode>
                <c:ptCount val="2"/>
                <c:pt idx="0">
                  <c:v>2.8575054272350454E-2</c:v>
                </c:pt>
                <c:pt idx="1">
                  <c:v>2.8575054272350454E-2</c:v>
                </c:pt>
              </c:numCache>
            </c:numRef>
          </c:xVal>
          <c:yVal>
            <c:numRef>
              <c:f>'Notes | Quant Analysis'!$Q$219:$Q$220</c:f>
              <c:numCache>
                <c:formatCode>General</c:formatCode>
                <c:ptCount val="2"/>
                <c:pt idx="0">
                  <c:v>0</c:v>
                </c:pt>
                <c:pt idx="1">
                  <c:v>9</c:v>
                </c:pt>
              </c:numCache>
            </c:numRef>
          </c:yVal>
          <c:smooth val="1"/>
          <c:extLst>
            <c:ext xmlns:c16="http://schemas.microsoft.com/office/drawing/2014/chart" uri="{C3380CC4-5D6E-409C-BE32-E72D297353CC}">
              <c16:uniqueId val="{0000000F-28C7-4862-86E9-AF862A5BA0AD}"/>
            </c:ext>
          </c:extLst>
        </c:ser>
        <c:ser>
          <c:idx val="7"/>
          <c:order val="7"/>
          <c:tx>
            <c:strRef>
              <c:f>'Notes | Quant Analysis'!$O$221</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3.1034386505428835E-2"/>
                  <c:y val="-4.5908797311968341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Analysis'!$P$221:$P$222</c:f>
              <c:numCache>
                <c:formatCode>0.00%</c:formatCode>
                <c:ptCount val="2"/>
                <c:pt idx="0">
                  <c:v>5.7575570176689024E-2</c:v>
                </c:pt>
                <c:pt idx="1">
                  <c:v>5.7575570176689024E-2</c:v>
                </c:pt>
              </c:numCache>
            </c:numRef>
          </c:xVal>
          <c:yVal>
            <c:numRef>
              <c:f>'Notes | Quant Analysis'!$Q$221:$Q$222</c:f>
              <c:numCache>
                <c:formatCode>General</c:formatCode>
                <c:ptCount val="2"/>
                <c:pt idx="0">
                  <c:v>0</c:v>
                </c:pt>
                <c:pt idx="1">
                  <c:v>3</c:v>
                </c:pt>
              </c:numCache>
            </c:numRef>
          </c:yVal>
          <c:smooth val="1"/>
          <c:extLst>
            <c:ext xmlns:c16="http://schemas.microsoft.com/office/drawing/2014/chart" uri="{C3380CC4-5D6E-409C-BE32-E72D297353CC}">
              <c16:uniqueId val="{00000012-28C7-4862-86E9-AF862A5BA0AD}"/>
            </c:ext>
          </c:extLst>
        </c:ser>
        <c:ser>
          <c:idx val="8"/>
          <c:order val="8"/>
          <c:tx>
            <c:strRef>
              <c:f>'Notes | Quant Analysis'!$O$223</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2.8868915282098968E-2"/>
                  <c:y val="-3.4329063215780269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Analysis'!$P$223:$P$224</c:f>
              <c:numCache>
                <c:formatCode>0.00%</c:formatCode>
                <c:ptCount val="2"/>
                <c:pt idx="0">
                  <c:v>8.6576086081027598E-2</c:v>
                </c:pt>
                <c:pt idx="1">
                  <c:v>8.6576086081027598E-2</c:v>
                </c:pt>
              </c:numCache>
            </c:numRef>
          </c:xVal>
          <c:yVal>
            <c:numRef>
              <c:f>'Notes | Quant Analysis'!$Q$223:$Q$224</c:f>
              <c:numCache>
                <c:formatCode>General</c:formatCode>
                <c:ptCount val="2"/>
                <c:pt idx="0">
                  <c:v>0</c:v>
                </c:pt>
                <c:pt idx="1">
                  <c:v>2</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9.0000000000000024E-2"/>
          <c:min val="-9.0000000000000024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2</xdr:row>
      <xdr:rowOff>9525</xdr:rowOff>
    </xdr:from>
    <xdr:to>
      <xdr:col>10</xdr:col>
      <xdr:colOff>9525</xdr:colOff>
      <xdr:row>8</xdr:row>
      <xdr:rowOff>1</xdr:rowOff>
    </xdr:to>
    <xdr:pic>
      <xdr:nvPicPr>
        <xdr:cNvPr id="4" name="Picture 3" descr="CROX: Crocs Inc Latest Stock Price, Analysis, News and Trading Ideas">
          <a:extLst>
            <a:ext uri="{FF2B5EF4-FFF2-40B4-BE49-F238E27FC236}">
              <a16:creationId xmlns:a16="http://schemas.microsoft.com/office/drawing/2014/main" id="{0BE2A9DF-AB1A-FEDB-53D5-22A8252DBF0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158" b="21679"/>
        <a:stretch>
          <a:fillRect/>
        </a:stretch>
      </xdr:blipFill>
      <xdr:spPr bwMode="auto">
        <a:xfrm>
          <a:off x="4381500" y="381000"/>
          <a:ext cx="1828800" cy="10763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68</xdr:col>
      <xdr:colOff>593912</xdr:colOff>
      <xdr:row>0</xdr:row>
      <xdr:rowOff>0</xdr:rowOff>
    </xdr:from>
    <xdr:to>
      <xdr:col>68</xdr:col>
      <xdr:colOff>593912</xdr:colOff>
      <xdr:row>123</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43209883" y="0"/>
          <a:ext cx="0" cy="222840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94</xdr:col>
      <xdr:colOff>0</xdr:colOff>
      <xdr:row>0</xdr:row>
      <xdr:rowOff>0</xdr:rowOff>
    </xdr:from>
    <xdr:to>
      <xdr:col>94</xdr:col>
      <xdr:colOff>0</xdr:colOff>
      <xdr:row>122</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68</xdr:row>
      <xdr:rowOff>190499</xdr:rowOff>
    </xdr:from>
    <xdr:to>
      <xdr:col>23</xdr:col>
      <xdr:colOff>0</xdr:colOff>
      <xdr:row>99</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105</xdr:row>
      <xdr:rowOff>0</xdr:rowOff>
    </xdr:from>
    <xdr:to>
      <xdr:col>23</xdr:col>
      <xdr:colOff>0</xdr:colOff>
      <xdr:row>133</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138</xdr:row>
      <xdr:rowOff>0</xdr:rowOff>
    </xdr:from>
    <xdr:to>
      <xdr:col>23</xdr:col>
      <xdr:colOff>0</xdr:colOff>
      <xdr:row>166</xdr:row>
      <xdr:rowOff>0</xdr:rowOff>
    </xdr:to>
    <xdr:graphicFrame macro="">
      <xdr:nvGraphicFramePr>
        <xdr:cNvPr id="5" name="Chart 4">
          <a:extLst>
            <a:ext uri="{FF2B5EF4-FFF2-40B4-BE49-F238E27FC236}">
              <a16:creationId xmlns:a16="http://schemas.microsoft.com/office/drawing/2014/main" id="{FF7CCC47-4E69-431D-A35B-BB93EEC5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xdr:colOff>
      <xdr:row>170</xdr:row>
      <xdr:rowOff>1</xdr:rowOff>
    </xdr:from>
    <xdr:to>
      <xdr:col>23</xdr:col>
      <xdr:colOff>0</xdr:colOff>
      <xdr:row>198</xdr:row>
      <xdr:rowOff>1</xdr:rowOff>
    </xdr:to>
    <xdr:graphicFrame macro="">
      <xdr:nvGraphicFramePr>
        <xdr:cNvPr id="7" name="Chart 6">
          <a:extLst>
            <a:ext uri="{FF2B5EF4-FFF2-40B4-BE49-F238E27FC236}">
              <a16:creationId xmlns:a16="http://schemas.microsoft.com/office/drawing/2014/main" id="{32CE28EC-6ADF-4239-B3AC-914B7CA3D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9526</xdr:colOff>
      <xdr:row>2</xdr:row>
      <xdr:rowOff>9526</xdr:rowOff>
    </xdr:from>
    <xdr:to>
      <xdr:col>18</xdr:col>
      <xdr:colOff>56030</xdr:colOff>
      <xdr:row>30</xdr:row>
      <xdr:rowOff>1361</xdr:rowOff>
    </xdr:to>
    <xdr:pic>
      <xdr:nvPicPr>
        <xdr:cNvPr id="8" name="Picture 7">
          <a:extLst>
            <a:ext uri="{FF2B5EF4-FFF2-40B4-BE49-F238E27FC236}">
              <a16:creationId xmlns:a16="http://schemas.microsoft.com/office/drawing/2014/main" id="{42799806-7445-997D-3C6E-ACF8F42F3168}"/>
            </a:ext>
          </a:extLst>
        </xdr:cNvPr>
        <xdr:cNvPicPr>
          <a:picLocks noChangeAspect="1"/>
        </xdr:cNvPicPr>
      </xdr:nvPicPr>
      <xdr:blipFill>
        <a:blip xmlns:r="http://schemas.openxmlformats.org/officeDocument/2006/relationships" r:embed="rId5"/>
        <a:stretch>
          <a:fillRect/>
        </a:stretch>
      </xdr:blipFill>
      <xdr:spPr>
        <a:xfrm>
          <a:off x="222438" y="379320"/>
          <a:ext cx="6097680" cy="5012070"/>
        </a:xfrm>
        <a:prstGeom prst="rect">
          <a:avLst/>
        </a:prstGeom>
      </xdr:spPr>
    </xdr:pic>
    <xdr:clientData/>
  </xdr:twoCellAnchor>
  <xdr:twoCellAnchor editAs="oneCell">
    <xdr:from>
      <xdr:col>18</xdr:col>
      <xdr:colOff>11333</xdr:colOff>
      <xdr:row>2</xdr:row>
      <xdr:rowOff>13607</xdr:rowOff>
    </xdr:from>
    <xdr:to>
      <xdr:col>27</xdr:col>
      <xdr:colOff>0</xdr:colOff>
      <xdr:row>30</xdr:row>
      <xdr:rowOff>0</xdr:rowOff>
    </xdr:to>
    <xdr:pic>
      <xdr:nvPicPr>
        <xdr:cNvPr id="9" name="Picture 8">
          <a:extLst>
            <a:ext uri="{FF2B5EF4-FFF2-40B4-BE49-F238E27FC236}">
              <a16:creationId xmlns:a16="http://schemas.microsoft.com/office/drawing/2014/main" id="{25426326-6837-2877-E150-E2598FF38267}"/>
            </a:ext>
          </a:extLst>
        </xdr:cNvPr>
        <xdr:cNvPicPr>
          <a:picLocks noChangeAspect="1"/>
        </xdr:cNvPicPr>
      </xdr:nvPicPr>
      <xdr:blipFill>
        <a:blip xmlns:r="http://schemas.openxmlformats.org/officeDocument/2006/relationships" r:embed="rId6"/>
        <a:stretch>
          <a:fillRect/>
        </a:stretch>
      </xdr:blipFill>
      <xdr:spPr>
        <a:xfrm>
          <a:off x="6275421" y="383401"/>
          <a:ext cx="5434726" cy="5006628"/>
        </a:xfrm>
        <a:prstGeom prst="rect">
          <a:avLst/>
        </a:prstGeom>
      </xdr:spPr>
    </xdr:pic>
    <xdr:clientData/>
  </xdr:twoCellAnchor>
  <xdr:twoCellAnchor editAs="oneCell">
    <xdr:from>
      <xdr:col>8</xdr:col>
      <xdr:colOff>13607</xdr:colOff>
      <xdr:row>35</xdr:row>
      <xdr:rowOff>13607</xdr:rowOff>
    </xdr:from>
    <xdr:to>
      <xdr:col>17</xdr:col>
      <xdr:colOff>13608</xdr:colOff>
      <xdr:row>64</xdr:row>
      <xdr:rowOff>13607</xdr:rowOff>
    </xdr:to>
    <xdr:pic>
      <xdr:nvPicPr>
        <xdr:cNvPr id="10" name="Picture 9">
          <a:extLst>
            <a:ext uri="{FF2B5EF4-FFF2-40B4-BE49-F238E27FC236}">
              <a16:creationId xmlns:a16="http://schemas.microsoft.com/office/drawing/2014/main" id="{637C4C1D-2EC1-AD35-D175-3B5DF59D5DA2}"/>
            </a:ext>
          </a:extLst>
        </xdr:cNvPr>
        <xdr:cNvPicPr>
          <a:picLocks noChangeAspect="1"/>
        </xdr:cNvPicPr>
      </xdr:nvPicPr>
      <xdr:blipFill>
        <a:blip xmlns:r="http://schemas.openxmlformats.org/officeDocument/2006/relationships" r:embed="rId7"/>
        <a:stretch>
          <a:fillRect/>
        </a:stretch>
      </xdr:blipFill>
      <xdr:spPr>
        <a:xfrm>
          <a:off x="217714" y="6408964"/>
          <a:ext cx="5510894" cy="51571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IR@crocs.com" TargetMode="External"/><Relationship Id="rId2" Type="http://schemas.openxmlformats.org/officeDocument/2006/relationships/hyperlink" Target="https://www.crocs.com/" TargetMode="External"/><Relationship Id="rId1" Type="http://schemas.openxmlformats.org/officeDocument/2006/relationships/hyperlink" Target="https://app.godelterminal.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D208"/>
  <sheetViews>
    <sheetView tabSelected="1" zoomScaleNormal="100" workbookViewId="0">
      <selection activeCell="D6" sqref="D6:D7"/>
    </sheetView>
  </sheetViews>
  <sheetFormatPr defaultColWidth="9.140625" defaultRowHeight="14.25"/>
  <cols>
    <col min="1" max="1" width="3.42578125" style="1" customWidth="1"/>
    <col min="2" max="4" width="11.5703125" style="1" customWidth="1"/>
    <col min="5" max="16384" width="9.140625" style="1"/>
  </cols>
  <sheetData>
    <row r="2" spans="2:19" ht="15">
      <c r="B2" s="2" t="s">
        <v>188</v>
      </c>
      <c r="H2"/>
    </row>
    <row r="3" spans="2:19">
      <c r="B3" s="1" t="s">
        <v>0</v>
      </c>
      <c r="C3" s="44">
        <v>90.5</v>
      </c>
      <c r="D3" s="43" t="s">
        <v>1454</v>
      </c>
    </row>
    <row r="4" spans="2:19">
      <c r="B4" s="1" t="s">
        <v>1</v>
      </c>
      <c r="C4" s="62">
        <v>54.616999999999997</v>
      </c>
      <c r="D4" s="1" t="s">
        <v>1455</v>
      </c>
    </row>
    <row r="5" spans="2:19">
      <c r="B5" s="1" t="s">
        <v>2</v>
      </c>
      <c r="C5" s="45">
        <f>C3*C4</f>
        <v>4942.8384999999998</v>
      </c>
    </row>
    <row r="6" spans="2:19">
      <c r="B6" s="1" t="s">
        <v>3</v>
      </c>
      <c r="C6" s="46">
        <v>200.61</v>
      </c>
      <c r="D6" s="1" t="s">
        <v>1455</v>
      </c>
    </row>
    <row r="7" spans="2:19">
      <c r="B7" s="1" t="s">
        <v>4</v>
      </c>
      <c r="C7" s="46">
        <v>1379.1120000000001</v>
      </c>
      <c r="D7" s="1" t="s">
        <v>1455</v>
      </c>
    </row>
    <row r="8" spans="2:19">
      <c r="B8" s="1" t="s">
        <v>5</v>
      </c>
      <c r="C8" s="46">
        <f>C5-C6+C7</f>
        <v>6121.3405000000002</v>
      </c>
    </row>
    <row r="10" spans="2:19" ht="15">
      <c r="B10" s="2" t="s">
        <v>1182</v>
      </c>
      <c r="R10" s="2"/>
    </row>
    <row r="11" spans="2:19">
      <c r="O11" s="1" t="s">
        <v>164</v>
      </c>
    </row>
    <row r="12" spans="2:19">
      <c r="B12" s="1" t="s">
        <v>1174</v>
      </c>
      <c r="H12" s="1" t="s">
        <v>1181</v>
      </c>
      <c r="O12" s="1" t="s">
        <v>7</v>
      </c>
      <c r="R12" s="47" t="s">
        <v>1183</v>
      </c>
    </row>
    <row r="13" spans="2:19">
      <c r="B13" s="1" t="s">
        <v>1178</v>
      </c>
      <c r="H13" s="1" t="s">
        <v>1453</v>
      </c>
      <c r="O13" s="1" t="s">
        <v>169</v>
      </c>
      <c r="R13" s="47" t="s">
        <v>1184</v>
      </c>
    </row>
    <row r="14" spans="2:19">
      <c r="B14" s="1" t="s">
        <v>1180</v>
      </c>
      <c r="H14" s="1" t="s">
        <v>6</v>
      </c>
      <c r="P14" s="1" t="s">
        <v>168</v>
      </c>
      <c r="S14" s="47" t="s">
        <v>1185</v>
      </c>
    </row>
    <row r="15" spans="2:19">
      <c r="B15" s="1" t="s">
        <v>1175</v>
      </c>
      <c r="H15" s="1" t="s">
        <v>161</v>
      </c>
      <c r="O15" s="1" t="s">
        <v>158</v>
      </c>
      <c r="R15" s="47" t="s">
        <v>1186</v>
      </c>
    </row>
    <row r="16" spans="2:19">
      <c r="B16" s="1" t="s">
        <v>1173</v>
      </c>
      <c r="H16" s="1" t="s">
        <v>155</v>
      </c>
      <c r="K16" s="1" t="s">
        <v>156</v>
      </c>
      <c r="L16" s="47" t="s">
        <v>1249</v>
      </c>
      <c r="O16" s="1" t="s">
        <v>159</v>
      </c>
      <c r="R16" s="47" t="s">
        <v>1187</v>
      </c>
    </row>
    <row r="17" spans="1:18">
      <c r="B17" s="1" t="s">
        <v>1176</v>
      </c>
      <c r="O17" s="1" t="s">
        <v>170</v>
      </c>
      <c r="R17" s="47" t="s">
        <v>1188</v>
      </c>
    </row>
    <row r="18" spans="1:18">
      <c r="B18" s="1" t="s">
        <v>1177</v>
      </c>
      <c r="O18" s="1" t="s">
        <v>171</v>
      </c>
      <c r="R18" s="47" t="s">
        <v>1189</v>
      </c>
    </row>
    <row r="19" spans="1:18">
      <c r="B19" s="1" t="s">
        <v>1179</v>
      </c>
      <c r="O19" s="1" t="s">
        <v>8</v>
      </c>
      <c r="R19" s="47" t="s">
        <v>160</v>
      </c>
    </row>
    <row r="21" spans="1:18" ht="15">
      <c r="A21" s="2" t="s">
        <v>9</v>
      </c>
    </row>
    <row r="22" spans="1:18" ht="15">
      <c r="B22" s="1" t="s">
        <v>1254</v>
      </c>
    </row>
    <row r="23" spans="1:18">
      <c r="C23" s="1" t="s">
        <v>1260</v>
      </c>
    </row>
    <row r="24" spans="1:18">
      <c r="D24" s="1" t="s">
        <v>1261</v>
      </c>
    </row>
    <row r="25" spans="1:18">
      <c r="C25" s="1" t="s">
        <v>1255</v>
      </c>
    </row>
    <row r="26" spans="1:18">
      <c r="D26" s="1" t="s">
        <v>1256</v>
      </c>
    </row>
    <row r="27" spans="1:18">
      <c r="D27" s="1" t="s">
        <v>1257</v>
      </c>
    </row>
    <row r="28" spans="1:18">
      <c r="D28" s="1" t="s">
        <v>1258</v>
      </c>
    </row>
    <row r="29" spans="1:18">
      <c r="E29" s="1" t="s">
        <v>1259</v>
      </c>
    </row>
    <row r="30" spans="1:18" ht="15">
      <c r="B30" s="1" t="s">
        <v>1253</v>
      </c>
    </row>
    <row r="31" spans="1:18">
      <c r="B31" s="1" t="s">
        <v>1251</v>
      </c>
    </row>
    <row r="32" spans="1:18">
      <c r="B32" s="1" t="s">
        <v>1252</v>
      </c>
    </row>
    <row r="33" spans="1:4">
      <c r="C33" s="1" t="s">
        <v>1262</v>
      </c>
    </row>
    <row r="35" spans="1:4" ht="15">
      <c r="A35" s="2" t="s">
        <v>162</v>
      </c>
    </row>
    <row r="36" spans="1:4">
      <c r="B36" s="1" t="s">
        <v>1264</v>
      </c>
    </row>
    <row r="37" spans="1:4" ht="15">
      <c r="B37" s="2" t="s">
        <v>1265</v>
      </c>
    </row>
    <row r="38" spans="1:4" ht="15">
      <c r="C38" s="1" t="s">
        <v>1424</v>
      </c>
    </row>
    <row r="39" spans="1:4" ht="15">
      <c r="D39" s="1" t="s">
        <v>1266</v>
      </c>
    </row>
    <row r="40" spans="1:4" ht="15">
      <c r="C40" s="1" t="s">
        <v>1267</v>
      </c>
    </row>
    <row r="41" spans="1:4">
      <c r="D41" s="1" t="s">
        <v>1269</v>
      </c>
    </row>
    <row r="42" spans="1:4">
      <c r="D42" s="1" t="s">
        <v>1268</v>
      </c>
    </row>
    <row r="43" spans="1:4" ht="15">
      <c r="B43" s="2" t="s">
        <v>1270</v>
      </c>
    </row>
    <row r="44" spans="1:4" ht="15">
      <c r="C44" s="1" t="s">
        <v>1271</v>
      </c>
    </row>
    <row r="45" spans="1:4">
      <c r="D45" s="1" t="s">
        <v>1273</v>
      </c>
    </row>
    <row r="46" spans="1:4">
      <c r="D46" s="1" t="s">
        <v>1272</v>
      </c>
    </row>
    <row r="47" spans="1:4" ht="15">
      <c r="B47" s="2" t="s">
        <v>1297</v>
      </c>
    </row>
    <row r="48" spans="1:4">
      <c r="C48" s="1" t="s">
        <v>1292</v>
      </c>
    </row>
    <row r="49" spans="2:4">
      <c r="C49" s="1" t="s">
        <v>1293</v>
      </c>
    </row>
    <row r="50" spans="2:4">
      <c r="C50" s="1" t="s">
        <v>1294</v>
      </c>
    </row>
    <row r="51" spans="2:4">
      <c r="D51" s="1" t="s">
        <v>1295</v>
      </c>
    </row>
    <row r="52" spans="2:4">
      <c r="D52" s="1" t="s">
        <v>1296</v>
      </c>
    </row>
    <row r="53" spans="2:4" ht="15">
      <c r="B53" s="2" t="s">
        <v>1298</v>
      </c>
    </row>
    <row r="54" spans="2:4">
      <c r="C54" s="1" t="s">
        <v>1299</v>
      </c>
    </row>
    <row r="55" spans="2:4" ht="15">
      <c r="B55" s="2" t="s">
        <v>1300</v>
      </c>
    </row>
    <row r="56" spans="2:4">
      <c r="C56" s="1" t="s">
        <v>1301</v>
      </c>
    </row>
    <row r="57" spans="2:4">
      <c r="D57" s="1" t="s">
        <v>1302</v>
      </c>
    </row>
    <row r="58" spans="2:4">
      <c r="D58" s="1" t="s">
        <v>1303</v>
      </c>
    </row>
    <row r="59" spans="2:4" ht="15">
      <c r="B59" s="2" t="s">
        <v>1304</v>
      </c>
    </row>
    <row r="60" spans="2:4">
      <c r="C60" s="1" t="s">
        <v>1305</v>
      </c>
    </row>
    <row r="61" spans="2:4">
      <c r="D61" s="1" t="s">
        <v>1306</v>
      </c>
    </row>
    <row r="62" spans="2:4">
      <c r="C62" s="1" t="s">
        <v>1307</v>
      </c>
    </row>
    <row r="63" spans="2:4">
      <c r="D63" s="1" t="s">
        <v>1308</v>
      </c>
    </row>
    <row r="64" spans="2:4">
      <c r="C64" s="1" t="s">
        <v>1309</v>
      </c>
    </row>
    <row r="65" spans="1:25">
      <c r="D65" s="1" t="s">
        <v>1310</v>
      </c>
    </row>
    <row r="66" spans="1:25">
      <c r="D66" s="1" t="s">
        <v>1311</v>
      </c>
    </row>
    <row r="67" spans="1:25">
      <c r="C67" s="1" t="s">
        <v>1312</v>
      </c>
    </row>
    <row r="68" spans="1:25">
      <c r="D68" s="1" t="s">
        <v>1313</v>
      </c>
    </row>
    <row r="69" spans="1:25">
      <c r="D69" s="1" t="s">
        <v>1314</v>
      </c>
    </row>
    <row r="71" spans="1:25" ht="15">
      <c r="A71" s="2" t="s">
        <v>1315</v>
      </c>
    </row>
    <row r="72" spans="1:25">
      <c r="B72" s="1" t="s">
        <v>1316</v>
      </c>
    </row>
    <row r="73" spans="1:25" ht="15.75" thickBot="1">
      <c r="E73" s="98">
        <v>45291</v>
      </c>
      <c r="F73" s="98"/>
      <c r="G73" s="98"/>
      <c r="H73" s="100" t="s">
        <v>1317</v>
      </c>
      <c r="I73" s="100"/>
      <c r="J73" s="100"/>
      <c r="K73" s="100" t="s">
        <v>1318</v>
      </c>
      <c r="L73" s="100"/>
      <c r="M73" s="100"/>
      <c r="N73" s="98">
        <v>45657</v>
      </c>
      <c r="O73" s="98"/>
      <c r="P73" s="98"/>
      <c r="W73"/>
      <c r="X73"/>
      <c r="Y73"/>
    </row>
    <row r="74" spans="1:25" ht="15">
      <c r="B74" s="99" t="s">
        <v>1263</v>
      </c>
      <c r="C74" s="99"/>
      <c r="D74" s="99"/>
      <c r="E74" s="95"/>
      <c r="F74" s="95"/>
      <c r="G74" s="95"/>
      <c r="H74" s="95"/>
      <c r="I74" s="95"/>
      <c r="J74" s="95"/>
      <c r="K74" s="95"/>
      <c r="L74" s="95"/>
      <c r="M74" s="95"/>
      <c r="N74" s="95"/>
      <c r="O74" s="95"/>
      <c r="P74" s="95"/>
    </row>
    <row r="75" spans="1:25" ht="15">
      <c r="B75" s="96" t="s">
        <v>1319</v>
      </c>
      <c r="C75" s="96"/>
      <c r="D75" s="96"/>
      <c r="E75" s="97" t="s">
        <v>1320</v>
      </c>
      <c r="F75" s="97"/>
      <c r="G75" s="89"/>
      <c r="H75" s="97" t="s">
        <v>1321</v>
      </c>
      <c r="I75" s="97"/>
      <c r="J75" s="89"/>
      <c r="K75" s="97" t="s">
        <v>1322</v>
      </c>
      <c r="L75" s="97"/>
      <c r="M75" s="89"/>
      <c r="N75" s="97" t="s">
        <v>1323</v>
      </c>
      <c r="O75" s="97"/>
      <c r="P75" s="89"/>
    </row>
    <row r="76" spans="1:25" ht="15">
      <c r="B76" s="102" t="s">
        <v>1324</v>
      </c>
      <c r="C76" s="102"/>
      <c r="D76" s="102"/>
      <c r="E76" s="101" t="s">
        <v>1325</v>
      </c>
      <c r="F76" s="101"/>
      <c r="G76" s="90"/>
      <c r="H76" s="101" t="s">
        <v>1322</v>
      </c>
      <c r="I76" s="101"/>
      <c r="J76" s="90"/>
      <c r="K76" s="101" t="s">
        <v>1326</v>
      </c>
      <c r="L76" s="101"/>
      <c r="M76" s="90"/>
      <c r="N76" s="101" t="s">
        <v>1327</v>
      </c>
      <c r="O76" s="101"/>
      <c r="P76" s="90"/>
    </row>
    <row r="77" spans="1:25" ht="15">
      <c r="B77" s="96" t="s">
        <v>1328</v>
      </c>
      <c r="C77" s="96"/>
      <c r="D77" s="96"/>
      <c r="E77" s="97" t="s">
        <v>1329</v>
      </c>
      <c r="F77" s="97"/>
      <c r="G77" s="89"/>
      <c r="H77" s="97" t="s">
        <v>1330</v>
      </c>
      <c r="I77" s="97"/>
      <c r="J77" s="89"/>
      <c r="K77" s="97" t="s">
        <v>1331</v>
      </c>
      <c r="L77" s="97"/>
      <c r="M77" s="89"/>
      <c r="N77" s="97" t="s">
        <v>1332</v>
      </c>
      <c r="O77" s="97"/>
      <c r="P77" s="89"/>
    </row>
    <row r="78" spans="1:25" ht="15">
      <c r="B78" s="103" t="s">
        <v>1333</v>
      </c>
      <c r="C78" s="103"/>
      <c r="D78" s="103"/>
      <c r="E78" s="101" t="s">
        <v>1334</v>
      </c>
      <c r="F78" s="101"/>
      <c r="G78" s="90"/>
      <c r="H78" s="101" t="s">
        <v>1335</v>
      </c>
      <c r="I78" s="101"/>
      <c r="J78" s="90"/>
      <c r="K78" s="101" t="s">
        <v>1326</v>
      </c>
      <c r="L78" s="101"/>
      <c r="M78" s="90"/>
      <c r="N78" s="101" t="s">
        <v>1336</v>
      </c>
      <c r="O78" s="101"/>
      <c r="P78" s="90"/>
    </row>
    <row r="79" spans="1:25" ht="15">
      <c r="B79" s="96" t="s">
        <v>1337</v>
      </c>
      <c r="C79" s="96"/>
      <c r="D79" s="96"/>
      <c r="E79" s="97" t="s">
        <v>1338</v>
      </c>
      <c r="F79" s="97"/>
      <c r="G79" s="89"/>
      <c r="H79" s="97" t="s">
        <v>1326</v>
      </c>
      <c r="I79" s="97"/>
      <c r="J79" s="89"/>
      <c r="K79" s="97" t="s">
        <v>1326</v>
      </c>
      <c r="L79" s="97"/>
      <c r="M79" s="89"/>
      <c r="N79" s="97" t="s">
        <v>1338</v>
      </c>
      <c r="O79" s="97"/>
      <c r="P79" s="89"/>
    </row>
    <row r="80" spans="1:25" ht="15">
      <c r="B80" s="103" t="s">
        <v>1339</v>
      </c>
      <c r="C80" s="103"/>
      <c r="D80" s="103"/>
      <c r="E80" s="101" t="s">
        <v>1340</v>
      </c>
      <c r="F80" s="101"/>
      <c r="G80" s="90"/>
      <c r="H80" s="101" t="s">
        <v>1341</v>
      </c>
      <c r="I80" s="101"/>
      <c r="J80" s="90"/>
      <c r="K80" s="101" t="s">
        <v>1342</v>
      </c>
      <c r="L80" s="101"/>
      <c r="M80" s="90"/>
      <c r="N80" s="101" t="s">
        <v>1343</v>
      </c>
      <c r="O80" s="101"/>
      <c r="P80" s="90"/>
    </row>
    <row r="81" spans="2:16" ht="15">
      <c r="B81" s="96" t="s">
        <v>1344</v>
      </c>
      <c r="C81" s="96"/>
      <c r="D81" s="96"/>
      <c r="E81" s="97" t="s">
        <v>1345</v>
      </c>
      <c r="F81" s="97"/>
      <c r="G81" s="89"/>
      <c r="H81" s="97" t="s">
        <v>1342</v>
      </c>
      <c r="I81" s="97"/>
      <c r="J81" s="89"/>
      <c r="K81" s="97" t="s">
        <v>1341</v>
      </c>
      <c r="L81" s="97"/>
      <c r="M81" s="89"/>
      <c r="N81" s="97" t="s">
        <v>1346</v>
      </c>
      <c r="O81" s="97"/>
      <c r="P81" s="89"/>
    </row>
    <row r="82" spans="2:16" ht="15">
      <c r="B82" s="103" t="s">
        <v>1347</v>
      </c>
      <c r="C82" s="103"/>
      <c r="D82" s="103"/>
      <c r="E82" s="101" t="s">
        <v>1326</v>
      </c>
      <c r="F82" s="101"/>
      <c r="G82" s="90"/>
      <c r="H82" s="101" t="s">
        <v>1322</v>
      </c>
      <c r="I82" s="101"/>
      <c r="J82" s="90"/>
      <c r="K82" s="101" t="s">
        <v>1326</v>
      </c>
      <c r="L82" s="101"/>
      <c r="M82" s="90"/>
      <c r="N82" s="101" t="s">
        <v>1322</v>
      </c>
      <c r="O82" s="101"/>
      <c r="P82" s="90"/>
    </row>
    <row r="83" spans="2:16" ht="15">
      <c r="B83" s="96" t="s">
        <v>1348</v>
      </c>
      <c r="C83" s="96"/>
      <c r="D83" s="96"/>
      <c r="E83" s="97" t="s">
        <v>1331</v>
      </c>
      <c r="F83" s="97"/>
      <c r="G83" s="89"/>
      <c r="H83" s="97" t="s">
        <v>1326</v>
      </c>
      <c r="I83" s="97"/>
      <c r="J83" s="89"/>
      <c r="K83" s="97" t="s">
        <v>1326</v>
      </c>
      <c r="L83" s="97"/>
      <c r="M83" s="89"/>
      <c r="N83" s="97" t="s">
        <v>1331</v>
      </c>
      <c r="O83" s="97"/>
      <c r="P83" s="89"/>
    </row>
    <row r="84" spans="2:16" ht="15">
      <c r="B84" s="103" t="s">
        <v>1349</v>
      </c>
      <c r="C84" s="103"/>
      <c r="D84" s="103"/>
      <c r="E84" s="101" t="s">
        <v>1331</v>
      </c>
      <c r="F84" s="101"/>
      <c r="G84" s="90"/>
      <c r="H84" s="101" t="s">
        <v>1326</v>
      </c>
      <c r="I84" s="101"/>
      <c r="J84" s="90"/>
      <c r="K84" s="101" t="s">
        <v>1326</v>
      </c>
      <c r="L84" s="101"/>
      <c r="M84" s="90"/>
      <c r="N84" s="101" t="s">
        <v>1331</v>
      </c>
      <c r="O84" s="101"/>
      <c r="P84" s="90"/>
    </row>
    <row r="85" spans="2:16" ht="15">
      <c r="B85" s="96" t="s">
        <v>1350</v>
      </c>
      <c r="C85" s="96"/>
      <c r="D85" s="96"/>
      <c r="E85" s="97" t="s">
        <v>1342</v>
      </c>
      <c r="F85" s="97"/>
      <c r="G85" s="89"/>
      <c r="H85" s="97" t="s">
        <v>1326</v>
      </c>
      <c r="I85" s="97"/>
      <c r="J85" s="89"/>
      <c r="K85" s="97" t="s">
        <v>1326</v>
      </c>
      <c r="L85" s="97"/>
      <c r="M85" s="89"/>
      <c r="N85" s="97" t="s">
        <v>1342</v>
      </c>
      <c r="O85" s="97"/>
      <c r="P85" s="89"/>
    </row>
    <row r="86" spans="2:16" ht="15">
      <c r="B86" s="103" t="s">
        <v>1351</v>
      </c>
      <c r="C86" s="103"/>
      <c r="D86" s="103"/>
      <c r="E86" s="101" t="s">
        <v>1341</v>
      </c>
      <c r="F86" s="101"/>
      <c r="G86" s="90"/>
      <c r="H86" s="101" t="s">
        <v>1341</v>
      </c>
      <c r="I86" s="101"/>
      <c r="J86" s="90"/>
      <c r="K86" s="101" t="s">
        <v>1326</v>
      </c>
      <c r="L86" s="101"/>
      <c r="M86" s="90"/>
      <c r="N86" s="101" t="s">
        <v>1342</v>
      </c>
      <c r="O86" s="101"/>
      <c r="P86" s="90"/>
    </row>
    <row r="87" spans="2:16" ht="15.75" thickBot="1">
      <c r="B87" s="104" t="s">
        <v>1352</v>
      </c>
      <c r="C87" s="104"/>
      <c r="D87" s="104"/>
      <c r="E87" s="105" t="s">
        <v>1326</v>
      </c>
      <c r="F87" s="105"/>
      <c r="G87" s="89"/>
      <c r="H87" s="105" t="s">
        <v>1341</v>
      </c>
      <c r="I87" s="105"/>
      <c r="J87" s="89"/>
      <c r="K87" s="105" t="s">
        <v>1326</v>
      </c>
      <c r="L87" s="105"/>
      <c r="M87" s="89"/>
      <c r="N87" s="105" t="s">
        <v>1341</v>
      </c>
      <c r="O87" s="105"/>
      <c r="P87" s="89"/>
    </row>
    <row r="88" spans="2:16" ht="15.75" thickBot="1">
      <c r="B88" s="109" t="s">
        <v>1353</v>
      </c>
      <c r="C88" s="109"/>
      <c r="D88" s="109"/>
      <c r="E88" s="106" t="s">
        <v>1354</v>
      </c>
      <c r="F88" s="106"/>
      <c r="G88" s="91"/>
      <c r="H88" s="106" t="s">
        <v>1332</v>
      </c>
      <c r="I88" s="106"/>
      <c r="J88" s="91"/>
      <c r="K88" s="106" t="s">
        <v>1343</v>
      </c>
      <c r="L88" s="106"/>
      <c r="M88" s="91"/>
      <c r="N88" s="106" t="s">
        <v>1355</v>
      </c>
      <c r="O88" s="106"/>
      <c r="P88" s="91"/>
    </row>
    <row r="89" spans="2:16" ht="15">
      <c r="B89" s="107" t="s">
        <v>1356</v>
      </c>
      <c r="C89" s="107"/>
      <c r="D89" s="107"/>
      <c r="E89" s="108"/>
      <c r="F89" s="108"/>
      <c r="G89" s="108"/>
      <c r="H89" s="108"/>
      <c r="I89" s="108"/>
      <c r="J89" s="108"/>
      <c r="K89" s="108"/>
      <c r="L89" s="108"/>
      <c r="M89" s="108"/>
      <c r="N89" s="108"/>
      <c r="O89" s="108"/>
      <c r="P89" s="108"/>
    </row>
    <row r="90" spans="2:16" ht="15.75" thickBot="1">
      <c r="B90" s="103" t="s">
        <v>1319</v>
      </c>
      <c r="C90" s="103"/>
      <c r="D90" s="103"/>
      <c r="E90" s="110" t="s">
        <v>1334</v>
      </c>
      <c r="F90" s="110"/>
      <c r="G90" s="90"/>
      <c r="H90" s="110" t="s">
        <v>1357</v>
      </c>
      <c r="I90" s="110"/>
      <c r="J90" s="90"/>
      <c r="K90" s="110" t="s">
        <v>1341</v>
      </c>
      <c r="L90" s="110"/>
      <c r="M90" s="90"/>
      <c r="N90" s="110" t="s">
        <v>1358</v>
      </c>
      <c r="O90" s="110"/>
      <c r="P90" s="90"/>
    </row>
    <row r="91" spans="2:16" ht="15.75" thickBot="1">
      <c r="B91" s="111" t="s">
        <v>1359</v>
      </c>
      <c r="C91" s="111"/>
      <c r="D91" s="111"/>
      <c r="E91" s="112" t="s">
        <v>1334</v>
      </c>
      <c r="F91" s="112"/>
      <c r="G91" s="92"/>
      <c r="H91" s="112" t="s">
        <v>1357</v>
      </c>
      <c r="I91" s="112"/>
      <c r="J91" s="92"/>
      <c r="K91" s="112" t="s">
        <v>1341</v>
      </c>
      <c r="L91" s="112"/>
      <c r="M91" s="92"/>
      <c r="N91" s="112" t="s">
        <v>1358</v>
      </c>
      <c r="O91" s="112"/>
      <c r="P91" s="92"/>
    </row>
    <row r="92" spans="2:16" ht="15.75" thickBot="1">
      <c r="B92" s="117" t="s">
        <v>1360</v>
      </c>
      <c r="C92" s="117"/>
      <c r="D92" s="117"/>
      <c r="E92" s="116" t="s">
        <v>1361</v>
      </c>
      <c r="F92" s="116"/>
      <c r="G92" s="93"/>
      <c r="H92" s="116" t="s">
        <v>1362</v>
      </c>
      <c r="I92" s="116"/>
      <c r="J92" s="93"/>
      <c r="K92" s="116" t="s">
        <v>1340</v>
      </c>
      <c r="L92" s="116"/>
      <c r="M92" s="93"/>
      <c r="N92" s="116" t="s">
        <v>1363</v>
      </c>
      <c r="O92" s="116"/>
      <c r="P92" s="93"/>
    </row>
    <row r="93" spans="2:16" ht="15" thickTop="1"/>
    <row r="94" spans="2:16">
      <c r="B94" s="1" t="s">
        <v>1440</v>
      </c>
    </row>
    <row r="95" spans="2:16" ht="15">
      <c r="C95" s="2" t="s">
        <v>1441</v>
      </c>
    </row>
    <row r="96" spans="2:16">
      <c r="C96" s="1" t="s">
        <v>1442</v>
      </c>
    </row>
    <row r="97" spans="2:13">
      <c r="B97" s="1" t="s">
        <v>1443</v>
      </c>
    </row>
    <row r="98" spans="2:13">
      <c r="C98" s="1" t="s">
        <v>1444</v>
      </c>
    </row>
    <row r="100" spans="2:13" ht="15" thickBot="1">
      <c r="B100" s="114" t="s">
        <v>1425</v>
      </c>
      <c r="C100" s="114"/>
      <c r="D100" s="114"/>
      <c r="E100" s="114" t="s">
        <v>1439</v>
      </c>
      <c r="F100" s="114"/>
      <c r="G100" s="114"/>
      <c r="H100" s="114" t="s">
        <v>1426</v>
      </c>
      <c r="I100" s="114"/>
      <c r="J100" s="114"/>
      <c r="K100" s="114" t="s">
        <v>1427</v>
      </c>
      <c r="L100" s="114"/>
      <c r="M100" s="114"/>
    </row>
    <row r="101" spans="2:13">
      <c r="B101" s="115" t="s">
        <v>1428</v>
      </c>
      <c r="C101" s="115"/>
      <c r="D101" s="115"/>
      <c r="E101" s="115" t="s">
        <v>1263</v>
      </c>
      <c r="F101" s="115"/>
      <c r="G101" s="115"/>
      <c r="H101" s="115" t="s">
        <v>1429</v>
      </c>
      <c r="I101" s="115"/>
      <c r="J101" s="115"/>
      <c r="K101" s="122">
        <v>1322000</v>
      </c>
      <c r="L101" s="122"/>
      <c r="M101" s="122"/>
    </row>
    <row r="102" spans="2:13">
      <c r="B102" s="123" t="s">
        <v>1430</v>
      </c>
      <c r="C102" s="123"/>
      <c r="D102" s="123"/>
      <c r="E102" s="119" t="s">
        <v>1356</v>
      </c>
      <c r="F102" s="119"/>
      <c r="G102" s="119"/>
      <c r="H102" s="119" t="s">
        <v>1429</v>
      </c>
      <c r="I102" s="119"/>
      <c r="J102" s="119"/>
      <c r="K102" s="120">
        <v>1044000</v>
      </c>
      <c r="L102" s="120"/>
      <c r="M102" s="120"/>
    </row>
    <row r="103" spans="2:13">
      <c r="B103" s="121" t="s">
        <v>1431</v>
      </c>
      <c r="C103" s="121"/>
      <c r="D103" s="121"/>
      <c r="E103" s="121" t="s">
        <v>1432</v>
      </c>
      <c r="F103" s="121"/>
      <c r="G103" s="121"/>
      <c r="H103" s="121" t="s">
        <v>1429</v>
      </c>
      <c r="I103" s="121"/>
      <c r="J103" s="121"/>
      <c r="K103" s="118">
        <v>517000</v>
      </c>
      <c r="L103" s="118"/>
      <c r="M103" s="118"/>
    </row>
    <row r="104" spans="2:13" ht="25.5" customHeight="1">
      <c r="B104" s="119" t="s">
        <v>1433</v>
      </c>
      <c r="C104" s="119"/>
      <c r="D104" s="119"/>
      <c r="E104" s="119" t="s">
        <v>1432</v>
      </c>
      <c r="F104" s="119"/>
      <c r="G104" s="119"/>
      <c r="H104" s="119" t="s">
        <v>1434</v>
      </c>
      <c r="I104" s="119"/>
      <c r="J104" s="119"/>
      <c r="K104" s="120">
        <v>190000</v>
      </c>
      <c r="L104" s="120"/>
      <c r="M104" s="120"/>
    </row>
    <row r="105" spans="2:13" ht="25.5" customHeight="1">
      <c r="B105" s="121" t="s">
        <v>1435</v>
      </c>
      <c r="C105" s="121"/>
      <c r="D105" s="121"/>
      <c r="E105" s="121" t="s">
        <v>1432</v>
      </c>
      <c r="F105" s="121"/>
      <c r="G105" s="121"/>
      <c r="H105" s="121" t="s">
        <v>1436</v>
      </c>
      <c r="I105" s="121"/>
      <c r="J105" s="121"/>
      <c r="K105" s="118">
        <v>70000</v>
      </c>
      <c r="L105" s="118"/>
      <c r="M105" s="118"/>
    </row>
    <row r="106" spans="2:13">
      <c r="B106" s="119" t="s">
        <v>1437</v>
      </c>
      <c r="C106" s="119"/>
      <c r="D106" s="119"/>
      <c r="E106" s="119" t="s">
        <v>1432</v>
      </c>
      <c r="F106" s="119"/>
      <c r="G106" s="119"/>
      <c r="H106" s="119" t="s">
        <v>1438</v>
      </c>
      <c r="I106" s="119"/>
      <c r="J106" s="119"/>
      <c r="K106" s="120">
        <v>47000</v>
      </c>
      <c r="L106" s="120"/>
      <c r="M106" s="120"/>
    </row>
    <row r="107" spans="2:13">
      <c r="B107" s="121" t="s">
        <v>1337</v>
      </c>
      <c r="C107" s="121"/>
      <c r="D107" s="121"/>
      <c r="E107" s="121" t="s">
        <v>1263</v>
      </c>
      <c r="F107" s="121"/>
      <c r="G107" s="121"/>
      <c r="H107" s="121" t="s">
        <v>1438</v>
      </c>
      <c r="I107" s="121"/>
      <c r="J107" s="121"/>
      <c r="K107" s="118">
        <v>24000</v>
      </c>
      <c r="L107" s="118"/>
      <c r="M107" s="118"/>
    </row>
    <row r="109" spans="2:13">
      <c r="B109" s="1" t="s">
        <v>1445</v>
      </c>
    </row>
    <row r="110" spans="2:13">
      <c r="C110" s="1" t="s">
        <v>1446</v>
      </c>
    </row>
    <row r="111" spans="2:13">
      <c r="C111" s="1" t="s">
        <v>1447</v>
      </c>
    </row>
    <row r="113" spans="1:4" ht="15">
      <c r="A113" s="2" t="s">
        <v>1274</v>
      </c>
    </row>
    <row r="114" spans="1:4" ht="15">
      <c r="B114" s="1" t="s">
        <v>1276</v>
      </c>
    </row>
    <row r="115" spans="1:4" ht="15">
      <c r="C115" s="1" t="s">
        <v>1277</v>
      </c>
    </row>
    <row r="116" spans="1:4" ht="15">
      <c r="C116" s="1" t="s">
        <v>1275</v>
      </c>
    </row>
    <row r="117" spans="1:4">
      <c r="C117" s="1" t="s">
        <v>1278</v>
      </c>
    </row>
    <row r="118" spans="1:4">
      <c r="B118" s="1" t="s">
        <v>1279</v>
      </c>
    </row>
    <row r="119" spans="1:4" ht="15">
      <c r="C119" s="1" t="s">
        <v>1284</v>
      </c>
    </row>
    <row r="120" spans="1:4" ht="15">
      <c r="C120" s="1" t="s">
        <v>1285</v>
      </c>
    </row>
    <row r="121" spans="1:4" ht="15">
      <c r="C121" s="1" t="s">
        <v>1286</v>
      </c>
    </row>
    <row r="122" spans="1:4">
      <c r="D122" s="1" t="s">
        <v>1280</v>
      </c>
    </row>
    <row r="123" spans="1:4">
      <c r="C123" s="1" t="s">
        <v>1281</v>
      </c>
    </row>
    <row r="124" spans="1:4">
      <c r="B124" s="1" t="s">
        <v>1282</v>
      </c>
    </row>
    <row r="125" spans="1:4">
      <c r="C125" s="1" t="s">
        <v>1283</v>
      </c>
    </row>
    <row r="126" spans="1:4">
      <c r="B126" s="1" t="s">
        <v>1291</v>
      </c>
    </row>
    <row r="128" spans="1:4" ht="15">
      <c r="A128" s="2" t="s">
        <v>1287</v>
      </c>
    </row>
    <row r="129" spans="1:4" ht="15">
      <c r="B129" s="1" t="s">
        <v>1288</v>
      </c>
    </row>
    <row r="130" spans="1:4" ht="14.25" customHeight="1">
      <c r="B130" s="1" t="s">
        <v>1289</v>
      </c>
    </row>
    <row r="131" spans="1:4">
      <c r="C131" s="1" t="s">
        <v>1290</v>
      </c>
    </row>
    <row r="133" spans="1:4" ht="15">
      <c r="A133" s="2" t="s">
        <v>1364</v>
      </c>
    </row>
    <row r="134" spans="1:4" ht="15">
      <c r="B134" s="2" t="s">
        <v>1265</v>
      </c>
    </row>
    <row r="135" spans="1:4" ht="14.25" customHeight="1">
      <c r="C135" s="1" t="s">
        <v>1366</v>
      </c>
    </row>
    <row r="136" spans="1:4">
      <c r="D136" s="1" t="s">
        <v>1365</v>
      </c>
    </row>
    <row r="137" spans="1:4">
      <c r="D137" s="1" t="s">
        <v>1367</v>
      </c>
    </row>
    <row r="138" spans="1:4">
      <c r="C138" s="1" t="s">
        <v>1368</v>
      </c>
    </row>
    <row r="139" spans="1:4">
      <c r="D139" s="1" t="s">
        <v>1369</v>
      </c>
    </row>
    <row r="140" spans="1:4">
      <c r="D140" s="1" t="s">
        <v>1370</v>
      </c>
    </row>
    <row r="141" spans="1:4">
      <c r="D141" s="1" t="s">
        <v>1371</v>
      </c>
    </row>
    <row r="142" spans="1:4">
      <c r="C142" s="1" t="s">
        <v>1373</v>
      </c>
    </row>
    <row r="143" spans="1:4">
      <c r="D143" s="1" t="s">
        <v>1372</v>
      </c>
    </row>
    <row r="144" spans="1:4" ht="15">
      <c r="B144" s="2" t="s">
        <v>1270</v>
      </c>
    </row>
    <row r="145" spans="2:30">
      <c r="C145" s="1" t="s">
        <v>1374</v>
      </c>
    </row>
    <row r="146" spans="2:30">
      <c r="D146" s="1" t="s">
        <v>1375</v>
      </c>
    </row>
    <row r="147" spans="2:30" ht="15">
      <c r="B147" s="2" t="s">
        <v>1376</v>
      </c>
    </row>
    <row r="148" spans="2:30">
      <c r="C148" s="1" t="s">
        <v>1377</v>
      </c>
    </row>
    <row r="149" spans="2:30" ht="15">
      <c r="C149" s="2" t="s">
        <v>1379</v>
      </c>
    </row>
    <row r="150" spans="2:30" ht="14.25" customHeight="1">
      <c r="D150" s="113" t="s">
        <v>1378</v>
      </c>
      <c r="E150" s="113"/>
      <c r="F150" s="113"/>
      <c r="G150" s="113"/>
      <c r="H150" s="113"/>
      <c r="I150" s="113"/>
      <c r="J150" s="113"/>
      <c r="K150" s="113"/>
      <c r="L150" s="113"/>
      <c r="M150" s="113"/>
      <c r="N150" s="113"/>
      <c r="O150" s="113"/>
      <c r="P150" s="113"/>
      <c r="Q150" s="113"/>
      <c r="R150" s="113"/>
      <c r="S150" s="113"/>
      <c r="T150" s="113"/>
      <c r="U150" s="113"/>
      <c r="V150" s="113"/>
      <c r="W150" s="113"/>
      <c r="X150" s="94"/>
      <c r="Y150" s="94"/>
      <c r="Z150" s="94"/>
      <c r="AA150" s="94"/>
      <c r="AB150" s="94"/>
      <c r="AC150" s="94"/>
      <c r="AD150" s="94"/>
    </row>
    <row r="151" spans="2:30">
      <c r="D151" s="113"/>
      <c r="E151" s="113"/>
      <c r="F151" s="113"/>
      <c r="G151" s="113"/>
      <c r="H151" s="113"/>
      <c r="I151" s="113"/>
      <c r="J151" s="113"/>
      <c r="K151" s="113"/>
      <c r="L151" s="113"/>
      <c r="M151" s="113"/>
      <c r="N151" s="113"/>
      <c r="O151" s="113"/>
      <c r="P151" s="113"/>
      <c r="Q151" s="113"/>
      <c r="R151" s="113"/>
      <c r="S151" s="113"/>
      <c r="T151" s="113"/>
      <c r="U151" s="113"/>
      <c r="V151" s="113"/>
      <c r="W151" s="113"/>
      <c r="X151" s="94"/>
      <c r="Y151" s="94"/>
      <c r="Z151" s="94"/>
      <c r="AA151" s="94"/>
      <c r="AB151" s="94"/>
      <c r="AC151" s="94"/>
      <c r="AD151" s="94"/>
    </row>
    <row r="152" spans="2:30">
      <c r="D152" s="113"/>
      <c r="E152" s="113"/>
      <c r="F152" s="113"/>
      <c r="G152" s="113"/>
      <c r="H152" s="113"/>
      <c r="I152" s="113"/>
      <c r="J152" s="113"/>
      <c r="K152" s="113"/>
      <c r="L152" s="113"/>
      <c r="M152" s="113"/>
      <c r="N152" s="113"/>
      <c r="O152" s="113"/>
      <c r="P152" s="113"/>
      <c r="Q152" s="113"/>
      <c r="R152" s="113"/>
      <c r="S152" s="113"/>
      <c r="T152" s="113"/>
      <c r="U152" s="113"/>
      <c r="V152" s="113"/>
      <c r="W152" s="113"/>
      <c r="X152" s="94"/>
      <c r="Y152" s="94"/>
      <c r="Z152" s="94"/>
      <c r="AA152" s="94"/>
      <c r="AB152" s="94"/>
      <c r="AC152" s="94"/>
      <c r="AD152" s="94"/>
    </row>
    <row r="153" spans="2:30">
      <c r="D153" s="113"/>
      <c r="E153" s="113"/>
      <c r="F153" s="113"/>
      <c r="G153" s="113"/>
      <c r="H153" s="113"/>
      <c r="I153" s="113"/>
      <c r="J153" s="113"/>
      <c r="K153" s="113"/>
      <c r="L153" s="113"/>
      <c r="M153" s="113"/>
      <c r="N153" s="113"/>
      <c r="O153" s="113"/>
      <c r="P153" s="113"/>
      <c r="Q153" s="113"/>
      <c r="R153" s="113"/>
      <c r="S153" s="113"/>
      <c r="T153" s="113"/>
      <c r="U153" s="113"/>
      <c r="V153" s="113"/>
      <c r="W153" s="113"/>
      <c r="X153" s="94"/>
      <c r="Y153" s="94"/>
      <c r="Z153" s="94"/>
      <c r="AA153" s="94"/>
      <c r="AB153" s="94"/>
      <c r="AC153" s="94"/>
      <c r="AD153" s="94"/>
    </row>
    <row r="154" spans="2:30" ht="15">
      <c r="C154" s="2" t="s">
        <v>1380</v>
      </c>
    </row>
    <row r="155" spans="2:30">
      <c r="D155" s="113" t="s">
        <v>1381</v>
      </c>
      <c r="E155" s="113"/>
      <c r="F155" s="113"/>
      <c r="G155" s="113"/>
      <c r="H155" s="113"/>
      <c r="I155" s="113"/>
      <c r="J155" s="113"/>
      <c r="K155" s="113"/>
      <c r="L155" s="113"/>
      <c r="M155" s="113"/>
      <c r="N155" s="113"/>
      <c r="O155" s="113"/>
      <c r="P155" s="113"/>
      <c r="Q155" s="113"/>
      <c r="R155" s="113"/>
      <c r="S155" s="113"/>
      <c r="T155" s="113"/>
      <c r="U155" s="113"/>
      <c r="V155" s="113"/>
      <c r="W155" s="113"/>
    </row>
    <row r="156" spans="2:30">
      <c r="D156" s="113"/>
      <c r="E156" s="113"/>
      <c r="F156" s="113"/>
      <c r="G156" s="113"/>
      <c r="H156" s="113"/>
      <c r="I156" s="113"/>
      <c r="J156" s="113"/>
      <c r="K156" s="113"/>
      <c r="L156" s="113"/>
      <c r="M156" s="113"/>
      <c r="N156" s="113"/>
      <c r="O156" s="113"/>
      <c r="P156" s="113"/>
      <c r="Q156" s="113"/>
      <c r="R156" s="113"/>
      <c r="S156" s="113"/>
      <c r="T156" s="113"/>
      <c r="U156" s="113"/>
      <c r="V156" s="113"/>
      <c r="W156" s="113"/>
    </row>
    <row r="157" spans="2:30">
      <c r="D157" s="113"/>
      <c r="E157" s="113"/>
      <c r="F157" s="113"/>
      <c r="G157" s="113"/>
      <c r="H157" s="113"/>
      <c r="I157" s="113"/>
      <c r="J157" s="113"/>
      <c r="K157" s="113"/>
      <c r="L157" s="113"/>
      <c r="M157" s="113"/>
      <c r="N157" s="113"/>
      <c r="O157" s="113"/>
      <c r="P157" s="113"/>
      <c r="Q157" s="113"/>
      <c r="R157" s="113"/>
      <c r="S157" s="113"/>
      <c r="T157" s="113"/>
      <c r="U157" s="113"/>
      <c r="V157" s="113"/>
      <c r="W157" s="113"/>
    </row>
    <row r="158" spans="2:30">
      <c r="C158" s="1" t="s">
        <v>1382</v>
      </c>
    </row>
    <row r="159" spans="2:30">
      <c r="D159" s="1" t="s">
        <v>1383</v>
      </c>
    </row>
    <row r="161" spans="1:4" ht="15">
      <c r="A161" s="2" t="s">
        <v>1384</v>
      </c>
    </row>
    <row r="162" spans="1:4">
      <c r="B162" s="1" t="s">
        <v>1385</v>
      </c>
    </row>
    <row r="163" spans="1:4">
      <c r="C163" s="1" t="s">
        <v>1386</v>
      </c>
    </row>
    <row r="164" spans="1:4">
      <c r="C164" s="1" t="s">
        <v>1387</v>
      </c>
    </row>
    <row r="165" spans="1:4">
      <c r="C165" s="1" t="s">
        <v>1388</v>
      </c>
    </row>
    <row r="166" spans="1:4">
      <c r="C166" s="1" t="s">
        <v>1389</v>
      </c>
    </row>
    <row r="167" spans="1:4">
      <c r="D167" s="1" t="s">
        <v>1390</v>
      </c>
    </row>
    <row r="168" spans="1:4">
      <c r="C168" s="1" t="s">
        <v>1391</v>
      </c>
    </row>
    <row r="170" spans="1:4" ht="15">
      <c r="A170" s="2" t="s">
        <v>1392</v>
      </c>
    </row>
    <row r="171" spans="1:4">
      <c r="B171" s="1" t="s">
        <v>1397</v>
      </c>
    </row>
    <row r="172" spans="1:4">
      <c r="C172" s="1" t="s">
        <v>1398</v>
      </c>
    </row>
    <row r="173" spans="1:4">
      <c r="C173" s="1" t="s">
        <v>1400</v>
      </c>
    </row>
    <row r="174" spans="1:4">
      <c r="D174" s="1" t="s">
        <v>1401</v>
      </c>
    </row>
    <row r="175" spans="1:4">
      <c r="C175" s="1" t="s">
        <v>1399</v>
      </c>
    </row>
    <row r="176" spans="1:4">
      <c r="D176" s="1" t="s">
        <v>1393</v>
      </c>
    </row>
    <row r="177" spans="2:4">
      <c r="D177" s="1" t="s">
        <v>1394</v>
      </c>
    </row>
    <row r="178" spans="2:4">
      <c r="C178" s="1" t="s">
        <v>1396</v>
      </c>
    </row>
    <row r="179" spans="2:4">
      <c r="B179" s="1" t="s">
        <v>1395</v>
      </c>
    </row>
    <row r="180" spans="2:4">
      <c r="C180" s="1" t="s">
        <v>1402</v>
      </c>
    </row>
    <row r="181" spans="2:4">
      <c r="C181" s="1" t="s">
        <v>1403</v>
      </c>
    </row>
    <row r="182" spans="2:4">
      <c r="C182" s="1" t="s">
        <v>1404</v>
      </c>
    </row>
    <row r="183" spans="2:4">
      <c r="C183" s="1" t="s">
        <v>1405</v>
      </c>
    </row>
    <row r="184" spans="2:4">
      <c r="B184" s="1" t="s">
        <v>1406</v>
      </c>
    </row>
    <row r="185" spans="2:4">
      <c r="C185" s="1" t="s">
        <v>1407</v>
      </c>
    </row>
    <row r="186" spans="2:4">
      <c r="C186" s="1" t="s">
        <v>1408</v>
      </c>
    </row>
    <row r="187" spans="2:4">
      <c r="C187" s="1" t="s">
        <v>1409</v>
      </c>
    </row>
    <row r="188" spans="2:4">
      <c r="C188" s="1" t="s">
        <v>1410</v>
      </c>
    </row>
    <row r="189" spans="2:4">
      <c r="B189" s="1" t="s">
        <v>1411</v>
      </c>
    </row>
    <row r="190" spans="2:4">
      <c r="C190" s="1" t="s">
        <v>1412</v>
      </c>
    </row>
    <row r="191" spans="2:4">
      <c r="C191" s="1" t="s">
        <v>1413</v>
      </c>
    </row>
    <row r="192" spans="2:4">
      <c r="C192" s="1" t="s">
        <v>1414</v>
      </c>
    </row>
    <row r="193" spans="1:4">
      <c r="D193" s="1" t="s">
        <v>1415</v>
      </c>
    </row>
    <row r="195" spans="1:4" ht="15">
      <c r="A195" s="2" t="s">
        <v>1416</v>
      </c>
    </row>
    <row r="196" spans="1:4">
      <c r="B196" s="1" t="s">
        <v>1417</v>
      </c>
    </row>
    <row r="197" spans="1:4">
      <c r="C197" s="1" t="s">
        <v>1418</v>
      </c>
    </row>
    <row r="198" spans="1:4">
      <c r="D198" s="1" t="s">
        <v>1419</v>
      </c>
    </row>
    <row r="199" spans="1:4">
      <c r="C199" s="1" t="s">
        <v>1420</v>
      </c>
    </row>
    <row r="200" spans="1:4">
      <c r="B200" s="1" t="s">
        <v>1421</v>
      </c>
    </row>
    <row r="201" spans="1:4">
      <c r="C201" s="1" t="s">
        <v>1422</v>
      </c>
    </row>
    <row r="202" spans="1:4">
      <c r="C202" s="1" t="s">
        <v>1423</v>
      </c>
    </row>
    <row r="204" spans="1:4" ht="15">
      <c r="A204" s="2" t="s">
        <v>1448</v>
      </c>
    </row>
    <row r="205" spans="1:4" ht="15">
      <c r="B205" s="1" t="s">
        <v>1451</v>
      </c>
    </row>
    <row r="206" spans="1:4">
      <c r="C206" s="1" t="s">
        <v>1449</v>
      </c>
    </row>
    <row r="207" spans="1:4" ht="15">
      <c r="C207" s="1" t="s">
        <v>1450</v>
      </c>
    </row>
    <row r="208" spans="1:4">
      <c r="B208" s="1" t="s">
        <v>1452</v>
      </c>
    </row>
  </sheetData>
  <mergeCells count="133">
    <mergeCell ref="E102:G102"/>
    <mergeCell ref="H102:J102"/>
    <mergeCell ref="K102:M102"/>
    <mergeCell ref="K107:M107"/>
    <mergeCell ref="B107:D107"/>
    <mergeCell ref="E107:G107"/>
    <mergeCell ref="H107:J107"/>
    <mergeCell ref="K105:M105"/>
    <mergeCell ref="B106:D106"/>
    <mergeCell ref="E106:G106"/>
    <mergeCell ref="H106:J106"/>
    <mergeCell ref="K106:M106"/>
    <mergeCell ref="B105:D105"/>
    <mergeCell ref="E105:G105"/>
    <mergeCell ref="H105:J105"/>
    <mergeCell ref="D155:W157"/>
    <mergeCell ref="B100:D100"/>
    <mergeCell ref="E100:G100"/>
    <mergeCell ref="H100:J100"/>
    <mergeCell ref="K100:M100"/>
    <mergeCell ref="B101:D101"/>
    <mergeCell ref="N92:O92"/>
    <mergeCell ref="D150:W153"/>
    <mergeCell ref="E101:G101"/>
    <mergeCell ref="H101:J101"/>
    <mergeCell ref="B92:D92"/>
    <mergeCell ref="E92:F92"/>
    <mergeCell ref="H92:I92"/>
    <mergeCell ref="K92:L92"/>
    <mergeCell ref="K103:M103"/>
    <mergeCell ref="B104:D104"/>
    <mergeCell ref="E104:G104"/>
    <mergeCell ref="H104:J104"/>
    <mergeCell ref="K104:M104"/>
    <mergeCell ref="B103:D103"/>
    <mergeCell ref="E103:G103"/>
    <mergeCell ref="H103:J103"/>
    <mergeCell ref="K101:M101"/>
    <mergeCell ref="B102:D102"/>
    <mergeCell ref="N90:O90"/>
    <mergeCell ref="B91:D91"/>
    <mergeCell ref="E91:F91"/>
    <mergeCell ref="H91:I91"/>
    <mergeCell ref="K91:L91"/>
    <mergeCell ref="N91:O91"/>
    <mergeCell ref="B90:D90"/>
    <mergeCell ref="E90:F90"/>
    <mergeCell ref="H90:I90"/>
    <mergeCell ref="K90:L90"/>
    <mergeCell ref="N88:O88"/>
    <mergeCell ref="B89:D89"/>
    <mergeCell ref="E89:G89"/>
    <mergeCell ref="H89:J89"/>
    <mergeCell ref="K89:M89"/>
    <mergeCell ref="N89:P89"/>
    <mergeCell ref="B88:D88"/>
    <mergeCell ref="E88:F88"/>
    <mergeCell ref="H88:I88"/>
    <mergeCell ref="K88:L88"/>
    <mergeCell ref="N86:O86"/>
    <mergeCell ref="B87:D87"/>
    <mergeCell ref="E87:F87"/>
    <mergeCell ref="H87:I87"/>
    <mergeCell ref="K87:L87"/>
    <mergeCell ref="N87:O87"/>
    <mergeCell ref="B86:D86"/>
    <mergeCell ref="E86:F86"/>
    <mergeCell ref="H86:I86"/>
    <mergeCell ref="K86:L86"/>
    <mergeCell ref="N84:O84"/>
    <mergeCell ref="B85:D85"/>
    <mergeCell ref="E85:F85"/>
    <mergeCell ref="H85:I85"/>
    <mergeCell ref="K85:L85"/>
    <mergeCell ref="N85:O85"/>
    <mergeCell ref="B84:D84"/>
    <mergeCell ref="E84:F84"/>
    <mergeCell ref="H84:I84"/>
    <mergeCell ref="K84:L84"/>
    <mergeCell ref="N82:O82"/>
    <mergeCell ref="B83:D83"/>
    <mergeCell ref="E83:F83"/>
    <mergeCell ref="H83:I83"/>
    <mergeCell ref="K83:L83"/>
    <mergeCell ref="N83:O83"/>
    <mergeCell ref="B82:D82"/>
    <mergeCell ref="E82:F82"/>
    <mergeCell ref="H82:I82"/>
    <mergeCell ref="K82:L82"/>
    <mergeCell ref="N80:O80"/>
    <mergeCell ref="B81:D81"/>
    <mergeCell ref="E81:F81"/>
    <mergeCell ref="H81:I81"/>
    <mergeCell ref="K81:L81"/>
    <mergeCell ref="N81:O81"/>
    <mergeCell ref="B80:D80"/>
    <mergeCell ref="E80:F80"/>
    <mergeCell ref="H80:I80"/>
    <mergeCell ref="K80:L80"/>
    <mergeCell ref="N78:O78"/>
    <mergeCell ref="B79:D79"/>
    <mergeCell ref="E79:F79"/>
    <mergeCell ref="H79:I79"/>
    <mergeCell ref="K79:L79"/>
    <mergeCell ref="N79:O79"/>
    <mergeCell ref="B78:D78"/>
    <mergeCell ref="E78:F78"/>
    <mergeCell ref="H78:I78"/>
    <mergeCell ref="K78:L78"/>
    <mergeCell ref="N76:O76"/>
    <mergeCell ref="B77:D77"/>
    <mergeCell ref="E77:F77"/>
    <mergeCell ref="H77:I77"/>
    <mergeCell ref="K77:L77"/>
    <mergeCell ref="N77:O77"/>
    <mergeCell ref="B76:D76"/>
    <mergeCell ref="E76:F76"/>
    <mergeCell ref="H76:I76"/>
    <mergeCell ref="K76:L76"/>
    <mergeCell ref="N74:P74"/>
    <mergeCell ref="B75:D75"/>
    <mergeCell ref="E75:F75"/>
    <mergeCell ref="H75:I75"/>
    <mergeCell ref="K75:L75"/>
    <mergeCell ref="N75:O75"/>
    <mergeCell ref="N73:P73"/>
    <mergeCell ref="B74:D74"/>
    <mergeCell ref="E74:G74"/>
    <mergeCell ref="H74:J74"/>
    <mergeCell ref="K74:M74"/>
    <mergeCell ref="E73:G73"/>
    <mergeCell ref="H73:J73"/>
    <mergeCell ref="K73:M73"/>
  </mergeCells>
  <hyperlinks>
    <hyperlink ref="R19" r:id="rId1" xr:uid="{14375537-5C3D-4253-9650-337AB6789785}"/>
    <hyperlink ref="R13" r:id="rId2" xr:uid="{F7B51577-5647-43A9-86EC-8BC659A3A003}"/>
    <hyperlink ref="L16" r:id="rId3" xr:uid="{3851BECE-0FC2-493D-ACFF-121B4E19EC2E}"/>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FA103"/>
  <sheetViews>
    <sheetView zoomScale="85" zoomScaleNormal="85" workbookViewId="0">
      <pane xSplit="2" ySplit="3" topLeftCell="BX36" activePane="bottomRight" state="frozen"/>
      <selection pane="topRight" activeCell="C1" sqref="C1"/>
      <selection pane="bottomLeft" activeCell="A4" sqref="A4"/>
      <selection pane="bottomRight" activeCell="CS57" sqref="CS57:CZ57"/>
    </sheetView>
  </sheetViews>
  <sheetFormatPr defaultColWidth="9.140625" defaultRowHeight="14.25"/>
  <cols>
    <col min="1" max="1" width="3.140625" style="1" customWidth="1"/>
    <col min="2" max="2" width="36.42578125" style="1" customWidth="1"/>
    <col min="3" max="8" width="9.140625" style="1"/>
    <col min="9" max="9" width="9.5703125" style="1" bestFit="1" customWidth="1"/>
    <col min="10" max="24" width="9.140625" style="1"/>
    <col min="25" max="25" width="9.140625" style="1" customWidth="1"/>
    <col min="26" max="69" width="9.140625" style="1"/>
    <col min="70" max="74" width="9.140625" style="35"/>
    <col min="75" max="78" width="9.140625" style="1"/>
    <col min="79" max="94" width="9.140625" style="1" customWidth="1"/>
    <col min="95" max="102" width="9.140625" style="35" customWidth="1"/>
    <col min="103" max="103" width="9.28515625" style="35" customWidth="1"/>
    <col min="104" max="104" width="9.140625" style="35" customWidth="1"/>
    <col min="105" max="156" width="9.140625" style="35"/>
    <col min="157" max="16384" width="9.140625" style="1"/>
  </cols>
  <sheetData>
    <row r="1" spans="2:157" ht="15">
      <c r="B1" s="1" t="s">
        <v>115</v>
      </c>
      <c r="AU1" s="33" t="s">
        <v>87</v>
      </c>
      <c r="AY1" s="33" t="s">
        <v>91</v>
      </c>
      <c r="BC1" s="33" t="s">
        <v>95</v>
      </c>
      <c r="BG1" s="33" t="s">
        <v>99</v>
      </c>
      <c r="BK1" s="33" t="s">
        <v>103</v>
      </c>
      <c r="BO1" s="33" t="s">
        <v>107</v>
      </c>
    </row>
    <row r="2" spans="2:157">
      <c r="B2" s="1" t="s">
        <v>116</v>
      </c>
    </row>
    <row r="3" spans="2:157" ht="15">
      <c r="B3" s="2" t="s">
        <v>117</v>
      </c>
      <c r="C3" s="33" t="s">
        <v>43</v>
      </c>
      <c r="D3" s="33" t="s">
        <v>44</v>
      </c>
      <c r="E3" s="33" t="s">
        <v>45</v>
      </c>
      <c r="F3" s="33" t="s">
        <v>46</v>
      </c>
      <c r="G3" s="33" t="s">
        <v>47</v>
      </c>
      <c r="H3" s="33" t="s">
        <v>48</v>
      </c>
      <c r="I3" s="33" t="s">
        <v>49</v>
      </c>
      <c r="J3" s="33" t="s">
        <v>50</v>
      </c>
      <c r="K3" s="33" t="s">
        <v>51</v>
      </c>
      <c r="L3" s="33" t="s">
        <v>52</v>
      </c>
      <c r="M3" s="33" t="s">
        <v>53</v>
      </c>
      <c r="N3" s="33" t="s">
        <v>54</v>
      </c>
      <c r="O3" s="33" t="s">
        <v>55</v>
      </c>
      <c r="P3" s="33" t="s">
        <v>56</v>
      </c>
      <c r="Q3" s="33" t="s">
        <v>57</v>
      </c>
      <c r="R3" s="33" t="s">
        <v>58</v>
      </c>
      <c r="S3" s="33" t="s">
        <v>59</v>
      </c>
      <c r="T3" s="33" t="s">
        <v>60</v>
      </c>
      <c r="U3" s="33" t="s">
        <v>61</v>
      </c>
      <c r="V3" s="33" t="s">
        <v>62</v>
      </c>
      <c r="W3" s="33" t="s">
        <v>63</v>
      </c>
      <c r="X3" s="33" t="s">
        <v>64</v>
      </c>
      <c r="Y3" s="33" t="s">
        <v>65</v>
      </c>
      <c r="Z3" s="33" t="s">
        <v>66</v>
      </c>
      <c r="AA3" s="33" t="s">
        <v>67</v>
      </c>
      <c r="AB3" s="33" t="s">
        <v>68</v>
      </c>
      <c r="AC3" s="33" t="s">
        <v>69</v>
      </c>
      <c r="AD3" s="33" t="s">
        <v>70</v>
      </c>
      <c r="AE3" s="33" t="s">
        <v>71</v>
      </c>
      <c r="AF3" s="33" t="s">
        <v>72</v>
      </c>
      <c r="AG3" s="33" t="s">
        <v>73</v>
      </c>
      <c r="AH3" s="33" t="s">
        <v>74</v>
      </c>
      <c r="AI3" s="33" t="s">
        <v>75</v>
      </c>
      <c r="AJ3" s="33" t="s">
        <v>76</v>
      </c>
      <c r="AK3" s="33" t="s">
        <v>77</v>
      </c>
      <c r="AL3" s="33" t="s">
        <v>78</v>
      </c>
      <c r="AM3" s="33" t="s">
        <v>79</v>
      </c>
      <c r="AN3" s="33" t="s">
        <v>80</v>
      </c>
      <c r="AO3" s="33" t="s">
        <v>81</v>
      </c>
      <c r="AP3" s="33" t="s">
        <v>82</v>
      </c>
      <c r="AQ3" s="33" t="s">
        <v>83</v>
      </c>
      <c r="AR3" s="33" t="s">
        <v>84</v>
      </c>
      <c r="AS3" s="33" t="s">
        <v>85</v>
      </c>
      <c r="AT3" s="33" t="s">
        <v>86</v>
      </c>
      <c r="AU3" s="33" t="s">
        <v>87</v>
      </c>
      <c r="AV3" s="33" t="s">
        <v>88</v>
      </c>
      <c r="AW3" s="33" t="s">
        <v>89</v>
      </c>
      <c r="AX3" s="33" t="s">
        <v>90</v>
      </c>
      <c r="AY3" s="33" t="s">
        <v>91</v>
      </c>
      <c r="AZ3" s="33" t="s">
        <v>92</v>
      </c>
      <c r="BA3" s="33" t="s">
        <v>93</v>
      </c>
      <c r="BB3" s="33" t="s">
        <v>94</v>
      </c>
      <c r="BC3" s="33" t="s">
        <v>95</v>
      </c>
      <c r="BD3" s="33" t="s">
        <v>96</v>
      </c>
      <c r="BE3" s="33" t="s">
        <v>97</v>
      </c>
      <c r="BF3" s="33" t="s">
        <v>98</v>
      </c>
      <c r="BG3" s="33" t="s">
        <v>99</v>
      </c>
      <c r="BH3" s="33" t="s">
        <v>100</v>
      </c>
      <c r="BI3" s="33" t="s">
        <v>101</v>
      </c>
      <c r="BJ3" s="33" t="s">
        <v>102</v>
      </c>
      <c r="BK3" s="33" t="s">
        <v>103</v>
      </c>
      <c r="BL3" s="33" t="s">
        <v>104</v>
      </c>
      <c r="BM3" s="33" t="s">
        <v>105</v>
      </c>
      <c r="BN3" s="33" t="s">
        <v>106</v>
      </c>
      <c r="BO3" s="33" t="s">
        <v>107</v>
      </c>
      <c r="BP3" s="2" t="s">
        <v>108</v>
      </c>
      <c r="BQ3" s="2" t="s">
        <v>109</v>
      </c>
      <c r="BR3" s="34" t="s">
        <v>110</v>
      </c>
      <c r="BS3" s="34" t="s">
        <v>111</v>
      </c>
      <c r="BT3" s="34" t="s">
        <v>112</v>
      </c>
      <c r="BU3" s="34" t="s">
        <v>113</v>
      </c>
      <c r="BV3" s="34" t="s">
        <v>114</v>
      </c>
      <c r="CA3" s="2">
        <f>2009</f>
        <v>2009</v>
      </c>
      <c r="CB3" s="2">
        <f t="shared" ref="CB3:EM3" si="0">CA3+1</f>
        <v>2010</v>
      </c>
      <c r="CC3" s="2">
        <f t="shared" si="0"/>
        <v>2011</v>
      </c>
      <c r="CD3" s="2">
        <f t="shared" si="0"/>
        <v>2012</v>
      </c>
      <c r="CE3" s="2">
        <f t="shared" si="0"/>
        <v>2013</v>
      </c>
      <c r="CF3" s="2">
        <f t="shared" si="0"/>
        <v>2014</v>
      </c>
      <c r="CG3" s="2">
        <f t="shared" si="0"/>
        <v>2015</v>
      </c>
      <c r="CH3" s="2">
        <f t="shared" si="0"/>
        <v>2016</v>
      </c>
      <c r="CI3" s="2">
        <f t="shared" si="0"/>
        <v>2017</v>
      </c>
      <c r="CJ3" s="2">
        <f t="shared" si="0"/>
        <v>2018</v>
      </c>
      <c r="CK3" s="2">
        <f t="shared" si="0"/>
        <v>2019</v>
      </c>
      <c r="CL3" s="2">
        <f t="shared" si="0"/>
        <v>2020</v>
      </c>
      <c r="CM3" s="2">
        <f t="shared" si="0"/>
        <v>2021</v>
      </c>
      <c r="CN3" s="2">
        <f t="shared" si="0"/>
        <v>2022</v>
      </c>
      <c r="CO3" s="2">
        <f t="shared" si="0"/>
        <v>2023</v>
      </c>
      <c r="CP3" s="2">
        <f t="shared" si="0"/>
        <v>2024</v>
      </c>
      <c r="CQ3" s="34">
        <f t="shared" si="0"/>
        <v>2025</v>
      </c>
      <c r="CR3" s="34">
        <f t="shared" si="0"/>
        <v>2026</v>
      </c>
      <c r="CS3" s="34">
        <f t="shared" si="0"/>
        <v>2027</v>
      </c>
      <c r="CT3" s="34">
        <f t="shared" si="0"/>
        <v>2028</v>
      </c>
      <c r="CU3" s="34">
        <f t="shared" si="0"/>
        <v>2029</v>
      </c>
      <c r="CV3" s="34">
        <f t="shared" si="0"/>
        <v>2030</v>
      </c>
      <c r="CW3" s="34">
        <f t="shared" si="0"/>
        <v>2031</v>
      </c>
      <c r="CX3" s="34">
        <f t="shared" si="0"/>
        <v>2032</v>
      </c>
      <c r="CY3" s="34">
        <f t="shared" si="0"/>
        <v>2033</v>
      </c>
      <c r="CZ3" s="34">
        <f t="shared" si="0"/>
        <v>2034</v>
      </c>
      <c r="DA3" s="34">
        <f t="shared" si="0"/>
        <v>2035</v>
      </c>
      <c r="DB3" s="34">
        <f t="shared" si="0"/>
        <v>2036</v>
      </c>
      <c r="DC3" s="34">
        <f t="shared" si="0"/>
        <v>2037</v>
      </c>
      <c r="DD3" s="34">
        <f t="shared" si="0"/>
        <v>2038</v>
      </c>
      <c r="DE3" s="34">
        <f t="shared" si="0"/>
        <v>2039</v>
      </c>
      <c r="DF3" s="34">
        <f t="shared" si="0"/>
        <v>2040</v>
      </c>
      <c r="DG3" s="34">
        <f t="shared" si="0"/>
        <v>2041</v>
      </c>
      <c r="DH3" s="34">
        <f t="shared" si="0"/>
        <v>2042</v>
      </c>
      <c r="DI3" s="34">
        <f t="shared" si="0"/>
        <v>2043</v>
      </c>
      <c r="DJ3" s="34">
        <f t="shared" si="0"/>
        <v>2044</v>
      </c>
      <c r="DK3" s="34">
        <f t="shared" si="0"/>
        <v>2045</v>
      </c>
      <c r="DL3" s="34">
        <f t="shared" si="0"/>
        <v>2046</v>
      </c>
      <c r="DM3" s="34">
        <f t="shared" si="0"/>
        <v>2047</v>
      </c>
      <c r="DN3" s="34">
        <f t="shared" si="0"/>
        <v>2048</v>
      </c>
      <c r="DO3" s="34">
        <f t="shared" si="0"/>
        <v>2049</v>
      </c>
      <c r="DP3" s="34">
        <f t="shared" si="0"/>
        <v>2050</v>
      </c>
      <c r="DQ3" s="34">
        <f t="shared" si="0"/>
        <v>2051</v>
      </c>
      <c r="DR3" s="34">
        <f t="shared" si="0"/>
        <v>2052</v>
      </c>
      <c r="DS3" s="34">
        <f t="shared" si="0"/>
        <v>2053</v>
      </c>
      <c r="DT3" s="34">
        <f t="shared" si="0"/>
        <v>2054</v>
      </c>
      <c r="DU3" s="34">
        <f t="shared" si="0"/>
        <v>2055</v>
      </c>
      <c r="DV3" s="34">
        <f t="shared" si="0"/>
        <v>2056</v>
      </c>
      <c r="DW3" s="34">
        <f t="shared" si="0"/>
        <v>2057</v>
      </c>
      <c r="DX3" s="34">
        <f t="shared" si="0"/>
        <v>2058</v>
      </c>
      <c r="DY3" s="34">
        <f t="shared" si="0"/>
        <v>2059</v>
      </c>
      <c r="DZ3" s="34">
        <f t="shared" si="0"/>
        <v>2060</v>
      </c>
      <c r="EA3" s="34">
        <f t="shared" si="0"/>
        <v>2061</v>
      </c>
      <c r="EB3" s="34">
        <f t="shared" si="0"/>
        <v>2062</v>
      </c>
      <c r="EC3" s="34">
        <f t="shared" si="0"/>
        <v>2063</v>
      </c>
      <c r="ED3" s="34">
        <f t="shared" si="0"/>
        <v>2064</v>
      </c>
      <c r="EE3" s="34">
        <f t="shared" si="0"/>
        <v>2065</v>
      </c>
      <c r="EF3" s="34">
        <f t="shared" si="0"/>
        <v>2066</v>
      </c>
      <c r="EG3" s="34">
        <f t="shared" si="0"/>
        <v>2067</v>
      </c>
      <c r="EH3" s="34">
        <f t="shared" si="0"/>
        <v>2068</v>
      </c>
      <c r="EI3" s="34">
        <f t="shared" si="0"/>
        <v>2069</v>
      </c>
      <c r="EJ3" s="34">
        <f t="shared" si="0"/>
        <v>2070</v>
      </c>
      <c r="EK3" s="34">
        <f t="shared" si="0"/>
        <v>2071</v>
      </c>
      <c r="EL3" s="34">
        <f t="shared" si="0"/>
        <v>2072</v>
      </c>
      <c r="EM3" s="34">
        <f t="shared" si="0"/>
        <v>2073</v>
      </c>
      <c r="EN3" s="34">
        <f t="shared" ref="EN3:EX3" si="1">EM3+1</f>
        <v>2074</v>
      </c>
      <c r="EO3" s="34">
        <f t="shared" si="1"/>
        <v>2075</v>
      </c>
      <c r="EP3" s="34">
        <f t="shared" si="1"/>
        <v>2076</v>
      </c>
      <c r="EQ3" s="34">
        <f t="shared" si="1"/>
        <v>2077</v>
      </c>
      <c r="ER3" s="34">
        <f t="shared" si="1"/>
        <v>2078</v>
      </c>
      <c r="ES3" s="34">
        <f t="shared" si="1"/>
        <v>2079</v>
      </c>
      <c r="ET3" s="34">
        <f t="shared" si="1"/>
        <v>2080</v>
      </c>
      <c r="EU3" s="34">
        <f t="shared" si="1"/>
        <v>2081</v>
      </c>
      <c r="EV3" s="34">
        <f t="shared" si="1"/>
        <v>2082</v>
      </c>
      <c r="EW3" s="34">
        <f t="shared" si="1"/>
        <v>2083</v>
      </c>
      <c r="EX3" s="34">
        <f t="shared" si="1"/>
        <v>2084</v>
      </c>
      <c r="EY3" s="34"/>
      <c r="EZ3" s="34"/>
      <c r="FA3" s="2"/>
    </row>
    <row r="4" spans="2:157">
      <c r="B4" s="36" t="s">
        <v>1191</v>
      </c>
      <c r="AU4" s="74">
        <v>193.172</v>
      </c>
      <c r="AV4" s="74">
        <v>144.88999999999999</v>
      </c>
      <c r="AW4" s="74">
        <v>164.511</v>
      </c>
      <c r="AX4" s="74">
        <f>692.919-SUM(AU4:AW4)</f>
        <v>190.346</v>
      </c>
      <c r="AY4" s="74">
        <v>290.03899999999999</v>
      </c>
      <c r="AZ4" s="74">
        <v>307.32</v>
      </c>
      <c r="BA4" s="74">
        <v>309.61099999999999</v>
      </c>
      <c r="BB4" s="74">
        <f>1174.08-SUM(AY4:BA4)</f>
        <v>267.11</v>
      </c>
      <c r="BC4" s="74">
        <v>344.25</v>
      </c>
      <c r="BD4" s="74">
        <v>392.51100000000002</v>
      </c>
      <c r="BE4" s="74">
        <v>353.30399999999997</v>
      </c>
      <c r="BF4" s="74">
        <f>1377.3-SUM(BC4:BE4)</f>
        <v>287.2349999999999</v>
      </c>
      <c r="BG4" s="74">
        <v>410.56</v>
      </c>
      <c r="BH4" s="74">
        <v>407.34</v>
      </c>
      <c r="BI4" s="74">
        <v>369.17700000000002</v>
      </c>
      <c r="BJ4" s="74">
        <f>1777.88-SUM(BG4:BI4)</f>
        <v>590.80300000000011</v>
      </c>
      <c r="BK4" s="74">
        <v>382.91</v>
      </c>
      <c r="BL4" s="74">
        <v>435.28</v>
      </c>
      <c r="BM4" s="74">
        <v>395.56</v>
      </c>
      <c r="BN4" s="74">
        <f>1607.54-SUM(BK4:BM4)</f>
        <v>393.78999999999996</v>
      </c>
      <c r="BO4" s="74">
        <v>368.51</v>
      </c>
      <c r="BP4" s="74">
        <v>464.67</v>
      </c>
      <c r="BQ4" s="74">
        <v>364.35599999999999</v>
      </c>
      <c r="CA4" s="81"/>
      <c r="CB4" s="81"/>
      <c r="CC4" s="81"/>
      <c r="CD4" s="81"/>
      <c r="CE4" s="81"/>
      <c r="CF4" s="81"/>
      <c r="CG4" s="81"/>
      <c r="CH4" s="81"/>
      <c r="CI4" s="81"/>
      <c r="CJ4" s="81"/>
      <c r="CK4" s="81"/>
      <c r="CL4" s="81">
        <f t="shared" ref="CL4:CL10" si="2">SUM(AU4:AX4)</f>
        <v>692.91899999999998</v>
      </c>
      <c r="CM4" s="81">
        <f t="shared" ref="CM4:CM10" si="3">SUM(AY4:BB4)</f>
        <v>1174.08</v>
      </c>
      <c r="CN4" s="81">
        <f t="shared" ref="CN4:CN10" si="4">SUM(BC4:BF4)</f>
        <v>1377.3</v>
      </c>
      <c r="CO4" s="81">
        <f t="shared" ref="CO4:CO10" si="5">SUM(BG4:BJ4)</f>
        <v>1777.88</v>
      </c>
      <c r="CP4" s="81">
        <f t="shared" ref="CP4:CP10" si="6">SUM(BK4:BN4)</f>
        <v>1607.54</v>
      </c>
      <c r="CQ4" s="79">
        <f t="shared" ref="CQ4:CZ4" si="7">CP4*(1+CQ12)</f>
        <v>1599.5022999999999</v>
      </c>
      <c r="CR4" s="79">
        <f t="shared" si="7"/>
        <v>1623.4948344999998</v>
      </c>
      <c r="CS4" s="79">
        <f t="shared" si="7"/>
        <v>1672.1996795349999</v>
      </c>
      <c r="CT4" s="79">
        <f t="shared" si="7"/>
        <v>1722.3656699210499</v>
      </c>
      <c r="CU4" s="79">
        <f t="shared" si="7"/>
        <v>1765.424811669076</v>
      </c>
      <c r="CV4" s="79">
        <f t="shared" si="7"/>
        <v>1809.5604319608028</v>
      </c>
      <c r="CW4" s="79">
        <f t="shared" si="7"/>
        <v>1845.7516406000188</v>
      </c>
      <c r="CX4" s="79">
        <f t="shared" si="7"/>
        <v>1882.6666734120192</v>
      </c>
      <c r="CY4" s="79">
        <f t="shared" si="7"/>
        <v>1910.9066735131994</v>
      </c>
      <c r="CZ4" s="79">
        <f t="shared" si="7"/>
        <v>1934.7930069321144</v>
      </c>
    </row>
    <row r="5" spans="2:157">
      <c r="B5" s="36" t="s">
        <v>1190</v>
      </c>
      <c r="AU5" s="74">
        <v>87.988</v>
      </c>
      <c r="AV5" s="74">
        <v>186.65700000000001</v>
      </c>
      <c r="AW5" s="74">
        <v>197.22499999999999</v>
      </c>
      <c r="AX5" s="74">
        <f>693.032-SUM(AU5:AW5)</f>
        <v>221.16200000000003</v>
      </c>
      <c r="AY5" s="74">
        <v>170.059</v>
      </c>
      <c r="AZ5" s="74">
        <v>333.44600000000003</v>
      </c>
      <c r="BA5" s="74">
        <v>316.30799999999999</v>
      </c>
      <c r="BB5" s="74">
        <f>1139.335-SUM(AY5:BA5)</f>
        <v>319.52200000000005</v>
      </c>
      <c r="BC5" s="74">
        <v>200.96</v>
      </c>
      <c r="BD5" s="74">
        <v>339.70499999999998</v>
      </c>
      <c r="BE5" s="74">
        <v>362.40300000000002</v>
      </c>
      <c r="BF5" s="74">
        <f>1281.82-SUM(BC5:BE5)</f>
        <v>378.75199999999995</v>
      </c>
      <c r="BG5" s="74">
        <v>238.21</v>
      </c>
      <c r="BH5" s="74">
        <v>425.608</v>
      </c>
      <c r="BI5" s="74">
        <v>429.59</v>
      </c>
      <c r="BJ5" s="74">
        <f>1235.069-SUM(BG5:BI5)</f>
        <v>141.66100000000006</v>
      </c>
      <c r="BK5" s="74">
        <v>360.9</v>
      </c>
      <c r="BL5" s="74">
        <v>478.70800000000003</v>
      </c>
      <c r="BM5" s="74">
        <v>462.53</v>
      </c>
      <c r="BN5" s="74">
        <f>1670.42-SUM(BK5:BM5)</f>
        <v>368.28200000000015</v>
      </c>
      <c r="BO5" s="74">
        <v>393.09</v>
      </c>
      <c r="BP5" s="74">
        <v>494.91</v>
      </c>
      <c r="BQ5" s="74">
        <v>471.87</v>
      </c>
      <c r="CA5" s="81"/>
      <c r="CB5" s="81"/>
      <c r="CC5" s="81"/>
      <c r="CD5" s="81"/>
      <c r="CE5" s="81"/>
      <c r="CF5" s="81"/>
      <c r="CG5" s="81"/>
      <c r="CH5" s="81"/>
      <c r="CI5" s="81"/>
      <c r="CJ5" s="81"/>
      <c r="CK5" s="81"/>
      <c r="CL5" s="81">
        <f t="shared" si="2"/>
        <v>693.03200000000004</v>
      </c>
      <c r="CM5" s="81">
        <f t="shared" si="3"/>
        <v>1139.335</v>
      </c>
      <c r="CN5" s="81">
        <f t="shared" si="4"/>
        <v>1281.82</v>
      </c>
      <c r="CO5" s="81">
        <f t="shared" si="5"/>
        <v>1235.069</v>
      </c>
      <c r="CP5" s="81">
        <f t="shared" si="6"/>
        <v>1670.42</v>
      </c>
      <c r="CQ5" s="79">
        <f t="shared" ref="CQ5:CZ5" si="8">CP5*(1+CQ13)</f>
        <v>1750.6001600000002</v>
      </c>
      <c r="CR5" s="79">
        <f t="shared" si="8"/>
        <v>1829.3771672</v>
      </c>
      <c r="CS5" s="79">
        <f t="shared" si="8"/>
        <v>1920.84602556</v>
      </c>
      <c r="CT5" s="79">
        <f t="shared" si="8"/>
        <v>2016.8883268380002</v>
      </c>
      <c r="CU5" s="79">
        <f t="shared" si="8"/>
        <v>2117.7327431799004</v>
      </c>
      <c r="CV5" s="79">
        <f t="shared" si="8"/>
        <v>2223.6193803388956</v>
      </c>
      <c r="CW5" s="79">
        <f t="shared" si="8"/>
        <v>2334.8003493558404</v>
      </c>
      <c r="CX5" s="79">
        <f t="shared" si="8"/>
        <v>2451.5403668236327</v>
      </c>
      <c r="CY5" s="79">
        <f t="shared" si="8"/>
        <v>2574.1173851648146</v>
      </c>
      <c r="CZ5" s="79">
        <f t="shared" si="8"/>
        <v>2702.8232544230555</v>
      </c>
    </row>
    <row r="6" spans="2:157" s="2" customFormat="1" ht="15">
      <c r="B6" s="33" t="s">
        <v>1192</v>
      </c>
      <c r="AU6" s="75">
        <f t="shared" ref="AU6:BN6" si="9">SUM(AU4:AU5)</f>
        <v>281.15999999999997</v>
      </c>
      <c r="AV6" s="75">
        <f t="shared" si="9"/>
        <v>331.54700000000003</v>
      </c>
      <c r="AW6" s="75">
        <f t="shared" si="9"/>
        <v>361.73599999999999</v>
      </c>
      <c r="AX6" s="75">
        <f t="shared" si="9"/>
        <v>411.50800000000004</v>
      </c>
      <c r="AY6" s="75">
        <f t="shared" si="9"/>
        <v>460.09799999999996</v>
      </c>
      <c r="AZ6" s="75">
        <f t="shared" si="9"/>
        <v>640.76600000000008</v>
      </c>
      <c r="BA6" s="75">
        <f t="shared" si="9"/>
        <v>625.91899999999998</v>
      </c>
      <c r="BB6" s="75">
        <f t="shared" si="9"/>
        <v>586.63200000000006</v>
      </c>
      <c r="BC6" s="75">
        <f t="shared" si="9"/>
        <v>545.21</v>
      </c>
      <c r="BD6" s="75">
        <f t="shared" si="9"/>
        <v>732.21600000000001</v>
      </c>
      <c r="BE6" s="75">
        <f t="shared" si="9"/>
        <v>715.70699999999999</v>
      </c>
      <c r="BF6" s="75">
        <f t="shared" si="9"/>
        <v>665.98699999999985</v>
      </c>
      <c r="BG6" s="75">
        <f t="shared" si="9"/>
        <v>648.77</v>
      </c>
      <c r="BH6" s="75">
        <f t="shared" si="9"/>
        <v>832.94799999999998</v>
      </c>
      <c r="BI6" s="75">
        <f t="shared" si="9"/>
        <v>798.76700000000005</v>
      </c>
      <c r="BJ6" s="75">
        <f t="shared" si="9"/>
        <v>732.46400000000017</v>
      </c>
      <c r="BK6" s="75">
        <f t="shared" si="9"/>
        <v>743.81</v>
      </c>
      <c r="BL6" s="75">
        <f t="shared" si="9"/>
        <v>913.98800000000006</v>
      </c>
      <c r="BM6" s="75">
        <f t="shared" si="9"/>
        <v>858.08999999999992</v>
      </c>
      <c r="BN6" s="75">
        <f t="shared" si="9"/>
        <v>762.07200000000012</v>
      </c>
      <c r="BO6" s="75">
        <f>SUM(BO4:BO5)</f>
        <v>761.59999999999991</v>
      </c>
      <c r="BP6" s="75">
        <f>SUM(BP4:BP5)</f>
        <v>959.58</v>
      </c>
      <c r="BQ6" s="75">
        <f>SUM(BQ4:BQ5)</f>
        <v>836.226</v>
      </c>
      <c r="BR6" s="34"/>
      <c r="BS6" s="34"/>
      <c r="BT6" s="34"/>
      <c r="BU6" s="34"/>
      <c r="BV6" s="34"/>
      <c r="CA6" s="82"/>
      <c r="CB6" s="82"/>
      <c r="CC6" s="82"/>
      <c r="CD6" s="82"/>
      <c r="CE6" s="82"/>
      <c r="CF6" s="82"/>
      <c r="CG6" s="82"/>
      <c r="CH6" s="82"/>
      <c r="CI6" s="82"/>
      <c r="CJ6" s="82"/>
      <c r="CK6" s="82"/>
      <c r="CL6" s="82">
        <f t="shared" si="2"/>
        <v>1385.951</v>
      </c>
      <c r="CM6" s="82">
        <f t="shared" si="3"/>
        <v>2313.415</v>
      </c>
      <c r="CN6" s="82">
        <f t="shared" si="4"/>
        <v>2659.12</v>
      </c>
      <c r="CO6" s="82">
        <f t="shared" si="5"/>
        <v>3012.9489999999996</v>
      </c>
      <c r="CP6" s="82">
        <f t="shared" si="6"/>
        <v>3277.96</v>
      </c>
      <c r="CQ6" s="80">
        <f>SUM(CQ4:CQ5)</f>
        <v>3350.1024600000001</v>
      </c>
      <c r="CR6" s="80">
        <f t="shared" ref="CR6:CZ6" si="10">SUM(CR4:CR5)</f>
        <v>3452.8720016999996</v>
      </c>
      <c r="CS6" s="80">
        <f t="shared" si="10"/>
        <v>3593.0457050949999</v>
      </c>
      <c r="CT6" s="80">
        <f t="shared" si="10"/>
        <v>3739.2539967590501</v>
      </c>
      <c r="CU6" s="80">
        <f t="shared" si="10"/>
        <v>3883.1575548489764</v>
      </c>
      <c r="CV6" s="80">
        <f t="shared" si="10"/>
        <v>4033.1798122996984</v>
      </c>
      <c r="CW6" s="80">
        <f t="shared" si="10"/>
        <v>4180.5519899558594</v>
      </c>
      <c r="CX6" s="80">
        <f t="shared" si="10"/>
        <v>4334.2070402356521</v>
      </c>
      <c r="CY6" s="80">
        <f t="shared" si="10"/>
        <v>4485.0240586780137</v>
      </c>
      <c r="CZ6" s="80">
        <f t="shared" si="10"/>
        <v>4637.6162613551696</v>
      </c>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c r="EJ6" s="34"/>
      <c r="EK6" s="34"/>
      <c r="EL6" s="34"/>
      <c r="EM6" s="34"/>
      <c r="EN6" s="34"/>
      <c r="EO6" s="34"/>
      <c r="EP6" s="34"/>
      <c r="EQ6" s="34"/>
      <c r="ER6" s="34"/>
      <c r="ES6" s="34"/>
      <c r="ET6" s="34"/>
      <c r="EU6" s="34"/>
      <c r="EV6" s="34"/>
      <c r="EW6" s="34"/>
      <c r="EX6" s="34"/>
      <c r="EY6" s="34"/>
      <c r="EZ6" s="34"/>
    </row>
    <row r="7" spans="2:157">
      <c r="B7" s="36" t="s">
        <v>1193</v>
      </c>
      <c r="AU7" s="74">
        <f t="shared" ref="AU7:AW7" si="11">0-SUM(AR7:AT7)</f>
        <v>0</v>
      </c>
      <c r="AV7" s="74">
        <f t="shared" si="11"/>
        <v>0</v>
      </c>
      <c r="AW7" s="74">
        <f t="shared" si="11"/>
        <v>0</v>
      </c>
      <c r="AX7" s="74">
        <f>0-SUM(AU7:AW7)</f>
        <v>0</v>
      </c>
      <c r="AY7" s="74">
        <v>0</v>
      </c>
      <c r="AZ7" s="74">
        <v>0</v>
      </c>
      <c r="BA7" s="74">
        <v>0</v>
      </c>
      <c r="BB7" s="74">
        <f>0-SUM(AY7:BA7)</f>
        <v>0</v>
      </c>
      <c r="BC7" s="74">
        <v>86.918999999999997</v>
      </c>
      <c r="BD7" s="74">
        <v>162.499</v>
      </c>
      <c r="BE7" s="74">
        <v>181.768</v>
      </c>
      <c r="BF7" s="74">
        <f>574.14-SUM(BC7:BE7)</f>
        <v>142.95399999999995</v>
      </c>
      <c r="BG7" s="74">
        <v>167.86</v>
      </c>
      <c r="BH7" s="74">
        <v>148.82499999999999</v>
      </c>
      <c r="BI7" s="74">
        <v>146.5</v>
      </c>
      <c r="BJ7" s="74">
        <f>566.937-SUM(BG7:BI7)</f>
        <v>103.75200000000001</v>
      </c>
      <c r="BK7" s="74">
        <v>134.75</v>
      </c>
      <c r="BL7" s="74">
        <v>113.82899999999999</v>
      </c>
      <c r="BM7" s="74">
        <v>113.018</v>
      </c>
      <c r="BN7" s="74">
        <f>456.47-SUM(BK7:BM7)</f>
        <v>94.873000000000047</v>
      </c>
      <c r="BO7" s="74">
        <v>110.69</v>
      </c>
      <c r="BP7" s="74">
        <v>99.76</v>
      </c>
      <c r="BQ7" s="74">
        <v>69.400000000000006</v>
      </c>
      <c r="CA7" s="81"/>
      <c r="CB7" s="81"/>
      <c r="CC7" s="81"/>
      <c r="CD7" s="81"/>
      <c r="CE7" s="81"/>
      <c r="CF7" s="81"/>
      <c r="CG7" s="81"/>
      <c r="CH7" s="81"/>
      <c r="CI7" s="81"/>
      <c r="CJ7" s="81"/>
      <c r="CK7" s="81"/>
      <c r="CL7" s="81">
        <f t="shared" si="2"/>
        <v>0</v>
      </c>
      <c r="CM7" s="81">
        <f t="shared" si="3"/>
        <v>0</v>
      </c>
      <c r="CN7" s="81">
        <f t="shared" si="4"/>
        <v>574.14</v>
      </c>
      <c r="CO7" s="81">
        <f t="shared" si="5"/>
        <v>566.93700000000001</v>
      </c>
      <c r="CP7" s="81">
        <f t="shared" si="6"/>
        <v>456.47</v>
      </c>
      <c r="CQ7" s="79">
        <f t="shared" ref="CQ7:CZ7" si="12">CP7*(1+CQ15)</f>
        <v>374.30540000000008</v>
      </c>
      <c r="CR7" s="79">
        <f t="shared" si="12"/>
        <v>329.38875200000007</v>
      </c>
      <c r="CS7" s="79">
        <f t="shared" si="12"/>
        <v>345.85818960000006</v>
      </c>
      <c r="CT7" s="79">
        <f t="shared" si="12"/>
        <v>371.79755382000008</v>
      </c>
      <c r="CU7" s="79">
        <f t="shared" si="12"/>
        <v>394.1054070492001</v>
      </c>
      <c r="CV7" s="79">
        <f t="shared" si="12"/>
        <v>411.84015036641409</v>
      </c>
      <c r="CW7" s="79">
        <f t="shared" si="12"/>
        <v>429.34335675698668</v>
      </c>
      <c r="CX7" s="79">
        <f t="shared" si="12"/>
        <v>446.51709102726619</v>
      </c>
      <c r="CY7" s="79">
        <f t="shared" si="12"/>
        <v>468.8429455786295</v>
      </c>
      <c r="CZ7" s="79">
        <f t="shared" si="12"/>
        <v>492.28509285756098</v>
      </c>
    </row>
    <row r="8" spans="2:157">
      <c r="B8" s="36" t="s">
        <v>1194</v>
      </c>
      <c r="AU8" s="74">
        <f t="shared" ref="AU8:AW8" si="13">0-SUM(AR8:AT8)</f>
        <v>0</v>
      </c>
      <c r="AV8" s="74">
        <f t="shared" si="13"/>
        <v>0</v>
      </c>
      <c r="AW8" s="74">
        <f t="shared" si="13"/>
        <v>0</v>
      </c>
      <c r="AX8" s="74">
        <f>0-SUM(AU8:AW8)</f>
        <v>0</v>
      </c>
      <c r="AY8" s="74">
        <v>0</v>
      </c>
      <c r="AZ8" s="74">
        <v>0</v>
      </c>
      <c r="BA8" s="74">
        <v>0</v>
      </c>
      <c r="BB8" s="74">
        <f>0-SUM(AY8:BA8)</f>
        <v>0</v>
      </c>
      <c r="BC8" s="74">
        <v>28.004000000000001</v>
      </c>
      <c r="BD8" s="74">
        <v>69.866</v>
      </c>
      <c r="BE8" s="74">
        <v>87.619</v>
      </c>
      <c r="BF8" s="74">
        <f>321.72-SUM(BC8:BE8)</f>
        <v>136.23100000000002</v>
      </c>
      <c r="BG8" s="74">
        <v>67.52</v>
      </c>
      <c r="BH8" s="74">
        <v>90.59</v>
      </c>
      <c r="BI8" s="74">
        <v>100.447</v>
      </c>
      <c r="BJ8" s="74">
        <f>382.456-SUM(BG8:BI8)</f>
        <v>123.899</v>
      </c>
      <c r="BK8" s="74">
        <v>60.06</v>
      </c>
      <c r="BL8" s="74">
        <v>83.683999999999997</v>
      </c>
      <c r="BM8" s="74">
        <v>91.08</v>
      </c>
      <c r="BN8" s="74">
        <f>367.669-SUM(BK8:BM8)</f>
        <v>132.84499999999997</v>
      </c>
      <c r="BO8" s="74">
        <v>65.03</v>
      </c>
      <c r="BP8" s="74">
        <v>90.022999999999996</v>
      </c>
      <c r="BQ8" s="74">
        <v>90.67</v>
      </c>
      <c r="CA8" s="81"/>
      <c r="CB8" s="81"/>
      <c r="CC8" s="81"/>
      <c r="CD8" s="81"/>
      <c r="CE8" s="81"/>
      <c r="CF8" s="81"/>
      <c r="CG8" s="81"/>
      <c r="CH8" s="81"/>
      <c r="CI8" s="81"/>
      <c r="CJ8" s="81"/>
      <c r="CK8" s="81"/>
      <c r="CL8" s="81">
        <f t="shared" si="2"/>
        <v>0</v>
      </c>
      <c r="CM8" s="81">
        <f t="shared" si="3"/>
        <v>0</v>
      </c>
      <c r="CN8" s="81">
        <f t="shared" si="4"/>
        <v>321.72000000000003</v>
      </c>
      <c r="CO8" s="81">
        <f t="shared" si="5"/>
        <v>382.45600000000002</v>
      </c>
      <c r="CP8" s="81">
        <f t="shared" si="6"/>
        <v>367.66899999999998</v>
      </c>
      <c r="CQ8" s="79">
        <f t="shared" ref="CQ8:CZ8" si="14">CP8*(1+CQ16)</f>
        <v>384.21410499999996</v>
      </c>
      <c r="CR8" s="79">
        <f t="shared" si="14"/>
        <v>376.52982289999994</v>
      </c>
      <c r="CS8" s="79">
        <f t="shared" si="14"/>
        <v>410.41750696099996</v>
      </c>
      <c r="CT8" s="79">
        <f t="shared" si="14"/>
        <v>443.25090751787997</v>
      </c>
      <c r="CU8" s="79">
        <f t="shared" si="14"/>
        <v>476.49472558172096</v>
      </c>
      <c r="CV8" s="79">
        <f t="shared" si="14"/>
        <v>509.84935637244143</v>
      </c>
      <c r="CW8" s="79">
        <f t="shared" si="14"/>
        <v>542.98956453665005</v>
      </c>
      <c r="CX8" s="79">
        <f t="shared" si="14"/>
        <v>575.56893840884914</v>
      </c>
      <c r="CY8" s="79">
        <f t="shared" si="14"/>
        <v>607.22523002133585</v>
      </c>
      <c r="CZ8" s="79">
        <f t="shared" si="14"/>
        <v>637.58649152240264</v>
      </c>
    </row>
    <row r="9" spans="2:157" s="2" customFormat="1" ht="15">
      <c r="B9" s="33" t="s">
        <v>1195</v>
      </c>
      <c r="AU9" s="75">
        <f t="shared" ref="AU9:BN9" si="15">SUM(AU7:AU8)</f>
        <v>0</v>
      </c>
      <c r="AV9" s="75">
        <f t="shared" si="15"/>
        <v>0</v>
      </c>
      <c r="AW9" s="75">
        <f t="shared" si="15"/>
        <v>0</v>
      </c>
      <c r="AX9" s="75">
        <f t="shared" si="15"/>
        <v>0</v>
      </c>
      <c r="AY9" s="75">
        <f t="shared" si="15"/>
        <v>0</v>
      </c>
      <c r="AZ9" s="75">
        <f t="shared" si="15"/>
        <v>0</v>
      </c>
      <c r="BA9" s="75">
        <f t="shared" si="15"/>
        <v>0</v>
      </c>
      <c r="BB9" s="75">
        <f t="shared" si="15"/>
        <v>0</v>
      </c>
      <c r="BC9" s="75">
        <f t="shared" si="15"/>
        <v>114.923</v>
      </c>
      <c r="BD9" s="75">
        <f t="shared" si="15"/>
        <v>232.36500000000001</v>
      </c>
      <c r="BE9" s="75">
        <f t="shared" si="15"/>
        <v>269.387</v>
      </c>
      <c r="BF9" s="75">
        <f t="shared" si="15"/>
        <v>279.18499999999995</v>
      </c>
      <c r="BG9" s="75">
        <f t="shared" si="15"/>
        <v>235.38</v>
      </c>
      <c r="BH9" s="75">
        <f t="shared" si="15"/>
        <v>239.41499999999999</v>
      </c>
      <c r="BI9" s="75">
        <f t="shared" si="15"/>
        <v>246.947</v>
      </c>
      <c r="BJ9" s="75">
        <f t="shared" si="15"/>
        <v>227.65100000000001</v>
      </c>
      <c r="BK9" s="75">
        <f t="shared" si="15"/>
        <v>194.81</v>
      </c>
      <c r="BL9" s="75">
        <f t="shared" si="15"/>
        <v>197.51299999999998</v>
      </c>
      <c r="BM9" s="75">
        <f t="shared" si="15"/>
        <v>204.09800000000001</v>
      </c>
      <c r="BN9" s="75">
        <f t="shared" si="15"/>
        <v>227.71800000000002</v>
      </c>
      <c r="BO9" s="75">
        <f>SUM(BO7:BO8)</f>
        <v>175.72</v>
      </c>
      <c r="BP9" s="75">
        <f>SUM(BP7:BP8)</f>
        <v>189.78300000000002</v>
      </c>
      <c r="BQ9" s="75">
        <f>SUM(BQ7:BQ8)</f>
        <v>160.07</v>
      </c>
      <c r="BR9" s="34"/>
      <c r="BS9" s="34"/>
      <c r="BT9" s="34"/>
      <c r="BU9" s="34"/>
      <c r="BV9" s="34"/>
      <c r="CA9" s="82"/>
      <c r="CB9" s="82"/>
      <c r="CC9" s="82"/>
      <c r="CD9" s="82"/>
      <c r="CE9" s="82"/>
      <c r="CF9" s="82"/>
      <c r="CG9" s="82"/>
      <c r="CH9" s="82"/>
      <c r="CI9" s="82"/>
      <c r="CJ9" s="82"/>
      <c r="CK9" s="82"/>
      <c r="CL9" s="82">
        <f t="shared" si="2"/>
        <v>0</v>
      </c>
      <c r="CM9" s="82">
        <f t="shared" si="3"/>
        <v>0</v>
      </c>
      <c r="CN9" s="82">
        <f t="shared" si="4"/>
        <v>895.8599999999999</v>
      </c>
      <c r="CO9" s="82">
        <f t="shared" si="5"/>
        <v>949.39300000000003</v>
      </c>
      <c r="CP9" s="82">
        <f t="shared" si="6"/>
        <v>824.13900000000012</v>
      </c>
      <c r="CQ9" s="80">
        <f t="shared" ref="CQ9:CZ9" si="16">SUM(CQ7:CQ8)</f>
        <v>758.51950499999998</v>
      </c>
      <c r="CR9" s="80">
        <f t="shared" si="16"/>
        <v>705.91857490000007</v>
      </c>
      <c r="CS9" s="80">
        <f t="shared" si="16"/>
        <v>756.27569656100002</v>
      </c>
      <c r="CT9" s="80">
        <f t="shared" si="16"/>
        <v>815.0484613378801</v>
      </c>
      <c r="CU9" s="80">
        <f t="shared" si="16"/>
        <v>870.60013263092105</v>
      </c>
      <c r="CV9" s="80">
        <f t="shared" si="16"/>
        <v>921.68950673885547</v>
      </c>
      <c r="CW9" s="80">
        <f t="shared" si="16"/>
        <v>972.33292129363667</v>
      </c>
      <c r="CX9" s="80">
        <f t="shared" si="16"/>
        <v>1022.0860294361153</v>
      </c>
      <c r="CY9" s="80">
        <f t="shared" si="16"/>
        <v>1076.0681755999653</v>
      </c>
      <c r="CZ9" s="80">
        <f t="shared" si="16"/>
        <v>1129.8715843799637</v>
      </c>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c r="EJ9" s="34"/>
      <c r="EK9" s="34"/>
      <c r="EL9" s="34"/>
      <c r="EM9" s="34"/>
      <c r="EN9" s="34"/>
      <c r="EO9" s="34"/>
      <c r="EP9" s="34"/>
      <c r="EQ9" s="34"/>
      <c r="ER9" s="34"/>
      <c r="ES9" s="34"/>
      <c r="ET9" s="34"/>
      <c r="EU9" s="34"/>
      <c r="EV9" s="34"/>
      <c r="EW9" s="34"/>
      <c r="EX9" s="34"/>
      <c r="EY9" s="34"/>
      <c r="EZ9" s="34"/>
    </row>
    <row r="10" spans="2:157" s="2" customFormat="1" ht="15">
      <c r="B10" s="33" t="s">
        <v>118</v>
      </c>
      <c r="AU10" s="75">
        <f t="shared" ref="AU10:BN10" si="17">AU6+AU9</f>
        <v>281.15999999999997</v>
      </c>
      <c r="AV10" s="75">
        <f t="shared" si="17"/>
        <v>331.54700000000003</v>
      </c>
      <c r="AW10" s="75">
        <f t="shared" si="17"/>
        <v>361.73599999999999</v>
      </c>
      <c r="AX10" s="75">
        <f t="shared" si="17"/>
        <v>411.50800000000004</v>
      </c>
      <c r="AY10" s="75">
        <f t="shared" si="17"/>
        <v>460.09799999999996</v>
      </c>
      <c r="AZ10" s="75">
        <f t="shared" si="17"/>
        <v>640.76600000000008</v>
      </c>
      <c r="BA10" s="75">
        <f t="shared" si="17"/>
        <v>625.91899999999998</v>
      </c>
      <c r="BB10" s="75">
        <f t="shared" si="17"/>
        <v>586.63200000000006</v>
      </c>
      <c r="BC10" s="75">
        <f t="shared" si="17"/>
        <v>660.13300000000004</v>
      </c>
      <c r="BD10" s="75">
        <f t="shared" si="17"/>
        <v>964.58100000000002</v>
      </c>
      <c r="BE10" s="75">
        <f t="shared" si="17"/>
        <v>985.09400000000005</v>
      </c>
      <c r="BF10" s="75">
        <f t="shared" si="17"/>
        <v>945.1719999999998</v>
      </c>
      <c r="BG10" s="75">
        <f t="shared" si="17"/>
        <v>884.15</v>
      </c>
      <c r="BH10" s="75">
        <f t="shared" si="17"/>
        <v>1072.3630000000001</v>
      </c>
      <c r="BI10" s="75">
        <f t="shared" si="17"/>
        <v>1045.7139999999999</v>
      </c>
      <c r="BJ10" s="75">
        <f t="shared" si="17"/>
        <v>960.11500000000024</v>
      </c>
      <c r="BK10" s="75">
        <f t="shared" si="17"/>
        <v>938.61999999999989</v>
      </c>
      <c r="BL10" s="75">
        <f t="shared" si="17"/>
        <v>1111.501</v>
      </c>
      <c r="BM10" s="75">
        <f t="shared" si="17"/>
        <v>1062.1879999999999</v>
      </c>
      <c r="BN10" s="75">
        <f t="shared" si="17"/>
        <v>989.79000000000019</v>
      </c>
      <c r="BO10" s="75">
        <f>BO6+BO9</f>
        <v>937.31999999999994</v>
      </c>
      <c r="BP10" s="75">
        <f>BP6+BP9</f>
        <v>1149.3630000000001</v>
      </c>
      <c r="BQ10" s="75">
        <f>BQ6+BQ9</f>
        <v>996.29600000000005</v>
      </c>
      <c r="BR10" s="34"/>
      <c r="BS10" s="34"/>
      <c r="BT10" s="34"/>
      <c r="BU10" s="34"/>
      <c r="BV10" s="34"/>
      <c r="CA10" s="82"/>
      <c r="CB10" s="82"/>
      <c r="CC10" s="82"/>
      <c r="CD10" s="82"/>
      <c r="CE10" s="82"/>
      <c r="CF10" s="82"/>
      <c r="CG10" s="82"/>
      <c r="CH10" s="82"/>
      <c r="CI10" s="82"/>
      <c r="CJ10" s="82"/>
      <c r="CK10" s="82"/>
      <c r="CL10" s="82">
        <f t="shared" si="2"/>
        <v>1385.951</v>
      </c>
      <c r="CM10" s="82">
        <f t="shared" si="3"/>
        <v>2313.415</v>
      </c>
      <c r="CN10" s="82">
        <f t="shared" si="4"/>
        <v>3554.9799999999996</v>
      </c>
      <c r="CO10" s="82">
        <f t="shared" si="5"/>
        <v>3962.3420000000001</v>
      </c>
      <c r="CP10" s="82">
        <f t="shared" si="6"/>
        <v>4102.0990000000002</v>
      </c>
      <c r="CQ10" s="80">
        <f>CQ6+CQ9</f>
        <v>4108.6219650000003</v>
      </c>
      <c r="CR10" s="80">
        <f t="shared" ref="CR10:CZ10" si="18">CR6+CR9</f>
        <v>4158.7905765999994</v>
      </c>
      <c r="CS10" s="80">
        <f t="shared" si="18"/>
        <v>4349.3214016559996</v>
      </c>
      <c r="CT10" s="80">
        <f t="shared" si="18"/>
        <v>4554.3024580969304</v>
      </c>
      <c r="CU10" s="80">
        <f t="shared" si="18"/>
        <v>4753.7576874798979</v>
      </c>
      <c r="CV10" s="80">
        <f t="shared" si="18"/>
        <v>4954.8693190385538</v>
      </c>
      <c r="CW10" s="80">
        <f t="shared" si="18"/>
        <v>5152.8849112494963</v>
      </c>
      <c r="CX10" s="80">
        <f t="shared" si="18"/>
        <v>5356.2930696717676</v>
      </c>
      <c r="CY10" s="80">
        <f t="shared" si="18"/>
        <v>5561.0922342779795</v>
      </c>
      <c r="CZ10" s="80">
        <f t="shared" si="18"/>
        <v>5767.4878457351333</v>
      </c>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c r="EJ10" s="34"/>
      <c r="EK10" s="34"/>
      <c r="EL10" s="34"/>
      <c r="EM10" s="34"/>
      <c r="EN10" s="34"/>
      <c r="EO10" s="34"/>
      <c r="EP10" s="34"/>
      <c r="EQ10" s="34"/>
      <c r="ER10" s="34"/>
      <c r="ES10" s="34"/>
      <c r="ET10" s="34"/>
      <c r="EU10" s="34"/>
      <c r="EV10" s="34"/>
      <c r="EW10" s="34"/>
      <c r="EX10" s="34"/>
      <c r="EY10" s="34"/>
      <c r="EZ10" s="34"/>
    </row>
    <row r="11" spans="2:157">
      <c r="B11" s="63"/>
      <c r="CL11" s="74"/>
      <c r="CM11" s="74"/>
      <c r="CN11" s="74"/>
      <c r="CO11" s="74"/>
      <c r="CP11" s="74"/>
    </row>
    <row r="12" spans="2:157">
      <c r="B12" s="36" t="s">
        <v>1196</v>
      </c>
      <c r="AU12" s="72"/>
      <c r="AV12" s="72"/>
      <c r="AW12" s="72"/>
      <c r="AX12" s="72"/>
      <c r="AY12" s="72">
        <f t="shared" ref="AY12:BO18" si="19">AY4/AU4-1</f>
        <v>0.50145466216635937</v>
      </c>
      <c r="AZ12" s="72">
        <f t="shared" si="19"/>
        <v>1.1210573538546487</v>
      </c>
      <c r="BA12" s="72">
        <f t="shared" si="19"/>
        <v>0.88200789004990554</v>
      </c>
      <c r="BB12" s="72">
        <f t="shared" si="19"/>
        <v>0.40328664642282996</v>
      </c>
      <c r="BC12" s="72">
        <f t="shared" si="19"/>
        <v>0.18690934667406811</v>
      </c>
      <c r="BD12" s="72">
        <f t="shared" si="19"/>
        <v>0.27720616946505272</v>
      </c>
      <c r="BE12" s="72">
        <f t="shared" si="19"/>
        <v>0.14112224694859021</v>
      </c>
      <c r="BF12" s="72">
        <f t="shared" si="19"/>
        <v>7.5343491445471367E-2</v>
      </c>
      <c r="BG12" s="72">
        <f t="shared" si="19"/>
        <v>0.1926216412490922</v>
      </c>
      <c r="BH12" s="72">
        <f t="shared" si="19"/>
        <v>3.7779832921879697E-2</v>
      </c>
      <c r="BI12" s="72">
        <f t="shared" si="19"/>
        <v>4.4927314720467404E-2</v>
      </c>
      <c r="BJ12" s="72">
        <f t="shared" si="19"/>
        <v>1.0568628474942132</v>
      </c>
      <c r="BK12" s="72">
        <f t="shared" si="19"/>
        <v>-6.734703819173804E-2</v>
      </c>
      <c r="BL12" s="72">
        <f t="shared" si="19"/>
        <v>6.8591348750429715E-2</v>
      </c>
      <c r="BM12" s="72">
        <f t="shared" si="19"/>
        <v>7.1464365331534774E-2</v>
      </c>
      <c r="BN12" s="72">
        <f t="shared" si="19"/>
        <v>-0.33346648544438684</v>
      </c>
      <c r="BO12" s="72">
        <f t="shared" si="19"/>
        <v>-3.7606748322060124E-2</v>
      </c>
      <c r="BP12" s="72">
        <f>BP4/BL4-1</f>
        <v>6.7519757397537239E-2</v>
      </c>
      <c r="BQ12" s="72">
        <f>BQ4/BM4-1</f>
        <v>-7.8885630498533699E-2</v>
      </c>
      <c r="CL12" s="74"/>
      <c r="CM12" s="72">
        <f t="shared" ref="CM12:CP12" si="20">CM4/CL4-1</f>
        <v>0.69439718062284328</v>
      </c>
      <c r="CN12" s="72">
        <f t="shared" si="20"/>
        <v>0.17308871627146361</v>
      </c>
      <c r="CO12" s="72">
        <f t="shared" si="20"/>
        <v>0.29084440572133907</v>
      </c>
      <c r="CP12" s="72">
        <f t="shared" si="20"/>
        <v>-9.5810740882399381E-2</v>
      </c>
      <c r="CQ12" s="87">
        <v>-5.0000000000000001E-3</v>
      </c>
      <c r="CR12" s="87">
        <v>1.4999999999999999E-2</v>
      </c>
      <c r="CS12" s="87">
        <v>0.03</v>
      </c>
      <c r="CT12" s="87">
        <v>0.03</v>
      </c>
      <c r="CU12" s="87">
        <v>2.5000000000000001E-2</v>
      </c>
      <c r="CV12" s="87">
        <v>2.5000000000000001E-2</v>
      </c>
      <c r="CW12" s="87">
        <v>0.02</v>
      </c>
      <c r="CX12" s="87">
        <v>0.02</v>
      </c>
      <c r="CY12" s="87">
        <v>1.4999999999999999E-2</v>
      </c>
      <c r="CZ12" s="87">
        <v>1.2500000000000001E-2</v>
      </c>
    </row>
    <row r="13" spans="2:157">
      <c r="B13" s="36" t="s">
        <v>1197</v>
      </c>
      <c r="AU13" s="72"/>
      <c r="AV13" s="72"/>
      <c r="AW13" s="72"/>
      <c r="AX13" s="72"/>
      <c r="AY13" s="72">
        <f t="shared" si="19"/>
        <v>0.9327521934809293</v>
      </c>
      <c r="AZ13" s="72">
        <f t="shared" si="19"/>
        <v>0.78641036767975492</v>
      </c>
      <c r="BA13" s="72">
        <f t="shared" si="19"/>
        <v>0.6037926226391177</v>
      </c>
      <c r="BB13" s="72">
        <f t="shared" si="19"/>
        <v>0.44474186343042654</v>
      </c>
      <c r="BC13" s="72">
        <f t="shared" si="19"/>
        <v>0.18170752503542897</v>
      </c>
      <c r="BD13" s="72">
        <f t="shared" si="19"/>
        <v>1.8770655518434598E-2</v>
      </c>
      <c r="BE13" s="72">
        <f t="shared" si="19"/>
        <v>0.1457282142721652</v>
      </c>
      <c r="BF13" s="72">
        <f t="shared" si="19"/>
        <v>0.18537064740456022</v>
      </c>
      <c r="BG13" s="72">
        <f t="shared" si="19"/>
        <v>0.18536027070063699</v>
      </c>
      <c r="BH13" s="72">
        <f t="shared" si="19"/>
        <v>0.25287528885356414</v>
      </c>
      <c r="BI13" s="72">
        <f t="shared" si="19"/>
        <v>0.18539305690074293</v>
      </c>
      <c r="BJ13" s="72">
        <f t="shared" si="19"/>
        <v>-0.62597953278134488</v>
      </c>
      <c r="BK13" s="72">
        <f t="shared" si="19"/>
        <v>0.51504974602241704</v>
      </c>
      <c r="BL13" s="72">
        <f t="shared" si="19"/>
        <v>0.12476269243059357</v>
      </c>
      <c r="BM13" s="72">
        <f t="shared" si="19"/>
        <v>7.6677762517749493E-2</v>
      </c>
      <c r="BN13" s="72">
        <f t="shared" si="19"/>
        <v>1.5997416367242927</v>
      </c>
      <c r="BO13" s="72">
        <f t="shared" si="19"/>
        <v>8.9193682460515289E-2</v>
      </c>
      <c r="BP13" s="72">
        <f t="shared" ref="BP13:BQ18" si="21">BP5/BL5-1</f>
        <v>3.3845266843253174E-2</v>
      </c>
      <c r="BQ13" s="72">
        <f t="shared" si="21"/>
        <v>2.0193284759907559E-2</v>
      </c>
      <c r="CL13" s="74"/>
      <c r="CM13" s="72">
        <f t="shared" ref="CM13:CP13" si="22">CM5/CL5-1</f>
        <v>0.64398613628230716</v>
      </c>
      <c r="CN13" s="72">
        <f t="shared" si="22"/>
        <v>0.12505979365155984</v>
      </c>
      <c r="CO13" s="72">
        <f t="shared" si="22"/>
        <v>-3.6472359613674343E-2</v>
      </c>
      <c r="CP13" s="72">
        <f t="shared" si="22"/>
        <v>0.35249123733167953</v>
      </c>
      <c r="CQ13" s="87">
        <v>4.8000000000000001E-2</v>
      </c>
      <c r="CR13" s="87">
        <v>4.4999999999999998E-2</v>
      </c>
      <c r="CS13" s="87">
        <v>0.05</v>
      </c>
      <c r="CT13" s="87">
        <v>0.05</v>
      </c>
      <c r="CU13" s="87">
        <v>0.05</v>
      </c>
      <c r="CV13" s="87">
        <v>0.05</v>
      </c>
      <c r="CW13" s="87">
        <v>0.05</v>
      </c>
      <c r="CX13" s="87">
        <v>0.05</v>
      </c>
      <c r="CY13" s="87">
        <v>0.05</v>
      </c>
      <c r="CZ13" s="87">
        <v>0.05</v>
      </c>
    </row>
    <row r="14" spans="2:157" s="2" customFormat="1" ht="15">
      <c r="B14" s="33" t="s">
        <v>1198</v>
      </c>
      <c r="AU14" s="76"/>
      <c r="AV14" s="76"/>
      <c r="AW14" s="76"/>
      <c r="AX14" s="76"/>
      <c r="AY14" s="76">
        <f t="shared" si="19"/>
        <v>0.63642765685019209</v>
      </c>
      <c r="AZ14" s="76">
        <f t="shared" si="19"/>
        <v>0.93265509867379293</v>
      </c>
      <c r="BA14" s="76">
        <f t="shared" si="19"/>
        <v>0.73031990180684248</v>
      </c>
      <c r="BB14" s="76">
        <f t="shared" si="19"/>
        <v>0.42556645314307384</v>
      </c>
      <c r="BC14" s="76">
        <f t="shared" si="19"/>
        <v>0.18498667675147495</v>
      </c>
      <c r="BD14" s="76">
        <f t="shared" si="19"/>
        <v>0.14271980723072053</v>
      </c>
      <c r="BE14" s="76">
        <f t="shared" si="19"/>
        <v>0.14344987130922693</v>
      </c>
      <c r="BF14" s="76">
        <f t="shared" si="19"/>
        <v>0.13527219790260303</v>
      </c>
      <c r="BG14" s="76">
        <f t="shared" si="19"/>
        <v>0.18994515874617113</v>
      </c>
      <c r="BH14" s="76">
        <f t="shared" si="19"/>
        <v>0.13757142701060876</v>
      </c>
      <c r="BI14" s="76">
        <f t="shared" si="19"/>
        <v>0.11605307758621897</v>
      </c>
      <c r="BJ14" s="76">
        <f t="shared" si="19"/>
        <v>9.981726370034294E-2</v>
      </c>
      <c r="BK14" s="76">
        <f t="shared" si="19"/>
        <v>0.14649259367726608</v>
      </c>
      <c r="BL14" s="76">
        <f t="shared" si="19"/>
        <v>9.7292988277779768E-2</v>
      </c>
      <c r="BM14" s="76">
        <f t="shared" si="19"/>
        <v>7.4268215887736799E-2</v>
      </c>
      <c r="BN14" s="76">
        <f t="shared" si="19"/>
        <v>4.0422464448764739E-2</v>
      </c>
      <c r="BO14" s="76">
        <f t="shared" si="19"/>
        <v>2.3917398260308476E-2</v>
      </c>
      <c r="BP14" s="76">
        <f t="shared" si="21"/>
        <v>4.9882492986778715E-2</v>
      </c>
      <c r="BQ14" s="76">
        <f t="shared" si="21"/>
        <v>-2.5479844771527316E-2</v>
      </c>
      <c r="BR14" s="34"/>
      <c r="BS14" s="34"/>
      <c r="BT14" s="34"/>
      <c r="BU14" s="34"/>
      <c r="BV14" s="34"/>
      <c r="CL14" s="75"/>
      <c r="CM14" s="76">
        <f t="shared" ref="CM14:CP14" si="23">CM6/CL6-1</f>
        <v>0.6691896033842466</v>
      </c>
      <c r="CN14" s="76">
        <f t="shared" si="23"/>
        <v>0.1494349262886252</v>
      </c>
      <c r="CO14" s="76">
        <f t="shared" si="23"/>
        <v>0.13306244171003923</v>
      </c>
      <c r="CP14" s="76">
        <f t="shared" si="23"/>
        <v>8.7957346772215672E-2</v>
      </c>
      <c r="CQ14" s="88">
        <f>CQ6/CP6-1</f>
        <v>2.2008340553270944E-2</v>
      </c>
      <c r="CR14" s="88">
        <f t="shared" ref="CR14:CZ14" si="24">CR6/CQ6-1</f>
        <v>3.0676536890158035E-2</v>
      </c>
      <c r="CS14" s="88">
        <f t="shared" si="24"/>
        <v>4.0596264016154349E-2</v>
      </c>
      <c r="CT14" s="88">
        <f t="shared" si="24"/>
        <v>4.0692021105304788E-2</v>
      </c>
      <c r="CU14" s="88">
        <f t="shared" si="24"/>
        <v>3.8484563555899909E-2</v>
      </c>
      <c r="CV14" s="88">
        <f t="shared" si="24"/>
        <v>3.8634089740547939E-2</v>
      </c>
      <c r="CW14" s="88">
        <f t="shared" si="24"/>
        <v>3.6539947266107653E-2</v>
      </c>
      <c r="CX14" s="88">
        <f t="shared" si="24"/>
        <v>3.6754727760583306E-2</v>
      </c>
      <c r="CY14" s="88">
        <f t="shared" si="24"/>
        <v>3.4796911417079412E-2</v>
      </c>
      <c r="CZ14" s="88">
        <f t="shared" si="24"/>
        <v>3.4022605159030883E-2</v>
      </c>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row>
    <row r="15" spans="2:157">
      <c r="B15" s="36" t="s">
        <v>1199</v>
      </c>
      <c r="AU15" s="72"/>
      <c r="AV15" s="72"/>
      <c r="AW15" s="72"/>
      <c r="AX15" s="72"/>
      <c r="AY15" s="72"/>
      <c r="AZ15" s="72"/>
      <c r="BA15" s="72"/>
      <c r="BB15" s="72"/>
      <c r="BC15" s="72"/>
      <c r="BD15" s="72"/>
      <c r="BE15" s="72"/>
      <c r="BF15" s="72"/>
      <c r="BG15" s="72">
        <f t="shared" si="19"/>
        <v>0.93122332286381604</v>
      </c>
      <c r="BH15" s="72">
        <f t="shared" si="19"/>
        <v>-8.4148210142831692E-2</v>
      </c>
      <c r="BI15" s="72">
        <f t="shared" si="19"/>
        <v>-0.19402755160424279</v>
      </c>
      <c r="BJ15" s="72">
        <f t="shared" si="19"/>
        <v>-0.27422807336625732</v>
      </c>
      <c r="BK15" s="72">
        <f t="shared" si="19"/>
        <v>-0.19724770642201839</v>
      </c>
      <c r="BL15" s="72">
        <f t="shared" si="19"/>
        <v>-0.23514866453888794</v>
      </c>
      <c r="BM15" s="72">
        <f t="shared" si="19"/>
        <v>-0.22854607508532421</v>
      </c>
      <c r="BN15" s="72">
        <f t="shared" si="19"/>
        <v>-8.5579073174492648E-2</v>
      </c>
      <c r="BO15" s="72">
        <f t="shared" si="19"/>
        <v>-0.17855287569573286</v>
      </c>
      <c r="BP15" s="72">
        <f t="shared" si="21"/>
        <v>-0.12359767721758064</v>
      </c>
      <c r="BQ15" s="72">
        <f t="shared" si="21"/>
        <v>-0.38593852306712195</v>
      </c>
      <c r="CL15" s="74"/>
      <c r="CM15" s="72"/>
      <c r="CN15" s="72"/>
      <c r="CO15" s="72">
        <f t="shared" ref="CO15:CP15" si="25">CO7/CN7-1</f>
        <v>-1.2545720555961926E-2</v>
      </c>
      <c r="CP15" s="72">
        <f t="shared" si="25"/>
        <v>-0.19484881036164514</v>
      </c>
      <c r="CQ15" s="87">
        <v>-0.18</v>
      </c>
      <c r="CR15" s="87">
        <v>-0.12</v>
      </c>
      <c r="CS15" s="87">
        <v>0.05</v>
      </c>
      <c r="CT15" s="87">
        <v>7.4999999999999997E-2</v>
      </c>
      <c r="CU15" s="87">
        <v>0.06</v>
      </c>
      <c r="CV15" s="87">
        <v>4.4999999999999998E-2</v>
      </c>
      <c r="CW15" s="87">
        <v>4.2500000000000003E-2</v>
      </c>
      <c r="CX15" s="87">
        <v>0.04</v>
      </c>
      <c r="CY15" s="87">
        <v>0.05</v>
      </c>
      <c r="CZ15" s="87">
        <v>0.05</v>
      </c>
    </row>
    <row r="16" spans="2:157">
      <c r="B16" s="36" t="s">
        <v>1200</v>
      </c>
      <c r="AU16" s="72"/>
      <c r="AV16" s="72"/>
      <c r="AW16" s="72"/>
      <c r="AX16" s="72"/>
      <c r="AY16" s="72"/>
      <c r="AZ16" s="72"/>
      <c r="BA16" s="72"/>
      <c r="BB16" s="72"/>
      <c r="BC16" s="72"/>
      <c r="BD16" s="72"/>
      <c r="BE16" s="72"/>
      <c r="BF16" s="72"/>
      <c r="BG16" s="72">
        <f t="shared" si="19"/>
        <v>1.4110841308384514</v>
      </c>
      <c r="BH16" s="72">
        <f t="shared" si="19"/>
        <v>0.29662496779549419</v>
      </c>
      <c r="BI16" s="72">
        <f t="shared" si="19"/>
        <v>0.14640660130793548</v>
      </c>
      <c r="BJ16" s="72">
        <f t="shared" si="19"/>
        <v>-9.0522715094215167E-2</v>
      </c>
      <c r="BK16" s="72">
        <f t="shared" si="19"/>
        <v>-0.11048578199052128</v>
      </c>
      <c r="BL16" s="72">
        <f t="shared" si="19"/>
        <v>-7.6233579865327417E-2</v>
      </c>
      <c r="BM16" s="72">
        <f t="shared" si="19"/>
        <v>-9.3253158382032408E-2</v>
      </c>
      <c r="BN16" s="72">
        <f t="shared" si="19"/>
        <v>7.2203972590577647E-2</v>
      </c>
      <c r="BO16" s="72">
        <f t="shared" si="19"/>
        <v>8.275058275058278E-2</v>
      </c>
      <c r="BP16" s="72">
        <f t="shared" si="21"/>
        <v>7.5749247167917311E-2</v>
      </c>
      <c r="BQ16" s="72">
        <f t="shared" si="21"/>
        <v>-4.5015371102327117E-3</v>
      </c>
      <c r="CL16" s="74"/>
      <c r="CM16" s="72"/>
      <c r="CN16" s="72"/>
      <c r="CO16" s="72">
        <f t="shared" ref="CO16:CP16" si="26">CO8/CN8-1</f>
        <v>0.18878527912470466</v>
      </c>
      <c r="CP16" s="72">
        <f t="shared" si="26"/>
        <v>-3.8663271069090399E-2</v>
      </c>
      <c r="CQ16" s="87">
        <v>4.4999999999999998E-2</v>
      </c>
      <c r="CR16" s="87">
        <v>-0.02</v>
      </c>
      <c r="CS16" s="87">
        <v>0.09</v>
      </c>
      <c r="CT16" s="87">
        <v>0.08</v>
      </c>
      <c r="CU16" s="87">
        <v>7.4999999999999997E-2</v>
      </c>
      <c r="CV16" s="87">
        <v>7.0000000000000007E-2</v>
      </c>
      <c r="CW16" s="87">
        <v>6.5000000000000002E-2</v>
      </c>
      <c r="CX16" s="87">
        <v>0.06</v>
      </c>
      <c r="CY16" s="87">
        <v>5.5E-2</v>
      </c>
      <c r="CZ16" s="87">
        <v>0.05</v>
      </c>
    </row>
    <row r="17" spans="2:156" s="2" customFormat="1" ht="15">
      <c r="B17" s="33" t="s">
        <v>1201</v>
      </c>
      <c r="AU17" s="76"/>
      <c r="AV17" s="76"/>
      <c r="AW17" s="76"/>
      <c r="AX17" s="76"/>
      <c r="AY17" s="76"/>
      <c r="AZ17" s="76"/>
      <c r="BA17" s="76"/>
      <c r="BB17" s="76"/>
      <c r="BC17" s="76"/>
      <c r="BD17" s="76"/>
      <c r="BE17" s="76"/>
      <c r="BF17" s="76"/>
      <c r="BG17" s="76">
        <f t="shared" si="19"/>
        <v>1.0481539813614331</v>
      </c>
      <c r="BH17" s="76">
        <f t="shared" si="19"/>
        <v>3.0340197534052038E-2</v>
      </c>
      <c r="BI17" s="76">
        <f t="shared" si="19"/>
        <v>-8.330023349307869E-2</v>
      </c>
      <c r="BJ17" s="76">
        <f t="shared" si="19"/>
        <v>-0.18458728083528819</v>
      </c>
      <c r="BK17" s="76">
        <f t="shared" si="19"/>
        <v>-0.17235958875010615</v>
      </c>
      <c r="BL17" s="76">
        <f t="shared" si="19"/>
        <v>-0.17501827370883205</v>
      </c>
      <c r="BM17" s="76">
        <f t="shared" si="19"/>
        <v>-0.17351496474952111</v>
      </c>
      <c r="BN17" s="76">
        <f t="shared" si="19"/>
        <v>2.943101501859946E-4</v>
      </c>
      <c r="BO17" s="76">
        <f t="shared" si="19"/>
        <v>-9.7992916174734379E-2</v>
      </c>
      <c r="BP17" s="76">
        <f t="shared" si="21"/>
        <v>-3.9136664422088518E-2</v>
      </c>
      <c r="BQ17" s="76">
        <f t="shared" si="21"/>
        <v>-0.21571989926407908</v>
      </c>
      <c r="BR17" s="34"/>
      <c r="BS17" s="34"/>
      <c r="BT17" s="34"/>
      <c r="BU17" s="34"/>
      <c r="BV17" s="34"/>
      <c r="CL17" s="75"/>
      <c r="CM17" s="76"/>
      <c r="CN17" s="76"/>
      <c r="CO17" s="76">
        <f t="shared" ref="CO17:CP17" si="27">CO9/CN9-1</f>
        <v>5.9755988658942494E-2</v>
      </c>
      <c r="CP17" s="76">
        <f t="shared" si="27"/>
        <v>-0.13193061250714921</v>
      </c>
      <c r="CQ17" s="88">
        <f>CQ9/CP9-1</f>
        <v>-7.962187810551391E-2</v>
      </c>
      <c r="CR17" s="88">
        <f t="shared" ref="CR17:CZ17" si="28">CR9/CQ9-1</f>
        <v>-6.9346839142916838E-2</v>
      </c>
      <c r="CS17" s="88">
        <f t="shared" si="28"/>
        <v>7.1335595140181063E-2</v>
      </c>
      <c r="CT17" s="88">
        <f t="shared" si="28"/>
        <v>7.7713411979436264E-2</v>
      </c>
      <c r="CU17" s="88">
        <f t="shared" si="28"/>
        <v>6.8157507103141279E-2</v>
      </c>
      <c r="CV17" s="88">
        <f t="shared" si="28"/>
        <v>5.8682938576570365E-2</v>
      </c>
      <c r="CW17" s="88">
        <f t="shared" si="28"/>
        <v>5.4946285256050054E-2</v>
      </c>
      <c r="CX17" s="88">
        <f t="shared" si="28"/>
        <v>5.1168799341160698E-2</v>
      </c>
      <c r="CY17" s="88">
        <f t="shared" si="28"/>
        <v>5.2815657986864384E-2</v>
      </c>
      <c r="CZ17" s="88">
        <f t="shared" si="28"/>
        <v>5.0000000000000044E-2</v>
      </c>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row>
    <row r="18" spans="2:156" s="2" customFormat="1" ht="15">
      <c r="B18" s="33" t="s">
        <v>172</v>
      </c>
      <c r="C18" s="76"/>
      <c r="D18" s="76"/>
      <c r="E18" s="76"/>
      <c r="F18" s="76"/>
      <c r="G18" s="76">
        <f t="shared" ref="G18:AW18" si="29">G38/C38-1</f>
        <v>0.23693379790940772</v>
      </c>
      <c r="H18" s="76">
        <f t="shared" si="29"/>
        <v>0.15314586283633425</v>
      </c>
      <c r="I18" s="76">
        <f t="shared" si="29"/>
        <v>0.2171164051033081</v>
      </c>
      <c r="J18" s="76">
        <f t="shared" si="29"/>
        <v>0.31747665612822584</v>
      </c>
      <c r="K18" s="76">
        <f t="shared" si="29"/>
        <v>0.35870542403356298</v>
      </c>
      <c r="L18" s="76">
        <f t="shared" si="29"/>
        <v>0.29649122807017547</v>
      </c>
      <c r="M18" s="76">
        <f t="shared" si="29"/>
        <v>0.27504638218923927</v>
      </c>
      <c r="N18" s="76">
        <f t="shared" si="29"/>
        <v>0.13678218650594332</v>
      </c>
      <c r="O18" s="76">
        <f t="shared" si="29"/>
        <v>0.19894133215703591</v>
      </c>
      <c r="P18" s="76">
        <f t="shared" si="29"/>
        <v>0.11941813261163725</v>
      </c>
      <c r="Q18" s="76">
        <f t="shared" si="29"/>
        <v>7.5300109130593151E-2</v>
      </c>
      <c r="R18" s="76">
        <f t="shared" si="29"/>
        <v>0.10456553755522835</v>
      </c>
      <c r="S18" s="76">
        <f t="shared" si="29"/>
        <v>0.14679911699779247</v>
      </c>
      <c r="T18" s="76">
        <f t="shared" si="29"/>
        <v>9.9425808401329752E-2</v>
      </c>
      <c r="U18" s="76">
        <f t="shared" si="29"/>
        <v>-2.4018944519621166E-2</v>
      </c>
      <c r="V18" s="76">
        <f t="shared" si="29"/>
        <v>1.6444444444444484E-2</v>
      </c>
      <c r="W18" s="76">
        <f t="shared" si="29"/>
        <v>2.2457491177414468E-3</v>
      </c>
      <c r="X18" s="76">
        <f t="shared" si="29"/>
        <v>3.6008796041781199E-2</v>
      </c>
      <c r="Y18" s="76">
        <f t="shared" si="29"/>
        <v>4.8180242634315418E-2</v>
      </c>
      <c r="Z18" s="76">
        <f t="shared" si="29"/>
        <v>-9.707039790118055E-2</v>
      </c>
      <c r="AA18" s="76">
        <f t="shared" si="29"/>
        <v>-0.16069142125480151</v>
      </c>
      <c r="AB18" s="76">
        <f t="shared" si="29"/>
        <v>-8.2780578402759319E-2</v>
      </c>
      <c r="AC18" s="76">
        <f t="shared" si="29"/>
        <v>-9.3584656084655937E-2</v>
      </c>
      <c r="AD18" s="76">
        <f t="shared" si="29"/>
        <v>1.0653753026634405E-2</v>
      </c>
      <c r="AE18" s="76">
        <f t="shared" si="29"/>
        <v>6.4454614797864407E-2</v>
      </c>
      <c r="AF18" s="76">
        <f t="shared" si="29"/>
        <v>-6.3349725195255946E-2</v>
      </c>
      <c r="AG18" s="76">
        <f t="shared" si="29"/>
        <v>-0.10288215979569504</v>
      </c>
      <c r="AH18" s="76">
        <f t="shared" si="29"/>
        <v>-0.10206037374221366</v>
      </c>
      <c r="AI18" s="76">
        <f t="shared" si="29"/>
        <v>-4.0128986026513935E-2</v>
      </c>
      <c r="AJ18" s="76">
        <f t="shared" si="29"/>
        <v>-3.2736256948733833E-2</v>
      </c>
      <c r="AK18" s="76">
        <f t="shared" si="29"/>
        <v>-1.0573403822692118E-2</v>
      </c>
      <c r="AL18" s="76">
        <f t="shared" si="29"/>
        <v>6.2433297758804684E-2</v>
      </c>
      <c r="AM18" s="76">
        <f t="shared" si="29"/>
        <v>5.6737588652482351E-2</v>
      </c>
      <c r="AN18" s="76">
        <f t="shared" si="29"/>
        <v>4.7254150702426667E-2</v>
      </c>
      <c r="AO18" s="76">
        <f t="shared" si="29"/>
        <v>7.3160706946157061E-2</v>
      </c>
      <c r="AP18" s="76">
        <f t="shared" si="29"/>
        <v>8.4881968859869428E-2</v>
      </c>
      <c r="AQ18" s="76">
        <f t="shared" si="29"/>
        <v>4.5213705404450577E-2</v>
      </c>
      <c r="AR18" s="76">
        <f t="shared" si="29"/>
        <v>9.420731707317076E-2</v>
      </c>
      <c r="AS18" s="76">
        <f t="shared" si="29"/>
        <v>0.1980084258904633</v>
      </c>
      <c r="AT18" s="76">
        <f t="shared" si="29"/>
        <v>0.21759259259259256</v>
      </c>
      <c r="AU18" s="76">
        <f t="shared" si="29"/>
        <v>-4.9814126394052027E-2</v>
      </c>
      <c r="AV18" s="76">
        <f t="shared" si="29"/>
        <v>-7.6213429924769982E-2</v>
      </c>
      <c r="AW18" s="76">
        <f t="shared" si="29"/>
        <v>0.15644501278772371</v>
      </c>
      <c r="AX18" s="76">
        <f>AX38/AT38-1</f>
        <v>0.56466920152091271</v>
      </c>
      <c r="AY18" s="76">
        <f t="shared" si="19"/>
        <v>0.63642765685019209</v>
      </c>
      <c r="AZ18" s="76">
        <f t="shared" si="19"/>
        <v>0.93265509867379293</v>
      </c>
      <c r="BA18" s="76">
        <f t="shared" si="19"/>
        <v>0.73031990180684248</v>
      </c>
      <c r="BB18" s="76">
        <f t="shared" si="19"/>
        <v>0.42556645314307384</v>
      </c>
      <c r="BC18" s="76">
        <f t="shared" si="19"/>
        <v>0.43476607157605573</v>
      </c>
      <c r="BD18" s="76">
        <f t="shared" si="19"/>
        <v>0.50535608943046273</v>
      </c>
      <c r="BE18" s="76">
        <f t="shared" si="19"/>
        <v>0.57383623120563532</v>
      </c>
      <c r="BF18" s="76">
        <f t="shared" si="19"/>
        <v>0.61118384268161252</v>
      </c>
      <c r="BG18" s="76">
        <f t="shared" si="19"/>
        <v>0.3393513125385339</v>
      </c>
      <c r="BH18" s="76">
        <f t="shared" si="19"/>
        <v>0.11173970874400396</v>
      </c>
      <c r="BI18" s="76">
        <f t="shared" si="19"/>
        <v>6.1537274615417248E-2</v>
      </c>
      <c r="BJ18" s="76">
        <f t="shared" si="19"/>
        <v>1.5809820858003087E-2</v>
      </c>
      <c r="BK18" s="76">
        <f t="shared" si="19"/>
        <v>6.1607193349544564E-2</v>
      </c>
      <c r="BL18" s="76">
        <f t="shared" si="19"/>
        <v>3.6496969776092625E-2</v>
      </c>
      <c r="BM18" s="76">
        <f t="shared" si="19"/>
        <v>1.5753829440936951E-2</v>
      </c>
      <c r="BN18" s="76">
        <f t="shared" si="19"/>
        <v>3.0907755841748097E-2</v>
      </c>
      <c r="BO18" s="76">
        <f t="shared" si="19"/>
        <v>-1.3850120389508058E-3</v>
      </c>
      <c r="BP18" s="76">
        <f t="shared" si="21"/>
        <v>3.406384699608922E-2</v>
      </c>
      <c r="BQ18" s="76">
        <f t="shared" si="21"/>
        <v>-6.2034216165123168E-2</v>
      </c>
      <c r="BR18" s="34"/>
      <c r="BS18" s="34"/>
      <c r="BT18" s="34"/>
      <c r="BU18" s="34"/>
      <c r="BV18" s="34"/>
      <c r="CB18" s="76">
        <f t="shared" ref="CB18:CK18" si="30">CB38/CA38-1</f>
        <v>0.46436488474742532</v>
      </c>
      <c r="CC18" s="76">
        <f t="shared" si="30"/>
        <v>0.34086220293116809</v>
      </c>
      <c r="CD18" s="76">
        <f t="shared" si="30"/>
        <v>0.12228993905485086</v>
      </c>
      <c r="CE18" s="76">
        <f t="shared" si="30"/>
        <v>6.1782248731416134E-2</v>
      </c>
      <c r="CF18" s="76">
        <f t="shared" si="30"/>
        <v>4.6113859310805694E-3</v>
      </c>
      <c r="CG18" s="76">
        <f t="shared" si="30"/>
        <v>-8.9717910198631068E-2</v>
      </c>
      <c r="CH18" s="76">
        <f t="shared" si="30"/>
        <v>-4.9967910516182212E-2</v>
      </c>
      <c r="CI18" s="76">
        <f t="shared" si="30"/>
        <v>-1.2256321173518825E-2</v>
      </c>
      <c r="CJ18" s="76">
        <f t="shared" si="30"/>
        <v>6.32144601856377E-2</v>
      </c>
      <c r="CK18" s="76">
        <f t="shared" si="30"/>
        <v>0.13085829810696548</v>
      </c>
      <c r="CL18" s="76">
        <f>CL38/CK38-1</f>
        <v>0.12624004550625711</v>
      </c>
      <c r="CM18" s="76">
        <f t="shared" ref="CM18:CO18" si="31">CM10/CL10-1</f>
        <v>0.6691896033842466</v>
      </c>
      <c r="CN18" s="76">
        <f t="shared" si="31"/>
        <v>0.53668062150543649</v>
      </c>
      <c r="CO18" s="76">
        <f t="shared" si="31"/>
        <v>0.11458911161244245</v>
      </c>
      <c r="CP18" s="76">
        <f>CP10/CO10-1</f>
        <v>3.527131176460796E-2</v>
      </c>
      <c r="CQ18" s="88">
        <f>CQ10/CP10-1</f>
        <v>1.5901529924071678E-3</v>
      </c>
      <c r="CR18" s="88">
        <f t="shared" ref="CR18:CZ18" si="32">CR10/CQ10-1</f>
        <v>1.2210568902996988E-2</v>
      </c>
      <c r="CS18" s="88">
        <f t="shared" si="32"/>
        <v>4.581399845619738E-2</v>
      </c>
      <c r="CT18" s="88">
        <f t="shared" si="32"/>
        <v>4.71294341142241E-2</v>
      </c>
      <c r="CU18" s="88">
        <f t="shared" si="32"/>
        <v>4.3794901901687E-2</v>
      </c>
      <c r="CV18" s="88">
        <f t="shared" si="32"/>
        <v>4.2305823052009917E-2</v>
      </c>
      <c r="CW18" s="88">
        <f t="shared" si="32"/>
        <v>3.996383748206811E-2</v>
      </c>
      <c r="CX18" s="88">
        <f t="shared" si="32"/>
        <v>3.9474617020496927E-2</v>
      </c>
      <c r="CY18" s="88">
        <f t="shared" si="32"/>
        <v>3.823524253477073E-2</v>
      </c>
      <c r="CZ18" s="88">
        <f t="shared" si="32"/>
        <v>3.7114221948154835E-2</v>
      </c>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row>
    <row r="19" spans="2:156">
      <c r="AU19" s="72"/>
      <c r="AV19" s="72"/>
      <c r="AW19" s="72"/>
      <c r="AX19" s="72"/>
      <c r="AY19" s="72"/>
      <c r="AZ19" s="72"/>
      <c r="BA19" s="72"/>
      <c r="BB19" s="72"/>
      <c r="BC19" s="72"/>
      <c r="BD19" s="72"/>
      <c r="BE19" s="72"/>
      <c r="BF19" s="72"/>
      <c r="BG19" s="72"/>
      <c r="BH19" s="72"/>
      <c r="BI19" s="72"/>
      <c r="BJ19" s="72"/>
      <c r="BK19" s="72"/>
      <c r="BL19" s="72"/>
      <c r="BM19" s="72"/>
      <c r="BN19" s="72"/>
      <c r="BO19" s="72"/>
      <c r="BP19" s="72"/>
      <c r="BQ19" s="72"/>
    </row>
    <row r="20" spans="2:156" ht="15">
      <c r="B20" s="33" t="s">
        <v>1202</v>
      </c>
      <c r="AU20" s="72"/>
      <c r="AV20" s="72"/>
      <c r="AW20" s="72"/>
      <c r="AX20" s="72"/>
      <c r="AY20" s="72"/>
      <c r="AZ20" s="72"/>
      <c r="BA20" s="72"/>
      <c r="BB20" s="72"/>
      <c r="BC20" s="72">
        <f t="shared" ref="BC20:BO20" si="33">BC6/BC10</f>
        <v>0.8259093243331268</v>
      </c>
      <c r="BD20" s="72">
        <f t="shared" si="33"/>
        <v>0.75910265700858714</v>
      </c>
      <c r="BE20" s="72">
        <f t="shared" si="33"/>
        <v>0.72653675689832642</v>
      </c>
      <c r="BF20" s="72">
        <f t="shared" si="33"/>
        <v>0.70461989987007656</v>
      </c>
      <c r="BG20" s="72">
        <f t="shared" si="33"/>
        <v>0.73377820505570324</v>
      </c>
      <c r="BH20" s="72">
        <f t="shared" si="33"/>
        <v>0.77674071186715687</v>
      </c>
      <c r="BI20" s="72">
        <f t="shared" si="33"/>
        <v>0.76384843274547354</v>
      </c>
      <c r="BJ20" s="72">
        <f t="shared" si="33"/>
        <v>0.76289194523572701</v>
      </c>
      <c r="BK20" s="72">
        <f t="shared" si="33"/>
        <v>0.79245061899384206</v>
      </c>
      <c r="BL20" s="72">
        <f t="shared" si="33"/>
        <v>0.8223006547002657</v>
      </c>
      <c r="BM20" s="72">
        <f t="shared" si="33"/>
        <v>0.80785134081725651</v>
      </c>
      <c r="BN20" s="72">
        <f t="shared" si="33"/>
        <v>0.76993301609432296</v>
      </c>
      <c r="BO20" s="72">
        <f t="shared" si="33"/>
        <v>0.81252933896641488</v>
      </c>
      <c r="BP20" s="72">
        <f>BP6/BP10</f>
        <v>0.83487984213864552</v>
      </c>
      <c r="BQ20" s="72">
        <f>BQ6/BQ10</f>
        <v>0.83933489645647474</v>
      </c>
      <c r="CL20" s="72"/>
      <c r="CM20" s="72"/>
      <c r="CN20" s="72">
        <f t="shared" ref="CN20:CO20" si="34">CN6/CN10</f>
        <v>0.74799858227050509</v>
      </c>
      <c r="CO20" s="72">
        <f t="shared" si="34"/>
        <v>0.76039599812434144</v>
      </c>
      <c r="CP20" s="72">
        <f>CP6/CP10</f>
        <v>0.79909334221334005</v>
      </c>
    </row>
    <row r="21" spans="2:156" ht="15">
      <c r="B21" s="33" t="s">
        <v>1203</v>
      </c>
      <c r="AU21" s="72"/>
      <c r="AV21" s="72"/>
      <c r="AW21" s="72"/>
      <c r="AX21" s="72"/>
      <c r="AY21" s="72"/>
      <c r="AZ21" s="72"/>
      <c r="BA21" s="72"/>
      <c r="BB21" s="72"/>
      <c r="BC21" s="72">
        <f t="shared" ref="BC21:BO21" si="35">BC9/BC10</f>
        <v>0.1740906756668732</v>
      </c>
      <c r="BD21" s="72">
        <f t="shared" si="35"/>
        <v>0.24089734299141286</v>
      </c>
      <c r="BE21" s="72">
        <f t="shared" si="35"/>
        <v>0.27346324310167353</v>
      </c>
      <c r="BF21" s="72">
        <f t="shared" si="35"/>
        <v>0.29538010012992344</v>
      </c>
      <c r="BG21" s="72">
        <f t="shared" si="35"/>
        <v>0.26622179494429676</v>
      </c>
      <c r="BH21" s="72">
        <f t="shared" si="35"/>
        <v>0.22325928813284307</v>
      </c>
      <c r="BI21" s="72">
        <f t="shared" si="35"/>
        <v>0.2361515672545266</v>
      </c>
      <c r="BJ21" s="72">
        <f t="shared" si="35"/>
        <v>0.23710805476427299</v>
      </c>
      <c r="BK21" s="72">
        <f t="shared" si="35"/>
        <v>0.207549381006158</v>
      </c>
      <c r="BL21" s="72">
        <f t="shared" si="35"/>
        <v>0.1776993452997343</v>
      </c>
      <c r="BM21" s="72">
        <f t="shared" si="35"/>
        <v>0.19214865918274357</v>
      </c>
      <c r="BN21" s="72">
        <f t="shared" si="35"/>
        <v>0.23006698390567693</v>
      </c>
      <c r="BO21" s="72">
        <f t="shared" si="35"/>
        <v>0.18747066103358512</v>
      </c>
      <c r="BP21" s="72">
        <f>BP9/BP10</f>
        <v>0.16512015786135451</v>
      </c>
      <c r="BQ21" s="72">
        <f>BQ9/BQ10</f>
        <v>0.1606651035435252</v>
      </c>
      <c r="CL21" s="72"/>
      <c r="CM21" s="72"/>
      <c r="CN21" s="72">
        <f t="shared" ref="CN21:CO21" si="36">CN9/CN10</f>
        <v>0.25200141772949497</v>
      </c>
      <c r="CO21" s="72">
        <f t="shared" si="36"/>
        <v>0.23960400187565839</v>
      </c>
      <c r="CP21" s="72">
        <f>CP9/CP10</f>
        <v>0.20090665778665998</v>
      </c>
    </row>
    <row r="23" spans="2:156" ht="15">
      <c r="B23" s="64" t="s">
        <v>1207</v>
      </c>
      <c r="AU23" s="74"/>
      <c r="AV23" s="74"/>
      <c r="AW23" s="74"/>
      <c r="AX23" s="74"/>
      <c r="AY23" s="74"/>
      <c r="AZ23" s="74"/>
      <c r="BA23" s="74"/>
      <c r="BB23" s="74"/>
      <c r="BC23" s="74"/>
      <c r="BD23" s="74"/>
      <c r="BE23" s="74"/>
      <c r="BF23" s="74"/>
      <c r="BG23" s="74"/>
      <c r="BH23" s="74"/>
      <c r="BI23" s="74"/>
      <c r="BJ23" s="74"/>
      <c r="BK23" s="74">
        <f>180.33+134.75</f>
        <v>315.08000000000004</v>
      </c>
      <c r="BL23" s="74">
        <f>173.98+113.829</f>
        <v>287.80899999999997</v>
      </c>
      <c r="BM23" s="74">
        <f>162.1+113.01</f>
        <v>275.11</v>
      </c>
      <c r="BN23" s="74">
        <f>644.511+456.47-SUM(BK23:BM23)</f>
        <v>222.98199999999997</v>
      </c>
      <c r="BO23" s="74">
        <f>170.68+110.69</f>
        <v>281.37</v>
      </c>
      <c r="BP23" s="74">
        <f>99.76+166.52</f>
        <v>266.28000000000003</v>
      </c>
      <c r="BQ23" s="74">
        <v>144.35</v>
      </c>
      <c r="CA23" s="81"/>
      <c r="CB23" s="81"/>
      <c r="CC23" s="81"/>
      <c r="CD23" s="81"/>
      <c r="CE23" s="81"/>
      <c r="CF23" s="81"/>
      <c r="CG23" s="81"/>
      <c r="CH23" s="81"/>
      <c r="CI23" s="81"/>
      <c r="CJ23" s="81"/>
      <c r="CK23" s="81"/>
      <c r="CL23" s="82"/>
      <c r="CM23" s="82"/>
      <c r="CN23" s="82"/>
      <c r="CO23" s="82"/>
      <c r="CP23" s="81">
        <f>SUM(BK23:BN23)</f>
        <v>1100.981</v>
      </c>
    </row>
    <row r="24" spans="2:156" ht="15">
      <c r="B24" s="64" t="s">
        <v>1208</v>
      </c>
      <c r="AU24" s="74"/>
      <c r="AV24" s="74"/>
      <c r="AW24" s="74"/>
      <c r="AX24" s="74"/>
      <c r="AY24" s="74"/>
      <c r="AZ24" s="74"/>
      <c r="BA24" s="74"/>
      <c r="BB24" s="74"/>
      <c r="BC24" s="74"/>
      <c r="BD24" s="74"/>
      <c r="BE24" s="74"/>
      <c r="BF24" s="74"/>
      <c r="BG24" s="74"/>
      <c r="BH24" s="74"/>
      <c r="BI24" s="74"/>
      <c r="BJ24" s="74"/>
      <c r="BK24" s="74">
        <f>202.576+60.06</f>
        <v>262.63599999999997</v>
      </c>
      <c r="BL24" s="74">
        <f>314.72+83.684</f>
        <v>398.404</v>
      </c>
      <c r="BM24" s="74">
        <f>328.71+91.084</f>
        <v>419.79399999999998</v>
      </c>
      <c r="BN24" s="74">
        <f>1188.91+367.66-SUM(BK24:BM24)</f>
        <v>475.73600000000033</v>
      </c>
      <c r="BO24" s="74">
        <f>197.83+65.03</f>
        <v>262.86</v>
      </c>
      <c r="BP24" s="74">
        <f>90.02+290.6</f>
        <v>380.62</v>
      </c>
      <c r="BQ24" s="74">
        <v>303.35000000000002</v>
      </c>
      <c r="CA24" s="81"/>
      <c r="CB24" s="81"/>
      <c r="CC24" s="81"/>
      <c r="CD24" s="81"/>
      <c r="CE24" s="81"/>
      <c r="CF24" s="81"/>
      <c r="CG24" s="81"/>
      <c r="CH24" s="81"/>
      <c r="CI24" s="81"/>
      <c r="CJ24" s="81"/>
      <c r="CK24" s="81"/>
      <c r="CL24" s="82"/>
      <c r="CM24" s="82"/>
      <c r="CN24" s="82"/>
      <c r="CO24" s="82"/>
      <c r="CP24" s="81">
        <f>SUM(BK24:BN24)</f>
        <v>1556.5700000000002</v>
      </c>
    </row>
    <row r="25" spans="2:156" s="2" customFormat="1" ht="15">
      <c r="B25" s="2" t="s">
        <v>119</v>
      </c>
      <c r="AU25" s="75"/>
      <c r="AV25" s="75"/>
      <c r="AW25" s="75"/>
      <c r="AX25" s="75"/>
      <c r="AY25" s="75"/>
      <c r="AZ25" s="75"/>
      <c r="BA25" s="75"/>
      <c r="BB25" s="75"/>
      <c r="BC25" s="75"/>
      <c r="BD25" s="75"/>
      <c r="BE25" s="75"/>
      <c r="BF25" s="75"/>
      <c r="BG25" s="75"/>
      <c r="BH25" s="75"/>
      <c r="BI25" s="75"/>
      <c r="BJ25" s="75"/>
      <c r="BK25" s="75">
        <f t="shared" ref="BK25:BO25" si="37">SUM(BK23:BK24)</f>
        <v>577.71600000000001</v>
      </c>
      <c r="BL25" s="75">
        <f t="shared" si="37"/>
        <v>686.21299999999997</v>
      </c>
      <c r="BM25" s="75">
        <f t="shared" si="37"/>
        <v>694.904</v>
      </c>
      <c r="BN25" s="75">
        <f t="shared" si="37"/>
        <v>698.7180000000003</v>
      </c>
      <c r="BO25" s="75">
        <f t="shared" si="37"/>
        <v>544.23</v>
      </c>
      <c r="BP25" s="75">
        <f>SUM(BP23:BP24)</f>
        <v>646.90000000000009</v>
      </c>
      <c r="BQ25" s="75">
        <f>SUM(BQ23:BQ24)</f>
        <v>447.70000000000005</v>
      </c>
      <c r="BR25" s="34"/>
      <c r="BS25" s="34"/>
      <c r="BT25" s="34"/>
      <c r="BU25" s="34"/>
      <c r="BV25" s="34"/>
      <c r="CA25" s="82"/>
      <c r="CB25" s="82"/>
      <c r="CC25" s="82"/>
      <c r="CD25" s="82"/>
      <c r="CE25" s="82"/>
      <c r="CF25" s="82"/>
      <c r="CG25" s="82"/>
      <c r="CH25" s="82"/>
      <c r="CI25" s="82"/>
      <c r="CJ25" s="82"/>
      <c r="CK25" s="82"/>
      <c r="CL25" s="82"/>
      <c r="CM25" s="82"/>
      <c r="CN25" s="82"/>
      <c r="CO25" s="82"/>
      <c r="CP25" s="82">
        <f>SUM(CP23:CP24)</f>
        <v>2657.5510000000004</v>
      </c>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c r="EJ25" s="34"/>
      <c r="EK25" s="34"/>
      <c r="EL25" s="34"/>
      <c r="EM25" s="34"/>
      <c r="EN25" s="34"/>
      <c r="EO25" s="34"/>
      <c r="EP25" s="34"/>
      <c r="EQ25" s="34"/>
      <c r="ER25" s="34"/>
      <c r="ES25" s="34"/>
      <c r="ET25" s="34"/>
      <c r="EU25" s="34"/>
      <c r="EV25" s="34"/>
      <c r="EW25" s="34"/>
      <c r="EX25" s="34"/>
      <c r="EY25" s="34"/>
      <c r="EZ25" s="34"/>
    </row>
    <row r="26" spans="2:156">
      <c r="B26" s="64" t="s">
        <v>1207</v>
      </c>
      <c r="AU26" s="74"/>
      <c r="AV26" s="74"/>
      <c r="AW26" s="74"/>
      <c r="AX26" s="74"/>
      <c r="AY26" s="74"/>
      <c r="AZ26" s="74"/>
      <c r="BA26" s="74"/>
      <c r="BB26" s="74"/>
      <c r="BC26" s="74"/>
      <c r="BD26" s="74"/>
      <c r="BE26" s="74"/>
      <c r="BF26" s="74"/>
      <c r="BG26" s="74"/>
      <c r="BH26" s="74"/>
      <c r="BI26" s="74"/>
      <c r="BJ26" s="74"/>
      <c r="BK26" s="74">
        <v>281.66000000000003</v>
      </c>
      <c r="BL26" s="74">
        <v>261.29399999999998</v>
      </c>
      <c r="BM26" s="74">
        <v>233.46</v>
      </c>
      <c r="BN26" s="74">
        <f>963.03-SUM(BK26:BM26)</f>
        <v>186.61599999999999</v>
      </c>
      <c r="BO26" s="74">
        <v>306.12200000000001</v>
      </c>
      <c r="BP26" s="74">
        <v>298.15100000000001</v>
      </c>
      <c r="BQ26" s="74">
        <v>220</v>
      </c>
      <c r="CA26" s="81"/>
      <c r="CB26" s="81"/>
      <c r="CC26" s="81"/>
      <c r="CD26" s="81"/>
      <c r="CE26" s="81"/>
      <c r="CF26" s="81"/>
      <c r="CG26" s="81"/>
      <c r="CH26" s="81"/>
      <c r="CI26" s="81"/>
      <c r="CJ26" s="81"/>
      <c r="CK26" s="81"/>
      <c r="CL26" s="81"/>
      <c r="CM26" s="81"/>
      <c r="CN26" s="81"/>
      <c r="CO26" s="81"/>
      <c r="CP26" s="81">
        <f>SUM(BK26:BN26)</f>
        <v>963.03</v>
      </c>
    </row>
    <row r="27" spans="2:156">
      <c r="B27" s="64" t="s">
        <v>1208</v>
      </c>
      <c r="AU27" s="74"/>
      <c r="AV27" s="74"/>
      <c r="AW27" s="74"/>
      <c r="AX27" s="74"/>
      <c r="AY27" s="74"/>
      <c r="AZ27" s="74"/>
      <c r="BA27" s="74"/>
      <c r="BB27" s="74"/>
      <c r="BC27" s="74"/>
      <c r="BD27" s="74"/>
      <c r="BE27" s="74"/>
      <c r="BF27" s="74"/>
      <c r="BG27" s="74"/>
      <c r="BH27" s="74"/>
      <c r="BI27" s="74"/>
      <c r="BJ27" s="74"/>
      <c r="BK27" s="74">
        <v>79.23</v>
      </c>
      <c r="BL27" s="74">
        <v>163.98</v>
      </c>
      <c r="BM27" s="74">
        <v>133.82</v>
      </c>
      <c r="BN27" s="74">
        <f>481.51-SUM(BK27:BM27)</f>
        <v>104.48000000000002</v>
      </c>
      <c r="BO27" s="74">
        <v>86.96</v>
      </c>
      <c r="BP27" s="74">
        <v>204.309</v>
      </c>
      <c r="BQ27" s="74">
        <v>168.52</v>
      </c>
      <c r="CA27" s="81"/>
      <c r="CB27" s="81"/>
      <c r="CC27" s="81"/>
      <c r="CD27" s="81"/>
      <c r="CE27" s="81"/>
      <c r="CF27" s="81"/>
      <c r="CG27" s="81"/>
      <c r="CH27" s="81"/>
      <c r="CI27" s="81"/>
      <c r="CJ27" s="81"/>
      <c r="CK27" s="81"/>
      <c r="CL27" s="81"/>
      <c r="CM27" s="81"/>
      <c r="CN27" s="81"/>
      <c r="CO27" s="81"/>
      <c r="CP27" s="81">
        <f>SUM(BK27:BN27)</f>
        <v>481.51</v>
      </c>
    </row>
    <row r="28" spans="2:156" s="2" customFormat="1" ht="15">
      <c r="B28" s="2" t="s">
        <v>1204</v>
      </c>
      <c r="AU28" s="75"/>
      <c r="AV28" s="75"/>
      <c r="AW28" s="75"/>
      <c r="AX28" s="75"/>
      <c r="AY28" s="75"/>
      <c r="AZ28" s="75"/>
      <c r="BA28" s="75"/>
      <c r="BB28" s="75"/>
      <c r="BC28" s="75"/>
      <c r="BD28" s="75"/>
      <c r="BE28" s="75"/>
      <c r="BF28" s="75"/>
      <c r="BG28" s="75"/>
      <c r="BH28" s="75"/>
      <c r="BI28" s="75"/>
      <c r="BJ28" s="75"/>
      <c r="BK28" s="75">
        <f t="shared" ref="BK28:BO28" si="38">SUM(BK26:BK27)</f>
        <v>360.89000000000004</v>
      </c>
      <c r="BL28" s="75">
        <f t="shared" si="38"/>
        <v>425.274</v>
      </c>
      <c r="BM28" s="75">
        <f t="shared" si="38"/>
        <v>367.28</v>
      </c>
      <c r="BN28" s="75">
        <f t="shared" si="38"/>
        <v>291.096</v>
      </c>
      <c r="BO28" s="75">
        <f t="shared" si="38"/>
        <v>393.08199999999999</v>
      </c>
      <c r="BP28" s="75">
        <f>SUM(BP26:BP27)</f>
        <v>502.46000000000004</v>
      </c>
      <c r="BQ28" s="75">
        <f>SUM(BQ26:BQ27)</f>
        <v>388.52</v>
      </c>
      <c r="BR28" s="34"/>
      <c r="BS28" s="34"/>
      <c r="BT28" s="34"/>
      <c r="BU28" s="34"/>
      <c r="BV28" s="34"/>
      <c r="CA28" s="82"/>
      <c r="CB28" s="82"/>
      <c r="CC28" s="82"/>
      <c r="CD28" s="82"/>
      <c r="CE28" s="82"/>
      <c r="CF28" s="82"/>
      <c r="CG28" s="82"/>
      <c r="CH28" s="82"/>
      <c r="CI28" s="82"/>
      <c r="CJ28" s="82"/>
      <c r="CK28" s="82"/>
      <c r="CL28" s="82"/>
      <c r="CM28" s="82"/>
      <c r="CN28" s="82"/>
      <c r="CO28" s="82"/>
      <c r="CP28" s="82">
        <f>SUM(CP26:CP27)</f>
        <v>1444.54</v>
      </c>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c r="EJ28" s="34"/>
      <c r="EK28" s="34"/>
      <c r="EL28" s="34"/>
      <c r="EM28" s="34"/>
      <c r="EN28" s="34"/>
      <c r="EO28" s="34"/>
      <c r="EP28" s="34"/>
      <c r="EQ28" s="34"/>
      <c r="ER28" s="34"/>
      <c r="ES28" s="34"/>
      <c r="ET28" s="34"/>
      <c r="EU28" s="34"/>
      <c r="EV28" s="34"/>
      <c r="EW28" s="34"/>
      <c r="EX28" s="34"/>
      <c r="EY28" s="34"/>
      <c r="EZ28" s="34"/>
    </row>
    <row r="29" spans="2:156" s="2" customFormat="1" ht="15">
      <c r="B29" s="2" t="s">
        <v>118</v>
      </c>
      <c r="AU29" s="75"/>
      <c r="AV29" s="75"/>
      <c r="AW29" s="75"/>
      <c r="AX29" s="75"/>
      <c r="AY29" s="75"/>
      <c r="AZ29" s="75"/>
      <c r="BA29" s="75"/>
      <c r="BB29" s="75"/>
      <c r="BC29" s="75"/>
      <c r="BD29" s="75"/>
      <c r="BE29" s="75"/>
      <c r="BF29" s="75"/>
      <c r="BG29" s="75"/>
      <c r="BH29" s="75"/>
      <c r="BI29" s="75"/>
      <c r="BJ29" s="75"/>
      <c r="BK29" s="75">
        <f t="shared" ref="BK29:BO29" si="39">BK25+BK28</f>
        <v>938.60599999999999</v>
      </c>
      <c r="BL29" s="75">
        <f t="shared" si="39"/>
        <v>1111.4870000000001</v>
      </c>
      <c r="BM29" s="75">
        <f t="shared" si="39"/>
        <v>1062.184</v>
      </c>
      <c r="BN29" s="75">
        <f t="shared" si="39"/>
        <v>989.81400000000031</v>
      </c>
      <c r="BO29" s="75">
        <f t="shared" si="39"/>
        <v>937.31200000000001</v>
      </c>
      <c r="BP29" s="75">
        <f>BP25+BP28</f>
        <v>1149.3600000000001</v>
      </c>
      <c r="BQ29" s="75">
        <f>BQ25+BQ28</f>
        <v>836.22</v>
      </c>
      <c r="BR29" s="34"/>
      <c r="BS29" s="34"/>
      <c r="BT29" s="34"/>
      <c r="BU29" s="34"/>
      <c r="BV29" s="34"/>
      <c r="CA29" s="82"/>
      <c r="CB29" s="82"/>
      <c r="CC29" s="82"/>
      <c r="CD29" s="82"/>
      <c r="CE29" s="82"/>
      <c r="CF29" s="82"/>
      <c r="CG29" s="82"/>
      <c r="CH29" s="82"/>
      <c r="CI29" s="82"/>
      <c r="CJ29" s="82"/>
      <c r="CK29" s="82"/>
      <c r="CL29" s="82"/>
      <c r="CM29" s="82"/>
      <c r="CN29" s="82"/>
      <c r="CO29" s="82"/>
      <c r="CP29" s="82">
        <f>CP25+CP28</f>
        <v>4102.0910000000003</v>
      </c>
      <c r="CQ29" s="34"/>
      <c r="CR29" s="34"/>
      <c r="CS29" s="34"/>
      <c r="CT29" s="34"/>
      <c r="CU29" s="34"/>
      <c r="CV29" s="34"/>
      <c r="CW29" s="34"/>
      <c r="CX29" s="34"/>
      <c r="CY29" s="34"/>
      <c r="CZ29" s="34"/>
      <c r="DA29" s="34"/>
      <c r="DB29" s="34"/>
      <c r="DC29" s="34"/>
      <c r="DD29" s="34"/>
      <c r="DE29" s="34"/>
      <c r="DF29" s="34"/>
      <c r="DG29" s="34"/>
      <c r="DH29" s="34"/>
      <c r="DI29" s="34"/>
      <c r="DJ29" s="34"/>
      <c r="DK29" s="34"/>
      <c r="DL29" s="34"/>
      <c r="DM29" s="34"/>
      <c r="DN29" s="34"/>
      <c r="DO29" s="34"/>
      <c r="DP29" s="34"/>
      <c r="DQ29" s="34"/>
      <c r="DR29" s="34"/>
      <c r="DS29" s="34"/>
      <c r="DT29" s="34"/>
      <c r="DU29" s="34"/>
      <c r="DV29" s="34"/>
      <c r="DW29" s="34"/>
      <c r="DX29" s="34"/>
      <c r="DY29" s="34"/>
      <c r="DZ29" s="34"/>
      <c r="EA29" s="34"/>
      <c r="EB29" s="34"/>
      <c r="EC29" s="34"/>
      <c r="ED29" s="34"/>
      <c r="EE29" s="34"/>
      <c r="EF29" s="34"/>
      <c r="EG29" s="34"/>
      <c r="EH29" s="34"/>
      <c r="EI29" s="34"/>
      <c r="EJ29" s="34"/>
      <c r="EK29" s="34"/>
      <c r="EL29" s="34"/>
      <c r="EM29" s="34"/>
      <c r="EN29" s="34"/>
      <c r="EO29" s="34"/>
      <c r="EP29" s="34"/>
      <c r="EQ29" s="34"/>
      <c r="ER29" s="34"/>
      <c r="ES29" s="34"/>
      <c r="ET29" s="34"/>
      <c r="EU29" s="34"/>
      <c r="EV29" s="34"/>
      <c r="EW29" s="34"/>
      <c r="EX29" s="34"/>
      <c r="EY29" s="34"/>
      <c r="EZ29" s="34"/>
    </row>
    <row r="31" spans="2:156">
      <c r="B31" s="1" t="s">
        <v>121</v>
      </c>
      <c r="AY31" s="72"/>
      <c r="AZ31" s="72"/>
      <c r="BA31" s="72"/>
      <c r="BB31" s="72"/>
      <c r="BC31" s="72"/>
      <c r="BD31" s="72"/>
      <c r="BE31" s="72"/>
      <c r="BF31" s="72"/>
      <c r="BG31" s="72"/>
      <c r="BH31" s="72"/>
      <c r="BI31" s="72"/>
      <c r="BJ31" s="72"/>
      <c r="BK31" s="72"/>
      <c r="BL31" s="72"/>
      <c r="BM31" s="72"/>
      <c r="BN31" s="72"/>
      <c r="BO31" s="72">
        <f t="shared" ref="BO31" si="40">BO25/BK25-1</f>
        <v>-5.7962736015620075E-2</v>
      </c>
      <c r="BP31" s="72">
        <f>BP25/BL25-1</f>
        <v>-5.7289791945066448E-2</v>
      </c>
      <c r="BQ31" s="72">
        <f>BQ25/BM25-1</f>
        <v>-0.3557383465917594</v>
      </c>
    </row>
    <row r="32" spans="2:156">
      <c r="B32" s="1" t="s">
        <v>1205</v>
      </c>
      <c r="AY32" s="72"/>
      <c r="AZ32" s="72"/>
      <c r="BA32" s="72"/>
      <c r="BB32" s="72"/>
      <c r="BC32" s="72"/>
      <c r="BD32" s="72"/>
      <c r="BE32" s="72"/>
      <c r="BF32" s="72"/>
      <c r="BG32" s="72"/>
      <c r="BH32" s="72"/>
      <c r="BI32" s="72"/>
      <c r="BJ32" s="72"/>
      <c r="BK32" s="72"/>
      <c r="BL32" s="72"/>
      <c r="BM32" s="72"/>
      <c r="BN32" s="72"/>
      <c r="BO32" s="72">
        <f t="shared" ref="BO32" si="41">BO28/BK28-1</f>
        <v>8.9201695807586745E-2</v>
      </c>
      <c r="BP32" s="72">
        <f>BP28/BL28-1</f>
        <v>0.18149710539558028</v>
      </c>
      <c r="BQ32" s="72">
        <f>BQ28/BM28-1</f>
        <v>5.7830538009148391E-2</v>
      </c>
    </row>
    <row r="33" spans="2:156" ht="15">
      <c r="B33" s="33" t="s">
        <v>172</v>
      </c>
      <c r="AY33" s="72"/>
      <c r="AZ33" s="72"/>
      <c r="BA33" s="72"/>
      <c r="BB33" s="72"/>
      <c r="BC33" s="72"/>
      <c r="BD33" s="72"/>
      <c r="BE33" s="72"/>
      <c r="BF33" s="72"/>
      <c r="BG33" s="72"/>
      <c r="BH33" s="72"/>
      <c r="BI33" s="72"/>
      <c r="BJ33" s="72"/>
      <c r="BK33" s="72"/>
      <c r="BL33" s="72"/>
      <c r="BM33" s="72"/>
      <c r="BN33" s="72"/>
      <c r="BO33" s="72">
        <f t="shared" ref="BO33" si="42">BO29/BK29-1</f>
        <v>-1.3786402388222818E-3</v>
      </c>
      <c r="BP33" s="72">
        <f>BP29/BL29-1</f>
        <v>3.4074172707373229E-2</v>
      </c>
      <c r="BQ33" s="72">
        <f>BQ29/BM29-1</f>
        <v>-0.21273526997205749</v>
      </c>
    </row>
    <row r="35" spans="2:156">
      <c r="B35" s="38" t="s">
        <v>120</v>
      </c>
      <c r="AU35" s="72"/>
      <c r="AV35" s="72"/>
      <c r="AW35" s="72"/>
      <c r="AX35" s="72"/>
      <c r="AY35" s="72"/>
      <c r="AZ35" s="72"/>
      <c r="BA35" s="72"/>
      <c r="BB35" s="72"/>
      <c r="BC35" s="72"/>
      <c r="BD35" s="72"/>
      <c r="BE35" s="72"/>
      <c r="BF35" s="72"/>
      <c r="BG35" s="72"/>
      <c r="BH35" s="72"/>
      <c r="BI35" s="72"/>
      <c r="BJ35" s="72"/>
      <c r="BK35" s="72">
        <f t="shared" ref="BK35:BO35" si="43">BK25/BK29</f>
        <v>0.61550426909693734</v>
      </c>
      <c r="BL35" s="72">
        <f t="shared" si="43"/>
        <v>0.61738283938543581</v>
      </c>
      <c r="BM35" s="72">
        <f t="shared" si="43"/>
        <v>0.65422186739773902</v>
      </c>
      <c r="BN35" s="72">
        <f t="shared" si="43"/>
        <v>0.70590838278706913</v>
      </c>
      <c r="BO35" s="72">
        <f t="shared" si="43"/>
        <v>0.58062843535556996</v>
      </c>
      <c r="BP35" s="72">
        <f>BP25/BP29</f>
        <v>0.56283496902624075</v>
      </c>
      <c r="BQ35" s="72">
        <f>BQ25/BQ29</f>
        <v>0.53538542488818741</v>
      </c>
      <c r="CP35" s="72">
        <f>CP25/CP29</f>
        <v>0.6478527658211386</v>
      </c>
    </row>
    <row r="36" spans="2:156">
      <c r="B36" s="1" t="s">
        <v>1206</v>
      </c>
      <c r="AU36" s="72"/>
      <c r="AV36" s="72"/>
      <c r="AW36" s="72"/>
      <c r="AX36" s="72"/>
      <c r="AY36" s="72"/>
      <c r="AZ36" s="72"/>
      <c r="BA36" s="72"/>
      <c r="BB36" s="72"/>
      <c r="BC36" s="72"/>
      <c r="BD36" s="72"/>
      <c r="BE36" s="72"/>
      <c r="BF36" s="72"/>
      <c r="BG36" s="72"/>
      <c r="BH36" s="72"/>
      <c r="BI36" s="72"/>
      <c r="BJ36" s="72"/>
      <c r="BK36" s="72">
        <f t="shared" ref="BK36:BO36" si="44">BK28/BK29</f>
        <v>0.38449573090306266</v>
      </c>
      <c r="BL36" s="72">
        <f t="shared" si="44"/>
        <v>0.38261716061456408</v>
      </c>
      <c r="BM36" s="72">
        <f t="shared" si="44"/>
        <v>0.34577813260226098</v>
      </c>
      <c r="BN36" s="72">
        <f t="shared" si="44"/>
        <v>0.29409161721293081</v>
      </c>
      <c r="BO36" s="72">
        <f t="shared" si="44"/>
        <v>0.41937156464443004</v>
      </c>
      <c r="BP36" s="72">
        <f>BP28/BP29</f>
        <v>0.43716503097375931</v>
      </c>
      <c r="BQ36" s="72">
        <f>BQ28/BQ29</f>
        <v>0.46461457511181264</v>
      </c>
      <c r="CP36" s="72">
        <f>CP28/CP29</f>
        <v>0.3521472341788614</v>
      </c>
    </row>
    <row r="38" spans="2:156" s="2" customFormat="1" ht="15">
      <c r="B38" s="2" t="s">
        <v>117</v>
      </c>
      <c r="C38" s="75">
        <v>134.88999999999999</v>
      </c>
      <c r="D38" s="75">
        <v>197.72</v>
      </c>
      <c r="E38" s="75">
        <v>177.14</v>
      </c>
      <c r="F38" s="75">
        <v>136.01</v>
      </c>
      <c r="G38" s="75">
        <v>166.85</v>
      </c>
      <c r="H38" s="75">
        <v>228</v>
      </c>
      <c r="I38" s="75">
        <v>215.6</v>
      </c>
      <c r="J38" s="75">
        <v>179.19</v>
      </c>
      <c r="K38" s="75">
        <v>226.7</v>
      </c>
      <c r="L38" s="75">
        <v>295.60000000000002</v>
      </c>
      <c r="M38" s="75">
        <v>274.89999999999998</v>
      </c>
      <c r="N38" s="75">
        <v>203.7</v>
      </c>
      <c r="O38" s="75">
        <v>271.8</v>
      </c>
      <c r="P38" s="75">
        <v>330.9</v>
      </c>
      <c r="Q38" s="75">
        <v>295.60000000000002</v>
      </c>
      <c r="R38" s="75">
        <v>225</v>
      </c>
      <c r="S38" s="75">
        <v>311.7</v>
      </c>
      <c r="T38" s="75">
        <v>363.8</v>
      </c>
      <c r="U38" s="75">
        <v>288.5</v>
      </c>
      <c r="V38" s="75">
        <v>228.7</v>
      </c>
      <c r="W38" s="75">
        <v>312.39999999999998</v>
      </c>
      <c r="X38" s="75">
        <v>376.9</v>
      </c>
      <c r="Y38" s="75">
        <v>302.39999999999998</v>
      </c>
      <c r="Z38" s="75">
        <v>206.5</v>
      </c>
      <c r="AA38" s="75">
        <v>262.2</v>
      </c>
      <c r="AB38" s="75">
        <v>345.7</v>
      </c>
      <c r="AC38" s="75">
        <v>274.10000000000002</v>
      </c>
      <c r="AD38" s="75">
        <v>208.7</v>
      </c>
      <c r="AE38" s="75">
        <v>279.10000000000002</v>
      </c>
      <c r="AF38" s="75">
        <v>323.8</v>
      </c>
      <c r="AG38" s="75">
        <v>245.9</v>
      </c>
      <c r="AH38" s="75">
        <v>187.4</v>
      </c>
      <c r="AI38" s="75">
        <v>267.89999999999998</v>
      </c>
      <c r="AJ38" s="75">
        <v>313.2</v>
      </c>
      <c r="AK38" s="75">
        <v>243.3</v>
      </c>
      <c r="AL38" s="75">
        <v>199.1</v>
      </c>
      <c r="AM38" s="75">
        <v>283.10000000000002</v>
      </c>
      <c r="AN38" s="75">
        <v>328</v>
      </c>
      <c r="AO38" s="75">
        <v>261.10000000000002</v>
      </c>
      <c r="AP38" s="75">
        <v>216</v>
      </c>
      <c r="AQ38" s="75">
        <v>295.89999999999998</v>
      </c>
      <c r="AR38" s="75">
        <v>358.9</v>
      </c>
      <c r="AS38" s="75">
        <v>312.8</v>
      </c>
      <c r="AT38" s="75">
        <v>263</v>
      </c>
      <c r="AU38" s="75">
        <f t="shared" ref="AU38:BP38" si="45">AU10</f>
        <v>281.15999999999997</v>
      </c>
      <c r="AV38" s="75">
        <f t="shared" si="45"/>
        <v>331.54700000000003</v>
      </c>
      <c r="AW38" s="75">
        <f t="shared" si="45"/>
        <v>361.73599999999999</v>
      </c>
      <c r="AX38" s="75">
        <f t="shared" si="45"/>
        <v>411.50800000000004</v>
      </c>
      <c r="AY38" s="75">
        <f t="shared" si="45"/>
        <v>460.09799999999996</v>
      </c>
      <c r="AZ38" s="75">
        <f t="shared" si="45"/>
        <v>640.76600000000008</v>
      </c>
      <c r="BA38" s="75">
        <f t="shared" si="45"/>
        <v>625.91899999999998</v>
      </c>
      <c r="BB38" s="75">
        <f t="shared" si="45"/>
        <v>586.63200000000006</v>
      </c>
      <c r="BC38" s="75">
        <f t="shared" si="45"/>
        <v>660.13300000000004</v>
      </c>
      <c r="BD38" s="75">
        <f t="shared" si="45"/>
        <v>964.58100000000002</v>
      </c>
      <c r="BE38" s="75">
        <f t="shared" si="45"/>
        <v>985.09400000000005</v>
      </c>
      <c r="BF38" s="75">
        <f t="shared" si="45"/>
        <v>945.1719999999998</v>
      </c>
      <c r="BG38" s="75">
        <f t="shared" si="45"/>
        <v>884.15</v>
      </c>
      <c r="BH38" s="75">
        <f t="shared" si="45"/>
        <v>1072.3630000000001</v>
      </c>
      <c r="BI38" s="75">
        <f t="shared" si="45"/>
        <v>1045.7139999999999</v>
      </c>
      <c r="BJ38" s="75">
        <f t="shared" si="45"/>
        <v>960.11500000000024</v>
      </c>
      <c r="BK38" s="75">
        <f t="shared" si="45"/>
        <v>938.61999999999989</v>
      </c>
      <c r="BL38" s="75">
        <f t="shared" si="45"/>
        <v>1111.501</v>
      </c>
      <c r="BM38" s="75">
        <f t="shared" si="45"/>
        <v>1062.1879999999999</v>
      </c>
      <c r="BN38" s="75">
        <f t="shared" si="45"/>
        <v>989.79000000000019</v>
      </c>
      <c r="BO38" s="75">
        <f t="shared" si="45"/>
        <v>937.31999999999994</v>
      </c>
      <c r="BP38" s="75">
        <f t="shared" si="45"/>
        <v>1149.3630000000001</v>
      </c>
      <c r="BQ38" s="75">
        <f t="shared" ref="BQ38" si="46">BQ10</f>
        <v>996.29600000000005</v>
      </c>
      <c r="BR38" s="34"/>
      <c r="BS38" s="34"/>
      <c r="BT38" s="34"/>
      <c r="BU38" s="34"/>
      <c r="BV38" s="34"/>
      <c r="CA38" s="75">
        <f t="shared" ref="CA38:CA50" si="47">SUM(C38:E38)</f>
        <v>509.75</v>
      </c>
      <c r="CB38" s="75">
        <f t="shared" ref="CB38:CB50" si="48">SUM(F38:I38)</f>
        <v>746.46</v>
      </c>
      <c r="CC38" s="75">
        <f t="shared" ref="CC38:CC50" si="49">SUM(K38:N38)</f>
        <v>1000.8999999999999</v>
      </c>
      <c r="CD38" s="75">
        <f t="shared" ref="CD38:CD50" si="50">SUM(O38:R38)</f>
        <v>1123.3000000000002</v>
      </c>
      <c r="CE38" s="75">
        <f t="shared" ref="CE38:CE50" si="51">SUM(S38:V38)</f>
        <v>1192.7</v>
      </c>
      <c r="CF38" s="75">
        <f t="shared" ref="CF38:CF50" si="52">SUM(W38:Z38)</f>
        <v>1198.1999999999998</v>
      </c>
      <c r="CG38" s="75">
        <f t="shared" ref="CG38:CG50" si="53">SUM(AA38:AD38)</f>
        <v>1090.7</v>
      </c>
      <c r="CH38" s="75">
        <f t="shared" ref="CH38:CH50" si="54">SUM(AE38:AH38)</f>
        <v>1036.2</v>
      </c>
      <c r="CI38" s="75">
        <f t="shared" ref="CI38:CI50" si="55">SUM(AI38:AL38)</f>
        <v>1023.4999999999999</v>
      </c>
      <c r="CJ38" s="75">
        <f t="shared" ref="CJ38:CJ50" si="56">SUM(AM38:AP38)</f>
        <v>1088.2</v>
      </c>
      <c r="CK38" s="75">
        <f t="shared" ref="CK38:CK50" si="57">SUM(AQ38:AT38)</f>
        <v>1230.5999999999999</v>
      </c>
      <c r="CL38" s="75">
        <f t="shared" ref="CL38:CL50" si="58">SUM(AU38:AX38)</f>
        <v>1385.951</v>
      </c>
      <c r="CM38" s="75">
        <f t="shared" ref="CM38:CM50" si="59">SUM(AY38:BB38)</f>
        <v>2313.415</v>
      </c>
      <c r="CN38" s="75">
        <f t="shared" ref="CN38:CN50" si="60">SUM(BC38:BF38)</f>
        <v>3554.9799999999996</v>
      </c>
      <c r="CO38" s="75">
        <f t="shared" ref="CO38:CO50" si="61">SUM(BG38:BJ38)</f>
        <v>3962.3420000000001</v>
      </c>
      <c r="CP38" s="75">
        <f t="shared" ref="CP38:CP50" si="62">SUM(BK38:BN38)</f>
        <v>4102.0990000000002</v>
      </c>
      <c r="CQ38" s="78">
        <f>CQ10</f>
        <v>4108.6219650000003</v>
      </c>
      <c r="CR38" s="78">
        <f t="shared" ref="CR38:CZ38" si="63">CR10</f>
        <v>4158.7905765999994</v>
      </c>
      <c r="CS38" s="78">
        <f t="shared" si="63"/>
        <v>4349.3214016559996</v>
      </c>
      <c r="CT38" s="78">
        <f t="shared" si="63"/>
        <v>4554.3024580969304</v>
      </c>
      <c r="CU38" s="78">
        <f t="shared" si="63"/>
        <v>4753.7576874798979</v>
      </c>
      <c r="CV38" s="78">
        <f t="shared" si="63"/>
        <v>4954.8693190385538</v>
      </c>
      <c r="CW38" s="78">
        <f t="shared" si="63"/>
        <v>5152.8849112494963</v>
      </c>
      <c r="CX38" s="78">
        <f t="shared" si="63"/>
        <v>5356.2930696717676</v>
      </c>
      <c r="CY38" s="78">
        <f t="shared" si="63"/>
        <v>5561.0922342779795</v>
      </c>
      <c r="CZ38" s="78">
        <f t="shared" si="63"/>
        <v>5767.4878457351333</v>
      </c>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c r="EJ38" s="34"/>
      <c r="EK38" s="34"/>
      <c r="EL38" s="34"/>
      <c r="EM38" s="34"/>
      <c r="EN38" s="34"/>
      <c r="EO38" s="34"/>
      <c r="EP38" s="34"/>
      <c r="EQ38" s="34"/>
      <c r="ER38" s="34"/>
      <c r="ES38" s="34"/>
      <c r="ET38" s="34"/>
      <c r="EU38" s="34"/>
      <c r="EV38" s="34"/>
      <c r="EW38" s="34"/>
      <c r="EX38" s="34"/>
      <c r="EY38" s="34"/>
      <c r="EZ38" s="34"/>
    </row>
    <row r="39" spans="2:156">
      <c r="B39" s="1" t="s">
        <v>122</v>
      </c>
      <c r="C39" s="74">
        <v>85.161000000000001</v>
      </c>
      <c r="D39" s="74">
        <v>96.61</v>
      </c>
      <c r="E39" s="74">
        <v>87.29</v>
      </c>
      <c r="F39" s="74">
        <v>75.739999999999995</v>
      </c>
      <c r="G39" s="74">
        <v>80.14</v>
      </c>
      <c r="H39" s="74">
        <v>96.1</v>
      </c>
      <c r="I39" s="74">
        <v>96.8</v>
      </c>
      <c r="J39" s="1">
        <v>92.85</v>
      </c>
      <c r="K39" s="74">
        <v>107.5</v>
      </c>
      <c r="L39" s="74">
        <v>125.4</v>
      </c>
      <c r="M39" s="74">
        <v>127.7</v>
      </c>
      <c r="N39" s="74">
        <v>103.9</v>
      </c>
      <c r="O39" s="74">
        <v>127</v>
      </c>
      <c r="P39" s="74">
        <v>134.9</v>
      </c>
      <c r="Q39" s="74">
        <v>134.80000000000001</v>
      </c>
      <c r="R39" s="74">
        <v>118.6</v>
      </c>
      <c r="S39" s="74">
        <v>145.80000000000001</v>
      </c>
      <c r="T39" s="74">
        <v>163</v>
      </c>
      <c r="U39" s="74">
        <v>134.9</v>
      </c>
      <c r="V39" s="74">
        <v>125.8</v>
      </c>
      <c r="W39" s="74">
        <v>156.19999999999999</v>
      </c>
      <c r="X39" s="74">
        <v>174.3</v>
      </c>
      <c r="Y39" s="74">
        <v>147.4</v>
      </c>
      <c r="Z39" s="74">
        <v>129.9</v>
      </c>
      <c r="AA39" s="74">
        <v>134.80000000000001</v>
      </c>
      <c r="AB39" s="74">
        <v>155.80000000000001</v>
      </c>
      <c r="AC39" s="74">
        <v>153.30000000000001</v>
      </c>
      <c r="AD39" s="74">
        <v>135.9</v>
      </c>
      <c r="AE39" s="74">
        <v>149.80000000000001</v>
      </c>
      <c r="AF39" s="74">
        <v>154.19999999999999</v>
      </c>
      <c r="AG39" s="74">
        <v>123.5</v>
      </c>
      <c r="AH39" s="74">
        <v>108.7</v>
      </c>
      <c r="AI39" s="74">
        <v>134.30000000000001</v>
      </c>
      <c r="AJ39" s="74">
        <v>143.4</v>
      </c>
      <c r="AK39" s="74">
        <v>119.8</v>
      </c>
      <c r="AL39" s="74">
        <v>108.7</v>
      </c>
      <c r="AM39" s="74">
        <v>143.30000000000001</v>
      </c>
      <c r="AN39" s="74">
        <v>146.6</v>
      </c>
      <c r="AO39" s="74">
        <v>122</v>
      </c>
      <c r="AP39" s="74">
        <v>116.2</v>
      </c>
      <c r="AQ39" s="74">
        <v>158.30000000000001</v>
      </c>
      <c r="AR39" s="74">
        <v>169.5</v>
      </c>
      <c r="AS39" s="74">
        <v>148.9</v>
      </c>
      <c r="AT39" s="74">
        <v>136.69999999999999</v>
      </c>
      <c r="AU39" s="74">
        <v>146.99799999999999</v>
      </c>
      <c r="AV39" s="74">
        <v>151.61600000000001</v>
      </c>
      <c r="AW39" s="74">
        <v>154.96700000000001</v>
      </c>
      <c r="AX39" s="74">
        <f>636-SUM(AU39:AW39)</f>
        <v>182.41899999999998</v>
      </c>
      <c r="AY39" s="74">
        <v>206.87899999999999</v>
      </c>
      <c r="AZ39" s="74">
        <v>245.59200000000001</v>
      </c>
      <c r="BA39" s="74">
        <v>226.12299999999999</v>
      </c>
      <c r="BB39" s="74">
        <f>893.19-SUM(AY39:BA39)</f>
        <v>214.596</v>
      </c>
      <c r="BC39" s="74">
        <v>335.22399999999999</v>
      </c>
      <c r="BD39" s="74">
        <v>466.84800000000001</v>
      </c>
      <c r="BE39" s="74">
        <v>443.79199999999997</v>
      </c>
      <c r="BF39" s="74">
        <f>1694.703-SUM(BC39:BE39)</f>
        <v>448.83899999999994</v>
      </c>
      <c r="BG39" s="74">
        <v>407.79599999999999</v>
      </c>
      <c r="BH39" s="74">
        <v>451.06</v>
      </c>
      <c r="BI39" s="74">
        <v>464.08100000000002</v>
      </c>
      <c r="BJ39" s="74">
        <f>1752.33-SUM(BG39:BI39)</f>
        <v>429.39300000000003</v>
      </c>
      <c r="BK39" s="74">
        <v>416.55599999999998</v>
      </c>
      <c r="BL39" s="74">
        <v>429.58600000000001</v>
      </c>
      <c r="BM39" s="74">
        <v>428.86099999999999</v>
      </c>
      <c r="BN39" s="74">
        <f>1691.85-SUM(BK39:BM39)</f>
        <v>416.84699999999975</v>
      </c>
      <c r="BO39" s="74">
        <v>395.78</v>
      </c>
      <c r="BP39" s="74">
        <v>440.53699999999998</v>
      </c>
      <c r="BQ39" s="74">
        <v>413.29</v>
      </c>
      <c r="CA39" s="74">
        <f t="shared" si="47"/>
        <v>269.06100000000004</v>
      </c>
      <c r="CB39" s="74">
        <f t="shared" si="48"/>
        <v>348.78</v>
      </c>
      <c r="CC39" s="74">
        <f t="shared" si="49"/>
        <v>464.5</v>
      </c>
      <c r="CD39" s="74">
        <f t="shared" si="50"/>
        <v>515.29999999999995</v>
      </c>
      <c r="CE39" s="74">
        <f t="shared" si="51"/>
        <v>569.5</v>
      </c>
      <c r="CF39" s="74">
        <f t="shared" si="52"/>
        <v>607.79999999999995</v>
      </c>
      <c r="CG39" s="74">
        <f t="shared" si="53"/>
        <v>579.80000000000007</v>
      </c>
      <c r="CH39" s="74">
        <f t="shared" si="54"/>
        <v>536.20000000000005</v>
      </c>
      <c r="CI39" s="74">
        <f t="shared" si="55"/>
        <v>506.20000000000005</v>
      </c>
      <c r="CJ39" s="74">
        <f t="shared" si="56"/>
        <v>528.1</v>
      </c>
      <c r="CK39" s="74">
        <f t="shared" si="57"/>
        <v>613.40000000000009</v>
      </c>
      <c r="CL39" s="74">
        <f t="shared" si="58"/>
        <v>636</v>
      </c>
      <c r="CM39" s="74">
        <f t="shared" si="59"/>
        <v>893.19</v>
      </c>
      <c r="CN39" s="74">
        <f t="shared" si="60"/>
        <v>1694.703</v>
      </c>
      <c r="CO39" s="74">
        <f t="shared" si="61"/>
        <v>1752.33</v>
      </c>
      <c r="CP39" s="74">
        <f t="shared" si="62"/>
        <v>1691.85</v>
      </c>
      <c r="CQ39" s="77">
        <f>CQ38*(1-CQ54)</f>
        <v>1725.6212253000003</v>
      </c>
      <c r="CR39" s="77">
        <f t="shared" ref="CR39:CZ39" si="64">CR38*(1-CR54)</f>
        <v>1684.310183523</v>
      </c>
      <c r="CS39" s="77">
        <f t="shared" si="64"/>
        <v>1739.7285606624</v>
      </c>
      <c r="CT39" s="77">
        <f t="shared" si="64"/>
        <v>1798.9494709482876</v>
      </c>
      <c r="CU39" s="77">
        <f t="shared" si="64"/>
        <v>1853.9654981171602</v>
      </c>
      <c r="CV39" s="77">
        <f t="shared" si="64"/>
        <v>1907.6246878298432</v>
      </c>
      <c r="CW39" s="77">
        <f t="shared" si="64"/>
        <v>1983.8606908310562</v>
      </c>
      <c r="CX39" s="77">
        <f t="shared" si="64"/>
        <v>2062.1728318236305</v>
      </c>
      <c r="CY39" s="77">
        <f t="shared" si="64"/>
        <v>2141.0205101970223</v>
      </c>
      <c r="CZ39" s="77">
        <f t="shared" si="64"/>
        <v>2220.4828206080265</v>
      </c>
    </row>
    <row r="40" spans="2:156">
      <c r="B40" s="1" t="s">
        <v>123</v>
      </c>
      <c r="C40" s="74">
        <f t="shared" ref="C40:I40" si="65">C38-C39</f>
        <v>49.728999999999985</v>
      </c>
      <c r="D40" s="74">
        <f t="shared" si="65"/>
        <v>101.11</v>
      </c>
      <c r="E40" s="74">
        <f t="shared" si="65"/>
        <v>89.84999999999998</v>
      </c>
      <c r="F40" s="74">
        <f t="shared" si="65"/>
        <v>60.269999999999996</v>
      </c>
      <c r="G40" s="74">
        <f t="shared" si="65"/>
        <v>86.71</v>
      </c>
      <c r="H40" s="74">
        <f t="shared" si="65"/>
        <v>131.9</v>
      </c>
      <c r="I40" s="74">
        <f t="shared" si="65"/>
        <v>118.8</v>
      </c>
      <c r="J40" s="74">
        <f t="shared" ref="J40" si="66">J38-J39</f>
        <v>86.34</v>
      </c>
      <c r="K40" s="74">
        <f t="shared" ref="K40:AT40" si="67">K38-K39</f>
        <v>119.19999999999999</v>
      </c>
      <c r="L40" s="74">
        <f t="shared" si="67"/>
        <v>170.20000000000002</v>
      </c>
      <c r="M40" s="74">
        <f t="shared" si="67"/>
        <v>147.19999999999999</v>
      </c>
      <c r="N40" s="74">
        <f t="shared" si="67"/>
        <v>99.799999999999983</v>
      </c>
      <c r="O40" s="74">
        <f t="shared" si="67"/>
        <v>144.80000000000001</v>
      </c>
      <c r="P40" s="74">
        <f t="shared" si="67"/>
        <v>195.99999999999997</v>
      </c>
      <c r="Q40" s="74">
        <f t="shared" si="67"/>
        <v>160.80000000000001</v>
      </c>
      <c r="R40" s="74">
        <f t="shared" si="67"/>
        <v>106.4</v>
      </c>
      <c r="S40" s="74">
        <f t="shared" si="67"/>
        <v>165.89999999999998</v>
      </c>
      <c r="T40" s="74">
        <f t="shared" si="67"/>
        <v>200.8</v>
      </c>
      <c r="U40" s="74">
        <f t="shared" si="67"/>
        <v>153.6</v>
      </c>
      <c r="V40" s="74">
        <f t="shared" si="67"/>
        <v>102.89999999999999</v>
      </c>
      <c r="W40" s="74">
        <f t="shared" si="67"/>
        <v>156.19999999999999</v>
      </c>
      <c r="X40" s="74">
        <f t="shared" si="67"/>
        <v>202.59999999999997</v>
      </c>
      <c r="Y40" s="74">
        <f t="shared" si="67"/>
        <v>154.99999999999997</v>
      </c>
      <c r="Z40" s="74">
        <f t="shared" si="67"/>
        <v>76.599999999999994</v>
      </c>
      <c r="AA40" s="74">
        <f t="shared" si="67"/>
        <v>127.39999999999998</v>
      </c>
      <c r="AB40" s="74">
        <f t="shared" si="67"/>
        <v>189.89999999999998</v>
      </c>
      <c r="AC40" s="74">
        <f t="shared" si="67"/>
        <v>120.80000000000001</v>
      </c>
      <c r="AD40" s="74">
        <f t="shared" si="67"/>
        <v>72.799999999999983</v>
      </c>
      <c r="AE40" s="74">
        <f t="shared" si="67"/>
        <v>129.30000000000001</v>
      </c>
      <c r="AF40" s="74">
        <f t="shared" si="67"/>
        <v>169.60000000000002</v>
      </c>
      <c r="AG40" s="74">
        <f t="shared" si="67"/>
        <v>122.4</v>
      </c>
      <c r="AH40" s="74">
        <f t="shared" si="67"/>
        <v>78.7</v>
      </c>
      <c r="AI40" s="74">
        <f t="shared" si="67"/>
        <v>133.59999999999997</v>
      </c>
      <c r="AJ40" s="74">
        <f t="shared" si="67"/>
        <v>169.79999999999998</v>
      </c>
      <c r="AK40" s="74">
        <f t="shared" si="67"/>
        <v>123.50000000000001</v>
      </c>
      <c r="AL40" s="74">
        <f t="shared" si="67"/>
        <v>90.399999999999991</v>
      </c>
      <c r="AM40" s="74">
        <f t="shared" si="67"/>
        <v>139.80000000000001</v>
      </c>
      <c r="AN40" s="74">
        <f t="shared" si="67"/>
        <v>181.4</v>
      </c>
      <c r="AO40" s="74">
        <f t="shared" si="67"/>
        <v>139.10000000000002</v>
      </c>
      <c r="AP40" s="74">
        <f t="shared" si="67"/>
        <v>99.8</v>
      </c>
      <c r="AQ40" s="74">
        <f t="shared" si="67"/>
        <v>137.59999999999997</v>
      </c>
      <c r="AR40" s="74">
        <f t="shared" si="67"/>
        <v>189.39999999999998</v>
      </c>
      <c r="AS40" s="74">
        <f t="shared" si="67"/>
        <v>163.9</v>
      </c>
      <c r="AT40" s="74">
        <f t="shared" si="67"/>
        <v>126.30000000000001</v>
      </c>
      <c r="AU40" s="74">
        <f t="shared" ref="AU40:BN40" si="68">AU38-AU39</f>
        <v>134.16199999999998</v>
      </c>
      <c r="AV40" s="74">
        <f t="shared" si="68"/>
        <v>179.93100000000001</v>
      </c>
      <c r="AW40" s="74">
        <f t="shared" si="68"/>
        <v>206.76899999999998</v>
      </c>
      <c r="AX40" s="74">
        <f t="shared" si="68"/>
        <v>229.08900000000006</v>
      </c>
      <c r="AY40" s="74">
        <f t="shared" si="68"/>
        <v>253.21899999999997</v>
      </c>
      <c r="AZ40" s="74">
        <f t="shared" si="68"/>
        <v>395.17400000000009</v>
      </c>
      <c r="BA40" s="74">
        <f t="shared" si="68"/>
        <v>399.79599999999999</v>
      </c>
      <c r="BB40" s="74">
        <f t="shared" si="68"/>
        <v>372.03600000000006</v>
      </c>
      <c r="BC40" s="74">
        <f t="shared" si="68"/>
        <v>324.90900000000005</v>
      </c>
      <c r="BD40" s="74">
        <f t="shared" si="68"/>
        <v>497.733</v>
      </c>
      <c r="BE40" s="74">
        <f t="shared" si="68"/>
        <v>541.30200000000013</v>
      </c>
      <c r="BF40" s="74">
        <f t="shared" si="68"/>
        <v>496.33299999999986</v>
      </c>
      <c r="BG40" s="74">
        <f t="shared" si="68"/>
        <v>476.35399999999998</v>
      </c>
      <c r="BH40" s="74">
        <f t="shared" si="68"/>
        <v>621.30300000000011</v>
      </c>
      <c r="BI40" s="74">
        <f t="shared" si="68"/>
        <v>581.63299999999992</v>
      </c>
      <c r="BJ40" s="74">
        <f t="shared" si="68"/>
        <v>530.72200000000021</v>
      </c>
      <c r="BK40" s="74">
        <f t="shared" si="68"/>
        <v>522.06399999999985</v>
      </c>
      <c r="BL40" s="74">
        <f t="shared" si="68"/>
        <v>681.91499999999996</v>
      </c>
      <c r="BM40" s="74">
        <f t="shared" si="68"/>
        <v>633.32699999999988</v>
      </c>
      <c r="BN40" s="74">
        <f t="shared" si="68"/>
        <v>572.94300000000044</v>
      </c>
      <c r="BO40" s="74">
        <f>BO38-BO39</f>
        <v>541.54</v>
      </c>
      <c r="BP40" s="74">
        <f>BP38-BP39</f>
        <v>708.82600000000002</v>
      </c>
      <c r="BQ40" s="74">
        <f>BQ38-BQ39</f>
        <v>583.00600000000009</v>
      </c>
      <c r="CA40" s="74">
        <f t="shared" si="47"/>
        <v>240.68899999999996</v>
      </c>
      <c r="CB40" s="74">
        <f t="shared" si="48"/>
        <v>397.68</v>
      </c>
      <c r="CC40" s="74">
        <f t="shared" si="49"/>
        <v>536.4</v>
      </c>
      <c r="CD40" s="74">
        <f t="shared" si="50"/>
        <v>608</v>
      </c>
      <c r="CE40" s="74">
        <f t="shared" si="51"/>
        <v>623.19999999999993</v>
      </c>
      <c r="CF40" s="74">
        <f t="shared" si="52"/>
        <v>590.4</v>
      </c>
      <c r="CG40" s="74">
        <f t="shared" si="53"/>
        <v>510.9</v>
      </c>
      <c r="CH40" s="74">
        <f t="shared" si="54"/>
        <v>500.00000000000006</v>
      </c>
      <c r="CI40" s="74">
        <f t="shared" si="55"/>
        <v>517.29999999999995</v>
      </c>
      <c r="CJ40" s="74">
        <f t="shared" si="56"/>
        <v>560.1</v>
      </c>
      <c r="CK40" s="74">
        <f t="shared" si="57"/>
        <v>617.20000000000005</v>
      </c>
      <c r="CL40" s="74">
        <f t="shared" si="58"/>
        <v>749.95100000000002</v>
      </c>
      <c r="CM40" s="74">
        <f t="shared" si="59"/>
        <v>1420.2250000000001</v>
      </c>
      <c r="CN40" s="74">
        <f t="shared" si="60"/>
        <v>1860.277</v>
      </c>
      <c r="CO40" s="74">
        <f t="shared" si="61"/>
        <v>2210.0120000000002</v>
      </c>
      <c r="CP40" s="74">
        <f t="shared" si="62"/>
        <v>2410.2489999999998</v>
      </c>
      <c r="CQ40" s="77">
        <f>CQ38-CQ39</f>
        <v>2383.0007396999999</v>
      </c>
      <c r="CR40" s="77">
        <f t="shared" ref="CR40:CZ40" si="69">CR38-CR39</f>
        <v>2474.4803930769995</v>
      </c>
      <c r="CS40" s="77">
        <f t="shared" si="69"/>
        <v>2609.5928409935996</v>
      </c>
      <c r="CT40" s="77">
        <f t="shared" si="69"/>
        <v>2755.3529871486426</v>
      </c>
      <c r="CU40" s="77">
        <f t="shared" si="69"/>
        <v>2899.7921893627376</v>
      </c>
      <c r="CV40" s="77">
        <f t="shared" si="69"/>
        <v>3047.2446312087104</v>
      </c>
      <c r="CW40" s="77">
        <f t="shared" si="69"/>
        <v>3169.0242204184401</v>
      </c>
      <c r="CX40" s="77">
        <f t="shared" si="69"/>
        <v>3294.1202378481371</v>
      </c>
      <c r="CY40" s="77">
        <f t="shared" si="69"/>
        <v>3420.0717240809572</v>
      </c>
      <c r="CZ40" s="77">
        <f t="shared" si="69"/>
        <v>3547.0050251271068</v>
      </c>
    </row>
    <row r="41" spans="2:156">
      <c r="B41" s="1" t="s">
        <v>1209</v>
      </c>
      <c r="C41" s="74">
        <v>68.739999999999995</v>
      </c>
      <c r="D41" s="74">
        <v>94.605999999999995</v>
      </c>
      <c r="E41" s="74">
        <v>79.150000000000006</v>
      </c>
      <c r="F41" s="74">
        <v>77.2</v>
      </c>
      <c r="G41" s="74">
        <v>77.308999999999997</v>
      </c>
      <c r="H41" s="74">
        <v>93.2</v>
      </c>
      <c r="I41" s="74">
        <v>91.4</v>
      </c>
      <c r="J41" s="1">
        <v>81.94</v>
      </c>
      <c r="K41" s="74">
        <v>88.6</v>
      </c>
      <c r="L41" s="74">
        <v>108.5</v>
      </c>
      <c r="M41" s="74">
        <v>111.7</v>
      </c>
      <c r="N41" s="74">
        <v>96</v>
      </c>
      <c r="O41" s="74">
        <v>104.3</v>
      </c>
      <c r="P41" s="74">
        <v>124.7</v>
      </c>
      <c r="Q41" s="74">
        <v>120.7</v>
      </c>
      <c r="R41" s="74">
        <v>110.7</v>
      </c>
      <c r="S41" s="74">
        <v>128.19999999999999</v>
      </c>
      <c r="T41" s="74">
        <v>150.19999999999999</v>
      </c>
      <c r="U41" s="74">
        <v>135.69999999999999</v>
      </c>
      <c r="V41" s="74">
        <v>135</v>
      </c>
      <c r="W41" s="74">
        <v>137.19999999999999</v>
      </c>
      <c r="X41" s="74">
        <v>153.4</v>
      </c>
      <c r="Y41" s="74">
        <v>143.69999999999999</v>
      </c>
      <c r="Z41" s="74">
        <v>131.5</v>
      </c>
      <c r="AA41" s="74">
        <v>126.1</v>
      </c>
      <c r="AB41" s="74">
        <v>168.6</v>
      </c>
      <c r="AC41" s="74">
        <v>135.1</v>
      </c>
      <c r="AD41" s="74">
        <v>138</v>
      </c>
      <c r="AE41" s="74">
        <v>115.1</v>
      </c>
      <c r="AF41" s="74">
        <v>149</v>
      </c>
      <c r="AG41" s="74">
        <v>123.6</v>
      </c>
      <c r="AH41" s="74">
        <v>115.4</v>
      </c>
      <c r="AI41" s="74">
        <v>118</v>
      </c>
      <c r="AJ41" s="74">
        <v>140.4</v>
      </c>
      <c r="AK41" s="74">
        <v>120.8</v>
      </c>
      <c r="AL41" s="74">
        <v>115.5</v>
      </c>
      <c r="AM41" s="74">
        <v>114</v>
      </c>
      <c r="AN41" s="74">
        <v>144.30000000000001</v>
      </c>
      <c r="AO41" s="74">
        <v>125.2</v>
      </c>
      <c r="AP41" s="74">
        <v>111.6</v>
      </c>
      <c r="AQ41" s="74">
        <v>105</v>
      </c>
      <c r="AR41" s="74">
        <v>141.5</v>
      </c>
      <c r="AS41" s="74">
        <v>123.9</v>
      </c>
      <c r="AT41" s="74">
        <v>118</v>
      </c>
      <c r="AU41" s="74">
        <v>113.35</v>
      </c>
      <c r="AV41" s="74">
        <v>123.33799999999999</v>
      </c>
      <c r="AW41" s="74">
        <v>134.68</v>
      </c>
      <c r="AX41" s="74">
        <f>514.753-SUM(AU41:AW41)</f>
        <v>143.38500000000005</v>
      </c>
      <c r="AY41" s="74">
        <v>128.53299999999999</v>
      </c>
      <c r="AZ41" s="74">
        <v>199.85900000000001</v>
      </c>
      <c r="BA41" s="74">
        <v>196.72800000000001</v>
      </c>
      <c r="BB41" s="74">
        <f>737.156-SUM(AY41:BA41)</f>
        <v>212.03599999999994</v>
      </c>
      <c r="BC41" s="74">
        <v>206.24700000000001</v>
      </c>
      <c r="BD41" s="74">
        <v>249.76</v>
      </c>
      <c r="BE41" s="74">
        <v>277.23899999999998</v>
      </c>
      <c r="BF41" s="74">
        <f>1009.526-SUM(BC41:BE41)</f>
        <v>276.27999999999997</v>
      </c>
      <c r="BG41" s="74">
        <v>241.44200000000001</v>
      </c>
      <c r="BH41" s="74">
        <v>302.81799999999998</v>
      </c>
      <c r="BI41" s="74">
        <v>307.78399999999999</v>
      </c>
      <c r="BJ41" s="74">
        <f>1173.227-SUM(BG41:BI41)</f>
        <v>321.18300000000011</v>
      </c>
      <c r="BK41" s="74">
        <v>295.64800000000002</v>
      </c>
      <c r="BL41" s="74">
        <v>356.178</v>
      </c>
      <c r="BM41" s="74">
        <v>363.51</v>
      </c>
      <c r="BN41" s="74">
        <f>1388.34-SUM(BK41:BM41)</f>
        <v>373.00399999999991</v>
      </c>
      <c r="BO41" s="74">
        <v>318.57499999999999</v>
      </c>
      <c r="BP41" s="74">
        <v>398.23</v>
      </c>
      <c r="BQ41" s="74">
        <v>375.34</v>
      </c>
      <c r="CA41" s="74">
        <f t="shared" si="47"/>
        <v>242.49600000000001</v>
      </c>
      <c r="CB41" s="74">
        <f t="shared" si="48"/>
        <v>339.10900000000004</v>
      </c>
      <c r="CC41" s="74">
        <f t="shared" si="49"/>
        <v>404.8</v>
      </c>
      <c r="CD41" s="74">
        <f t="shared" si="50"/>
        <v>460.4</v>
      </c>
      <c r="CE41" s="74">
        <f t="shared" si="51"/>
        <v>549.09999999999991</v>
      </c>
      <c r="CF41" s="74">
        <f t="shared" si="52"/>
        <v>565.79999999999995</v>
      </c>
      <c r="CG41" s="74">
        <f t="shared" si="53"/>
        <v>567.79999999999995</v>
      </c>
      <c r="CH41" s="74">
        <f t="shared" si="54"/>
        <v>503.1</v>
      </c>
      <c r="CI41" s="74">
        <f t="shared" si="55"/>
        <v>494.7</v>
      </c>
      <c r="CJ41" s="74">
        <f t="shared" si="56"/>
        <v>495.1</v>
      </c>
      <c r="CK41" s="74">
        <f t="shared" si="57"/>
        <v>488.4</v>
      </c>
      <c r="CL41" s="74">
        <f t="shared" si="58"/>
        <v>514.75300000000004</v>
      </c>
      <c r="CM41" s="74">
        <f t="shared" si="59"/>
        <v>737.15599999999995</v>
      </c>
      <c r="CN41" s="74">
        <f t="shared" si="60"/>
        <v>1009.526</v>
      </c>
      <c r="CO41" s="74">
        <f t="shared" si="61"/>
        <v>1173.2270000000001</v>
      </c>
      <c r="CP41" s="74">
        <f t="shared" si="62"/>
        <v>1388.34</v>
      </c>
      <c r="CQ41" s="77">
        <f>CQ38*CQ55</f>
        <v>1409.2573339950002</v>
      </c>
      <c r="CR41" s="77">
        <f t="shared" ref="CR41:CZ41" si="70">CR38*CR55</f>
        <v>1434.7827489269996</v>
      </c>
      <c r="CS41" s="77">
        <f t="shared" si="70"/>
        <v>1489.64258006718</v>
      </c>
      <c r="CT41" s="77">
        <f t="shared" si="70"/>
        <v>1548.4628357529564</v>
      </c>
      <c r="CU41" s="77">
        <f t="shared" si="70"/>
        <v>1604.3932195244656</v>
      </c>
      <c r="CV41" s="77">
        <f t="shared" si="70"/>
        <v>1659.8812218779156</v>
      </c>
      <c r="CW41" s="77">
        <f t="shared" si="70"/>
        <v>1713.3342329904576</v>
      </c>
      <c r="CX41" s="77">
        <f t="shared" si="70"/>
        <v>1767.5767129916835</v>
      </c>
      <c r="CY41" s="77">
        <f t="shared" si="70"/>
        <v>1821.2577067260384</v>
      </c>
      <c r="CZ41" s="77">
        <f t="shared" si="70"/>
        <v>1874.4335498639184</v>
      </c>
    </row>
    <row r="42" spans="2:156">
      <c r="B42" s="1" t="s">
        <v>1248</v>
      </c>
      <c r="C42" s="74">
        <v>3.4</v>
      </c>
      <c r="D42" s="74">
        <v>6.6</v>
      </c>
      <c r="E42" s="74">
        <v>0</v>
      </c>
      <c r="F42" s="74">
        <v>21.6</v>
      </c>
      <c r="G42" s="74">
        <v>0</v>
      </c>
      <c r="H42" s="74">
        <v>0</v>
      </c>
      <c r="I42" s="74">
        <v>0</v>
      </c>
      <c r="J42" s="1">
        <v>1.8</v>
      </c>
      <c r="K42" s="74">
        <v>1</v>
      </c>
      <c r="L42" s="74">
        <v>0</v>
      </c>
      <c r="M42" s="74">
        <v>0.5</v>
      </c>
      <c r="N42" s="74">
        <v>-2.2999999999999998</v>
      </c>
      <c r="O42" s="74">
        <v>0.7</v>
      </c>
      <c r="P42" s="74">
        <v>0</v>
      </c>
      <c r="Q42" s="74">
        <v>0.1</v>
      </c>
      <c r="R42" s="74">
        <v>0.6</v>
      </c>
      <c r="S42" s="74">
        <v>0.1</v>
      </c>
      <c r="T42" s="74">
        <v>0.2</v>
      </c>
      <c r="U42" s="74">
        <v>0</v>
      </c>
      <c r="V42" s="74">
        <v>10.8</v>
      </c>
      <c r="W42" s="74">
        <v>2.2000000000000002</v>
      </c>
      <c r="X42" s="74">
        <v>7.3</v>
      </c>
      <c r="Y42" s="74">
        <v>10.199999999999999</v>
      </c>
      <c r="Z42" s="74">
        <v>9.6999999999999993</v>
      </c>
      <c r="AA42" s="74">
        <v>3.7</v>
      </c>
      <c r="AB42" s="74">
        <v>5</v>
      </c>
      <c r="AC42" s="74">
        <v>6.4</v>
      </c>
      <c r="AD42" s="74">
        <v>0.4</v>
      </c>
      <c r="AE42" s="74">
        <v>0</v>
      </c>
      <c r="AF42" s="74">
        <v>0</v>
      </c>
      <c r="AG42" s="74">
        <v>0</v>
      </c>
      <c r="AH42" s="74">
        <v>3.1</v>
      </c>
      <c r="AI42" s="74">
        <v>0</v>
      </c>
      <c r="AJ42" s="74">
        <v>0</v>
      </c>
      <c r="AK42" s="74">
        <v>0</v>
      </c>
      <c r="AL42" s="74">
        <v>5.3</v>
      </c>
      <c r="AM42" s="74">
        <v>0</v>
      </c>
      <c r="AN42" s="74">
        <v>0</v>
      </c>
      <c r="AO42" s="74">
        <v>0</v>
      </c>
      <c r="AP42" s="74">
        <v>2.1</v>
      </c>
      <c r="AQ42" s="74">
        <v>0</v>
      </c>
      <c r="AR42" s="74">
        <v>0</v>
      </c>
      <c r="AS42" s="74">
        <v>0</v>
      </c>
      <c r="AT42" s="74">
        <v>0</v>
      </c>
      <c r="AU42" s="74">
        <v>0</v>
      </c>
      <c r="AV42" s="74">
        <v>0</v>
      </c>
      <c r="AW42" s="74">
        <v>0</v>
      </c>
      <c r="AX42" s="74">
        <f>21.071-SUM(AU42:AW42)</f>
        <v>21.071000000000002</v>
      </c>
      <c r="AY42" s="74">
        <v>0</v>
      </c>
      <c r="AZ42" s="74">
        <v>0</v>
      </c>
      <c r="BA42" s="74">
        <v>0</v>
      </c>
      <c r="BB42" s="74">
        <f>0-SUM(AY42:BA42)</f>
        <v>0</v>
      </c>
      <c r="BC42" s="74">
        <v>0</v>
      </c>
      <c r="BD42" s="74">
        <v>0</v>
      </c>
      <c r="BE42" s="74">
        <v>0</v>
      </c>
      <c r="BF42" s="74">
        <f>0-SUM(BC42:BE42)</f>
        <v>0</v>
      </c>
      <c r="BG42" s="74">
        <v>0</v>
      </c>
      <c r="BH42" s="74">
        <v>0</v>
      </c>
      <c r="BI42" s="74">
        <v>0</v>
      </c>
      <c r="BJ42" s="74">
        <f>0-SUM(BG42:BI42)</f>
        <v>0</v>
      </c>
      <c r="BK42" s="74">
        <v>0</v>
      </c>
      <c r="BL42" s="74">
        <v>0</v>
      </c>
      <c r="BM42" s="74">
        <v>0</v>
      </c>
      <c r="BN42" s="74">
        <f>0-SUM(BK42:BM42)</f>
        <v>0</v>
      </c>
      <c r="BO42" s="74">
        <v>0</v>
      </c>
      <c r="BP42" s="74">
        <v>738.11500000000001</v>
      </c>
      <c r="BQ42" s="74">
        <v>0</v>
      </c>
      <c r="CA42" s="74">
        <f t="shared" si="47"/>
        <v>10</v>
      </c>
      <c r="CB42" s="74">
        <f t="shared" si="48"/>
        <v>21.6</v>
      </c>
      <c r="CC42" s="74">
        <f t="shared" si="49"/>
        <v>-0.79999999999999982</v>
      </c>
      <c r="CD42" s="74">
        <f t="shared" si="50"/>
        <v>1.4</v>
      </c>
      <c r="CE42" s="74">
        <f t="shared" si="51"/>
        <v>11.100000000000001</v>
      </c>
      <c r="CF42" s="74">
        <f t="shared" si="52"/>
        <v>29.4</v>
      </c>
      <c r="CG42" s="74">
        <f t="shared" si="53"/>
        <v>15.5</v>
      </c>
      <c r="CH42" s="74">
        <f t="shared" si="54"/>
        <v>3.1</v>
      </c>
      <c r="CI42" s="74">
        <f t="shared" si="55"/>
        <v>5.3</v>
      </c>
      <c r="CJ42" s="74">
        <f t="shared" si="56"/>
        <v>2.1</v>
      </c>
      <c r="CK42" s="74">
        <f t="shared" si="57"/>
        <v>0</v>
      </c>
      <c r="CL42" s="74">
        <f t="shared" si="58"/>
        <v>21.071000000000002</v>
      </c>
      <c r="CM42" s="74">
        <f t="shared" si="59"/>
        <v>0</v>
      </c>
      <c r="CN42" s="74">
        <f t="shared" si="60"/>
        <v>0</v>
      </c>
      <c r="CO42" s="74">
        <f t="shared" si="61"/>
        <v>0</v>
      </c>
      <c r="CP42" s="74">
        <f t="shared" si="62"/>
        <v>0</v>
      </c>
      <c r="CQ42" s="77">
        <v>0</v>
      </c>
      <c r="CR42" s="77">
        <v>0</v>
      </c>
      <c r="CS42" s="77">
        <v>0</v>
      </c>
      <c r="CT42" s="77">
        <v>0</v>
      </c>
      <c r="CU42" s="77">
        <v>0</v>
      </c>
      <c r="CV42" s="77">
        <v>0</v>
      </c>
      <c r="CW42" s="77">
        <v>0</v>
      </c>
      <c r="CX42" s="77">
        <v>0</v>
      </c>
      <c r="CY42" s="77">
        <v>0</v>
      </c>
      <c r="CZ42" s="77">
        <v>0</v>
      </c>
    </row>
    <row r="43" spans="2:156">
      <c r="B43" s="1" t="s">
        <v>1210</v>
      </c>
      <c r="C43" s="74">
        <f t="shared" ref="C43" si="71">C40-SUM(C41:C42)</f>
        <v>-22.411000000000016</v>
      </c>
      <c r="D43" s="74">
        <f t="shared" ref="D43" si="72">D40-SUM(D41:D42)</f>
        <v>-9.5999999999989427E-2</v>
      </c>
      <c r="E43" s="74">
        <f t="shared" ref="E43" si="73">E40-SUM(E41:E42)</f>
        <v>10.699999999999974</v>
      </c>
      <c r="F43" s="74">
        <f t="shared" ref="F43" si="74">F40-SUM(F41:F42)</f>
        <v>-38.530000000000015</v>
      </c>
      <c r="G43" s="74">
        <f t="shared" ref="G43" si="75">G40-SUM(G41:G42)</f>
        <v>9.4009999999999962</v>
      </c>
      <c r="H43" s="74">
        <f t="shared" ref="H43" si="76">H40-SUM(H41:H42)</f>
        <v>38.700000000000003</v>
      </c>
      <c r="I43" s="74">
        <f t="shared" ref="I43:J43" si="77">I40-SUM(I41:I42)</f>
        <v>27.399999999999991</v>
      </c>
      <c r="J43" s="74">
        <f t="shared" si="77"/>
        <v>2.6000000000000085</v>
      </c>
      <c r="K43" s="74">
        <f t="shared" ref="K43" si="78">K40-SUM(K41:K42)</f>
        <v>29.599999999999994</v>
      </c>
      <c r="L43" s="74">
        <f t="shared" ref="L43" si="79">L40-SUM(L41:L42)</f>
        <v>61.700000000000017</v>
      </c>
      <c r="M43" s="74">
        <f t="shared" ref="M43" si="80">M40-SUM(M41:M42)</f>
        <v>34.999999999999986</v>
      </c>
      <c r="N43" s="74">
        <f t="shared" ref="N43" si="81">N40-SUM(N41:N42)</f>
        <v>6.0999999999999801</v>
      </c>
      <c r="O43" s="74">
        <f t="shared" ref="O43" si="82">O40-SUM(O41:O42)</f>
        <v>39.800000000000011</v>
      </c>
      <c r="P43" s="74">
        <f t="shared" ref="P43" si="83">P40-SUM(P41:P42)</f>
        <v>71.299999999999969</v>
      </c>
      <c r="Q43" s="74">
        <f t="shared" ref="Q43" si="84">Q40-SUM(Q41:Q42)</f>
        <v>40.000000000000014</v>
      </c>
      <c r="R43" s="74">
        <f t="shared" ref="R43" si="85">R40-SUM(R41:R42)</f>
        <v>-4.8999999999999915</v>
      </c>
      <c r="S43" s="74">
        <f t="shared" ref="S43" si="86">S40-SUM(S41:S42)</f>
        <v>37.599999999999994</v>
      </c>
      <c r="T43" s="74">
        <f t="shared" ref="T43" si="87">T40-SUM(T41:T42)</f>
        <v>50.400000000000034</v>
      </c>
      <c r="U43" s="74">
        <f t="shared" ref="U43" si="88">U40-SUM(U41:U42)</f>
        <v>17.900000000000006</v>
      </c>
      <c r="V43" s="74">
        <f t="shared" ref="V43" si="89">V40-SUM(V41:V42)</f>
        <v>-42.90000000000002</v>
      </c>
      <c r="W43" s="74">
        <f t="shared" ref="W43" si="90">W40-SUM(W41:W42)</f>
        <v>16.800000000000011</v>
      </c>
      <c r="X43" s="74">
        <f t="shared" ref="X43" si="91">X40-SUM(X41:X42)</f>
        <v>41.899999999999949</v>
      </c>
      <c r="Y43" s="74">
        <f t="shared" ref="Y43" si="92">Y40-SUM(Y41:Y42)</f>
        <v>1.0999999999999943</v>
      </c>
      <c r="Z43" s="74">
        <f t="shared" ref="Z43" si="93">Z40-SUM(Z41:Z42)</f>
        <v>-64.599999999999994</v>
      </c>
      <c r="AA43" s="74">
        <f t="shared" ref="AA43" si="94">AA40-SUM(AA41:AA42)</f>
        <v>-2.4000000000000057</v>
      </c>
      <c r="AB43" s="74">
        <f t="shared" ref="AB43" si="95">AB40-SUM(AB41:AB42)</f>
        <v>16.299999999999983</v>
      </c>
      <c r="AC43" s="74">
        <f t="shared" ref="AC43" si="96">AC40-SUM(AC41:AC42)</f>
        <v>-20.699999999999989</v>
      </c>
      <c r="AD43" s="74">
        <f t="shared" ref="AD43" si="97">AD40-SUM(AD41:AD42)</f>
        <v>-65.600000000000023</v>
      </c>
      <c r="AE43" s="74">
        <f t="shared" ref="AE43" si="98">AE40-SUM(AE41:AE42)</f>
        <v>14.200000000000017</v>
      </c>
      <c r="AF43" s="74">
        <f t="shared" ref="AF43" si="99">AF40-SUM(AF41:AF42)</f>
        <v>20.600000000000023</v>
      </c>
      <c r="AG43" s="74">
        <f t="shared" ref="AG43" si="100">AG40-SUM(AG41:AG42)</f>
        <v>-1.1999999999999886</v>
      </c>
      <c r="AH43" s="74">
        <f t="shared" ref="AH43" si="101">AH40-SUM(AH41:AH42)</f>
        <v>-39.799999999999997</v>
      </c>
      <c r="AI43" s="74">
        <f t="shared" ref="AI43" si="102">AI40-SUM(AI41:AI42)</f>
        <v>15.599999999999966</v>
      </c>
      <c r="AJ43" s="74">
        <f t="shared" ref="AJ43" si="103">AJ40-SUM(AJ41:AJ42)</f>
        <v>29.399999999999977</v>
      </c>
      <c r="AK43" s="74">
        <f t="shared" ref="AK43" si="104">AK40-SUM(AK41:AK42)</f>
        <v>2.7000000000000171</v>
      </c>
      <c r="AL43" s="74">
        <f t="shared" ref="AL43" si="105">AL40-SUM(AL41:AL42)</f>
        <v>-30.400000000000006</v>
      </c>
      <c r="AM43" s="74">
        <f t="shared" ref="AM43" si="106">AM40-SUM(AM41:AM42)</f>
        <v>25.800000000000011</v>
      </c>
      <c r="AN43" s="74">
        <f t="shared" ref="AN43" si="107">AN40-SUM(AN41:AN42)</f>
        <v>37.099999999999994</v>
      </c>
      <c r="AO43" s="74">
        <f t="shared" ref="AO43" si="108">AO40-SUM(AO41:AO42)</f>
        <v>13.90000000000002</v>
      </c>
      <c r="AP43" s="74">
        <f t="shared" ref="AP43" si="109">AP40-SUM(AP41:AP42)</f>
        <v>-13.899999999999991</v>
      </c>
      <c r="AQ43" s="74">
        <f t="shared" ref="AQ43" si="110">AQ40-SUM(AQ41:AQ42)</f>
        <v>32.599999999999966</v>
      </c>
      <c r="AR43" s="74">
        <f t="shared" ref="AR43" si="111">AR40-SUM(AR41:AR42)</f>
        <v>47.899999999999977</v>
      </c>
      <c r="AS43" s="74">
        <f t="shared" ref="AS43" si="112">AS40-SUM(AS41:AS42)</f>
        <v>40</v>
      </c>
      <c r="AT43" s="74">
        <f t="shared" ref="AT43" si="113">AT40-SUM(AT41:AT42)</f>
        <v>8.3000000000000114</v>
      </c>
      <c r="AU43" s="74">
        <f t="shared" ref="AU43:BO43" si="114">AU40-SUM(AU41:AU42)</f>
        <v>20.811999999999983</v>
      </c>
      <c r="AV43" s="74">
        <f t="shared" si="114"/>
        <v>56.593000000000018</v>
      </c>
      <c r="AW43" s="74">
        <f t="shared" si="114"/>
        <v>72.08899999999997</v>
      </c>
      <c r="AX43" s="74">
        <f t="shared" si="114"/>
        <v>64.63300000000001</v>
      </c>
      <c r="AY43" s="74">
        <f t="shared" si="114"/>
        <v>124.68599999999998</v>
      </c>
      <c r="AZ43" s="74">
        <f t="shared" si="114"/>
        <v>195.31500000000008</v>
      </c>
      <c r="BA43" s="74">
        <f t="shared" si="114"/>
        <v>203.06799999999998</v>
      </c>
      <c r="BB43" s="74">
        <f t="shared" si="114"/>
        <v>160.00000000000011</v>
      </c>
      <c r="BC43" s="74">
        <f t="shared" si="114"/>
        <v>118.66200000000003</v>
      </c>
      <c r="BD43" s="74">
        <f t="shared" si="114"/>
        <v>247.97300000000001</v>
      </c>
      <c r="BE43" s="74">
        <f t="shared" si="114"/>
        <v>264.06300000000016</v>
      </c>
      <c r="BF43" s="74">
        <f t="shared" si="114"/>
        <v>220.05299999999988</v>
      </c>
      <c r="BG43" s="74">
        <f t="shared" si="114"/>
        <v>234.91199999999998</v>
      </c>
      <c r="BH43" s="74">
        <f t="shared" si="114"/>
        <v>318.48500000000013</v>
      </c>
      <c r="BI43" s="74">
        <f t="shared" si="114"/>
        <v>273.84899999999993</v>
      </c>
      <c r="BJ43" s="74">
        <f t="shared" si="114"/>
        <v>209.5390000000001</v>
      </c>
      <c r="BK43" s="74">
        <f t="shared" si="114"/>
        <v>226.41599999999983</v>
      </c>
      <c r="BL43" s="74">
        <f t="shared" si="114"/>
        <v>325.73699999999997</v>
      </c>
      <c r="BM43" s="74">
        <f t="shared" si="114"/>
        <v>269.81699999999989</v>
      </c>
      <c r="BN43" s="74">
        <f t="shared" si="114"/>
        <v>199.93900000000053</v>
      </c>
      <c r="BO43" s="74">
        <f t="shared" si="114"/>
        <v>222.96499999999997</v>
      </c>
      <c r="BP43" s="74">
        <f>BP40-SUM(BP41:BP42)</f>
        <v>-427.51900000000001</v>
      </c>
      <c r="BQ43" s="74">
        <f>BQ40-SUM(BQ41:BQ42)</f>
        <v>207.66600000000011</v>
      </c>
      <c r="CA43" s="74">
        <f t="shared" si="47"/>
        <v>-11.807000000000031</v>
      </c>
      <c r="CB43" s="74">
        <f t="shared" si="48"/>
        <v>36.970999999999975</v>
      </c>
      <c r="CC43" s="74">
        <f t="shared" si="49"/>
        <v>132.39999999999998</v>
      </c>
      <c r="CD43" s="74">
        <f t="shared" si="50"/>
        <v>146.19999999999999</v>
      </c>
      <c r="CE43" s="74">
        <f t="shared" si="51"/>
        <v>63.000000000000014</v>
      </c>
      <c r="CF43" s="74">
        <f t="shared" si="52"/>
        <v>-4.8000000000000398</v>
      </c>
      <c r="CG43" s="74">
        <f t="shared" si="53"/>
        <v>-72.400000000000034</v>
      </c>
      <c r="CH43" s="74">
        <f t="shared" si="54"/>
        <v>-6.199999999999946</v>
      </c>
      <c r="CI43" s="74">
        <f t="shared" si="55"/>
        <v>17.299999999999955</v>
      </c>
      <c r="CJ43" s="74">
        <f t="shared" si="56"/>
        <v>62.900000000000034</v>
      </c>
      <c r="CK43" s="74">
        <f t="shared" si="57"/>
        <v>128.79999999999995</v>
      </c>
      <c r="CL43" s="74">
        <f t="shared" si="58"/>
        <v>214.12699999999998</v>
      </c>
      <c r="CM43" s="74">
        <f t="shared" si="59"/>
        <v>683.06900000000019</v>
      </c>
      <c r="CN43" s="74">
        <f t="shared" si="60"/>
        <v>850.75100000000009</v>
      </c>
      <c r="CO43" s="74">
        <f t="shared" si="61"/>
        <v>1036.7850000000003</v>
      </c>
      <c r="CP43" s="74">
        <f t="shared" si="62"/>
        <v>1021.9090000000002</v>
      </c>
      <c r="CQ43" s="77">
        <f>CQ40-SUM(CQ41:CQ42)</f>
        <v>973.74340570499976</v>
      </c>
      <c r="CR43" s="77">
        <f t="shared" ref="CR43:CZ43" si="115">CR40-SUM(CR41:CR42)</f>
        <v>1039.6976441499999</v>
      </c>
      <c r="CS43" s="77">
        <f t="shared" si="115"/>
        <v>1119.9502609264196</v>
      </c>
      <c r="CT43" s="77">
        <f t="shared" si="115"/>
        <v>1206.8901513956862</v>
      </c>
      <c r="CU43" s="77">
        <f t="shared" si="115"/>
        <v>1295.398969838272</v>
      </c>
      <c r="CV43" s="77">
        <f t="shared" si="115"/>
        <v>1387.3634093307949</v>
      </c>
      <c r="CW43" s="77">
        <f t="shared" si="115"/>
        <v>1455.6899874279825</v>
      </c>
      <c r="CX43" s="77">
        <f t="shared" si="115"/>
        <v>1526.5435248564536</v>
      </c>
      <c r="CY43" s="77">
        <f t="shared" si="115"/>
        <v>1598.8140173549189</v>
      </c>
      <c r="CZ43" s="77">
        <f t="shared" si="115"/>
        <v>1672.5714752631884</v>
      </c>
    </row>
    <row r="44" spans="2:156">
      <c r="B44" s="1" t="s">
        <v>1211</v>
      </c>
      <c r="C44" s="74">
        <v>0</v>
      </c>
      <c r="D44" s="74">
        <v>0</v>
      </c>
      <c r="E44" s="74">
        <v>0</v>
      </c>
      <c r="F44" s="74">
        <v>0</v>
      </c>
      <c r="G44" s="74">
        <v>0</v>
      </c>
      <c r="H44" s="74">
        <v>0</v>
      </c>
      <c r="I44" s="74">
        <v>0</v>
      </c>
      <c r="J44" s="74">
        <v>0</v>
      </c>
      <c r="K44" s="74">
        <v>0</v>
      </c>
      <c r="L44" s="74">
        <v>0</v>
      </c>
      <c r="M44" s="74">
        <v>0</v>
      </c>
      <c r="N44" s="74">
        <v>0</v>
      </c>
      <c r="O44" s="74">
        <v>0</v>
      </c>
      <c r="P44" s="74">
        <v>0</v>
      </c>
      <c r="Q44" s="74">
        <v>0</v>
      </c>
      <c r="R44" s="74">
        <v>0</v>
      </c>
      <c r="S44" s="74">
        <v>0</v>
      </c>
      <c r="T44" s="74">
        <v>0</v>
      </c>
      <c r="U44" s="74">
        <v>0</v>
      </c>
      <c r="V44" s="74">
        <v>0</v>
      </c>
      <c r="W44" s="74">
        <v>0</v>
      </c>
      <c r="X44" s="74">
        <v>0</v>
      </c>
      <c r="Y44" s="74">
        <v>0</v>
      </c>
      <c r="Z44" s="74">
        <v>0</v>
      </c>
      <c r="AA44" s="74">
        <v>0</v>
      </c>
      <c r="AB44" s="74">
        <v>0</v>
      </c>
      <c r="AC44" s="74">
        <v>0</v>
      </c>
      <c r="AD44" s="74">
        <v>0</v>
      </c>
      <c r="AE44" s="74">
        <v>0</v>
      </c>
      <c r="AF44" s="74">
        <v>0</v>
      </c>
      <c r="AG44" s="74">
        <v>0</v>
      </c>
      <c r="AH44" s="74">
        <v>0</v>
      </c>
      <c r="AI44" s="74">
        <v>0</v>
      </c>
      <c r="AJ44" s="74">
        <v>0</v>
      </c>
      <c r="AK44" s="74">
        <v>0</v>
      </c>
      <c r="AL44" s="74">
        <v>0</v>
      </c>
      <c r="AM44" s="74">
        <v>0</v>
      </c>
      <c r="AN44" s="74">
        <v>0</v>
      </c>
      <c r="AO44" s="74">
        <v>0</v>
      </c>
      <c r="AP44" s="74">
        <v>0</v>
      </c>
      <c r="AQ44" s="74">
        <v>0</v>
      </c>
      <c r="AR44" s="74">
        <v>0</v>
      </c>
      <c r="AS44" s="74">
        <v>0</v>
      </c>
      <c r="AT44" s="74">
        <v>0</v>
      </c>
      <c r="AU44" s="74">
        <v>-0.23100000000000001</v>
      </c>
      <c r="AV44" s="74">
        <v>-0.68700000000000006</v>
      </c>
      <c r="AW44" s="74">
        <v>-0.51600000000000001</v>
      </c>
      <c r="AX44" s="74">
        <f>-1.128-SUM(AU44:AW44)</f>
        <v>0.30600000000000027</v>
      </c>
      <c r="AY44" s="74">
        <v>-0.504</v>
      </c>
      <c r="AZ44" s="74">
        <v>-0.11700000000000001</v>
      </c>
      <c r="BA44" s="74">
        <v>0.53700000000000003</v>
      </c>
      <c r="BB44" s="74">
        <f>-0.14-SUM(AY44:BA44)</f>
        <v>-5.600000000000005E-2</v>
      </c>
      <c r="BC44" s="74">
        <v>0.48</v>
      </c>
      <c r="BD44" s="74">
        <v>-1.202</v>
      </c>
      <c r="BE44" s="74">
        <v>-0.39300000000000002</v>
      </c>
      <c r="BF44" s="74">
        <f>3.228-SUM(BC44:BE44)</f>
        <v>4.343</v>
      </c>
      <c r="BG44" s="74">
        <v>-0.40300000000000002</v>
      </c>
      <c r="BH44" s="74">
        <v>0.55100000000000005</v>
      </c>
      <c r="BI44" s="74">
        <v>-1.77</v>
      </c>
      <c r="BJ44" s="74">
        <f>-1.24-SUM(BG44:BI44)</f>
        <v>0.3819999999999999</v>
      </c>
      <c r="BK44" s="74">
        <v>-2.27</v>
      </c>
      <c r="BL44" s="74">
        <v>-1.323</v>
      </c>
      <c r="BM44" s="74">
        <v>-0.33200000000000002</v>
      </c>
      <c r="BN44" s="74">
        <f>-6.77-SUM(BK44:BM44)</f>
        <v>-2.8449999999999998</v>
      </c>
      <c r="BO44" s="74">
        <v>4.87</v>
      </c>
      <c r="BP44" s="74">
        <v>0.434</v>
      </c>
      <c r="BQ44" s="74">
        <v>2.95</v>
      </c>
      <c r="CA44" s="74">
        <f t="shared" si="47"/>
        <v>0</v>
      </c>
      <c r="CB44" s="74">
        <f t="shared" si="48"/>
        <v>0</v>
      </c>
      <c r="CC44" s="74">
        <f t="shared" si="49"/>
        <v>0</v>
      </c>
      <c r="CD44" s="74">
        <f t="shared" si="50"/>
        <v>0</v>
      </c>
      <c r="CE44" s="74">
        <f t="shared" si="51"/>
        <v>0</v>
      </c>
      <c r="CF44" s="74">
        <f t="shared" si="52"/>
        <v>0</v>
      </c>
      <c r="CG44" s="74">
        <f t="shared" si="53"/>
        <v>0</v>
      </c>
      <c r="CH44" s="74">
        <f t="shared" si="54"/>
        <v>0</v>
      </c>
      <c r="CI44" s="74">
        <f t="shared" si="55"/>
        <v>0</v>
      </c>
      <c r="CJ44" s="74">
        <f t="shared" si="56"/>
        <v>0</v>
      </c>
      <c r="CK44" s="74">
        <f t="shared" si="57"/>
        <v>0</v>
      </c>
      <c r="CL44" s="74">
        <f t="shared" si="58"/>
        <v>-1.1279999999999999</v>
      </c>
      <c r="CM44" s="74">
        <f t="shared" si="59"/>
        <v>-0.14000000000000001</v>
      </c>
      <c r="CN44" s="74">
        <f t="shared" si="60"/>
        <v>3.2279999999999998</v>
      </c>
      <c r="CO44" s="74">
        <f t="shared" si="61"/>
        <v>-1.24</v>
      </c>
      <c r="CP44" s="74">
        <f t="shared" si="62"/>
        <v>-6.77</v>
      </c>
      <c r="CQ44" s="77">
        <v>0</v>
      </c>
      <c r="CR44" s="77">
        <v>0</v>
      </c>
      <c r="CS44" s="77">
        <v>0</v>
      </c>
      <c r="CT44" s="77">
        <v>0</v>
      </c>
      <c r="CU44" s="77">
        <v>0</v>
      </c>
      <c r="CV44" s="77">
        <v>0</v>
      </c>
      <c r="CW44" s="77">
        <v>0</v>
      </c>
      <c r="CX44" s="77">
        <v>0</v>
      </c>
      <c r="CY44" s="77">
        <v>0</v>
      </c>
      <c r="CZ44" s="77">
        <v>0</v>
      </c>
    </row>
    <row r="45" spans="2:156">
      <c r="B45" s="1" t="s">
        <v>1212</v>
      </c>
      <c r="C45" s="74">
        <v>0</v>
      </c>
      <c r="D45" s="74">
        <v>0</v>
      </c>
      <c r="E45" s="74">
        <v>0</v>
      </c>
      <c r="F45" s="74">
        <v>0</v>
      </c>
      <c r="G45" s="74">
        <v>0</v>
      </c>
      <c r="H45" s="74">
        <v>0</v>
      </c>
      <c r="I45" s="74">
        <v>0</v>
      </c>
      <c r="J45" s="74">
        <v>0</v>
      </c>
      <c r="K45" s="74">
        <v>0</v>
      </c>
      <c r="L45" s="74">
        <v>0</v>
      </c>
      <c r="M45" s="74">
        <v>0</v>
      </c>
      <c r="N45" s="74">
        <v>0</v>
      </c>
      <c r="O45" s="74">
        <v>0</v>
      </c>
      <c r="P45" s="74">
        <v>0</v>
      </c>
      <c r="Q45" s="74">
        <v>0</v>
      </c>
      <c r="R45" s="74">
        <v>0</v>
      </c>
      <c r="S45" s="74">
        <v>0</v>
      </c>
      <c r="T45" s="74">
        <v>0</v>
      </c>
      <c r="U45" s="74">
        <v>0</v>
      </c>
      <c r="V45" s="74">
        <v>0</v>
      </c>
      <c r="W45" s="74">
        <v>0</v>
      </c>
      <c r="X45" s="74">
        <v>0</v>
      </c>
      <c r="Y45" s="74">
        <v>0</v>
      </c>
      <c r="Z45" s="74">
        <v>0</v>
      </c>
      <c r="AA45" s="74">
        <v>0</v>
      </c>
      <c r="AB45" s="74">
        <v>0</v>
      </c>
      <c r="AC45" s="74">
        <v>0</v>
      </c>
      <c r="AD45" s="74">
        <v>0</v>
      </c>
      <c r="AE45" s="74">
        <v>0</v>
      </c>
      <c r="AF45" s="74">
        <v>0</v>
      </c>
      <c r="AG45" s="74">
        <v>0</v>
      </c>
      <c r="AH45" s="74">
        <v>0</v>
      </c>
      <c r="AI45" s="74">
        <v>0</v>
      </c>
      <c r="AJ45" s="74">
        <v>0</v>
      </c>
      <c r="AK45" s="74">
        <v>0</v>
      </c>
      <c r="AL45" s="74">
        <v>0</v>
      </c>
      <c r="AM45" s="74">
        <v>0</v>
      </c>
      <c r="AN45" s="74">
        <v>0</v>
      </c>
      <c r="AO45" s="74">
        <v>0</v>
      </c>
      <c r="AP45" s="74">
        <v>0</v>
      </c>
      <c r="AQ45" s="74">
        <v>0</v>
      </c>
      <c r="AR45" s="74">
        <v>0</v>
      </c>
      <c r="AS45" s="74">
        <v>0</v>
      </c>
      <c r="AT45" s="74">
        <v>0</v>
      </c>
      <c r="AU45" s="74">
        <v>9.7000000000000003E-2</v>
      </c>
      <c r="AV45" s="74">
        <v>4.9000000000000002E-2</v>
      </c>
      <c r="AW45" s="74">
        <v>4.2999999999999997E-2</v>
      </c>
      <c r="AX45" s="74">
        <f>0.215-SUM(AU45:AW45)</f>
        <v>2.5999999999999995E-2</v>
      </c>
      <c r="AY45" s="74">
        <v>2.7E-2</v>
      </c>
      <c r="AZ45" s="74">
        <v>7.0999999999999994E-2</v>
      </c>
      <c r="BA45" s="74">
        <v>0.61499999999999999</v>
      </c>
      <c r="BB45" s="74">
        <f>0.775-SUM(AY45:BA45)</f>
        <v>6.2000000000000055E-2</v>
      </c>
      <c r="BC45" s="74">
        <v>0.10199999999999999</v>
      </c>
      <c r="BD45" s="74">
        <v>8.5999999999999993E-2</v>
      </c>
      <c r="BE45" s="74">
        <v>3.1E-2</v>
      </c>
      <c r="BF45" s="74">
        <f>1.02-SUM(BC45:BE45)</f>
        <v>0.80100000000000005</v>
      </c>
      <c r="BG45" s="74">
        <v>0.17100000000000001</v>
      </c>
      <c r="BH45" s="74">
        <v>0.54800000000000004</v>
      </c>
      <c r="BI45" s="74">
        <v>0.50600000000000001</v>
      </c>
      <c r="BJ45" s="74">
        <f>2.406-SUM(BG45:BI45)</f>
        <v>1.181</v>
      </c>
      <c r="BK45" s="74">
        <v>0.41599999999999998</v>
      </c>
      <c r="BL45" s="74">
        <v>1.1259999999999999</v>
      </c>
      <c r="BM45" s="74">
        <v>1.3660000000000001</v>
      </c>
      <c r="BN45" s="74">
        <f>3.48-SUM(BK45:BM45)</f>
        <v>0.57200000000000006</v>
      </c>
      <c r="BO45" s="74">
        <v>0.33</v>
      </c>
      <c r="BP45" s="74">
        <v>0.371</v>
      </c>
      <c r="BQ45" s="74">
        <v>0.53</v>
      </c>
      <c r="CA45" s="74">
        <f t="shared" si="47"/>
        <v>0</v>
      </c>
      <c r="CB45" s="74">
        <f t="shared" si="48"/>
        <v>0</v>
      </c>
      <c r="CC45" s="74">
        <f t="shared" si="49"/>
        <v>0</v>
      </c>
      <c r="CD45" s="74">
        <f t="shared" si="50"/>
        <v>0</v>
      </c>
      <c r="CE45" s="74">
        <f t="shared" si="51"/>
        <v>0</v>
      </c>
      <c r="CF45" s="74">
        <f t="shared" si="52"/>
        <v>0</v>
      </c>
      <c r="CG45" s="74">
        <f t="shared" si="53"/>
        <v>0</v>
      </c>
      <c r="CH45" s="74">
        <f t="shared" si="54"/>
        <v>0</v>
      </c>
      <c r="CI45" s="74">
        <f t="shared" si="55"/>
        <v>0</v>
      </c>
      <c r="CJ45" s="74">
        <f t="shared" si="56"/>
        <v>0</v>
      </c>
      <c r="CK45" s="74">
        <f t="shared" si="57"/>
        <v>0</v>
      </c>
      <c r="CL45" s="74">
        <f t="shared" si="58"/>
        <v>0.215</v>
      </c>
      <c r="CM45" s="74">
        <f t="shared" si="59"/>
        <v>0.77500000000000002</v>
      </c>
      <c r="CN45" s="74">
        <f t="shared" si="60"/>
        <v>1.02</v>
      </c>
      <c r="CO45" s="74">
        <f t="shared" si="61"/>
        <v>2.4060000000000001</v>
      </c>
      <c r="CP45" s="74">
        <f t="shared" si="62"/>
        <v>3.48</v>
      </c>
      <c r="CQ45" s="77">
        <f>$CP$45*($CZ$62)</f>
        <v>0.81779999999999997</v>
      </c>
      <c r="CR45" s="77">
        <f>CQ45*(1+$CZ$62)</f>
        <v>1.0099829999999999</v>
      </c>
      <c r="CS45" s="77">
        <f>CR45*(1+$CZ$62)</f>
        <v>1.2473290049999997</v>
      </c>
      <c r="CT45" s="77">
        <f t="shared" ref="CT45:CZ45" si="116">CS45*(1+$CZ$62)</f>
        <v>1.5404513211749995</v>
      </c>
      <c r="CU45" s="77">
        <f t="shared" si="116"/>
        <v>1.9024573816511241</v>
      </c>
      <c r="CV45" s="77">
        <f t="shared" si="116"/>
        <v>2.349534866339138</v>
      </c>
      <c r="CW45" s="77">
        <f t="shared" si="116"/>
        <v>2.9016755599288353</v>
      </c>
      <c r="CX45" s="77">
        <f t="shared" si="116"/>
        <v>3.5835693165121114</v>
      </c>
      <c r="CY45" s="77">
        <f t="shared" si="116"/>
        <v>4.4257081058924568</v>
      </c>
      <c r="CZ45" s="77">
        <f t="shared" si="116"/>
        <v>5.4657495107771839</v>
      </c>
    </row>
    <row r="46" spans="2:156">
      <c r="B46" s="1" t="s">
        <v>1213</v>
      </c>
      <c r="C46" s="74">
        <v>0.2</v>
      </c>
      <c r="D46" s="74">
        <v>-22.6</v>
      </c>
      <c r="E46" s="74">
        <v>-0.94</v>
      </c>
      <c r="F46" s="74">
        <v>25.06</v>
      </c>
      <c r="G46" s="74">
        <v>-0.28000000000000003</v>
      </c>
      <c r="H46" s="74">
        <v>0.2</v>
      </c>
      <c r="I46" s="74">
        <v>-0.3</v>
      </c>
      <c r="J46" s="74">
        <v>3.04</v>
      </c>
      <c r="K46" s="74">
        <v>-1.6</v>
      </c>
      <c r="L46" s="74">
        <v>3</v>
      </c>
      <c r="M46" s="74">
        <v>-2.9</v>
      </c>
      <c r="N46" s="74">
        <v>0.98</v>
      </c>
      <c r="O46" s="74">
        <v>-3.7</v>
      </c>
      <c r="P46" s="74">
        <v>2.6</v>
      </c>
      <c r="Q46" s="74">
        <v>-0.3</v>
      </c>
      <c r="R46" s="74">
        <v>0.9</v>
      </c>
      <c r="S46" s="74">
        <v>-2.5</v>
      </c>
      <c r="T46" s="74">
        <v>-0.8</v>
      </c>
      <c r="U46" s="74">
        <v>-0.2</v>
      </c>
      <c r="V46" s="74">
        <v>0.3</v>
      </c>
      <c r="W46" s="74">
        <v>-2.2999999999999998</v>
      </c>
      <c r="X46" s="74">
        <v>0.1</v>
      </c>
      <c r="Y46" s="74">
        <v>-1</v>
      </c>
      <c r="Z46" s="74">
        <v>-0.6</v>
      </c>
      <c r="AA46" s="74">
        <v>0.2</v>
      </c>
      <c r="AB46" s="74">
        <v>-0.4</v>
      </c>
      <c r="AC46" s="74">
        <v>-2.4</v>
      </c>
      <c r="AD46" s="74">
        <v>0.1</v>
      </c>
      <c r="AE46" s="74">
        <v>-1.2</v>
      </c>
      <c r="AF46" s="74">
        <v>-2</v>
      </c>
      <c r="AG46" s="74">
        <v>1.4</v>
      </c>
      <c r="AH46" s="74">
        <v>0.7</v>
      </c>
      <c r="AI46" s="74">
        <v>0.4</v>
      </c>
      <c r="AJ46" s="74">
        <v>0.1</v>
      </c>
      <c r="AK46" s="74">
        <v>-0.1</v>
      </c>
      <c r="AL46" s="74">
        <v>0.4</v>
      </c>
      <c r="AM46" s="74">
        <v>1.3</v>
      </c>
      <c r="AN46" s="74">
        <v>0.3</v>
      </c>
      <c r="AO46" s="74">
        <v>0.7</v>
      </c>
      <c r="AP46" s="74">
        <v>-0.1</v>
      </c>
      <c r="AQ46" s="74">
        <v>-2.2000000000000002</v>
      </c>
      <c r="AR46" s="74">
        <v>-3.2</v>
      </c>
      <c r="AS46" s="74">
        <v>-1.8</v>
      </c>
      <c r="AT46" s="74">
        <v>-2.1</v>
      </c>
      <c r="AU46" s="74">
        <v>-1.92</v>
      </c>
      <c r="AV46" s="74">
        <v>-2.17</v>
      </c>
      <c r="AW46" s="74">
        <v>-1.5</v>
      </c>
      <c r="AX46" s="74">
        <f>-6.742-SUM(AU46:AW46)</f>
        <v>-1.1520000000000001</v>
      </c>
      <c r="AY46" s="74">
        <v>-1.63</v>
      </c>
      <c r="AZ46" s="74">
        <v>-4.7119999999999997</v>
      </c>
      <c r="BA46" s="74">
        <v>-6.48</v>
      </c>
      <c r="BB46" s="74">
        <f>-21.647-SUM(AY46:BA46)</f>
        <v>-8.8249999999999993</v>
      </c>
      <c r="BC46" s="74">
        <v>-19.251999999999999</v>
      </c>
      <c r="BD46" s="74">
        <v>-32.963000000000001</v>
      </c>
      <c r="BE46" s="74">
        <v>-34.142000000000003</v>
      </c>
      <c r="BF46" s="74">
        <f>-136.158-SUM(BC46:BE46)</f>
        <v>-49.800999999999988</v>
      </c>
      <c r="BG46" s="74">
        <v>-42.637</v>
      </c>
      <c r="BH46" s="74">
        <v>-43.063000000000002</v>
      </c>
      <c r="BI46" s="74">
        <v>-39.207000000000001</v>
      </c>
      <c r="BJ46" s="74">
        <f>-161.351-SUM(BG46:BI46)</f>
        <v>-36.443999999999988</v>
      </c>
      <c r="BK46" s="74">
        <v>-30.562999999999999</v>
      </c>
      <c r="BL46" s="74">
        <v>-29.161000000000001</v>
      </c>
      <c r="BM46" s="74">
        <v>-26.202999999999999</v>
      </c>
      <c r="BN46" s="74">
        <f>-109.26-SUM(BK46:BM46)</f>
        <v>-23.332999999999998</v>
      </c>
      <c r="BO46" s="74">
        <v>-22.765999999999998</v>
      </c>
      <c r="BP46" s="74">
        <v>-22.523</v>
      </c>
      <c r="BQ46" s="74">
        <v>-21.71</v>
      </c>
      <c r="CA46" s="74">
        <f t="shared" si="47"/>
        <v>-23.340000000000003</v>
      </c>
      <c r="CB46" s="74">
        <f t="shared" si="48"/>
        <v>24.679999999999996</v>
      </c>
      <c r="CC46" s="74">
        <f t="shared" si="49"/>
        <v>-0.52</v>
      </c>
      <c r="CD46" s="74">
        <f t="shared" si="50"/>
        <v>-0.50000000000000011</v>
      </c>
      <c r="CE46" s="74">
        <f t="shared" si="51"/>
        <v>-3.2</v>
      </c>
      <c r="CF46" s="74">
        <f t="shared" si="52"/>
        <v>-3.8</v>
      </c>
      <c r="CG46" s="74">
        <f t="shared" si="53"/>
        <v>-2.5</v>
      </c>
      <c r="CH46" s="74">
        <f t="shared" si="54"/>
        <v>-1.1000000000000003</v>
      </c>
      <c r="CI46" s="74">
        <f t="shared" si="55"/>
        <v>0.8</v>
      </c>
      <c r="CJ46" s="74">
        <f t="shared" si="56"/>
        <v>2.1999999999999997</v>
      </c>
      <c r="CK46" s="74">
        <f t="shared" si="57"/>
        <v>-9.3000000000000007</v>
      </c>
      <c r="CL46" s="74">
        <f t="shared" si="58"/>
        <v>-6.742</v>
      </c>
      <c r="CM46" s="74">
        <f t="shared" si="59"/>
        <v>-21.646999999999998</v>
      </c>
      <c r="CN46" s="74">
        <f t="shared" si="60"/>
        <v>-136.15799999999999</v>
      </c>
      <c r="CO46" s="74">
        <f t="shared" si="61"/>
        <v>-161.351</v>
      </c>
      <c r="CP46" s="74">
        <f t="shared" si="62"/>
        <v>-109.26</v>
      </c>
      <c r="CQ46" s="77">
        <f>-CP82*0.0625</f>
        <v>-84.333687499999996</v>
      </c>
      <c r="CR46" s="77">
        <f>CQ46*(1+0.0625)</f>
        <v>-89.604542968749996</v>
      </c>
      <c r="CS46" s="77">
        <f t="shared" ref="CS46:CZ46" si="117">CR46*(1+0.0625)</f>
        <v>-95.204826904296866</v>
      </c>
      <c r="CT46" s="77">
        <f t="shared" si="117"/>
        <v>-101.15512858581542</v>
      </c>
      <c r="CU46" s="77">
        <f t="shared" si="117"/>
        <v>-107.47732412242888</v>
      </c>
      <c r="CV46" s="77">
        <f t="shared" si="117"/>
        <v>-114.19465688008069</v>
      </c>
      <c r="CW46" s="77">
        <f t="shared" si="117"/>
        <v>-121.33182293508573</v>
      </c>
      <c r="CX46" s="77">
        <f t="shared" si="117"/>
        <v>-128.9150618685286</v>
      </c>
      <c r="CY46" s="77">
        <f t="shared" si="117"/>
        <v>-136.97225323531163</v>
      </c>
      <c r="CZ46" s="77">
        <f t="shared" si="117"/>
        <v>-145.5330190625186</v>
      </c>
    </row>
    <row r="47" spans="2:156">
      <c r="B47" s="1" t="s">
        <v>1214</v>
      </c>
      <c r="C47" s="74">
        <v>0</v>
      </c>
      <c r="D47" s="74">
        <v>0</v>
      </c>
      <c r="E47" s="74">
        <v>0</v>
      </c>
      <c r="F47" s="74">
        <v>0</v>
      </c>
      <c r="G47" s="74">
        <v>0</v>
      </c>
      <c r="H47" s="74">
        <v>0</v>
      </c>
      <c r="I47" s="74">
        <v>0</v>
      </c>
      <c r="J47" s="74">
        <v>0</v>
      </c>
      <c r="K47" s="74">
        <v>0</v>
      </c>
      <c r="L47" s="74">
        <v>0</v>
      </c>
      <c r="M47" s="74">
        <v>0</v>
      </c>
      <c r="N47" s="74">
        <v>0</v>
      </c>
      <c r="O47" s="74">
        <v>0</v>
      </c>
      <c r="P47" s="74">
        <v>0</v>
      </c>
      <c r="Q47" s="74">
        <v>0</v>
      </c>
      <c r="R47" s="74">
        <v>0</v>
      </c>
      <c r="S47" s="74">
        <v>0</v>
      </c>
      <c r="T47" s="74">
        <v>0</v>
      </c>
      <c r="U47" s="74">
        <v>0</v>
      </c>
      <c r="V47" s="74">
        <v>0</v>
      </c>
      <c r="W47" s="74">
        <v>0</v>
      </c>
      <c r="X47" s="74">
        <v>0</v>
      </c>
      <c r="Y47" s="74">
        <v>0</v>
      </c>
      <c r="Z47" s="74">
        <v>0</v>
      </c>
      <c r="AA47" s="74">
        <v>0</v>
      </c>
      <c r="AB47" s="74">
        <v>0</v>
      </c>
      <c r="AC47" s="74">
        <v>0</v>
      </c>
      <c r="AD47" s="74">
        <v>0</v>
      </c>
      <c r="AE47" s="74">
        <v>0</v>
      </c>
      <c r="AF47" s="74">
        <v>0</v>
      </c>
      <c r="AG47" s="74">
        <v>0</v>
      </c>
      <c r="AH47" s="74">
        <v>0</v>
      </c>
      <c r="AI47" s="74">
        <v>0</v>
      </c>
      <c r="AJ47" s="74">
        <v>0</v>
      </c>
      <c r="AK47" s="74">
        <v>0</v>
      </c>
      <c r="AL47" s="74">
        <v>0</v>
      </c>
      <c r="AM47" s="74">
        <v>0</v>
      </c>
      <c r="AN47" s="74">
        <v>0</v>
      </c>
      <c r="AO47" s="74">
        <v>0</v>
      </c>
      <c r="AP47" s="74">
        <v>0</v>
      </c>
      <c r="AQ47" s="74">
        <v>0</v>
      </c>
      <c r="AR47" s="74">
        <v>0</v>
      </c>
      <c r="AS47" s="74">
        <v>0</v>
      </c>
      <c r="AT47" s="74">
        <v>0</v>
      </c>
      <c r="AU47" s="74">
        <v>0</v>
      </c>
      <c r="AV47" s="74">
        <v>0.90700000000000003</v>
      </c>
      <c r="AW47" s="74">
        <v>-2.7E-2</v>
      </c>
      <c r="AX47" s="74">
        <f>0.51-SUM(AU47:AW47)</f>
        <v>-0.37</v>
      </c>
      <c r="AY47" s="74">
        <v>0</v>
      </c>
      <c r="AZ47" s="74">
        <v>0</v>
      </c>
      <c r="BA47" s="74">
        <v>0</v>
      </c>
      <c r="BB47" s="74">
        <f>1.797-SUM(AY47:BA47)</f>
        <v>1.7969999999999999</v>
      </c>
      <c r="BC47" s="74">
        <v>-0.94699999999999995</v>
      </c>
      <c r="BD47" s="74">
        <v>0.41899999999999998</v>
      </c>
      <c r="BE47" s="74">
        <v>1.6E-2</v>
      </c>
      <c r="BF47" s="74">
        <f>-0.338-SUM(BC47:BE47)</f>
        <v>0.17399999999999999</v>
      </c>
      <c r="BG47" s="74">
        <v>-0.29299999999999998</v>
      </c>
      <c r="BH47" s="74">
        <v>0.71699999999999997</v>
      </c>
      <c r="BI47" s="74">
        <v>2.4E-2</v>
      </c>
      <c r="BJ47" s="74">
        <f>-0.326-SUM(BG47:BI47)</f>
        <v>-0.77400000000000002</v>
      </c>
      <c r="BK47" s="74">
        <v>0.02</v>
      </c>
      <c r="BL47" s="74">
        <v>4.4999999999999998E-2</v>
      </c>
      <c r="BM47" s="74">
        <v>0.23699999999999999</v>
      </c>
      <c r="BN47" s="74">
        <f>1.23-SUM(BK47:BM47)</f>
        <v>0.92799999999999994</v>
      </c>
      <c r="BO47" s="74">
        <v>-0.47499999999999998</v>
      </c>
      <c r="BP47" s="74">
        <v>0.627</v>
      </c>
      <c r="BQ47" s="74">
        <v>0</v>
      </c>
      <c r="CA47" s="74">
        <f t="shared" si="47"/>
        <v>0</v>
      </c>
      <c r="CB47" s="74">
        <f t="shared" si="48"/>
        <v>0</v>
      </c>
      <c r="CC47" s="74">
        <f t="shared" si="49"/>
        <v>0</v>
      </c>
      <c r="CD47" s="74">
        <f t="shared" si="50"/>
        <v>0</v>
      </c>
      <c r="CE47" s="74">
        <f t="shared" si="51"/>
        <v>0</v>
      </c>
      <c r="CF47" s="74">
        <f t="shared" si="52"/>
        <v>0</v>
      </c>
      <c r="CG47" s="74">
        <f t="shared" si="53"/>
        <v>0</v>
      </c>
      <c r="CH47" s="74">
        <f t="shared" si="54"/>
        <v>0</v>
      </c>
      <c r="CI47" s="74">
        <f t="shared" si="55"/>
        <v>0</v>
      </c>
      <c r="CJ47" s="74">
        <f t="shared" si="56"/>
        <v>0</v>
      </c>
      <c r="CK47" s="74">
        <f t="shared" si="57"/>
        <v>0</v>
      </c>
      <c r="CL47" s="74">
        <f t="shared" si="58"/>
        <v>0.51</v>
      </c>
      <c r="CM47" s="74">
        <f t="shared" si="59"/>
        <v>1.7969999999999999</v>
      </c>
      <c r="CN47" s="74">
        <f t="shared" si="60"/>
        <v>-0.33800000000000002</v>
      </c>
      <c r="CO47" s="74">
        <f t="shared" si="61"/>
        <v>-0.32600000000000001</v>
      </c>
      <c r="CP47" s="74">
        <f t="shared" si="62"/>
        <v>1.23</v>
      </c>
      <c r="CQ47" s="77"/>
      <c r="CR47" s="77"/>
      <c r="CS47" s="77"/>
      <c r="CT47" s="77"/>
      <c r="CU47" s="77"/>
      <c r="CV47" s="77"/>
      <c r="CW47" s="77"/>
      <c r="CX47" s="77"/>
      <c r="CY47" s="77"/>
      <c r="CZ47" s="77"/>
    </row>
    <row r="48" spans="2:156">
      <c r="B48" s="1" t="s">
        <v>1215</v>
      </c>
      <c r="C48" s="74">
        <f t="shared" ref="C48:I48" si="118">C43+SUM(C44:C47)</f>
        <v>-22.211000000000016</v>
      </c>
      <c r="D48" s="74">
        <f t="shared" si="118"/>
        <v>-22.695999999999991</v>
      </c>
      <c r="E48" s="74">
        <f t="shared" si="118"/>
        <v>9.7599999999999749</v>
      </c>
      <c r="F48" s="74">
        <f t="shared" si="118"/>
        <v>-13.470000000000017</v>
      </c>
      <c r="G48" s="74">
        <f t="shared" si="118"/>
        <v>9.1209999999999969</v>
      </c>
      <c r="H48" s="74">
        <f t="shared" si="118"/>
        <v>38.900000000000006</v>
      </c>
      <c r="I48" s="74">
        <f t="shared" si="118"/>
        <v>27.099999999999991</v>
      </c>
      <c r="J48" s="74">
        <f t="shared" ref="J48" si="119">J43+SUM(J44:J47)</f>
        <v>5.6400000000000086</v>
      </c>
      <c r="K48" s="74">
        <f t="shared" ref="K48:BP48" si="120">K43+SUM(K44:K47)</f>
        <v>27.999999999999993</v>
      </c>
      <c r="L48" s="74">
        <f t="shared" si="120"/>
        <v>64.700000000000017</v>
      </c>
      <c r="M48" s="74">
        <f t="shared" si="120"/>
        <v>32.099999999999987</v>
      </c>
      <c r="N48" s="74">
        <f t="shared" si="120"/>
        <v>7.0799999999999805</v>
      </c>
      <c r="O48" s="74">
        <f t="shared" si="120"/>
        <v>36.100000000000009</v>
      </c>
      <c r="P48" s="74">
        <f t="shared" si="120"/>
        <v>73.899999999999963</v>
      </c>
      <c r="Q48" s="74">
        <f t="shared" si="120"/>
        <v>39.700000000000017</v>
      </c>
      <c r="R48" s="74">
        <f t="shared" si="120"/>
        <v>-3.9999999999999916</v>
      </c>
      <c r="S48" s="74">
        <f t="shared" si="120"/>
        <v>35.099999999999994</v>
      </c>
      <c r="T48" s="74">
        <f t="shared" si="120"/>
        <v>49.600000000000037</v>
      </c>
      <c r="U48" s="74">
        <f t="shared" si="120"/>
        <v>17.700000000000006</v>
      </c>
      <c r="V48" s="74">
        <f t="shared" si="120"/>
        <v>-42.600000000000023</v>
      </c>
      <c r="W48" s="74">
        <f t="shared" si="120"/>
        <v>14.500000000000011</v>
      </c>
      <c r="X48" s="74">
        <f t="shared" si="120"/>
        <v>41.99999999999995</v>
      </c>
      <c r="Y48" s="74">
        <f t="shared" si="120"/>
        <v>9.9999999999994316E-2</v>
      </c>
      <c r="Z48" s="74">
        <f t="shared" si="120"/>
        <v>-65.199999999999989</v>
      </c>
      <c r="AA48" s="74">
        <f t="shared" si="120"/>
        <v>-2.2000000000000055</v>
      </c>
      <c r="AB48" s="74">
        <f t="shared" si="120"/>
        <v>15.899999999999983</v>
      </c>
      <c r="AC48" s="74">
        <f t="shared" si="120"/>
        <v>-23.099999999999987</v>
      </c>
      <c r="AD48" s="74">
        <f t="shared" si="120"/>
        <v>-65.500000000000028</v>
      </c>
      <c r="AE48" s="74">
        <f t="shared" si="120"/>
        <v>13.000000000000018</v>
      </c>
      <c r="AF48" s="74">
        <f t="shared" si="120"/>
        <v>18.600000000000023</v>
      </c>
      <c r="AG48" s="74">
        <f t="shared" si="120"/>
        <v>0.20000000000001128</v>
      </c>
      <c r="AH48" s="74">
        <f t="shared" si="120"/>
        <v>-39.099999999999994</v>
      </c>
      <c r="AI48" s="74">
        <f t="shared" si="120"/>
        <v>15.999999999999966</v>
      </c>
      <c r="AJ48" s="74">
        <f t="shared" si="120"/>
        <v>29.499999999999979</v>
      </c>
      <c r="AK48" s="74">
        <f t="shared" si="120"/>
        <v>2.600000000000017</v>
      </c>
      <c r="AL48" s="74">
        <f t="shared" si="120"/>
        <v>-30.000000000000007</v>
      </c>
      <c r="AM48" s="74">
        <f t="shared" si="120"/>
        <v>27.100000000000012</v>
      </c>
      <c r="AN48" s="74">
        <f t="shared" si="120"/>
        <v>37.399999999999991</v>
      </c>
      <c r="AO48" s="74">
        <f t="shared" si="120"/>
        <v>14.600000000000019</v>
      </c>
      <c r="AP48" s="74">
        <f t="shared" si="120"/>
        <v>-13.999999999999991</v>
      </c>
      <c r="AQ48" s="74">
        <f t="shared" si="120"/>
        <v>30.399999999999967</v>
      </c>
      <c r="AR48" s="74">
        <f t="shared" si="120"/>
        <v>44.699999999999974</v>
      </c>
      <c r="AS48" s="74">
        <f t="shared" si="120"/>
        <v>38.200000000000003</v>
      </c>
      <c r="AT48" s="74">
        <f t="shared" si="120"/>
        <v>6.2000000000000117</v>
      </c>
      <c r="AU48" s="74">
        <f t="shared" si="120"/>
        <v>18.757999999999985</v>
      </c>
      <c r="AV48" s="74">
        <f t="shared" si="120"/>
        <v>54.692000000000021</v>
      </c>
      <c r="AW48" s="74">
        <f t="shared" si="120"/>
        <v>70.08899999999997</v>
      </c>
      <c r="AX48" s="74">
        <f t="shared" si="120"/>
        <v>63.443000000000012</v>
      </c>
      <c r="AY48" s="74">
        <f t="shared" si="120"/>
        <v>122.57899999999998</v>
      </c>
      <c r="AZ48" s="74">
        <f t="shared" si="120"/>
        <v>190.55700000000007</v>
      </c>
      <c r="BA48" s="74">
        <f t="shared" si="120"/>
        <v>197.73999999999998</v>
      </c>
      <c r="BB48" s="74">
        <f t="shared" si="120"/>
        <v>152.97800000000012</v>
      </c>
      <c r="BC48" s="74">
        <f t="shared" si="120"/>
        <v>99.045000000000044</v>
      </c>
      <c r="BD48" s="74">
        <f t="shared" si="120"/>
        <v>214.31300000000002</v>
      </c>
      <c r="BE48" s="74">
        <f t="shared" si="120"/>
        <v>229.57500000000016</v>
      </c>
      <c r="BF48" s="74">
        <f t="shared" si="120"/>
        <v>175.56999999999988</v>
      </c>
      <c r="BG48" s="74">
        <f t="shared" si="120"/>
        <v>191.74999999999997</v>
      </c>
      <c r="BH48" s="74">
        <f t="shared" si="120"/>
        <v>277.23800000000011</v>
      </c>
      <c r="BI48" s="74">
        <f t="shared" si="120"/>
        <v>233.40199999999993</v>
      </c>
      <c r="BJ48" s="74">
        <f t="shared" si="120"/>
        <v>173.88400000000013</v>
      </c>
      <c r="BK48" s="74">
        <f t="shared" si="120"/>
        <v>194.01899999999983</v>
      </c>
      <c r="BL48" s="74">
        <f t="shared" si="120"/>
        <v>296.42399999999998</v>
      </c>
      <c r="BM48" s="74">
        <f t="shared" si="120"/>
        <v>244.88499999999988</v>
      </c>
      <c r="BN48" s="74">
        <f t="shared" si="120"/>
        <v>175.26100000000054</v>
      </c>
      <c r="BO48" s="74">
        <f t="shared" si="120"/>
        <v>204.92399999999998</v>
      </c>
      <c r="BP48" s="74">
        <f t="shared" si="120"/>
        <v>-448.61</v>
      </c>
      <c r="BQ48" s="74">
        <f t="shared" ref="BQ48" si="121">BQ43+SUM(BQ44:BQ47)</f>
        <v>189.43600000000012</v>
      </c>
      <c r="CA48" s="74">
        <f t="shared" si="47"/>
        <v>-35.147000000000034</v>
      </c>
      <c r="CB48" s="74">
        <f t="shared" si="48"/>
        <v>61.650999999999982</v>
      </c>
      <c r="CC48" s="74">
        <f t="shared" si="49"/>
        <v>131.88</v>
      </c>
      <c r="CD48" s="74">
        <f t="shared" si="50"/>
        <v>145.69999999999999</v>
      </c>
      <c r="CE48" s="74">
        <f t="shared" si="51"/>
        <v>59.800000000000011</v>
      </c>
      <c r="CF48" s="74">
        <f t="shared" si="52"/>
        <v>-8.6000000000000369</v>
      </c>
      <c r="CG48" s="74">
        <f t="shared" si="53"/>
        <v>-74.900000000000034</v>
      </c>
      <c r="CH48" s="74">
        <f t="shared" si="54"/>
        <v>-7.2999999999999439</v>
      </c>
      <c r="CI48" s="74">
        <f t="shared" si="55"/>
        <v>18.099999999999952</v>
      </c>
      <c r="CJ48" s="74">
        <f t="shared" si="56"/>
        <v>65.100000000000037</v>
      </c>
      <c r="CK48" s="74">
        <f t="shared" si="57"/>
        <v>119.49999999999996</v>
      </c>
      <c r="CL48" s="74">
        <f t="shared" si="58"/>
        <v>206.982</v>
      </c>
      <c r="CM48" s="74">
        <f t="shared" si="59"/>
        <v>663.85400000000027</v>
      </c>
      <c r="CN48" s="74">
        <f t="shared" si="60"/>
        <v>718.50300000000016</v>
      </c>
      <c r="CO48" s="74">
        <f t="shared" si="61"/>
        <v>876.27400000000011</v>
      </c>
      <c r="CP48" s="74">
        <f t="shared" si="62"/>
        <v>910.58900000000028</v>
      </c>
      <c r="CQ48" s="77">
        <f>CQ43+SUM(CQ44:CQ47)</f>
        <v>890.2275182049998</v>
      </c>
      <c r="CR48" s="77">
        <f t="shared" ref="CR48:CZ48" si="122">CR43+SUM(CR44:CR47)</f>
        <v>951.10308418124987</v>
      </c>
      <c r="CS48" s="77">
        <f t="shared" si="122"/>
        <v>1025.9927630271227</v>
      </c>
      <c r="CT48" s="77">
        <f t="shared" si="122"/>
        <v>1107.2754741310457</v>
      </c>
      <c r="CU48" s="77">
        <f t="shared" si="122"/>
        <v>1189.8241030974943</v>
      </c>
      <c r="CV48" s="77">
        <f t="shared" si="122"/>
        <v>1275.5182873170534</v>
      </c>
      <c r="CW48" s="77">
        <f t="shared" si="122"/>
        <v>1337.2598400528257</v>
      </c>
      <c r="CX48" s="77">
        <f t="shared" si="122"/>
        <v>1401.2120323044371</v>
      </c>
      <c r="CY48" s="77">
        <f t="shared" si="122"/>
        <v>1466.2674722254997</v>
      </c>
      <c r="CZ48" s="77">
        <f t="shared" si="122"/>
        <v>1532.504205711447</v>
      </c>
    </row>
    <row r="49" spans="2:156">
      <c r="B49" s="1" t="s">
        <v>1216</v>
      </c>
      <c r="C49" s="74">
        <v>0.21</v>
      </c>
      <c r="D49" s="74">
        <v>7.56</v>
      </c>
      <c r="E49" s="74">
        <v>-12.31</v>
      </c>
      <c r="F49" s="74">
        <v>-2.0019999999999998</v>
      </c>
      <c r="G49" s="74">
        <v>3.39</v>
      </c>
      <c r="H49" s="74">
        <v>6.6</v>
      </c>
      <c r="I49" s="74">
        <v>2.2000000000000002</v>
      </c>
      <c r="J49" s="1">
        <v>0.89300000000000002</v>
      </c>
      <c r="K49" s="74">
        <v>6.5</v>
      </c>
      <c r="L49" s="74">
        <v>9.3000000000000007</v>
      </c>
      <c r="M49" s="74">
        <v>6.6</v>
      </c>
      <c r="N49" s="74">
        <v>1.5</v>
      </c>
      <c r="O49" s="74">
        <v>7.7</v>
      </c>
      <c r="P49" s="74">
        <v>12.3</v>
      </c>
      <c r="Q49" s="74">
        <v>-5.4</v>
      </c>
      <c r="R49" s="74">
        <v>-0.4</v>
      </c>
      <c r="S49" s="74">
        <v>6.2</v>
      </c>
      <c r="T49" s="74">
        <v>14.3</v>
      </c>
      <c r="U49" s="74">
        <v>4.5999999999999996</v>
      </c>
      <c r="V49" s="74">
        <v>24.4</v>
      </c>
      <c r="W49" s="74">
        <v>5.4</v>
      </c>
      <c r="X49" s="74">
        <v>18.7</v>
      </c>
      <c r="Y49" s="74">
        <v>-15.7</v>
      </c>
      <c r="Z49" s="74">
        <v>-12</v>
      </c>
      <c r="AA49" s="74">
        <v>0.3</v>
      </c>
      <c r="AB49" s="74">
        <v>2.6</v>
      </c>
      <c r="AC49" s="74">
        <v>0.9</v>
      </c>
      <c r="AD49" s="74">
        <v>4.7</v>
      </c>
      <c r="AE49" s="74">
        <v>2.9</v>
      </c>
      <c r="AF49" s="74">
        <v>3.1</v>
      </c>
      <c r="AG49" s="74">
        <v>1.7</v>
      </c>
      <c r="AH49" s="74">
        <v>1.6</v>
      </c>
      <c r="AI49" s="74">
        <v>4.9000000000000004</v>
      </c>
      <c r="AJ49" s="74">
        <v>7.6</v>
      </c>
      <c r="AK49" s="74">
        <v>1</v>
      </c>
      <c r="AL49" s="74">
        <v>-5.6</v>
      </c>
      <c r="AM49" s="74">
        <v>10.8</v>
      </c>
      <c r="AN49" s="74">
        <v>3</v>
      </c>
      <c r="AO49" s="74">
        <v>4.0999999999999996</v>
      </c>
      <c r="AP49" s="74">
        <v>-3.1</v>
      </c>
      <c r="AQ49" s="74">
        <v>5.6</v>
      </c>
      <c r="AR49" s="74">
        <v>5.5</v>
      </c>
      <c r="AS49" s="74">
        <v>2.4</v>
      </c>
      <c r="AT49" s="74">
        <v>-13.7</v>
      </c>
      <c r="AU49" s="74">
        <v>7.6870000000000003</v>
      </c>
      <c r="AV49" s="74">
        <v>-1.857</v>
      </c>
      <c r="AW49" s="74">
        <v>8.1950000000000003</v>
      </c>
      <c r="AX49" s="74">
        <f>-105.882-SUM(AU49:AW49)</f>
        <v>-119.90700000000001</v>
      </c>
      <c r="AY49" s="74">
        <v>24.19</v>
      </c>
      <c r="AZ49" s="74">
        <v>-128.38800000000001</v>
      </c>
      <c r="BA49" s="74">
        <v>44.247</v>
      </c>
      <c r="BB49" s="74">
        <f>-61.845-SUM(AY49:BA49)</f>
        <v>-1.8939999999999912</v>
      </c>
      <c r="BC49" s="74">
        <v>26.3</v>
      </c>
      <c r="BD49" s="74">
        <v>53.988999999999997</v>
      </c>
      <c r="BE49" s="74">
        <v>60.225999999999999</v>
      </c>
      <c r="BF49" s="74">
        <f>178.349-SUM(BC49:BE49)</f>
        <v>37.834000000000003</v>
      </c>
      <c r="BG49" s="74">
        <v>42.22</v>
      </c>
      <c r="BH49" s="74">
        <v>64.83</v>
      </c>
      <c r="BI49" s="74">
        <v>56.38</v>
      </c>
      <c r="BJ49" s="74">
        <f>83.706-SUM(BG49:BI49)</f>
        <v>-79.724000000000004</v>
      </c>
      <c r="BK49" s="74">
        <v>41.575000000000003</v>
      </c>
      <c r="BL49" s="74">
        <v>67.518000000000001</v>
      </c>
      <c r="BM49" s="74">
        <v>45.095999999999997</v>
      </c>
      <c r="BN49" s="74">
        <f>-39.486-SUM(BK49:BM49)</f>
        <v>-193.67499999999998</v>
      </c>
      <c r="BO49" s="74">
        <v>44.835999999999999</v>
      </c>
      <c r="BP49" s="74">
        <v>43.674999999999997</v>
      </c>
      <c r="BQ49" s="74">
        <v>43.61</v>
      </c>
      <c r="CA49" s="74">
        <f t="shared" si="47"/>
        <v>-4.5400000000000009</v>
      </c>
      <c r="CB49" s="74">
        <f t="shared" si="48"/>
        <v>10.187999999999999</v>
      </c>
      <c r="CC49" s="74">
        <f t="shared" si="49"/>
        <v>23.9</v>
      </c>
      <c r="CD49" s="74">
        <f t="shared" si="50"/>
        <v>14.2</v>
      </c>
      <c r="CE49" s="74">
        <f t="shared" si="51"/>
        <v>49.5</v>
      </c>
      <c r="CF49" s="74">
        <f t="shared" si="52"/>
        <v>-3.5999999999999979</v>
      </c>
      <c r="CG49" s="74">
        <f t="shared" si="53"/>
        <v>8.5</v>
      </c>
      <c r="CH49" s="74">
        <f t="shared" si="54"/>
        <v>9.3000000000000007</v>
      </c>
      <c r="CI49" s="74">
        <f t="shared" si="55"/>
        <v>7.9</v>
      </c>
      <c r="CJ49" s="74">
        <f t="shared" si="56"/>
        <v>14.799999999999999</v>
      </c>
      <c r="CK49" s="74">
        <f t="shared" si="57"/>
        <v>-0.19999999999999929</v>
      </c>
      <c r="CL49" s="74">
        <f t="shared" si="58"/>
        <v>-105.88200000000001</v>
      </c>
      <c r="CM49" s="74">
        <f t="shared" si="59"/>
        <v>-61.844999999999999</v>
      </c>
      <c r="CN49" s="74">
        <f t="shared" si="60"/>
        <v>178.34899999999999</v>
      </c>
      <c r="CO49" s="74">
        <f t="shared" si="61"/>
        <v>83.706000000000003</v>
      </c>
      <c r="CP49" s="74">
        <f t="shared" si="62"/>
        <v>-39.48599999999999</v>
      </c>
      <c r="CQ49" s="77">
        <f>CQ48*CQ57</f>
        <v>160.24095327689994</v>
      </c>
      <c r="CR49" s="77">
        <f t="shared" ref="CR49:CZ49" si="123">CR48*CR57</f>
        <v>152.17649346899998</v>
      </c>
      <c r="CS49" s="77">
        <f t="shared" si="123"/>
        <v>164.15884208433962</v>
      </c>
      <c r="CT49" s="77">
        <f t="shared" si="123"/>
        <v>177.16407586096733</v>
      </c>
      <c r="CU49" s="77">
        <f t="shared" si="123"/>
        <v>190.3718564955991</v>
      </c>
      <c r="CV49" s="77">
        <f t="shared" si="123"/>
        <v>204.08292597072855</v>
      </c>
      <c r="CW49" s="77">
        <f t="shared" si="123"/>
        <v>213.96157440845212</v>
      </c>
      <c r="CX49" s="77">
        <f t="shared" si="123"/>
        <v>224.19392516870994</v>
      </c>
      <c r="CY49" s="77">
        <f t="shared" si="123"/>
        <v>234.60279555607994</v>
      </c>
      <c r="CZ49" s="77">
        <f t="shared" si="123"/>
        <v>245.20067291383151</v>
      </c>
    </row>
    <row r="50" spans="2:156" s="2" customFormat="1" ht="15">
      <c r="B50" s="2" t="s">
        <v>1217</v>
      </c>
      <c r="C50" s="75">
        <f t="shared" ref="C50:I50" si="124">C48-C49</f>
        <v>-22.421000000000017</v>
      </c>
      <c r="D50" s="75">
        <f t="shared" si="124"/>
        <v>-30.25599999999999</v>
      </c>
      <c r="E50" s="75">
        <f t="shared" si="124"/>
        <v>22.069999999999975</v>
      </c>
      <c r="F50" s="75">
        <f t="shared" si="124"/>
        <v>-11.468000000000018</v>
      </c>
      <c r="G50" s="75">
        <f t="shared" si="124"/>
        <v>5.7309999999999963</v>
      </c>
      <c r="H50" s="75">
        <f t="shared" si="124"/>
        <v>32.300000000000004</v>
      </c>
      <c r="I50" s="75">
        <f t="shared" si="124"/>
        <v>24.899999999999991</v>
      </c>
      <c r="J50" s="75">
        <f t="shared" ref="J50" si="125">J48-J49</f>
        <v>4.7470000000000088</v>
      </c>
      <c r="K50" s="75">
        <f t="shared" ref="K50:AT50" si="126">K48-K49</f>
        <v>21.499999999999993</v>
      </c>
      <c r="L50" s="75">
        <f t="shared" si="126"/>
        <v>55.40000000000002</v>
      </c>
      <c r="M50" s="75">
        <f t="shared" si="126"/>
        <v>25.499999999999986</v>
      </c>
      <c r="N50" s="75">
        <f t="shared" si="126"/>
        <v>5.5799999999999805</v>
      </c>
      <c r="O50" s="75">
        <f t="shared" si="126"/>
        <v>28.400000000000009</v>
      </c>
      <c r="P50" s="75">
        <f t="shared" si="126"/>
        <v>61.599999999999966</v>
      </c>
      <c r="Q50" s="75">
        <f t="shared" si="126"/>
        <v>45.100000000000016</v>
      </c>
      <c r="R50" s="75">
        <f t="shared" si="126"/>
        <v>-3.5999999999999917</v>
      </c>
      <c r="S50" s="75">
        <f t="shared" si="126"/>
        <v>28.899999999999995</v>
      </c>
      <c r="T50" s="75">
        <f t="shared" si="126"/>
        <v>35.30000000000004</v>
      </c>
      <c r="U50" s="75">
        <f t="shared" si="126"/>
        <v>13.100000000000007</v>
      </c>
      <c r="V50" s="75">
        <f t="shared" si="126"/>
        <v>-67.000000000000028</v>
      </c>
      <c r="W50" s="75">
        <f t="shared" si="126"/>
        <v>9.1000000000000103</v>
      </c>
      <c r="X50" s="75">
        <f t="shared" si="126"/>
        <v>23.299999999999951</v>
      </c>
      <c r="Y50" s="75">
        <f t="shared" si="126"/>
        <v>15.799999999999994</v>
      </c>
      <c r="Z50" s="75">
        <f t="shared" si="126"/>
        <v>-53.199999999999989</v>
      </c>
      <c r="AA50" s="75">
        <f t="shared" si="126"/>
        <v>-2.5000000000000053</v>
      </c>
      <c r="AB50" s="75">
        <f t="shared" si="126"/>
        <v>13.299999999999983</v>
      </c>
      <c r="AC50" s="75">
        <f t="shared" si="126"/>
        <v>-23.999999999999986</v>
      </c>
      <c r="AD50" s="75">
        <f t="shared" si="126"/>
        <v>-70.200000000000031</v>
      </c>
      <c r="AE50" s="75">
        <f t="shared" si="126"/>
        <v>10.100000000000017</v>
      </c>
      <c r="AF50" s="75">
        <f t="shared" si="126"/>
        <v>15.500000000000023</v>
      </c>
      <c r="AG50" s="75">
        <f t="shared" si="126"/>
        <v>-1.4999999999999887</v>
      </c>
      <c r="AH50" s="75">
        <f t="shared" si="126"/>
        <v>-40.699999999999996</v>
      </c>
      <c r="AI50" s="75">
        <f t="shared" si="126"/>
        <v>11.099999999999966</v>
      </c>
      <c r="AJ50" s="75">
        <f t="shared" si="126"/>
        <v>21.899999999999977</v>
      </c>
      <c r="AK50" s="75">
        <f t="shared" si="126"/>
        <v>1.600000000000017</v>
      </c>
      <c r="AL50" s="75">
        <f t="shared" si="126"/>
        <v>-24.400000000000006</v>
      </c>
      <c r="AM50" s="75">
        <f t="shared" si="126"/>
        <v>16.300000000000011</v>
      </c>
      <c r="AN50" s="75">
        <f t="shared" si="126"/>
        <v>34.399999999999991</v>
      </c>
      <c r="AO50" s="75">
        <f t="shared" si="126"/>
        <v>10.50000000000002</v>
      </c>
      <c r="AP50" s="75">
        <f t="shared" si="126"/>
        <v>-10.899999999999991</v>
      </c>
      <c r="AQ50" s="75">
        <f t="shared" si="126"/>
        <v>24.799999999999969</v>
      </c>
      <c r="AR50" s="75">
        <f t="shared" si="126"/>
        <v>39.199999999999974</v>
      </c>
      <c r="AS50" s="75">
        <f t="shared" si="126"/>
        <v>35.800000000000004</v>
      </c>
      <c r="AT50" s="75">
        <f t="shared" si="126"/>
        <v>19.900000000000013</v>
      </c>
      <c r="AU50" s="75">
        <f t="shared" ref="AU50:BO50" si="127">AU48-AU49</f>
        <v>11.070999999999984</v>
      </c>
      <c r="AV50" s="75">
        <f t="shared" si="127"/>
        <v>56.549000000000021</v>
      </c>
      <c r="AW50" s="75">
        <f t="shared" si="127"/>
        <v>61.89399999999997</v>
      </c>
      <c r="AX50" s="75">
        <f t="shared" si="127"/>
        <v>183.35000000000002</v>
      </c>
      <c r="AY50" s="75">
        <f t="shared" si="127"/>
        <v>98.388999999999982</v>
      </c>
      <c r="AZ50" s="75">
        <f t="shared" si="127"/>
        <v>318.94500000000005</v>
      </c>
      <c r="BA50" s="75">
        <f t="shared" si="127"/>
        <v>153.49299999999999</v>
      </c>
      <c r="BB50" s="75">
        <f t="shared" si="127"/>
        <v>154.87200000000013</v>
      </c>
      <c r="BC50" s="75">
        <f t="shared" si="127"/>
        <v>72.745000000000047</v>
      </c>
      <c r="BD50" s="75">
        <f t="shared" si="127"/>
        <v>160.32400000000001</v>
      </c>
      <c r="BE50" s="75">
        <f t="shared" si="127"/>
        <v>169.34900000000016</v>
      </c>
      <c r="BF50" s="75">
        <f t="shared" si="127"/>
        <v>137.73599999999988</v>
      </c>
      <c r="BG50" s="75">
        <f t="shared" si="127"/>
        <v>149.52999999999997</v>
      </c>
      <c r="BH50" s="75">
        <f t="shared" si="127"/>
        <v>212.40800000000013</v>
      </c>
      <c r="BI50" s="75">
        <f t="shared" si="127"/>
        <v>177.02199999999993</v>
      </c>
      <c r="BJ50" s="75">
        <f t="shared" si="127"/>
        <v>253.60800000000012</v>
      </c>
      <c r="BK50" s="75">
        <f t="shared" si="127"/>
        <v>152.44399999999985</v>
      </c>
      <c r="BL50" s="75">
        <f t="shared" si="127"/>
        <v>228.90599999999998</v>
      </c>
      <c r="BM50" s="75">
        <f t="shared" si="127"/>
        <v>199.78899999999987</v>
      </c>
      <c r="BN50" s="75">
        <f t="shared" si="127"/>
        <v>368.93600000000049</v>
      </c>
      <c r="BO50" s="75">
        <f t="shared" si="127"/>
        <v>160.08799999999997</v>
      </c>
      <c r="BP50" s="75">
        <f>BP48-BP49</f>
        <v>-492.28500000000003</v>
      </c>
      <c r="BQ50" s="75">
        <f>BQ48-BQ49</f>
        <v>145.82600000000014</v>
      </c>
      <c r="BR50" s="34"/>
      <c r="BS50" s="34"/>
      <c r="BT50" s="34"/>
      <c r="BU50" s="34"/>
      <c r="BV50" s="34"/>
      <c r="CA50" s="75">
        <f t="shared" si="47"/>
        <v>-30.607000000000031</v>
      </c>
      <c r="CB50" s="75">
        <f t="shared" si="48"/>
        <v>51.462999999999973</v>
      </c>
      <c r="CC50" s="75">
        <f t="shared" si="49"/>
        <v>107.97999999999998</v>
      </c>
      <c r="CD50" s="75">
        <f t="shared" si="50"/>
        <v>131.5</v>
      </c>
      <c r="CE50" s="75">
        <f t="shared" si="51"/>
        <v>10.300000000000011</v>
      </c>
      <c r="CF50" s="75">
        <f t="shared" si="52"/>
        <v>-5.0000000000000284</v>
      </c>
      <c r="CG50" s="75">
        <f t="shared" si="53"/>
        <v>-83.400000000000034</v>
      </c>
      <c r="CH50" s="75">
        <f t="shared" si="54"/>
        <v>-16.599999999999945</v>
      </c>
      <c r="CI50" s="75">
        <f t="shared" si="55"/>
        <v>10.199999999999953</v>
      </c>
      <c r="CJ50" s="75">
        <f t="shared" si="56"/>
        <v>50.300000000000033</v>
      </c>
      <c r="CK50" s="75">
        <f t="shared" si="57"/>
        <v>119.69999999999996</v>
      </c>
      <c r="CL50" s="75">
        <f t="shared" si="58"/>
        <v>312.86400000000003</v>
      </c>
      <c r="CM50" s="75">
        <f t="shared" si="59"/>
        <v>725.69900000000007</v>
      </c>
      <c r="CN50" s="75">
        <f t="shared" si="60"/>
        <v>540.15400000000011</v>
      </c>
      <c r="CO50" s="75">
        <f t="shared" si="61"/>
        <v>792.56800000000021</v>
      </c>
      <c r="CP50" s="75">
        <f t="shared" si="62"/>
        <v>950.07500000000016</v>
      </c>
      <c r="CQ50" s="78">
        <f>CQ48-CQ49</f>
        <v>729.98656492809982</v>
      </c>
      <c r="CR50" s="78">
        <f t="shared" ref="CR50:CZ50" si="128">CR48-CR49</f>
        <v>798.92659071224989</v>
      </c>
      <c r="CS50" s="78">
        <f t="shared" si="128"/>
        <v>861.83392094278304</v>
      </c>
      <c r="CT50" s="78">
        <f t="shared" si="128"/>
        <v>930.11139827007833</v>
      </c>
      <c r="CU50" s="78">
        <f t="shared" si="128"/>
        <v>999.45224660189524</v>
      </c>
      <c r="CV50" s="78">
        <f t="shared" si="128"/>
        <v>1071.4353613463247</v>
      </c>
      <c r="CW50" s="78">
        <f t="shared" si="128"/>
        <v>1123.2982656443735</v>
      </c>
      <c r="CX50" s="78">
        <f t="shared" si="128"/>
        <v>1177.0181071357272</v>
      </c>
      <c r="CY50" s="78">
        <f t="shared" si="128"/>
        <v>1231.6646766694198</v>
      </c>
      <c r="CZ50" s="78">
        <f t="shared" si="128"/>
        <v>1287.3035327976154</v>
      </c>
      <c r="DA50" s="78">
        <f>CZ50*(1+$CZ$63)</f>
        <v>1190.7557678377943</v>
      </c>
      <c r="DB50" s="78">
        <f t="shared" ref="DB50:EX50" si="129">DA50*(1+$CZ$63)</f>
        <v>1101.4490852499598</v>
      </c>
      <c r="DC50" s="78">
        <f t="shared" si="129"/>
        <v>1018.8404038562129</v>
      </c>
      <c r="DD50" s="78">
        <f t="shared" si="129"/>
        <v>942.42737356699695</v>
      </c>
      <c r="DE50" s="78">
        <f t="shared" si="129"/>
        <v>871.74532054947224</v>
      </c>
      <c r="DF50" s="78">
        <f t="shared" si="129"/>
        <v>806.3644215082619</v>
      </c>
      <c r="DG50" s="78">
        <f t="shared" si="129"/>
        <v>745.88708989514225</v>
      </c>
      <c r="DH50" s="78">
        <f t="shared" si="129"/>
        <v>689.94555815300657</v>
      </c>
      <c r="DI50" s="78">
        <f t="shared" si="129"/>
        <v>638.19964129153107</v>
      </c>
      <c r="DJ50" s="78">
        <f t="shared" si="129"/>
        <v>590.33466819466628</v>
      </c>
      <c r="DK50" s="78">
        <f t="shared" si="129"/>
        <v>546.05956808006636</v>
      </c>
      <c r="DL50" s="78">
        <f t="shared" si="129"/>
        <v>505.10510047406143</v>
      </c>
      <c r="DM50" s="78">
        <f t="shared" si="129"/>
        <v>467.22221793850684</v>
      </c>
      <c r="DN50" s="78">
        <f t="shared" si="129"/>
        <v>432.18055159311888</v>
      </c>
      <c r="DO50" s="78">
        <f t="shared" si="129"/>
        <v>399.767010223635</v>
      </c>
      <c r="DP50" s="78">
        <f t="shared" si="129"/>
        <v>369.7844844568624</v>
      </c>
      <c r="DQ50" s="78">
        <f t="shared" si="129"/>
        <v>342.05064812259775</v>
      </c>
      <c r="DR50" s="78">
        <f t="shared" si="129"/>
        <v>316.39684951340291</v>
      </c>
      <c r="DS50" s="78">
        <f t="shared" si="129"/>
        <v>292.66708579989773</v>
      </c>
      <c r="DT50" s="78">
        <f t="shared" si="129"/>
        <v>270.71705436490544</v>
      </c>
      <c r="DU50" s="78">
        <f t="shared" si="129"/>
        <v>250.41327528753754</v>
      </c>
      <c r="DV50" s="78">
        <f t="shared" si="129"/>
        <v>231.63227964097223</v>
      </c>
      <c r="DW50" s="78">
        <f t="shared" si="129"/>
        <v>214.25985866789932</v>
      </c>
      <c r="DX50" s="78">
        <f t="shared" si="129"/>
        <v>198.19036926780689</v>
      </c>
      <c r="DY50" s="78">
        <f t="shared" si="129"/>
        <v>183.32609157272137</v>
      </c>
      <c r="DZ50" s="78">
        <f t="shared" si="129"/>
        <v>169.57663470476729</v>
      </c>
      <c r="EA50" s="78">
        <f t="shared" si="129"/>
        <v>156.85838710190976</v>
      </c>
      <c r="EB50" s="78">
        <f t="shared" si="129"/>
        <v>145.09400806926652</v>
      </c>
      <c r="EC50" s="78">
        <f t="shared" si="129"/>
        <v>134.21195746407153</v>
      </c>
      <c r="ED50" s="78">
        <f t="shared" si="129"/>
        <v>124.14606065426618</v>
      </c>
      <c r="EE50" s="78">
        <f t="shared" si="129"/>
        <v>114.83510610519622</v>
      </c>
      <c r="EF50" s="78">
        <f t="shared" si="129"/>
        <v>106.2224731473065</v>
      </c>
      <c r="EG50" s="78">
        <f t="shared" si="129"/>
        <v>98.255787661258523</v>
      </c>
      <c r="EH50" s="78">
        <f t="shared" si="129"/>
        <v>90.886603586664137</v>
      </c>
      <c r="EI50" s="78">
        <f t="shared" si="129"/>
        <v>84.070108317664335</v>
      </c>
      <c r="EJ50" s="78">
        <f t="shared" si="129"/>
        <v>77.764850193839507</v>
      </c>
      <c r="EK50" s="78">
        <f t="shared" si="129"/>
        <v>71.932486429301548</v>
      </c>
      <c r="EL50" s="78">
        <f t="shared" si="129"/>
        <v>66.53754994710394</v>
      </c>
      <c r="EM50" s="78">
        <f t="shared" si="129"/>
        <v>61.54723370107115</v>
      </c>
      <c r="EN50" s="78">
        <f t="shared" si="129"/>
        <v>56.931191173490816</v>
      </c>
      <c r="EO50" s="78">
        <f t="shared" si="129"/>
        <v>52.66135183547901</v>
      </c>
      <c r="EP50" s="78">
        <f t="shared" si="129"/>
        <v>48.711750447818083</v>
      </c>
      <c r="EQ50" s="78">
        <f t="shared" si="129"/>
        <v>45.058369164231728</v>
      </c>
      <c r="ER50" s="78">
        <f t="shared" si="129"/>
        <v>41.678991476914348</v>
      </c>
      <c r="ES50" s="78">
        <f t="shared" si="129"/>
        <v>38.553067116145776</v>
      </c>
      <c r="ET50" s="78">
        <f t="shared" si="129"/>
        <v>35.661587082434842</v>
      </c>
      <c r="EU50" s="78">
        <f t="shared" si="129"/>
        <v>32.986968051252234</v>
      </c>
      <c r="EV50" s="78">
        <f t="shared" si="129"/>
        <v>30.512945447408317</v>
      </c>
      <c r="EW50" s="78">
        <f t="shared" si="129"/>
        <v>28.224474538852693</v>
      </c>
      <c r="EX50" s="78">
        <f t="shared" si="129"/>
        <v>26.107638948438741</v>
      </c>
      <c r="EY50" s="34"/>
      <c r="EZ50" s="34"/>
    </row>
    <row r="51" spans="2:156">
      <c r="B51" s="1" t="s">
        <v>140</v>
      </c>
      <c r="C51" s="74">
        <v>84</v>
      </c>
      <c r="D51" s="74">
        <v>85</v>
      </c>
      <c r="E51" s="74">
        <v>86</v>
      </c>
      <c r="F51" s="74">
        <v>85</v>
      </c>
      <c r="G51" s="74">
        <v>84</v>
      </c>
      <c r="H51" s="74">
        <v>85</v>
      </c>
      <c r="I51" s="74">
        <v>84</v>
      </c>
      <c r="J51" s="74">
        <v>85</v>
      </c>
      <c r="K51" s="74">
        <v>87</v>
      </c>
      <c r="L51" s="74">
        <v>88</v>
      </c>
      <c r="M51" s="74">
        <v>89</v>
      </c>
      <c r="N51" s="74">
        <v>88</v>
      </c>
      <c r="O51" s="74">
        <v>89</v>
      </c>
      <c r="P51" s="74">
        <v>90</v>
      </c>
      <c r="Q51" s="74">
        <v>90</v>
      </c>
      <c r="R51" s="74">
        <v>90</v>
      </c>
      <c r="S51" s="74">
        <v>89</v>
      </c>
      <c r="T51" s="74">
        <v>88</v>
      </c>
      <c r="U51" s="74">
        <v>88</v>
      </c>
      <c r="V51" s="74">
        <v>89</v>
      </c>
      <c r="W51" s="74">
        <v>88</v>
      </c>
      <c r="X51" s="74">
        <v>87</v>
      </c>
      <c r="Y51" s="74">
        <v>85</v>
      </c>
      <c r="Z51" s="74">
        <v>85</v>
      </c>
      <c r="AA51" s="74">
        <v>78</v>
      </c>
      <c r="AB51" s="74">
        <v>77</v>
      </c>
      <c r="AC51" s="74">
        <v>74</v>
      </c>
      <c r="AD51" s="74">
        <v>76</v>
      </c>
      <c r="AE51" s="74">
        <v>73</v>
      </c>
      <c r="AF51" s="74">
        <v>73</v>
      </c>
      <c r="AG51" s="74">
        <v>73</v>
      </c>
      <c r="AH51" s="74">
        <v>73</v>
      </c>
      <c r="AI51" s="74">
        <v>74</v>
      </c>
      <c r="AJ51" s="74">
        <v>74</v>
      </c>
      <c r="AK51" s="74">
        <v>72</v>
      </c>
      <c r="AL51" s="74">
        <v>72</v>
      </c>
      <c r="AM51" s="74">
        <v>69</v>
      </c>
      <c r="AN51" s="74">
        <v>68</v>
      </c>
      <c r="AO51" s="74">
        <v>68</v>
      </c>
      <c r="AP51" s="74">
        <v>68</v>
      </c>
      <c r="AQ51" s="74">
        <v>73</v>
      </c>
      <c r="AR51" s="74">
        <v>71</v>
      </c>
      <c r="AS51" s="74">
        <v>69</v>
      </c>
      <c r="AT51" s="74">
        <v>69.5</v>
      </c>
      <c r="AU51" s="74">
        <v>67.930999999999997</v>
      </c>
      <c r="AV51" s="74">
        <v>67.415999999999997</v>
      </c>
      <c r="AW51" s="74">
        <v>67.472999999999999</v>
      </c>
      <c r="AX51" s="74">
        <v>67.385999999999996</v>
      </c>
      <c r="AY51" s="74">
        <v>65.457999999999998</v>
      </c>
      <c r="AZ51" s="74">
        <v>63.59</v>
      </c>
      <c r="BA51" s="74">
        <v>62.033000000000001</v>
      </c>
      <c r="BB51" s="74">
        <v>62.463999999999999</v>
      </c>
      <c r="BC51" s="74">
        <v>59.82</v>
      </c>
      <c r="BD51" s="74">
        <v>61.59</v>
      </c>
      <c r="BE51" s="74">
        <v>61.692999999999998</v>
      </c>
      <c r="BF51" s="74">
        <v>61.22</v>
      </c>
      <c r="BG51" s="74">
        <v>61.835999999999999</v>
      </c>
      <c r="BH51" s="74">
        <v>62.036999999999999</v>
      </c>
      <c r="BI51" s="74">
        <v>61.143000000000001</v>
      </c>
      <c r="BJ51" s="74">
        <v>61.386000000000003</v>
      </c>
      <c r="BK51" s="74">
        <v>60.564</v>
      </c>
      <c r="BL51" s="74">
        <v>60.32</v>
      </c>
      <c r="BM51" s="74">
        <v>59.045999999999999</v>
      </c>
      <c r="BN51" s="74">
        <v>59.381</v>
      </c>
      <c r="BO51" s="74">
        <v>56.11</v>
      </c>
      <c r="BP51" s="74">
        <v>55.783000000000001</v>
      </c>
      <c r="BQ51" s="74">
        <v>53.64</v>
      </c>
      <c r="CA51" s="74">
        <f>AVERAGE(C51:E51)</f>
        <v>85</v>
      </c>
      <c r="CB51" s="74">
        <f>AVERAGE(F51:I51)</f>
        <v>84.5</v>
      </c>
      <c r="CC51" s="74">
        <f>AVERAGE(K51:N51)</f>
        <v>88</v>
      </c>
      <c r="CD51" s="74">
        <f>AVERAGE(O51:R51)</f>
        <v>89.75</v>
      </c>
      <c r="CE51" s="74">
        <f>AVERAGE(S51:V51)</f>
        <v>88.5</v>
      </c>
      <c r="CF51" s="74">
        <f>AVERAGE(W51:Z51)</f>
        <v>86.25</v>
      </c>
      <c r="CG51" s="74">
        <f>AVERAGE(AA51:AD51)</f>
        <v>76.25</v>
      </c>
      <c r="CH51" s="74">
        <f>AVERAGE(AE51:AH51)</f>
        <v>73</v>
      </c>
      <c r="CI51" s="74">
        <f>AVERAGE(AI51:AL51)</f>
        <v>73</v>
      </c>
      <c r="CJ51" s="74">
        <f>AVERAGE(AM51:AP51)</f>
        <v>68.25</v>
      </c>
      <c r="CK51" s="74">
        <f>AVERAGE(AQ51:AT51)</f>
        <v>70.625</v>
      </c>
      <c r="CL51" s="74">
        <f>AVERAGE(AU51:AX51)</f>
        <v>67.551500000000004</v>
      </c>
      <c r="CM51" s="74">
        <f>AVERAGE(AY51:BB51)</f>
        <v>63.386250000000004</v>
      </c>
      <c r="CN51" s="74">
        <f>AVERAGE(BC51:BF51)</f>
        <v>61.080750000000002</v>
      </c>
      <c r="CO51" s="74">
        <f>AVERAGE(BG51:BJ51)</f>
        <v>61.600499999999997</v>
      </c>
      <c r="CP51" s="74">
        <f>AVERAGE(BK51:BN51)</f>
        <v>59.827750000000002</v>
      </c>
      <c r="CQ51" s="77"/>
      <c r="CR51" s="77"/>
      <c r="CS51" s="77"/>
      <c r="CT51" s="77"/>
      <c r="CU51" s="77"/>
      <c r="CV51" s="77"/>
      <c r="CW51" s="77"/>
      <c r="CX51" s="77"/>
      <c r="CY51" s="77"/>
      <c r="CZ51" s="77"/>
    </row>
    <row r="52" spans="2:156">
      <c r="B52" s="1" t="s">
        <v>1218</v>
      </c>
      <c r="C52" s="40">
        <f t="shared" ref="C52:I52" si="130">C50/C51</f>
        <v>-0.26691666666666686</v>
      </c>
      <c r="D52" s="40">
        <f t="shared" si="130"/>
        <v>-0.35595294117647047</v>
      </c>
      <c r="E52" s="40">
        <f t="shared" si="130"/>
        <v>0.25662790697674392</v>
      </c>
      <c r="F52" s="40">
        <f t="shared" si="130"/>
        <v>-0.13491764705882373</v>
      </c>
      <c r="G52" s="40">
        <f t="shared" si="130"/>
        <v>6.8226190476190426E-2</v>
      </c>
      <c r="H52" s="40">
        <f t="shared" si="130"/>
        <v>0.38000000000000006</v>
      </c>
      <c r="I52" s="40">
        <f t="shared" si="130"/>
        <v>0.29642857142857132</v>
      </c>
      <c r="J52" s="40">
        <f t="shared" ref="J52" si="131">J50/J51</f>
        <v>5.5847058823529513E-2</v>
      </c>
      <c r="K52" s="40">
        <f t="shared" ref="K52:AT52" si="132">K50/K51</f>
        <v>0.24712643678160912</v>
      </c>
      <c r="L52" s="40">
        <f t="shared" si="132"/>
        <v>0.62954545454545474</v>
      </c>
      <c r="M52" s="40">
        <f t="shared" si="132"/>
        <v>0.28651685393258414</v>
      </c>
      <c r="N52" s="40">
        <f t="shared" si="132"/>
        <v>6.3409090909090693E-2</v>
      </c>
      <c r="O52" s="40">
        <f t="shared" si="132"/>
        <v>0.31910112359550574</v>
      </c>
      <c r="P52" s="40">
        <f t="shared" si="132"/>
        <v>0.68444444444444408</v>
      </c>
      <c r="Q52" s="40">
        <f t="shared" si="132"/>
        <v>0.50111111111111128</v>
      </c>
      <c r="R52" s="40">
        <f t="shared" si="132"/>
        <v>-3.9999999999999911E-2</v>
      </c>
      <c r="S52" s="40">
        <f t="shared" si="132"/>
        <v>0.32471910112359548</v>
      </c>
      <c r="T52" s="40">
        <f t="shared" si="132"/>
        <v>0.40113636363636407</v>
      </c>
      <c r="U52" s="40">
        <f t="shared" si="132"/>
        <v>0.14886363636363645</v>
      </c>
      <c r="V52" s="40">
        <f t="shared" si="132"/>
        <v>-0.75280898876404523</v>
      </c>
      <c r="W52" s="40">
        <f t="shared" si="132"/>
        <v>0.10340909090909102</v>
      </c>
      <c r="X52" s="40">
        <f t="shared" si="132"/>
        <v>0.26781609195402245</v>
      </c>
      <c r="Y52" s="40">
        <f t="shared" si="132"/>
        <v>0.18588235294117639</v>
      </c>
      <c r="Z52" s="40">
        <f t="shared" si="132"/>
        <v>-0.62588235294117633</v>
      </c>
      <c r="AA52" s="40">
        <f t="shared" si="132"/>
        <v>-3.2051282051282118E-2</v>
      </c>
      <c r="AB52" s="40">
        <f t="shared" si="132"/>
        <v>0.17272727272727251</v>
      </c>
      <c r="AC52" s="40">
        <f t="shared" si="132"/>
        <v>-0.32432432432432412</v>
      </c>
      <c r="AD52" s="40">
        <f t="shared" si="132"/>
        <v>-0.92368421052631622</v>
      </c>
      <c r="AE52" s="40">
        <f t="shared" si="132"/>
        <v>0.13835616438356188</v>
      </c>
      <c r="AF52" s="40">
        <f t="shared" si="132"/>
        <v>0.21232876712328799</v>
      </c>
      <c r="AG52" s="40">
        <f t="shared" si="132"/>
        <v>-2.0547945205479298E-2</v>
      </c>
      <c r="AH52" s="40">
        <f t="shared" si="132"/>
        <v>-0.55753424657534245</v>
      </c>
      <c r="AI52" s="40">
        <f t="shared" si="132"/>
        <v>0.14999999999999955</v>
      </c>
      <c r="AJ52" s="40">
        <f t="shared" si="132"/>
        <v>0.29594594594594564</v>
      </c>
      <c r="AK52" s="40">
        <f t="shared" si="132"/>
        <v>2.2222222222222459E-2</v>
      </c>
      <c r="AL52" s="40">
        <f t="shared" si="132"/>
        <v>-0.33888888888888896</v>
      </c>
      <c r="AM52" s="40">
        <f t="shared" si="132"/>
        <v>0.23623188405797119</v>
      </c>
      <c r="AN52" s="40">
        <f t="shared" si="132"/>
        <v>0.50588235294117634</v>
      </c>
      <c r="AO52" s="40">
        <f t="shared" si="132"/>
        <v>0.15441176470588264</v>
      </c>
      <c r="AP52" s="40">
        <f t="shared" si="132"/>
        <v>-0.1602941176470587</v>
      </c>
      <c r="AQ52" s="40">
        <f t="shared" si="132"/>
        <v>0.33972602739725982</v>
      </c>
      <c r="AR52" s="40">
        <f t="shared" si="132"/>
        <v>0.55211267605633763</v>
      </c>
      <c r="AS52" s="40">
        <f t="shared" si="132"/>
        <v>0.51884057971014497</v>
      </c>
      <c r="AT52" s="40">
        <f t="shared" si="132"/>
        <v>0.28633093525179876</v>
      </c>
      <c r="AU52" s="40">
        <f t="shared" ref="AU52:BO52" si="133">AU50/AU51</f>
        <v>0.16297419440314415</v>
      </c>
      <c r="AV52" s="40">
        <f t="shared" si="133"/>
        <v>0.83880681143942126</v>
      </c>
      <c r="AW52" s="40">
        <f t="shared" si="133"/>
        <v>0.91731507417781888</v>
      </c>
      <c r="AX52" s="40">
        <f t="shared" si="133"/>
        <v>2.7208915798533826</v>
      </c>
      <c r="AY52" s="40">
        <f t="shared" si="133"/>
        <v>1.5030859482416203</v>
      </c>
      <c r="AZ52" s="40">
        <f t="shared" si="133"/>
        <v>5.0156471143261525</v>
      </c>
      <c r="BA52" s="40">
        <f t="shared" si="133"/>
        <v>2.4743765415182239</v>
      </c>
      <c r="BB52" s="40">
        <f t="shared" si="133"/>
        <v>2.4793801229508219</v>
      </c>
      <c r="BC52" s="40">
        <f t="shared" si="133"/>
        <v>1.2160648612504188</v>
      </c>
      <c r="BD52" s="40">
        <f t="shared" si="133"/>
        <v>2.6030849163825298</v>
      </c>
      <c r="BE52" s="40">
        <f t="shared" si="133"/>
        <v>2.745027798939915</v>
      </c>
      <c r="BF52" s="40">
        <f t="shared" si="133"/>
        <v>2.2498529892192076</v>
      </c>
      <c r="BG52" s="40">
        <f t="shared" si="133"/>
        <v>2.4181706449317546</v>
      </c>
      <c r="BH52" s="40">
        <f t="shared" si="133"/>
        <v>3.4238921933684758</v>
      </c>
      <c r="BI52" s="40">
        <f t="shared" si="133"/>
        <v>2.8952128616521913</v>
      </c>
      <c r="BJ52" s="40">
        <f t="shared" si="133"/>
        <v>4.1313654579220032</v>
      </c>
      <c r="BK52" s="40">
        <f t="shared" si="133"/>
        <v>2.5170728485568961</v>
      </c>
      <c r="BL52" s="40">
        <f t="shared" si="133"/>
        <v>3.7948607427055698</v>
      </c>
      <c r="BM52" s="40">
        <f t="shared" si="133"/>
        <v>3.3836161636690019</v>
      </c>
      <c r="BN52" s="40">
        <f t="shared" si="133"/>
        <v>6.2130311042252657</v>
      </c>
      <c r="BO52" s="40">
        <f t="shared" si="133"/>
        <v>2.8531099625735159</v>
      </c>
      <c r="BP52" s="40">
        <f>BP50/BP51</f>
        <v>-8.8250004481652127</v>
      </c>
      <c r="BQ52" s="40">
        <f>BQ50/BQ51</f>
        <v>2.7186055182699502</v>
      </c>
      <c r="CA52" s="40">
        <f>SUM(C52:E52)</f>
        <v>-0.36624170086639335</v>
      </c>
      <c r="CB52" s="40">
        <f>SUM(F52:I52)</f>
        <v>0.60973711484593807</v>
      </c>
      <c r="CC52" s="40">
        <f>SUM(K52:N52)</f>
        <v>1.2265978361687389</v>
      </c>
      <c r="CD52" s="40">
        <f>SUM(O52:R52)</f>
        <v>1.4646566791510613</v>
      </c>
      <c r="CE52" s="40">
        <f>SUM(S52:V52)</f>
        <v>0.12191011235955074</v>
      </c>
      <c r="CF52" s="40">
        <f>SUM(W52:Z52)</f>
        <v>-6.877481713688649E-2</v>
      </c>
      <c r="CG52" s="40">
        <f>SUM(AA52:AD52)</f>
        <v>-1.10733254417465</v>
      </c>
      <c r="CH52" s="40">
        <f>SUM(AE52:AH52)</f>
        <v>-0.22739726027397189</v>
      </c>
      <c r="CI52" s="40">
        <f>SUM(AI52:AL52)</f>
        <v>0.12927927927927868</v>
      </c>
      <c r="CJ52" s="40">
        <f>SUM(AM52:AP52)</f>
        <v>0.73623188405797158</v>
      </c>
      <c r="CK52" s="40">
        <f>SUM(AQ52:AT52)</f>
        <v>1.6970102184155413</v>
      </c>
      <c r="CL52" s="40">
        <f>SUM(AU52:AX52)</f>
        <v>4.6399876598737668</v>
      </c>
      <c r="CM52" s="40">
        <f>SUM(AY52:BB52)</f>
        <v>11.472489727036818</v>
      </c>
      <c r="CN52" s="40">
        <f>SUM(BC52:BF52)</f>
        <v>8.8140305657920699</v>
      </c>
      <c r="CO52" s="40">
        <f>SUM(BG52:BJ52)</f>
        <v>12.868641157874425</v>
      </c>
      <c r="CP52" s="40">
        <f>SUM(BK52:BN52)</f>
        <v>15.908580859156734</v>
      </c>
      <c r="CQ52" s="77"/>
      <c r="CR52" s="77"/>
      <c r="CS52" s="77"/>
      <c r="CT52" s="77"/>
      <c r="CU52" s="77"/>
      <c r="CV52" s="77"/>
      <c r="CW52" s="77"/>
      <c r="CX52" s="77"/>
      <c r="CY52" s="77"/>
      <c r="CZ52" s="77"/>
    </row>
    <row r="53" spans="2:156">
      <c r="CA53" s="81"/>
      <c r="CB53" s="81"/>
      <c r="CC53" s="81"/>
      <c r="CD53" s="81"/>
      <c r="CE53" s="81"/>
      <c r="CF53" s="81"/>
      <c r="CG53" s="81"/>
      <c r="CH53" s="81"/>
      <c r="CI53" s="81"/>
      <c r="CJ53" s="81"/>
      <c r="CK53" s="81"/>
      <c r="CL53" s="81"/>
      <c r="CM53" s="81"/>
      <c r="CN53" s="81"/>
      <c r="CO53" s="81"/>
      <c r="CP53" s="81"/>
    </row>
    <row r="54" spans="2:156">
      <c r="B54" s="65" t="s">
        <v>124</v>
      </c>
      <c r="C54" s="72">
        <f t="shared" ref="C54:AT54" si="134">C40/C38</f>
        <v>0.3686633553265623</v>
      </c>
      <c r="D54" s="72">
        <f t="shared" si="134"/>
        <v>0.51137972890956906</v>
      </c>
      <c r="E54" s="72">
        <f t="shared" si="134"/>
        <v>0.50722592299875802</v>
      </c>
      <c r="F54" s="72">
        <f t="shared" si="134"/>
        <v>0.44312918167781779</v>
      </c>
      <c r="G54" s="72">
        <f t="shared" si="134"/>
        <v>0.51968834282289478</v>
      </c>
      <c r="H54" s="72">
        <f t="shared" si="134"/>
        <v>0.57850877192982464</v>
      </c>
      <c r="I54" s="72">
        <f t="shared" si="134"/>
        <v>0.55102040816326536</v>
      </c>
      <c r="J54" s="72">
        <f t="shared" si="134"/>
        <v>0.48183492382387411</v>
      </c>
      <c r="K54" s="72">
        <f t="shared" si="134"/>
        <v>0.52580502867225409</v>
      </c>
      <c r="L54" s="72">
        <f t="shared" si="134"/>
        <v>0.5757780784844384</v>
      </c>
      <c r="M54" s="72">
        <f t="shared" si="134"/>
        <v>0.53546744270643876</v>
      </c>
      <c r="N54" s="72">
        <f t="shared" si="134"/>
        <v>0.48993618065783007</v>
      </c>
      <c r="O54" s="72">
        <f t="shared" si="134"/>
        <v>0.5327446651949963</v>
      </c>
      <c r="P54" s="72">
        <f t="shared" si="134"/>
        <v>0.59232396494409179</v>
      </c>
      <c r="Q54" s="72">
        <f t="shared" si="134"/>
        <v>0.54397834912043297</v>
      </c>
      <c r="R54" s="72">
        <f t="shared" si="134"/>
        <v>0.47288888888888891</v>
      </c>
      <c r="S54" s="72">
        <f t="shared" si="134"/>
        <v>0.53224254090471601</v>
      </c>
      <c r="T54" s="72">
        <f t="shared" si="134"/>
        <v>0.5519516217702034</v>
      </c>
      <c r="U54" s="72">
        <f t="shared" si="134"/>
        <v>0.53240901213171576</v>
      </c>
      <c r="V54" s="72">
        <f t="shared" si="134"/>
        <v>0.44993441189331002</v>
      </c>
      <c r="W54" s="72">
        <f t="shared" si="134"/>
        <v>0.5</v>
      </c>
      <c r="X54" s="72">
        <f t="shared" si="134"/>
        <v>0.53754311488458473</v>
      </c>
      <c r="Y54" s="72">
        <f t="shared" si="134"/>
        <v>0.51256613756613756</v>
      </c>
      <c r="Z54" s="72">
        <f t="shared" si="134"/>
        <v>0.37094430992736077</v>
      </c>
      <c r="AA54" s="72">
        <f t="shared" si="134"/>
        <v>0.48588863463005333</v>
      </c>
      <c r="AB54" s="72">
        <f t="shared" si="134"/>
        <v>0.5493202198437952</v>
      </c>
      <c r="AC54" s="72">
        <f t="shared" si="134"/>
        <v>0.4407150674936155</v>
      </c>
      <c r="AD54" s="72">
        <f t="shared" si="134"/>
        <v>0.34882606612362238</v>
      </c>
      <c r="AE54" s="72">
        <f t="shared" si="134"/>
        <v>0.463274811895378</v>
      </c>
      <c r="AF54" s="72">
        <f t="shared" si="134"/>
        <v>0.52378011117974066</v>
      </c>
      <c r="AG54" s="72">
        <f t="shared" si="134"/>
        <v>0.49776331842212285</v>
      </c>
      <c r="AH54" s="72">
        <f t="shared" si="134"/>
        <v>0.41995731056563501</v>
      </c>
      <c r="AI54" s="72">
        <f t="shared" si="134"/>
        <v>0.49869354236655461</v>
      </c>
      <c r="AJ54" s="72">
        <f t="shared" si="134"/>
        <v>0.54214559386973171</v>
      </c>
      <c r="AK54" s="72">
        <f t="shared" si="134"/>
        <v>0.50760378133990958</v>
      </c>
      <c r="AL54" s="72">
        <f t="shared" si="134"/>
        <v>0.45404319437468604</v>
      </c>
      <c r="AM54" s="72">
        <f t="shared" si="134"/>
        <v>0.49381843871423525</v>
      </c>
      <c r="AN54" s="72">
        <f t="shared" si="134"/>
        <v>0.55304878048780493</v>
      </c>
      <c r="AO54" s="72">
        <f t="shared" si="134"/>
        <v>0.53274607430103416</v>
      </c>
      <c r="AP54" s="72">
        <f t="shared" si="134"/>
        <v>0.46203703703703702</v>
      </c>
      <c r="AQ54" s="72">
        <f t="shared" si="134"/>
        <v>0.46502196688070285</v>
      </c>
      <c r="AR54" s="72">
        <f t="shared" si="134"/>
        <v>0.52772359988854833</v>
      </c>
      <c r="AS54" s="72">
        <f t="shared" si="134"/>
        <v>0.52397698209718668</v>
      </c>
      <c r="AT54" s="72">
        <f t="shared" si="134"/>
        <v>0.48022813688212934</v>
      </c>
      <c r="AU54" s="72">
        <f t="shared" ref="AU54:BO54" si="135">AU40/AU38</f>
        <v>0.47717313984919618</v>
      </c>
      <c r="AV54" s="72">
        <f t="shared" si="135"/>
        <v>0.54270133646210039</v>
      </c>
      <c r="AW54" s="72">
        <f t="shared" si="135"/>
        <v>0.57160194174757273</v>
      </c>
      <c r="AX54" s="72">
        <f t="shared" si="135"/>
        <v>0.55670606646772369</v>
      </c>
      <c r="AY54" s="72">
        <f t="shared" si="135"/>
        <v>0.55035883659568174</v>
      </c>
      <c r="AZ54" s="72">
        <f t="shared" si="135"/>
        <v>0.61672123676974133</v>
      </c>
      <c r="BA54" s="72">
        <f t="shared" si="135"/>
        <v>0.63873440493098943</v>
      </c>
      <c r="BB54" s="72">
        <f t="shared" si="135"/>
        <v>0.63418974757599311</v>
      </c>
      <c r="BC54" s="72">
        <f t="shared" si="135"/>
        <v>0.49218718046211907</v>
      </c>
      <c r="BD54" s="72">
        <f t="shared" si="135"/>
        <v>0.51600954196692661</v>
      </c>
      <c r="BE54" s="72">
        <f t="shared" si="135"/>
        <v>0.5494927387640165</v>
      </c>
      <c r="BF54" s="72">
        <f t="shared" si="135"/>
        <v>0.52512452759920947</v>
      </c>
      <c r="BG54" s="72">
        <f t="shared" si="135"/>
        <v>0.53877057060453548</v>
      </c>
      <c r="BH54" s="72">
        <f t="shared" si="135"/>
        <v>0.57937750556481349</v>
      </c>
      <c r="BI54" s="72">
        <f t="shared" si="135"/>
        <v>0.55620657273403618</v>
      </c>
      <c r="BJ54" s="72">
        <f t="shared" si="135"/>
        <v>0.55276919952297388</v>
      </c>
      <c r="BK54" s="72">
        <f t="shared" si="135"/>
        <v>0.55620378854062336</v>
      </c>
      <c r="BL54" s="72">
        <f t="shared" si="135"/>
        <v>0.613508219965614</v>
      </c>
      <c r="BM54" s="72">
        <f t="shared" si="135"/>
        <v>0.59624755692965836</v>
      </c>
      <c r="BN54" s="72">
        <f t="shared" si="135"/>
        <v>0.57885309004940477</v>
      </c>
      <c r="BO54" s="72">
        <f t="shared" si="135"/>
        <v>0.57775359535697524</v>
      </c>
      <c r="BP54" s="72">
        <f>BP40/BP38</f>
        <v>0.61671203962542731</v>
      </c>
      <c r="BQ54" s="72">
        <f>BQ40/BQ38</f>
        <v>0.58517348257947444</v>
      </c>
      <c r="CA54" s="72">
        <f t="shared" ref="CA54:CP54" si="136">CA40/CA38</f>
        <v>0.47217067189798911</v>
      </c>
      <c r="CB54" s="72">
        <f t="shared" si="136"/>
        <v>0.5327546017201189</v>
      </c>
      <c r="CC54" s="72">
        <f t="shared" si="136"/>
        <v>0.53591767409331603</v>
      </c>
      <c r="CD54" s="72">
        <f t="shared" si="136"/>
        <v>0.54126235199857553</v>
      </c>
      <c r="CE54" s="72">
        <f t="shared" si="136"/>
        <v>0.52251194768173048</v>
      </c>
      <c r="CF54" s="72">
        <f t="shared" si="136"/>
        <v>0.49273910866299453</v>
      </c>
      <c r="CG54" s="72">
        <f t="shared" si="136"/>
        <v>0.46841477949940402</v>
      </c>
      <c r="CH54" s="72">
        <f t="shared" si="136"/>
        <v>0.48253232966608767</v>
      </c>
      <c r="CI54" s="72">
        <f t="shared" si="136"/>
        <v>0.50542256961406939</v>
      </c>
      <c r="CJ54" s="72">
        <f t="shared" si="136"/>
        <v>0.51470317956258038</v>
      </c>
      <c r="CK54" s="72">
        <f t="shared" si="136"/>
        <v>0.50154396229481557</v>
      </c>
      <c r="CL54" s="72">
        <f t="shared" si="136"/>
        <v>0.54110931771758164</v>
      </c>
      <c r="CM54" s="72">
        <f t="shared" si="136"/>
        <v>0.61390844271347778</v>
      </c>
      <c r="CN54" s="72">
        <f t="shared" si="136"/>
        <v>0.52328761343242447</v>
      </c>
      <c r="CO54" s="72">
        <f t="shared" si="136"/>
        <v>0.55775397479571431</v>
      </c>
      <c r="CP54" s="72">
        <f t="shared" si="136"/>
        <v>0.58756480523751364</v>
      </c>
      <c r="CQ54" s="86">
        <v>0.57999999999999996</v>
      </c>
      <c r="CR54" s="86">
        <v>0.59499999999999997</v>
      </c>
      <c r="CS54" s="86">
        <v>0.6</v>
      </c>
      <c r="CT54" s="86">
        <v>0.60499999999999998</v>
      </c>
      <c r="CU54" s="86">
        <v>0.61</v>
      </c>
      <c r="CV54" s="86">
        <v>0.61499999999999999</v>
      </c>
      <c r="CW54" s="86">
        <v>0.61499999999999999</v>
      </c>
      <c r="CX54" s="86">
        <v>0.61499999999999999</v>
      </c>
      <c r="CY54" s="86">
        <v>0.61499999999999999</v>
      </c>
      <c r="CZ54" s="86">
        <v>0.61499999999999999</v>
      </c>
    </row>
    <row r="55" spans="2:156">
      <c r="B55" s="65" t="s">
        <v>1220</v>
      </c>
      <c r="C55" s="72">
        <f t="shared" ref="C55:AT55" si="137">C41/C38</f>
        <v>0.50960041515308774</v>
      </c>
      <c r="D55" s="72">
        <f t="shared" si="137"/>
        <v>0.4784847258749747</v>
      </c>
      <c r="E55" s="72">
        <f t="shared" si="137"/>
        <v>0.44682172293101508</v>
      </c>
      <c r="F55" s="72">
        <f t="shared" si="137"/>
        <v>0.5676053231380046</v>
      </c>
      <c r="G55" s="72">
        <f t="shared" si="137"/>
        <v>0.46334432124662872</v>
      </c>
      <c r="H55" s="72">
        <f t="shared" si="137"/>
        <v>0.4087719298245614</v>
      </c>
      <c r="I55" s="72">
        <f t="shared" si="137"/>
        <v>0.42393320964749542</v>
      </c>
      <c r="J55" s="72">
        <f t="shared" si="137"/>
        <v>0.45727998214186061</v>
      </c>
      <c r="K55" s="72">
        <f t="shared" si="137"/>
        <v>0.39082487869430965</v>
      </c>
      <c r="L55" s="72">
        <f t="shared" si="137"/>
        <v>0.36705006765899861</v>
      </c>
      <c r="M55" s="72">
        <f t="shared" si="137"/>
        <v>0.40632957439068756</v>
      </c>
      <c r="N55" s="72">
        <f t="shared" si="137"/>
        <v>0.47128129602356411</v>
      </c>
      <c r="O55" s="72">
        <f t="shared" si="137"/>
        <v>0.38373804267844003</v>
      </c>
      <c r="P55" s="72">
        <f t="shared" si="137"/>
        <v>0.37685101239045032</v>
      </c>
      <c r="Q55" s="72">
        <f t="shared" si="137"/>
        <v>0.40832205683355882</v>
      </c>
      <c r="R55" s="72">
        <f t="shared" si="137"/>
        <v>0.49199999999999999</v>
      </c>
      <c r="S55" s="72">
        <f t="shared" si="137"/>
        <v>0.41129290984921396</v>
      </c>
      <c r="T55" s="72">
        <f t="shared" si="137"/>
        <v>0.41286421110500271</v>
      </c>
      <c r="U55" s="72">
        <f t="shared" si="137"/>
        <v>0.47036395147313687</v>
      </c>
      <c r="V55" s="72">
        <f t="shared" si="137"/>
        <v>0.59029296020988198</v>
      </c>
      <c r="W55" s="72">
        <f t="shared" si="137"/>
        <v>0.43918053777208704</v>
      </c>
      <c r="X55" s="72">
        <f t="shared" si="137"/>
        <v>0.40700451048023351</v>
      </c>
      <c r="Y55" s="72">
        <f t="shared" si="137"/>
        <v>0.47519841269841268</v>
      </c>
      <c r="Z55" s="72">
        <f t="shared" si="137"/>
        <v>0.63680387409200967</v>
      </c>
      <c r="AA55" s="72">
        <f t="shared" si="137"/>
        <v>0.48093058733791</v>
      </c>
      <c r="AB55" s="72">
        <f t="shared" si="137"/>
        <v>0.48770610355799826</v>
      </c>
      <c r="AC55" s="72">
        <f t="shared" si="137"/>
        <v>0.49288580809923377</v>
      </c>
      <c r="AD55" s="72">
        <f t="shared" si="137"/>
        <v>0.66123622424532824</v>
      </c>
      <c r="AE55" s="72">
        <f t="shared" si="137"/>
        <v>0.41239699032604799</v>
      </c>
      <c r="AF55" s="72">
        <f t="shared" si="137"/>
        <v>0.46016059295861639</v>
      </c>
      <c r="AG55" s="72">
        <f t="shared" si="137"/>
        <v>0.50264335095567303</v>
      </c>
      <c r="AH55" s="72">
        <f t="shared" si="137"/>
        <v>0.61579509071504801</v>
      </c>
      <c r="AI55" s="72">
        <f t="shared" si="137"/>
        <v>0.44046285927584922</v>
      </c>
      <c r="AJ55" s="72">
        <f t="shared" si="137"/>
        <v>0.44827586206896552</v>
      </c>
      <c r="AK55" s="72">
        <f t="shared" si="137"/>
        <v>0.49650637073571718</v>
      </c>
      <c r="AL55" s="72">
        <f t="shared" si="137"/>
        <v>0.58011049723756902</v>
      </c>
      <c r="AM55" s="72">
        <f t="shared" si="137"/>
        <v>0.40268456375838924</v>
      </c>
      <c r="AN55" s="72">
        <f t="shared" si="137"/>
        <v>0.43993902439024396</v>
      </c>
      <c r="AO55" s="72">
        <f t="shared" si="137"/>
        <v>0.47950976637303711</v>
      </c>
      <c r="AP55" s="72">
        <f t="shared" si="137"/>
        <v>0.51666666666666661</v>
      </c>
      <c r="AQ55" s="72">
        <f t="shared" si="137"/>
        <v>0.35484961135518761</v>
      </c>
      <c r="AR55" s="72">
        <f t="shared" si="137"/>
        <v>0.39426023962106438</v>
      </c>
      <c r="AS55" s="72">
        <f t="shared" si="137"/>
        <v>0.3960997442455243</v>
      </c>
      <c r="AT55" s="72">
        <f t="shared" si="137"/>
        <v>0.44866920152091255</v>
      </c>
      <c r="AU55" s="72">
        <f t="shared" ref="AU55:BO55" si="138">AU41/AU38</f>
        <v>0.40315123061601937</v>
      </c>
      <c r="AV55" s="72">
        <f t="shared" si="138"/>
        <v>0.37200758866766998</v>
      </c>
      <c r="AW55" s="72">
        <f t="shared" si="138"/>
        <v>0.37231572196297857</v>
      </c>
      <c r="AX55" s="72">
        <f t="shared" si="138"/>
        <v>0.34843794045316262</v>
      </c>
      <c r="AY55" s="72">
        <f t="shared" si="138"/>
        <v>0.27936004938078407</v>
      </c>
      <c r="AZ55" s="72">
        <f t="shared" si="138"/>
        <v>0.31190637455795095</v>
      </c>
      <c r="BA55" s="72">
        <f t="shared" si="138"/>
        <v>0.31430264938434527</v>
      </c>
      <c r="BB55" s="72">
        <f t="shared" si="138"/>
        <v>0.36144635819389315</v>
      </c>
      <c r="BC55" s="72">
        <f t="shared" si="138"/>
        <v>0.31243249466395406</v>
      </c>
      <c r="BD55" s="72">
        <f t="shared" si="138"/>
        <v>0.25893107991967496</v>
      </c>
      <c r="BE55" s="72">
        <f t="shared" si="138"/>
        <v>0.28143405603932209</v>
      </c>
      <c r="BF55" s="72">
        <f t="shared" si="138"/>
        <v>0.29230658546804184</v>
      </c>
      <c r="BG55" s="72">
        <f t="shared" si="138"/>
        <v>0.27307809760787199</v>
      </c>
      <c r="BH55" s="72">
        <f t="shared" si="138"/>
        <v>0.28238385695888424</v>
      </c>
      <c r="BI55" s="72">
        <f t="shared" si="138"/>
        <v>0.29432904216640499</v>
      </c>
      <c r="BJ55" s="72">
        <f t="shared" si="138"/>
        <v>0.33452555162662811</v>
      </c>
      <c r="BK55" s="72">
        <f t="shared" si="138"/>
        <v>0.31498156868594324</v>
      </c>
      <c r="BL55" s="72">
        <f t="shared" si="138"/>
        <v>0.32044775488281163</v>
      </c>
      <c r="BM55" s="72">
        <f t="shared" si="138"/>
        <v>0.34222755293789803</v>
      </c>
      <c r="BN55" s="72">
        <f t="shared" si="138"/>
        <v>0.37685165540165066</v>
      </c>
      <c r="BO55" s="72">
        <f t="shared" si="138"/>
        <v>0.33987859002261767</v>
      </c>
      <c r="BP55" s="72">
        <f>BP41/BP38</f>
        <v>0.34647887569027364</v>
      </c>
      <c r="BQ55" s="72">
        <f>BQ41/BQ38</f>
        <v>0.37673542802540605</v>
      </c>
      <c r="CA55" s="72">
        <f t="shared" ref="CA55:CP55" si="139">CA41/CA38</f>
        <v>0.47571554683668466</v>
      </c>
      <c r="CB55" s="72">
        <f t="shared" si="139"/>
        <v>0.45428958015164916</v>
      </c>
      <c r="CC55" s="72">
        <f t="shared" si="139"/>
        <v>0.40443600759316622</v>
      </c>
      <c r="CD55" s="72">
        <f t="shared" si="139"/>
        <v>0.40986379417786867</v>
      </c>
      <c r="CE55" s="72">
        <f t="shared" si="139"/>
        <v>0.46038400268298807</v>
      </c>
      <c r="CF55" s="72">
        <f t="shared" si="139"/>
        <v>0.4722083124687031</v>
      </c>
      <c r="CG55" s="72">
        <f t="shared" si="139"/>
        <v>0.52058311176308791</v>
      </c>
      <c r="CH55" s="72">
        <f t="shared" si="139"/>
        <v>0.48552403011001738</v>
      </c>
      <c r="CI55" s="72">
        <f t="shared" si="139"/>
        <v>0.48334147532975091</v>
      </c>
      <c r="CJ55" s="72">
        <f t="shared" si="139"/>
        <v>0.4549715125895975</v>
      </c>
      <c r="CK55" s="72">
        <f t="shared" si="139"/>
        <v>0.3968795709410044</v>
      </c>
      <c r="CL55" s="72">
        <f t="shared" si="139"/>
        <v>0.37140779147314734</v>
      </c>
      <c r="CM55" s="72">
        <f t="shared" si="139"/>
        <v>0.31864408244953885</v>
      </c>
      <c r="CN55" s="72">
        <f t="shared" si="139"/>
        <v>0.28397515597837403</v>
      </c>
      <c r="CO55" s="72">
        <f t="shared" si="139"/>
        <v>0.29609433007044828</v>
      </c>
      <c r="CP55" s="72">
        <f t="shared" si="139"/>
        <v>0.33844624422765024</v>
      </c>
      <c r="CQ55" s="86">
        <v>0.34300000000000003</v>
      </c>
      <c r="CR55" s="86">
        <v>0.34499999999999997</v>
      </c>
      <c r="CS55" s="86">
        <v>0.34250000000000003</v>
      </c>
      <c r="CT55" s="86">
        <v>0.34</v>
      </c>
      <c r="CU55" s="86">
        <v>0.33750000000000002</v>
      </c>
      <c r="CV55" s="86">
        <v>0.33500000000000002</v>
      </c>
      <c r="CW55" s="86">
        <v>0.33250000000000002</v>
      </c>
      <c r="CX55" s="86">
        <v>0.33</v>
      </c>
      <c r="CY55" s="86">
        <v>0.32750000000000001</v>
      </c>
      <c r="CZ55" s="86">
        <v>0.32500000000000001</v>
      </c>
    </row>
    <row r="56" spans="2:156">
      <c r="B56" s="65" t="s">
        <v>125</v>
      </c>
      <c r="C56" s="72">
        <f t="shared" ref="C56:AT56" si="140">C43/C38</f>
        <v>-0.16614278300837731</v>
      </c>
      <c r="D56" s="72">
        <f t="shared" si="140"/>
        <v>-4.8553510014156094E-4</v>
      </c>
      <c r="E56" s="72">
        <f t="shared" si="140"/>
        <v>6.0404200067742886E-2</v>
      </c>
      <c r="F56" s="72">
        <f t="shared" si="140"/>
        <v>-0.28328799352988765</v>
      </c>
      <c r="G56" s="72">
        <f t="shared" si="140"/>
        <v>5.6344021576266085E-2</v>
      </c>
      <c r="H56" s="72">
        <f t="shared" si="140"/>
        <v>0.16973684210526316</v>
      </c>
      <c r="I56" s="72">
        <f t="shared" si="140"/>
        <v>0.12708719851576991</v>
      </c>
      <c r="J56" s="72">
        <f t="shared" si="140"/>
        <v>1.4509738266644392E-2</v>
      </c>
      <c r="K56" s="72">
        <f t="shared" si="140"/>
        <v>0.13056903396559327</v>
      </c>
      <c r="L56" s="72">
        <f t="shared" si="140"/>
        <v>0.20872801082543982</v>
      </c>
      <c r="M56" s="72">
        <f t="shared" si="140"/>
        <v>0.12731902510003634</v>
      </c>
      <c r="N56" s="72">
        <f t="shared" si="140"/>
        <v>2.9945999018163871E-2</v>
      </c>
      <c r="O56" s="72">
        <f t="shared" si="140"/>
        <v>0.1464311994113319</v>
      </c>
      <c r="P56" s="72">
        <f t="shared" si="140"/>
        <v>0.21547295255364152</v>
      </c>
      <c r="Q56" s="72">
        <f t="shared" si="140"/>
        <v>0.13531799729364008</v>
      </c>
      <c r="R56" s="72">
        <f t="shared" si="140"/>
        <v>-2.177777777777774E-2</v>
      </c>
      <c r="S56" s="72">
        <f t="shared" si="140"/>
        <v>0.12062880975296758</v>
      </c>
      <c r="T56" s="72">
        <f t="shared" si="140"/>
        <v>0.13853765805387586</v>
      </c>
      <c r="U56" s="72">
        <f t="shared" si="140"/>
        <v>6.2045060658578878E-2</v>
      </c>
      <c r="V56" s="72">
        <f t="shared" si="140"/>
        <v>-0.18758198513336258</v>
      </c>
      <c r="W56" s="72">
        <f t="shared" si="140"/>
        <v>5.3777208706786213E-2</v>
      </c>
      <c r="X56" s="72">
        <f t="shared" si="140"/>
        <v>0.11117007163703888</v>
      </c>
      <c r="Y56" s="72">
        <f t="shared" si="140"/>
        <v>3.6375661375661191E-3</v>
      </c>
      <c r="Z56" s="72">
        <f t="shared" si="140"/>
        <v>-0.31283292978208227</v>
      </c>
      <c r="AA56" s="72">
        <f t="shared" si="140"/>
        <v>-9.1533180778032262E-3</v>
      </c>
      <c r="AB56" s="72">
        <f t="shared" si="140"/>
        <v>4.7150708706971314E-2</v>
      </c>
      <c r="AC56" s="72">
        <f t="shared" si="140"/>
        <v>-7.5519883254286713E-2</v>
      </c>
      <c r="AD56" s="72">
        <f t="shared" si="140"/>
        <v>-0.3143267848586489</v>
      </c>
      <c r="AE56" s="72">
        <f t="shared" si="140"/>
        <v>5.0877821569330045E-2</v>
      </c>
      <c r="AF56" s="72">
        <f t="shared" si="140"/>
        <v>6.3619518221124216E-2</v>
      </c>
      <c r="AG56" s="72">
        <f t="shared" si="140"/>
        <v>-4.8800325335501774E-3</v>
      </c>
      <c r="AH56" s="72">
        <f t="shared" si="140"/>
        <v>-0.21237993596584842</v>
      </c>
      <c r="AI56" s="72">
        <f t="shared" si="140"/>
        <v>5.8230683090705365E-2</v>
      </c>
      <c r="AJ56" s="72">
        <f t="shared" si="140"/>
        <v>9.3869731800766215E-2</v>
      </c>
      <c r="AK56" s="72">
        <f t="shared" si="140"/>
        <v>1.1097410604192426E-2</v>
      </c>
      <c r="AL56" s="72">
        <f t="shared" si="140"/>
        <v>-0.15268709191361129</v>
      </c>
      <c r="AM56" s="72">
        <f t="shared" si="140"/>
        <v>9.1133874955846017E-2</v>
      </c>
      <c r="AN56" s="72">
        <f t="shared" si="140"/>
        <v>0.11310975609756097</v>
      </c>
      <c r="AO56" s="72">
        <f t="shared" si="140"/>
        <v>5.3236307927997009E-2</v>
      </c>
      <c r="AP56" s="72">
        <f t="shared" si="140"/>
        <v>-6.4351851851851813E-2</v>
      </c>
      <c r="AQ56" s="72">
        <f t="shared" si="140"/>
        <v>0.11017235552551527</v>
      </c>
      <c r="AR56" s="72">
        <f t="shared" si="140"/>
        <v>0.13346336026748393</v>
      </c>
      <c r="AS56" s="72">
        <f t="shared" si="140"/>
        <v>0.12787723785166241</v>
      </c>
      <c r="AT56" s="72">
        <f t="shared" si="140"/>
        <v>3.1558935361216775E-2</v>
      </c>
      <c r="AU56" s="72">
        <f t="shared" ref="AU56:BO56" si="141">AU43/AU38</f>
        <v>7.4021909233176794E-2</v>
      </c>
      <c r="AV56" s="72">
        <f t="shared" si="141"/>
        <v>0.17069374779443039</v>
      </c>
      <c r="AW56" s="72">
        <f t="shared" si="141"/>
        <v>0.19928621978459421</v>
      </c>
      <c r="AX56" s="72">
        <f t="shared" si="141"/>
        <v>0.1570637751878457</v>
      </c>
      <c r="AY56" s="72">
        <f t="shared" si="141"/>
        <v>0.27099878721489767</v>
      </c>
      <c r="AZ56" s="72">
        <f t="shared" si="141"/>
        <v>0.30481486221179038</v>
      </c>
      <c r="BA56" s="72">
        <f t="shared" si="141"/>
        <v>0.32443175554664422</v>
      </c>
      <c r="BB56" s="72">
        <f t="shared" si="141"/>
        <v>0.27274338938210002</v>
      </c>
      <c r="BC56" s="72">
        <f t="shared" si="141"/>
        <v>0.17975468579816495</v>
      </c>
      <c r="BD56" s="72">
        <f t="shared" si="141"/>
        <v>0.2570784620472516</v>
      </c>
      <c r="BE56" s="72">
        <f t="shared" si="141"/>
        <v>0.26805868272469446</v>
      </c>
      <c r="BF56" s="72">
        <f t="shared" si="141"/>
        <v>0.23281794213116758</v>
      </c>
      <c r="BG56" s="72">
        <f t="shared" si="141"/>
        <v>0.26569247299666343</v>
      </c>
      <c r="BH56" s="72">
        <f t="shared" si="141"/>
        <v>0.29699364860592925</v>
      </c>
      <c r="BI56" s="72">
        <f t="shared" si="141"/>
        <v>0.26187753056763124</v>
      </c>
      <c r="BJ56" s="72">
        <f t="shared" si="141"/>
        <v>0.21824364789634579</v>
      </c>
      <c r="BK56" s="72">
        <f t="shared" si="141"/>
        <v>0.24122221985468012</v>
      </c>
      <c r="BL56" s="72">
        <f t="shared" si="141"/>
        <v>0.29306046508280242</v>
      </c>
      <c r="BM56" s="72">
        <f t="shared" si="141"/>
        <v>0.25402000399176033</v>
      </c>
      <c r="BN56" s="72">
        <f t="shared" si="141"/>
        <v>0.20200143464775405</v>
      </c>
      <c r="BO56" s="72">
        <f t="shared" si="141"/>
        <v>0.23787500533435751</v>
      </c>
      <c r="BP56" s="72">
        <f>BP43/BP38</f>
        <v>-0.37196168660379703</v>
      </c>
      <c r="BQ56" s="72">
        <f>BQ43/BQ38</f>
        <v>0.20843805455406836</v>
      </c>
      <c r="CA56" s="72">
        <f t="shared" ref="CA56:CP56" si="142">CA43/CA38</f>
        <v>-2.31623344776852E-2</v>
      </c>
      <c r="CB56" s="72">
        <f t="shared" si="142"/>
        <v>4.9528440907751214E-2</v>
      </c>
      <c r="CC56" s="72">
        <f t="shared" si="142"/>
        <v>0.13228094714756719</v>
      </c>
      <c r="CD56" s="72">
        <f t="shared" si="142"/>
        <v>0.13015223003649956</v>
      </c>
      <c r="CE56" s="72">
        <f t="shared" si="142"/>
        <v>5.2821329756015771E-2</v>
      </c>
      <c r="CF56" s="72">
        <f t="shared" si="142"/>
        <v>-4.0060090135203138E-3</v>
      </c>
      <c r="CG56" s="72">
        <f t="shared" si="142"/>
        <v>-6.6379389382965101E-2</v>
      </c>
      <c r="CH56" s="72">
        <f t="shared" si="142"/>
        <v>-5.9834008878594342E-3</v>
      </c>
      <c r="CI56" s="72">
        <f t="shared" si="142"/>
        <v>1.6902784562774751E-2</v>
      </c>
      <c r="CJ56" s="72">
        <f t="shared" si="142"/>
        <v>5.7801874655394256E-2</v>
      </c>
      <c r="CK56" s="72">
        <f t="shared" si="142"/>
        <v>0.10466439135381111</v>
      </c>
      <c r="CL56" s="72">
        <f t="shared" si="142"/>
        <v>0.1544982470520242</v>
      </c>
      <c r="CM56" s="72">
        <f t="shared" si="142"/>
        <v>0.29526436026393887</v>
      </c>
      <c r="CN56" s="72">
        <f t="shared" si="142"/>
        <v>0.23931245745405044</v>
      </c>
      <c r="CO56" s="72">
        <f t="shared" si="142"/>
        <v>0.26165964472526609</v>
      </c>
      <c r="CP56" s="72">
        <f t="shared" si="142"/>
        <v>0.24911856100986354</v>
      </c>
      <c r="CQ56" s="86">
        <f>CQ43/CQ38</f>
        <v>0.23699999999999993</v>
      </c>
      <c r="CR56" s="86">
        <f t="shared" ref="CR56:CZ56" si="143">CR43/CR38</f>
        <v>0.25</v>
      </c>
      <c r="CS56" s="86">
        <f t="shared" si="143"/>
        <v>0.25749999999999995</v>
      </c>
      <c r="CT56" s="86">
        <f t="shared" si="143"/>
        <v>0.2649999999999999</v>
      </c>
      <c r="CU56" s="86">
        <f t="shared" si="143"/>
        <v>0.27249999999999996</v>
      </c>
      <c r="CV56" s="86">
        <f t="shared" si="143"/>
        <v>0.27999999999999997</v>
      </c>
      <c r="CW56" s="86">
        <f t="shared" si="143"/>
        <v>0.28249999999999997</v>
      </c>
      <c r="CX56" s="86">
        <f t="shared" si="143"/>
        <v>0.28499999999999998</v>
      </c>
      <c r="CY56" s="86">
        <f t="shared" si="143"/>
        <v>0.28749999999999998</v>
      </c>
      <c r="CZ56" s="86">
        <f t="shared" si="143"/>
        <v>0.28999999999999998</v>
      </c>
    </row>
    <row r="57" spans="2:156">
      <c r="B57" s="65" t="s">
        <v>126</v>
      </c>
      <c r="C57" s="72">
        <f t="shared" ref="C57:AT57" si="144">C49/C48</f>
        <v>-9.4547746612039015E-3</v>
      </c>
      <c r="D57" s="72">
        <f t="shared" si="144"/>
        <v>-0.333098343320409</v>
      </c>
      <c r="E57" s="72">
        <f t="shared" si="144"/>
        <v>-1.261270491803282</v>
      </c>
      <c r="F57" s="72">
        <f t="shared" si="144"/>
        <v>0.14862657757980677</v>
      </c>
      <c r="G57" s="72">
        <f t="shared" si="144"/>
        <v>0.37166977305120069</v>
      </c>
      <c r="H57" s="72">
        <f t="shared" si="144"/>
        <v>0.16966580976863749</v>
      </c>
      <c r="I57" s="72">
        <f t="shared" si="144"/>
        <v>8.118081180811812E-2</v>
      </c>
      <c r="J57" s="72">
        <f t="shared" si="144"/>
        <v>0.1583333333333331</v>
      </c>
      <c r="K57" s="72">
        <f t="shared" si="144"/>
        <v>0.23214285714285721</v>
      </c>
      <c r="L57" s="72">
        <f t="shared" si="144"/>
        <v>0.14374034003091188</v>
      </c>
      <c r="M57" s="72">
        <f t="shared" si="144"/>
        <v>0.2056074766355141</v>
      </c>
      <c r="N57" s="72">
        <f t="shared" si="144"/>
        <v>0.21186440677966159</v>
      </c>
      <c r="O57" s="72">
        <f t="shared" si="144"/>
        <v>0.21329639889196672</v>
      </c>
      <c r="P57" s="72">
        <f t="shared" si="144"/>
        <v>0.16644113667117735</v>
      </c>
      <c r="Q57" s="72">
        <f t="shared" si="144"/>
        <v>-0.13602015113350122</v>
      </c>
      <c r="R57" s="72">
        <f t="shared" si="144"/>
        <v>0.10000000000000021</v>
      </c>
      <c r="S57" s="72">
        <f t="shared" si="144"/>
        <v>0.17663817663817666</v>
      </c>
      <c r="T57" s="72">
        <f t="shared" si="144"/>
        <v>0.28830645161290303</v>
      </c>
      <c r="U57" s="72">
        <f t="shared" si="144"/>
        <v>0.2598870056497174</v>
      </c>
      <c r="V57" s="72">
        <f t="shared" si="144"/>
        <v>-0.5727699530516428</v>
      </c>
      <c r="W57" s="72">
        <f t="shared" si="144"/>
        <v>0.37241379310344802</v>
      </c>
      <c r="X57" s="72">
        <f t="shared" si="144"/>
        <v>0.44523809523809577</v>
      </c>
      <c r="Y57" s="83">
        <v>-0.158</v>
      </c>
      <c r="Z57" s="72">
        <f t="shared" si="144"/>
        <v>0.18404907975460125</v>
      </c>
      <c r="AA57" s="72">
        <f t="shared" si="144"/>
        <v>-0.13636363636363602</v>
      </c>
      <c r="AB57" s="72">
        <f t="shared" si="144"/>
        <v>0.16352201257861654</v>
      </c>
      <c r="AC57" s="72">
        <f t="shared" si="144"/>
        <v>-3.8961038961038981E-2</v>
      </c>
      <c r="AD57" s="72">
        <f t="shared" si="144"/>
        <v>-7.175572519083967E-2</v>
      </c>
      <c r="AE57" s="72">
        <f t="shared" si="144"/>
        <v>0.22307692307692276</v>
      </c>
      <c r="AF57" s="72">
        <f t="shared" si="144"/>
        <v>0.16666666666666646</v>
      </c>
      <c r="AG57" s="72">
        <f t="shared" si="144"/>
        <v>8.4999999999995204</v>
      </c>
      <c r="AH57" s="72">
        <f t="shared" si="144"/>
        <v>-4.092071611253198E-2</v>
      </c>
      <c r="AI57" s="72">
        <f t="shared" si="144"/>
        <v>0.30625000000000069</v>
      </c>
      <c r="AJ57" s="72">
        <f t="shared" si="144"/>
        <v>0.25762711864406795</v>
      </c>
      <c r="AK57" s="72">
        <f t="shared" si="144"/>
        <v>0.38461538461538208</v>
      </c>
      <c r="AL57" s="72">
        <f t="shared" si="144"/>
        <v>0.18666666666666662</v>
      </c>
      <c r="AM57" s="72">
        <f t="shared" si="144"/>
        <v>0.39852398523985227</v>
      </c>
      <c r="AN57" s="72">
        <f t="shared" si="144"/>
        <v>8.0213903743315523E-2</v>
      </c>
      <c r="AO57" s="72">
        <f t="shared" si="144"/>
        <v>0.2808219178082188</v>
      </c>
      <c r="AP57" s="72">
        <f t="shared" si="144"/>
        <v>0.22142857142857159</v>
      </c>
      <c r="AQ57" s="72">
        <f t="shared" si="144"/>
        <v>0.18421052631578966</v>
      </c>
      <c r="AR57" s="72">
        <f t="shared" si="144"/>
        <v>0.12304250559284123</v>
      </c>
      <c r="AS57" s="72">
        <f t="shared" si="144"/>
        <v>6.2827225130890049E-2</v>
      </c>
      <c r="AT57" s="72">
        <f t="shared" si="144"/>
        <v>-2.2096774193548345</v>
      </c>
      <c r="AU57" s="72">
        <f t="shared" ref="AU57:BO57" si="145">AU49/AU48</f>
        <v>0.40979848597931584</v>
      </c>
      <c r="AV57" s="72">
        <f t="shared" si="145"/>
        <v>-3.3953777517735671E-2</v>
      </c>
      <c r="AW57" s="72">
        <f t="shared" si="145"/>
        <v>0.11692276962148131</v>
      </c>
      <c r="AX57" s="72">
        <f t="shared" si="145"/>
        <v>-1.8899957442113391</v>
      </c>
      <c r="AY57" s="72">
        <f t="shared" si="145"/>
        <v>0.19734212222321937</v>
      </c>
      <c r="AZ57" s="72">
        <f t="shared" si="145"/>
        <v>-0.67375116106991584</v>
      </c>
      <c r="BA57" s="72">
        <f t="shared" si="145"/>
        <v>0.22376352786487308</v>
      </c>
      <c r="BB57" s="72">
        <f t="shared" si="145"/>
        <v>-1.2380865222450219E-2</v>
      </c>
      <c r="BC57" s="72">
        <f t="shared" si="145"/>
        <v>0.26553586753495872</v>
      </c>
      <c r="BD57" s="72">
        <f t="shared" si="145"/>
        <v>0.25191658928763067</v>
      </c>
      <c r="BE57" s="72">
        <f t="shared" si="145"/>
        <v>0.26233692693019689</v>
      </c>
      <c r="BF57" s="72">
        <f t="shared" si="145"/>
        <v>0.21549239619524993</v>
      </c>
      <c r="BG57" s="72">
        <f t="shared" si="145"/>
        <v>0.22018252933507174</v>
      </c>
      <c r="BH57" s="72">
        <f t="shared" si="145"/>
        <v>0.23384240255664798</v>
      </c>
      <c r="BI57" s="72">
        <f t="shared" si="145"/>
        <v>0.24155748451170092</v>
      </c>
      <c r="BJ57" s="72">
        <f t="shared" si="145"/>
        <v>-0.45848956775781524</v>
      </c>
      <c r="BK57" s="72">
        <f t="shared" si="145"/>
        <v>0.21428313721852002</v>
      </c>
      <c r="BL57" s="72">
        <f t="shared" si="145"/>
        <v>0.22777507894097646</v>
      </c>
      <c r="BM57" s="72">
        <f t="shared" si="145"/>
        <v>0.18415174469649026</v>
      </c>
      <c r="BN57" s="72">
        <f t="shared" si="145"/>
        <v>-1.1050661584722179</v>
      </c>
      <c r="BO57" s="72">
        <f t="shared" si="145"/>
        <v>0.21879330873884953</v>
      </c>
      <c r="BP57" s="72">
        <f>BP49/BP48</f>
        <v>-9.7356278281803779E-2</v>
      </c>
      <c r="BQ57" s="72">
        <f>BQ49/BQ48</f>
        <v>0.23020967503536799</v>
      </c>
      <c r="CA57" s="72">
        <f t="shared" ref="CA57:CP57" si="146">CA49/CA48</f>
        <v>0.12917176430420793</v>
      </c>
      <c r="CB57" s="72">
        <f t="shared" si="146"/>
        <v>0.16525279395305836</v>
      </c>
      <c r="CC57" s="72">
        <f>CC49/CC48</f>
        <v>0.18122535638459206</v>
      </c>
      <c r="CD57" s="72">
        <f t="shared" si="146"/>
        <v>9.7460535346602609E-2</v>
      </c>
      <c r="CE57" s="72">
        <f t="shared" si="146"/>
        <v>0.82775919732441461</v>
      </c>
      <c r="CF57" s="72">
        <f t="shared" si="146"/>
        <v>0.41860465116278867</v>
      </c>
      <c r="CG57" s="72">
        <f t="shared" si="146"/>
        <v>-0.11348464619492651</v>
      </c>
      <c r="CH57" s="72">
        <f t="shared" si="146"/>
        <v>-1.273972602739736</v>
      </c>
      <c r="CI57" s="72">
        <f t="shared" si="146"/>
        <v>0.43646408839779122</v>
      </c>
      <c r="CJ57" s="72">
        <f t="shared" si="146"/>
        <v>0.22734254992319494</v>
      </c>
      <c r="CK57" s="72">
        <f t="shared" si="146"/>
        <v>-1.6736401673640114E-3</v>
      </c>
      <c r="CL57" s="72">
        <f t="shared" si="146"/>
        <v>-0.51155172913586688</v>
      </c>
      <c r="CM57" s="72">
        <f t="shared" si="146"/>
        <v>-9.3160544336555892E-2</v>
      </c>
      <c r="CN57" s="72">
        <f t="shared" si="146"/>
        <v>0.24822304151826777</v>
      </c>
      <c r="CO57" s="72">
        <f t="shared" si="146"/>
        <v>9.5524915722707729E-2</v>
      </c>
      <c r="CP57" s="72">
        <f t="shared" si="146"/>
        <v>-4.33631418784984E-2</v>
      </c>
      <c r="CQ57" s="86">
        <v>0.18</v>
      </c>
      <c r="CR57" s="86">
        <v>0.16</v>
      </c>
      <c r="CS57" s="86">
        <v>0.16</v>
      </c>
      <c r="CT57" s="86">
        <v>0.16</v>
      </c>
      <c r="CU57" s="86">
        <v>0.16</v>
      </c>
      <c r="CV57" s="86">
        <v>0.16</v>
      </c>
      <c r="CW57" s="86">
        <v>0.16</v>
      </c>
      <c r="CX57" s="86">
        <v>0.16</v>
      </c>
      <c r="CY57" s="86">
        <v>0.16</v>
      </c>
      <c r="CZ57" s="86">
        <v>0.16</v>
      </c>
    </row>
    <row r="58" spans="2:156">
      <c r="B58" s="65" t="s">
        <v>127</v>
      </c>
      <c r="C58" s="72">
        <f t="shared" ref="C58:AT58" si="147">C50/C38</f>
        <v>-0.16621691748832396</v>
      </c>
      <c r="D58" s="72">
        <f t="shared" si="147"/>
        <v>-0.15302447906129876</v>
      </c>
      <c r="E58" s="72">
        <f t="shared" si="147"/>
        <v>0.12459071920514835</v>
      </c>
      <c r="F58" s="72">
        <f t="shared" si="147"/>
        <v>-8.4317329608117192E-2</v>
      </c>
      <c r="G58" s="72">
        <f t="shared" si="147"/>
        <v>3.43482169613425E-2</v>
      </c>
      <c r="H58" s="72">
        <f t="shared" si="147"/>
        <v>0.14166666666666669</v>
      </c>
      <c r="I58" s="72">
        <f t="shared" si="147"/>
        <v>0.11549165120593688</v>
      </c>
      <c r="J58" s="72">
        <f t="shared" si="147"/>
        <v>2.6491433673754165E-2</v>
      </c>
      <c r="K58" s="72">
        <f t="shared" si="147"/>
        <v>9.4838994265549162E-2</v>
      </c>
      <c r="L58" s="72">
        <f t="shared" si="147"/>
        <v>0.18741542625169152</v>
      </c>
      <c r="M58" s="72">
        <f t="shared" si="147"/>
        <v>9.2761004001455025E-2</v>
      </c>
      <c r="N58" s="72">
        <f t="shared" si="147"/>
        <v>2.7393225331369567E-2</v>
      </c>
      <c r="O58" s="72">
        <f t="shared" si="147"/>
        <v>0.10448859455481975</v>
      </c>
      <c r="P58" s="72">
        <f t="shared" si="147"/>
        <v>0.18615896041100022</v>
      </c>
      <c r="Q58" s="72">
        <f t="shared" si="147"/>
        <v>0.15257104194857921</v>
      </c>
      <c r="R58" s="72">
        <f t="shared" si="147"/>
        <v>-1.5999999999999962E-2</v>
      </c>
      <c r="S58" s="72">
        <f t="shared" si="147"/>
        <v>9.2717356432467105E-2</v>
      </c>
      <c r="T58" s="72">
        <f t="shared" si="147"/>
        <v>9.7031335898845619E-2</v>
      </c>
      <c r="U58" s="72">
        <f t="shared" si="147"/>
        <v>4.540727902946276E-2</v>
      </c>
      <c r="V58" s="72">
        <f t="shared" si="147"/>
        <v>-0.29296020988194155</v>
      </c>
      <c r="W58" s="72">
        <f t="shared" si="147"/>
        <v>2.9129321382842546E-2</v>
      </c>
      <c r="X58" s="72">
        <f t="shared" si="147"/>
        <v>6.1820111435393878E-2</v>
      </c>
      <c r="Y58" s="72">
        <f t="shared" si="147"/>
        <v>5.2248677248677232E-2</v>
      </c>
      <c r="Z58" s="72">
        <f t="shared" si="147"/>
        <v>-0.25762711864406773</v>
      </c>
      <c r="AA58" s="72">
        <f t="shared" si="147"/>
        <v>-9.5347063310450252E-3</v>
      </c>
      <c r="AB58" s="72">
        <f t="shared" si="147"/>
        <v>3.8472664159675971E-2</v>
      </c>
      <c r="AC58" s="72">
        <f t="shared" si="147"/>
        <v>-8.7559284932506323E-2</v>
      </c>
      <c r="AD58" s="72">
        <f t="shared" si="147"/>
        <v>-0.33636799233349324</v>
      </c>
      <c r="AE58" s="72">
        <f t="shared" si="147"/>
        <v>3.618774632748125E-2</v>
      </c>
      <c r="AF58" s="72">
        <f t="shared" si="147"/>
        <v>4.7869054972205137E-2</v>
      </c>
      <c r="AG58" s="72">
        <f t="shared" si="147"/>
        <v>-6.1000406669377335E-3</v>
      </c>
      <c r="AH58" s="72">
        <f t="shared" si="147"/>
        <v>-0.21718249733191033</v>
      </c>
      <c r="AI58" s="72">
        <f t="shared" si="147"/>
        <v>4.1433370660694163E-2</v>
      </c>
      <c r="AJ58" s="72">
        <f t="shared" si="147"/>
        <v>6.9923371647509502E-2</v>
      </c>
      <c r="AK58" s="72">
        <f t="shared" si="147"/>
        <v>6.5762433210029463E-3</v>
      </c>
      <c r="AL58" s="72">
        <f t="shared" si="147"/>
        <v>-0.12255148166750379</v>
      </c>
      <c r="AM58" s="72">
        <f t="shared" si="147"/>
        <v>5.7576827975980252E-2</v>
      </c>
      <c r="AN58" s="72">
        <f t="shared" si="147"/>
        <v>0.10487804878048777</v>
      </c>
      <c r="AO58" s="72">
        <f t="shared" si="147"/>
        <v>4.0214477211796315E-2</v>
      </c>
      <c r="AP58" s="72">
        <f t="shared" si="147"/>
        <v>-5.0462962962962925E-2</v>
      </c>
      <c r="AQ58" s="72">
        <f t="shared" si="147"/>
        <v>8.3812098681987052E-2</v>
      </c>
      <c r="AR58" s="72">
        <f t="shared" si="147"/>
        <v>0.10922262468654215</v>
      </c>
      <c r="AS58" s="72">
        <f t="shared" si="147"/>
        <v>0.11445012787723786</v>
      </c>
      <c r="AT58" s="72">
        <f t="shared" si="147"/>
        <v>7.5665399239543768E-2</v>
      </c>
      <c r="AU58" s="72">
        <f t="shared" ref="AU58:BO58" si="148">AU50/AU38</f>
        <v>3.9376155925451649E-2</v>
      </c>
      <c r="AV58" s="72">
        <f t="shared" si="148"/>
        <v>0.17056103659511326</v>
      </c>
      <c r="AW58" s="72">
        <f t="shared" si="148"/>
        <v>0.17110268261936876</v>
      </c>
      <c r="AX58" s="72">
        <f t="shared" si="148"/>
        <v>0.44555634398359206</v>
      </c>
      <c r="AY58" s="72">
        <f t="shared" si="148"/>
        <v>0.21384357245630276</v>
      </c>
      <c r="AZ58" s="72">
        <f t="shared" si="148"/>
        <v>0.49775581101369298</v>
      </c>
      <c r="BA58" s="72">
        <f t="shared" si="148"/>
        <v>0.2452282164305605</v>
      </c>
      <c r="BB58" s="72">
        <f t="shared" si="148"/>
        <v>0.26400196375240376</v>
      </c>
      <c r="BC58" s="72">
        <f t="shared" si="148"/>
        <v>0.11019749050570118</v>
      </c>
      <c r="BD58" s="72">
        <f t="shared" si="148"/>
        <v>0.16621102841544672</v>
      </c>
      <c r="BE58" s="72">
        <f t="shared" si="148"/>
        <v>0.1719115130129715</v>
      </c>
      <c r="BF58" s="72">
        <f t="shared" si="148"/>
        <v>0.14572585730427892</v>
      </c>
      <c r="BG58" s="72">
        <f t="shared" si="148"/>
        <v>0.16912288638805631</v>
      </c>
      <c r="BH58" s="72">
        <f t="shared" si="148"/>
        <v>0.19807471910164759</v>
      </c>
      <c r="BI58" s="72">
        <f t="shared" si="148"/>
        <v>0.16928337958562278</v>
      </c>
      <c r="BJ58" s="72">
        <f t="shared" si="148"/>
        <v>0.26414335782692705</v>
      </c>
      <c r="BK58" s="72">
        <f t="shared" si="148"/>
        <v>0.16241290405062736</v>
      </c>
      <c r="BL58" s="72">
        <f t="shared" si="148"/>
        <v>0.20594313455408494</v>
      </c>
      <c r="BM58" s="72">
        <f t="shared" si="148"/>
        <v>0.18809193852688968</v>
      </c>
      <c r="BN58" s="72">
        <f t="shared" si="148"/>
        <v>0.37274169268228657</v>
      </c>
      <c r="BO58" s="72">
        <f t="shared" si="148"/>
        <v>0.17079332565185845</v>
      </c>
      <c r="BP58" s="72">
        <f>BP50/BP38</f>
        <v>-0.42831116018177023</v>
      </c>
      <c r="BQ58" s="72">
        <f>BQ50/BQ38</f>
        <v>0.14636814761878009</v>
      </c>
      <c r="CA58" s="72">
        <f t="shared" ref="CA58:CP58" si="149">CA50/CA38</f>
        <v>-6.0043158410985842E-2</v>
      </c>
      <c r="CB58" s="72">
        <f t="shared" si="149"/>
        <v>6.8942743080674079E-2</v>
      </c>
      <c r="CC58" s="72">
        <f t="shared" si="149"/>
        <v>0.10788290538515335</v>
      </c>
      <c r="CD58" s="72">
        <f t="shared" si="149"/>
        <v>0.11706578830232349</v>
      </c>
      <c r="CE58" s="72">
        <f t="shared" si="149"/>
        <v>8.6358681982057605E-3</v>
      </c>
      <c r="CF58" s="72">
        <f t="shared" si="149"/>
        <v>-4.1729260557503162E-3</v>
      </c>
      <c r="CG58" s="72">
        <f t="shared" si="149"/>
        <v>-7.6464655725680786E-2</v>
      </c>
      <c r="CH58" s="72">
        <f t="shared" si="149"/>
        <v>-1.6020073344914055E-2</v>
      </c>
      <c r="CI58" s="72">
        <f t="shared" si="149"/>
        <v>9.965803615046365E-3</v>
      </c>
      <c r="CJ58" s="72">
        <f t="shared" si="149"/>
        <v>4.6223120749862186E-2</v>
      </c>
      <c r="CK58" s="72">
        <f t="shared" si="149"/>
        <v>9.7269624573378816E-2</v>
      </c>
      <c r="CL58" s="72">
        <f t="shared" si="149"/>
        <v>0.22573958242390968</v>
      </c>
      <c r="CM58" s="72">
        <f t="shared" si="149"/>
        <v>0.31369166362282602</v>
      </c>
      <c r="CN58" s="72">
        <f t="shared" si="149"/>
        <v>0.15194290825827436</v>
      </c>
      <c r="CO58" s="72">
        <f t="shared" si="149"/>
        <v>0.20002513664898189</v>
      </c>
      <c r="CP58" s="72">
        <f t="shared" si="149"/>
        <v>0.23160703825041767</v>
      </c>
      <c r="CQ58" s="86">
        <f>CQ50/CQ38</f>
        <v>0.17767187420663555</v>
      </c>
      <c r="CR58" s="86">
        <f t="shared" ref="CR58:CZ58" si="150">CR50/CR38</f>
        <v>0.19210551144544738</v>
      </c>
      <c r="CS58" s="86">
        <f t="shared" si="150"/>
        <v>0.19815365234094695</v>
      </c>
      <c r="CT58" s="86">
        <f t="shared" si="150"/>
        <v>0.20422697149076402</v>
      </c>
      <c r="CU58" s="86">
        <f t="shared" si="150"/>
        <v>0.21024467638184</v>
      </c>
      <c r="CV58" s="86">
        <f t="shared" si="150"/>
        <v>0.21623887379419862</v>
      </c>
      <c r="CW58" s="86">
        <f t="shared" si="150"/>
        <v>0.21799405284446585</v>
      </c>
      <c r="CX58" s="86">
        <f t="shared" si="150"/>
        <v>0.21974490413905873</v>
      </c>
      <c r="CY58" s="86">
        <f t="shared" si="150"/>
        <v>0.22147891543275799</v>
      </c>
      <c r="CZ58" s="86">
        <f t="shared" si="150"/>
        <v>0.22320004258865214</v>
      </c>
    </row>
    <row r="59" spans="2:156">
      <c r="B59" s="65"/>
      <c r="CA59" s="81"/>
      <c r="CB59" s="81"/>
      <c r="CC59" s="81"/>
      <c r="CD59" s="81"/>
      <c r="CE59" s="81"/>
      <c r="CF59" s="81"/>
      <c r="CG59" s="81"/>
      <c r="CH59" s="81"/>
      <c r="CI59" s="81"/>
      <c r="CJ59" s="81"/>
      <c r="CK59" s="81"/>
      <c r="CL59" s="81"/>
      <c r="CM59" s="81"/>
      <c r="CN59" s="81"/>
      <c r="CO59" s="81"/>
      <c r="CP59" s="81"/>
    </row>
    <row r="60" spans="2:156">
      <c r="B60" s="1" t="s">
        <v>128</v>
      </c>
      <c r="AU60" s="74"/>
      <c r="AV60" s="74"/>
      <c r="AW60" s="74"/>
      <c r="AX60" s="74">
        <f>1.542+135.802</f>
        <v>137.34399999999999</v>
      </c>
      <c r="AY60" s="74">
        <f>255.869+1.5</f>
        <v>257.36900000000003</v>
      </c>
      <c r="AZ60" s="74">
        <f>1.469+197.853</f>
        <v>199.322</v>
      </c>
      <c r="BA60" s="74">
        <v>438</v>
      </c>
      <c r="BB60" s="74">
        <v>213.25</v>
      </c>
      <c r="BC60" s="74">
        <v>171.99</v>
      </c>
      <c r="BD60" s="74">
        <v>187.352</v>
      </c>
      <c r="BE60" s="74">
        <v>142.97</v>
      </c>
      <c r="BF60" s="74">
        <v>191.63</v>
      </c>
      <c r="BG60" s="74">
        <v>125.68899999999999</v>
      </c>
      <c r="BH60" s="74">
        <v>166.23</v>
      </c>
      <c r="BI60" s="74">
        <v>127.32</v>
      </c>
      <c r="BJ60" s="74">
        <v>149.29</v>
      </c>
      <c r="BK60" s="74">
        <v>159.28800000000001</v>
      </c>
      <c r="BL60" s="74">
        <v>167.73400000000001</v>
      </c>
      <c r="BM60" s="74">
        <v>186.124</v>
      </c>
      <c r="BN60" s="74">
        <v>180.48</v>
      </c>
      <c r="BO60" s="74">
        <v>166.46</v>
      </c>
      <c r="BP60" s="74">
        <v>200.61099999999999</v>
      </c>
      <c r="BQ60" s="74">
        <v>153.97</v>
      </c>
      <c r="CA60" s="74"/>
      <c r="CB60" s="74"/>
      <c r="CC60" s="74"/>
      <c r="CD60" s="74"/>
      <c r="CE60" s="74"/>
      <c r="CF60" s="74"/>
      <c r="CG60" s="74"/>
      <c r="CH60" s="74"/>
      <c r="CI60" s="74"/>
      <c r="CJ60" s="74"/>
      <c r="CK60" s="74"/>
      <c r="CL60" s="74">
        <f t="shared" ref="CL60:CL73" si="151">AX60</f>
        <v>137.34399999999999</v>
      </c>
      <c r="CM60" s="74">
        <f t="shared" ref="CM60:CM73" si="152">BB60</f>
        <v>213.25</v>
      </c>
      <c r="CN60" s="74">
        <f t="shared" ref="CN60:CN73" si="153">BF60</f>
        <v>191.63</v>
      </c>
      <c r="CO60" s="74">
        <f t="shared" ref="CO60:CO73" si="154">BJ60</f>
        <v>149.29</v>
      </c>
      <c r="CP60" s="74">
        <f t="shared" ref="CP60:CP73" si="155">BN60</f>
        <v>180.48</v>
      </c>
      <c r="CQ60" s="77">
        <f>CP60+CQ50</f>
        <v>910.46656492809984</v>
      </c>
      <c r="CR60" s="77">
        <f t="shared" ref="CR60:CZ60" si="156">CQ60+CR50</f>
        <v>1709.3931556403497</v>
      </c>
      <c r="CS60" s="77">
        <f t="shared" si="156"/>
        <v>2571.2270765831327</v>
      </c>
      <c r="CT60" s="77">
        <f t="shared" si="156"/>
        <v>3501.3384748532108</v>
      </c>
      <c r="CU60" s="77">
        <f t="shared" si="156"/>
        <v>4500.790721455106</v>
      </c>
      <c r="CV60" s="77">
        <f t="shared" si="156"/>
        <v>5572.2260828014305</v>
      </c>
      <c r="CW60" s="77">
        <f t="shared" si="156"/>
        <v>6695.5243484458042</v>
      </c>
      <c r="CX60" s="77">
        <f t="shared" si="156"/>
        <v>7872.5424555815316</v>
      </c>
      <c r="CY60" s="77">
        <f t="shared" si="156"/>
        <v>9104.207132250951</v>
      </c>
      <c r="CZ60" s="77">
        <f t="shared" si="156"/>
        <v>10391.510665048567</v>
      </c>
    </row>
    <row r="61" spans="2:156">
      <c r="B61" s="1" t="s">
        <v>1221</v>
      </c>
      <c r="AU61" s="74"/>
      <c r="AV61" s="74"/>
      <c r="AW61" s="74"/>
      <c r="AX61" s="74">
        <v>149.84</v>
      </c>
      <c r="AY61" s="74">
        <v>228.71700000000001</v>
      </c>
      <c r="AZ61" s="74">
        <v>233.26</v>
      </c>
      <c r="BA61" s="74">
        <v>229.29</v>
      </c>
      <c r="BB61" s="74">
        <v>182.62899999999999</v>
      </c>
      <c r="BC61" s="74">
        <v>375.75</v>
      </c>
      <c r="BD61" s="74">
        <v>423.49</v>
      </c>
      <c r="BE61" s="74">
        <v>397.65</v>
      </c>
      <c r="BF61" s="74">
        <v>295.58999999999997</v>
      </c>
      <c r="BG61" s="74">
        <v>418.959</v>
      </c>
      <c r="BH61" s="74">
        <v>409.59</v>
      </c>
      <c r="BI61" s="74">
        <v>391.20699999999999</v>
      </c>
      <c r="BJ61" s="74">
        <v>305.74700000000001</v>
      </c>
      <c r="BK61" s="74">
        <v>481.52</v>
      </c>
      <c r="BL61" s="74">
        <v>420.19900000000001</v>
      </c>
      <c r="BM61" s="74">
        <v>361.65100000000001</v>
      </c>
      <c r="BN61" s="74">
        <v>257.64999999999998</v>
      </c>
      <c r="BO61" s="74">
        <v>445.70499999999998</v>
      </c>
      <c r="BP61" s="74">
        <v>417.42599999999999</v>
      </c>
      <c r="BQ61" s="74">
        <v>335.31</v>
      </c>
      <c r="CA61" s="74"/>
      <c r="CB61" s="74"/>
      <c r="CC61" s="74"/>
      <c r="CD61" s="74"/>
      <c r="CE61" s="74"/>
      <c r="CF61" s="74"/>
      <c r="CG61" s="74"/>
      <c r="CH61" s="74"/>
      <c r="CI61" s="74"/>
      <c r="CJ61" s="74"/>
      <c r="CK61" s="74"/>
      <c r="CL61" s="74">
        <f t="shared" si="151"/>
        <v>149.84</v>
      </c>
      <c r="CM61" s="74">
        <f t="shared" si="152"/>
        <v>182.62899999999999</v>
      </c>
      <c r="CN61" s="74">
        <f t="shared" si="153"/>
        <v>295.58999999999997</v>
      </c>
      <c r="CO61" s="74">
        <f t="shared" si="154"/>
        <v>305.74700000000001</v>
      </c>
      <c r="CP61" s="74">
        <f t="shared" si="155"/>
        <v>257.64999999999998</v>
      </c>
    </row>
    <row r="62" spans="2:156">
      <c r="B62" s="1" t="s">
        <v>1222</v>
      </c>
      <c r="AU62" s="74"/>
      <c r="AV62" s="74"/>
      <c r="AW62" s="74"/>
      <c r="AX62" s="74">
        <v>175.12100000000001</v>
      </c>
      <c r="AY62" s="74">
        <v>196.47</v>
      </c>
      <c r="AZ62" s="74">
        <v>209.09</v>
      </c>
      <c r="BA62" s="74">
        <v>212.49600000000001</v>
      </c>
      <c r="BB62" s="74">
        <v>213.52</v>
      </c>
      <c r="BC62" s="74">
        <v>407.58</v>
      </c>
      <c r="BD62" s="74">
        <v>501.52699999999999</v>
      </c>
      <c r="BE62" s="74">
        <v>513.74800000000005</v>
      </c>
      <c r="BF62" s="74">
        <v>471.55</v>
      </c>
      <c r="BG62" s="74">
        <v>476.11</v>
      </c>
      <c r="BH62" s="74">
        <v>436.26</v>
      </c>
      <c r="BI62" s="74">
        <v>390.16</v>
      </c>
      <c r="BJ62" s="74">
        <v>385.05399999999997</v>
      </c>
      <c r="BK62" s="74">
        <v>391.95</v>
      </c>
      <c r="BL62" s="74">
        <v>376.59899999999999</v>
      </c>
      <c r="BM62" s="74">
        <v>367.19099999999997</v>
      </c>
      <c r="BN62" s="74">
        <v>356.25</v>
      </c>
      <c r="BO62" s="74">
        <v>391.29</v>
      </c>
      <c r="BP62" s="74">
        <v>405.13</v>
      </c>
      <c r="BQ62" s="74">
        <v>397</v>
      </c>
      <c r="CA62" s="74"/>
      <c r="CB62" s="74"/>
      <c r="CC62" s="74"/>
      <c r="CD62" s="74"/>
      <c r="CE62" s="74"/>
      <c r="CF62" s="74"/>
      <c r="CG62" s="74"/>
      <c r="CH62" s="74"/>
      <c r="CI62" s="74"/>
      <c r="CJ62" s="74"/>
      <c r="CK62" s="74"/>
      <c r="CL62" s="74">
        <f t="shared" si="151"/>
        <v>175.12100000000001</v>
      </c>
      <c r="CM62" s="74">
        <f t="shared" si="152"/>
        <v>213.52</v>
      </c>
      <c r="CN62" s="74">
        <f t="shared" si="153"/>
        <v>471.55</v>
      </c>
      <c r="CO62" s="74">
        <f t="shared" si="154"/>
        <v>385.05399999999997</v>
      </c>
      <c r="CP62" s="74">
        <f t="shared" si="155"/>
        <v>356.25</v>
      </c>
      <c r="CR62" s="48" t="s">
        <v>173</v>
      </c>
      <c r="CS62" s="49"/>
      <c r="CT62" s="49"/>
      <c r="CU62" s="48" t="s">
        <v>174</v>
      </c>
      <c r="CV62" s="49"/>
      <c r="CW62" s="50" t="s">
        <v>175</v>
      </c>
      <c r="CX62" s="49"/>
      <c r="CY62" s="51" t="s">
        <v>176</v>
      </c>
      <c r="CZ62" s="52">
        <v>0.23499999999999999</v>
      </c>
      <c r="DA62" s="49"/>
    </row>
    <row r="63" spans="2:156">
      <c r="B63" s="37" t="s">
        <v>1223</v>
      </c>
      <c r="AU63" s="74"/>
      <c r="AV63" s="74"/>
      <c r="AW63" s="74"/>
      <c r="AX63" s="74">
        <v>1.85</v>
      </c>
      <c r="AY63" s="74">
        <v>3.83</v>
      </c>
      <c r="AZ63" s="74">
        <v>1.35</v>
      </c>
      <c r="BA63" s="74">
        <v>1.2549999999999999</v>
      </c>
      <c r="BB63" s="74">
        <v>22.3</v>
      </c>
      <c r="BC63" s="74">
        <v>24.53</v>
      </c>
      <c r="BD63" s="74">
        <v>2.2200000000000002</v>
      </c>
      <c r="BE63" s="74">
        <v>2.464</v>
      </c>
      <c r="BF63" s="74">
        <v>14.75</v>
      </c>
      <c r="BG63" s="74">
        <v>3.08</v>
      </c>
      <c r="BH63" s="74">
        <v>2.33</v>
      </c>
      <c r="BI63" s="74">
        <v>3.0470000000000002</v>
      </c>
      <c r="BJ63" s="74">
        <v>4.4130000000000003</v>
      </c>
      <c r="BK63" s="74">
        <v>2.972</v>
      </c>
      <c r="BL63" s="74">
        <v>2.5</v>
      </c>
      <c r="BM63" s="74">
        <v>2.9129999999999998</v>
      </c>
      <c r="BN63" s="74">
        <v>4.0460000000000003</v>
      </c>
      <c r="BO63" s="74">
        <v>4.5129999999999999</v>
      </c>
      <c r="BP63" s="74">
        <v>6.5</v>
      </c>
      <c r="BQ63" s="74">
        <v>6.43</v>
      </c>
      <c r="CA63" s="74"/>
      <c r="CB63" s="74"/>
      <c r="CC63" s="74"/>
      <c r="CD63" s="74"/>
      <c r="CE63" s="74"/>
      <c r="CF63" s="74"/>
      <c r="CG63" s="74"/>
      <c r="CH63" s="74"/>
      <c r="CI63" s="74"/>
      <c r="CJ63" s="74"/>
      <c r="CK63" s="74"/>
      <c r="CL63" s="74">
        <f t="shared" si="151"/>
        <v>1.85</v>
      </c>
      <c r="CM63" s="74">
        <f t="shared" si="152"/>
        <v>22.3</v>
      </c>
      <c r="CN63" s="74">
        <f t="shared" si="153"/>
        <v>14.75</v>
      </c>
      <c r="CO63" s="74">
        <f t="shared" si="154"/>
        <v>4.4130000000000003</v>
      </c>
      <c r="CP63" s="74">
        <f t="shared" si="155"/>
        <v>4.0460000000000003</v>
      </c>
      <c r="CR63" s="49">
        <v>2025</v>
      </c>
      <c r="CS63" s="49"/>
      <c r="CT63" s="49">
        <v>2023</v>
      </c>
      <c r="CU63" s="49">
        <v>2024</v>
      </c>
      <c r="CV63" s="49"/>
      <c r="CW63" s="50" t="s">
        <v>177</v>
      </c>
      <c r="CX63" s="49"/>
      <c r="CY63" s="51" t="s">
        <v>178</v>
      </c>
      <c r="CZ63" s="52">
        <v>-7.4999999999999997E-2</v>
      </c>
      <c r="DA63" s="49"/>
    </row>
    <row r="64" spans="2:156" ht="14.25" customHeight="1">
      <c r="B64" s="37" t="s">
        <v>1224</v>
      </c>
      <c r="AU64" s="74"/>
      <c r="AV64" s="74"/>
      <c r="AW64" s="74"/>
      <c r="AX64" s="74">
        <v>10.81</v>
      </c>
      <c r="AY64" s="74">
        <v>19.91</v>
      </c>
      <c r="AZ64" s="74">
        <v>14.43</v>
      </c>
      <c r="BA64" s="74">
        <v>16.989999999999998</v>
      </c>
      <c r="BB64" s="74">
        <v>12.252000000000001</v>
      </c>
      <c r="BC64" s="74">
        <v>16.599</v>
      </c>
      <c r="BD64" s="74">
        <v>16.739999999999998</v>
      </c>
      <c r="BE64" s="74">
        <v>23.56</v>
      </c>
      <c r="BF64" s="74">
        <v>18.84</v>
      </c>
      <c r="BG64" s="74">
        <v>31.481000000000002</v>
      </c>
      <c r="BH64" s="74">
        <v>27.99</v>
      </c>
      <c r="BI64" s="74">
        <v>23.41</v>
      </c>
      <c r="BJ64" s="74">
        <v>21.071000000000002</v>
      </c>
      <c r="BK64" s="74">
        <v>26.35</v>
      </c>
      <c r="BL64" s="74">
        <v>20.282</v>
      </c>
      <c r="BM64" s="74">
        <v>21.617999999999999</v>
      </c>
      <c r="BN64" s="74">
        <v>22.204000000000001</v>
      </c>
      <c r="BO64" s="74">
        <v>19.7</v>
      </c>
      <c r="BP64" s="74">
        <v>22.19</v>
      </c>
      <c r="BQ64" s="74">
        <v>17.231999999999999</v>
      </c>
      <c r="CA64" s="74"/>
      <c r="CB64" s="74"/>
      <c r="CC64" s="74"/>
      <c r="CD64" s="74"/>
      <c r="CE64" s="74"/>
      <c r="CF64" s="74"/>
      <c r="CG64" s="74"/>
      <c r="CH64" s="74"/>
      <c r="CI64" s="74"/>
      <c r="CJ64" s="74"/>
      <c r="CK64" s="74"/>
      <c r="CL64" s="74">
        <f t="shared" si="151"/>
        <v>10.81</v>
      </c>
      <c r="CM64" s="74">
        <f t="shared" si="152"/>
        <v>12.252000000000001</v>
      </c>
      <c r="CN64" s="74">
        <f t="shared" si="153"/>
        <v>18.84</v>
      </c>
      <c r="CO64" s="74">
        <f t="shared" si="154"/>
        <v>21.071000000000002</v>
      </c>
      <c r="CP64" s="74">
        <f t="shared" si="155"/>
        <v>22.204000000000001</v>
      </c>
      <c r="CR64" s="53">
        <f>AVERAGE(CQ43)*(1-CQ57)</f>
        <v>798.46959267809984</v>
      </c>
      <c r="CS64" s="49"/>
      <c r="CT64" s="54">
        <f>SUM(CO60:CO65)-CO75+CO66+CO68+CO67</f>
        <v>3392.1890000000003</v>
      </c>
      <c r="CU64" s="54">
        <f>SUM(CP60:CP65)-CP75+CP66+CP68+CP67</f>
        <v>3340.2570000000001</v>
      </c>
      <c r="CV64" s="49"/>
      <c r="CW64" s="54">
        <f>AVERAGE(CT64:CU64)</f>
        <v>3366.223</v>
      </c>
      <c r="CX64" s="49"/>
      <c r="CY64" s="51" t="s">
        <v>179</v>
      </c>
      <c r="CZ64" s="52">
        <v>4.2299999999999997E-2</v>
      </c>
      <c r="DA64" s="49"/>
    </row>
    <row r="65" spans="2:156" ht="14.25" customHeight="1">
      <c r="B65" s="1" t="s">
        <v>1225</v>
      </c>
      <c r="AU65" s="74"/>
      <c r="AV65" s="74"/>
      <c r="AW65" s="74"/>
      <c r="AX65" s="74">
        <v>17.850000000000001</v>
      </c>
      <c r="AY65" s="74">
        <v>20.904</v>
      </c>
      <c r="AZ65" s="74">
        <v>21.052</v>
      </c>
      <c r="BA65" s="74">
        <v>22</v>
      </c>
      <c r="BB65" s="74">
        <v>22.605</v>
      </c>
      <c r="BC65" s="74">
        <v>42.061</v>
      </c>
      <c r="BD65" s="74">
        <v>36.94</v>
      </c>
      <c r="BE65" s="74">
        <v>42.77</v>
      </c>
      <c r="BF65" s="74">
        <v>33.604999999999997</v>
      </c>
      <c r="BG65" s="74">
        <v>59.338000000000001</v>
      </c>
      <c r="BH65" s="74">
        <v>58.793999999999997</v>
      </c>
      <c r="BI65" s="74">
        <v>44.024000000000001</v>
      </c>
      <c r="BJ65" s="74">
        <v>45.128999999999998</v>
      </c>
      <c r="BK65" s="74">
        <v>44.313000000000002</v>
      </c>
      <c r="BL65" s="74">
        <v>39.585999999999999</v>
      </c>
      <c r="BM65" s="74">
        <v>50.923000000000002</v>
      </c>
      <c r="BN65" s="74">
        <v>51.622999999999998</v>
      </c>
      <c r="BO65" s="74">
        <v>46.267000000000003</v>
      </c>
      <c r="BP65" s="74">
        <v>49.94</v>
      </c>
      <c r="BQ65" s="74">
        <v>61.16</v>
      </c>
      <c r="CA65" s="74"/>
      <c r="CB65" s="74"/>
      <c r="CC65" s="74"/>
      <c r="CD65" s="74"/>
      <c r="CE65" s="74"/>
      <c r="CF65" s="74"/>
      <c r="CG65" s="74"/>
      <c r="CH65" s="74"/>
      <c r="CI65" s="74"/>
      <c r="CJ65" s="74"/>
      <c r="CK65" s="74"/>
      <c r="CL65" s="74">
        <f t="shared" si="151"/>
        <v>17.850000000000001</v>
      </c>
      <c r="CM65" s="74">
        <f t="shared" si="152"/>
        <v>22.605</v>
      </c>
      <c r="CN65" s="74">
        <f t="shared" si="153"/>
        <v>33.604999999999997</v>
      </c>
      <c r="CO65" s="74">
        <f t="shared" si="154"/>
        <v>45.128999999999998</v>
      </c>
      <c r="CP65" s="74">
        <f t="shared" si="155"/>
        <v>51.622999999999998</v>
      </c>
      <c r="CR65" s="55">
        <f>CR64/CW64</f>
        <v>0.23720044473527149</v>
      </c>
      <c r="CS65" s="49"/>
      <c r="CT65" s="49"/>
      <c r="CU65" s="49"/>
      <c r="CV65" s="49"/>
      <c r="CW65" s="49"/>
      <c r="CX65" s="49"/>
      <c r="CY65" s="51" t="s">
        <v>180</v>
      </c>
      <c r="CZ65" s="52">
        <f>8.25%-CZ64</f>
        <v>4.0200000000000007E-2</v>
      </c>
      <c r="DA65" s="49"/>
    </row>
    <row r="66" spans="2:156" ht="14.25" customHeight="1">
      <c r="B66" s="1" t="s">
        <v>1226</v>
      </c>
      <c r="AU66" s="74"/>
      <c r="AV66" s="74"/>
      <c r="AW66" s="74"/>
      <c r="AX66" s="74">
        <v>57.46</v>
      </c>
      <c r="AY66" s="74">
        <v>70.150000000000006</v>
      </c>
      <c r="AZ66" s="74">
        <v>76.948999999999998</v>
      </c>
      <c r="BA66" s="74">
        <v>91.317999999999998</v>
      </c>
      <c r="BB66" s="74">
        <v>108.398</v>
      </c>
      <c r="BC66" s="74">
        <v>135.649</v>
      </c>
      <c r="BD66" s="74">
        <v>140.27799999999999</v>
      </c>
      <c r="BE66" s="74">
        <v>163.37</v>
      </c>
      <c r="BF66" s="74">
        <v>181.529</v>
      </c>
      <c r="BG66" s="74">
        <v>190.49199999999999</v>
      </c>
      <c r="BH66" s="74">
        <v>213.84</v>
      </c>
      <c r="BI66" s="74">
        <v>223.06</v>
      </c>
      <c r="BJ66" s="74">
        <v>238.315</v>
      </c>
      <c r="BK66" s="74">
        <v>242.85900000000001</v>
      </c>
      <c r="BL66" s="74">
        <v>244.06700000000001</v>
      </c>
      <c r="BM66" s="74">
        <v>243.358</v>
      </c>
      <c r="BN66" s="74">
        <v>244.33500000000001</v>
      </c>
      <c r="BO66" s="74">
        <v>245.81399999999999</v>
      </c>
      <c r="BP66" s="74">
        <v>249.14500000000001</v>
      </c>
      <c r="BQ66" s="74">
        <v>242.13</v>
      </c>
      <c r="CA66" s="74"/>
      <c r="CB66" s="74"/>
      <c r="CC66" s="74"/>
      <c r="CD66" s="74"/>
      <c r="CE66" s="74"/>
      <c r="CF66" s="74"/>
      <c r="CG66" s="74"/>
      <c r="CH66" s="74"/>
      <c r="CI66" s="74"/>
      <c r="CJ66" s="74"/>
      <c r="CK66" s="74"/>
      <c r="CL66" s="74">
        <f t="shared" si="151"/>
        <v>57.46</v>
      </c>
      <c r="CM66" s="74">
        <f t="shared" si="152"/>
        <v>108.398</v>
      </c>
      <c r="CN66" s="74">
        <f t="shared" si="153"/>
        <v>181.529</v>
      </c>
      <c r="CO66" s="74">
        <f t="shared" si="154"/>
        <v>238.315</v>
      </c>
      <c r="CP66" s="74">
        <f t="shared" si="155"/>
        <v>244.33500000000001</v>
      </c>
      <c r="CR66" s="49"/>
      <c r="CS66" s="49"/>
      <c r="CT66" s="49"/>
      <c r="CU66" s="49"/>
      <c r="CV66" s="49"/>
      <c r="CW66" s="49"/>
      <c r="CX66" s="49"/>
      <c r="CY66" s="51" t="s">
        <v>181</v>
      </c>
      <c r="CZ66" s="49">
        <f>'Notes | Quant Analysis'!K206</f>
        <v>1.41</v>
      </c>
      <c r="DA66" s="49"/>
    </row>
    <row r="67" spans="2:156" ht="14.25" customHeight="1">
      <c r="B67" s="1" t="s">
        <v>1227</v>
      </c>
      <c r="AU67" s="74"/>
      <c r="AV67" s="74"/>
      <c r="AW67" s="74"/>
      <c r="AX67" s="74">
        <v>37.636000000000003</v>
      </c>
      <c r="AY67" s="74">
        <v>34.76</v>
      </c>
      <c r="AZ67" s="74">
        <v>33.731000000000002</v>
      </c>
      <c r="BA67" s="74">
        <v>31.634</v>
      </c>
      <c r="BB67" s="74">
        <v>28.802</v>
      </c>
      <c r="BC67" s="74">
        <v>1895.98</v>
      </c>
      <c r="BD67" s="74">
        <v>1804.067</v>
      </c>
      <c r="BE67" s="74">
        <v>1802.576</v>
      </c>
      <c r="BF67" s="74">
        <v>1800.16</v>
      </c>
      <c r="BG67" s="74">
        <v>1798.91</v>
      </c>
      <c r="BH67" s="74">
        <v>1795.87</v>
      </c>
      <c r="BI67" s="74">
        <v>1793.704</v>
      </c>
      <c r="BJ67" s="74">
        <v>1792.56</v>
      </c>
      <c r="BK67" s="74">
        <v>1787.6</v>
      </c>
      <c r="BL67" s="74">
        <v>1785.3030000000001</v>
      </c>
      <c r="BM67" s="74">
        <v>1783.6769999999999</v>
      </c>
      <c r="BN67" s="74">
        <v>1777.08</v>
      </c>
      <c r="BO67" s="74">
        <v>1772.98</v>
      </c>
      <c r="BP67" s="74">
        <v>1335.462</v>
      </c>
      <c r="BQ67" s="74">
        <v>1330.5</v>
      </c>
      <c r="CA67" s="74"/>
      <c r="CB67" s="74"/>
      <c r="CC67" s="74"/>
      <c r="CD67" s="74"/>
      <c r="CE67" s="74"/>
      <c r="CF67" s="74"/>
      <c r="CG67" s="74"/>
      <c r="CH67" s="74"/>
      <c r="CI67" s="74"/>
      <c r="CJ67" s="74"/>
      <c r="CK67" s="74"/>
      <c r="CL67" s="74">
        <f t="shared" si="151"/>
        <v>37.636000000000003</v>
      </c>
      <c r="CM67" s="74">
        <f t="shared" si="152"/>
        <v>28.802</v>
      </c>
      <c r="CN67" s="74">
        <f t="shared" si="153"/>
        <v>1800.16</v>
      </c>
      <c r="CO67" s="74">
        <f t="shared" si="154"/>
        <v>1792.56</v>
      </c>
      <c r="CP67" s="74">
        <f t="shared" si="155"/>
        <v>1777.08</v>
      </c>
      <c r="CR67" s="56"/>
      <c r="CS67" s="56"/>
      <c r="CT67" s="56"/>
      <c r="CU67" s="56"/>
      <c r="CV67" s="56"/>
      <c r="CW67" s="56"/>
      <c r="CX67" s="56"/>
      <c r="CY67" s="66" t="s">
        <v>182</v>
      </c>
      <c r="CZ67" s="67">
        <f>+CZ64+(CZ65*CZ66)</f>
        <v>9.8982000000000001E-2</v>
      </c>
      <c r="DA67" s="56"/>
    </row>
    <row r="68" spans="2:156" ht="14.25" customHeight="1">
      <c r="B68" s="1" t="s">
        <v>1228</v>
      </c>
      <c r="AU68" s="74"/>
      <c r="AV68" s="74"/>
      <c r="AW68" s="74"/>
      <c r="AX68" s="74">
        <v>1.7190000000000001</v>
      </c>
      <c r="AY68" s="74">
        <v>1.65</v>
      </c>
      <c r="AZ68" s="74">
        <v>1.669</v>
      </c>
      <c r="BA68" s="74">
        <v>1.63</v>
      </c>
      <c r="BB68" s="74">
        <v>1.6</v>
      </c>
      <c r="BC68" s="74">
        <v>642.46699999999998</v>
      </c>
      <c r="BD68" s="74">
        <v>714.14300000000003</v>
      </c>
      <c r="BE68" s="74">
        <v>714.38</v>
      </c>
      <c r="BF68" s="74">
        <v>714.81</v>
      </c>
      <c r="BG68" s="74">
        <v>711.56</v>
      </c>
      <c r="BH68" s="74">
        <v>711.57</v>
      </c>
      <c r="BI68" s="74">
        <v>711.88499999999999</v>
      </c>
      <c r="BJ68" s="74">
        <v>711.58799999999997</v>
      </c>
      <c r="BK68" s="74">
        <v>711.553</v>
      </c>
      <c r="BL68" s="74">
        <v>711.54200000000003</v>
      </c>
      <c r="BM68" s="74">
        <v>711.60199999999998</v>
      </c>
      <c r="BN68" s="74">
        <v>711.49</v>
      </c>
      <c r="BO68" s="74">
        <v>711.55700000000002</v>
      </c>
      <c r="BP68" s="74">
        <v>404.69499999999999</v>
      </c>
      <c r="BQ68" s="74">
        <v>404.68799999999999</v>
      </c>
      <c r="CA68" s="74"/>
      <c r="CB68" s="74"/>
      <c r="CC68" s="74"/>
      <c r="CD68" s="74"/>
      <c r="CE68" s="74"/>
      <c r="CF68" s="74"/>
      <c r="CG68" s="74"/>
      <c r="CH68" s="74"/>
      <c r="CI68" s="74"/>
      <c r="CJ68" s="74"/>
      <c r="CK68" s="74"/>
      <c r="CL68" s="74">
        <f t="shared" si="151"/>
        <v>1.7190000000000001</v>
      </c>
      <c r="CM68" s="74">
        <f t="shared" si="152"/>
        <v>1.6</v>
      </c>
      <c r="CN68" s="74">
        <f t="shared" si="153"/>
        <v>714.81</v>
      </c>
      <c r="CO68" s="74">
        <f t="shared" si="154"/>
        <v>711.58799999999997</v>
      </c>
      <c r="CP68" s="74">
        <f t="shared" si="155"/>
        <v>711.49</v>
      </c>
      <c r="CR68" s="56"/>
      <c r="CS68" s="56"/>
      <c r="CT68" s="56"/>
      <c r="CU68" s="56"/>
      <c r="CV68" s="56"/>
      <c r="CW68" s="56"/>
      <c r="CX68" s="56"/>
      <c r="CY68" s="51"/>
      <c r="CZ68" s="49"/>
      <c r="DA68" s="49"/>
    </row>
    <row r="69" spans="2:156" ht="14.25" customHeight="1">
      <c r="B69" s="1" t="s">
        <v>1229</v>
      </c>
      <c r="AU69" s="74"/>
      <c r="AV69" s="74"/>
      <c r="AW69" s="74"/>
      <c r="AX69" s="74">
        <v>350.78399999999999</v>
      </c>
      <c r="AY69" s="74">
        <v>336.59</v>
      </c>
      <c r="AZ69" s="74">
        <v>515.66700000000003</v>
      </c>
      <c r="BA69" s="74">
        <v>517.92899999999997</v>
      </c>
      <c r="BB69" s="74">
        <v>567.20100000000002</v>
      </c>
      <c r="BC69" s="74">
        <v>547.73299999999995</v>
      </c>
      <c r="BD69" s="74">
        <v>513.58199999999999</v>
      </c>
      <c r="BE69" s="74">
        <v>481.89699999999999</v>
      </c>
      <c r="BF69" s="74">
        <v>528.27</v>
      </c>
      <c r="BG69" s="74">
        <v>533.48</v>
      </c>
      <c r="BH69" s="74">
        <v>539.54499999999996</v>
      </c>
      <c r="BI69" s="74">
        <v>527.66999999999996</v>
      </c>
      <c r="BJ69" s="74">
        <v>667.97199999999998</v>
      </c>
      <c r="BK69" s="74">
        <v>647.74800000000005</v>
      </c>
      <c r="BL69" s="74">
        <v>640.58699999999999</v>
      </c>
      <c r="BM69" s="74">
        <v>659.86099999999999</v>
      </c>
      <c r="BN69" s="74">
        <v>872.35</v>
      </c>
      <c r="BO69" s="74">
        <v>893.61</v>
      </c>
      <c r="BP69" s="74">
        <v>971.97400000000005</v>
      </c>
      <c r="BQ69" s="74">
        <v>964.39</v>
      </c>
      <c r="CA69" s="74"/>
      <c r="CB69" s="74"/>
      <c r="CC69" s="74"/>
      <c r="CD69" s="74"/>
      <c r="CE69" s="74"/>
      <c r="CF69" s="74"/>
      <c r="CG69" s="74"/>
      <c r="CH69" s="74"/>
      <c r="CI69" s="74"/>
      <c r="CJ69" s="74"/>
      <c r="CK69" s="74"/>
      <c r="CL69" s="74">
        <f t="shared" si="151"/>
        <v>350.78399999999999</v>
      </c>
      <c r="CM69" s="74">
        <f t="shared" si="152"/>
        <v>567.20100000000002</v>
      </c>
      <c r="CN69" s="74">
        <f t="shared" si="153"/>
        <v>528.27</v>
      </c>
      <c r="CO69" s="74">
        <f t="shared" si="154"/>
        <v>667.97199999999998</v>
      </c>
      <c r="CP69" s="74">
        <f t="shared" si="155"/>
        <v>872.35</v>
      </c>
      <c r="CR69" s="49"/>
      <c r="CS69" s="49"/>
      <c r="CT69" s="49"/>
      <c r="CU69" s="49"/>
      <c r="CV69" s="49"/>
      <c r="CW69" s="49"/>
      <c r="CX69" s="49"/>
      <c r="CY69" s="51" t="s">
        <v>183</v>
      </c>
      <c r="CZ69" s="54">
        <f>NPV(CZ67,CQ50:EX50)</f>
        <v>8668.069634986241</v>
      </c>
      <c r="DA69" s="49"/>
    </row>
    <row r="70" spans="2:156" ht="14.25" customHeight="1">
      <c r="B70" s="1" t="s">
        <v>1230</v>
      </c>
      <c r="AU70" s="74"/>
      <c r="AV70" s="74"/>
      <c r="AW70" s="74"/>
      <c r="AX70" s="74">
        <v>1.929</v>
      </c>
      <c r="AY70" s="74">
        <v>3.9039999999999999</v>
      </c>
      <c r="AZ70" s="74">
        <v>3.8570000000000002</v>
      </c>
      <c r="BA70" s="74">
        <v>3.73</v>
      </c>
      <c r="BB70" s="74">
        <v>3.6629999999999998</v>
      </c>
      <c r="BC70" s="74">
        <v>3.3650000000000002</v>
      </c>
      <c r="BD70" s="74">
        <v>3.1869999999999998</v>
      </c>
      <c r="BE70" s="74">
        <v>2.98</v>
      </c>
      <c r="BF70" s="74">
        <v>3.25</v>
      </c>
      <c r="BG70" s="74">
        <v>3.24</v>
      </c>
      <c r="BH70" s="74">
        <v>3.3479999999999999</v>
      </c>
      <c r="BI70" s="74">
        <v>3.7069999999999999</v>
      </c>
      <c r="BJ70" s="74">
        <v>3.8069999999999999</v>
      </c>
      <c r="BK70" s="74">
        <v>3.734</v>
      </c>
      <c r="BL70" s="74">
        <v>3.2919999999999998</v>
      </c>
      <c r="BM70" s="74">
        <v>3.4209999999999998</v>
      </c>
      <c r="BN70" s="74">
        <v>3.1930000000000001</v>
      </c>
      <c r="BO70" s="74">
        <v>3.2770000000000001</v>
      </c>
      <c r="BP70" s="74">
        <v>3.57</v>
      </c>
      <c r="BQ70" s="74">
        <v>3.55</v>
      </c>
      <c r="CA70" s="74"/>
      <c r="CB70" s="74"/>
      <c r="CC70" s="74"/>
      <c r="CD70" s="74"/>
      <c r="CE70" s="74"/>
      <c r="CF70" s="74"/>
      <c r="CG70" s="74"/>
      <c r="CH70" s="74"/>
      <c r="CI70" s="74"/>
      <c r="CJ70" s="74"/>
      <c r="CK70" s="74"/>
      <c r="CL70" s="74">
        <f t="shared" si="151"/>
        <v>1.929</v>
      </c>
      <c r="CM70" s="74">
        <f t="shared" si="152"/>
        <v>3.6629999999999998</v>
      </c>
      <c r="CN70" s="74">
        <f t="shared" si="153"/>
        <v>3.25</v>
      </c>
      <c r="CO70" s="74">
        <f t="shared" si="154"/>
        <v>3.8069999999999999</v>
      </c>
      <c r="CP70" s="74">
        <f t="shared" si="155"/>
        <v>3.1930000000000001</v>
      </c>
      <c r="CR70" s="49"/>
      <c r="CS70" s="49"/>
      <c r="CT70" s="49"/>
      <c r="CU70" s="49"/>
      <c r="CV70" s="49"/>
      <c r="CW70" s="49"/>
      <c r="CX70" s="49"/>
      <c r="CY70" s="51" t="s">
        <v>140</v>
      </c>
      <c r="CZ70" s="54">
        <f>Main!C4</f>
        <v>54.616999999999997</v>
      </c>
      <c r="DA70" s="57" t="s">
        <v>184</v>
      </c>
    </row>
    <row r="71" spans="2:156" ht="14.25" customHeight="1">
      <c r="B71" s="1" t="s">
        <v>1231</v>
      </c>
      <c r="AU71" s="74"/>
      <c r="AV71" s="74"/>
      <c r="AW71" s="74"/>
      <c r="AX71" s="74">
        <v>167.42</v>
      </c>
      <c r="AY71" s="74">
        <v>179.78</v>
      </c>
      <c r="AZ71" s="74">
        <v>175.37799999999999</v>
      </c>
      <c r="BA71" s="1">
        <v>170.95</v>
      </c>
      <c r="BB71" s="74">
        <v>160.768</v>
      </c>
      <c r="BC71" s="74">
        <v>199.80500000000001</v>
      </c>
      <c r="BD71" s="74">
        <v>236.07</v>
      </c>
      <c r="BE71" s="74">
        <v>248.54</v>
      </c>
      <c r="BF71" s="74">
        <v>239.905</v>
      </c>
      <c r="BG71" s="74">
        <v>233.98</v>
      </c>
      <c r="BH71" s="74">
        <v>228.07599999999999</v>
      </c>
      <c r="BI71" s="74">
        <v>313.608</v>
      </c>
      <c r="BJ71" s="74">
        <v>287.44</v>
      </c>
      <c r="BK71" s="74">
        <v>280.18200000000002</v>
      </c>
      <c r="BL71" s="74">
        <v>292.089</v>
      </c>
      <c r="BM71" s="74">
        <v>303.75799999999998</v>
      </c>
      <c r="BN71" s="74">
        <v>307.22800000000001</v>
      </c>
      <c r="BO71" s="74">
        <v>335.78300000000002</v>
      </c>
      <c r="BP71" s="74">
        <v>349.26799999999997</v>
      </c>
      <c r="BQ71" s="74">
        <v>343.1</v>
      </c>
      <c r="CA71" s="74"/>
      <c r="CB71" s="74"/>
      <c r="CC71" s="74"/>
      <c r="CD71" s="74"/>
      <c r="CE71" s="74"/>
      <c r="CF71" s="74"/>
      <c r="CG71" s="74"/>
      <c r="CH71" s="74"/>
      <c r="CI71" s="74"/>
      <c r="CJ71" s="74"/>
      <c r="CK71" s="74"/>
      <c r="CL71" s="74">
        <f t="shared" si="151"/>
        <v>167.42</v>
      </c>
      <c r="CM71" s="74">
        <f t="shared" si="152"/>
        <v>160.768</v>
      </c>
      <c r="CN71" s="74">
        <f t="shared" si="153"/>
        <v>239.905</v>
      </c>
      <c r="CO71" s="74">
        <f t="shared" si="154"/>
        <v>287.44</v>
      </c>
      <c r="CP71" s="74">
        <f t="shared" si="155"/>
        <v>307.22800000000001</v>
      </c>
      <c r="CR71" s="49"/>
      <c r="CS71" s="49"/>
      <c r="CT71" s="49"/>
      <c r="CU71" s="49"/>
      <c r="CV71" s="49"/>
      <c r="CW71" s="49"/>
      <c r="CX71" s="49"/>
      <c r="CY71" s="51" t="s">
        <v>185</v>
      </c>
      <c r="CZ71" s="58">
        <f>CZ69/CZ70</f>
        <v>158.70644002757825</v>
      </c>
      <c r="DA71" s="48"/>
    </row>
    <row r="72" spans="2:156" ht="14.25" customHeight="1">
      <c r="B72" s="1" t="s">
        <v>1232</v>
      </c>
      <c r="AU72" s="74"/>
      <c r="AV72" s="74"/>
      <c r="AW72" s="74"/>
      <c r="AX72" s="74">
        <v>8.9260000000000002</v>
      </c>
      <c r="AY72" s="1">
        <v>8.2899999999999991</v>
      </c>
      <c r="AZ72" s="74">
        <v>8.0359999999999996</v>
      </c>
      <c r="BA72" s="74">
        <v>7.85</v>
      </c>
      <c r="BB72" s="74">
        <v>8.0670000000000002</v>
      </c>
      <c r="BC72" s="74">
        <v>7.12</v>
      </c>
      <c r="BD72" s="74">
        <v>7</v>
      </c>
      <c r="BE72" s="74">
        <v>6.24</v>
      </c>
      <c r="BF72" s="74">
        <v>7.875</v>
      </c>
      <c r="BG72" s="74">
        <v>9.3000000000000007</v>
      </c>
      <c r="BH72" s="74">
        <v>9.65</v>
      </c>
      <c r="BI72" s="74">
        <v>28.539000000000001</v>
      </c>
      <c r="BJ72" s="74">
        <v>31.446000000000002</v>
      </c>
      <c r="BK72" s="74">
        <v>15.53</v>
      </c>
      <c r="BL72" s="74">
        <v>16.013999999999999</v>
      </c>
      <c r="BM72" s="74">
        <v>17.053000000000001</v>
      </c>
      <c r="BN72" s="74">
        <v>24.207000000000001</v>
      </c>
      <c r="BO72" s="74">
        <v>29.148</v>
      </c>
      <c r="BP72" s="74">
        <v>34.645000000000003</v>
      </c>
      <c r="BQ72" s="74">
        <v>40.18</v>
      </c>
      <c r="CA72" s="74"/>
      <c r="CB72" s="74"/>
      <c r="CC72" s="74"/>
      <c r="CD72" s="74"/>
      <c r="CE72" s="74"/>
      <c r="CF72" s="74"/>
      <c r="CG72" s="74"/>
      <c r="CH72" s="74"/>
      <c r="CI72" s="74"/>
      <c r="CJ72" s="74"/>
      <c r="CK72" s="74"/>
      <c r="CL72" s="74">
        <f t="shared" si="151"/>
        <v>8.9260000000000002</v>
      </c>
      <c r="CM72" s="74">
        <f t="shared" si="152"/>
        <v>8.0670000000000002</v>
      </c>
      <c r="CN72" s="74">
        <f t="shared" si="153"/>
        <v>7.875</v>
      </c>
      <c r="CO72" s="74">
        <f t="shared" si="154"/>
        <v>31.446000000000002</v>
      </c>
      <c r="CP72" s="74">
        <f t="shared" si="155"/>
        <v>24.207000000000001</v>
      </c>
      <c r="CR72" s="49"/>
      <c r="CS72" s="49"/>
      <c r="CT72" s="49"/>
      <c r="CU72" s="49"/>
      <c r="CV72" s="49"/>
      <c r="CW72" s="49"/>
      <c r="CX72" s="49"/>
      <c r="CY72" s="51" t="s">
        <v>186</v>
      </c>
      <c r="CZ72" s="58">
        <f>Main!C3</f>
        <v>90.5</v>
      </c>
      <c r="DA72" s="59"/>
    </row>
    <row r="73" spans="2:156" s="2" customFormat="1" ht="13.5" customHeight="1">
      <c r="B73" s="2" t="s">
        <v>1233</v>
      </c>
      <c r="AU73" s="75"/>
      <c r="AV73" s="75"/>
      <c r="AW73" s="75"/>
      <c r="AX73" s="75">
        <f t="shared" ref="AX73:BO73" si="157">SUM(AX60:AX72)</f>
        <v>1118.6889999999999</v>
      </c>
      <c r="AY73" s="75">
        <f t="shared" si="157"/>
        <v>1362.3239999999998</v>
      </c>
      <c r="AZ73" s="75">
        <f t="shared" si="157"/>
        <v>1493.7909999999999</v>
      </c>
      <c r="BA73" s="75">
        <f t="shared" si="157"/>
        <v>1745.0719999999999</v>
      </c>
      <c r="BB73" s="75">
        <f t="shared" si="157"/>
        <v>1545.0550000000001</v>
      </c>
      <c r="BC73" s="75">
        <f t="shared" si="157"/>
        <v>4470.6289999999999</v>
      </c>
      <c r="BD73" s="75">
        <f t="shared" si="157"/>
        <v>4586.5959999999995</v>
      </c>
      <c r="BE73" s="75">
        <f t="shared" si="157"/>
        <v>4543.1449999999995</v>
      </c>
      <c r="BF73" s="75">
        <f t="shared" si="157"/>
        <v>4501.7640000000001</v>
      </c>
      <c r="BG73" s="75">
        <f t="shared" si="157"/>
        <v>4595.6189999999997</v>
      </c>
      <c r="BH73" s="75">
        <f t="shared" si="157"/>
        <v>4603.0929999999989</v>
      </c>
      <c r="BI73" s="75">
        <f t="shared" si="157"/>
        <v>4581.3410000000003</v>
      </c>
      <c r="BJ73" s="75">
        <f t="shared" si="157"/>
        <v>4643.8319999999985</v>
      </c>
      <c r="BK73" s="75">
        <f t="shared" si="157"/>
        <v>4795.5990000000002</v>
      </c>
      <c r="BL73" s="75">
        <f t="shared" si="157"/>
        <v>4719.7939999999999</v>
      </c>
      <c r="BM73" s="75">
        <f t="shared" si="157"/>
        <v>4713.1499999999996</v>
      </c>
      <c r="BN73" s="75">
        <f t="shared" si="157"/>
        <v>4812.1360000000004</v>
      </c>
      <c r="BO73" s="75">
        <f t="shared" si="157"/>
        <v>5066.1040000000003</v>
      </c>
      <c r="BP73" s="75">
        <f>SUM(BP60:BP72)</f>
        <v>4450.5560000000005</v>
      </c>
      <c r="BQ73" s="75">
        <f>SUM(BQ60:BQ72)</f>
        <v>4299.6400000000003</v>
      </c>
      <c r="BR73" s="34"/>
      <c r="BS73" s="34"/>
      <c r="BT73" s="34"/>
      <c r="BU73" s="34"/>
      <c r="BV73" s="34"/>
      <c r="CA73" s="75"/>
      <c r="CB73" s="75"/>
      <c r="CC73" s="75"/>
      <c r="CD73" s="75"/>
      <c r="CE73" s="75"/>
      <c r="CF73" s="75"/>
      <c r="CG73" s="75"/>
      <c r="CH73" s="75"/>
      <c r="CI73" s="75"/>
      <c r="CJ73" s="75"/>
      <c r="CK73" s="75"/>
      <c r="CL73" s="75">
        <f t="shared" si="151"/>
        <v>1118.6889999999999</v>
      </c>
      <c r="CM73" s="75">
        <f t="shared" si="152"/>
        <v>1545.0550000000001</v>
      </c>
      <c r="CN73" s="75">
        <f t="shared" si="153"/>
        <v>4501.7640000000001</v>
      </c>
      <c r="CO73" s="75">
        <f t="shared" si="154"/>
        <v>4643.8319999999985</v>
      </c>
      <c r="CP73" s="75">
        <f t="shared" si="155"/>
        <v>4812.1360000000004</v>
      </c>
      <c r="CQ73" s="34"/>
      <c r="CR73" s="56"/>
      <c r="CS73" s="56"/>
      <c r="CT73" s="56"/>
      <c r="CU73" s="56"/>
      <c r="CV73" s="56"/>
      <c r="CW73" s="56"/>
      <c r="CX73" s="56"/>
      <c r="CY73" s="51" t="s">
        <v>187</v>
      </c>
      <c r="CZ73" s="52">
        <f>CZ71/CZ72-1</f>
        <v>0.75366232074672102</v>
      </c>
      <c r="DA73" s="60" t="str">
        <f>IF(CZ73&gt;0,"Upside","Downside")</f>
        <v>Upside</v>
      </c>
      <c r="DB73" s="34"/>
      <c r="DC73" s="34"/>
      <c r="DD73" s="34"/>
      <c r="DE73" s="34"/>
      <c r="DF73" s="34"/>
      <c r="DG73" s="34"/>
      <c r="DH73" s="34"/>
      <c r="DI73" s="34"/>
      <c r="DJ73" s="34"/>
      <c r="DK73" s="34"/>
      <c r="DL73" s="34"/>
      <c r="DM73" s="34"/>
      <c r="DN73" s="34"/>
      <c r="DO73" s="34"/>
      <c r="DP73" s="34"/>
      <c r="DQ73" s="34"/>
      <c r="DR73" s="34"/>
      <c r="DS73" s="34"/>
      <c r="DT73" s="34"/>
      <c r="DU73" s="34"/>
      <c r="DV73" s="34"/>
      <c r="DW73" s="34"/>
      <c r="DX73" s="34"/>
      <c r="DY73" s="34"/>
      <c r="DZ73" s="34"/>
      <c r="EA73" s="34"/>
      <c r="EB73" s="34"/>
      <c r="EC73" s="34"/>
      <c r="ED73" s="34"/>
      <c r="EE73" s="34"/>
      <c r="EF73" s="34"/>
      <c r="EG73" s="34"/>
      <c r="EH73" s="34"/>
      <c r="EI73" s="34"/>
      <c r="EJ73" s="34"/>
      <c r="EK73" s="34"/>
      <c r="EL73" s="34"/>
      <c r="EM73" s="34"/>
      <c r="EN73" s="34"/>
      <c r="EO73" s="34"/>
      <c r="EP73" s="34"/>
      <c r="EQ73" s="34"/>
      <c r="ER73" s="34"/>
      <c r="ES73" s="34"/>
      <c r="ET73" s="34"/>
      <c r="EU73" s="34"/>
      <c r="EV73" s="34"/>
      <c r="EW73" s="34"/>
      <c r="EX73" s="34"/>
      <c r="EY73" s="34"/>
      <c r="EZ73" s="34"/>
    </row>
    <row r="74" spans="2:156" ht="13.5" customHeight="1">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CA74" s="74"/>
      <c r="CB74" s="74"/>
      <c r="CC74" s="74"/>
      <c r="CD74" s="74"/>
      <c r="CE74" s="74"/>
      <c r="CF74" s="74"/>
      <c r="CG74" s="74"/>
      <c r="CH74" s="74"/>
      <c r="CI74" s="74"/>
      <c r="CJ74" s="74"/>
      <c r="CK74" s="74"/>
      <c r="CL74" s="74"/>
      <c r="CM74" s="74"/>
      <c r="CN74" s="74"/>
      <c r="CO74" s="74"/>
      <c r="CP74" s="74"/>
      <c r="CY74" s="124" t="str" cm="1">
        <f t="array" ref="CY74">_xlfn.IFS(CZ73&gt;=25%,"Strong Buy",CZ73&gt;=10.00001%,"Buy",AND(CZ73&lt;=10%,CZ73&gt;=-4.9999%),"Hold",AND(CZ73&lt;=-5%,CZ73&gt;=-14.999999%),"Sell",CZ73&lt;=-15%,"Strong Sell")</f>
        <v>Strong Buy</v>
      </c>
      <c r="CZ74" s="124"/>
    </row>
    <row r="75" spans="2:156" ht="13.5" customHeight="1">
      <c r="B75" s="1" t="s">
        <v>1234</v>
      </c>
      <c r="AU75" s="74"/>
      <c r="AV75" s="74"/>
      <c r="AW75" s="74"/>
      <c r="AX75" s="74">
        <v>112.77800000000001</v>
      </c>
      <c r="AY75" s="74">
        <v>141.94200000000001</v>
      </c>
      <c r="AZ75" s="74">
        <v>166.81700000000001</v>
      </c>
      <c r="BA75" s="74">
        <v>133.44</v>
      </c>
      <c r="BB75" s="74">
        <v>162.14500000000001</v>
      </c>
      <c r="BC75" s="74">
        <v>202.91900000000001</v>
      </c>
      <c r="BD75" s="74">
        <v>225.30199999999999</v>
      </c>
      <c r="BE75" s="74">
        <v>190.09700000000001</v>
      </c>
      <c r="BF75" s="74">
        <v>230.82</v>
      </c>
      <c r="BG75" s="74">
        <v>232.38300000000001</v>
      </c>
      <c r="BH75" s="74">
        <v>261.90899999999999</v>
      </c>
      <c r="BI75" s="74">
        <v>209.89</v>
      </c>
      <c r="BJ75" s="74">
        <v>260.97800000000001</v>
      </c>
      <c r="BK75" s="74">
        <v>236.28899999999999</v>
      </c>
      <c r="BL75" s="74">
        <v>244.85</v>
      </c>
      <c r="BM75" s="74">
        <v>240.89</v>
      </c>
      <c r="BN75" s="74">
        <v>264.90100000000001</v>
      </c>
      <c r="BO75" s="74">
        <v>244.881</v>
      </c>
      <c r="BP75" s="74">
        <v>263.339</v>
      </c>
      <c r="BQ75" s="74">
        <v>217.26</v>
      </c>
      <c r="CA75" s="74"/>
      <c r="CB75" s="74"/>
      <c r="CC75" s="74"/>
      <c r="CD75" s="74"/>
      <c r="CE75" s="74"/>
      <c r="CF75" s="74"/>
      <c r="CG75" s="74"/>
      <c r="CH75" s="74"/>
      <c r="CI75" s="74"/>
      <c r="CJ75" s="74"/>
      <c r="CK75" s="74"/>
      <c r="CL75" s="74">
        <f>AX75</f>
        <v>112.77800000000001</v>
      </c>
      <c r="CM75" s="74">
        <f t="shared" ref="CM75:CM87" si="158">BB75</f>
        <v>162.14500000000001</v>
      </c>
      <c r="CN75" s="74">
        <f t="shared" ref="CN75:CN87" si="159">BF75</f>
        <v>230.82</v>
      </c>
      <c r="CO75" s="74">
        <f t="shared" ref="CO75:CO87" si="160">BJ75</f>
        <v>260.97800000000001</v>
      </c>
      <c r="CP75" s="74">
        <f t="shared" ref="CP75:CP87" si="161">BN75</f>
        <v>264.90100000000001</v>
      </c>
    </row>
    <row r="76" spans="2:156" ht="13.5" customHeight="1">
      <c r="B76" s="1" t="s">
        <v>1235</v>
      </c>
      <c r="AU76" s="74"/>
      <c r="AV76" s="74"/>
      <c r="AW76" s="74"/>
      <c r="AX76" s="74">
        <v>126.70399999999999</v>
      </c>
      <c r="AY76" s="74">
        <v>111.15900000000001</v>
      </c>
      <c r="AZ76" s="74">
        <v>156.565</v>
      </c>
      <c r="BA76" s="74">
        <v>149.20599999999999</v>
      </c>
      <c r="BB76" s="74">
        <v>166.887</v>
      </c>
      <c r="BC76" s="74">
        <v>185.96899999999999</v>
      </c>
      <c r="BD76" s="74">
        <v>242.75</v>
      </c>
      <c r="BE76" s="74">
        <v>228.97</v>
      </c>
      <c r="BF76" s="74">
        <v>239.42400000000001</v>
      </c>
      <c r="BG76" s="74">
        <v>201.821</v>
      </c>
      <c r="BH76" s="74">
        <v>241.53</v>
      </c>
      <c r="BI76" s="74">
        <v>248.16</v>
      </c>
      <c r="BJ76" s="74">
        <v>285.77100000000002</v>
      </c>
      <c r="BK76" s="74">
        <v>247.268</v>
      </c>
      <c r="BL76" s="74">
        <v>285.09500000000003</v>
      </c>
      <c r="BM76" s="74">
        <v>277.98200000000003</v>
      </c>
      <c r="BN76" s="74">
        <v>298.06799999999998</v>
      </c>
      <c r="BO76" s="74">
        <v>247.048</v>
      </c>
      <c r="BP76" s="74">
        <v>272.57100000000003</v>
      </c>
      <c r="BQ76" s="74">
        <v>275.39</v>
      </c>
      <c r="CA76" s="74"/>
      <c r="CB76" s="74"/>
      <c r="CC76" s="74"/>
      <c r="CD76" s="74"/>
      <c r="CE76" s="74"/>
      <c r="CF76" s="74"/>
      <c r="CG76" s="74"/>
      <c r="CH76" s="74"/>
      <c r="CI76" s="74"/>
      <c r="CJ76" s="74"/>
      <c r="CK76" s="74"/>
      <c r="CL76" s="74">
        <f>AX76</f>
        <v>126.70399999999999</v>
      </c>
      <c r="CM76" s="74">
        <f t="shared" si="158"/>
        <v>166.887</v>
      </c>
      <c r="CN76" s="74">
        <f t="shared" si="159"/>
        <v>239.42400000000001</v>
      </c>
      <c r="CO76" s="74">
        <f t="shared" si="160"/>
        <v>285.77100000000002</v>
      </c>
      <c r="CP76" s="74">
        <f t="shared" si="161"/>
        <v>298.06799999999998</v>
      </c>
    </row>
    <row r="77" spans="2:156" ht="13.5" customHeight="1">
      <c r="B77" s="65" t="s">
        <v>1236</v>
      </c>
      <c r="AU77" s="74"/>
      <c r="AV77" s="74"/>
      <c r="AW77" s="74"/>
      <c r="AX77" s="74">
        <v>5.0380000000000003</v>
      </c>
      <c r="AY77" s="74">
        <v>24.317</v>
      </c>
      <c r="AZ77" s="74">
        <v>11.814</v>
      </c>
      <c r="BA77" s="74">
        <v>22.315000000000001</v>
      </c>
      <c r="BB77" s="74">
        <v>16.279</v>
      </c>
      <c r="BC77" s="74">
        <v>67.31</v>
      </c>
      <c r="BD77" s="74">
        <v>58.701999999999998</v>
      </c>
      <c r="BE77" s="74">
        <v>76.989999999999995</v>
      </c>
      <c r="BF77" s="74">
        <v>89.21</v>
      </c>
      <c r="BG77" s="74">
        <v>109.63200000000001</v>
      </c>
      <c r="BH77" s="74">
        <v>84.84</v>
      </c>
      <c r="BI77" s="74">
        <v>108.71599999999999</v>
      </c>
      <c r="BJ77" s="74">
        <v>65.95</v>
      </c>
      <c r="BK77" s="74">
        <v>82.247</v>
      </c>
      <c r="BL77" s="74">
        <v>92.55</v>
      </c>
      <c r="BM77" s="74">
        <v>106.85299999999999</v>
      </c>
      <c r="BN77" s="74">
        <v>108.688</v>
      </c>
      <c r="BO77" s="74">
        <v>135.57400000000001</v>
      </c>
      <c r="BP77" s="74">
        <v>96.02</v>
      </c>
      <c r="BQ77" s="74">
        <v>114.74</v>
      </c>
      <c r="CA77" s="74"/>
      <c r="CB77" s="74"/>
      <c r="CC77" s="74"/>
      <c r="CD77" s="74"/>
      <c r="CE77" s="74"/>
      <c r="CF77" s="74"/>
      <c r="CG77" s="74"/>
      <c r="CH77" s="74"/>
      <c r="CI77" s="74"/>
      <c r="CJ77" s="74"/>
      <c r="CK77" s="74"/>
      <c r="CL77" s="74">
        <f>AX77</f>
        <v>5.0380000000000003</v>
      </c>
      <c r="CM77" s="74">
        <f t="shared" si="158"/>
        <v>16.279</v>
      </c>
      <c r="CN77" s="74">
        <f t="shared" si="159"/>
        <v>89.21</v>
      </c>
      <c r="CO77" s="74">
        <f t="shared" si="160"/>
        <v>65.95</v>
      </c>
      <c r="CP77" s="74">
        <f t="shared" si="161"/>
        <v>108.688</v>
      </c>
    </row>
    <row r="78" spans="2:156" ht="13.5" customHeight="1">
      <c r="B78" s="65" t="s">
        <v>1250</v>
      </c>
      <c r="AU78" s="74"/>
      <c r="AV78" s="74"/>
      <c r="AW78" s="74"/>
      <c r="AX78" s="74">
        <v>0</v>
      </c>
      <c r="AY78" s="74">
        <v>0</v>
      </c>
      <c r="AZ78" s="74">
        <v>0</v>
      </c>
      <c r="BA78" s="74">
        <v>0</v>
      </c>
      <c r="BB78" s="74">
        <v>0</v>
      </c>
      <c r="BC78" s="74">
        <v>25.17</v>
      </c>
      <c r="BD78" s="74">
        <v>25.402999999999999</v>
      </c>
      <c r="BE78" s="74">
        <v>20</v>
      </c>
      <c r="BF78" s="74">
        <v>24.36</v>
      </c>
      <c r="BG78" s="74">
        <v>32.97</v>
      </c>
      <c r="BH78" s="74">
        <v>20</v>
      </c>
      <c r="BI78" s="74">
        <v>20</v>
      </c>
      <c r="BJ78" s="74">
        <v>23.327999999999999</v>
      </c>
      <c r="BK78" s="74">
        <v>0</v>
      </c>
      <c r="BL78" s="74">
        <v>0</v>
      </c>
      <c r="BM78" s="74">
        <v>0</v>
      </c>
      <c r="BN78" s="74">
        <v>0</v>
      </c>
      <c r="BO78" s="74">
        <v>0</v>
      </c>
      <c r="BP78" s="74">
        <v>0</v>
      </c>
      <c r="BQ78" s="74">
        <v>0</v>
      </c>
      <c r="CA78" s="74"/>
      <c r="CB78" s="74"/>
      <c r="CC78" s="74"/>
      <c r="CD78" s="74"/>
      <c r="CE78" s="74"/>
      <c r="CF78" s="74"/>
      <c r="CG78" s="74"/>
      <c r="CH78" s="74"/>
      <c r="CI78" s="74"/>
      <c r="CJ78" s="74"/>
      <c r="CK78" s="74"/>
      <c r="CL78" s="74">
        <f>AX79</f>
        <v>47.064</v>
      </c>
      <c r="CM78" s="74">
        <f t="shared" si="158"/>
        <v>0</v>
      </c>
      <c r="CN78" s="74">
        <f t="shared" si="159"/>
        <v>24.36</v>
      </c>
      <c r="CO78" s="74">
        <f t="shared" si="160"/>
        <v>23.327999999999999</v>
      </c>
      <c r="CP78" s="74">
        <f t="shared" si="161"/>
        <v>0</v>
      </c>
    </row>
    <row r="79" spans="2:156" ht="13.5" customHeight="1">
      <c r="B79" s="65" t="s">
        <v>1237</v>
      </c>
      <c r="AU79" s="74"/>
      <c r="AV79" s="74"/>
      <c r="AW79" s="74"/>
      <c r="AX79" s="74">
        <v>47.064</v>
      </c>
      <c r="AY79" s="74">
        <v>48.33</v>
      </c>
      <c r="AZ79" s="74">
        <v>45.725999999999999</v>
      </c>
      <c r="BA79" s="74">
        <v>45.247999999999998</v>
      </c>
      <c r="BB79" s="74">
        <v>42.932000000000002</v>
      </c>
      <c r="BC79" s="74">
        <v>49.414000000000001</v>
      </c>
      <c r="BD79" s="74">
        <v>49.98</v>
      </c>
      <c r="BE79" s="74">
        <v>55.101999999999997</v>
      </c>
      <c r="BF79" s="74">
        <v>57.456000000000003</v>
      </c>
      <c r="BG79" s="74">
        <v>57.56</v>
      </c>
      <c r="BH79" s="74">
        <v>57.655999999999999</v>
      </c>
      <c r="BI79" s="74">
        <v>61.11</v>
      </c>
      <c r="BJ79" s="74">
        <v>62.267000000000003</v>
      </c>
      <c r="BK79" s="74">
        <v>62.756999999999998</v>
      </c>
      <c r="BL79" s="74">
        <v>63.917999999999999</v>
      </c>
      <c r="BM79" s="74">
        <v>66.900000000000006</v>
      </c>
      <c r="BN79" s="74">
        <v>68.551000000000002</v>
      </c>
      <c r="BO79" s="74">
        <v>77.69</v>
      </c>
      <c r="BP79" s="74">
        <v>82.918000000000006</v>
      </c>
      <c r="BQ79" s="74">
        <v>84.33</v>
      </c>
      <c r="CA79" s="74"/>
      <c r="CB79" s="74"/>
      <c r="CC79" s="74"/>
      <c r="CD79" s="74"/>
      <c r="CE79" s="74"/>
      <c r="CF79" s="74"/>
      <c r="CG79" s="74"/>
      <c r="CH79" s="74"/>
      <c r="CI79" s="74"/>
      <c r="CJ79" s="74"/>
      <c r="CK79" s="74"/>
      <c r="CL79" s="74">
        <f t="shared" ref="CL79:CL84" si="162">AX81</f>
        <v>205.97399999999999</v>
      </c>
      <c r="CM79" s="74">
        <f t="shared" si="158"/>
        <v>42.932000000000002</v>
      </c>
      <c r="CN79" s="74">
        <f t="shared" si="159"/>
        <v>57.456000000000003</v>
      </c>
      <c r="CO79" s="74">
        <f t="shared" si="160"/>
        <v>62.267000000000003</v>
      </c>
      <c r="CP79" s="74">
        <f t="shared" si="161"/>
        <v>68.551000000000002</v>
      </c>
    </row>
    <row r="80" spans="2:156" ht="13.5" customHeight="1">
      <c r="B80" s="65" t="s">
        <v>1238</v>
      </c>
      <c r="AU80" s="74"/>
      <c r="AV80" s="74"/>
      <c r="AW80" s="74"/>
      <c r="AX80" s="74">
        <v>0</v>
      </c>
      <c r="AY80" s="74">
        <v>0</v>
      </c>
      <c r="AZ80" s="74">
        <v>0</v>
      </c>
      <c r="BA80" s="74">
        <v>0</v>
      </c>
      <c r="BB80" s="74">
        <v>0.17599999999999999</v>
      </c>
      <c r="BC80" s="74">
        <v>329.95</v>
      </c>
      <c r="BD80" s="74">
        <v>312.82100000000003</v>
      </c>
      <c r="BE80" s="74">
        <v>312.81299999999999</v>
      </c>
      <c r="BF80" s="74">
        <v>302.02999999999997</v>
      </c>
      <c r="BG80" s="74">
        <v>301.96800000000002</v>
      </c>
      <c r="BH80" s="74">
        <v>301.90199999999999</v>
      </c>
      <c r="BI80" s="74">
        <v>299.29599999999999</v>
      </c>
      <c r="BJ80" s="74">
        <v>12.912000000000001</v>
      </c>
      <c r="BK80" s="74">
        <v>12.87</v>
      </c>
      <c r="BL80" s="74">
        <v>12.840999999999999</v>
      </c>
      <c r="BM80" s="74">
        <v>12.824</v>
      </c>
      <c r="BN80" s="74">
        <v>4.0860000000000003</v>
      </c>
      <c r="BO80" s="74">
        <v>1.212</v>
      </c>
      <c r="BP80" s="74">
        <v>1.139</v>
      </c>
      <c r="BQ80" s="74">
        <v>1.03</v>
      </c>
      <c r="CA80" s="74"/>
      <c r="CB80" s="74"/>
      <c r="CC80" s="74"/>
      <c r="CD80" s="74"/>
      <c r="CE80" s="74"/>
      <c r="CF80" s="74"/>
      <c r="CG80" s="74"/>
      <c r="CH80" s="74"/>
      <c r="CI80" s="74"/>
      <c r="CJ80" s="74"/>
      <c r="CK80" s="74"/>
      <c r="CL80" s="74">
        <f t="shared" si="162"/>
        <v>180</v>
      </c>
      <c r="CM80" s="74">
        <f t="shared" si="158"/>
        <v>0.17599999999999999</v>
      </c>
      <c r="CN80" s="74">
        <f t="shared" si="159"/>
        <v>302.02999999999997</v>
      </c>
      <c r="CO80" s="74">
        <f t="shared" si="160"/>
        <v>12.912000000000001</v>
      </c>
      <c r="CP80" s="74">
        <f t="shared" si="161"/>
        <v>4.0860000000000003</v>
      </c>
    </row>
    <row r="81" spans="2:156" ht="13.5" customHeight="1">
      <c r="B81" s="65" t="s">
        <v>1239</v>
      </c>
      <c r="AU81" s="74"/>
      <c r="AV81" s="74"/>
      <c r="AW81" s="74"/>
      <c r="AX81" s="74">
        <v>205.97399999999999</v>
      </c>
      <c r="AY81" s="74">
        <v>198.76900000000001</v>
      </c>
      <c r="AZ81" s="74">
        <v>200.96899999999999</v>
      </c>
      <c r="BA81" s="74">
        <v>193.99</v>
      </c>
      <c r="BB81" s="74">
        <v>219.56800000000001</v>
      </c>
      <c r="BC81" s="74">
        <v>226.18799999999999</v>
      </c>
      <c r="BD81" s="74">
        <v>216.02</v>
      </c>
      <c r="BE81" s="74">
        <v>204.76900000000001</v>
      </c>
      <c r="BF81" s="74">
        <v>224.83</v>
      </c>
      <c r="BG81" s="74">
        <v>228.16499999999999</v>
      </c>
      <c r="BH81" s="74">
        <v>231.577</v>
      </c>
      <c r="BI81" s="74">
        <v>226.006</v>
      </c>
      <c r="BJ81" s="74">
        <v>565.17100000000005</v>
      </c>
      <c r="BK81" s="74">
        <v>558.91300000000001</v>
      </c>
      <c r="BL81" s="74">
        <v>557.58100000000002</v>
      </c>
      <c r="BM81" s="74">
        <v>572.36</v>
      </c>
      <c r="BN81" s="74">
        <v>595.43399999999997</v>
      </c>
      <c r="BO81" s="74">
        <v>601.08799999999997</v>
      </c>
      <c r="BP81" s="74">
        <v>618.08000000000004</v>
      </c>
      <c r="BQ81" s="74">
        <v>617.80999999999995</v>
      </c>
      <c r="CA81" s="74"/>
      <c r="CB81" s="74"/>
      <c r="CC81" s="74"/>
      <c r="CD81" s="74"/>
      <c r="CE81" s="74"/>
      <c r="CF81" s="74"/>
      <c r="CG81" s="74"/>
      <c r="CH81" s="74"/>
      <c r="CI81" s="74"/>
      <c r="CJ81" s="74"/>
      <c r="CK81" s="74"/>
      <c r="CL81" s="74">
        <f t="shared" si="162"/>
        <v>146.4</v>
      </c>
      <c r="CM81" s="74">
        <f t="shared" si="158"/>
        <v>219.56800000000001</v>
      </c>
      <c r="CN81" s="74">
        <f t="shared" si="159"/>
        <v>224.83</v>
      </c>
      <c r="CO81" s="74">
        <f t="shared" si="160"/>
        <v>565.17100000000005</v>
      </c>
      <c r="CP81" s="74">
        <f t="shared" si="161"/>
        <v>595.43399999999997</v>
      </c>
    </row>
    <row r="82" spans="2:156" ht="13.5" customHeight="1">
      <c r="B82" s="65" t="s">
        <v>1240</v>
      </c>
      <c r="AU82" s="74"/>
      <c r="AV82" s="74"/>
      <c r="AW82" s="74"/>
      <c r="AX82" s="74">
        <v>180</v>
      </c>
      <c r="AY82" s="74">
        <v>341.10300000000001</v>
      </c>
      <c r="AZ82" s="74">
        <v>386.38299999999998</v>
      </c>
      <c r="BA82" s="74">
        <v>685.95</v>
      </c>
      <c r="BB82" s="74">
        <v>771.39</v>
      </c>
      <c r="BC82" s="74">
        <v>2851.25</v>
      </c>
      <c r="BD82" s="74">
        <v>2743.5070000000001</v>
      </c>
      <c r="BE82" s="74">
        <v>2595.7669999999998</v>
      </c>
      <c r="BF82" s="74">
        <v>2298.027</v>
      </c>
      <c r="BG82" s="74">
        <v>2250.2800000000002</v>
      </c>
      <c r="BH82" s="74">
        <v>2007.4849999999999</v>
      </c>
      <c r="BI82" s="74">
        <v>1918.6679999999999</v>
      </c>
      <c r="BJ82" s="74">
        <v>1640.9960000000001</v>
      </c>
      <c r="BK82" s="74">
        <v>1727.153</v>
      </c>
      <c r="BL82" s="74">
        <v>1529.566</v>
      </c>
      <c r="BM82" s="74">
        <v>1421.95</v>
      </c>
      <c r="BN82" s="74">
        <v>1349.3389999999999</v>
      </c>
      <c r="BO82" s="74">
        <v>1481.7249999999999</v>
      </c>
      <c r="BP82" s="74">
        <v>1379.11</v>
      </c>
      <c r="BQ82" s="74">
        <v>1318.49</v>
      </c>
      <c r="CA82" s="74"/>
      <c r="CB82" s="74"/>
      <c r="CC82" s="74"/>
      <c r="CD82" s="74"/>
      <c r="CE82" s="74"/>
      <c r="CF82" s="74"/>
      <c r="CG82" s="74"/>
      <c r="CH82" s="74"/>
      <c r="CI82" s="74"/>
      <c r="CJ82" s="74"/>
      <c r="CK82" s="74"/>
      <c r="CL82" s="74">
        <f t="shared" si="162"/>
        <v>4.1310000000000002</v>
      </c>
      <c r="CM82" s="74">
        <f t="shared" si="158"/>
        <v>771.39</v>
      </c>
      <c r="CN82" s="74">
        <f t="shared" si="159"/>
        <v>2298.027</v>
      </c>
      <c r="CO82" s="74">
        <f t="shared" si="160"/>
        <v>1640.9960000000001</v>
      </c>
      <c r="CP82" s="74">
        <f t="shared" si="161"/>
        <v>1349.3389999999999</v>
      </c>
    </row>
    <row r="83" spans="2:156" ht="13.5" customHeight="1">
      <c r="B83" s="65" t="s">
        <v>1241</v>
      </c>
      <c r="AU83" s="74"/>
      <c r="AV83" s="74"/>
      <c r="AW83" s="74"/>
      <c r="AX83" s="74">
        <v>146.4</v>
      </c>
      <c r="AY83" s="74">
        <v>165.81800000000001</v>
      </c>
      <c r="AZ83" s="74">
        <v>162.55199999999999</v>
      </c>
      <c r="BA83" s="74">
        <v>157.87</v>
      </c>
      <c r="BB83" s="74">
        <v>149.22999999999999</v>
      </c>
      <c r="BC83" s="74">
        <v>181.06</v>
      </c>
      <c r="BD83" s="74">
        <v>217.58600000000001</v>
      </c>
      <c r="BE83" s="74">
        <v>225.39500000000001</v>
      </c>
      <c r="BF83" s="74">
        <v>215.119</v>
      </c>
      <c r="BG83" s="74">
        <v>209.81700000000001</v>
      </c>
      <c r="BH83" s="74">
        <v>204.08799999999999</v>
      </c>
      <c r="BI83" s="74">
        <v>286.91000000000003</v>
      </c>
      <c r="BJ83" s="1">
        <v>269.76900000000001</v>
      </c>
      <c r="BK83" s="74">
        <v>267.78500000000003</v>
      </c>
      <c r="BL83" s="74">
        <v>277.11200000000002</v>
      </c>
      <c r="BM83" s="74">
        <v>285.14999999999998</v>
      </c>
      <c r="BN83" s="74">
        <v>283.40600000000001</v>
      </c>
      <c r="BO83" s="74">
        <v>303.27999999999997</v>
      </c>
      <c r="BP83" s="74">
        <v>311.54899999999998</v>
      </c>
      <c r="BQ83" s="74">
        <v>303.05</v>
      </c>
      <c r="CA83" s="74"/>
      <c r="CB83" s="74"/>
      <c r="CC83" s="74"/>
      <c r="CD83" s="74"/>
      <c r="CE83" s="74"/>
      <c r="CF83" s="74"/>
      <c r="CG83" s="74"/>
      <c r="CH83" s="74"/>
      <c r="CI83" s="74"/>
      <c r="CJ83" s="74"/>
      <c r="CK83" s="74"/>
      <c r="CL83" s="74">
        <f t="shared" si="162"/>
        <v>828.08899999999994</v>
      </c>
      <c r="CM83" s="74">
        <f t="shared" si="158"/>
        <v>149.22999999999999</v>
      </c>
      <c r="CN83" s="74">
        <f t="shared" si="159"/>
        <v>215.119</v>
      </c>
      <c r="CO83" s="74">
        <f t="shared" si="160"/>
        <v>269.76900000000001</v>
      </c>
      <c r="CP83" s="74">
        <f t="shared" si="161"/>
        <v>283.40600000000001</v>
      </c>
    </row>
    <row r="84" spans="2:156" ht="13.5" customHeight="1">
      <c r="B84" s="65" t="s">
        <v>1242</v>
      </c>
      <c r="AU84" s="74"/>
      <c r="AV84" s="74"/>
      <c r="AW84" s="74"/>
      <c r="AX84" s="74">
        <v>4.1310000000000002</v>
      </c>
      <c r="AY84" s="74">
        <v>4.6500000000000004</v>
      </c>
      <c r="AZ84" s="74">
        <v>4.2119999999999997</v>
      </c>
      <c r="BA84" s="74">
        <v>4.2</v>
      </c>
      <c r="BB84" s="74">
        <v>2.37</v>
      </c>
      <c r="BC84" s="74">
        <v>2.246</v>
      </c>
      <c r="BD84" s="74">
        <v>2.577</v>
      </c>
      <c r="BE84" s="74">
        <v>2.4</v>
      </c>
      <c r="BF84" s="74">
        <v>2.5790000000000002</v>
      </c>
      <c r="BG84" s="74">
        <v>2.5299999999999998</v>
      </c>
      <c r="BH84" s="74">
        <v>2.4430000000000001</v>
      </c>
      <c r="BI84" s="74">
        <v>2.2999999999999998</v>
      </c>
      <c r="BJ84" s="74">
        <v>2.7669999999999999</v>
      </c>
      <c r="BK84" s="74">
        <v>3.2639999999999998</v>
      </c>
      <c r="BL84" s="74">
        <v>3.0710000000000002</v>
      </c>
      <c r="BM84" s="74">
        <v>3.2130000000000001</v>
      </c>
      <c r="BN84" s="74">
        <v>3.948</v>
      </c>
      <c r="BO84" s="74">
        <v>4.0179999999999998</v>
      </c>
      <c r="BP84" s="74">
        <v>4.6980000000000004</v>
      </c>
      <c r="BQ84" s="74">
        <v>4.4800000000000004</v>
      </c>
      <c r="CA84" s="74"/>
      <c r="CB84" s="74"/>
      <c r="CC84" s="74"/>
      <c r="CD84" s="74"/>
      <c r="CE84" s="74"/>
      <c r="CF84" s="74"/>
      <c r="CG84" s="74"/>
      <c r="CH84" s="74"/>
      <c r="CI84" s="74"/>
      <c r="CJ84" s="74"/>
      <c r="CK84" s="74"/>
      <c r="CL84" s="74">
        <f t="shared" si="162"/>
        <v>290.63</v>
      </c>
      <c r="CM84" s="74">
        <f t="shared" si="158"/>
        <v>2.37</v>
      </c>
      <c r="CN84" s="74">
        <f t="shared" si="159"/>
        <v>2.5790000000000002</v>
      </c>
      <c r="CO84" s="74">
        <f t="shared" si="160"/>
        <v>2.7669999999999999</v>
      </c>
      <c r="CP84" s="74">
        <f t="shared" si="161"/>
        <v>3.948</v>
      </c>
    </row>
    <row r="85" spans="2:156" s="2" customFormat="1" ht="13.5" customHeight="1">
      <c r="B85" s="68" t="s">
        <v>1243</v>
      </c>
      <c r="AU85" s="75"/>
      <c r="AV85" s="75"/>
      <c r="AW85" s="75"/>
      <c r="AX85" s="75">
        <f>SUM(AX75:AX84)</f>
        <v>828.08899999999994</v>
      </c>
      <c r="AY85" s="75">
        <f>SUM(AY75:AY84)</f>
        <v>1036.0880000000002</v>
      </c>
      <c r="AZ85" s="75">
        <f>SUM(AZ75:AZ84)</f>
        <v>1135.038</v>
      </c>
      <c r="BA85" s="75">
        <f>SUM(BA75:BA84)</f>
        <v>1392.2189999999998</v>
      </c>
      <c r="BB85" s="75">
        <f t="shared" ref="BB85:BO85" si="163">SUM(BB75:BB84)</f>
        <v>1530.9769999999999</v>
      </c>
      <c r="BC85" s="75">
        <f t="shared" si="163"/>
        <v>4121.4760000000006</v>
      </c>
      <c r="BD85" s="75">
        <f t="shared" si="163"/>
        <v>4094.6480000000001</v>
      </c>
      <c r="BE85" s="75">
        <f t="shared" si="163"/>
        <v>3912.3029999999999</v>
      </c>
      <c r="BF85" s="75">
        <f t="shared" si="163"/>
        <v>3683.8550000000005</v>
      </c>
      <c r="BG85" s="75">
        <f t="shared" si="163"/>
        <v>3627.1260000000007</v>
      </c>
      <c r="BH85" s="75">
        <f t="shared" si="163"/>
        <v>3413.4300000000003</v>
      </c>
      <c r="BI85" s="75">
        <f t="shared" si="163"/>
        <v>3381.056</v>
      </c>
      <c r="BJ85" s="75">
        <f t="shared" si="163"/>
        <v>3189.9090000000006</v>
      </c>
      <c r="BK85" s="75">
        <f t="shared" si="163"/>
        <v>3198.5460000000003</v>
      </c>
      <c r="BL85" s="75">
        <f t="shared" si="163"/>
        <v>3066.5839999999998</v>
      </c>
      <c r="BM85" s="75">
        <f t="shared" si="163"/>
        <v>2988.1220000000003</v>
      </c>
      <c r="BN85" s="75">
        <f t="shared" si="163"/>
        <v>2976.4209999999998</v>
      </c>
      <c r="BO85" s="75">
        <f t="shared" si="163"/>
        <v>3096.5159999999996</v>
      </c>
      <c r="BP85" s="75">
        <f>SUM(BP75:BP84)</f>
        <v>3029.4239999999995</v>
      </c>
      <c r="BQ85" s="75">
        <f>SUM(BQ75:BQ84)</f>
        <v>2936.5800000000004</v>
      </c>
      <c r="BR85" s="34"/>
      <c r="BS85" s="34"/>
      <c r="BT85" s="34"/>
      <c r="BU85" s="34"/>
      <c r="BV85" s="34"/>
      <c r="CA85" s="75"/>
      <c r="CB85" s="75"/>
      <c r="CC85" s="75"/>
      <c r="CD85" s="75"/>
      <c r="CE85" s="75"/>
      <c r="CF85" s="75"/>
      <c r="CG85" s="75"/>
      <c r="CH85" s="75"/>
      <c r="CI85" s="75"/>
      <c r="CJ85" s="75"/>
      <c r="CK85" s="75"/>
      <c r="CL85" s="75">
        <f>AX85</f>
        <v>828.08899999999994</v>
      </c>
      <c r="CM85" s="75">
        <f t="shared" si="158"/>
        <v>1530.9769999999999</v>
      </c>
      <c r="CN85" s="75">
        <f t="shared" si="159"/>
        <v>3683.8550000000005</v>
      </c>
      <c r="CO85" s="75">
        <f t="shared" si="160"/>
        <v>3189.9090000000006</v>
      </c>
      <c r="CP85" s="75">
        <f t="shared" si="161"/>
        <v>2976.4209999999998</v>
      </c>
      <c r="CQ85" s="34"/>
      <c r="CR85" s="34"/>
      <c r="CS85" s="34"/>
      <c r="CT85" s="34"/>
      <c r="CU85" s="34"/>
      <c r="CV85" s="34"/>
      <c r="CW85" s="34"/>
      <c r="CX85" s="34"/>
      <c r="CY85" s="34"/>
      <c r="CZ85" s="34"/>
      <c r="DA85" s="34"/>
      <c r="DB85" s="34"/>
      <c r="DC85" s="34"/>
      <c r="DD85" s="34"/>
      <c r="DE85" s="34"/>
      <c r="DF85" s="34"/>
      <c r="DG85" s="34"/>
      <c r="DH85" s="34"/>
      <c r="DI85" s="34"/>
      <c r="DJ85" s="34"/>
      <c r="DK85" s="34"/>
      <c r="DL85" s="34"/>
      <c r="DM85" s="34"/>
      <c r="DN85" s="34"/>
      <c r="DO85" s="34"/>
      <c r="DP85" s="34"/>
      <c r="DQ85" s="34"/>
      <c r="DR85" s="34"/>
      <c r="DS85" s="34"/>
      <c r="DT85" s="34"/>
      <c r="DU85" s="34"/>
      <c r="DV85" s="34"/>
      <c r="DW85" s="34"/>
      <c r="DX85" s="34"/>
      <c r="DY85" s="34"/>
      <c r="DZ85" s="34"/>
      <c r="EA85" s="34"/>
      <c r="EB85" s="34"/>
      <c r="EC85" s="34"/>
      <c r="ED85" s="34"/>
      <c r="EE85" s="34"/>
      <c r="EF85" s="34"/>
      <c r="EG85" s="34"/>
      <c r="EH85" s="34"/>
      <c r="EI85" s="34"/>
      <c r="EJ85" s="34"/>
      <c r="EK85" s="34"/>
      <c r="EL85" s="34"/>
      <c r="EM85" s="34"/>
      <c r="EN85" s="34"/>
      <c r="EO85" s="34"/>
      <c r="EP85" s="34"/>
      <c r="EQ85" s="34"/>
      <c r="ER85" s="34"/>
      <c r="ES85" s="34"/>
      <c r="ET85" s="34"/>
      <c r="EU85" s="34"/>
      <c r="EV85" s="34"/>
      <c r="EW85" s="34"/>
      <c r="EX85" s="34"/>
      <c r="EY85" s="34"/>
      <c r="EZ85" s="34"/>
    </row>
    <row r="86" spans="2:156" ht="13.5" customHeight="1">
      <c r="B86" s="1" t="s">
        <v>1244</v>
      </c>
      <c r="AU86" s="74"/>
      <c r="AV86" s="74"/>
      <c r="AW86" s="74"/>
      <c r="AX86" s="74">
        <v>290.63</v>
      </c>
      <c r="AY86" s="74">
        <v>326.23099999999999</v>
      </c>
      <c r="AZ86" s="74">
        <v>358.76400000000001</v>
      </c>
      <c r="BA86" s="74">
        <v>352.83100000000002</v>
      </c>
      <c r="BB86" s="74">
        <v>14.082000000000001</v>
      </c>
      <c r="BC86" s="74">
        <v>349.17</v>
      </c>
      <c r="BD86" s="74">
        <v>491.96499999999997</v>
      </c>
      <c r="BE86" s="74">
        <v>630.80200000000002</v>
      </c>
      <c r="BF86" s="74">
        <v>817.93</v>
      </c>
      <c r="BG86" s="74">
        <v>968.5</v>
      </c>
      <c r="BH86" s="74">
        <v>1189.69</v>
      </c>
      <c r="BI86" s="74">
        <v>1200.258</v>
      </c>
      <c r="BJ86" s="74">
        <v>1453.92</v>
      </c>
      <c r="BK86" s="74">
        <v>1597.0550000000001</v>
      </c>
      <c r="BL86" s="74">
        <v>1653.211</v>
      </c>
      <c r="BM86" s="74">
        <v>1725.1179999999999</v>
      </c>
      <c r="BN86" s="74">
        <v>1835.7</v>
      </c>
      <c r="BO86" s="74">
        <v>1969.59</v>
      </c>
      <c r="BP86" s="74">
        <v>1421.13</v>
      </c>
      <c r="BQ86" s="74">
        <v>1363.14</v>
      </c>
      <c r="CA86" s="74"/>
      <c r="CB86" s="74"/>
      <c r="CC86" s="74"/>
      <c r="CD86" s="74"/>
      <c r="CE86" s="74"/>
      <c r="CF86" s="74"/>
      <c r="CG86" s="74"/>
      <c r="CH86" s="74"/>
      <c r="CI86" s="74"/>
      <c r="CJ86" s="74"/>
      <c r="CK86" s="74"/>
      <c r="CL86" s="74">
        <f>AX86</f>
        <v>290.63</v>
      </c>
      <c r="CM86" s="74">
        <f t="shared" si="158"/>
        <v>14.082000000000001</v>
      </c>
      <c r="CN86" s="74">
        <f t="shared" si="159"/>
        <v>817.93</v>
      </c>
      <c r="CO86" s="74">
        <f t="shared" si="160"/>
        <v>1453.92</v>
      </c>
      <c r="CP86" s="74">
        <f t="shared" si="161"/>
        <v>1835.7</v>
      </c>
    </row>
    <row r="87" spans="2:156" s="2" customFormat="1" ht="15">
      <c r="B87" s="2" t="s">
        <v>1245</v>
      </c>
      <c r="AU87" s="75"/>
      <c r="AV87" s="75"/>
      <c r="AW87" s="75"/>
      <c r="AX87" s="75">
        <f t="shared" ref="AX87:BO87" si="164">AX85+AX86</f>
        <v>1118.7190000000001</v>
      </c>
      <c r="AY87" s="75">
        <f t="shared" si="164"/>
        <v>1362.3190000000002</v>
      </c>
      <c r="AZ87" s="75">
        <f t="shared" si="164"/>
        <v>1493.8020000000001</v>
      </c>
      <c r="BA87" s="75">
        <f t="shared" si="164"/>
        <v>1745.0499999999997</v>
      </c>
      <c r="BB87" s="75">
        <f t="shared" si="164"/>
        <v>1545.059</v>
      </c>
      <c r="BC87" s="75">
        <f t="shared" si="164"/>
        <v>4470.6460000000006</v>
      </c>
      <c r="BD87" s="75">
        <f t="shared" si="164"/>
        <v>4586.6130000000003</v>
      </c>
      <c r="BE87" s="75">
        <f t="shared" si="164"/>
        <v>4543.1049999999996</v>
      </c>
      <c r="BF87" s="75">
        <f t="shared" si="164"/>
        <v>4501.7850000000008</v>
      </c>
      <c r="BG87" s="75">
        <f t="shared" si="164"/>
        <v>4595.6260000000002</v>
      </c>
      <c r="BH87" s="75">
        <f t="shared" si="164"/>
        <v>4603.1200000000008</v>
      </c>
      <c r="BI87" s="75">
        <f t="shared" si="164"/>
        <v>4581.3140000000003</v>
      </c>
      <c r="BJ87" s="75">
        <f t="shared" si="164"/>
        <v>4643.8290000000006</v>
      </c>
      <c r="BK87" s="75">
        <f t="shared" si="164"/>
        <v>4795.6010000000006</v>
      </c>
      <c r="BL87" s="75">
        <f t="shared" si="164"/>
        <v>4719.7950000000001</v>
      </c>
      <c r="BM87" s="75">
        <f t="shared" si="164"/>
        <v>4713.24</v>
      </c>
      <c r="BN87" s="75">
        <f t="shared" si="164"/>
        <v>4812.1210000000001</v>
      </c>
      <c r="BO87" s="75">
        <f t="shared" si="164"/>
        <v>5066.1059999999998</v>
      </c>
      <c r="BP87" s="75">
        <f>BP85+BP86</f>
        <v>4450.5540000000001</v>
      </c>
      <c r="BQ87" s="75">
        <f>BQ85+BQ86</f>
        <v>4299.72</v>
      </c>
      <c r="BR87" s="34"/>
      <c r="BS87" s="34"/>
      <c r="BT87" s="34"/>
      <c r="BU87" s="34"/>
      <c r="BV87" s="34"/>
      <c r="CA87" s="75"/>
      <c r="CB87" s="75"/>
      <c r="CC87" s="75"/>
      <c r="CD87" s="75"/>
      <c r="CE87" s="75"/>
      <c r="CF87" s="75"/>
      <c r="CG87" s="75"/>
      <c r="CH87" s="75"/>
      <c r="CI87" s="75"/>
      <c r="CJ87" s="75"/>
      <c r="CK87" s="75"/>
      <c r="CL87" s="75">
        <f>AX87</f>
        <v>1118.7190000000001</v>
      </c>
      <c r="CM87" s="75">
        <f t="shared" si="158"/>
        <v>1545.059</v>
      </c>
      <c r="CN87" s="75">
        <f t="shared" si="159"/>
        <v>4501.7850000000008</v>
      </c>
      <c r="CO87" s="75">
        <f t="shared" si="160"/>
        <v>4643.8290000000006</v>
      </c>
      <c r="CP87" s="75">
        <f t="shared" si="161"/>
        <v>4812.1210000000001</v>
      </c>
      <c r="CQ87" s="34"/>
      <c r="CR87" s="34"/>
      <c r="CS87" s="34"/>
      <c r="CT87" s="34"/>
      <c r="CU87" s="34"/>
      <c r="CV87" s="34"/>
      <c r="CW87" s="34"/>
      <c r="CX87" s="34"/>
      <c r="CY87" s="34"/>
      <c r="CZ87" s="34"/>
      <c r="DA87" s="34"/>
      <c r="DB87" s="34"/>
      <c r="DC87" s="34"/>
      <c r="DD87" s="34"/>
      <c r="DE87" s="34"/>
      <c r="DF87" s="34"/>
      <c r="DG87" s="34"/>
      <c r="DH87" s="34"/>
      <c r="DI87" s="34"/>
      <c r="DJ87" s="34"/>
      <c r="DK87" s="34"/>
      <c r="DL87" s="34"/>
      <c r="DM87" s="34"/>
      <c r="DN87" s="34"/>
      <c r="DO87" s="34"/>
      <c r="DP87" s="34"/>
      <c r="DQ87" s="34"/>
      <c r="DR87" s="34"/>
      <c r="DS87" s="34"/>
      <c r="DT87" s="34"/>
      <c r="DU87" s="34"/>
      <c r="DV87" s="34"/>
      <c r="DW87" s="34"/>
      <c r="DX87" s="34"/>
      <c r="DY87" s="34"/>
      <c r="DZ87" s="34"/>
      <c r="EA87" s="34"/>
      <c r="EB87" s="34"/>
      <c r="EC87" s="34"/>
      <c r="ED87" s="34"/>
      <c r="EE87" s="34"/>
      <c r="EF87" s="34"/>
      <c r="EG87" s="34"/>
      <c r="EH87" s="34"/>
      <c r="EI87" s="34"/>
      <c r="EJ87" s="34"/>
      <c r="EK87" s="34"/>
      <c r="EL87" s="34"/>
      <c r="EM87" s="34"/>
      <c r="EN87" s="34"/>
      <c r="EO87" s="34"/>
      <c r="EP87" s="34"/>
      <c r="EQ87" s="34"/>
      <c r="ER87" s="34"/>
      <c r="ES87" s="34"/>
      <c r="ET87" s="34"/>
      <c r="EU87" s="34"/>
      <c r="EV87" s="34"/>
      <c r="EW87" s="34"/>
      <c r="EX87" s="34"/>
      <c r="EY87" s="34"/>
      <c r="EZ87" s="34"/>
    </row>
    <row r="89" spans="2:156">
      <c r="B89" s="65" t="s">
        <v>129</v>
      </c>
      <c r="AX89" s="84">
        <f t="shared" ref="AX89:BO89" si="165">SUM(AX60:AX65)/SUM(AX75:AX79)</f>
        <v>1.690130459833187</v>
      </c>
      <c r="AY89" s="84">
        <f t="shared" si="165"/>
        <v>2.2324005059125462</v>
      </c>
      <c r="AZ89" s="84">
        <f t="shared" si="165"/>
        <v>1.7812150519003891</v>
      </c>
      <c r="BA89" s="84">
        <f t="shared" si="165"/>
        <v>2.627091251224269</v>
      </c>
      <c r="BB89" s="84">
        <f t="shared" si="165"/>
        <v>1.7168525897440516</v>
      </c>
      <c r="BC89" s="84">
        <f t="shared" si="165"/>
        <v>1.9565659724708071</v>
      </c>
      <c r="BD89" s="84">
        <f t="shared" si="165"/>
        <v>1.9402046378149822</v>
      </c>
      <c r="BE89" s="84">
        <f t="shared" si="165"/>
        <v>1.9664611780607499</v>
      </c>
      <c r="BF89" s="84">
        <f t="shared" si="165"/>
        <v>1.5998955198278413</v>
      </c>
      <c r="BG89" s="84">
        <f t="shared" si="165"/>
        <v>1.7571197069199802</v>
      </c>
      <c r="BH89" s="84">
        <f t="shared" si="165"/>
        <v>1.6536058324010603</v>
      </c>
      <c r="BI89" s="84">
        <f t="shared" si="165"/>
        <v>1.5113509375250822</v>
      </c>
      <c r="BJ89" s="84">
        <f t="shared" si="165"/>
        <v>1.3041841974870183</v>
      </c>
      <c r="BK89" s="84">
        <f t="shared" si="165"/>
        <v>1.7601998851344582</v>
      </c>
      <c r="BL89" s="84">
        <f t="shared" si="165"/>
        <v>1.4960380995115183</v>
      </c>
      <c r="BM89" s="84">
        <f t="shared" si="165"/>
        <v>1.4299512723335137</v>
      </c>
      <c r="BN89" s="84">
        <f t="shared" si="165"/>
        <v>1.1783890474028922</v>
      </c>
      <c r="BO89" s="84">
        <f t="shared" si="165"/>
        <v>1.5228951506892439</v>
      </c>
      <c r="BP89" s="84">
        <f>SUM(BP60:BP65)/SUM(BP75:BP79)</f>
        <v>1.5413024866824834</v>
      </c>
      <c r="BQ89" s="84">
        <f>SUM(BQ60:BQ65)/SUM(BQ75:BQ79)</f>
        <v>1.403894639449488</v>
      </c>
      <c r="CL89" s="84">
        <f t="shared" ref="CL89:CP89" si="166">SUM(CL60:CL65)/SUM(CL75:CL79)</f>
        <v>0.99046744299157086</v>
      </c>
      <c r="CM89" s="84">
        <f t="shared" si="166"/>
        <v>1.7168525897440516</v>
      </c>
      <c r="CN89" s="84">
        <f t="shared" si="166"/>
        <v>1.5998955198278413</v>
      </c>
      <c r="CO89" s="84">
        <f t="shared" si="166"/>
        <v>1.3041841974870183</v>
      </c>
      <c r="CP89" s="84">
        <f t="shared" si="166"/>
        <v>1.1783890474028922</v>
      </c>
    </row>
    <row r="90" spans="2:156">
      <c r="B90" s="65" t="s">
        <v>130</v>
      </c>
      <c r="AX90" s="84">
        <f t="shared" ref="AX90:BO90" si="167">(SUM(AX60:AX65)-AX62)/SUM(AX75:AX79)</f>
        <v>1.0895453797190517</v>
      </c>
      <c r="AY90" s="84">
        <f t="shared" si="167"/>
        <v>1.6292655672483025</v>
      </c>
      <c r="AZ90" s="84">
        <f t="shared" si="167"/>
        <v>1.2323100267246312</v>
      </c>
      <c r="BA90" s="84">
        <f t="shared" si="167"/>
        <v>2.0203221504872806</v>
      </c>
      <c r="BB90" s="84">
        <f t="shared" si="167"/>
        <v>1.16688774813712</v>
      </c>
      <c r="BC90" s="84">
        <f t="shared" si="167"/>
        <v>1.1886800984208206</v>
      </c>
      <c r="BD90" s="84">
        <f t="shared" si="167"/>
        <v>1.1072928586019459</v>
      </c>
      <c r="BE90" s="84">
        <f t="shared" si="167"/>
        <v>1.066977846799227</v>
      </c>
      <c r="BF90" s="84">
        <f t="shared" si="167"/>
        <v>0.86455783055499225</v>
      </c>
      <c r="BG90" s="84">
        <f t="shared" si="167"/>
        <v>1.0065908324216621</v>
      </c>
      <c r="BH90" s="84">
        <f t="shared" si="167"/>
        <v>0.99849685029319679</v>
      </c>
      <c r="BI90" s="84">
        <f t="shared" si="167"/>
        <v>0.90913693361075276</v>
      </c>
      <c r="BJ90" s="84">
        <f t="shared" si="167"/>
        <v>0.75276316279389488</v>
      </c>
      <c r="BK90" s="84">
        <f t="shared" si="167"/>
        <v>1.1366327214065144</v>
      </c>
      <c r="BL90" s="84">
        <f t="shared" si="167"/>
        <v>0.94739027378560714</v>
      </c>
      <c r="BM90" s="84">
        <f t="shared" si="167"/>
        <v>0.89980725500812131</v>
      </c>
      <c r="BN90" s="84">
        <f t="shared" si="167"/>
        <v>0.69710540820958433</v>
      </c>
      <c r="BO90" s="84">
        <f t="shared" si="167"/>
        <v>0.96802577450428462</v>
      </c>
      <c r="BP90" s="84">
        <f>(SUM(BP60:BP65)-BP62)/SUM(BP75:BP79)</f>
        <v>0.97456662115582604</v>
      </c>
      <c r="BQ90" s="84">
        <f>(SUM(BQ60:BQ65)-BQ62)/SUM(BQ75:BQ79)</f>
        <v>0.82996299080552804</v>
      </c>
      <c r="CL90" s="84">
        <f t="shared" ref="CL90:CP90" si="168">(SUM(CL60:CL65)-CL62)/SUM(CL75:CL79)</f>
        <v>0.63850646557788227</v>
      </c>
      <c r="CM90" s="84">
        <f t="shared" si="168"/>
        <v>1.16688774813712</v>
      </c>
      <c r="CN90" s="84">
        <f t="shared" si="168"/>
        <v>0.86455783055499225</v>
      </c>
      <c r="CO90" s="84">
        <f t="shared" si="168"/>
        <v>0.75276316279389488</v>
      </c>
      <c r="CP90" s="84">
        <f t="shared" si="168"/>
        <v>0.69710540820958433</v>
      </c>
    </row>
    <row r="91" spans="2:156">
      <c r="B91" s="65" t="s">
        <v>131</v>
      </c>
      <c r="AX91" s="84">
        <f t="shared" ref="AX91:BO91" si="169">AX60/SUM(AX75:AX79)</f>
        <v>0.47102721685689197</v>
      </c>
      <c r="AY91" s="84">
        <f t="shared" si="169"/>
        <v>0.79008620160369381</v>
      </c>
      <c r="AZ91" s="84">
        <f t="shared" si="169"/>
        <v>0.52326198014291636</v>
      </c>
      <c r="BA91" s="84">
        <f t="shared" si="169"/>
        <v>1.2506817357635014</v>
      </c>
      <c r="BB91" s="84">
        <f t="shared" si="169"/>
        <v>0.54926940086492215</v>
      </c>
      <c r="BC91" s="84">
        <f t="shared" si="169"/>
        <v>0.32403133489831981</v>
      </c>
      <c r="BD91" s="84">
        <f t="shared" si="169"/>
        <v>0.31114513806658617</v>
      </c>
      <c r="BE91" s="84">
        <f t="shared" si="169"/>
        <v>0.25031558637787377</v>
      </c>
      <c r="BF91" s="84">
        <f t="shared" si="169"/>
        <v>0.29882888642849342</v>
      </c>
      <c r="BG91" s="84">
        <f t="shared" si="169"/>
        <v>0.19813325430429751</v>
      </c>
      <c r="BH91" s="84">
        <f t="shared" si="169"/>
        <v>0.24961895680509361</v>
      </c>
      <c r="BI91" s="84">
        <f t="shared" si="169"/>
        <v>0.19651908698578122</v>
      </c>
      <c r="BJ91" s="84">
        <f t="shared" si="169"/>
        <v>0.21379247136592891</v>
      </c>
      <c r="BK91" s="84">
        <f t="shared" si="169"/>
        <v>0.25341693169000307</v>
      </c>
      <c r="BL91" s="84">
        <f t="shared" si="169"/>
        <v>0.24436308752893668</v>
      </c>
      <c r="BM91" s="84">
        <f t="shared" si="169"/>
        <v>0.26872261324670638</v>
      </c>
      <c r="BN91" s="84">
        <f t="shared" si="169"/>
        <v>0.24382335775890016</v>
      </c>
      <c r="BO91" s="84">
        <f t="shared" si="169"/>
        <v>0.23604885471069623</v>
      </c>
      <c r="BP91" s="84">
        <f>BP60/SUM(BP75:BP79)</f>
        <v>0.28063448453377499</v>
      </c>
      <c r="BQ91" s="84">
        <f>BQ60/SUM(BQ75:BQ79)</f>
        <v>0.22259006534435899</v>
      </c>
      <c r="CL91" s="84">
        <f t="shared" ref="CL91:CP91" si="170">CL60/SUM(CL75:CL79)</f>
        <v>0.27603616060841146</v>
      </c>
      <c r="CM91" s="84">
        <f t="shared" si="170"/>
        <v>0.54926940086492215</v>
      </c>
      <c r="CN91" s="84">
        <f t="shared" si="170"/>
        <v>0.29882888642849342</v>
      </c>
      <c r="CO91" s="84">
        <f t="shared" si="170"/>
        <v>0.21379247136592891</v>
      </c>
      <c r="CP91" s="84">
        <f t="shared" si="170"/>
        <v>0.24382335775890016</v>
      </c>
    </row>
    <row r="92" spans="2:156">
      <c r="B92" s="65" t="s">
        <v>1219</v>
      </c>
      <c r="AX92" s="84">
        <f t="shared" ref="AX92:BO92" si="171">AX38/SUM(AX66+AX71)</f>
        <v>1.8299003913198153</v>
      </c>
      <c r="AY92" s="84">
        <f t="shared" si="171"/>
        <v>1.8409074540871442</v>
      </c>
      <c r="AZ92" s="84">
        <f t="shared" si="171"/>
        <v>2.5394270133596488</v>
      </c>
      <c r="BA92" s="84">
        <f t="shared" si="171"/>
        <v>2.3865626000884594</v>
      </c>
      <c r="BB92" s="84">
        <f t="shared" si="171"/>
        <v>2.17944316889949</v>
      </c>
      <c r="BC92" s="84">
        <f t="shared" si="171"/>
        <v>1.9678793515653414</v>
      </c>
      <c r="BD92" s="84">
        <f t="shared" si="171"/>
        <v>2.5630028590559806</v>
      </c>
      <c r="BE92" s="84">
        <f t="shared" si="171"/>
        <v>2.3915272753756893</v>
      </c>
      <c r="BF92" s="84">
        <f t="shared" si="171"/>
        <v>2.2427521272607334</v>
      </c>
      <c r="BG92" s="84">
        <f t="shared" si="171"/>
        <v>2.0829406886673327</v>
      </c>
      <c r="BH92" s="84">
        <f t="shared" si="171"/>
        <v>2.4266218014283258</v>
      </c>
      <c r="BI92" s="84">
        <f t="shared" si="171"/>
        <v>1.9485305626569871</v>
      </c>
      <c r="BJ92" s="84">
        <f t="shared" si="171"/>
        <v>1.8261642780382503</v>
      </c>
      <c r="BK92" s="84">
        <f t="shared" si="171"/>
        <v>1.7945438311719346</v>
      </c>
      <c r="BL92" s="84">
        <f t="shared" si="171"/>
        <v>2.0730925327703131</v>
      </c>
      <c r="BM92" s="84">
        <f t="shared" si="171"/>
        <v>1.9414310676346513</v>
      </c>
      <c r="BN92" s="84">
        <f t="shared" si="171"/>
        <v>1.79451848655548</v>
      </c>
      <c r="BO92" s="84">
        <f t="shared" si="171"/>
        <v>1.6116314217576775</v>
      </c>
      <c r="BP92" s="84">
        <f>BP38/SUM(BP66+BP71)</f>
        <v>1.920685212386763</v>
      </c>
      <c r="BQ92" s="84">
        <f>BQ38/SUM(BQ66+BQ71)</f>
        <v>1.7024007655109956</v>
      </c>
      <c r="CL92" s="84">
        <f t="shared" ref="CL92:CP92" si="172">CL38/SUM(CL66+CL71)</f>
        <v>6.1630691924581997</v>
      </c>
      <c r="CM92" s="84">
        <f t="shared" si="172"/>
        <v>8.5947519374660981</v>
      </c>
      <c r="CN92" s="84">
        <f t="shared" si="172"/>
        <v>8.435437102844098</v>
      </c>
      <c r="CO92" s="84">
        <f t="shared" si="172"/>
        <v>7.5364799193540719</v>
      </c>
      <c r="CP92" s="84">
        <f t="shared" si="172"/>
        <v>7.4372265724858275</v>
      </c>
    </row>
    <row r="93" spans="2:156">
      <c r="B93" s="65" t="s">
        <v>132</v>
      </c>
      <c r="AX93" s="84">
        <f t="shared" ref="AX93:BO93" si="173">AX38/AX73</f>
        <v>0.36784843687566438</v>
      </c>
      <c r="AY93" s="84">
        <f t="shared" si="173"/>
        <v>0.33773023157486765</v>
      </c>
      <c r="AZ93" s="84">
        <f t="shared" si="173"/>
        <v>0.42895291242215283</v>
      </c>
      <c r="BA93" s="84">
        <f t="shared" si="173"/>
        <v>0.3586780373531866</v>
      </c>
      <c r="BB93" s="84">
        <f t="shared" si="173"/>
        <v>0.37968357113500817</v>
      </c>
      <c r="BC93" s="84">
        <f t="shared" si="173"/>
        <v>0.14765998252147519</v>
      </c>
      <c r="BD93" s="84">
        <f t="shared" si="173"/>
        <v>0.21030433027020476</v>
      </c>
      <c r="BE93" s="84">
        <f t="shared" si="173"/>
        <v>0.21683085175577715</v>
      </c>
      <c r="BF93" s="84">
        <f t="shared" si="173"/>
        <v>0.20995591950177747</v>
      </c>
      <c r="BG93" s="84">
        <f t="shared" si="173"/>
        <v>0.19238975206604378</v>
      </c>
      <c r="BH93" s="84">
        <f t="shared" si="173"/>
        <v>0.23296574716174545</v>
      </c>
      <c r="BI93" s="84">
        <f t="shared" si="173"/>
        <v>0.22825500219258943</v>
      </c>
      <c r="BJ93" s="84">
        <f t="shared" si="173"/>
        <v>0.20675058873792174</v>
      </c>
      <c r="BK93" s="84">
        <f t="shared" si="173"/>
        <v>0.19572528895764635</v>
      </c>
      <c r="BL93" s="84">
        <f t="shared" si="173"/>
        <v>0.23549777808099251</v>
      </c>
      <c r="BM93" s="84">
        <f t="shared" si="173"/>
        <v>0.22536689899536402</v>
      </c>
      <c r="BN93" s="84">
        <f t="shared" si="173"/>
        <v>0.20568620670737486</v>
      </c>
      <c r="BO93" s="84">
        <f t="shared" si="173"/>
        <v>0.18501791514741897</v>
      </c>
      <c r="BP93" s="84">
        <f>BP38/BP73</f>
        <v>0.25825155328907218</v>
      </c>
      <c r="BQ93" s="84">
        <f>BQ38/BQ73</f>
        <v>0.23171614367714505</v>
      </c>
      <c r="CL93" s="84">
        <f t="shared" ref="CL93:CP93" si="174">CL38/CL73</f>
        <v>1.2389064342279223</v>
      </c>
      <c r="CM93" s="84">
        <f t="shared" si="174"/>
        <v>1.4973026850176854</v>
      </c>
      <c r="CN93" s="84">
        <f t="shared" si="174"/>
        <v>0.78968599864408695</v>
      </c>
      <c r="CO93" s="84">
        <f t="shared" si="174"/>
        <v>0.85324835179222702</v>
      </c>
      <c r="CP93" s="84">
        <f t="shared" si="174"/>
        <v>0.85244868391084538</v>
      </c>
    </row>
    <row r="94" spans="2:156">
      <c r="B94" s="65" t="s">
        <v>133</v>
      </c>
      <c r="AX94" s="84">
        <f t="shared" ref="AX94:BO94" si="175">AX39/AVERAGE(AU62:AX62)</f>
        <v>1.0416740425191724</v>
      </c>
      <c r="AY94" s="84">
        <f t="shared" si="175"/>
        <v>1.1134769141340881</v>
      </c>
      <c r="AZ94" s="84">
        <f t="shared" si="175"/>
        <v>1.2688136859997141</v>
      </c>
      <c r="BA94" s="84">
        <f t="shared" si="175"/>
        <v>1.1403406805794922</v>
      </c>
      <c r="BB94" s="84">
        <f t="shared" si="175"/>
        <v>1.0322375826142169</v>
      </c>
      <c r="BC94" s="84">
        <f t="shared" si="175"/>
        <v>1.2860017301469475</v>
      </c>
      <c r="BD94" s="84">
        <f t="shared" si="175"/>
        <v>1.3986666397028589</v>
      </c>
      <c r="BE94" s="84">
        <f t="shared" si="175"/>
        <v>1.0848173554350315</v>
      </c>
      <c r="BF94" s="84">
        <f t="shared" si="175"/>
        <v>0.9477149817488868</v>
      </c>
      <c r="BG94" s="84">
        <f t="shared" si="175"/>
        <v>0.83099236602332727</v>
      </c>
      <c r="BH94" s="84">
        <f t="shared" si="175"/>
        <v>0.95076694131955652</v>
      </c>
      <c r="BI94" s="84">
        <f t="shared" si="175"/>
        <v>1.0463586760461761</v>
      </c>
      <c r="BJ94" s="84">
        <f t="shared" si="175"/>
        <v>1.0177697821264009</v>
      </c>
      <c r="BK94" s="84">
        <f t="shared" si="175"/>
        <v>1.0391661843654578</v>
      </c>
      <c r="BL94" s="84">
        <f t="shared" si="175"/>
        <v>1.1130879545629737</v>
      </c>
      <c r="BM94" s="84">
        <f t="shared" si="175"/>
        <v>1.127992351363827</v>
      </c>
      <c r="BN94" s="84">
        <f t="shared" si="175"/>
        <v>1.1175597691673529</v>
      </c>
      <c r="BO94" s="84">
        <f t="shared" si="175"/>
        <v>1.0615490870565201</v>
      </c>
      <c r="BP94" s="84">
        <f>BP39/AVERAGE(BM62:BP62)</f>
        <v>1.159413920088745</v>
      </c>
      <c r="BQ94" s="84">
        <f>BQ39/AVERAGE(BN62:BQ62)</f>
        <v>1.0667819600302</v>
      </c>
      <c r="CL94" s="84">
        <f t="shared" ref="CL94:CP94" si="176">CL39/AVERAGE(CI62:CL62)</f>
        <v>3.6317746015612062</v>
      </c>
      <c r="CM94" s="84">
        <f t="shared" si="176"/>
        <v>4.5964784981512503</v>
      </c>
      <c r="CN94" s="84">
        <f t="shared" si="176"/>
        <v>5.9104419832339552</v>
      </c>
      <c r="CO94" s="84">
        <f t="shared" si="176"/>
        <v>5.6288682146886764</v>
      </c>
      <c r="CP94" s="84">
        <f t="shared" si="176"/>
        <v>4.7444779559919068</v>
      </c>
    </row>
    <row r="95" spans="2:156">
      <c r="B95" s="65" t="s">
        <v>134</v>
      </c>
      <c r="AX95" s="85">
        <f t="shared" ref="AX95:BO95" si="177">AX50/AX73</f>
        <v>0.16389720467440017</v>
      </c>
      <c r="AY95" s="85">
        <f t="shared" si="177"/>
        <v>7.2221439246464125E-2</v>
      </c>
      <c r="AZ95" s="85">
        <f t="shared" si="177"/>
        <v>0.21351380480937432</v>
      </c>
      <c r="BA95" s="85">
        <f t="shared" si="177"/>
        <v>8.7957975372935898E-2</v>
      </c>
      <c r="BB95" s="85">
        <f t="shared" si="177"/>
        <v>0.10023720838416764</v>
      </c>
      <c r="BC95" s="85">
        <f t="shared" si="177"/>
        <v>1.6271759521982263E-2</v>
      </c>
      <c r="BD95" s="85">
        <f t="shared" si="177"/>
        <v>3.4954899014432494E-2</v>
      </c>
      <c r="BE95" s="85">
        <f t="shared" si="177"/>
        <v>3.7275719793226976E-2</v>
      </c>
      <c r="BF95" s="85">
        <f t="shared" si="177"/>
        <v>3.0596006365504694E-2</v>
      </c>
      <c r="BG95" s="85">
        <f t="shared" si="177"/>
        <v>3.2537510180891842E-2</v>
      </c>
      <c r="BH95" s="85">
        <f t="shared" si="177"/>
        <v>4.6144624929368182E-2</v>
      </c>
      <c r="BI95" s="85">
        <f t="shared" si="177"/>
        <v>3.8639778178485275E-2</v>
      </c>
      <c r="BJ95" s="85">
        <f t="shared" si="177"/>
        <v>5.461179474192869E-2</v>
      </c>
      <c r="BK95" s="85">
        <f t="shared" si="177"/>
        <v>3.1788312575759536E-2</v>
      </c>
      <c r="BL95" s="85">
        <f t="shared" si="177"/>
        <v>4.8499150598521883E-2</v>
      </c>
      <c r="BM95" s="85">
        <f t="shared" si="177"/>
        <v>4.2389696911831767E-2</v>
      </c>
      <c r="BN95" s="85">
        <f t="shared" si="177"/>
        <v>7.66678248495056E-2</v>
      </c>
      <c r="BO95" s="85">
        <f t="shared" si="177"/>
        <v>3.1599825033201044E-2</v>
      </c>
      <c r="BP95" s="85">
        <f>BP50/BP73</f>
        <v>-0.11061202240798677</v>
      </c>
      <c r="BQ95" s="85">
        <f>BQ50/BQ73</f>
        <v>3.3915862723390824E-2</v>
      </c>
      <c r="CL95" s="85">
        <f t="shared" ref="CL95:CP95" si="178">CL50/CL73</f>
        <v>0.27967022112490608</v>
      </c>
      <c r="CM95" s="85">
        <f t="shared" si="178"/>
        <v>0.46969137021012197</v>
      </c>
      <c r="CN95" s="85">
        <f t="shared" si="178"/>
        <v>0.11998718724482227</v>
      </c>
      <c r="CO95" s="85">
        <f t="shared" si="178"/>
        <v>0.17067111816275879</v>
      </c>
      <c r="CP95" s="85">
        <f t="shared" si="178"/>
        <v>0.19743311494105736</v>
      </c>
    </row>
    <row r="96" spans="2:156">
      <c r="B96" s="65" t="s">
        <v>135</v>
      </c>
      <c r="AX96" s="85">
        <f t="shared" ref="AX96:BN96" si="179">AX50/AX86</f>
        <v>0.63087086673777659</v>
      </c>
      <c r="AY96" s="85">
        <f t="shared" si="179"/>
        <v>0.30159304296648687</v>
      </c>
      <c r="AZ96" s="85">
        <f t="shared" si="179"/>
        <v>0.88901060307054236</v>
      </c>
      <c r="BA96" s="85">
        <f t="shared" si="179"/>
        <v>0.43503263602121123</v>
      </c>
      <c r="BB96" s="85">
        <f t="shared" si="179"/>
        <v>10.99786962079251</v>
      </c>
      <c r="BC96" s="85">
        <f t="shared" si="179"/>
        <v>0.20833691325142492</v>
      </c>
      <c r="BD96" s="85">
        <f t="shared" si="179"/>
        <v>0.32588497149187445</v>
      </c>
      <c r="BE96" s="85">
        <f t="shared" si="179"/>
        <v>0.26846617480604079</v>
      </c>
      <c r="BF96" s="85">
        <f t="shared" si="179"/>
        <v>0.16839582849388077</v>
      </c>
      <c r="BG96" s="85">
        <f t="shared" si="179"/>
        <v>0.15439339184305625</v>
      </c>
      <c r="BH96" s="85">
        <f t="shared" si="179"/>
        <v>0.17854062823088376</v>
      </c>
      <c r="BI96" s="85">
        <f t="shared" si="179"/>
        <v>0.14748662370923579</v>
      </c>
      <c r="BJ96" s="85">
        <f t="shared" si="179"/>
        <v>0.17443050511720046</v>
      </c>
      <c r="BK96" s="85">
        <f t="shared" si="179"/>
        <v>9.5453193534349057E-2</v>
      </c>
      <c r="BL96" s="85">
        <f t="shared" si="179"/>
        <v>0.13846145470844312</v>
      </c>
      <c r="BM96" s="85">
        <f t="shared" si="179"/>
        <v>0.11581178794725919</v>
      </c>
      <c r="BN96" s="85">
        <f t="shared" si="179"/>
        <v>0.2009783733725557</v>
      </c>
      <c r="BO96" s="85">
        <f>BO50/BO86</f>
        <v>8.1279860275488794E-2</v>
      </c>
      <c r="BP96" s="85">
        <f>BP50/BP86</f>
        <v>-0.34640391800890841</v>
      </c>
      <c r="BQ96" s="85">
        <f>BQ50/BQ86</f>
        <v>0.10697800666109139</v>
      </c>
      <c r="CL96" s="85">
        <f t="shared" ref="CL96:CP96" si="180">CL50/CL86</f>
        <v>1.07650276984482</v>
      </c>
      <c r="CM96" s="85">
        <f t="shared" si="180"/>
        <v>51.533802016758983</v>
      </c>
      <c r="CN96" s="85">
        <f t="shared" si="180"/>
        <v>0.66039147604318238</v>
      </c>
      <c r="CO96" s="85">
        <f t="shared" si="180"/>
        <v>0.54512490370859479</v>
      </c>
      <c r="CP96" s="85">
        <f t="shared" si="180"/>
        <v>0.51755461131993252</v>
      </c>
    </row>
    <row r="98" spans="2:156">
      <c r="B98" s="1" t="s">
        <v>136</v>
      </c>
      <c r="C98" s="74">
        <f>C50</f>
        <v>-22.421000000000017</v>
      </c>
      <c r="D98" s="74">
        <f t="shared" ref="D98:BO98" si="181">D50</f>
        <v>-30.25599999999999</v>
      </c>
      <c r="E98" s="74">
        <f t="shared" si="181"/>
        <v>22.069999999999975</v>
      </c>
      <c r="F98" s="74">
        <f t="shared" si="181"/>
        <v>-11.468000000000018</v>
      </c>
      <c r="G98" s="74">
        <f t="shared" si="181"/>
        <v>5.7309999999999963</v>
      </c>
      <c r="H98" s="74">
        <f t="shared" si="181"/>
        <v>32.300000000000004</v>
      </c>
      <c r="I98" s="74">
        <f t="shared" si="181"/>
        <v>24.899999999999991</v>
      </c>
      <c r="J98" s="74">
        <f t="shared" si="181"/>
        <v>4.7470000000000088</v>
      </c>
      <c r="K98" s="74">
        <f t="shared" si="181"/>
        <v>21.499999999999993</v>
      </c>
      <c r="L98" s="74">
        <f t="shared" si="181"/>
        <v>55.40000000000002</v>
      </c>
      <c r="M98" s="74">
        <f t="shared" si="181"/>
        <v>25.499999999999986</v>
      </c>
      <c r="N98" s="74">
        <f t="shared" si="181"/>
        <v>5.5799999999999805</v>
      </c>
      <c r="O98" s="74">
        <f t="shared" si="181"/>
        <v>28.400000000000009</v>
      </c>
      <c r="P98" s="74">
        <f t="shared" si="181"/>
        <v>61.599999999999966</v>
      </c>
      <c r="Q98" s="74">
        <f t="shared" si="181"/>
        <v>45.100000000000016</v>
      </c>
      <c r="R98" s="74">
        <f t="shared" si="181"/>
        <v>-3.5999999999999917</v>
      </c>
      <c r="S98" s="74">
        <f t="shared" si="181"/>
        <v>28.899999999999995</v>
      </c>
      <c r="T98" s="74">
        <f t="shared" si="181"/>
        <v>35.30000000000004</v>
      </c>
      <c r="U98" s="74">
        <f t="shared" si="181"/>
        <v>13.100000000000007</v>
      </c>
      <c r="V98" s="74">
        <f t="shared" si="181"/>
        <v>-67.000000000000028</v>
      </c>
      <c r="W98" s="74">
        <f t="shared" si="181"/>
        <v>9.1000000000000103</v>
      </c>
      <c r="X98" s="74">
        <f t="shared" si="181"/>
        <v>23.299999999999951</v>
      </c>
      <c r="Y98" s="74">
        <f t="shared" si="181"/>
        <v>15.799999999999994</v>
      </c>
      <c r="Z98" s="74">
        <f t="shared" si="181"/>
        <v>-53.199999999999989</v>
      </c>
      <c r="AA98" s="74">
        <f t="shared" si="181"/>
        <v>-2.5000000000000053</v>
      </c>
      <c r="AB98" s="74">
        <f t="shared" si="181"/>
        <v>13.299999999999983</v>
      </c>
      <c r="AC98" s="74">
        <f t="shared" si="181"/>
        <v>-23.999999999999986</v>
      </c>
      <c r="AD98" s="74">
        <f t="shared" si="181"/>
        <v>-70.200000000000031</v>
      </c>
      <c r="AE98" s="74">
        <f t="shared" si="181"/>
        <v>10.100000000000017</v>
      </c>
      <c r="AF98" s="74">
        <f t="shared" si="181"/>
        <v>15.500000000000023</v>
      </c>
      <c r="AG98" s="74">
        <f t="shared" si="181"/>
        <v>-1.4999999999999887</v>
      </c>
      <c r="AH98" s="74">
        <f t="shared" si="181"/>
        <v>-40.699999999999996</v>
      </c>
      <c r="AI98" s="74">
        <f t="shared" si="181"/>
        <v>11.099999999999966</v>
      </c>
      <c r="AJ98" s="74">
        <f t="shared" si="181"/>
        <v>21.899999999999977</v>
      </c>
      <c r="AK98" s="74">
        <f t="shared" si="181"/>
        <v>1.600000000000017</v>
      </c>
      <c r="AL98" s="74">
        <f t="shared" si="181"/>
        <v>-24.400000000000006</v>
      </c>
      <c r="AM98" s="74">
        <f t="shared" si="181"/>
        <v>16.300000000000011</v>
      </c>
      <c r="AN98" s="74">
        <f t="shared" si="181"/>
        <v>34.399999999999991</v>
      </c>
      <c r="AO98" s="74">
        <f t="shared" si="181"/>
        <v>10.50000000000002</v>
      </c>
      <c r="AP98" s="74">
        <f t="shared" si="181"/>
        <v>-10.899999999999991</v>
      </c>
      <c r="AQ98" s="74">
        <f t="shared" si="181"/>
        <v>24.799999999999969</v>
      </c>
      <c r="AR98" s="74">
        <f t="shared" si="181"/>
        <v>39.199999999999974</v>
      </c>
      <c r="AS98" s="74">
        <f t="shared" si="181"/>
        <v>35.800000000000004</v>
      </c>
      <c r="AT98" s="74">
        <f t="shared" si="181"/>
        <v>19.900000000000013</v>
      </c>
      <c r="AU98" s="74">
        <f t="shared" si="181"/>
        <v>11.070999999999984</v>
      </c>
      <c r="AV98" s="74">
        <f t="shared" si="181"/>
        <v>56.549000000000021</v>
      </c>
      <c r="AW98" s="74">
        <f t="shared" si="181"/>
        <v>61.89399999999997</v>
      </c>
      <c r="AX98" s="74">
        <f t="shared" si="181"/>
        <v>183.35000000000002</v>
      </c>
      <c r="AY98" s="74">
        <f t="shared" si="181"/>
        <v>98.388999999999982</v>
      </c>
      <c r="AZ98" s="74">
        <f t="shared" si="181"/>
        <v>318.94500000000005</v>
      </c>
      <c r="BA98" s="74">
        <f t="shared" si="181"/>
        <v>153.49299999999999</v>
      </c>
      <c r="BB98" s="74">
        <f t="shared" si="181"/>
        <v>154.87200000000013</v>
      </c>
      <c r="BC98" s="74">
        <f t="shared" si="181"/>
        <v>72.745000000000047</v>
      </c>
      <c r="BD98" s="74">
        <f t="shared" si="181"/>
        <v>160.32400000000001</v>
      </c>
      <c r="BE98" s="74">
        <f t="shared" si="181"/>
        <v>169.34900000000016</v>
      </c>
      <c r="BF98" s="74">
        <f t="shared" si="181"/>
        <v>137.73599999999988</v>
      </c>
      <c r="BG98" s="74">
        <f t="shared" si="181"/>
        <v>149.52999999999997</v>
      </c>
      <c r="BH98" s="74">
        <f t="shared" si="181"/>
        <v>212.40800000000013</v>
      </c>
      <c r="BI98" s="74">
        <f t="shared" si="181"/>
        <v>177.02199999999993</v>
      </c>
      <c r="BJ98" s="74">
        <f t="shared" si="181"/>
        <v>253.60800000000012</v>
      </c>
      <c r="BK98" s="74">
        <f t="shared" si="181"/>
        <v>152.44399999999985</v>
      </c>
      <c r="BL98" s="74">
        <f t="shared" si="181"/>
        <v>228.90599999999998</v>
      </c>
      <c r="BM98" s="74">
        <f t="shared" si="181"/>
        <v>199.78899999999987</v>
      </c>
      <c r="BN98" s="74">
        <f t="shared" si="181"/>
        <v>368.93600000000049</v>
      </c>
      <c r="BO98" s="74">
        <f t="shared" si="181"/>
        <v>160.08799999999997</v>
      </c>
      <c r="BP98" s="74">
        <f t="shared" ref="BP98:BQ98" si="182">BP50</f>
        <v>-492.28500000000003</v>
      </c>
      <c r="BQ98" s="74">
        <f t="shared" si="182"/>
        <v>145.82600000000014</v>
      </c>
      <c r="CA98" s="74">
        <f>SUM(C98:F98)</f>
        <v>-42.075000000000045</v>
      </c>
      <c r="CB98" s="74">
        <f>SUM(G98:J98)</f>
        <v>67.677999999999997</v>
      </c>
      <c r="CC98" s="74">
        <f>SUM(K98:N98)</f>
        <v>107.97999999999998</v>
      </c>
      <c r="CD98" s="74">
        <f>SUM(O98:R98)</f>
        <v>131.5</v>
      </c>
      <c r="CE98" s="74">
        <f>SUM(S98:V98)</f>
        <v>10.300000000000011</v>
      </c>
      <c r="CF98" s="74">
        <f>SUM(W98:Z98)</f>
        <v>-5.0000000000000284</v>
      </c>
      <c r="CG98" s="74">
        <f>SUM(AA98:AD98)</f>
        <v>-83.400000000000034</v>
      </c>
      <c r="CH98" s="74">
        <f>SUM(AE98:AH98)</f>
        <v>-16.599999999999945</v>
      </c>
      <c r="CI98" s="74">
        <f>SUM(AI98:AL98)</f>
        <v>10.199999999999953</v>
      </c>
      <c r="CJ98" s="74">
        <f>SUM(AM98:AP98)</f>
        <v>50.300000000000033</v>
      </c>
      <c r="CK98" s="74">
        <f>SUM(AQ98:AT98)</f>
        <v>119.69999999999996</v>
      </c>
      <c r="CL98" s="74">
        <f>SUM(AU98:AX98)</f>
        <v>312.86400000000003</v>
      </c>
      <c r="CM98" s="74">
        <f>SUM(AY98:BB98)</f>
        <v>725.69900000000007</v>
      </c>
      <c r="CN98" s="74">
        <f>SUM(BC98:BF98)</f>
        <v>540.15400000000011</v>
      </c>
      <c r="CO98" s="74">
        <f>SUM(BG98:BJ98)</f>
        <v>792.56800000000021</v>
      </c>
      <c r="CP98" s="74">
        <f>SUM(BK98:BN98)</f>
        <v>950.07500000000016</v>
      </c>
    </row>
    <row r="99" spans="2:156" s="2" customFormat="1" ht="15">
      <c r="B99" s="2" t="s">
        <v>137</v>
      </c>
      <c r="C99" s="74">
        <v>-5.28</v>
      </c>
      <c r="D99" s="74">
        <v>31.39</v>
      </c>
      <c r="E99" s="74">
        <v>21.856000000000002</v>
      </c>
      <c r="F99" s="74">
        <v>13.13</v>
      </c>
      <c r="G99" s="74">
        <v>-12.7</v>
      </c>
      <c r="H99" s="74">
        <v>52.54</v>
      </c>
      <c r="I99" s="74">
        <v>48.1</v>
      </c>
      <c r="J99" s="74">
        <v>16.399999999999999</v>
      </c>
      <c r="K99" s="74">
        <v>-28.7</v>
      </c>
      <c r="L99" s="74">
        <v>72.599999999999994</v>
      </c>
      <c r="M99" s="74">
        <v>49.5</v>
      </c>
      <c r="N99" s="74">
        <v>49</v>
      </c>
      <c r="O99" s="74">
        <v>-60.4</v>
      </c>
      <c r="P99" s="74">
        <v>110.1</v>
      </c>
      <c r="Q99" s="74">
        <v>57.5</v>
      </c>
      <c r="R99" s="74">
        <v>21.1</v>
      </c>
      <c r="S99" s="74">
        <v>-34.6</v>
      </c>
      <c r="T99" s="74">
        <v>72.3</v>
      </c>
      <c r="U99" s="74">
        <v>56.6</v>
      </c>
      <c r="V99" s="74">
        <v>-10.8</v>
      </c>
      <c r="W99" s="74">
        <v>-62.7</v>
      </c>
      <c r="X99" s="74">
        <v>45.8</v>
      </c>
      <c r="Y99" s="74">
        <v>11.7</v>
      </c>
      <c r="Z99" s="74">
        <v>-6.4</v>
      </c>
      <c r="AA99" s="74">
        <v>-46.7</v>
      </c>
      <c r="AB99" s="74">
        <v>43.7</v>
      </c>
      <c r="AC99" s="74">
        <v>10</v>
      </c>
      <c r="AD99" s="74">
        <v>2.8</v>
      </c>
      <c r="AE99" s="74">
        <v>-56.9</v>
      </c>
      <c r="AF99" s="74">
        <v>76.8</v>
      </c>
      <c r="AG99" s="74">
        <v>9.5</v>
      </c>
      <c r="AH99" s="74">
        <v>10.4</v>
      </c>
      <c r="AI99" s="74">
        <v>-49.9</v>
      </c>
      <c r="AJ99" s="74">
        <v>89.3</v>
      </c>
      <c r="AK99" s="74">
        <v>41</v>
      </c>
      <c r="AL99" s="74">
        <v>17.8</v>
      </c>
      <c r="AM99" s="74">
        <v>-46.6</v>
      </c>
      <c r="AN99" s="74">
        <v>87.5</v>
      </c>
      <c r="AO99" s="74">
        <v>45</v>
      </c>
      <c r="AP99" s="74">
        <v>28.3</v>
      </c>
      <c r="AQ99" s="74">
        <v>-63.7</v>
      </c>
      <c r="AR99" s="74">
        <v>83.9</v>
      </c>
      <c r="AS99" s="74">
        <v>53</v>
      </c>
      <c r="AT99" s="74">
        <v>16.8</v>
      </c>
      <c r="AU99" s="74">
        <v>-84.9</v>
      </c>
      <c r="AV99" s="74">
        <v>125.2</v>
      </c>
      <c r="AW99" s="74">
        <v>118.4</v>
      </c>
      <c r="AX99" s="74">
        <v>108.3</v>
      </c>
      <c r="AY99" s="74">
        <v>30.2</v>
      </c>
      <c r="AZ99" s="74">
        <v>212.2</v>
      </c>
      <c r="BA99" s="74">
        <v>112.8</v>
      </c>
      <c r="BB99" s="74">
        <v>212</v>
      </c>
      <c r="BC99" s="74">
        <v>-68.8</v>
      </c>
      <c r="BD99" s="74">
        <v>153.5</v>
      </c>
      <c r="BE99" s="74">
        <v>161.9</v>
      </c>
      <c r="BF99" s="74">
        <v>356.5</v>
      </c>
      <c r="BG99" s="74">
        <v>9.9</v>
      </c>
      <c r="BH99" s="74">
        <v>320.7</v>
      </c>
      <c r="BI99" s="74">
        <v>250.1</v>
      </c>
      <c r="BJ99" s="74">
        <v>349.7</v>
      </c>
      <c r="BK99" s="74">
        <v>-27.6</v>
      </c>
      <c r="BL99" s="74">
        <v>401.2</v>
      </c>
      <c r="BM99" s="74">
        <v>296.89999999999998</v>
      </c>
      <c r="BN99" s="74">
        <v>321.89999999999998</v>
      </c>
      <c r="BO99" s="74">
        <v>-67.2</v>
      </c>
      <c r="BP99" s="74">
        <v>285.8</v>
      </c>
      <c r="BQ99" s="74">
        <v>239.3</v>
      </c>
      <c r="BR99" s="34"/>
      <c r="BS99" s="34"/>
      <c r="BT99" s="34"/>
      <c r="BU99" s="34"/>
      <c r="BV99" s="34"/>
      <c r="CA99" s="75">
        <f>SUM(C99:F99)</f>
        <v>61.096000000000004</v>
      </c>
      <c r="CB99" s="75">
        <f>SUM(G99:J99)</f>
        <v>104.34</v>
      </c>
      <c r="CC99" s="75">
        <f>SUM(K99:N99)</f>
        <v>142.39999999999998</v>
      </c>
      <c r="CD99" s="75">
        <f>SUM(O99:R99)</f>
        <v>128.29999999999998</v>
      </c>
      <c r="CE99" s="75">
        <f>SUM(S99:V99)</f>
        <v>83.5</v>
      </c>
      <c r="CF99" s="75">
        <f>SUM(W99:Z99)</f>
        <v>-11.600000000000007</v>
      </c>
      <c r="CG99" s="75">
        <f>SUM(AA99:AD99)</f>
        <v>9.8000000000000007</v>
      </c>
      <c r="CH99" s="75">
        <f>SUM(AE99:AH99)</f>
        <v>39.799999999999997</v>
      </c>
      <c r="CI99" s="75">
        <f>SUM(AI99:AL99)</f>
        <v>98.2</v>
      </c>
      <c r="CJ99" s="75">
        <f>SUM(AM99:AP99)</f>
        <v>114.2</v>
      </c>
      <c r="CK99" s="75">
        <f>SUM(AQ99:AT99)</f>
        <v>90</v>
      </c>
      <c r="CL99" s="75">
        <f>SUM(AU99:AX99)</f>
        <v>267</v>
      </c>
      <c r="CM99" s="75">
        <f>SUM(AY99:BB99)</f>
        <v>567.20000000000005</v>
      </c>
      <c r="CN99" s="75">
        <f>SUM(BC99:BF99)</f>
        <v>603.1</v>
      </c>
      <c r="CO99" s="75">
        <f>SUM(BG99:BJ99)</f>
        <v>930.39999999999986</v>
      </c>
      <c r="CP99" s="75">
        <f>SUM(BK99:BN99)</f>
        <v>992.4</v>
      </c>
      <c r="CQ99" s="34"/>
      <c r="CR99" s="34"/>
      <c r="CS99" s="34"/>
      <c r="CT99" s="34"/>
      <c r="CU99" s="34"/>
      <c r="CV99" s="34"/>
      <c r="CW99" s="34"/>
      <c r="CX99" s="34"/>
      <c r="CY99" s="34"/>
      <c r="CZ99" s="34"/>
      <c r="DA99" s="34"/>
      <c r="DB99" s="34"/>
      <c r="DC99" s="34"/>
      <c r="DD99" s="34"/>
      <c r="DE99" s="34"/>
      <c r="DF99" s="34"/>
      <c r="DG99" s="34"/>
      <c r="DH99" s="34"/>
      <c r="DI99" s="34"/>
      <c r="DJ99" s="34"/>
      <c r="DK99" s="34"/>
      <c r="DL99" s="34"/>
      <c r="DM99" s="34"/>
      <c r="DN99" s="34"/>
      <c r="DO99" s="34"/>
      <c r="DP99" s="34"/>
      <c r="DQ99" s="34"/>
      <c r="DR99" s="34"/>
      <c r="DS99" s="34"/>
      <c r="DT99" s="34"/>
      <c r="DU99" s="34"/>
      <c r="DV99" s="34"/>
      <c r="DW99" s="34"/>
      <c r="DX99" s="34"/>
      <c r="DY99" s="34"/>
      <c r="DZ99" s="34"/>
      <c r="EA99" s="34"/>
      <c r="EB99" s="34"/>
      <c r="EC99" s="34"/>
      <c r="ED99" s="34"/>
      <c r="EE99" s="34"/>
      <c r="EF99" s="34"/>
      <c r="EG99" s="34"/>
      <c r="EH99" s="34"/>
      <c r="EI99" s="34"/>
      <c r="EJ99" s="34"/>
      <c r="EK99" s="34"/>
      <c r="EL99" s="34"/>
      <c r="EM99" s="34"/>
      <c r="EN99" s="34"/>
      <c r="EO99" s="34"/>
      <c r="EP99" s="34"/>
      <c r="EQ99" s="34"/>
      <c r="ER99" s="34"/>
      <c r="ES99" s="34"/>
      <c r="ET99" s="34"/>
      <c r="EU99" s="34"/>
      <c r="EV99" s="34"/>
      <c r="EW99" s="34"/>
      <c r="EX99" s="34"/>
      <c r="EY99" s="34"/>
      <c r="EZ99" s="34"/>
    </row>
    <row r="100" spans="2:156">
      <c r="B100" s="1" t="s">
        <v>138</v>
      </c>
      <c r="C100" s="74">
        <v>-1.3129999999999999</v>
      </c>
      <c r="D100" s="74">
        <v>-3.6</v>
      </c>
      <c r="E100" s="74">
        <v>-6.8</v>
      </c>
      <c r="F100" s="74">
        <v>-5.85</v>
      </c>
      <c r="G100" s="74">
        <v>-6.98</v>
      </c>
      <c r="H100" s="74">
        <v>-5.36</v>
      </c>
      <c r="I100" s="74">
        <v>-6.29</v>
      </c>
      <c r="J100" s="74">
        <v>-11.343</v>
      </c>
      <c r="K100" s="74">
        <v>-5.78</v>
      </c>
      <c r="L100" s="74">
        <v>-7.7</v>
      </c>
      <c r="M100" s="74">
        <v>-7.38</v>
      </c>
      <c r="N100" s="74">
        <v>-6.45</v>
      </c>
      <c r="O100" s="74">
        <v>-7.51</v>
      </c>
      <c r="P100" s="74">
        <v>-8.4700000000000006</v>
      </c>
      <c r="Q100" s="74">
        <v>-9.01</v>
      </c>
      <c r="R100" s="74">
        <v>-12.53</v>
      </c>
      <c r="S100" s="74">
        <v>-9.3699999999999992</v>
      </c>
      <c r="T100" s="74">
        <v>-9.75</v>
      </c>
      <c r="U100" s="74">
        <v>-11.07</v>
      </c>
      <c r="V100" s="74">
        <v>-9.9700000000000006</v>
      </c>
      <c r="W100" s="74">
        <v>-5.0999999999999996</v>
      </c>
      <c r="X100" s="74">
        <v>-6.3</v>
      </c>
      <c r="Y100" s="74">
        <v>-2.5</v>
      </c>
      <c r="Z100" s="74">
        <v>-2.1</v>
      </c>
      <c r="AA100" s="74">
        <v>-1.3</v>
      </c>
      <c r="AB100" s="74">
        <v>-2.8</v>
      </c>
      <c r="AC100" s="74">
        <v>-0.1</v>
      </c>
      <c r="AD100" s="74">
        <v>-14.3</v>
      </c>
      <c r="AE100" s="74">
        <v>-3.2</v>
      </c>
      <c r="AF100" s="74">
        <v>-7.1</v>
      </c>
      <c r="AG100" s="74">
        <v>-2.4</v>
      </c>
      <c r="AH100" s="74">
        <v>-9.5</v>
      </c>
      <c r="AI100" s="74">
        <v>-5.4</v>
      </c>
      <c r="AJ100" s="74">
        <v>-6.8</v>
      </c>
      <c r="AK100" s="74">
        <v>-2</v>
      </c>
      <c r="AL100" s="74">
        <v>1.1000000000000001</v>
      </c>
      <c r="AM100" s="74">
        <v>-1.7</v>
      </c>
      <c r="AN100" s="74">
        <v>-1.6</v>
      </c>
      <c r="AO100" s="74">
        <v>-2</v>
      </c>
      <c r="AP100" s="74">
        <v>-6.8</v>
      </c>
      <c r="AQ100" s="74">
        <v>-10.6</v>
      </c>
      <c r="AR100" s="74">
        <v>-8.1999999999999993</v>
      </c>
      <c r="AS100" s="74">
        <v>-14.1</v>
      </c>
      <c r="AT100" s="74">
        <v>-3.7</v>
      </c>
      <c r="AU100" s="74">
        <v>-16.100000000000001</v>
      </c>
      <c r="AV100" s="74">
        <v>-8.3000000000000007</v>
      </c>
      <c r="AW100" s="74">
        <v>-8.9</v>
      </c>
      <c r="AX100" s="74">
        <v>-8.8000000000000007</v>
      </c>
      <c r="AY100" s="74">
        <v>-8</v>
      </c>
      <c r="AZ100" s="74">
        <v>-13.3</v>
      </c>
      <c r="BA100" s="74">
        <v>-14.4</v>
      </c>
      <c r="BB100" s="74">
        <v>-20.2</v>
      </c>
      <c r="BC100" s="74">
        <v>-39.799999999999997</v>
      </c>
      <c r="BD100" s="74">
        <v>-17</v>
      </c>
      <c r="BE100" s="74">
        <v>-32.799999999999997</v>
      </c>
      <c r="BF100" s="74">
        <v>-14.6</v>
      </c>
      <c r="BG100" s="74">
        <v>-27.6</v>
      </c>
      <c r="BH100" s="74">
        <v>-24.1</v>
      </c>
      <c r="BI100" s="74">
        <v>-34.700000000000003</v>
      </c>
      <c r="BJ100" s="74">
        <v>-29.2</v>
      </c>
      <c r="BK100" s="74">
        <v>-15.8</v>
      </c>
      <c r="BL100" s="74">
        <v>-17.100000000000001</v>
      </c>
      <c r="BM100" s="74">
        <v>-18.100000000000001</v>
      </c>
      <c r="BN100" s="74">
        <v>-18.5</v>
      </c>
      <c r="BO100" s="74">
        <v>-15.4</v>
      </c>
      <c r="BP100" s="74">
        <v>-16.600000000000001</v>
      </c>
      <c r="BQ100" s="74">
        <v>-13.2</v>
      </c>
      <c r="CA100" s="74">
        <f>SUM(C100:F100)</f>
        <v>-17.563000000000002</v>
      </c>
      <c r="CB100" s="74">
        <f>SUM(G100:J100)</f>
        <v>-29.972999999999999</v>
      </c>
      <c r="CC100" s="74">
        <f>SUM(K100:N100)</f>
        <v>-27.31</v>
      </c>
      <c r="CD100" s="74">
        <f>SUM(O100:R100)</f>
        <v>-37.520000000000003</v>
      </c>
      <c r="CE100" s="74">
        <f>SUM(S100:V100)</f>
        <v>-40.159999999999997</v>
      </c>
      <c r="CF100" s="74">
        <f>SUM(W100:Z100)</f>
        <v>-15.999999999999998</v>
      </c>
      <c r="CG100" s="74">
        <f>SUM(AA100:AD100)</f>
        <v>-18.5</v>
      </c>
      <c r="CH100" s="74">
        <f>SUM(AE100:AH100)</f>
        <v>-22.200000000000003</v>
      </c>
      <c r="CI100" s="74">
        <f>SUM(AI100:AL100)</f>
        <v>-13.1</v>
      </c>
      <c r="CJ100" s="74">
        <f>SUM(AM100:AP100)</f>
        <v>-12.1</v>
      </c>
      <c r="CK100" s="74">
        <f>SUM(AQ100:AT100)</f>
        <v>-36.6</v>
      </c>
      <c r="CL100" s="74">
        <f>SUM(AU100:AX100)</f>
        <v>-42.100000000000009</v>
      </c>
      <c r="CM100" s="74">
        <f>SUM(AY100:BB100)</f>
        <v>-55.900000000000006</v>
      </c>
      <c r="CN100" s="74">
        <f>SUM(BC100:BF100)</f>
        <v>-104.19999999999999</v>
      </c>
      <c r="CO100" s="74">
        <f>SUM(BG100:BJ100)</f>
        <v>-115.60000000000001</v>
      </c>
      <c r="CP100" s="74">
        <f>SUM(BK100:BN100)</f>
        <v>-69.5</v>
      </c>
    </row>
    <row r="101" spans="2:156" s="2" customFormat="1" ht="15">
      <c r="B101" s="2" t="s">
        <v>139</v>
      </c>
      <c r="C101" s="75">
        <f t="shared" ref="C101" si="183">C99+C100</f>
        <v>-6.593</v>
      </c>
      <c r="D101" s="75">
        <f t="shared" ref="D101" si="184">D99+D100</f>
        <v>27.79</v>
      </c>
      <c r="E101" s="75">
        <f t="shared" ref="E101" si="185">E99+E100</f>
        <v>15.056000000000001</v>
      </c>
      <c r="F101" s="75">
        <f t="shared" ref="F101" si="186">F99+F100</f>
        <v>7.2800000000000011</v>
      </c>
      <c r="G101" s="75">
        <f t="shared" ref="G101" si="187">G99+G100</f>
        <v>-19.68</v>
      </c>
      <c r="H101" s="75">
        <f t="shared" ref="H101" si="188">H99+H100</f>
        <v>47.18</v>
      </c>
      <c r="I101" s="75">
        <f t="shared" ref="I101" si="189">I99+I100</f>
        <v>41.81</v>
      </c>
      <c r="J101" s="75">
        <f t="shared" ref="J101" si="190">J99+J100</f>
        <v>5.0569999999999986</v>
      </c>
      <c r="K101" s="75">
        <f t="shared" ref="K101" si="191">K99+K100</f>
        <v>-34.479999999999997</v>
      </c>
      <c r="L101" s="75">
        <f t="shared" ref="L101" si="192">L99+L100</f>
        <v>64.899999999999991</v>
      </c>
      <c r="M101" s="75">
        <f t="shared" ref="M101" si="193">M99+M100</f>
        <v>42.12</v>
      </c>
      <c r="N101" s="75">
        <f t="shared" ref="N101" si="194">N99+N100</f>
        <v>42.55</v>
      </c>
      <c r="O101" s="75">
        <f t="shared" ref="O101" si="195">O99+O100</f>
        <v>-67.91</v>
      </c>
      <c r="P101" s="75">
        <f t="shared" ref="P101" si="196">P99+P100</f>
        <v>101.63</v>
      </c>
      <c r="Q101" s="75">
        <f t="shared" ref="Q101" si="197">Q99+Q100</f>
        <v>48.49</v>
      </c>
      <c r="R101" s="75">
        <f t="shared" ref="R101" si="198">R99+R100</f>
        <v>8.5700000000000021</v>
      </c>
      <c r="S101" s="75">
        <f t="shared" ref="S101" si="199">S99+S100</f>
        <v>-43.97</v>
      </c>
      <c r="T101" s="75">
        <f t="shared" ref="T101" si="200">T99+T100</f>
        <v>62.55</v>
      </c>
      <c r="U101" s="75">
        <f t="shared" ref="U101" si="201">U99+U100</f>
        <v>45.53</v>
      </c>
      <c r="V101" s="75">
        <f t="shared" ref="V101" si="202">V99+V100</f>
        <v>-20.770000000000003</v>
      </c>
      <c r="W101" s="75">
        <f t="shared" ref="W101" si="203">W99+W100</f>
        <v>-67.8</v>
      </c>
      <c r="X101" s="75">
        <f t="shared" ref="X101" si="204">X99+X100</f>
        <v>39.5</v>
      </c>
      <c r="Y101" s="75">
        <f t="shared" ref="Y101" si="205">Y99+Y100</f>
        <v>9.1999999999999993</v>
      </c>
      <c r="Z101" s="75">
        <f t="shared" ref="Z101" si="206">Z99+Z100</f>
        <v>-8.5</v>
      </c>
      <c r="AA101" s="75">
        <f t="shared" ref="AA101" si="207">AA99+AA100</f>
        <v>-48</v>
      </c>
      <c r="AB101" s="75">
        <f t="shared" ref="AB101" si="208">AB99+AB100</f>
        <v>40.900000000000006</v>
      </c>
      <c r="AC101" s="75">
        <f t="shared" ref="AC101" si="209">AC99+AC100</f>
        <v>9.9</v>
      </c>
      <c r="AD101" s="75">
        <f t="shared" ref="AD101" si="210">AD99+AD100</f>
        <v>-11.5</v>
      </c>
      <c r="AE101" s="75">
        <f t="shared" ref="AE101" si="211">AE99+AE100</f>
        <v>-60.1</v>
      </c>
      <c r="AF101" s="75">
        <f t="shared" ref="AF101" si="212">AF99+AF100</f>
        <v>69.7</v>
      </c>
      <c r="AG101" s="75">
        <f t="shared" ref="AG101" si="213">AG99+AG100</f>
        <v>7.1</v>
      </c>
      <c r="AH101" s="75">
        <f t="shared" ref="AH101" si="214">AH99+AH100</f>
        <v>0.90000000000000036</v>
      </c>
      <c r="AI101" s="75">
        <f t="shared" ref="AI101" si="215">AI99+AI100</f>
        <v>-55.3</v>
      </c>
      <c r="AJ101" s="75">
        <f t="shared" ref="AJ101" si="216">AJ99+AJ100</f>
        <v>82.5</v>
      </c>
      <c r="AK101" s="75">
        <f t="shared" ref="AK101" si="217">AK99+AK100</f>
        <v>39</v>
      </c>
      <c r="AL101" s="75">
        <f t="shared" ref="AL101" si="218">AL99+AL100</f>
        <v>18.900000000000002</v>
      </c>
      <c r="AM101" s="75">
        <f t="shared" ref="AM101" si="219">AM99+AM100</f>
        <v>-48.300000000000004</v>
      </c>
      <c r="AN101" s="75">
        <f t="shared" ref="AN101" si="220">AN99+AN100</f>
        <v>85.9</v>
      </c>
      <c r="AO101" s="75">
        <f t="shared" ref="AO101" si="221">AO99+AO100</f>
        <v>43</v>
      </c>
      <c r="AP101" s="75">
        <f t="shared" ref="AP101" si="222">AP99+AP100</f>
        <v>21.5</v>
      </c>
      <c r="AQ101" s="75">
        <f t="shared" ref="AQ101" si="223">AQ99+AQ100</f>
        <v>-74.3</v>
      </c>
      <c r="AR101" s="75">
        <f t="shared" ref="AR101" si="224">AR99+AR100</f>
        <v>75.7</v>
      </c>
      <c r="AS101" s="75">
        <f t="shared" ref="AS101" si="225">AS99+AS100</f>
        <v>38.9</v>
      </c>
      <c r="AT101" s="75">
        <f t="shared" ref="AT101" si="226">AT99+AT100</f>
        <v>13.100000000000001</v>
      </c>
      <c r="AU101" s="75">
        <f t="shared" ref="AU101" si="227">AU99+AU100</f>
        <v>-101</v>
      </c>
      <c r="AV101" s="75">
        <f t="shared" ref="AV101" si="228">AV99+AV100</f>
        <v>116.9</v>
      </c>
      <c r="AW101" s="75">
        <f t="shared" ref="AW101" si="229">AW99+AW100</f>
        <v>109.5</v>
      </c>
      <c r="AX101" s="75">
        <f t="shared" ref="AX101" si="230">AX99+AX100</f>
        <v>99.5</v>
      </c>
      <c r="AY101" s="75">
        <f t="shared" ref="AY101" si="231">AY99+AY100</f>
        <v>22.2</v>
      </c>
      <c r="AZ101" s="75">
        <f t="shared" ref="AZ101" si="232">AZ99+AZ100</f>
        <v>198.89999999999998</v>
      </c>
      <c r="BA101" s="75">
        <f t="shared" ref="BA101" si="233">BA99+BA100</f>
        <v>98.399999999999991</v>
      </c>
      <c r="BB101" s="75">
        <f t="shared" ref="BB101" si="234">BB99+BB100</f>
        <v>191.8</v>
      </c>
      <c r="BC101" s="75">
        <f t="shared" ref="BC101" si="235">BC99+BC100</f>
        <v>-108.6</v>
      </c>
      <c r="BD101" s="75">
        <f t="shared" ref="BD101" si="236">BD99+BD100</f>
        <v>136.5</v>
      </c>
      <c r="BE101" s="75">
        <f t="shared" ref="BE101" si="237">BE99+BE100</f>
        <v>129.10000000000002</v>
      </c>
      <c r="BF101" s="75">
        <f t="shared" ref="BF101" si="238">BF99+BF100</f>
        <v>341.9</v>
      </c>
      <c r="BG101" s="75">
        <f t="shared" ref="BG101" si="239">BG99+BG100</f>
        <v>-17.700000000000003</v>
      </c>
      <c r="BH101" s="75">
        <f t="shared" ref="BH101" si="240">BH99+BH100</f>
        <v>296.59999999999997</v>
      </c>
      <c r="BI101" s="75">
        <f t="shared" ref="BI101" si="241">BI99+BI100</f>
        <v>215.39999999999998</v>
      </c>
      <c r="BJ101" s="75">
        <f t="shared" ref="BJ101" si="242">BJ99+BJ100</f>
        <v>320.5</v>
      </c>
      <c r="BK101" s="75">
        <f t="shared" ref="BK101" si="243">BK99+BK100</f>
        <v>-43.400000000000006</v>
      </c>
      <c r="BL101" s="75">
        <f t="shared" ref="BL101" si="244">BL99+BL100</f>
        <v>384.09999999999997</v>
      </c>
      <c r="BM101" s="75">
        <f t="shared" ref="BM101" si="245">BM99+BM100</f>
        <v>278.79999999999995</v>
      </c>
      <c r="BN101" s="75">
        <f t="shared" ref="BN101" si="246">BN99+BN100</f>
        <v>303.39999999999998</v>
      </c>
      <c r="BO101" s="75">
        <f t="shared" ref="BO101" si="247">BO99+BO100</f>
        <v>-82.600000000000009</v>
      </c>
      <c r="BP101" s="75">
        <f t="shared" ref="BP101:BQ101" si="248">BP99+BP100</f>
        <v>269.2</v>
      </c>
      <c r="BQ101" s="75">
        <f t="shared" si="248"/>
        <v>226.10000000000002</v>
      </c>
      <c r="BR101" s="34"/>
      <c r="BS101" s="34"/>
      <c r="BT101" s="34"/>
      <c r="BU101" s="34"/>
      <c r="BV101" s="34"/>
      <c r="CA101" s="75">
        <f>SUM(C101:F101)</f>
        <v>43.533000000000001</v>
      </c>
      <c r="CB101" s="75">
        <f>SUM(C101:D101)</f>
        <v>21.196999999999999</v>
      </c>
      <c r="CC101" s="75">
        <f>SUM(C101:E101)</f>
        <v>36.253</v>
      </c>
      <c r="CD101" s="75">
        <f>SUM(C101:F101)</f>
        <v>43.533000000000001</v>
      </c>
      <c r="CE101" s="75">
        <f>SUM(D101:G101)</f>
        <v>30.446000000000005</v>
      </c>
      <c r="CF101" s="75">
        <f>SUM(W101:Z101)</f>
        <v>-27.599999999999998</v>
      </c>
      <c r="CG101" s="75">
        <f>SUM(AA101:AD101)</f>
        <v>-8.699999999999994</v>
      </c>
      <c r="CH101" s="75">
        <f>SUM(AE101:AH101)</f>
        <v>17.600000000000001</v>
      </c>
      <c r="CI101" s="75">
        <f>SUM(AI101:AL101)</f>
        <v>85.100000000000009</v>
      </c>
      <c r="CJ101" s="75">
        <f>SUM(AM101:AP101)</f>
        <v>102.1</v>
      </c>
      <c r="CK101" s="75">
        <f>SUM(AQ101:AT101)</f>
        <v>53.400000000000006</v>
      </c>
      <c r="CL101" s="75">
        <f>SUM(AU101:AX101)</f>
        <v>224.9</v>
      </c>
      <c r="CM101" s="75">
        <f>SUM(AY101:BB101)</f>
        <v>511.29999999999995</v>
      </c>
      <c r="CN101" s="75">
        <f>SUM(BC101:BF101)</f>
        <v>498.9</v>
      </c>
      <c r="CO101" s="75">
        <f>SUM(BG101:BJ101)</f>
        <v>814.8</v>
      </c>
      <c r="CP101" s="75">
        <f>SUM(BK101:BN101)</f>
        <v>922.89999999999986</v>
      </c>
      <c r="CQ101" s="34"/>
      <c r="CR101" s="34"/>
      <c r="CS101" s="34"/>
      <c r="CT101" s="34"/>
      <c r="CU101" s="34"/>
      <c r="CV101" s="34"/>
      <c r="CW101" s="34"/>
      <c r="CX101" s="34"/>
      <c r="CY101" s="34"/>
      <c r="CZ101" s="34"/>
      <c r="DA101" s="34"/>
      <c r="DB101" s="34"/>
      <c r="DC101" s="34"/>
      <c r="DD101" s="34"/>
      <c r="DE101" s="34"/>
      <c r="DF101" s="34"/>
      <c r="DG101" s="34"/>
      <c r="DH101" s="34"/>
      <c r="DI101" s="34"/>
      <c r="DJ101" s="34"/>
      <c r="DK101" s="34"/>
      <c r="DL101" s="34"/>
      <c r="DM101" s="34"/>
      <c r="DN101" s="34"/>
      <c r="DO101" s="34"/>
      <c r="DP101" s="34"/>
      <c r="DQ101" s="34"/>
      <c r="DR101" s="34"/>
      <c r="DS101" s="34"/>
      <c r="DT101" s="34"/>
      <c r="DU101" s="34"/>
      <c r="DV101" s="34"/>
      <c r="DW101" s="34"/>
      <c r="DX101" s="34"/>
      <c r="DY101" s="34"/>
      <c r="DZ101" s="34"/>
      <c r="EA101" s="34"/>
      <c r="EB101" s="34"/>
      <c r="EC101" s="34"/>
      <c r="ED101" s="34"/>
      <c r="EE101" s="34"/>
      <c r="EF101" s="34"/>
      <c r="EG101" s="34"/>
      <c r="EH101" s="34"/>
      <c r="EI101" s="34"/>
      <c r="EJ101" s="34"/>
      <c r="EK101" s="34"/>
      <c r="EL101" s="34"/>
      <c r="EM101" s="34"/>
      <c r="EN101" s="34"/>
      <c r="EO101" s="34"/>
      <c r="EP101" s="34"/>
      <c r="EQ101" s="34"/>
      <c r="ER101" s="34"/>
      <c r="ES101" s="34"/>
      <c r="ET101" s="34"/>
      <c r="EU101" s="34"/>
      <c r="EV101" s="34"/>
      <c r="EW101" s="34"/>
      <c r="EX101" s="34"/>
      <c r="EY101" s="34"/>
      <c r="EZ101" s="34"/>
    </row>
    <row r="102" spans="2:156">
      <c r="B102" s="1" t="s">
        <v>140</v>
      </c>
      <c r="C102" s="74">
        <f>C51</f>
        <v>84</v>
      </c>
      <c r="D102" s="74">
        <f t="shared" ref="D102:BO102" si="249">D51</f>
        <v>85</v>
      </c>
      <c r="E102" s="74">
        <f t="shared" si="249"/>
        <v>86</v>
      </c>
      <c r="F102" s="74">
        <f t="shared" si="249"/>
        <v>85</v>
      </c>
      <c r="G102" s="74">
        <f t="shared" si="249"/>
        <v>84</v>
      </c>
      <c r="H102" s="74">
        <f t="shared" si="249"/>
        <v>85</v>
      </c>
      <c r="I102" s="74">
        <f t="shared" si="249"/>
        <v>84</v>
      </c>
      <c r="J102" s="74">
        <f t="shared" si="249"/>
        <v>85</v>
      </c>
      <c r="K102" s="74">
        <f t="shared" si="249"/>
        <v>87</v>
      </c>
      <c r="L102" s="74">
        <f t="shared" si="249"/>
        <v>88</v>
      </c>
      <c r="M102" s="74">
        <f t="shared" si="249"/>
        <v>89</v>
      </c>
      <c r="N102" s="74">
        <f t="shared" si="249"/>
        <v>88</v>
      </c>
      <c r="O102" s="74">
        <f t="shared" si="249"/>
        <v>89</v>
      </c>
      <c r="P102" s="74">
        <f t="shared" si="249"/>
        <v>90</v>
      </c>
      <c r="Q102" s="74">
        <f t="shared" si="249"/>
        <v>90</v>
      </c>
      <c r="R102" s="74">
        <f t="shared" si="249"/>
        <v>90</v>
      </c>
      <c r="S102" s="74">
        <f t="shared" si="249"/>
        <v>89</v>
      </c>
      <c r="T102" s="74">
        <f t="shared" si="249"/>
        <v>88</v>
      </c>
      <c r="U102" s="74">
        <f t="shared" si="249"/>
        <v>88</v>
      </c>
      <c r="V102" s="74">
        <f t="shared" si="249"/>
        <v>89</v>
      </c>
      <c r="W102" s="74">
        <f t="shared" si="249"/>
        <v>88</v>
      </c>
      <c r="X102" s="74">
        <f t="shared" si="249"/>
        <v>87</v>
      </c>
      <c r="Y102" s="74">
        <f t="shared" si="249"/>
        <v>85</v>
      </c>
      <c r="Z102" s="74">
        <f t="shared" si="249"/>
        <v>85</v>
      </c>
      <c r="AA102" s="74">
        <f t="shared" si="249"/>
        <v>78</v>
      </c>
      <c r="AB102" s="74">
        <f t="shared" si="249"/>
        <v>77</v>
      </c>
      <c r="AC102" s="74">
        <f t="shared" si="249"/>
        <v>74</v>
      </c>
      <c r="AD102" s="74">
        <f t="shared" si="249"/>
        <v>76</v>
      </c>
      <c r="AE102" s="74">
        <f t="shared" si="249"/>
        <v>73</v>
      </c>
      <c r="AF102" s="74">
        <f t="shared" si="249"/>
        <v>73</v>
      </c>
      <c r="AG102" s="74">
        <f t="shared" si="249"/>
        <v>73</v>
      </c>
      <c r="AH102" s="74">
        <f t="shared" si="249"/>
        <v>73</v>
      </c>
      <c r="AI102" s="74">
        <f t="shared" si="249"/>
        <v>74</v>
      </c>
      <c r="AJ102" s="74">
        <f t="shared" si="249"/>
        <v>74</v>
      </c>
      <c r="AK102" s="74">
        <f t="shared" si="249"/>
        <v>72</v>
      </c>
      <c r="AL102" s="74">
        <f t="shared" si="249"/>
        <v>72</v>
      </c>
      <c r="AM102" s="74">
        <f t="shared" si="249"/>
        <v>69</v>
      </c>
      <c r="AN102" s="74">
        <f t="shared" si="249"/>
        <v>68</v>
      </c>
      <c r="AO102" s="74">
        <f t="shared" si="249"/>
        <v>68</v>
      </c>
      <c r="AP102" s="74">
        <f t="shared" si="249"/>
        <v>68</v>
      </c>
      <c r="AQ102" s="74">
        <f t="shared" si="249"/>
        <v>73</v>
      </c>
      <c r="AR102" s="74">
        <f t="shared" si="249"/>
        <v>71</v>
      </c>
      <c r="AS102" s="74">
        <f t="shared" si="249"/>
        <v>69</v>
      </c>
      <c r="AT102" s="74">
        <f t="shared" si="249"/>
        <v>69.5</v>
      </c>
      <c r="AU102" s="74">
        <f t="shared" si="249"/>
        <v>67.930999999999997</v>
      </c>
      <c r="AV102" s="74">
        <f t="shared" si="249"/>
        <v>67.415999999999997</v>
      </c>
      <c r="AW102" s="74">
        <f t="shared" si="249"/>
        <v>67.472999999999999</v>
      </c>
      <c r="AX102" s="74">
        <f t="shared" si="249"/>
        <v>67.385999999999996</v>
      </c>
      <c r="AY102" s="74">
        <f t="shared" si="249"/>
        <v>65.457999999999998</v>
      </c>
      <c r="AZ102" s="74">
        <f t="shared" si="249"/>
        <v>63.59</v>
      </c>
      <c r="BA102" s="74">
        <f t="shared" si="249"/>
        <v>62.033000000000001</v>
      </c>
      <c r="BB102" s="74">
        <f t="shared" si="249"/>
        <v>62.463999999999999</v>
      </c>
      <c r="BC102" s="74">
        <f t="shared" si="249"/>
        <v>59.82</v>
      </c>
      <c r="BD102" s="74">
        <f t="shared" si="249"/>
        <v>61.59</v>
      </c>
      <c r="BE102" s="74">
        <f t="shared" si="249"/>
        <v>61.692999999999998</v>
      </c>
      <c r="BF102" s="74">
        <f t="shared" si="249"/>
        <v>61.22</v>
      </c>
      <c r="BG102" s="74">
        <f t="shared" si="249"/>
        <v>61.835999999999999</v>
      </c>
      <c r="BH102" s="74">
        <f t="shared" si="249"/>
        <v>62.036999999999999</v>
      </c>
      <c r="BI102" s="74">
        <f t="shared" si="249"/>
        <v>61.143000000000001</v>
      </c>
      <c r="BJ102" s="74">
        <f t="shared" si="249"/>
        <v>61.386000000000003</v>
      </c>
      <c r="BK102" s="74">
        <f t="shared" si="249"/>
        <v>60.564</v>
      </c>
      <c r="BL102" s="74">
        <f t="shared" si="249"/>
        <v>60.32</v>
      </c>
      <c r="BM102" s="74">
        <f t="shared" si="249"/>
        <v>59.045999999999999</v>
      </c>
      <c r="BN102" s="74">
        <f t="shared" si="249"/>
        <v>59.381</v>
      </c>
      <c r="BO102" s="74">
        <f t="shared" si="249"/>
        <v>56.11</v>
      </c>
      <c r="BP102" s="74">
        <f t="shared" ref="BP102:BQ102" si="250">BP51</f>
        <v>55.783000000000001</v>
      </c>
      <c r="BQ102" s="74">
        <f t="shared" si="250"/>
        <v>53.64</v>
      </c>
      <c r="CA102" s="74">
        <f t="shared" ref="CA102:CP102" si="251">CA51</f>
        <v>85</v>
      </c>
      <c r="CB102" s="74">
        <f t="shared" si="251"/>
        <v>84.5</v>
      </c>
      <c r="CC102" s="74">
        <f t="shared" si="251"/>
        <v>88</v>
      </c>
      <c r="CD102" s="74">
        <f t="shared" si="251"/>
        <v>89.75</v>
      </c>
      <c r="CE102" s="74">
        <f t="shared" si="251"/>
        <v>88.5</v>
      </c>
      <c r="CF102" s="74">
        <f t="shared" si="251"/>
        <v>86.25</v>
      </c>
      <c r="CG102" s="74">
        <f t="shared" si="251"/>
        <v>76.25</v>
      </c>
      <c r="CH102" s="74">
        <f t="shared" si="251"/>
        <v>73</v>
      </c>
      <c r="CI102" s="74">
        <f t="shared" si="251"/>
        <v>73</v>
      </c>
      <c r="CJ102" s="74">
        <f t="shared" si="251"/>
        <v>68.25</v>
      </c>
      <c r="CK102" s="74">
        <f t="shared" si="251"/>
        <v>70.625</v>
      </c>
      <c r="CL102" s="74">
        <f t="shared" si="251"/>
        <v>67.551500000000004</v>
      </c>
      <c r="CM102" s="74">
        <f t="shared" si="251"/>
        <v>63.386250000000004</v>
      </c>
      <c r="CN102" s="74">
        <f t="shared" si="251"/>
        <v>61.080750000000002</v>
      </c>
      <c r="CO102" s="74">
        <f t="shared" si="251"/>
        <v>61.600499999999997</v>
      </c>
      <c r="CP102" s="74">
        <f t="shared" si="251"/>
        <v>59.827750000000002</v>
      </c>
    </row>
    <row r="103" spans="2:156">
      <c r="B103" s="1" t="s">
        <v>141</v>
      </c>
      <c r="C103" s="40">
        <f t="shared" ref="C103" si="252">C101/C102</f>
        <v>-7.8488095238095232E-2</v>
      </c>
      <c r="D103" s="40">
        <f t="shared" ref="D103:BJ103" si="253">D101/D102</f>
        <v>0.32694117647058824</v>
      </c>
      <c r="E103" s="40">
        <f t="shared" si="253"/>
        <v>0.17506976744186048</v>
      </c>
      <c r="F103" s="40">
        <f t="shared" si="253"/>
        <v>8.5647058823529423E-2</v>
      </c>
      <c r="G103" s="40">
        <f t="shared" si="253"/>
        <v>-0.23428571428571429</v>
      </c>
      <c r="H103" s="40">
        <f t="shared" si="253"/>
        <v>0.55505882352941172</v>
      </c>
      <c r="I103" s="40">
        <f t="shared" si="253"/>
        <v>0.49773809523809526</v>
      </c>
      <c r="J103" s="40">
        <f t="shared" si="253"/>
        <v>5.9494117647058808E-2</v>
      </c>
      <c r="K103" s="40">
        <f t="shared" si="253"/>
        <v>-0.39632183908045976</v>
      </c>
      <c r="L103" s="40">
        <f t="shared" si="253"/>
        <v>0.73749999999999993</v>
      </c>
      <c r="M103" s="40">
        <f t="shared" si="253"/>
        <v>0.47325842696629211</v>
      </c>
      <c r="N103" s="40">
        <f t="shared" si="253"/>
        <v>0.48352272727272722</v>
      </c>
      <c r="O103" s="40">
        <f t="shared" si="253"/>
        <v>-0.76303370786516855</v>
      </c>
      <c r="P103" s="40">
        <f t="shared" si="253"/>
        <v>1.1292222222222221</v>
      </c>
      <c r="Q103" s="40">
        <f t="shared" si="253"/>
        <v>0.5387777777777778</v>
      </c>
      <c r="R103" s="40">
        <f t="shared" si="253"/>
        <v>9.522222222222225E-2</v>
      </c>
      <c r="S103" s="40">
        <f t="shared" si="253"/>
        <v>-0.49404494382022468</v>
      </c>
      <c r="T103" s="40">
        <f t="shared" si="253"/>
        <v>0.71079545454545456</v>
      </c>
      <c r="U103" s="40">
        <f t="shared" si="253"/>
        <v>0.5173863636363637</v>
      </c>
      <c r="V103" s="40">
        <f t="shared" si="253"/>
        <v>-0.23337078651685397</v>
      </c>
      <c r="W103" s="40">
        <f t="shared" si="253"/>
        <v>-0.77045454545454539</v>
      </c>
      <c r="X103" s="40">
        <f t="shared" si="253"/>
        <v>0.45402298850574713</v>
      </c>
      <c r="Y103" s="40">
        <f t="shared" si="253"/>
        <v>0.10823529411764705</v>
      </c>
      <c r="Z103" s="40">
        <f t="shared" si="253"/>
        <v>-0.1</v>
      </c>
      <c r="AA103" s="40">
        <f t="shared" si="253"/>
        <v>-0.61538461538461542</v>
      </c>
      <c r="AB103" s="40">
        <f t="shared" si="253"/>
        <v>0.53116883116883129</v>
      </c>
      <c r="AC103" s="40">
        <f t="shared" si="253"/>
        <v>0.13378378378378378</v>
      </c>
      <c r="AD103" s="40">
        <f t="shared" si="253"/>
        <v>-0.15131578947368421</v>
      </c>
      <c r="AE103" s="40">
        <f t="shared" si="253"/>
        <v>-0.82328767123287672</v>
      </c>
      <c r="AF103" s="40">
        <f t="shared" si="253"/>
        <v>0.95479452054794522</v>
      </c>
      <c r="AG103" s="40">
        <f t="shared" si="253"/>
        <v>9.7260273972602729E-2</v>
      </c>
      <c r="AH103" s="40">
        <f t="shared" si="253"/>
        <v>1.2328767123287676E-2</v>
      </c>
      <c r="AI103" s="40">
        <f t="shared" si="253"/>
        <v>-0.74729729729729721</v>
      </c>
      <c r="AJ103" s="40">
        <f t="shared" si="253"/>
        <v>1.1148648648648649</v>
      </c>
      <c r="AK103" s="40">
        <f t="shared" si="253"/>
        <v>0.54166666666666663</v>
      </c>
      <c r="AL103" s="40">
        <f t="shared" si="253"/>
        <v>0.26250000000000001</v>
      </c>
      <c r="AM103" s="40">
        <f t="shared" si="253"/>
        <v>-0.70000000000000007</v>
      </c>
      <c r="AN103" s="40">
        <f t="shared" si="253"/>
        <v>1.2632352941176472</v>
      </c>
      <c r="AO103" s="40">
        <f t="shared" si="253"/>
        <v>0.63235294117647056</v>
      </c>
      <c r="AP103" s="40">
        <f t="shared" si="253"/>
        <v>0.31617647058823528</v>
      </c>
      <c r="AQ103" s="40">
        <f t="shared" si="253"/>
        <v>-1.0178082191780822</v>
      </c>
      <c r="AR103" s="40">
        <f t="shared" si="253"/>
        <v>1.0661971830985917</v>
      </c>
      <c r="AS103" s="40">
        <f t="shared" si="253"/>
        <v>0.56376811594202891</v>
      </c>
      <c r="AT103" s="40">
        <f t="shared" si="253"/>
        <v>0.18848920863309354</v>
      </c>
      <c r="AU103" s="40">
        <f t="shared" si="253"/>
        <v>-1.4868027851790788</v>
      </c>
      <c r="AV103" s="40">
        <f t="shared" si="253"/>
        <v>1.7340097306277442</v>
      </c>
      <c r="AW103" s="40">
        <f t="shared" si="253"/>
        <v>1.6228713707705305</v>
      </c>
      <c r="AX103" s="40">
        <f t="shared" si="253"/>
        <v>1.4765678330810554</v>
      </c>
      <c r="AY103" s="40">
        <f t="shared" si="253"/>
        <v>0.33914876714840048</v>
      </c>
      <c r="AZ103" s="40">
        <f t="shared" si="253"/>
        <v>3.1278502909262458</v>
      </c>
      <c r="BA103" s="40">
        <f t="shared" si="253"/>
        <v>1.5862524785194976</v>
      </c>
      <c r="BB103" s="40">
        <f t="shared" si="253"/>
        <v>3.0705686475409837</v>
      </c>
      <c r="BC103" s="40">
        <f t="shared" si="253"/>
        <v>-1.815446339017051</v>
      </c>
      <c r="BD103" s="40">
        <f t="shared" si="253"/>
        <v>2.2162688748173403</v>
      </c>
      <c r="BE103" s="40">
        <f t="shared" si="253"/>
        <v>2.092619908255394</v>
      </c>
      <c r="BF103" s="40">
        <f t="shared" si="253"/>
        <v>5.5847762169225739</v>
      </c>
      <c r="BG103" s="40">
        <f t="shared" si="253"/>
        <v>-0.28624102464583745</v>
      </c>
      <c r="BH103" s="40">
        <f t="shared" si="253"/>
        <v>4.7810177797121067</v>
      </c>
      <c r="BI103" s="40">
        <f t="shared" si="253"/>
        <v>3.5228889652126978</v>
      </c>
      <c r="BJ103" s="40">
        <f t="shared" si="253"/>
        <v>5.2210601765874953</v>
      </c>
      <c r="BK103" s="40">
        <f t="shared" ref="BK103:BO103" si="254">BK101/BK102</f>
        <v>-0.71659731853906616</v>
      </c>
      <c r="BL103" s="40">
        <f t="shared" si="254"/>
        <v>6.3677055702917764</v>
      </c>
      <c r="BM103" s="40">
        <f t="shared" si="254"/>
        <v>4.7217423703553152</v>
      </c>
      <c r="BN103" s="40">
        <f t="shared" si="254"/>
        <v>5.1093784207069595</v>
      </c>
      <c r="BO103" s="40">
        <f t="shared" si="254"/>
        <v>-1.4721083585813581</v>
      </c>
      <c r="BP103" s="40">
        <f>BP101/BP102</f>
        <v>4.825842998763064</v>
      </c>
      <c r="BQ103" s="40">
        <f>BQ101/BQ102</f>
        <v>4.2151379567486957</v>
      </c>
      <c r="CA103" s="40">
        <f t="shared" ref="CA103:CO103" si="255">CA101/CA102</f>
        <v>0.51215294117647059</v>
      </c>
      <c r="CB103" s="40">
        <f t="shared" si="255"/>
        <v>0.25085207100591717</v>
      </c>
      <c r="CC103" s="40">
        <f t="shared" si="255"/>
        <v>0.41196590909090908</v>
      </c>
      <c r="CD103" s="40">
        <f t="shared" si="255"/>
        <v>0.48504735376044572</v>
      </c>
      <c r="CE103" s="40">
        <f t="shared" si="255"/>
        <v>0.34402259887005654</v>
      </c>
      <c r="CF103" s="40">
        <f t="shared" si="255"/>
        <v>-0.31999999999999995</v>
      </c>
      <c r="CG103" s="40">
        <f t="shared" si="255"/>
        <v>-0.11409836065573763</v>
      </c>
      <c r="CH103" s="40">
        <f t="shared" si="255"/>
        <v>0.24109589041095891</v>
      </c>
      <c r="CI103" s="40">
        <f t="shared" si="255"/>
        <v>1.1657534246575343</v>
      </c>
      <c r="CJ103" s="40">
        <f t="shared" si="255"/>
        <v>1.495970695970696</v>
      </c>
      <c r="CK103" s="40">
        <f t="shared" si="255"/>
        <v>0.75610619469026552</v>
      </c>
      <c r="CL103" s="40">
        <f t="shared" si="255"/>
        <v>3.3293117103247152</v>
      </c>
      <c r="CM103" s="40">
        <f t="shared" si="255"/>
        <v>8.0664181900648781</v>
      </c>
      <c r="CN103" s="40">
        <f t="shared" si="255"/>
        <v>8.1678761311869934</v>
      </c>
      <c r="CO103" s="40">
        <f t="shared" si="255"/>
        <v>13.2271653639175</v>
      </c>
      <c r="CP103" s="40">
        <f>CP101/CP102</f>
        <v>15.425952003877796</v>
      </c>
    </row>
  </sheetData>
  <mergeCells count="1">
    <mergeCell ref="CY74:CZ74"/>
  </mergeCells>
  <conditionalFormatting sqref="CY74:CZ74">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Sell",CY74)))</formula>
    </cfRule>
    <cfRule type="containsText" dxfId="3" priority="3" operator="containsText" text="Sell">
      <formula>NOT(ISERROR(SEARCH("Sell",CY74)))</formula>
    </cfRule>
    <cfRule type="containsText" dxfId="2" priority="4" operator="containsText" text="Hold">
      <formula>NOT(ISERROR(SEARCH("Hold",CY74)))</formula>
    </cfRule>
    <cfRule type="beginsWith" dxfId="1" priority="5" operator="beginsWith" text="Buy">
      <formula>LEFT(CY74,LEN("Buy"))="Buy"</formula>
    </cfRule>
    <cfRule type="beginsWith" dxfId="0" priority="6" operator="beginsWith" text="Strong">
      <formula>LEFT(CY74,LEN("Strong"))="Strong"</formula>
    </cfRule>
  </conditionalFormatting>
  <pageMargins left="0.7" right="0.7" top="0.75" bottom="0.75" header="0.3" footer="0.3"/>
  <ignoredErrors>
    <ignoredError sqref="CM12:CP12 CM13:CP14 CA19:CP19 AU12:AW17 BK34:BP36 AU52:BP52 AU54:BP58 BO31:BP33 CO15:CP17 CA20:CK20 CA53:CP56 D103:BP103 CR65 K52:AT52 CA58:CP58 CA57:CB57 CD57:CP57 CQ56:CZ56 CQ58:CZ58 AU19:AW19" evalError="1"/>
    <ignoredError sqref="AX19:BP19 AX12 AX13:AX14 BC20:BP21 CA102:CK102" evalError="1" formula="1"/>
    <ignoredError sqref="AX6:BP6 AX22:BP22 AX9:BP11 BK25:BP25 BK28:BP29 BP7:BP8 BP23:BP24 BP26:BP27 CQ6:CZ6 CP25 AX40:BN40 AY43:BP43 AY50:BN50 CL102:CP102 CB101:CE101 BY51:BZ51" formula="1"/>
    <ignoredError sqref="CA101" evalError="1" formula="1" formulaRange="1"/>
    <ignoredError sqref="CL38:CP39 CA99:CP100 CL101:CP101 AX39 AX41:AX42 AX44:AX49 CK38:CK39 CA38:CJ39 CA41:CP50 CA52:CP52 BP89:BP96 AX89:BO95 AX96:BN96 BQ89:BQ94" formulaRange="1"/>
    <ignoredError sqref="CA51:CP51" formula="1"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1557"/>
  <sheetViews>
    <sheetView topLeftCell="H1" zoomScale="25" zoomScaleNormal="25" workbookViewId="0">
      <selection activeCell="AD138" sqref="AD138"/>
    </sheetView>
  </sheetViews>
  <sheetFormatPr defaultColWidth="9.140625" defaultRowHeight="14.25"/>
  <cols>
    <col min="1" max="7" width="0" style="1" hidden="1" customWidth="1"/>
    <col min="8" max="8" width="3.140625" style="1" customWidth="1"/>
    <col min="9" max="28" width="9.140625" style="1"/>
    <col min="29" max="29" width="2.85546875" style="1" customWidth="1"/>
    <col min="30" max="16384" width="9.140625" style="1"/>
  </cols>
  <sheetData>
    <row r="1" spans="8:79">
      <c r="CA1" s="1">
        <v>0</v>
      </c>
    </row>
    <row r="2" spans="8:79" ht="15">
      <c r="H2" s="2" t="s">
        <v>163</v>
      </c>
      <c r="AD2" s="2" t="s">
        <v>142</v>
      </c>
    </row>
    <row r="31" spans="9:10">
      <c r="I31" s="1" t="s">
        <v>14</v>
      </c>
      <c r="J31" s="1" t="s">
        <v>15</v>
      </c>
    </row>
    <row r="32" spans="9:10">
      <c r="J32" s="1" t="s">
        <v>16</v>
      </c>
    </row>
    <row r="33" spans="8:30">
      <c r="J33" s="1" t="s">
        <v>17</v>
      </c>
    </row>
    <row r="34" spans="8:30" ht="15">
      <c r="AD34" s="2" t="s">
        <v>143</v>
      </c>
    </row>
    <row r="35" spans="8:30" ht="15">
      <c r="H35" s="2" t="s">
        <v>167</v>
      </c>
      <c r="AD35" s="2" t="s">
        <v>144</v>
      </c>
    </row>
    <row r="65" spans="8:30">
      <c r="I65" s="1" t="s">
        <v>14</v>
      </c>
      <c r="J65" s="1" t="s">
        <v>15</v>
      </c>
    </row>
    <row r="66" spans="8:30">
      <c r="J66" s="1" t="s">
        <v>16</v>
      </c>
    </row>
    <row r="67" spans="8:30">
      <c r="J67" s="1" t="s">
        <v>17</v>
      </c>
    </row>
    <row r="69" spans="8:30" ht="15">
      <c r="H69" s="2" t="s">
        <v>1247</v>
      </c>
      <c r="AD69" s="2" t="s">
        <v>145</v>
      </c>
    </row>
    <row r="101" spans="8:30">
      <c r="I101" s="1" t="s">
        <v>14</v>
      </c>
      <c r="J101" s="1" t="s">
        <v>15</v>
      </c>
    </row>
    <row r="102" spans="8:30">
      <c r="J102" s="1" t="s">
        <v>16</v>
      </c>
    </row>
    <row r="103" spans="8:30">
      <c r="J103" s="1" t="s">
        <v>17</v>
      </c>
    </row>
    <row r="105" spans="8:30" ht="15">
      <c r="H105" s="2" t="s">
        <v>166</v>
      </c>
      <c r="AD105" s="2" t="s">
        <v>146</v>
      </c>
    </row>
    <row r="134" spans="8:30">
      <c r="I134" s="1" t="s">
        <v>14</v>
      </c>
      <c r="J134" s="1" t="s">
        <v>15</v>
      </c>
    </row>
    <row r="135" spans="8:30">
      <c r="J135" s="1" t="s">
        <v>16</v>
      </c>
    </row>
    <row r="136" spans="8:30">
      <c r="J136" s="1" t="s">
        <v>17</v>
      </c>
    </row>
    <row r="138" spans="8:30" ht="15">
      <c r="H138" s="2" t="s">
        <v>165</v>
      </c>
      <c r="AD138" s="2" t="s">
        <v>147</v>
      </c>
    </row>
    <row r="154" ht="15" customHeight="1"/>
    <row r="167" spans="9:10">
      <c r="I167" s="1" t="s">
        <v>14</v>
      </c>
      <c r="J167" s="1" t="s">
        <v>15</v>
      </c>
    </row>
    <row r="168" spans="9:10">
      <c r="J168" s="1" t="s">
        <v>16</v>
      </c>
    </row>
    <row r="169" spans="9:10">
      <c r="J169" s="1" t="s">
        <v>17</v>
      </c>
    </row>
    <row r="185" spans="1:7">
      <c r="A185" s="1" t="s">
        <v>1172</v>
      </c>
    </row>
    <row r="186" spans="1:7">
      <c r="A186" s="24" t="s">
        <v>18</v>
      </c>
      <c r="B186" s="24" t="s">
        <v>19</v>
      </c>
      <c r="C186" s="24" t="s">
        <v>20</v>
      </c>
      <c r="D186" s="24" t="s">
        <v>21</v>
      </c>
      <c r="E186" s="24" t="s">
        <v>22</v>
      </c>
      <c r="F186" s="24" t="s">
        <v>23</v>
      </c>
      <c r="G186" s="24" t="s">
        <v>24</v>
      </c>
    </row>
    <row r="187" spans="1:7">
      <c r="A187" s="61">
        <v>99.73</v>
      </c>
      <c r="B187" s="61">
        <v>102.05</v>
      </c>
      <c r="C187" s="61">
        <v>99.4</v>
      </c>
      <c r="D187" s="61">
        <v>102.05</v>
      </c>
      <c r="E187" s="61">
        <v>1677966</v>
      </c>
      <c r="F187" s="61" t="s">
        <v>189</v>
      </c>
      <c r="G187" s="25">
        <f>A187/D187-1</f>
        <v>-2.2733953944145013E-2</v>
      </c>
    </row>
    <row r="188" spans="1:7">
      <c r="A188" s="61">
        <v>102.23</v>
      </c>
      <c r="B188" s="61">
        <v>104.4923</v>
      </c>
      <c r="C188" s="61">
        <v>101.78</v>
      </c>
      <c r="D188" s="61">
        <v>104.3</v>
      </c>
      <c r="E188" s="61">
        <v>1420896</v>
      </c>
      <c r="F188" s="61" t="s">
        <v>190</v>
      </c>
      <c r="G188" s="25">
        <f t="shared" ref="G188:G251" si="0">A188/D188-1</f>
        <v>-1.9846596356663415E-2</v>
      </c>
    </row>
    <row r="189" spans="1:7">
      <c r="A189" s="61">
        <v>104.3</v>
      </c>
      <c r="B189" s="61">
        <v>106.105</v>
      </c>
      <c r="C189" s="61">
        <v>104.07</v>
      </c>
      <c r="D189" s="61">
        <v>105.01</v>
      </c>
      <c r="E189" s="61">
        <v>1167590</v>
      </c>
      <c r="F189" s="61" t="s">
        <v>191</v>
      </c>
      <c r="G189" s="25">
        <f t="shared" si="0"/>
        <v>-6.7612608323017742E-3</v>
      </c>
    </row>
    <row r="190" spans="1:7">
      <c r="A190" s="61">
        <v>105.64</v>
      </c>
      <c r="B190" s="61">
        <v>109.52</v>
      </c>
      <c r="C190" s="61">
        <v>104.965</v>
      </c>
      <c r="D190" s="61">
        <v>108.25</v>
      </c>
      <c r="E190" s="61">
        <v>1137191</v>
      </c>
      <c r="F190" s="61" t="s">
        <v>192</v>
      </c>
      <c r="G190" s="25">
        <f t="shared" si="0"/>
        <v>-2.4110854503464174E-2</v>
      </c>
    </row>
    <row r="191" spans="1:7">
      <c r="A191" s="61">
        <v>106.75</v>
      </c>
      <c r="B191" s="61">
        <v>109.97</v>
      </c>
      <c r="C191" s="61">
        <v>106.53</v>
      </c>
      <c r="D191" s="61">
        <v>109.83</v>
      </c>
      <c r="E191" s="61">
        <v>1170324</v>
      </c>
      <c r="F191" s="61" t="s">
        <v>193</v>
      </c>
      <c r="G191" s="25">
        <f t="shared" si="0"/>
        <v>-2.8043339706819603E-2</v>
      </c>
    </row>
    <row r="192" spans="1:7">
      <c r="A192" s="61">
        <v>107.77500000000001</v>
      </c>
      <c r="B192" s="61">
        <v>109.8027</v>
      </c>
      <c r="C192" s="61">
        <v>107.5491</v>
      </c>
      <c r="D192" s="61">
        <v>107.96</v>
      </c>
      <c r="E192" s="61">
        <v>1019552</v>
      </c>
      <c r="F192" s="61" t="s">
        <v>194</v>
      </c>
      <c r="G192" s="25">
        <f t="shared" si="0"/>
        <v>-1.7135976287512289E-3</v>
      </c>
    </row>
    <row r="193" spans="1:13">
      <c r="A193" s="61">
        <v>108.79</v>
      </c>
      <c r="B193" s="61">
        <v>109.56</v>
      </c>
      <c r="C193" s="61">
        <v>106.9302</v>
      </c>
      <c r="D193" s="61">
        <v>107.87</v>
      </c>
      <c r="E193" s="61">
        <v>1266446</v>
      </c>
      <c r="F193" s="61" t="s">
        <v>195</v>
      </c>
      <c r="G193" s="25">
        <f t="shared" si="0"/>
        <v>8.5287846481876262E-3</v>
      </c>
    </row>
    <row r="194" spans="1:13">
      <c r="A194" s="61">
        <v>106.31</v>
      </c>
      <c r="B194" s="61">
        <v>107.04</v>
      </c>
      <c r="C194" s="61">
        <v>103.56</v>
      </c>
      <c r="D194" s="61">
        <v>103.64</v>
      </c>
      <c r="E194" s="61">
        <v>939919</v>
      </c>
      <c r="F194" s="61" t="s">
        <v>196</v>
      </c>
      <c r="G194" s="25">
        <f t="shared" si="0"/>
        <v>2.5762253956001624E-2</v>
      </c>
    </row>
    <row r="195" spans="1:13">
      <c r="A195" s="61">
        <v>103.64</v>
      </c>
      <c r="B195" s="61">
        <v>107.08580000000001</v>
      </c>
      <c r="C195" s="61">
        <v>103.59</v>
      </c>
      <c r="D195" s="61">
        <v>104.9</v>
      </c>
      <c r="E195" s="61">
        <v>947820</v>
      </c>
      <c r="F195" s="61" t="s">
        <v>197</v>
      </c>
      <c r="G195" s="25">
        <f t="shared" si="0"/>
        <v>-1.2011439466158347E-2</v>
      </c>
    </row>
    <row r="196" spans="1:13">
      <c r="A196" s="61">
        <v>105.18</v>
      </c>
      <c r="B196" s="61">
        <v>107.13500000000001</v>
      </c>
      <c r="C196" s="61">
        <v>104.71</v>
      </c>
      <c r="D196" s="61">
        <v>107</v>
      </c>
      <c r="E196" s="61">
        <v>873620</v>
      </c>
      <c r="F196" s="61" t="s">
        <v>198</v>
      </c>
      <c r="G196" s="25">
        <f t="shared" si="0"/>
        <v>-1.7009345794392505E-2</v>
      </c>
    </row>
    <row r="197" spans="1:13">
      <c r="A197" s="61">
        <v>106.63</v>
      </c>
      <c r="B197" s="61">
        <v>106.78</v>
      </c>
      <c r="C197" s="61">
        <v>103.295</v>
      </c>
      <c r="D197" s="61">
        <v>103.38</v>
      </c>
      <c r="E197" s="61">
        <v>1072930</v>
      </c>
      <c r="F197" s="61" t="s">
        <v>199</v>
      </c>
      <c r="G197" s="25">
        <f t="shared" si="0"/>
        <v>3.1437415360804799E-2</v>
      </c>
    </row>
    <row r="198" spans="1:13">
      <c r="A198" s="61">
        <v>103.2</v>
      </c>
      <c r="B198" s="61">
        <v>103.5</v>
      </c>
      <c r="C198" s="61">
        <v>100.2</v>
      </c>
      <c r="D198" s="61">
        <v>100.67</v>
      </c>
      <c r="E198" s="61">
        <v>1122170</v>
      </c>
      <c r="F198" s="61" t="s">
        <v>200</v>
      </c>
      <c r="G198" s="25">
        <f t="shared" si="0"/>
        <v>2.5131618158339197E-2</v>
      </c>
    </row>
    <row r="199" spans="1:13">
      <c r="A199" s="61">
        <v>99.72</v>
      </c>
      <c r="B199" s="61">
        <v>103.25</v>
      </c>
      <c r="C199" s="61">
        <v>99.7</v>
      </c>
      <c r="D199" s="61">
        <v>103.25</v>
      </c>
      <c r="E199" s="61">
        <v>1165587</v>
      </c>
      <c r="F199" s="61" t="s">
        <v>201</v>
      </c>
      <c r="G199" s="25">
        <f t="shared" si="0"/>
        <v>-3.4188861985472219E-2</v>
      </c>
    </row>
    <row r="200" spans="1:13">
      <c r="A200" s="61">
        <v>102.01</v>
      </c>
      <c r="B200" s="61">
        <v>103.19</v>
      </c>
      <c r="C200" s="61">
        <v>100.875</v>
      </c>
      <c r="D200" s="61">
        <v>103.08</v>
      </c>
      <c r="E200" s="61">
        <v>862085</v>
      </c>
      <c r="F200" s="61" t="s">
        <v>202</v>
      </c>
      <c r="G200" s="25">
        <f t="shared" si="0"/>
        <v>-1.0380287155607237E-2</v>
      </c>
      <c r="I200" s="26"/>
      <c r="J200" s="26" t="s">
        <v>25</v>
      </c>
      <c r="K200" s="27">
        <f>MIN(G187:G1169)</f>
        <v>-0.131690289824413</v>
      </c>
    </row>
    <row r="201" spans="1:13">
      <c r="A201" s="61">
        <v>103.75</v>
      </c>
      <c r="B201" s="61">
        <v>105.48</v>
      </c>
      <c r="C201" s="61">
        <v>103.11</v>
      </c>
      <c r="D201" s="61">
        <v>105.12</v>
      </c>
      <c r="E201" s="61">
        <v>748655</v>
      </c>
      <c r="F201" s="61" t="s">
        <v>203</v>
      </c>
      <c r="G201" s="25">
        <f t="shared" si="0"/>
        <v>-1.3032724505327331E-2</v>
      </c>
      <c r="I201" s="26"/>
      <c r="J201" s="26" t="s">
        <v>26</v>
      </c>
      <c r="K201" s="27">
        <f>MAX(G187:G1169)</f>
        <v>0.13350785340314131</v>
      </c>
    </row>
    <row r="202" spans="1:13">
      <c r="A202" s="61">
        <v>105.85</v>
      </c>
      <c r="B202" s="61">
        <v>107.9</v>
      </c>
      <c r="C202" s="61">
        <v>104.87</v>
      </c>
      <c r="D202" s="61">
        <v>105.11</v>
      </c>
      <c r="E202" s="61">
        <v>875357</v>
      </c>
      <c r="F202" s="61" t="s">
        <v>204</v>
      </c>
      <c r="G202" s="25">
        <f t="shared" si="0"/>
        <v>7.0402435543714947E-3</v>
      </c>
      <c r="I202" s="26"/>
      <c r="J202" s="26" t="s">
        <v>27</v>
      </c>
      <c r="K202" s="27">
        <f>AVERAGE(G187:G1169)</f>
        <v>-4.2546163198811697E-4</v>
      </c>
    </row>
    <row r="203" spans="1:13">
      <c r="A203" s="61">
        <v>104.75</v>
      </c>
      <c r="B203" s="61">
        <v>107.09</v>
      </c>
      <c r="C203" s="61">
        <v>104.295</v>
      </c>
      <c r="D203" s="61">
        <v>106.32</v>
      </c>
      <c r="E203" s="61">
        <v>969545</v>
      </c>
      <c r="F203" s="61" t="s">
        <v>205</v>
      </c>
      <c r="G203" s="25">
        <f t="shared" si="0"/>
        <v>-1.4766741911211412E-2</v>
      </c>
      <c r="I203" s="26"/>
      <c r="J203" s="26" t="s">
        <v>28</v>
      </c>
      <c r="K203" s="27">
        <f>MEDIAN(G187:G1169)</f>
        <v>-2.0876826722339148E-3</v>
      </c>
    </row>
    <row r="204" spans="1:13" ht="15">
      <c r="A204" s="61">
        <v>106.53</v>
      </c>
      <c r="B204" s="61">
        <v>107.3</v>
      </c>
      <c r="C204" s="61">
        <v>103.9</v>
      </c>
      <c r="D204" s="61">
        <v>106.83</v>
      </c>
      <c r="E204" s="61">
        <v>1475842</v>
      </c>
      <c r="F204" s="61" t="s">
        <v>206</v>
      </c>
      <c r="G204" s="25">
        <f t="shared" si="0"/>
        <v>-2.8081999438359651E-3</v>
      </c>
      <c r="I204" s="26"/>
      <c r="J204" s="26" t="s">
        <v>29</v>
      </c>
      <c r="K204" s="27">
        <f>_xlfn.STDEV.P(G187:G1169)</f>
        <v>2.900051590433857E-2</v>
      </c>
      <c r="M204" s="2"/>
    </row>
    <row r="205" spans="1:13" ht="15">
      <c r="A205" s="61">
        <v>106.35</v>
      </c>
      <c r="B205" s="61">
        <v>107.95</v>
      </c>
      <c r="C205" s="61">
        <v>105.38</v>
      </c>
      <c r="D205" s="61">
        <v>107.1</v>
      </c>
      <c r="E205" s="61">
        <v>1121481</v>
      </c>
      <c r="F205" s="61" t="s">
        <v>207</v>
      </c>
      <c r="G205" s="25">
        <f t="shared" si="0"/>
        <v>-7.0028011204481544E-3</v>
      </c>
      <c r="I205" s="26"/>
      <c r="J205" s="28" t="s">
        <v>30</v>
      </c>
      <c r="K205" s="27">
        <f>3*K204</f>
        <v>8.7001547713015714E-2</v>
      </c>
      <c r="L205" s="26"/>
      <c r="M205" s="2" t="s">
        <v>157</v>
      </c>
    </row>
    <row r="206" spans="1:13" ht="15">
      <c r="A206" s="61">
        <v>107.34</v>
      </c>
      <c r="B206" s="61">
        <v>108.42</v>
      </c>
      <c r="C206" s="61">
        <v>106.3301</v>
      </c>
      <c r="D206" s="61">
        <v>106.75</v>
      </c>
      <c r="E206" s="61">
        <v>560038</v>
      </c>
      <c r="F206" s="61" t="s">
        <v>208</v>
      </c>
      <c r="G206" s="25">
        <f t="shared" si="0"/>
        <v>5.5269320843092107E-3</v>
      </c>
      <c r="I206" s="26"/>
      <c r="J206" s="28" t="s">
        <v>31</v>
      </c>
      <c r="K206" s="26">
        <v>1.41</v>
      </c>
      <c r="L206" s="26"/>
      <c r="M206" s="2" t="s">
        <v>32</v>
      </c>
    </row>
    <row r="207" spans="1:13">
      <c r="A207" s="61">
        <v>106.74</v>
      </c>
      <c r="B207" s="61">
        <v>110.18</v>
      </c>
      <c r="C207" s="61">
        <v>102.1</v>
      </c>
      <c r="D207" s="61">
        <v>104.505</v>
      </c>
      <c r="E207" s="61">
        <v>1944934</v>
      </c>
      <c r="F207" s="61" t="s">
        <v>209</v>
      </c>
      <c r="G207" s="25">
        <f t="shared" si="0"/>
        <v>2.1386536529352629E-2</v>
      </c>
    </row>
    <row r="208" spans="1:13">
      <c r="A208" s="61">
        <v>107.13</v>
      </c>
      <c r="B208" s="61">
        <v>108.66</v>
      </c>
      <c r="C208" s="61">
        <v>101.05</v>
      </c>
      <c r="D208" s="61">
        <v>101.31</v>
      </c>
      <c r="E208" s="61">
        <v>1784217</v>
      </c>
      <c r="F208" s="61" t="s">
        <v>210</v>
      </c>
      <c r="G208" s="25">
        <f t="shared" si="0"/>
        <v>5.7447438554930397E-2</v>
      </c>
      <c r="I208" s="29" t="s">
        <v>33</v>
      </c>
      <c r="J208" s="30">
        <v>983</v>
      </c>
    </row>
    <row r="209" spans="1:17" ht="15" thickBot="1">
      <c r="A209" s="61">
        <v>101.28</v>
      </c>
      <c r="B209" s="61">
        <v>104.02</v>
      </c>
      <c r="C209" s="61">
        <v>100.61</v>
      </c>
      <c r="D209" s="61">
        <v>103.75</v>
      </c>
      <c r="E209" s="61">
        <v>1401658</v>
      </c>
      <c r="F209" s="61" t="s">
        <v>211</v>
      </c>
      <c r="G209" s="25">
        <f t="shared" si="0"/>
        <v>-2.380722891566267E-2</v>
      </c>
      <c r="I209" s="1" t="s">
        <v>34</v>
      </c>
      <c r="L209" s="1" t="s">
        <v>35</v>
      </c>
      <c r="P209" s="1" t="s">
        <v>36</v>
      </c>
    </row>
    <row r="210" spans="1:17" ht="14.25" customHeight="1">
      <c r="A210" s="61">
        <v>103.02</v>
      </c>
      <c r="B210" s="61">
        <v>103.12</v>
      </c>
      <c r="C210" s="61">
        <v>101.58</v>
      </c>
      <c r="D210" s="61">
        <v>101.87</v>
      </c>
      <c r="E210" s="61">
        <v>1580707</v>
      </c>
      <c r="F210" s="61" t="s">
        <v>212</v>
      </c>
      <c r="G210" s="25">
        <f t="shared" si="0"/>
        <v>1.128889761460683E-2</v>
      </c>
      <c r="I210" s="71" t="s">
        <v>37</v>
      </c>
      <c r="J210" s="71" t="s">
        <v>38</v>
      </c>
      <c r="L210" s="31" t="s">
        <v>39</v>
      </c>
      <c r="M210" s="32" t="s">
        <v>40</v>
      </c>
      <c r="P210" s="31" t="s">
        <v>41</v>
      </c>
      <c r="Q210" s="32" t="s">
        <v>42</v>
      </c>
    </row>
    <row r="211" spans="1:17" ht="15">
      <c r="A211" s="61">
        <v>100.05</v>
      </c>
      <c r="B211" s="61">
        <v>100.22499999999999</v>
      </c>
      <c r="C211" s="61">
        <v>98.35</v>
      </c>
      <c r="D211" s="61">
        <v>98.97</v>
      </c>
      <c r="E211" s="61">
        <v>862088</v>
      </c>
      <c r="F211" s="61" t="s">
        <v>213</v>
      </c>
      <c r="G211" s="25">
        <f t="shared" si="0"/>
        <v>1.0912397696271503E-2</v>
      </c>
      <c r="I211" s="69">
        <v>-8.7499999999999994E-2</v>
      </c>
      <c r="J211">
        <v>1</v>
      </c>
      <c r="L211" s="69">
        <v>-0.09</v>
      </c>
      <c r="M211" s="1">
        <f t="shared" ref="M211:M242" si="1">_xlfn.NORM.DIST(L211,$K$202,$K$204,FALSE)</f>
        <v>0.11664741937421173</v>
      </c>
      <c r="O211" s="1" t="s">
        <v>148</v>
      </c>
      <c r="P211" s="73">
        <f>K202</f>
        <v>-4.2546163198811697E-4</v>
      </c>
      <c r="Q211" s="1">
        <v>0</v>
      </c>
    </row>
    <row r="212" spans="1:17" ht="15">
      <c r="A212" s="61">
        <v>98.64</v>
      </c>
      <c r="B212" s="61">
        <v>99.259900000000002</v>
      </c>
      <c r="C212" s="61">
        <v>97.62</v>
      </c>
      <c r="D212" s="61">
        <v>99.13</v>
      </c>
      <c r="E212" s="61">
        <v>783993</v>
      </c>
      <c r="F212" s="61" t="s">
        <v>214</v>
      </c>
      <c r="G212" s="25">
        <f t="shared" si="0"/>
        <v>-4.9430041359830312E-3</v>
      </c>
      <c r="I212" s="69">
        <v>-8.5000000000000006E-2</v>
      </c>
      <c r="J212">
        <v>1</v>
      </c>
      <c r="L212" s="69">
        <v>-8.7499999999999994E-2</v>
      </c>
      <c r="M212" s="1">
        <f t="shared" si="1"/>
        <v>0.15166962183342694</v>
      </c>
      <c r="P212" s="73">
        <f>K202</f>
        <v>-4.2546163198811697E-4</v>
      </c>
      <c r="Q212" s="1">
        <v>15</v>
      </c>
    </row>
    <row r="213" spans="1:17" ht="15">
      <c r="A213" s="61">
        <v>99.12</v>
      </c>
      <c r="B213" s="61">
        <v>99.459100000000007</v>
      </c>
      <c r="C213" s="61">
        <v>97.33</v>
      </c>
      <c r="D213" s="61">
        <v>98.6</v>
      </c>
      <c r="E213" s="61">
        <v>989655</v>
      </c>
      <c r="F213" s="61" t="s">
        <v>215</v>
      </c>
      <c r="G213" s="25">
        <f t="shared" si="0"/>
        <v>5.2738336713997747E-3</v>
      </c>
      <c r="I213" s="69">
        <v>-8.2500000000000004E-2</v>
      </c>
      <c r="J213">
        <v>1</v>
      </c>
      <c r="L213" s="69">
        <v>-8.5000000000000006E-2</v>
      </c>
      <c r="M213" s="1">
        <f t="shared" si="1"/>
        <v>0.19574680040015044</v>
      </c>
      <c r="O213" s="39" t="s">
        <v>149</v>
      </c>
      <c r="P213" s="73">
        <f>($K$204*-3)+$K$202</f>
        <v>-8.7427009345003831E-2</v>
      </c>
      <c r="Q213" s="1">
        <v>0</v>
      </c>
    </row>
    <row r="214" spans="1:17" ht="15">
      <c r="A214" s="61">
        <v>97.37</v>
      </c>
      <c r="B214" s="61">
        <v>98.12</v>
      </c>
      <c r="C214" s="61">
        <v>94.45</v>
      </c>
      <c r="D214" s="61">
        <v>98</v>
      </c>
      <c r="E214" s="61">
        <v>1608549</v>
      </c>
      <c r="F214" s="61" t="s">
        <v>216</v>
      </c>
      <c r="G214" s="25">
        <f t="shared" si="0"/>
        <v>-6.4285714285713391E-3</v>
      </c>
      <c r="I214" s="69">
        <v>-0.08</v>
      </c>
      <c r="J214">
        <v>1</v>
      </c>
      <c r="L214" s="69">
        <v>-8.2500000000000004E-2</v>
      </c>
      <c r="M214" s="1">
        <f t="shared" si="1"/>
        <v>0.25076293217359308</v>
      </c>
      <c r="O214" s="40"/>
      <c r="P214" s="73">
        <f>($K$204*-3)+$K$202</f>
        <v>-8.7427009345003831E-2</v>
      </c>
      <c r="Q214" s="1">
        <v>2</v>
      </c>
    </row>
    <row r="215" spans="1:17" ht="15">
      <c r="A215" s="61">
        <v>98.52</v>
      </c>
      <c r="B215" s="61">
        <v>100.66</v>
      </c>
      <c r="C215" s="61">
        <v>98.36</v>
      </c>
      <c r="D215" s="61">
        <v>100.24</v>
      </c>
      <c r="E215" s="61">
        <v>1490929</v>
      </c>
      <c r="F215" s="61" t="s">
        <v>217</v>
      </c>
      <c r="G215" s="25">
        <f t="shared" si="0"/>
        <v>-1.715881883479653E-2</v>
      </c>
      <c r="I215" s="69">
        <v>-7.7499999999999999E-2</v>
      </c>
      <c r="J215">
        <v>2</v>
      </c>
      <c r="L215" s="69">
        <v>-0.08</v>
      </c>
      <c r="M215" s="1">
        <f t="shared" si="1"/>
        <v>0.31886335123132242</v>
      </c>
      <c r="O215" s="39" t="s">
        <v>150</v>
      </c>
      <c r="P215" s="73">
        <f>($K$204*-2)+$K$202</f>
        <v>-5.8426493440665257E-2</v>
      </c>
      <c r="Q215" s="1">
        <v>0</v>
      </c>
    </row>
    <row r="216" spans="1:17" ht="15">
      <c r="A216" s="61">
        <v>100.13</v>
      </c>
      <c r="B216" s="61">
        <v>101.44</v>
      </c>
      <c r="C216" s="61">
        <v>99.694999999999993</v>
      </c>
      <c r="D216" s="61">
        <v>100.63</v>
      </c>
      <c r="E216" s="61">
        <v>1141606</v>
      </c>
      <c r="F216" s="61" t="s">
        <v>218</v>
      </c>
      <c r="G216" s="25">
        <f t="shared" si="0"/>
        <v>-4.9686972075921876E-3</v>
      </c>
      <c r="I216" s="69">
        <v>-7.4999999999999997E-2</v>
      </c>
      <c r="J216">
        <v>2</v>
      </c>
      <c r="L216" s="69">
        <v>-7.7499999999999999E-2</v>
      </c>
      <c r="M216" s="1">
        <f t="shared" si="1"/>
        <v>0.40245606106246956</v>
      </c>
      <c r="O216" s="40"/>
      <c r="P216" s="73">
        <f>($K$204*-2)+$K$202</f>
        <v>-5.8426493440665257E-2</v>
      </c>
      <c r="Q216" s="1">
        <v>3</v>
      </c>
    </row>
    <row r="217" spans="1:17" ht="15">
      <c r="A217" s="61">
        <v>101</v>
      </c>
      <c r="B217" s="61">
        <v>103.02</v>
      </c>
      <c r="C217" s="61">
        <v>100.51</v>
      </c>
      <c r="D217" s="61">
        <v>101.61499999999999</v>
      </c>
      <c r="E217" s="61">
        <v>1196169</v>
      </c>
      <c r="F217" s="61" t="s">
        <v>219</v>
      </c>
      <c r="G217" s="25">
        <f t="shared" si="0"/>
        <v>-6.0522560645573931E-3</v>
      </c>
      <c r="I217" s="69">
        <v>-7.2499999999999995E-2</v>
      </c>
      <c r="J217">
        <v>4</v>
      </c>
      <c r="L217" s="69">
        <v>-7.4999999999999997E-2</v>
      </c>
      <c r="M217" s="1">
        <f t="shared" si="1"/>
        <v>0.50420243395655084</v>
      </c>
      <c r="O217" s="41" t="s">
        <v>151</v>
      </c>
      <c r="P217" s="73">
        <f>($K$204*-1)+$K$202</f>
        <v>-2.9425977536326687E-2</v>
      </c>
      <c r="Q217" s="1">
        <v>0</v>
      </c>
    </row>
    <row r="218" spans="1:17" ht="15">
      <c r="A218" s="61">
        <v>102.24</v>
      </c>
      <c r="B218" s="61">
        <v>102.74</v>
      </c>
      <c r="C218" s="61">
        <v>99.894999999999996</v>
      </c>
      <c r="D218" s="61">
        <v>100.28</v>
      </c>
      <c r="E218" s="61">
        <v>1647238</v>
      </c>
      <c r="F218" s="61" t="s">
        <v>220</v>
      </c>
      <c r="G218" s="25">
        <f t="shared" si="0"/>
        <v>1.9545273234942151E-2</v>
      </c>
      <c r="I218" s="69">
        <v>-6.9999999999999993E-2</v>
      </c>
      <c r="J218">
        <v>0</v>
      </c>
      <c r="L218" s="69">
        <v>-7.2499999999999995E-2</v>
      </c>
      <c r="M218" s="1">
        <f t="shared" si="1"/>
        <v>0.62699489193629421</v>
      </c>
      <c r="P218" s="73">
        <f>($K$204*-1)+$K$202</f>
        <v>-2.9425977536326687E-2</v>
      </c>
      <c r="Q218" s="1">
        <v>9</v>
      </c>
    </row>
    <row r="219" spans="1:17" ht="14.25" customHeight="1">
      <c r="A219" s="61">
        <v>97.49</v>
      </c>
      <c r="B219" s="61">
        <v>102.42</v>
      </c>
      <c r="C219" s="61">
        <v>96.75</v>
      </c>
      <c r="D219" s="61">
        <v>101.7</v>
      </c>
      <c r="E219" s="61">
        <v>1729151</v>
      </c>
      <c r="F219" s="61" t="s">
        <v>221</v>
      </c>
      <c r="G219" s="25">
        <f t="shared" si="0"/>
        <v>-4.139626352015735E-2</v>
      </c>
      <c r="I219" s="69">
        <v>-6.7499999999999991E-2</v>
      </c>
      <c r="J219">
        <v>1</v>
      </c>
      <c r="L219" s="69">
        <v>-6.9999999999999993E-2</v>
      </c>
      <c r="M219" s="1">
        <f t="shared" si="1"/>
        <v>0.77391928160875956</v>
      </c>
      <c r="O219" s="1" t="s">
        <v>152</v>
      </c>
      <c r="P219" s="73">
        <f>($K$204*1)+$K$202</f>
        <v>2.8575054272350454E-2</v>
      </c>
      <c r="Q219" s="1">
        <v>0</v>
      </c>
    </row>
    <row r="220" spans="1:17" ht="14.25" customHeight="1">
      <c r="A220" s="61">
        <v>103.66</v>
      </c>
      <c r="B220" s="61">
        <v>103.89</v>
      </c>
      <c r="C220" s="61">
        <v>101.29</v>
      </c>
      <c r="D220" s="61">
        <v>103.13</v>
      </c>
      <c r="E220" s="61">
        <v>1262787</v>
      </c>
      <c r="F220" s="61" t="s">
        <v>222</v>
      </c>
      <c r="G220" s="25">
        <f t="shared" si="0"/>
        <v>5.1391447687385572E-3</v>
      </c>
      <c r="I220" s="69">
        <v>-6.4999999999999988E-2</v>
      </c>
      <c r="J220">
        <v>2</v>
      </c>
      <c r="L220" s="69">
        <v>-6.7499999999999991E-2</v>
      </c>
      <c r="M220" s="1">
        <f t="shared" si="1"/>
        <v>0.94819995525171219</v>
      </c>
      <c r="P220" s="73">
        <f>($K$204*1)+$K$202</f>
        <v>2.8575054272350454E-2</v>
      </c>
      <c r="Q220" s="1">
        <v>9</v>
      </c>
    </row>
    <row r="221" spans="1:17" ht="15">
      <c r="A221" s="61">
        <v>104.29</v>
      </c>
      <c r="B221" s="61">
        <v>107.08</v>
      </c>
      <c r="C221" s="61">
        <v>103.8</v>
      </c>
      <c r="D221" s="61">
        <v>106.122</v>
      </c>
      <c r="E221" s="61">
        <v>1049096</v>
      </c>
      <c r="F221" s="61" t="s">
        <v>223</v>
      </c>
      <c r="G221" s="25">
        <f t="shared" si="0"/>
        <v>-1.7263149959480528E-2</v>
      </c>
      <c r="I221" s="69">
        <v>-6.2499999999999986E-2</v>
      </c>
      <c r="J221">
        <v>3</v>
      </c>
      <c r="L221" s="69">
        <v>-6.4999999999999988E-2</v>
      </c>
      <c r="M221" s="1">
        <f t="shared" si="1"/>
        <v>1.1531260768940996</v>
      </c>
      <c r="O221" s="42" t="s">
        <v>153</v>
      </c>
      <c r="P221" s="73">
        <f>($K$204*2)+$K$202</f>
        <v>5.7575570176689024E-2</v>
      </c>
      <c r="Q221" s="1">
        <v>0</v>
      </c>
    </row>
    <row r="222" spans="1:17" ht="15">
      <c r="A222" s="61">
        <v>105.15</v>
      </c>
      <c r="B222" s="61">
        <v>106.3199</v>
      </c>
      <c r="C222" s="61">
        <v>102.77</v>
      </c>
      <c r="D222" s="61">
        <v>102.77</v>
      </c>
      <c r="E222" s="61">
        <v>1333038</v>
      </c>
      <c r="F222" s="61" t="s">
        <v>224</v>
      </c>
      <c r="G222" s="25">
        <f t="shared" si="0"/>
        <v>2.315850929259522E-2</v>
      </c>
      <c r="I222" s="69">
        <v>-5.9999999999999984E-2</v>
      </c>
      <c r="J222">
        <v>2</v>
      </c>
      <c r="L222" s="69">
        <v>-6.2499999999999986E-2</v>
      </c>
      <c r="M222" s="1">
        <f t="shared" si="1"/>
        <v>1.3919583985656905</v>
      </c>
      <c r="P222" s="73">
        <f>($K$204*2)+$K$202</f>
        <v>5.7575570176689024E-2</v>
      </c>
      <c r="Q222" s="1">
        <v>3</v>
      </c>
    </row>
    <row r="223" spans="1:17" ht="15">
      <c r="A223" s="61">
        <v>102.24</v>
      </c>
      <c r="B223" s="61">
        <v>103.7099</v>
      </c>
      <c r="C223" s="61">
        <v>101.79</v>
      </c>
      <c r="D223" s="61">
        <v>102.6</v>
      </c>
      <c r="E223" s="61">
        <v>1348041</v>
      </c>
      <c r="F223" s="61" t="s">
        <v>225</v>
      </c>
      <c r="G223" s="25">
        <f t="shared" si="0"/>
        <v>-3.5087719298245723E-3</v>
      </c>
      <c r="I223" s="69">
        <v>-5.7499999999999982E-2</v>
      </c>
      <c r="J223">
        <v>3</v>
      </c>
      <c r="L223" s="69">
        <v>-5.9999999999999984E-2</v>
      </c>
      <c r="M223" s="1">
        <f t="shared" si="1"/>
        <v>1.6678166969979034</v>
      </c>
      <c r="O223" s="42" t="s">
        <v>154</v>
      </c>
      <c r="P223" s="73">
        <f>($K$204*3)+$K$202</f>
        <v>8.6576086081027598E-2</v>
      </c>
      <c r="Q223" s="1">
        <v>0</v>
      </c>
    </row>
    <row r="224" spans="1:17" ht="15">
      <c r="A224" s="61">
        <v>101.46</v>
      </c>
      <c r="B224" s="61">
        <v>101.53</v>
      </c>
      <c r="C224" s="61">
        <v>99.91</v>
      </c>
      <c r="D224" s="61">
        <v>99.91</v>
      </c>
      <c r="E224" s="61">
        <v>1090546</v>
      </c>
      <c r="F224" s="61" t="s">
        <v>226</v>
      </c>
      <c r="G224" s="25">
        <f t="shared" si="0"/>
        <v>1.5513962566309658E-2</v>
      </c>
      <c r="I224" s="69">
        <v>-5.4999999999999979E-2</v>
      </c>
      <c r="J224">
        <v>4</v>
      </c>
      <c r="L224" s="69">
        <v>-5.7499999999999982E-2</v>
      </c>
      <c r="M224" s="1">
        <f t="shared" si="1"/>
        <v>1.9835492054288495</v>
      </c>
      <c r="O224" s="42"/>
      <c r="P224" s="73">
        <f>($K$204*3)+$K$202</f>
        <v>8.6576086081027598E-2</v>
      </c>
      <c r="Q224" s="1">
        <v>2</v>
      </c>
    </row>
    <row r="225" spans="1:13" ht="15">
      <c r="A225" s="61">
        <v>100.17</v>
      </c>
      <c r="B225" s="61">
        <v>101.54</v>
      </c>
      <c r="C225" s="61">
        <v>98.584999999999994</v>
      </c>
      <c r="D225" s="61">
        <v>99.314999999999998</v>
      </c>
      <c r="E225" s="61">
        <v>1736502</v>
      </c>
      <c r="F225" s="61" t="s">
        <v>227</v>
      </c>
      <c r="G225" s="25">
        <f t="shared" si="0"/>
        <v>8.6089714544630436E-3</v>
      </c>
      <c r="I225" s="69">
        <v>-5.2499999999999977E-2</v>
      </c>
      <c r="J225">
        <v>3</v>
      </c>
      <c r="L225" s="69">
        <v>-5.4999999999999979E-2</v>
      </c>
      <c r="M225" s="1">
        <f t="shared" si="1"/>
        <v>2.3415866788318982</v>
      </c>
    </row>
    <row r="226" spans="1:13" ht="15">
      <c r="A226" s="61">
        <v>99.01</v>
      </c>
      <c r="B226" s="61">
        <v>102.27</v>
      </c>
      <c r="C226" s="61">
        <v>98.99</v>
      </c>
      <c r="D226" s="61">
        <v>101.87</v>
      </c>
      <c r="E226" s="61">
        <v>1624745</v>
      </c>
      <c r="F226" s="61" t="s">
        <v>228</v>
      </c>
      <c r="G226" s="25">
        <f t="shared" si="0"/>
        <v>-2.8074997545891822E-2</v>
      </c>
      <c r="I226" s="69">
        <v>-4.9999999999999975E-2</v>
      </c>
      <c r="J226">
        <v>3</v>
      </c>
      <c r="L226" s="69">
        <v>-5.2499999999999977E-2</v>
      </c>
      <c r="M226" s="1">
        <f t="shared" si="1"/>
        <v>2.7437851324012095</v>
      </c>
    </row>
    <row r="227" spans="1:13" ht="15">
      <c r="A227" s="61">
        <v>102.17</v>
      </c>
      <c r="B227" s="61">
        <v>102.79</v>
      </c>
      <c r="C227" s="61">
        <v>99.7</v>
      </c>
      <c r="D227" s="61">
        <v>100.76</v>
      </c>
      <c r="E227" s="61">
        <v>979102</v>
      </c>
      <c r="F227" s="61" t="s">
        <v>229</v>
      </c>
      <c r="G227" s="25">
        <f t="shared" si="0"/>
        <v>1.3993648273124215E-2</v>
      </c>
      <c r="I227" s="69">
        <v>-4.7499999999999973E-2</v>
      </c>
      <c r="J227">
        <v>2</v>
      </c>
      <c r="L227" s="69">
        <v>-4.9999999999999975E-2</v>
      </c>
      <c r="M227" s="1">
        <f t="shared" si="1"/>
        <v>3.1912627105084654</v>
      </c>
    </row>
    <row r="228" spans="1:13" ht="15">
      <c r="A228" s="61">
        <v>101.42</v>
      </c>
      <c r="B228" s="61">
        <v>102.61</v>
      </c>
      <c r="C228" s="61">
        <v>99.87</v>
      </c>
      <c r="D228" s="61">
        <v>100.89</v>
      </c>
      <c r="E228" s="61">
        <v>1709086</v>
      </c>
      <c r="F228" s="61" t="s">
        <v>230</v>
      </c>
      <c r="G228" s="25">
        <f t="shared" si="0"/>
        <v>5.2532461096244099E-3</v>
      </c>
      <c r="I228" s="69">
        <v>-4.4999999999999971E-2</v>
      </c>
      <c r="J228">
        <v>8</v>
      </c>
      <c r="L228" s="69">
        <v>-4.7499999999999973E-2</v>
      </c>
      <c r="M228" s="1">
        <f t="shared" si="1"/>
        <v>3.684237477198713</v>
      </c>
    </row>
    <row r="229" spans="1:13" ht="15">
      <c r="A229" s="61">
        <v>102</v>
      </c>
      <c r="B229" s="61">
        <v>102.935</v>
      </c>
      <c r="C229" s="61">
        <v>100.79</v>
      </c>
      <c r="D229" s="61">
        <v>102.64</v>
      </c>
      <c r="E229" s="61">
        <v>1501080</v>
      </c>
      <c r="F229" s="61" t="s">
        <v>231</v>
      </c>
      <c r="G229" s="25">
        <f t="shared" si="0"/>
        <v>-6.2353858144972296E-3</v>
      </c>
      <c r="I229" s="69">
        <v>-4.2499999999999968E-2</v>
      </c>
      <c r="J229">
        <v>6</v>
      </c>
      <c r="L229" s="69">
        <v>-4.4999999999999971E-2</v>
      </c>
      <c r="M229" s="1">
        <f t="shared" si="1"/>
        <v>4.2218740582230403</v>
      </c>
    </row>
    <row r="230" spans="1:13" ht="15">
      <c r="A230" s="61">
        <v>103.91</v>
      </c>
      <c r="B230" s="61">
        <v>108.72</v>
      </c>
      <c r="C230" s="61">
        <v>103.74</v>
      </c>
      <c r="D230" s="61">
        <v>108.72</v>
      </c>
      <c r="E230" s="61">
        <v>1488386</v>
      </c>
      <c r="F230" s="61" t="s">
        <v>232</v>
      </c>
      <c r="G230" s="25">
        <f t="shared" si="0"/>
        <v>-4.4242089771891147E-2</v>
      </c>
      <c r="I230" s="69">
        <v>-3.9999999999999966E-2</v>
      </c>
      <c r="J230">
        <v>10</v>
      </c>
      <c r="L230" s="69">
        <v>-4.2499999999999968E-2</v>
      </c>
      <c r="M230" s="1">
        <f t="shared" si="1"/>
        <v>4.8021478927880477</v>
      </c>
    </row>
    <row r="231" spans="1:13" ht="15">
      <c r="A231" s="61">
        <v>106.88</v>
      </c>
      <c r="B231" s="61">
        <v>110.38</v>
      </c>
      <c r="C231" s="61">
        <v>106.57</v>
      </c>
      <c r="D231" s="61">
        <v>109.97</v>
      </c>
      <c r="E231" s="61">
        <v>902169</v>
      </c>
      <c r="F231" s="61" t="s">
        <v>233</v>
      </c>
      <c r="G231" s="25">
        <f t="shared" si="0"/>
        <v>-2.8098572337910355E-2</v>
      </c>
      <c r="I231" s="69">
        <v>-3.7499999999999964E-2</v>
      </c>
      <c r="J231">
        <v>11</v>
      </c>
      <c r="L231" s="69">
        <v>-3.9999999999999966E-2</v>
      </c>
      <c r="M231" s="1">
        <f t="shared" si="1"/>
        <v>5.4217362597404861</v>
      </c>
    </row>
    <row r="232" spans="1:13" ht="15">
      <c r="A232" s="61">
        <v>109.95</v>
      </c>
      <c r="B232" s="61">
        <v>110.9</v>
      </c>
      <c r="C232" s="61">
        <v>107.93</v>
      </c>
      <c r="D232" s="61">
        <v>109.97</v>
      </c>
      <c r="E232" s="61">
        <v>1318636</v>
      </c>
      <c r="F232" s="61" t="s">
        <v>234</v>
      </c>
      <c r="G232" s="25">
        <f t="shared" si="0"/>
        <v>-1.8186778212236909E-4</v>
      </c>
      <c r="I232" s="69">
        <v>-3.4999999999999962E-2</v>
      </c>
      <c r="J232">
        <v>13</v>
      </c>
      <c r="L232" s="69">
        <v>-3.7499999999999964E-2</v>
      </c>
      <c r="M232" s="1">
        <f t="shared" si="1"/>
        <v>6.0759451323117339</v>
      </c>
    </row>
    <row r="233" spans="1:13" ht="15">
      <c r="A233" s="61">
        <v>108.29</v>
      </c>
      <c r="B233" s="61">
        <v>109.5</v>
      </c>
      <c r="C233" s="61">
        <v>106.36</v>
      </c>
      <c r="D233" s="61">
        <v>107.36</v>
      </c>
      <c r="E233" s="61">
        <v>1608307</v>
      </c>
      <c r="F233" s="61" t="s">
        <v>235</v>
      </c>
      <c r="G233" s="25">
        <f t="shared" si="0"/>
        <v>8.6624441132638896E-3</v>
      </c>
      <c r="I233" s="69">
        <v>-3.2499999999999959E-2</v>
      </c>
      <c r="J233">
        <v>10</v>
      </c>
      <c r="L233" s="69">
        <v>-3.4999999999999962E-2</v>
      </c>
      <c r="M233" s="1">
        <f t="shared" si="1"/>
        <v>6.7586802184563251</v>
      </c>
    </row>
    <row r="234" spans="1:13" ht="15">
      <c r="A234" s="61">
        <v>111.38</v>
      </c>
      <c r="B234" s="61">
        <v>112.87</v>
      </c>
      <c r="C234" s="61">
        <v>110.82</v>
      </c>
      <c r="D234" s="61">
        <v>112.7</v>
      </c>
      <c r="E234" s="61">
        <v>1248582</v>
      </c>
      <c r="F234" s="61" t="s">
        <v>236</v>
      </c>
      <c r="G234" s="25">
        <f t="shared" si="0"/>
        <v>-1.1712511091393152E-2</v>
      </c>
      <c r="I234" s="69">
        <v>-2.9999999999999961E-2</v>
      </c>
      <c r="J234">
        <v>12</v>
      </c>
      <c r="L234" s="69">
        <v>-3.2499999999999959E-2</v>
      </c>
      <c r="M234" s="1">
        <f t="shared" si="1"/>
        <v>7.4624692268834005</v>
      </c>
    </row>
    <row r="235" spans="1:13" ht="15">
      <c r="A235" s="61">
        <v>112.82</v>
      </c>
      <c r="B235" s="61">
        <v>114.98</v>
      </c>
      <c r="C235" s="61">
        <v>111.12</v>
      </c>
      <c r="D235" s="61">
        <v>111.12</v>
      </c>
      <c r="E235" s="61">
        <v>1531483</v>
      </c>
      <c r="F235" s="61" t="s">
        <v>237</v>
      </c>
      <c r="G235" s="25">
        <f t="shared" si="0"/>
        <v>1.529877609791197E-2</v>
      </c>
      <c r="I235" s="69">
        <v>-2.7499999999999962E-2</v>
      </c>
      <c r="J235">
        <v>23</v>
      </c>
      <c r="L235" s="69">
        <v>-2.9999999999999961E-2</v>
      </c>
      <c r="M235" s="1">
        <f t="shared" si="1"/>
        <v>8.1785404727061728</v>
      </c>
    </row>
    <row r="236" spans="1:13" ht="15">
      <c r="A236" s="61">
        <v>112.91</v>
      </c>
      <c r="B236" s="61">
        <v>114.99</v>
      </c>
      <c r="C236" s="61">
        <v>112.62</v>
      </c>
      <c r="D236" s="61">
        <v>114.48</v>
      </c>
      <c r="E236" s="61">
        <v>1636465</v>
      </c>
      <c r="F236" s="61" t="s">
        <v>238</v>
      </c>
      <c r="G236" s="25">
        <f t="shared" si="0"/>
        <v>-1.371418588399731E-2</v>
      </c>
      <c r="I236" s="69">
        <v>-2.4999999999999963E-2</v>
      </c>
      <c r="J236">
        <v>16</v>
      </c>
      <c r="L236" s="69">
        <v>-2.7499999999999962E-2</v>
      </c>
      <c r="M236" s="1">
        <f t="shared" si="1"/>
        <v>8.8969604606871524</v>
      </c>
    </row>
    <row r="237" spans="1:13" ht="15">
      <c r="A237" s="61">
        <v>114.73</v>
      </c>
      <c r="B237" s="61">
        <v>116.11</v>
      </c>
      <c r="C237" s="61">
        <v>114.24</v>
      </c>
      <c r="D237" s="61">
        <v>114.63</v>
      </c>
      <c r="E237" s="61">
        <v>1591657</v>
      </c>
      <c r="F237" s="61" t="s">
        <v>239</v>
      </c>
      <c r="G237" s="25">
        <f t="shared" si="0"/>
        <v>8.7237197941214539E-4</v>
      </c>
      <c r="I237" s="69">
        <v>-2.2499999999999964E-2</v>
      </c>
      <c r="J237">
        <v>26</v>
      </c>
      <c r="L237" s="69">
        <v>-2.4999999999999963E-2</v>
      </c>
      <c r="M237" s="1">
        <f t="shared" si="1"/>
        <v>9.6068301676304397</v>
      </c>
    </row>
    <row r="238" spans="1:13" ht="15">
      <c r="A238" s="61">
        <v>117.55</v>
      </c>
      <c r="B238" s="61">
        <v>118.28</v>
      </c>
      <c r="C238" s="61">
        <v>116.59</v>
      </c>
      <c r="D238" s="61">
        <v>117.27</v>
      </c>
      <c r="E238" s="61">
        <v>925569</v>
      </c>
      <c r="F238" s="61" t="s">
        <v>240</v>
      </c>
      <c r="G238" s="25">
        <f t="shared" si="0"/>
        <v>2.387652426025344E-3</v>
      </c>
      <c r="I238" s="69">
        <v>-1.9999999999999966E-2</v>
      </c>
      <c r="J238">
        <v>22</v>
      </c>
      <c r="L238" s="69">
        <v>-2.2499999999999964E-2</v>
      </c>
      <c r="M238" s="1">
        <f t="shared" si="1"/>
        <v>10.296536544146889</v>
      </c>
    </row>
    <row r="239" spans="1:13" ht="15">
      <c r="A239" s="61">
        <v>117.27</v>
      </c>
      <c r="B239" s="61">
        <v>118.91</v>
      </c>
      <c r="C239" s="61">
        <v>116.92</v>
      </c>
      <c r="D239" s="61">
        <v>118.2</v>
      </c>
      <c r="E239" s="61">
        <v>1248029</v>
      </c>
      <c r="F239" s="61" t="s">
        <v>241</v>
      </c>
      <c r="G239" s="25">
        <f t="shared" si="0"/>
        <v>-7.8680203045685682E-3</v>
      </c>
      <c r="I239" s="69">
        <v>-1.7499999999999967E-2</v>
      </c>
      <c r="J239">
        <v>39</v>
      </c>
      <c r="L239" s="69">
        <v>-1.9999999999999966E-2</v>
      </c>
      <c r="M239" s="1">
        <f t="shared" si="1"/>
        <v>10.954052463431614</v>
      </c>
    </row>
    <row r="240" spans="1:13" ht="15">
      <c r="A240" s="61">
        <v>118.26</v>
      </c>
      <c r="B240" s="61">
        <v>120.69</v>
      </c>
      <c r="C240" s="61">
        <v>117.98</v>
      </c>
      <c r="D240" s="61">
        <v>120</v>
      </c>
      <c r="E240" s="61">
        <v>1879562</v>
      </c>
      <c r="F240" s="61" t="s">
        <v>242</v>
      </c>
      <c r="G240" s="25">
        <f t="shared" si="0"/>
        <v>-1.4499999999999957E-2</v>
      </c>
      <c r="I240" s="69">
        <v>-1.4999999999999966E-2</v>
      </c>
      <c r="J240">
        <v>41</v>
      </c>
      <c r="L240" s="69">
        <v>-1.7499999999999967E-2</v>
      </c>
      <c r="M240" s="1">
        <f t="shared" si="1"/>
        <v>11.567275179954185</v>
      </c>
    </row>
    <row r="241" spans="1:13" ht="15">
      <c r="A241" s="61">
        <v>120.26</v>
      </c>
      <c r="B241" s="61">
        <v>121.21</v>
      </c>
      <c r="C241" s="61">
        <v>118.43</v>
      </c>
      <c r="D241" s="61">
        <v>120</v>
      </c>
      <c r="E241" s="61">
        <v>1855490</v>
      </c>
      <c r="F241" s="61" t="s">
        <v>243</v>
      </c>
      <c r="G241" s="25">
        <f t="shared" si="0"/>
        <v>2.1666666666666501E-3</v>
      </c>
      <c r="I241" s="69">
        <v>-1.2499999999999966E-2</v>
      </c>
      <c r="J241">
        <v>45</v>
      </c>
      <c r="L241" s="69">
        <v>-1.4999999999999966E-2</v>
      </c>
      <c r="M241" s="1">
        <f t="shared" si="1"/>
        <v>12.124390552519044</v>
      </c>
    </row>
    <row r="242" spans="1:13" ht="15">
      <c r="A242" s="61">
        <v>118.85</v>
      </c>
      <c r="B242" s="61">
        <v>122.84</v>
      </c>
      <c r="C242" s="61">
        <v>115.34</v>
      </c>
      <c r="D242" s="61">
        <v>119.59</v>
      </c>
      <c r="E242" s="61">
        <v>3032398</v>
      </c>
      <c r="F242" s="61" t="s">
        <v>244</v>
      </c>
      <c r="G242" s="25">
        <f t="shared" si="0"/>
        <v>-6.1878083451794019E-3</v>
      </c>
      <c r="I242" s="69">
        <v>-9.9999999999999655E-3</v>
      </c>
      <c r="J242">
        <v>34</v>
      </c>
      <c r="L242" s="69">
        <v>-1.2499999999999966E-2</v>
      </c>
      <c r="M242" s="1">
        <f t="shared" si="1"/>
        <v>12.614248053407055</v>
      </c>
    </row>
    <row r="243" spans="1:13" ht="15">
      <c r="A243" s="61">
        <v>109.77</v>
      </c>
      <c r="B243" s="61">
        <v>112.21169999999999</v>
      </c>
      <c r="C243" s="61">
        <v>109.1</v>
      </c>
      <c r="D243" s="61">
        <v>109.47</v>
      </c>
      <c r="E243" s="61">
        <v>2145946</v>
      </c>
      <c r="F243" s="61" t="s">
        <v>245</v>
      </c>
      <c r="G243" s="25">
        <f t="shared" si="0"/>
        <v>2.7404768429706294E-3</v>
      </c>
      <c r="I243" s="69">
        <v>-7.499999999999965E-3</v>
      </c>
      <c r="J243">
        <v>43</v>
      </c>
      <c r="L243" s="69">
        <v>-9.9999999999999655E-3</v>
      </c>
      <c r="M243" s="1">
        <f t="shared" ref="M243:M274" si="2">_xlfn.NORM.DIST(L243,$K$202,$K$204,FALSE)</f>
        <v>13.026730119589288</v>
      </c>
    </row>
    <row r="244" spans="1:13" ht="15">
      <c r="A244" s="61">
        <v>110.65</v>
      </c>
      <c r="B244" s="61">
        <v>112.69</v>
      </c>
      <c r="C244" s="61">
        <v>102.3052</v>
      </c>
      <c r="D244" s="61">
        <v>107.3</v>
      </c>
      <c r="E244" s="61">
        <v>4195020</v>
      </c>
      <c r="F244" s="61" t="s">
        <v>246</v>
      </c>
      <c r="G244" s="25">
        <f t="shared" si="0"/>
        <v>3.1220876048462243E-2</v>
      </c>
      <c r="I244" s="69">
        <v>-4.9999999999999645E-3</v>
      </c>
      <c r="J244">
        <v>45</v>
      </c>
      <c r="L244" s="69">
        <v>-7.499999999999965E-3</v>
      </c>
      <c r="M244" s="1">
        <f t="shared" si="2"/>
        <v>13.353098848748319</v>
      </c>
    </row>
    <row r="245" spans="1:13" ht="15">
      <c r="A245" s="61">
        <v>100.76</v>
      </c>
      <c r="B245" s="61">
        <v>101.31</v>
      </c>
      <c r="C245" s="61">
        <v>98.87</v>
      </c>
      <c r="D245" s="61">
        <v>99.515000000000001</v>
      </c>
      <c r="E245" s="61">
        <v>2468166</v>
      </c>
      <c r="F245" s="61" t="s">
        <v>247</v>
      </c>
      <c r="G245" s="25">
        <f t="shared" si="0"/>
        <v>1.2510676782394592E-2</v>
      </c>
      <c r="I245" s="69">
        <v>-2.4999999999999645E-3</v>
      </c>
      <c r="J245">
        <v>43</v>
      </c>
      <c r="L245" s="69">
        <v>-4.9999999999999645E-3</v>
      </c>
      <c r="M245" s="1">
        <f t="shared" si="2"/>
        <v>13.586303486797114</v>
      </c>
    </row>
    <row r="246" spans="1:13" ht="15">
      <c r="A246" s="61">
        <v>98.78</v>
      </c>
      <c r="B246" s="61">
        <v>101.17</v>
      </c>
      <c r="C246" s="61">
        <v>98.14</v>
      </c>
      <c r="D246" s="61">
        <v>99.7</v>
      </c>
      <c r="E246" s="61">
        <v>1563520</v>
      </c>
      <c r="F246" s="61" t="s">
        <v>248</v>
      </c>
      <c r="G246" s="25">
        <f t="shared" si="0"/>
        <v>-9.2276830491474504E-3</v>
      </c>
      <c r="I246" s="69">
        <v>3.5561831257524545E-17</v>
      </c>
      <c r="J246">
        <v>41</v>
      </c>
      <c r="L246" s="69">
        <v>-2.4999999999999645E-3</v>
      </c>
      <c r="M246" s="1">
        <f t="shared" si="2"/>
        <v>13.721233608665008</v>
      </c>
    </row>
    <row r="247" spans="1:13" ht="15">
      <c r="A247" s="61">
        <v>100.79</v>
      </c>
      <c r="B247" s="61">
        <v>102.95</v>
      </c>
      <c r="C247" s="61">
        <v>99.77</v>
      </c>
      <c r="D247" s="61">
        <v>101.04</v>
      </c>
      <c r="E247" s="61">
        <v>2237047</v>
      </c>
      <c r="F247" s="61" t="s">
        <v>249</v>
      </c>
      <c r="G247" s="25">
        <f t="shared" si="0"/>
        <v>-2.474267616785486E-3</v>
      </c>
      <c r="I247" s="69">
        <v>2.5000000000000356E-3</v>
      </c>
      <c r="J247">
        <v>29</v>
      </c>
      <c r="L247" s="69">
        <v>3.5561831257524545E-17</v>
      </c>
      <c r="M247" s="1">
        <f t="shared" si="2"/>
        <v>13.754905299143889</v>
      </c>
    </row>
    <row r="248" spans="1:13" ht="15">
      <c r="A248" s="61">
        <v>97.49</v>
      </c>
      <c r="B248" s="61">
        <v>97.69</v>
      </c>
      <c r="C248" s="61">
        <v>95.22</v>
      </c>
      <c r="D248" s="61">
        <v>96.43</v>
      </c>
      <c r="E248" s="61">
        <v>1200171</v>
      </c>
      <c r="F248" s="61" t="s">
        <v>250</v>
      </c>
      <c r="G248" s="25">
        <f t="shared" si="0"/>
        <v>1.0992429741781384E-2</v>
      </c>
      <c r="I248" s="69">
        <v>5.0000000000000357E-3</v>
      </c>
      <c r="J248">
        <v>31</v>
      </c>
      <c r="L248" s="69">
        <v>2.5000000000000356E-3</v>
      </c>
      <c r="M248" s="1">
        <f t="shared" si="2"/>
        <v>13.686570861576614</v>
      </c>
    </row>
    <row r="249" spans="1:13" ht="15">
      <c r="A249" s="61">
        <v>94.72</v>
      </c>
      <c r="B249" s="61">
        <v>96.614999999999995</v>
      </c>
      <c r="C249" s="61">
        <v>94.24</v>
      </c>
      <c r="D249" s="61">
        <v>96.51</v>
      </c>
      <c r="E249" s="61">
        <v>934538</v>
      </c>
      <c r="F249" s="61" t="s">
        <v>251</v>
      </c>
      <c r="G249" s="25">
        <f t="shared" si="0"/>
        <v>-1.8547300797844835E-2</v>
      </c>
      <c r="I249" s="69">
        <v>7.5000000000000362E-3</v>
      </c>
      <c r="J249">
        <v>38</v>
      </c>
      <c r="L249" s="69">
        <v>5.0000000000000357E-3</v>
      </c>
      <c r="M249" s="1">
        <f t="shared" si="2"/>
        <v>13.517746421210422</v>
      </c>
    </row>
    <row r="250" spans="1:13" ht="15">
      <c r="A250" s="61">
        <v>96.42</v>
      </c>
      <c r="B250" s="61">
        <v>96.68</v>
      </c>
      <c r="C250" s="61">
        <v>92.89</v>
      </c>
      <c r="D250" s="61">
        <v>93.8</v>
      </c>
      <c r="E250" s="61">
        <v>1643166</v>
      </c>
      <c r="F250" s="61" t="s">
        <v>252</v>
      </c>
      <c r="G250" s="25">
        <f t="shared" si="0"/>
        <v>2.7931769722814526E-2</v>
      </c>
      <c r="I250" s="69">
        <v>1.0000000000000037E-2</v>
      </c>
      <c r="J250">
        <v>33</v>
      </c>
      <c r="L250" s="69">
        <v>7.5000000000000362E-3</v>
      </c>
      <c r="M250" s="1">
        <f t="shared" si="2"/>
        <v>13.252156000051018</v>
      </c>
    </row>
    <row r="251" spans="1:13" ht="15">
      <c r="A251" s="61">
        <v>96.1</v>
      </c>
      <c r="B251" s="61">
        <v>96.555000000000007</v>
      </c>
      <c r="C251" s="61">
        <v>93.99</v>
      </c>
      <c r="D251" s="61">
        <v>95.35</v>
      </c>
      <c r="E251" s="61">
        <v>1341691</v>
      </c>
      <c r="F251" s="61" t="s">
        <v>253</v>
      </c>
      <c r="G251" s="25">
        <f t="shared" si="0"/>
        <v>7.8657577346616936E-3</v>
      </c>
      <c r="I251" s="69">
        <v>1.2500000000000037E-2</v>
      </c>
      <c r="J251">
        <v>34</v>
      </c>
      <c r="L251" s="69">
        <v>1.0000000000000037E-2</v>
      </c>
      <c r="M251" s="1">
        <f t="shared" si="2"/>
        <v>12.895594944173512</v>
      </c>
    </row>
    <row r="252" spans="1:13" ht="15">
      <c r="A252" s="61">
        <v>96.23</v>
      </c>
      <c r="B252" s="61">
        <v>98.12</v>
      </c>
      <c r="C252" s="61">
        <v>94.776300000000006</v>
      </c>
      <c r="D252" s="61">
        <v>97.98</v>
      </c>
      <c r="E252" s="61">
        <v>1480551</v>
      </c>
      <c r="F252" s="61" t="s">
        <v>254</v>
      </c>
      <c r="G252" s="25">
        <f t="shared" ref="G252:G315" si="3">A252/D252-1</f>
        <v>-1.7860787915901177E-2</v>
      </c>
      <c r="I252" s="69">
        <v>1.5000000000000038E-2</v>
      </c>
      <c r="J252">
        <v>25</v>
      </c>
      <c r="L252" s="69">
        <v>1.2500000000000037E-2</v>
      </c>
      <c r="M252" s="1">
        <f t="shared" si="2"/>
        <v>12.455719698221465</v>
      </c>
    </row>
    <row r="253" spans="1:13" ht="15">
      <c r="A253" s="61">
        <v>97.68</v>
      </c>
      <c r="B253" s="61">
        <v>98.3</v>
      </c>
      <c r="C253" s="61">
        <v>95.5</v>
      </c>
      <c r="D253" s="61">
        <v>97.65</v>
      </c>
      <c r="E253" s="61">
        <v>1302755</v>
      </c>
      <c r="F253" s="61" t="s">
        <v>255</v>
      </c>
      <c r="G253" s="25">
        <f t="shared" si="3"/>
        <v>3.0721966205837781E-4</v>
      </c>
      <c r="I253" s="69">
        <v>1.7500000000000036E-2</v>
      </c>
      <c r="J253">
        <v>25</v>
      </c>
      <c r="L253" s="69">
        <v>1.5000000000000038E-2</v>
      </c>
      <c r="M253" s="1">
        <f t="shared" si="2"/>
        <v>11.941774576136407</v>
      </c>
    </row>
    <row r="254" spans="1:13" ht="15">
      <c r="A254" s="61">
        <v>98.73</v>
      </c>
      <c r="B254" s="61">
        <v>99.859499999999997</v>
      </c>
      <c r="C254" s="61">
        <v>96.07</v>
      </c>
      <c r="D254" s="61">
        <v>96.91</v>
      </c>
      <c r="E254" s="61">
        <v>1359109</v>
      </c>
      <c r="F254" s="61" t="s">
        <v>256</v>
      </c>
      <c r="G254" s="25">
        <f t="shared" si="3"/>
        <v>1.8780311629346791E-2</v>
      </c>
      <c r="I254" s="69">
        <v>2.0000000000000035E-2</v>
      </c>
      <c r="J254">
        <v>34</v>
      </c>
      <c r="L254" s="69">
        <v>1.7500000000000036E-2</v>
      </c>
      <c r="M254" s="1">
        <f t="shared" si="2"/>
        <v>11.364269139684563</v>
      </c>
    </row>
    <row r="255" spans="1:13" ht="15">
      <c r="A255" s="61">
        <v>95.8</v>
      </c>
      <c r="B255" s="61">
        <v>99.5</v>
      </c>
      <c r="C255" s="61">
        <v>95.43</v>
      </c>
      <c r="D255" s="61">
        <v>96.85</v>
      </c>
      <c r="E255" s="61">
        <v>1897299</v>
      </c>
      <c r="F255" s="61" t="s">
        <v>257</v>
      </c>
      <c r="G255" s="25">
        <f t="shared" si="3"/>
        <v>-1.0841507485802704E-2</v>
      </c>
      <c r="I255" s="69">
        <v>2.2500000000000034E-2</v>
      </c>
      <c r="J255">
        <v>27</v>
      </c>
      <c r="L255" s="69">
        <v>2.0000000000000035E-2</v>
      </c>
      <c r="M255" s="1">
        <f t="shared" si="2"/>
        <v>10.734621889550366</v>
      </c>
    </row>
    <row r="256" spans="1:13" ht="15">
      <c r="A256" s="61">
        <v>93.59</v>
      </c>
      <c r="B256" s="61">
        <v>95.6</v>
      </c>
      <c r="C256" s="61">
        <v>90.5</v>
      </c>
      <c r="D256" s="61">
        <v>90.5</v>
      </c>
      <c r="E256" s="61">
        <v>1471716</v>
      </c>
      <c r="F256" s="61" t="s">
        <v>258</v>
      </c>
      <c r="G256" s="25">
        <f t="shared" si="3"/>
        <v>3.4143646408839823E-2</v>
      </c>
      <c r="I256" s="69">
        <v>2.5000000000000033E-2</v>
      </c>
      <c r="J256">
        <v>25</v>
      </c>
      <c r="L256" s="69">
        <v>2.2500000000000034E-2</v>
      </c>
      <c r="M256" s="1">
        <f t="shared" si="2"/>
        <v>10.064787087773951</v>
      </c>
    </row>
    <row r="257" spans="1:13" ht="15">
      <c r="A257" s="61">
        <v>89.46</v>
      </c>
      <c r="B257" s="61">
        <v>89.7</v>
      </c>
      <c r="C257" s="61">
        <v>87.53</v>
      </c>
      <c r="D257" s="61">
        <v>89.7</v>
      </c>
      <c r="E257" s="61">
        <v>1582600</v>
      </c>
      <c r="F257" s="61" t="s">
        <v>259</v>
      </c>
      <c r="G257" s="25">
        <f t="shared" si="3"/>
        <v>-2.6755852842810235E-3</v>
      </c>
      <c r="I257" s="69">
        <v>2.7500000000000031E-2</v>
      </c>
      <c r="J257">
        <v>28</v>
      </c>
      <c r="L257" s="69">
        <v>2.5000000000000033E-2</v>
      </c>
      <c r="M257" s="1">
        <f t="shared" si="2"/>
        <v>9.3668816295799608</v>
      </c>
    </row>
    <row r="258" spans="1:13" ht="15">
      <c r="A258" s="61">
        <v>90.72</v>
      </c>
      <c r="B258" s="61">
        <v>91.12</v>
      </c>
      <c r="C258" s="61">
        <v>88.25</v>
      </c>
      <c r="D258" s="61">
        <v>89</v>
      </c>
      <c r="E258" s="61">
        <v>1385542</v>
      </c>
      <c r="F258" s="61" t="s">
        <v>260</v>
      </c>
      <c r="G258" s="25">
        <f t="shared" si="3"/>
        <v>1.9325842696629181E-2</v>
      </c>
      <c r="I258" s="69">
        <v>3.000000000000003E-2</v>
      </c>
      <c r="J258">
        <v>21</v>
      </c>
      <c r="L258" s="69">
        <v>2.7500000000000031E-2</v>
      </c>
      <c r="M258" s="1">
        <f t="shared" si="2"/>
        <v>8.6528280059941842</v>
      </c>
    </row>
    <row r="259" spans="1:13" ht="15">
      <c r="A259" s="61">
        <v>88.67</v>
      </c>
      <c r="B259" s="61">
        <v>90.7</v>
      </c>
      <c r="C259" s="61">
        <v>87.35</v>
      </c>
      <c r="D259" s="61">
        <v>89</v>
      </c>
      <c r="E259" s="61">
        <v>1345803</v>
      </c>
      <c r="F259" s="61" t="s">
        <v>261</v>
      </c>
      <c r="G259" s="25">
        <f t="shared" si="3"/>
        <v>-3.7078651685392705E-3</v>
      </c>
      <c r="I259" s="69">
        <v>3.2500000000000029E-2</v>
      </c>
      <c r="J259">
        <v>23</v>
      </c>
      <c r="L259" s="69">
        <v>3.000000000000003E-2</v>
      </c>
      <c r="M259" s="1">
        <f t="shared" si="2"/>
        <v>7.9340276528787159</v>
      </c>
    </row>
    <row r="260" spans="1:13" ht="15">
      <c r="A260" s="61">
        <v>89.93</v>
      </c>
      <c r="B260" s="61">
        <v>91.92</v>
      </c>
      <c r="C260" s="61">
        <v>88.35</v>
      </c>
      <c r="D260" s="61">
        <v>91</v>
      </c>
      <c r="E260" s="61">
        <v>1372490</v>
      </c>
      <c r="F260" s="61" t="s">
        <v>262</v>
      </c>
      <c r="G260" s="25">
        <f t="shared" si="3"/>
        <v>-1.1758241758241694E-2</v>
      </c>
      <c r="I260" s="69">
        <v>3.5000000000000031E-2</v>
      </c>
      <c r="J260">
        <v>11</v>
      </c>
      <c r="L260" s="69">
        <v>3.2500000000000029E-2</v>
      </c>
      <c r="M260" s="1">
        <f t="shared" si="2"/>
        <v>7.2210765300434305</v>
      </c>
    </row>
    <row r="261" spans="1:13" ht="15">
      <c r="A261" s="61">
        <v>90.8</v>
      </c>
      <c r="B261" s="61">
        <v>94.9</v>
      </c>
      <c r="C261" s="61">
        <v>90.02</v>
      </c>
      <c r="D261" s="61">
        <v>94.51</v>
      </c>
      <c r="E261" s="61">
        <v>2046818</v>
      </c>
      <c r="F261" s="61" t="s">
        <v>263</v>
      </c>
      <c r="G261" s="25">
        <f t="shared" si="3"/>
        <v>-3.9255105279864644E-2</v>
      </c>
      <c r="I261" s="69">
        <v>3.7500000000000033E-2</v>
      </c>
      <c r="J261">
        <v>3</v>
      </c>
      <c r="L261" s="69">
        <v>3.5000000000000031E-2</v>
      </c>
      <c r="M261" s="1">
        <f t="shared" si="2"/>
        <v>6.5235318188955418</v>
      </c>
    </row>
    <row r="262" spans="1:13" ht="15">
      <c r="A262" s="61">
        <v>92.56</v>
      </c>
      <c r="B262" s="61">
        <v>93.7</v>
      </c>
      <c r="C262" s="61">
        <v>89.33</v>
      </c>
      <c r="D262" s="61">
        <v>93.54</v>
      </c>
      <c r="E262" s="61">
        <v>1890269</v>
      </c>
      <c r="F262" s="61" t="s">
        <v>264</v>
      </c>
      <c r="G262" s="25">
        <f t="shared" si="3"/>
        <v>-1.0476801368398569E-2</v>
      </c>
      <c r="I262" s="69">
        <v>4.0000000000000036E-2</v>
      </c>
      <c r="J262">
        <v>7</v>
      </c>
      <c r="L262" s="69">
        <v>3.7500000000000033E-2</v>
      </c>
      <c r="M262" s="1">
        <f t="shared" si="2"/>
        <v>5.8497353932904934</v>
      </c>
    </row>
    <row r="263" spans="1:13" ht="15">
      <c r="A263" s="61">
        <v>95.5</v>
      </c>
      <c r="B263" s="61">
        <v>97.05</v>
      </c>
      <c r="C263" s="61">
        <v>90.86</v>
      </c>
      <c r="D263" s="61">
        <v>96.61</v>
      </c>
      <c r="E263" s="61">
        <v>1910727</v>
      </c>
      <c r="F263" s="61" t="s">
        <v>265</v>
      </c>
      <c r="G263" s="25">
        <f t="shared" si="3"/>
        <v>-1.1489493841217224E-2</v>
      </c>
      <c r="I263" s="69">
        <v>4.2500000000000038E-2</v>
      </c>
      <c r="J263">
        <v>7</v>
      </c>
      <c r="L263" s="69">
        <v>4.0000000000000036E-2</v>
      </c>
      <c r="M263" s="1">
        <f t="shared" si="2"/>
        <v>5.2066964330983989</v>
      </c>
    </row>
    <row r="264" spans="1:13" ht="15">
      <c r="A264" s="61">
        <v>99.59</v>
      </c>
      <c r="B264" s="61">
        <v>102.6888</v>
      </c>
      <c r="C264" s="61">
        <v>86.11</v>
      </c>
      <c r="D264" s="61">
        <v>87.86</v>
      </c>
      <c r="E264" s="61">
        <v>3278035</v>
      </c>
      <c r="F264" s="61" t="s">
        <v>266</v>
      </c>
      <c r="G264" s="25">
        <f t="shared" si="3"/>
        <v>0.13350785340314131</v>
      </c>
      <c r="I264" s="69">
        <v>4.500000000000004E-2</v>
      </c>
      <c r="J264">
        <v>4</v>
      </c>
      <c r="L264" s="69">
        <v>4.2500000000000038E-2</v>
      </c>
      <c r="M264" s="1">
        <f t="shared" si="2"/>
        <v>4.6000324255947342</v>
      </c>
    </row>
    <row r="265" spans="1:13" ht="15">
      <c r="A265" s="61">
        <v>89.32</v>
      </c>
      <c r="B265" s="61">
        <v>99.834999999999994</v>
      </c>
      <c r="C265" s="61">
        <v>87.89</v>
      </c>
      <c r="D265" s="61">
        <v>98.17</v>
      </c>
      <c r="E265" s="61">
        <v>2738467</v>
      </c>
      <c r="F265" s="61" t="s">
        <v>267</v>
      </c>
      <c r="G265" s="25">
        <f t="shared" si="3"/>
        <v>-9.0149740246511234E-2</v>
      </c>
      <c r="I265" s="69">
        <v>4.7500000000000042E-2</v>
      </c>
      <c r="J265">
        <v>3</v>
      </c>
      <c r="L265" s="69">
        <v>4.500000000000004E-2</v>
      </c>
      <c r="M265" s="1">
        <f t="shared" si="2"/>
        <v>4.0339650180135207</v>
      </c>
    </row>
    <row r="266" spans="1:13" ht="15">
      <c r="A266" s="61">
        <v>95.83</v>
      </c>
      <c r="B266" s="61">
        <v>102.99</v>
      </c>
      <c r="C266" s="61">
        <v>93.050200000000004</v>
      </c>
      <c r="D266" s="61">
        <v>95.75</v>
      </c>
      <c r="E266" s="61">
        <v>3238053</v>
      </c>
      <c r="F266" s="61" t="s">
        <v>268</v>
      </c>
      <c r="G266" s="25">
        <f t="shared" si="3"/>
        <v>8.3550913838115193E-4</v>
      </c>
      <c r="I266" s="69">
        <v>5.0000000000000044E-2</v>
      </c>
      <c r="J266">
        <v>7</v>
      </c>
      <c r="L266" s="69">
        <v>4.7500000000000042E-2</v>
      </c>
      <c r="M266" s="1">
        <f t="shared" si="2"/>
        <v>3.5113648859816831</v>
      </c>
    </row>
    <row r="267" spans="1:13" ht="15">
      <c r="A267" s="61">
        <v>100.65</v>
      </c>
      <c r="B267" s="61">
        <v>103.145</v>
      </c>
      <c r="C267" s="61">
        <v>90.15</v>
      </c>
      <c r="D267" s="61">
        <v>91.09</v>
      </c>
      <c r="E267" s="61">
        <v>4697114</v>
      </c>
      <c r="F267" s="61" t="s">
        <v>269</v>
      </c>
      <c r="G267" s="25">
        <f t="shared" si="3"/>
        <v>0.10495114721703813</v>
      </c>
      <c r="I267" s="69">
        <v>5.2500000000000047E-2</v>
      </c>
      <c r="J267">
        <v>3</v>
      </c>
      <c r="L267" s="69">
        <v>5.0000000000000044E-2</v>
      </c>
      <c r="M267" s="1">
        <f t="shared" si="2"/>
        <v>3.0338380595825631</v>
      </c>
    </row>
    <row r="268" spans="1:13" ht="15">
      <c r="A268" s="61">
        <v>95.97</v>
      </c>
      <c r="B268" s="61">
        <v>100</v>
      </c>
      <c r="C268" s="61">
        <v>91.6</v>
      </c>
      <c r="D268" s="61">
        <v>98.05</v>
      </c>
      <c r="E268" s="61">
        <v>4824382</v>
      </c>
      <c r="F268" s="61" t="s">
        <v>270</v>
      </c>
      <c r="G268" s="25">
        <f t="shared" si="3"/>
        <v>-2.1213666496685324E-2</v>
      </c>
      <c r="I268" s="69">
        <v>5.5000000000000049E-2</v>
      </c>
      <c r="J268">
        <v>1</v>
      </c>
      <c r="L268" s="69">
        <v>5.2500000000000047E-2</v>
      </c>
      <c r="M268" s="1">
        <f t="shared" si="2"/>
        <v>2.6018450439872134</v>
      </c>
    </row>
    <row r="269" spans="1:13" ht="15">
      <c r="A269" s="61">
        <v>111.54</v>
      </c>
      <c r="B269" s="61">
        <v>112.78</v>
      </c>
      <c r="C269" s="61">
        <v>107.6619</v>
      </c>
      <c r="D269" s="61">
        <v>108.43</v>
      </c>
      <c r="E269" s="61">
        <v>1474411</v>
      </c>
      <c r="F269" s="61" t="s">
        <v>271</v>
      </c>
      <c r="G269" s="25">
        <f t="shared" si="3"/>
        <v>2.8682099050078458E-2</v>
      </c>
      <c r="I269" s="69">
        <v>5.7500000000000051E-2</v>
      </c>
      <c r="J269">
        <v>8</v>
      </c>
      <c r="L269" s="69">
        <v>5.5000000000000049E-2</v>
      </c>
      <c r="M269" s="1">
        <f t="shared" si="2"/>
        <v>2.2148435798663697</v>
      </c>
    </row>
    <row r="270" spans="1:13" ht="15">
      <c r="A270" s="61">
        <v>109.14</v>
      </c>
      <c r="B270" s="61">
        <v>109.47</v>
      </c>
      <c r="C270" s="61">
        <v>105.81</v>
      </c>
      <c r="D270" s="61">
        <v>106.4</v>
      </c>
      <c r="E270" s="61">
        <v>1526413</v>
      </c>
      <c r="F270" s="61" t="s">
        <v>272</v>
      </c>
      <c r="G270" s="25">
        <f t="shared" si="3"/>
        <v>2.575187969924797E-2</v>
      </c>
      <c r="I270" s="69">
        <v>6.0000000000000053E-2</v>
      </c>
      <c r="J270">
        <v>4</v>
      </c>
      <c r="L270" s="69">
        <v>5.7500000000000051E-2</v>
      </c>
      <c r="M270" s="1">
        <f t="shared" si="2"/>
        <v>1.8714459635340119</v>
      </c>
    </row>
    <row r="271" spans="1:13" ht="15">
      <c r="A271" s="61">
        <v>106.2</v>
      </c>
      <c r="B271" s="61">
        <v>106.58</v>
      </c>
      <c r="C271" s="61">
        <v>102.14</v>
      </c>
      <c r="D271" s="61">
        <v>103.46</v>
      </c>
      <c r="E271" s="61">
        <v>1728234</v>
      </c>
      <c r="F271" s="61" t="s">
        <v>273</v>
      </c>
      <c r="G271" s="25">
        <f t="shared" si="3"/>
        <v>2.6483665184612537E-2</v>
      </c>
      <c r="I271" s="69">
        <v>6.2500000000000056E-2</v>
      </c>
      <c r="J271">
        <v>1</v>
      </c>
      <c r="L271" s="69">
        <v>6.0000000000000053E-2</v>
      </c>
      <c r="M271" s="1">
        <f t="shared" si="2"/>
        <v>1.5695824085436549</v>
      </c>
    </row>
    <row r="272" spans="1:13" ht="15">
      <c r="A272" s="61">
        <v>105.99</v>
      </c>
      <c r="B272" s="61">
        <v>109.98</v>
      </c>
      <c r="C272" s="61">
        <v>104.9</v>
      </c>
      <c r="D272" s="61">
        <v>109.98</v>
      </c>
      <c r="E272" s="61">
        <v>1675323</v>
      </c>
      <c r="F272" s="61" t="s">
        <v>274</v>
      </c>
      <c r="G272" s="25">
        <f t="shared" si="3"/>
        <v>-3.6279323513366157E-2</v>
      </c>
      <c r="I272" s="69">
        <v>6.5000000000000058E-2</v>
      </c>
      <c r="J272">
        <v>5</v>
      </c>
      <c r="L272" s="69">
        <v>6.2500000000000056E-2</v>
      </c>
      <c r="M272" s="1">
        <f t="shared" si="2"/>
        <v>1.3066628773164821</v>
      </c>
    </row>
    <row r="273" spans="1:13" ht="15">
      <c r="A273" s="61">
        <v>110.59</v>
      </c>
      <c r="B273" s="61">
        <v>111.6</v>
      </c>
      <c r="C273" s="61">
        <v>107.69</v>
      </c>
      <c r="D273" s="61">
        <v>108.44</v>
      </c>
      <c r="E273" s="61">
        <v>1075136</v>
      </c>
      <c r="F273" s="61" t="s">
        <v>275</v>
      </c>
      <c r="G273" s="25">
        <f t="shared" si="3"/>
        <v>1.9826632239026143E-2</v>
      </c>
      <c r="I273" s="69">
        <v>6.750000000000006E-2</v>
      </c>
      <c r="J273">
        <v>0</v>
      </c>
      <c r="L273" s="69">
        <v>6.5000000000000058E-2</v>
      </c>
      <c r="M273" s="1">
        <f t="shared" si="2"/>
        <v>1.0797310296161986</v>
      </c>
    </row>
    <row r="274" spans="1:13" ht="15">
      <c r="A274" s="61">
        <v>109.51</v>
      </c>
      <c r="B274" s="61">
        <v>112.61</v>
      </c>
      <c r="C274" s="61">
        <v>107.18</v>
      </c>
      <c r="D274" s="61">
        <v>112.61</v>
      </c>
      <c r="E274" s="61">
        <v>1493867</v>
      </c>
      <c r="F274" s="61" t="s">
        <v>276</v>
      </c>
      <c r="G274" s="25">
        <f t="shared" si="3"/>
        <v>-2.7528638664417016E-2</v>
      </c>
      <c r="I274" s="69">
        <v>7.0000000000000062E-2</v>
      </c>
      <c r="J274">
        <v>2</v>
      </c>
      <c r="L274" s="69">
        <v>6.750000000000006E-2</v>
      </c>
      <c r="M274" s="1">
        <f t="shared" si="2"/>
        <v>0.88560530901013712</v>
      </c>
    </row>
    <row r="275" spans="1:13" ht="15">
      <c r="A275" s="61">
        <v>112.59</v>
      </c>
      <c r="B275" s="61">
        <v>113.57</v>
      </c>
      <c r="C275" s="61">
        <v>110.785</v>
      </c>
      <c r="D275" s="61">
        <v>110.785</v>
      </c>
      <c r="E275" s="61">
        <v>1662951</v>
      </c>
      <c r="F275" s="61" t="s">
        <v>277</v>
      </c>
      <c r="G275" s="25">
        <f t="shared" si="3"/>
        <v>1.6292819425012484E-2</v>
      </c>
      <c r="I275" s="69">
        <v>7.2500000000000064E-2</v>
      </c>
      <c r="J275">
        <v>1</v>
      </c>
      <c r="L275" s="69">
        <v>7.0000000000000062E-2</v>
      </c>
      <c r="M275" s="1">
        <f t="shared" ref="M275:M284" si="4">_xlfn.NORM.DIST(L275,$K$202,$K$204,FALSE)</f>
        <v>0.72100361081122877</v>
      </c>
    </row>
    <row r="276" spans="1:13" ht="15">
      <c r="A276" s="61">
        <v>110.92</v>
      </c>
      <c r="B276" s="61">
        <v>111.22</v>
      </c>
      <c r="C276" s="61">
        <v>105.485</v>
      </c>
      <c r="D276" s="61">
        <v>106.5</v>
      </c>
      <c r="E276" s="61">
        <v>1910618</v>
      </c>
      <c r="F276" s="61" t="s">
        <v>278</v>
      </c>
      <c r="G276" s="25">
        <f t="shared" si="3"/>
        <v>4.1502347417840424E-2</v>
      </c>
      <c r="I276" s="69">
        <v>7.5000000000000067E-2</v>
      </c>
      <c r="J276">
        <v>0</v>
      </c>
      <c r="L276" s="69">
        <v>7.2500000000000064E-2</v>
      </c>
      <c r="M276" s="1">
        <f t="shared" si="4"/>
        <v>0.58264935142123864</v>
      </c>
    </row>
    <row r="277" spans="1:13" ht="15">
      <c r="A277" s="61">
        <v>104.59</v>
      </c>
      <c r="B277" s="61">
        <v>106.61</v>
      </c>
      <c r="C277" s="61">
        <v>100.84</v>
      </c>
      <c r="D277" s="61">
        <v>103.2</v>
      </c>
      <c r="E277" s="61">
        <v>4147963</v>
      </c>
      <c r="F277" s="61" t="s">
        <v>279</v>
      </c>
      <c r="G277" s="25">
        <f t="shared" si="3"/>
        <v>1.3468992248061973E-2</v>
      </c>
      <c r="I277" s="69">
        <v>7.7499999999999999E-2</v>
      </c>
      <c r="J277">
        <v>3</v>
      </c>
      <c r="L277" s="69">
        <v>7.5000000000000067E-2</v>
      </c>
      <c r="M277" s="1">
        <f t="shared" si="4"/>
        <v>0.46735801426320772</v>
      </c>
    </row>
    <row r="278" spans="1:13" ht="15">
      <c r="A278" s="61">
        <v>105.48</v>
      </c>
      <c r="B278" s="61">
        <v>108.97</v>
      </c>
      <c r="C278" s="61">
        <v>105.375</v>
      </c>
      <c r="D278" s="61">
        <v>106.82</v>
      </c>
      <c r="E278" s="61">
        <v>1481104</v>
      </c>
      <c r="F278" s="61" t="s">
        <v>280</v>
      </c>
      <c r="G278" s="25">
        <f t="shared" si="3"/>
        <v>-1.2544467328215569E-2</v>
      </c>
      <c r="I278" s="69">
        <v>0.08</v>
      </c>
      <c r="J278">
        <v>0</v>
      </c>
      <c r="L278" s="69">
        <v>7.7499999999999999E-2</v>
      </c>
      <c r="M278" s="1">
        <f t="shared" si="4"/>
        <v>0.37210432745951916</v>
      </c>
    </row>
    <row r="279" spans="1:13" ht="15">
      <c r="A279" s="61">
        <v>106.98</v>
      </c>
      <c r="B279" s="61">
        <v>107.64</v>
      </c>
      <c r="C279" s="61">
        <v>104.16</v>
      </c>
      <c r="D279" s="61">
        <v>104.84</v>
      </c>
      <c r="E279" s="61">
        <v>1631716</v>
      </c>
      <c r="F279" s="61" t="s">
        <v>281</v>
      </c>
      <c r="G279" s="25">
        <f t="shared" si="3"/>
        <v>2.0412056466997397E-2</v>
      </c>
      <c r="I279" s="69">
        <v>8.2500000000000004E-2</v>
      </c>
      <c r="J279">
        <v>1</v>
      </c>
      <c r="L279" s="69">
        <v>0.08</v>
      </c>
      <c r="M279" s="1">
        <f t="shared" si="4"/>
        <v>0.29407110029252315</v>
      </c>
    </row>
    <row r="280" spans="1:13" ht="15">
      <c r="A280" s="61">
        <v>103.49</v>
      </c>
      <c r="B280" s="61">
        <v>103.68</v>
      </c>
      <c r="C280" s="61">
        <v>101.1437</v>
      </c>
      <c r="D280" s="61">
        <v>102.8</v>
      </c>
      <c r="E280" s="61">
        <v>951791</v>
      </c>
      <c r="F280" s="61" t="s">
        <v>282</v>
      </c>
      <c r="G280" s="25">
        <f t="shared" si="3"/>
        <v>6.7120622568093147E-3</v>
      </c>
      <c r="I280" s="69">
        <v>8.5000000000000006E-2</v>
      </c>
      <c r="J280">
        <v>1</v>
      </c>
      <c r="L280" s="69">
        <v>8.2500000000000004E-2</v>
      </c>
      <c r="M280" s="1">
        <f t="shared" si="4"/>
        <v>0.23068139635488114</v>
      </c>
    </row>
    <row r="281" spans="1:13" ht="15">
      <c r="A281" s="61">
        <v>103.87</v>
      </c>
      <c r="B281" s="61">
        <v>104.42</v>
      </c>
      <c r="C281" s="61">
        <v>99.29</v>
      </c>
      <c r="D281" s="61">
        <v>99.79</v>
      </c>
      <c r="E281" s="61">
        <v>1429009</v>
      </c>
      <c r="F281" s="61" t="s">
        <v>283</v>
      </c>
      <c r="G281" s="25">
        <f t="shared" si="3"/>
        <v>4.0885860306643984E-2</v>
      </c>
      <c r="I281" s="69">
        <v>8.7499999999999994E-2</v>
      </c>
      <c r="J281">
        <v>0</v>
      </c>
      <c r="L281" s="69">
        <v>8.5000000000000006E-2</v>
      </c>
      <c r="M281" s="1">
        <f t="shared" si="4"/>
        <v>0.17961615531140873</v>
      </c>
    </row>
    <row r="282" spans="1:13" ht="15.75" thickBot="1">
      <c r="A282" s="61">
        <v>98.6</v>
      </c>
      <c r="B282" s="61">
        <v>101.67</v>
      </c>
      <c r="C282" s="61">
        <v>97.66</v>
      </c>
      <c r="D282" s="61">
        <v>101.2</v>
      </c>
      <c r="E282" s="61">
        <v>1664555</v>
      </c>
      <c r="F282" s="61" t="s">
        <v>284</v>
      </c>
      <c r="G282" s="25">
        <f t="shared" si="3"/>
        <v>-2.5691699604743157E-2</v>
      </c>
      <c r="I282" s="70" t="s">
        <v>1246</v>
      </c>
      <c r="J282" s="70">
        <v>15</v>
      </c>
      <c r="L282" s="69">
        <v>8.7499999999999994E-2</v>
      </c>
      <c r="M282" s="1">
        <f t="shared" si="4"/>
        <v>0.13881960997642151</v>
      </c>
    </row>
    <row r="283" spans="1:13" ht="15">
      <c r="A283" s="61">
        <v>100</v>
      </c>
      <c r="B283" s="61">
        <v>101.66</v>
      </c>
      <c r="C283" s="61">
        <v>97.24</v>
      </c>
      <c r="D283" s="61">
        <v>101.22</v>
      </c>
      <c r="E283" s="61">
        <v>1451981</v>
      </c>
      <c r="F283" s="61" t="s">
        <v>285</v>
      </c>
      <c r="G283" s="25">
        <f t="shared" si="3"/>
        <v>-1.2052953961667612E-2</v>
      </c>
      <c r="L283" s="69">
        <v>0.09</v>
      </c>
      <c r="M283" s="1">
        <f t="shared" si="4"/>
        <v>0.10649490808919815</v>
      </c>
    </row>
    <row r="284" spans="1:13" ht="15">
      <c r="A284" s="61">
        <v>101.88</v>
      </c>
      <c r="B284" s="61">
        <v>102.95</v>
      </c>
      <c r="C284" s="61">
        <v>100.58</v>
      </c>
      <c r="D284" s="61">
        <v>101.82</v>
      </c>
      <c r="E284" s="61">
        <v>1684069</v>
      </c>
      <c r="F284" s="61" t="s">
        <v>286</v>
      </c>
      <c r="G284" s="25">
        <f t="shared" si="3"/>
        <v>5.8927519151441565E-4</v>
      </c>
      <c r="L284" s="69">
        <v>0.09</v>
      </c>
      <c r="M284" s="1">
        <f t="shared" si="4"/>
        <v>0.10649490808919815</v>
      </c>
    </row>
    <row r="285" spans="1:13">
      <c r="A285" s="61">
        <v>98.32</v>
      </c>
      <c r="B285" s="61">
        <v>101.49</v>
      </c>
      <c r="C285" s="61">
        <v>97.465000000000003</v>
      </c>
      <c r="D285" s="61">
        <v>100.92</v>
      </c>
      <c r="E285" s="61">
        <v>1440257</v>
      </c>
      <c r="F285" s="61" t="s">
        <v>287</v>
      </c>
      <c r="G285" s="25">
        <f t="shared" si="3"/>
        <v>-2.5762980578676209E-2</v>
      </c>
    </row>
    <row r="286" spans="1:13">
      <c r="A286" s="61">
        <v>101.1</v>
      </c>
      <c r="B286" s="61">
        <v>103.22</v>
      </c>
      <c r="C286" s="61">
        <v>97.08</v>
      </c>
      <c r="D286" s="61">
        <v>99.26</v>
      </c>
      <c r="E286" s="61">
        <v>1826907</v>
      </c>
      <c r="F286" s="61" t="s">
        <v>288</v>
      </c>
      <c r="G286" s="25">
        <f t="shared" si="3"/>
        <v>1.853717509570818E-2</v>
      </c>
    </row>
    <row r="287" spans="1:13">
      <c r="A287" s="61">
        <v>99.84</v>
      </c>
      <c r="B287" s="61">
        <v>100.04</v>
      </c>
      <c r="C287" s="61">
        <v>95.19</v>
      </c>
      <c r="D287" s="61">
        <v>99.32</v>
      </c>
      <c r="E287" s="61">
        <v>1861216</v>
      </c>
      <c r="F287" s="61" t="s">
        <v>289</v>
      </c>
      <c r="G287" s="25">
        <f t="shared" si="3"/>
        <v>5.2356020942410098E-3</v>
      </c>
    </row>
    <row r="288" spans="1:13">
      <c r="A288" s="61">
        <v>100.81</v>
      </c>
      <c r="B288" s="61">
        <v>103.46</v>
      </c>
      <c r="C288" s="61">
        <v>100</v>
      </c>
      <c r="D288" s="61">
        <v>102.18</v>
      </c>
      <c r="E288" s="61">
        <v>1473598</v>
      </c>
      <c r="F288" s="61" t="s">
        <v>290</v>
      </c>
      <c r="G288" s="25">
        <f t="shared" si="3"/>
        <v>-1.3407711880994322E-2</v>
      </c>
    </row>
    <row r="289" spans="1:7">
      <c r="A289" s="61">
        <v>103.85</v>
      </c>
      <c r="B289" s="61">
        <v>105.21</v>
      </c>
      <c r="C289" s="61">
        <v>100.85</v>
      </c>
      <c r="D289" s="61">
        <v>102.12</v>
      </c>
      <c r="E289" s="61">
        <v>1589686</v>
      </c>
      <c r="F289" s="61" t="s">
        <v>291</v>
      </c>
      <c r="G289" s="25">
        <f t="shared" si="3"/>
        <v>1.694085389737543E-2</v>
      </c>
    </row>
    <row r="290" spans="1:7">
      <c r="A290" s="61">
        <v>100.98</v>
      </c>
      <c r="B290" s="61">
        <v>102.96</v>
      </c>
      <c r="C290" s="61">
        <v>97.501099999999994</v>
      </c>
      <c r="D290" s="61">
        <v>98.76</v>
      </c>
      <c r="E290" s="61">
        <v>2232967</v>
      </c>
      <c r="F290" s="61" t="s">
        <v>292</v>
      </c>
      <c r="G290" s="25">
        <f t="shared" si="3"/>
        <v>2.2478736330498128E-2</v>
      </c>
    </row>
    <row r="291" spans="1:7">
      <c r="A291" s="61">
        <v>100.38</v>
      </c>
      <c r="B291" s="61">
        <v>104.42</v>
      </c>
      <c r="C291" s="61">
        <v>99.15</v>
      </c>
      <c r="D291" s="61">
        <v>100.59</v>
      </c>
      <c r="E291" s="61">
        <v>1776547</v>
      </c>
      <c r="F291" s="61" t="s">
        <v>293</v>
      </c>
      <c r="G291" s="25">
        <f t="shared" si="3"/>
        <v>-2.0876826722339148E-3</v>
      </c>
    </row>
    <row r="292" spans="1:7">
      <c r="A292" s="61">
        <v>99.57</v>
      </c>
      <c r="B292" s="61">
        <v>101.55</v>
      </c>
      <c r="C292" s="61">
        <v>99.17</v>
      </c>
      <c r="D292" s="61">
        <v>100.46</v>
      </c>
      <c r="E292" s="61">
        <v>1859052</v>
      </c>
      <c r="F292" s="61" t="s">
        <v>294</v>
      </c>
      <c r="G292" s="25">
        <f t="shared" si="3"/>
        <v>-8.8592474616763228E-3</v>
      </c>
    </row>
    <row r="293" spans="1:7">
      <c r="A293" s="61">
        <v>100.86</v>
      </c>
      <c r="B293" s="61">
        <v>106.895</v>
      </c>
      <c r="C293" s="61">
        <v>100.74</v>
      </c>
      <c r="D293" s="61">
        <v>105.3</v>
      </c>
      <c r="E293" s="61">
        <v>1331937</v>
      </c>
      <c r="F293" s="61" t="s">
        <v>295</v>
      </c>
      <c r="G293" s="25">
        <f t="shared" si="3"/>
        <v>-4.2165242165242089E-2</v>
      </c>
    </row>
    <row r="294" spans="1:7">
      <c r="A294" s="61">
        <v>104.93</v>
      </c>
      <c r="B294" s="61">
        <v>105.94</v>
      </c>
      <c r="C294" s="61">
        <v>103.72</v>
      </c>
      <c r="D294" s="61">
        <v>104.61</v>
      </c>
      <c r="E294" s="61">
        <v>1045171</v>
      </c>
      <c r="F294" s="61" t="s">
        <v>296</v>
      </c>
      <c r="G294" s="25">
        <f t="shared" si="3"/>
        <v>3.0589809769621112E-3</v>
      </c>
    </row>
    <row r="295" spans="1:7">
      <c r="A295" s="61">
        <v>103.15</v>
      </c>
      <c r="B295" s="61">
        <v>107</v>
      </c>
      <c r="C295" s="61">
        <v>102.75</v>
      </c>
      <c r="D295" s="61">
        <v>106.65</v>
      </c>
      <c r="E295" s="61">
        <v>1568819</v>
      </c>
      <c r="F295" s="61" t="s">
        <v>297</v>
      </c>
      <c r="G295" s="25">
        <f t="shared" si="3"/>
        <v>-3.2817627754336609E-2</v>
      </c>
    </row>
    <row r="296" spans="1:7">
      <c r="A296" s="61">
        <v>106.1</v>
      </c>
      <c r="B296" s="61">
        <v>107.82</v>
      </c>
      <c r="C296" s="61">
        <v>103.96</v>
      </c>
      <c r="D296" s="61">
        <v>107.8</v>
      </c>
      <c r="E296" s="61">
        <v>1587840</v>
      </c>
      <c r="F296" s="61" t="s">
        <v>298</v>
      </c>
      <c r="G296" s="25">
        <f t="shared" si="3"/>
        <v>-1.576994434137291E-2</v>
      </c>
    </row>
    <row r="297" spans="1:7">
      <c r="A297" s="61">
        <v>107.6</v>
      </c>
      <c r="B297" s="61">
        <v>110.9</v>
      </c>
      <c r="C297" s="61">
        <v>106.26</v>
      </c>
      <c r="D297" s="61">
        <v>110.04</v>
      </c>
      <c r="E297" s="61">
        <v>1497240</v>
      </c>
      <c r="F297" s="61" t="s">
        <v>299</v>
      </c>
      <c r="G297" s="25">
        <f t="shared" si="3"/>
        <v>-2.2173754998182638E-2</v>
      </c>
    </row>
    <row r="298" spans="1:7">
      <c r="A298" s="61">
        <v>108.88</v>
      </c>
      <c r="B298" s="61">
        <v>110.81</v>
      </c>
      <c r="C298" s="61">
        <v>106.65</v>
      </c>
      <c r="D298" s="61">
        <v>110.81</v>
      </c>
      <c r="E298" s="61">
        <v>1791888</v>
      </c>
      <c r="F298" s="61" t="s">
        <v>300</v>
      </c>
      <c r="G298" s="25">
        <f t="shared" si="3"/>
        <v>-1.7417200613663142E-2</v>
      </c>
    </row>
    <row r="299" spans="1:7">
      <c r="A299" s="61">
        <v>110.95</v>
      </c>
      <c r="B299" s="61">
        <v>111.15</v>
      </c>
      <c r="C299" s="61">
        <v>106.1429</v>
      </c>
      <c r="D299" s="61">
        <v>107</v>
      </c>
      <c r="E299" s="61">
        <v>1982630</v>
      </c>
      <c r="F299" s="61" t="s">
        <v>301</v>
      </c>
      <c r="G299" s="25">
        <f t="shared" si="3"/>
        <v>3.6915887850467399E-2</v>
      </c>
    </row>
    <row r="300" spans="1:7">
      <c r="A300" s="61">
        <v>107.35</v>
      </c>
      <c r="B300" s="61">
        <v>109.3</v>
      </c>
      <c r="C300" s="61">
        <v>104.66</v>
      </c>
      <c r="D300" s="61">
        <v>108.38</v>
      </c>
      <c r="E300" s="61">
        <v>2101061</v>
      </c>
      <c r="F300" s="61" t="s">
        <v>302</v>
      </c>
      <c r="G300" s="25">
        <f t="shared" si="3"/>
        <v>-9.5035984498985648E-3</v>
      </c>
    </row>
    <row r="301" spans="1:7">
      <c r="A301" s="61">
        <v>108.43</v>
      </c>
      <c r="B301" s="61">
        <v>110.73</v>
      </c>
      <c r="C301" s="61">
        <v>106.25</v>
      </c>
      <c r="D301" s="61">
        <v>109.65</v>
      </c>
      <c r="E301" s="61">
        <v>2473886</v>
      </c>
      <c r="F301" s="61" t="s">
        <v>303</v>
      </c>
      <c r="G301" s="25">
        <f t="shared" si="3"/>
        <v>-1.1126310989512112E-2</v>
      </c>
    </row>
    <row r="302" spans="1:7">
      <c r="A302" s="61">
        <v>110.05</v>
      </c>
      <c r="B302" s="61">
        <v>111.63339999999999</v>
      </c>
      <c r="C302" s="61">
        <v>103.65</v>
      </c>
      <c r="D302" s="61">
        <v>110.65</v>
      </c>
      <c r="E302" s="61">
        <v>7482489</v>
      </c>
      <c r="F302" s="61" t="s">
        <v>304</v>
      </c>
      <c r="G302" s="25">
        <f t="shared" si="3"/>
        <v>-5.4225033890646923E-3</v>
      </c>
    </row>
    <row r="303" spans="1:7">
      <c r="A303" s="61">
        <v>88.83</v>
      </c>
      <c r="B303" s="61">
        <v>90.424999999999997</v>
      </c>
      <c r="C303" s="61">
        <v>88.25</v>
      </c>
      <c r="D303" s="61">
        <v>89.33</v>
      </c>
      <c r="E303" s="61">
        <v>3039116</v>
      </c>
      <c r="F303" s="61" t="s">
        <v>305</v>
      </c>
      <c r="G303" s="25">
        <f t="shared" si="3"/>
        <v>-5.5972237770065547E-3</v>
      </c>
    </row>
    <row r="304" spans="1:7">
      <c r="A304" s="61">
        <v>88.95</v>
      </c>
      <c r="B304" s="61">
        <v>91.13</v>
      </c>
      <c r="C304" s="61">
        <v>88.385000000000005</v>
      </c>
      <c r="D304" s="61">
        <v>90.14</v>
      </c>
      <c r="E304" s="61">
        <v>2555748</v>
      </c>
      <c r="F304" s="61" t="s">
        <v>306</v>
      </c>
      <c r="G304" s="25">
        <f t="shared" si="3"/>
        <v>-1.3201686265808754E-2</v>
      </c>
    </row>
    <row r="305" spans="1:7">
      <c r="A305" s="61">
        <v>90.76</v>
      </c>
      <c r="B305" s="61">
        <v>94.31</v>
      </c>
      <c r="C305" s="61">
        <v>89.61</v>
      </c>
      <c r="D305" s="61">
        <v>94.31</v>
      </c>
      <c r="E305" s="61">
        <v>3437201</v>
      </c>
      <c r="F305" s="61" t="s">
        <v>307</v>
      </c>
      <c r="G305" s="25">
        <f t="shared" si="3"/>
        <v>-3.7641819531332832E-2</v>
      </c>
    </row>
    <row r="306" spans="1:7">
      <c r="A306" s="61">
        <v>93.37</v>
      </c>
      <c r="B306" s="61">
        <v>96.603800000000007</v>
      </c>
      <c r="C306" s="61">
        <v>92.39</v>
      </c>
      <c r="D306" s="61">
        <v>95.07</v>
      </c>
      <c r="E306" s="61">
        <v>2084376</v>
      </c>
      <c r="F306" s="61" t="s">
        <v>308</v>
      </c>
      <c r="G306" s="25">
        <f t="shared" si="3"/>
        <v>-1.788156095508564E-2</v>
      </c>
    </row>
    <row r="307" spans="1:7">
      <c r="A307" s="61">
        <v>95.52</v>
      </c>
      <c r="B307" s="61">
        <v>99.5</v>
      </c>
      <c r="C307" s="61">
        <v>95.46</v>
      </c>
      <c r="D307" s="61">
        <v>98.48</v>
      </c>
      <c r="E307" s="61">
        <v>1908383</v>
      </c>
      <c r="F307" s="61" t="s">
        <v>309</v>
      </c>
      <c r="G307" s="25">
        <f t="shared" si="3"/>
        <v>-3.0056864337936751E-2</v>
      </c>
    </row>
    <row r="308" spans="1:7">
      <c r="A308" s="61">
        <v>97</v>
      </c>
      <c r="B308" s="61">
        <v>98.19</v>
      </c>
      <c r="C308" s="61">
        <v>96.5</v>
      </c>
      <c r="D308" s="61">
        <v>97.3</v>
      </c>
      <c r="E308" s="61">
        <v>1332414</v>
      </c>
      <c r="F308" s="61" t="s">
        <v>310</v>
      </c>
      <c r="G308" s="25">
        <f t="shared" si="3"/>
        <v>-3.0832476875641834E-3</v>
      </c>
    </row>
    <row r="309" spans="1:7">
      <c r="A309" s="61">
        <v>97.28</v>
      </c>
      <c r="B309" s="61">
        <v>98.96</v>
      </c>
      <c r="C309" s="61">
        <v>96.92</v>
      </c>
      <c r="D309" s="61">
        <v>97.86</v>
      </c>
      <c r="E309" s="61">
        <v>1102565</v>
      </c>
      <c r="F309" s="61" t="s">
        <v>311</v>
      </c>
      <c r="G309" s="25">
        <f t="shared" si="3"/>
        <v>-5.9268342530145457E-3</v>
      </c>
    </row>
    <row r="310" spans="1:7">
      <c r="A310" s="61">
        <v>96.74</v>
      </c>
      <c r="B310" s="61">
        <v>100.045</v>
      </c>
      <c r="C310" s="61">
        <v>96.66</v>
      </c>
      <c r="D310" s="61">
        <v>98.86</v>
      </c>
      <c r="E310" s="61">
        <v>2148317</v>
      </c>
      <c r="F310" s="61" t="s">
        <v>312</v>
      </c>
      <c r="G310" s="25">
        <f t="shared" si="3"/>
        <v>-2.1444466922921346E-2</v>
      </c>
    </row>
    <row r="311" spans="1:7">
      <c r="A311" s="61">
        <v>102.07</v>
      </c>
      <c r="B311" s="61">
        <v>106.34</v>
      </c>
      <c r="C311" s="61">
        <v>101.63</v>
      </c>
      <c r="D311" s="61">
        <v>105.58</v>
      </c>
      <c r="E311" s="61">
        <v>1676996</v>
      </c>
      <c r="F311" s="61" t="s">
        <v>313</v>
      </c>
      <c r="G311" s="25">
        <f t="shared" si="3"/>
        <v>-3.3244932752415246E-2</v>
      </c>
    </row>
    <row r="312" spans="1:7">
      <c r="A312" s="61">
        <v>107.01</v>
      </c>
      <c r="B312" s="61">
        <v>107.7</v>
      </c>
      <c r="C312" s="61">
        <v>104.5</v>
      </c>
      <c r="D312" s="61">
        <v>105.77</v>
      </c>
      <c r="E312" s="61">
        <v>929136</v>
      </c>
      <c r="F312" s="61" t="s">
        <v>314</v>
      </c>
      <c r="G312" s="25">
        <f t="shared" si="3"/>
        <v>1.1723551101446628E-2</v>
      </c>
    </row>
    <row r="313" spans="1:7">
      <c r="A313" s="61">
        <v>104.77</v>
      </c>
      <c r="B313" s="61">
        <v>106.45</v>
      </c>
      <c r="C313" s="61">
        <v>103.71</v>
      </c>
      <c r="D313" s="61">
        <v>104.11</v>
      </c>
      <c r="E313" s="61">
        <v>1022364</v>
      </c>
      <c r="F313" s="61" t="s">
        <v>315</v>
      </c>
      <c r="G313" s="25">
        <f t="shared" si="3"/>
        <v>6.3394486600709676E-3</v>
      </c>
    </row>
    <row r="314" spans="1:7">
      <c r="A314" s="61">
        <v>103.56</v>
      </c>
      <c r="B314" s="61">
        <v>104.102</v>
      </c>
      <c r="C314" s="61">
        <v>101.77500000000001</v>
      </c>
      <c r="D314" s="61">
        <v>102</v>
      </c>
      <c r="E314" s="61">
        <v>753010</v>
      </c>
      <c r="F314" s="61" t="s">
        <v>316</v>
      </c>
      <c r="G314" s="25">
        <f t="shared" si="3"/>
        <v>1.5294117647058902E-2</v>
      </c>
    </row>
    <row r="315" spans="1:7">
      <c r="A315" s="61">
        <v>102.42</v>
      </c>
      <c r="B315" s="61">
        <v>105.25</v>
      </c>
      <c r="C315" s="61">
        <v>101.955</v>
      </c>
      <c r="D315" s="61">
        <v>103.5</v>
      </c>
      <c r="E315" s="61">
        <v>1054753</v>
      </c>
      <c r="F315" s="61" t="s">
        <v>317</v>
      </c>
      <c r="G315" s="25">
        <f t="shared" si="3"/>
        <v>-1.0434782608695681E-2</v>
      </c>
    </row>
    <row r="316" spans="1:7">
      <c r="A316" s="61">
        <v>103.59</v>
      </c>
      <c r="B316" s="61">
        <v>105.46</v>
      </c>
      <c r="C316" s="61">
        <v>102.48</v>
      </c>
      <c r="D316" s="61">
        <v>105.34</v>
      </c>
      <c r="E316" s="61">
        <v>1152812</v>
      </c>
      <c r="F316" s="61" t="s">
        <v>318</v>
      </c>
      <c r="G316" s="25">
        <f t="shared" ref="G316:G379" si="5">A316/D316-1</f>
        <v>-1.6612872602999817E-2</v>
      </c>
    </row>
    <row r="317" spans="1:7">
      <c r="A317" s="61">
        <v>105.06</v>
      </c>
      <c r="B317" s="61">
        <v>105.11</v>
      </c>
      <c r="C317" s="61">
        <v>100.05</v>
      </c>
      <c r="D317" s="61">
        <v>102.21</v>
      </c>
      <c r="E317" s="61">
        <v>1224702</v>
      </c>
      <c r="F317" s="61" t="s">
        <v>319</v>
      </c>
      <c r="G317" s="25">
        <f t="shared" si="5"/>
        <v>2.7883768711476353E-2</v>
      </c>
    </row>
    <row r="318" spans="1:7">
      <c r="A318" s="61">
        <v>102.64</v>
      </c>
      <c r="B318" s="61">
        <v>103.49</v>
      </c>
      <c r="C318" s="61">
        <v>101.29</v>
      </c>
      <c r="D318" s="61">
        <v>103.3</v>
      </c>
      <c r="E318" s="61">
        <v>1222459</v>
      </c>
      <c r="F318" s="61" t="s">
        <v>320</v>
      </c>
      <c r="G318" s="25">
        <f t="shared" si="5"/>
        <v>-6.3891577928363308E-3</v>
      </c>
    </row>
    <row r="319" spans="1:7">
      <c r="A319" s="61">
        <v>103.3</v>
      </c>
      <c r="B319" s="61">
        <v>103.47</v>
      </c>
      <c r="C319" s="61">
        <v>99.325000000000003</v>
      </c>
      <c r="D319" s="61">
        <v>101.29</v>
      </c>
      <c r="E319" s="61">
        <v>1666162</v>
      </c>
      <c r="F319" s="61" t="s">
        <v>321</v>
      </c>
      <c r="G319" s="25">
        <f t="shared" si="5"/>
        <v>1.9844012242077103E-2</v>
      </c>
    </row>
    <row r="320" spans="1:7">
      <c r="A320" s="61">
        <v>99.97</v>
      </c>
      <c r="B320" s="61">
        <v>102.5899</v>
      </c>
      <c r="C320" s="61">
        <v>99.44</v>
      </c>
      <c r="D320" s="61">
        <v>102.44</v>
      </c>
      <c r="E320" s="61">
        <v>1776695</v>
      </c>
      <c r="F320" s="61" t="s">
        <v>322</v>
      </c>
      <c r="G320" s="25">
        <f t="shared" si="5"/>
        <v>-2.4111675126903598E-2</v>
      </c>
    </row>
    <row r="321" spans="1:7">
      <c r="A321" s="61">
        <v>102.67</v>
      </c>
      <c r="B321" s="61">
        <v>103.875</v>
      </c>
      <c r="C321" s="61">
        <v>101.56</v>
      </c>
      <c r="D321" s="61">
        <v>103.66</v>
      </c>
      <c r="E321" s="61">
        <v>1339019</v>
      </c>
      <c r="F321" s="61" t="s">
        <v>323</v>
      </c>
      <c r="G321" s="25">
        <f t="shared" si="5"/>
        <v>-9.5504534053636458E-3</v>
      </c>
    </row>
    <row r="322" spans="1:7">
      <c r="A322" s="61">
        <v>103.89</v>
      </c>
      <c r="B322" s="61">
        <v>108.7</v>
      </c>
      <c r="C322" s="61">
        <v>103.7137</v>
      </c>
      <c r="D322" s="61">
        <v>108.36</v>
      </c>
      <c r="E322" s="61">
        <v>963175</v>
      </c>
      <c r="F322" s="61" t="s">
        <v>324</v>
      </c>
      <c r="G322" s="25">
        <f t="shared" si="5"/>
        <v>-4.1251384274640035E-2</v>
      </c>
    </row>
    <row r="323" spans="1:7">
      <c r="A323" s="61">
        <v>105.12</v>
      </c>
      <c r="B323" s="61">
        <v>108.41</v>
      </c>
      <c r="C323" s="61">
        <v>104.35</v>
      </c>
      <c r="D323" s="61">
        <v>106.89</v>
      </c>
      <c r="E323" s="61">
        <v>1153555</v>
      </c>
      <c r="F323" s="61" t="s">
        <v>325</v>
      </c>
      <c r="G323" s="25">
        <f t="shared" si="5"/>
        <v>-1.655907942744872E-2</v>
      </c>
    </row>
    <row r="324" spans="1:7">
      <c r="A324" s="61">
        <v>105.77</v>
      </c>
      <c r="B324" s="61">
        <v>109.84</v>
      </c>
      <c r="C324" s="61">
        <v>103.69</v>
      </c>
      <c r="D324" s="61">
        <v>108.96</v>
      </c>
      <c r="E324" s="61">
        <v>1545708</v>
      </c>
      <c r="F324" s="61" t="s">
        <v>326</v>
      </c>
      <c r="G324" s="25">
        <f t="shared" si="5"/>
        <v>-2.9276798825256911E-2</v>
      </c>
    </row>
    <row r="325" spans="1:7">
      <c r="A325" s="61">
        <v>110.04</v>
      </c>
      <c r="B325" s="61">
        <v>110.39</v>
      </c>
      <c r="C325" s="61">
        <v>107.405</v>
      </c>
      <c r="D325" s="61">
        <v>107.99</v>
      </c>
      <c r="E325" s="61">
        <v>764703</v>
      </c>
      <c r="F325" s="61" t="s">
        <v>327</v>
      </c>
      <c r="G325" s="25">
        <f t="shared" si="5"/>
        <v>1.8983239188813839E-2</v>
      </c>
    </row>
    <row r="326" spans="1:7">
      <c r="A326" s="61">
        <v>109.68</v>
      </c>
      <c r="B326" s="61">
        <v>109.9875</v>
      </c>
      <c r="C326" s="61">
        <v>107.51</v>
      </c>
      <c r="D326" s="61">
        <v>109.42</v>
      </c>
      <c r="E326" s="61">
        <v>808473</v>
      </c>
      <c r="F326" s="61" t="s">
        <v>328</v>
      </c>
      <c r="G326" s="25">
        <f t="shared" si="5"/>
        <v>2.3761652348748274E-3</v>
      </c>
    </row>
    <row r="327" spans="1:7">
      <c r="A327" s="61">
        <v>111.06</v>
      </c>
      <c r="B327" s="61">
        <v>113.81</v>
      </c>
      <c r="C327" s="61">
        <v>110.39</v>
      </c>
      <c r="D327" s="61">
        <v>113.12</v>
      </c>
      <c r="E327" s="61">
        <v>861518</v>
      </c>
      <c r="F327" s="61" t="s">
        <v>329</v>
      </c>
      <c r="G327" s="25">
        <f t="shared" si="5"/>
        <v>-1.8210749646393243E-2</v>
      </c>
    </row>
    <row r="328" spans="1:7">
      <c r="A328" s="61">
        <v>112.07</v>
      </c>
      <c r="B328" s="61">
        <v>115.08</v>
      </c>
      <c r="C328" s="61">
        <v>111.24</v>
      </c>
      <c r="D328" s="61">
        <v>112.8</v>
      </c>
      <c r="E328" s="61">
        <v>1264148</v>
      </c>
      <c r="F328" s="61" t="s">
        <v>330</v>
      </c>
      <c r="G328" s="25">
        <f t="shared" si="5"/>
        <v>-6.4716312056738445E-3</v>
      </c>
    </row>
    <row r="329" spans="1:7">
      <c r="A329" s="61">
        <v>110.8</v>
      </c>
      <c r="B329" s="61">
        <v>111.735</v>
      </c>
      <c r="C329" s="61">
        <v>109.26</v>
      </c>
      <c r="D329" s="61">
        <v>110.6</v>
      </c>
      <c r="E329" s="61">
        <v>729770</v>
      </c>
      <c r="F329" s="61" t="s">
        <v>331</v>
      </c>
      <c r="G329" s="25">
        <f t="shared" si="5"/>
        <v>1.8083182640145079E-3</v>
      </c>
    </row>
    <row r="330" spans="1:7">
      <c r="A330" s="61">
        <v>110.03</v>
      </c>
      <c r="B330" s="61">
        <v>112.4</v>
      </c>
      <c r="C330" s="61">
        <v>109.83</v>
      </c>
      <c r="D330" s="61">
        <v>110.55</v>
      </c>
      <c r="E330" s="61">
        <v>934800</v>
      </c>
      <c r="F330" s="61" t="s">
        <v>332</v>
      </c>
      <c r="G330" s="25">
        <f t="shared" si="5"/>
        <v>-4.7037539574852349E-3</v>
      </c>
    </row>
    <row r="331" spans="1:7">
      <c r="A331" s="61">
        <v>109.53</v>
      </c>
      <c r="B331" s="61">
        <v>110.65</v>
      </c>
      <c r="C331" s="61">
        <v>108.68</v>
      </c>
      <c r="D331" s="61">
        <v>109.59</v>
      </c>
      <c r="E331" s="61">
        <v>905476</v>
      </c>
      <c r="F331" s="61" t="s">
        <v>333</v>
      </c>
      <c r="G331" s="25">
        <f t="shared" si="5"/>
        <v>-5.474952094169927E-4</v>
      </c>
    </row>
    <row r="332" spans="1:7">
      <c r="A332" s="61">
        <v>108.71</v>
      </c>
      <c r="B332" s="61">
        <v>109.92</v>
      </c>
      <c r="C332" s="61">
        <v>106.82</v>
      </c>
      <c r="D332" s="61">
        <v>109.45</v>
      </c>
      <c r="E332" s="61">
        <v>1057832</v>
      </c>
      <c r="F332" s="61" t="s">
        <v>334</v>
      </c>
      <c r="G332" s="25">
        <f t="shared" si="5"/>
        <v>-6.7610781178620849E-3</v>
      </c>
    </row>
    <row r="333" spans="1:7">
      <c r="A333" s="61">
        <v>110.72</v>
      </c>
      <c r="B333" s="61">
        <v>114.16</v>
      </c>
      <c r="C333" s="61">
        <v>110.63</v>
      </c>
      <c r="D333" s="61">
        <v>112.46</v>
      </c>
      <c r="E333" s="61">
        <v>930381</v>
      </c>
      <c r="F333" s="61" t="s">
        <v>335</v>
      </c>
      <c r="G333" s="25">
        <f t="shared" si="5"/>
        <v>-1.5472167881913523E-2</v>
      </c>
    </row>
    <row r="334" spans="1:7">
      <c r="A334" s="61">
        <v>112.95</v>
      </c>
      <c r="B334" s="61">
        <v>113.78</v>
      </c>
      <c r="C334" s="61">
        <v>111.765</v>
      </c>
      <c r="D334" s="61">
        <v>112.09</v>
      </c>
      <c r="E334" s="61">
        <v>980164</v>
      </c>
      <c r="F334" s="61" t="s">
        <v>336</v>
      </c>
      <c r="G334" s="25">
        <f t="shared" si="5"/>
        <v>7.6724061022392931E-3</v>
      </c>
    </row>
    <row r="335" spans="1:7">
      <c r="A335" s="61">
        <v>112.28</v>
      </c>
      <c r="B335" s="61">
        <v>113.495</v>
      </c>
      <c r="C335" s="61">
        <v>110.8</v>
      </c>
      <c r="D335" s="61">
        <v>113.27</v>
      </c>
      <c r="E335" s="61">
        <v>483625</v>
      </c>
      <c r="F335" s="61" t="s">
        <v>337</v>
      </c>
      <c r="G335" s="25">
        <f t="shared" si="5"/>
        <v>-8.7401783349518869E-3</v>
      </c>
    </row>
    <row r="336" spans="1:7">
      <c r="A336" s="61">
        <v>113.27</v>
      </c>
      <c r="B336" s="61">
        <v>115.38500000000001</v>
      </c>
      <c r="C336" s="61">
        <v>111.14</v>
      </c>
      <c r="D336" s="61">
        <v>111.31</v>
      </c>
      <c r="E336" s="61">
        <v>1354560</v>
      </c>
      <c r="F336" s="61" t="s">
        <v>338</v>
      </c>
      <c r="G336" s="25">
        <f t="shared" si="5"/>
        <v>1.7608480819333305E-2</v>
      </c>
    </row>
    <row r="337" spans="1:7">
      <c r="A337" s="61">
        <v>111.86</v>
      </c>
      <c r="B337" s="61">
        <v>113</v>
      </c>
      <c r="C337" s="61">
        <v>104.4665</v>
      </c>
      <c r="D337" s="61">
        <v>105.26</v>
      </c>
      <c r="E337" s="61">
        <v>2773766</v>
      </c>
      <c r="F337" s="61" t="s">
        <v>339</v>
      </c>
      <c r="G337" s="25">
        <f t="shared" si="5"/>
        <v>6.2701881056431708E-2</v>
      </c>
    </row>
    <row r="338" spans="1:7">
      <c r="A338" s="61">
        <v>105.68</v>
      </c>
      <c r="B338" s="61">
        <v>109.36</v>
      </c>
      <c r="C338" s="61">
        <v>104.625</v>
      </c>
      <c r="D338" s="61">
        <v>108.39</v>
      </c>
      <c r="E338" s="61">
        <v>1271304</v>
      </c>
      <c r="F338" s="61" t="s">
        <v>340</v>
      </c>
      <c r="G338" s="25">
        <f t="shared" si="5"/>
        <v>-2.5002306485838122E-2</v>
      </c>
    </row>
    <row r="339" spans="1:7">
      <c r="A339" s="61">
        <v>106.85</v>
      </c>
      <c r="B339" s="61">
        <v>112.27</v>
      </c>
      <c r="C339" s="61">
        <v>106.46</v>
      </c>
      <c r="D339" s="61">
        <v>111.73</v>
      </c>
      <c r="E339" s="61">
        <v>1491951</v>
      </c>
      <c r="F339" s="61" t="s">
        <v>341</v>
      </c>
      <c r="G339" s="25">
        <f t="shared" si="5"/>
        <v>-4.3676720665891122E-2</v>
      </c>
    </row>
    <row r="340" spans="1:7">
      <c r="A340" s="61">
        <v>111.55</v>
      </c>
      <c r="B340" s="61">
        <v>113.1</v>
      </c>
      <c r="C340" s="61">
        <v>108.66249999999999</v>
      </c>
      <c r="D340" s="61">
        <v>109</v>
      </c>
      <c r="E340" s="61">
        <v>1353297</v>
      </c>
      <c r="F340" s="61" t="s">
        <v>342</v>
      </c>
      <c r="G340" s="25">
        <f t="shared" si="5"/>
        <v>2.3394495412843996E-2</v>
      </c>
    </row>
    <row r="341" spans="1:7">
      <c r="A341" s="61">
        <v>108.96</v>
      </c>
      <c r="B341" s="61">
        <v>112.99</v>
      </c>
      <c r="C341" s="61">
        <v>108.88</v>
      </c>
      <c r="D341" s="61">
        <v>111.34</v>
      </c>
      <c r="E341" s="61">
        <v>1498689</v>
      </c>
      <c r="F341" s="61" t="s">
        <v>343</v>
      </c>
      <c r="G341" s="25">
        <f t="shared" si="5"/>
        <v>-2.1375965511047368E-2</v>
      </c>
    </row>
    <row r="342" spans="1:7">
      <c r="A342" s="61">
        <v>111.72</v>
      </c>
      <c r="B342" s="61">
        <v>113.34480000000001</v>
      </c>
      <c r="C342" s="61">
        <v>110.33</v>
      </c>
      <c r="D342" s="61">
        <v>113.21</v>
      </c>
      <c r="E342" s="61">
        <v>1095839</v>
      </c>
      <c r="F342" s="61" t="s">
        <v>344</v>
      </c>
      <c r="G342" s="25">
        <f t="shared" si="5"/>
        <v>-1.3161381503400738E-2</v>
      </c>
    </row>
    <row r="343" spans="1:7">
      <c r="A343" s="61">
        <v>112.94</v>
      </c>
      <c r="B343" s="61">
        <v>113.96</v>
      </c>
      <c r="C343" s="61">
        <v>112.3</v>
      </c>
      <c r="D343" s="61">
        <v>113.08</v>
      </c>
      <c r="E343" s="61">
        <v>1067718</v>
      </c>
      <c r="F343" s="61" t="s">
        <v>345</v>
      </c>
      <c r="G343" s="25">
        <f t="shared" si="5"/>
        <v>-1.2380615493455815E-3</v>
      </c>
    </row>
    <row r="344" spans="1:7">
      <c r="A344" s="61">
        <v>113.37</v>
      </c>
      <c r="B344" s="61">
        <v>114.07</v>
      </c>
      <c r="C344" s="61">
        <v>112.32</v>
      </c>
      <c r="D344" s="61">
        <v>112.4</v>
      </c>
      <c r="E344" s="61">
        <v>1444222</v>
      </c>
      <c r="F344" s="61" t="s">
        <v>346</v>
      </c>
      <c r="G344" s="25">
        <f t="shared" si="5"/>
        <v>8.6298932384341054E-3</v>
      </c>
    </row>
    <row r="345" spans="1:7">
      <c r="A345" s="61">
        <v>111.44</v>
      </c>
      <c r="B345" s="61">
        <v>113.1</v>
      </c>
      <c r="C345" s="61">
        <v>110.22</v>
      </c>
      <c r="D345" s="61">
        <v>110.84</v>
      </c>
      <c r="E345" s="61">
        <v>1172507</v>
      </c>
      <c r="F345" s="61" t="s">
        <v>347</v>
      </c>
      <c r="G345" s="25">
        <f t="shared" si="5"/>
        <v>5.4132082280764493E-3</v>
      </c>
    </row>
    <row r="346" spans="1:7">
      <c r="A346" s="61">
        <v>110.59</v>
      </c>
      <c r="B346" s="61">
        <v>112</v>
      </c>
      <c r="C346" s="61">
        <v>108.5</v>
      </c>
      <c r="D346" s="61">
        <v>110.12</v>
      </c>
      <c r="E346" s="61">
        <v>1423292</v>
      </c>
      <c r="F346" s="61" t="s">
        <v>348</v>
      </c>
      <c r="G346" s="25">
        <f t="shared" si="5"/>
        <v>4.2680711950600081E-3</v>
      </c>
    </row>
    <row r="347" spans="1:7">
      <c r="A347" s="61">
        <v>109.75</v>
      </c>
      <c r="B347" s="61">
        <v>112.45</v>
      </c>
      <c r="C347" s="61">
        <v>109.56</v>
      </c>
      <c r="D347" s="61">
        <v>111.77</v>
      </c>
      <c r="E347" s="61">
        <v>1035367</v>
      </c>
      <c r="F347" s="61" t="s">
        <v>349</v>
      </c>
      <c r="G347" s="25">
        <f t="shared" si="5"/>
        <v>-1.8072828129193863E-2</v>
      </c>
    </row>
    <row r="348" spans="1:7">
      <c r="A348" s="61">
        <v>109.91</v>
      </c>
      <c r="B348" s="61">
        <v>113.455</v>
      </c>
      <c r="C348" s="61">
        <v>109.53959999999999</v>
      </c>
      <c r="D348" s="61">
        <v>113.25</v>
      </c>
      <c r="E348" s="61">
        <v>1208906</v>
      </c>
      <c r="F348" s="61" t="s">
        <v>350</v>
      </c>
      <c r="G348" s="25">
        <f t="shared" si="5"/>
        <v>-2.9492273730684304E-2</v>
      </c>
    </row>
    <row r="349" spans="1:7">
      <c r="A349" s="61">
        <v>113.28</v>
      </c>
      <c r="B349" s="61">
        <v>114.03</v>
      </c>
      <c r="C349" s="61">
        <v>111.23009999999999</v>
      </c>
      <c r="D349" s="61">
        <v>111.33</v>
      </c>
      <c r="E349" s="61">
        <v>1231667</v>
      </c>
      <c r="F349" s="61" t="s">
        <v>351</v>
      </c>
      <c r="G349" s="25">
        <f t="shared" si="5"/>
        <v>1.7515494475882631E-2</v>
      </c>
    </row>
    <row r="350" spans="1:7">
      <c r="A350" s="61">
        <v>111.25</v>
      </c>
      <c r="B350" s="61">
        <v>111.63</v>
      </c>
      <c r="C350" s="61">
        <v>107.61</v>
      </c>
      <c r="D350" s="61">
        <v>109.8</v>
      </c>
      <c r="E350" s="61">
        <v>1344800</v>
      </c>
      <c r="F350" s="61" t="s">
        <v>352</v>
      </c>
      <c r="G350" s="25">
        <f t="shared" si="5"/>
        <v>1.3205828779599305E-2</v>
      </c>
    </row>
    <row r="351" spans="1:7">
      <c r="A351" s="61">
        <v>109.68</v>
      </c>
      <c r="B351" s="61">
        <v>110.18</v>
      </c>
      <c r="C351" s="61">
        <v>105.83</v>
      </c>
      <c r="D351" s="61">
        <v>106.24</v>
      </c>
      <c r="E351" s="61">
        <v>1417558</v>
      </c>
      <c r="F351" s="61" t="s">
        <v>353</v>
      </c>
      <c r="G351" s="25">
        <f t="shared" si="5"/>
        <v>3.2379518072289226E-2</v>
      </c>
    </row>
    <row r="352" spans="1:7">
      <c r="A352" s="61">
        <v>105.6</v>
      </c>
      <c r="B352" s="61">
        <v>106.7364</v>
      </c>
      <c r="C352" s="61">
        <v>104.56</v>
      </c>
      <c r="D352" s="61">
        <v>105.99</v>
      </c>
      <c r="E352" s="61">
        <v>760643</v>
      </c>
      <c r="F352" s="61" t="s">
        <v>354</v>
      </c>
      <c r="G352" s="25">
        <f t="shared" si="5"/>
        <v>-3.6795924143787628E-3</v>
      </c>
    </row>
    <row r="353" spans="1:7">
      <c r="A353" s="61">
        <v>105.6</v>
      </c>
      <c r="B353" s="61">
        <v>107.28</v>
      </c>
      <c r="C353" s="61">
        <v>105.0699</v>
      </c>
      <c r="D353" s="61">
        <v>105.21</v>
      </c>
      <c r="E353" s="61">
        <v>1849084</v>
      </c>
      <c r="F353" s="61" t="s">
        <v>355</v>
      </c>
      <c r="G353" s="25">
        <f t="shared" si="5"/>
        <v>3.706871970345027E-3</v>
      </c>
    </row>
    <row r="354" spans="1:7">
      <c r="A354" s="61">
        <v>104.06</v>
      </c>
      <c r="B354" s="61">
        <v>108.22</v>
      </c>
      <c r="C354" s="61">
        <v>104.03</v>
      </c>
      <c r="D354" s="61">
        <v>108.08</v>
      </c>
      <c r="E354" s="61">
        <v>1313112</v>
      </c>
      <c r="F354" s="61" t="s">
        <v>356</v>
      </c>
      <c r="G354" s="25">
        <f t="shared" si="5"/>
        <v>-3.7194670614359659E-2</v>
      </c>
    </row>
    <row r="355" spans="1:7">
      <c r="A355" s="61">
        <v>108.53</v>
      </c>
      <c r="B355" s="61">
        <v>109.64</v>
      </c>
      <c r="C355" s="61">
        <v>107.11</v>
      </c>
      <c r="D355" s="61">
        <v>107.44</v>
      </c>
      <c r="E355" s="61">
        <v>2041985</v>
      </c>
      <c r="F355" s="61" t="s">
        <v>357</v>
      </c>
      <c r="G355" s="25">
        <f t="shared" si="5"/>
        <v>1.0145197319434196E-2</v>
      </c>
    </row>
    <row r="356" spans="1:7">
      <c r="A356" s="61">
        <v>106.08</v>
      </c>
      <c r="B356" s="61">
        <v>107.73</v>
      </c>
      <c r="C356" s="61">
        <v>103.75</v>
      </c>
      <c r="D356" s="61">
        <v>103.8</v>
      </c>
      <c r="E356" s="61">
        <v>1921879</v>
      </c>
      <c r="F356" s="61" t="s">
        <v>358</v>
      </c>
      <c r="G356" s="25">
        <f t="shared" si="5"/>
        <v>2.1965317919075078E-2</v>
      </c>
    </row>
    <row r="357" spans="1:7">
      <c r="A357" s="61">
        <v>101.81</v>
      </c>
      <c r="B357" s="61">
        <v>102.4</v>
      </c>
      <c r="C357" s="61">
        <v>97.292100000000005</v>
      </c>
      <c r="D357" s="61">
        <v>98.98</v>
      </c>
      <c r="E357" s="61">
        <v>1479260</v>
      </c>
      <c r="F357" s="61" t="s">
        <v>359</v>
      </c>
      <c r="G357" s="25">
        <f t="shared" si="5"/>
        <v>2.8591634673671429E-2</v>
      </c>
    </row>
    <row r="358" spans="1:7">
      <c r="A358" s="61">
        <v>98.59</v>
      </c>
      <c r="B358" s="61">
        <v>99.63</v>
      </c>
      <c r="C358" s="61">
        <v>97.12</v>
      </c>
      <c r="D358" s="61">
        <v>97.31</v>
      </c>
      <c r="E358" s="61">
        <v>1202344</v>
      </c>
      <c r="F358" s="61" t="s">
        <v>360</v>
      </c>
      <c r="G358" s="25">
        <f t="shared" si="5"/>
        <v>1.3153838248895378E-2</v>
      </c>
    </row>
    <row r="359" spans="1:7">
      <c r="A359" s="61">
        <v>97.98</v>
      </c>
      <c r="B359" s="61">
        <v>99.5</v>
      </c>
      <c r="C359" s="61">
        <v>95.045699999999997</v>
      </c>
      <c r="D359" s="61">
        <v>95.32</v>
      </c>
      <c r="E359" s="61">
        <v>1487453</v>
      </c>
      <c r="F359" s="61" t="s">
        <v>361</v>
      </c>
      <c r="G359" s="25">
        <f t="shared" si="5"/>
        <v>2.7906000839278411E-2</v>
      </c>
    </row>
    <row r="360" spans="1:7">
      <c r="A360" s="61">
        <v>96.51</v>
      </c>
      <c r="B360" s="61">
        <v>98.254999999999995</v>
      </c>
      <c r="C360" s="61">
        <v>95.784999999999997</v>
      </c>
      <c r="D360" s="61">
        <v>97.43</v>
      </c>
      <c r="E360" s="61">
        <v>1258541</v>
      </c>
      <c r="F360" s="61" t="s">
        <v>362</v>
      </c>
      <c r="G360" s="25">
        <f t="shared" si="5"/>
        <v>-9.4426767935954503E-3</v>
      </c>
    </row>
    <row r="361" spans="1:7">
      <c r="A361" s="61">
        <v>97.78</v>
      </c>
      <c r="B361" s="61">
        <v>100.9641</v>
      </c>
      <c r="C361" s="61">
        <v>97.43</v>
      </c>
      <c r="D361" s="61">
        <v>100.72</v>
      </c>
      <c r="E361" s="61">
        <v>1373750</v>
      </c>
      <c r="F361" s="61" t="s">
        <v>363</v>
      </c>
      <c r="G361" s="25">
        <f t="shared" si="5"/>
        <v>-2.9189833200953141E-2</v>
      </c>
    </row>
    <row r="362" spans="1:7">
      <c r="A362" s="61">
        <v>99.86</v>
      </c>
      <c r="B362" s="61">
        <v>101.7</v>
      </c>
      <c r="C362" s="61">
        <v>98.68</v>
      </c>
      <c r="D362" s="61">
        <v>99.65</v>
      </c>
      <c r="E362" s="61">
        <v>1809700</v>
      </c>
      <c r="F362" s="61" t="s">
        <v>364</v>
      </c>
      <c r="G362" s="25">
        <f t="shared" si="5"/>
        <v>2.1073758153535849E-3</v>
      </c>
    </row>
    <row r="363" spans="1:7">
      <c r="A363" s="61">
        <v>98.96</v>
      </c>
      <c r="B363" s="61">
        <v>102.6</v>
      </c>
      <c r="C363" s="61">
        <v>98.59</v>
      </c>
      <c r="D363" s="61">
        <v>100.75</v>
      </c>
      <c r="E363" s="61">
        <v>1730975</v>
      </c>
      <c r="F363" s="61" t="s">
        <v>365</v>
      </c>
      <c r="G363" s="25">
        <f t="shared" si="5"/>
        <v>-1.7766749379652613E-2</v>
      </c>
    </row>
    <row r="364" spans="1:7">
      <c r="A364" s="61">
        <v>101.98</v>
      </c>
      <c r="B364" s="61">
        <v>103.9</v>
      </c>
      <c r="C364" s="61">
        <v>101.3</v>
      </c>
      <c r="D364" s="61">
        <v>103.12</v>
      </c>
      <c r="E364" s="61">
        <v>1191367</v>
      </c>
      <c r="F364" s="61" t="s">
        <v>366</v>
      </c>
      <c r="G364" s="25">
        <f t="shared" si="5"/>
        <v>-1.1055081458494986E-2</v>
      </c>
    </row>
    <row r="365" spans="1:7">
      <c r="A365" s="61">
        <v>102.85</v>
      </c>
      <c r="B365" s="61">
        <v>104.28</v>
      </c>
      <c r="C365" s="61">
        <v>101.9</v>
      </c>
      <c r="D365" s="61">
        <v>102.26</v>
      </c>
      <c r="E365" s="61">
        <v>1457850</v>
      </c>
      <c r="F365" s="61" t="s">
        <v>367</v>
      </c>
      <c r="G365" s="25">
        <f t="shared" si="5"/>
        <v>5.7696068844121928E-3</v>
      </c>
    </row>
    <row r="366" spans="1:7">
      <c r="A366" s="61">
        <v>101.3</v>
      </c>
      <c r="B366" s="61">
        <v>101.99</v>
      </c>
      <c r="C366" s="61">
        <v>99.53</v>
      </c>
      <c r="D366" s="61">
        <v>101.57</v>
      </c>
      <c r="E366" s="61">
        <v>1836388</v>
      </c>
      <c r="F366" s="61" t="s">
        <v>368</v>
      </c>
      <c r="G366" s="25">
        <f t="shared" si="5"/>
        <v>-2.6582652357979297E-3</v>
      </c>
    </row>
    <row r="367" spans="1:7">
      <c r="A367" s="61">
        <v>101.86</v>
      </c>
      <c r="B367" s="61">
        <v>105.14</v>
      </c>
      <c r="C367" s="61">
        <v>101.5</v>
      </c>
      <c r="D367" s="61">
        <v>102.5</v>
      </c>
      <c r="E367" s="61">
        <v>1792940</v>
      </c>
      <c r="F367" s="61" t="s">
        <v>369</v>
      </c>
      <c r="G367" s="25">
        <f t="shared" si="5"/>
        <v>-6.2439024390243958E-3</v>
      </c>
    </row>
    <row r="368" spans="1:7">
      <c r="A368" s="61">
        <v>102.74</v>
      </c>
      <c r="B368" s="61">
        <v>107.8</v>
      </c>
      <c r="C368" s="61">
        <v>101.14</v>
      </c>
      <c r="D368" s="61">
        <v>106.47499999999999</v>
      </c>
      <c r="E368" s="61">
        <v>2382251</v>
      </c>
      <c r="F368" s="61" t="s">
        <v>370</v>
      </c>
      <c r="G368" s="25">
        <f t="shared" si="5"/>
        <v>-3.5078656961728072E-2</v>
      </c>
    </row>
    <row r="369" spans="1:7">
      <c r="A369" s="61">
        <v>105.22</v>
      </c>
      <c r="B369" s="61">
        <v>106.7231</v>
      </c>
      <c r="C369" s="61">
        <v>104.67</v>
      </c>
      <c r="D369" s="61">
        <v>106.01</v>
      </c>
      <c r="E369" s="61">
        <v>1615597</v>
      </c>
      <c r="F369" s="61" t="s">
        <v>371</v>
      </c>
      <c r="G369" s="25">
        <f t="shared" si="5"/>
        <v>-7.4521271578154025E-3</v>
      </c>
    </row>
    <row r="370" spans="1:7">
      <c r="A370" s="61">
        <v>106.29</v>
      </c>
      <c r="B370" s="61">
        <v>108.25</v>
      </c>
      <c r="C370" s="61">
        <v>105.13</v>
      </c>
      <c r="D370" s="61">
        <v>105.29</v>
      </c>
      <c r="E370" s="61">
        <v>1253504</v>
      </c>
      <c r="F370" s="61" t="s">
        <v>372</v>
      </c>
      <c r="G370" s="25">
        <f t="shared" si="5"/>
        <v>9.4975781175801188E-3</v>
      </c>
    </row>
    <row r="371" spans="1:7">
      <c r="A371" s="61">
        <v>106.21</v>
      </c>
      <c r="B371" s="61">
        <v>108.71</v>
      </c>
      <c r="C371" s="61">
        <v>105.7</v>
      </c>
      <c r="D371" s="61">
        <v>108</v>
      </c>
      <c r="E371" s="61">
        <v>1880424</v>
      </c>
      <c r="F371" s="61" t="s">
        <v>373</v>
      </c>
      <c r="G371" s="25">
        <f t="shared" si="5"/>
        <v>-1.6574074074074185E-2</v>
      </c>
    </row>
    <row r="372" spans="1:7">
      <c r="A372" s="61">
        <v>107.82</v>
      </c>
      <c r="B372" s="61">
        <v>110.89</v>
      </c>
      <c r="C372" s="61">
        <v>106.48</v>
      </c>
      <c r="D372" s="61">
        <v>109.56</v>
      </c>
      <c r="E372" s="61">
        <v>2365861</v>
      </c>
      <c r="F372" s="61" t="s">
        <v>374</v>
      </c>
      <c r="G372" s="25">
        <f t="shared" si="5"/>
        <v>-1.5881708652793036E-2</v>
      </c>
    </row>
    <row r="373" spans="1:7">
      <c r="A373" s="61">
        <v>109</v>
      </c>
      <c r="B373" s="61">
        <v>113.2</v>
      </c>
      <c r="C373" s="61">
        <v>108.72</v>
      </c>
      <c r="D373" s="61">
        <v>110.15</v>
      </c>
      <c r="E373" s="61">
        <v>3539982</v>
      </c>
      <c r="F373" s="61" t="s">
        <v>375</v>
      </c>
      <c r="G373" s="25">
        <f t="shared" si="5"/>
        <v>-1.0440308669995457E-2</v>
      </c>
    </row>
    <row r="374" spans="1:7">
      <c r="A374" s="61">
        <v>111.58</v>
      </c>
      <c r="B374" s="61">
        <v>117.76</v>
      </c>
      <c r="C374" s="61">
        <v>111.16</v>
      </c>
      <c r="D374" s="61">
        <v>113.75</v>
      </c>
      <c r="E374" s="61">
        <v>9251427</v>
      </c>
      <c r="F374" s="61" t="s">
        <v>376</v>
      </c>
      <c r="G374" s="25">
        <f t="shared" si="5"/>
        <v>-1.9076923076923102E-2</v>
      </c>
    </row>
    <row r="375" spans="1:7">
      <c r="A375" s="61">
        <v>138.05000000000001</v>
      </c>
      <c r="B375" s="61">
        <v>139.96</v>
      </c>
      <c r="C375" s="61">
        <v>135.35</v>
      </c>
      <c r="D375" s="61">
        <v>135.44</v>
      </c>
      <c r="E375" s="61">
        <v>2281658</v>
      </c>
      <c r="F375" s="61" t="s">
        <v>377</v>
      </c>
      <c r="G375" s="25">
        <f t="shared" si="5"/>
        <v>1.9270525694034424E-2</v>
      </c>
    </row>
    <row r="376" spans="1:7">
      <c r="A376" s="61">
        <v>133.75</v>
      </c>
      <c r="B376" s="61">
        <v>137</v>
      </c>
      <c r="C376" s="61">
        <v>132.78</v>
      </c>
      <c r="D376" s="61">
        <v>134</v>
      </c>
      <c r="E376" s="61">
        <v>1491174</v>
      </c>
      <c r="F376" s="61" t="s">
        <v>378</v>
      </c>
      <c r="G376" s="25">
        <f t="shared" si="5"/>
        <v>-1.8656716417910779E-3</v>
      </c>
    </row>
    <row r="377" spans="1:7">
      <c r="A377" s="61">
        <v>129.99</v>
      </c>
      <c r="B377" s="61">
        <v>132.94999999999999</v>
      </c>
      <c r="C377" s="61">
        <v>129.69</v>
      </c>
      <c r="D377" s="61">
        <v>132.94999999999999</v>
      </c>
      <c r="E377" s="61">
        <v>819995</v>
      </c>
      <c r="F377" s="61" t="s">
        <v>379</v>
      </c>
      <c r="G377" s="25">
        <f t="shared" si="5"/>
        <v>-2.2264009025949494E-2</v>
      </c>
    </row>
    <row r="378" spans="1:7">
      <c r="A378" s="61">
        <v>131.29</v>
      </c>
      <c r="B378" s="61">
        <v>134.845</v>
      </c>
      <c r="C378" s="61">
        <v>130.35</v>
      </c>
      <c r="D378" s="61">
        <v>132.57</v>
      </c>
      <c r="E378" s="61">
        <v>769991</v>
      </c>
      <c r="F378" s="61" t="s">
        <v>380</v>
      </c>
      <c r="G378" s="25">
        <f t="shared" si="5"/>
        <v>-9.6552764577204631E-3</v>
      </c>
    </row>
    <row r="379" spans="1:7">
      <c r="A379" s="61">
        <v>132.35</v>
      </c>
      <c r="B379" s="61">
        <v>137.1</v>
      </c>
      <c r="C379" s="61">
        <v>132.29</v>
      </c>
      <c r="D379" s="61">
        <v>137.03</v>
      </c>
      <c r="E379" s="61">
        <v>1217217</v>
      </c>
      <c r="F379" s="61" t="s">
        <v>381</v>
      </c>
      <c r="G379" s="25">
        <f t="shared" si="5"/>
        <v>-3.4153105159454133E-2</v>
      </c>
    </row>
    <row r="380" spans="1:7">
      <c r="A380" s="61">
        <v>138.22999999999999</v>
      </c>
      <c r="B380" s="61">
        <v>139.04</v>
      </c>
      <c r="C380" s="61">
        <v>136.44499999999999</v>
      </c>
      <c r="D380" s="61">
        <v>138.66</v>
      </c>
      <c r="E380" s="61">
        <v>868305</v>
      </c>
      <c r="F380" s="61" t="s">
        <v>382</v>
      </c>
      <c r="G380" s="25">
        <f t="shared" ref="G380:G443" si="6">A380/D380-1</f>
        <v>-3.1011106303188152E-3</v>
      </c>
    </row>
    <row r="381" spans="1:7">
      <c r="A381" s="61">
        <v>139.4</v>
      </c>
      <c r="B381" s="61">
        <v>139.47</v>
      </c>
      <c r="C381" s="61">
        <v>137.04</v>
      </c>
      <c r="D381" s="61">
        <v>137.91999999999999</v>
      </c>
      <c r="E381" s="61">
        <v>895188</v>
      </c>
      <c r="F381" s="61" t="s">
        <v>383</v>
      </c>
      <c r="G381" s="25">
        <f t="shared" si="6"/>
        <v>1.0730858468677607E-2</v>
      </c>
    </row>
    <row r="382" spans="1:7">
      <c r="A382" s="61">
        <v>136.09</v>
      </c>
      <c r="B382" s="61">
        <v>139.29</v>
      </c>
      <c r="C382" s="61">
        <v>135.27000000000001</v>
      </c>
      <c r="D382" s="61">
        <v>139.29</v>
      </c>
      <c r="E382" s="61">
        <v>900069</v>
      </c>
      <c r="F382" s="61" t="s">
        <v>384</v>
      </c>
      <c r="G382" s="25">
        <f t="shared" si="6"/>
        <v>-2.2973652092756036E-2</v>
      </c>
    </row>
    <row r="383" spans="1:7">
      <c r="A383" s="61">
        <v>137.54</v>
      </c>
      <c r="B383" s="61">
        <v>141.5</v>
      </c>
      <c r="C383" s="61">
        <v>135.77160000000001</v>
      </c>
      <c r="D383" s="61">
        <v>141.07</v>
      </c>
      <c r="E383" s="61">
        <v>1164403</v>
      </c>
      <c r="F383" s="61" t="s">
        <v>385</v>
      </c>
      <c r="G383" s="25">
        <f t="shared" si="6"/>
        <v>-2.5023038207981907E-2</v>
      </c>
    </row>
    <row r="384" spans="1:7">
      <c r="A384" s="61">
        <v>140.44999999999999</v>
      </c>
      <c r="B384" s="61">
        <v>144.22499999999999</v>
      </c>
      <c r="C384" s="61">
        <v>138.72</v>
      </c>
      <c r="D384" s="61">
        <v>139.30000000000001</v>
      </c>
      <c r="E384" s="61">
        <v>910075</v>
      </c>
      <c r="F384" s="61" t="s">
        <v>386</v>
      </c>
      <c r="G384" s="25">
        <f t="shared" si="6"/>
        <v>8.2555635319452314E-3</v>
      </c>
    </row>
    <row r="385" spans="1:7">
      <c r="A385" s="61">
        <v>139.43</v>
      </c>
      <c r="B385" s="61">
        <v>141.29</v>
      </c>
      <c r="C385" s="61">
        <v>137.05000000000001</v>
      </c>
      <c r="D385" s="61">
        <v>139.65</v>
      </c>
      <c r="E385" s="61">
        <v>1132545</v>
      </c>
      <c r="F385" s="61" t="s">
        <v>387</v>
      </c>
      <c r="G385" s="25">
        <f t="shared" si="6"/>
        <v>-1.5753669889008171E-3</v>
      </c>
    </row>
    <row r="386" spans="1:7">
      <c r="A386" s="61">
        <v>139.55000000000001</v>
      </c>
      <c r="B386" s="61">
        <v>139.75</v>
      </c>
      <c r="C386" s="61">
        <v>136.22999999999999</v>
      </c>
      <c r="D386" s="61">
        <v>136.72999999999999</v>
      </c>
      <c r="E386" s="61">
        <v>624270</v>
      </c>
      <c r="F386" s="61" t="s">
        <v>388</v>
      </c>
      <c r="G386" s="25">
        <f t="shared" si="6"/>
        <v>2.0624588605280714E-2</v>
      </c>
    </row>
    <row r="387" spans="1:7">
      <c r="A387" s="61">
        <v>136.74</v>
      </c>
      <c r="B387" s="61">
        <v>136.96</v>
      </c>
      <c r="C387" s="61">
        <v>133.84</v>
      </c>
      <c r="D387" s="61">
        <v>134.78</v>
      </c>
      <c r="E387" s="61">
        <v>830792</v>
      </c>
      <c r="F387" s="61" t="s">
        <v>389</v>
      </c>
      <c r="G387" s="25">
        <f t="shared" si="6"/>
        <v>1.4542216946134445E-2</v>
      </c>
    </row>
    <row r="388" spans="1:7">
      <c r="A388" s="61">
        <v>135.11000000000001</v>
      </c>
      <c r="B388" s="61">
        <v>138.34</v>
      </c>
      <c r="C388" s="61">
        <v>134.9</v>
      </c>
      <c r="D388" s="61">
        <v>137.24</v>
      </c>
      <c r="E388" s="61">
        <v>684477</v>
      </c>
      <c r="F388" s="61" t="s">
        <v>390</v>
      </c>
      <c r="G388" s="25">
        <f t="shared" si="6"/>
        <v>-1.5520256484989781E-2</v>
      </c>
    </row>
    <row r="389" spans="1:7">
      <c r="A389" s="61">
        <v>135.61000000000001</v>
      </c>
      <c r="B389" s="61">
        <v>137.25</v>
      </c>
      <c r="C389" s="61">
        <v>134.63</v>
      </c>
      <c r="D389" s="61">
        <v>135.74</v>
      </c>
      <c r="E389" s="61">
        <v>755744</v>
      </c>
      <c r="F389" s="61" t="s">
        <v>391</v>
      </c>
      <c r="G389" s="25">
        <f t="shared" si="6"/>
        <v>-9.5771327537941264E-4</v>
      </c>
    </row>
    <row r="390" spans="1:7">
      <c r="A390" s="61">
        <v>136.54</v>
      </c>
      <c r="B390" s="61">
        <v>141.51</v>
      </c>
      <c r="C390" s="61">
        <v>134.51009999999999</v>
      </c>
      <c r="D390" s="61">
        <v>141.51</v>
      </c>
      <c r="E390" s="61">
        <v>931822</v>
      </c>
      <c r="F390" s="61" t="s">
        <v>392</v>
      </c>
      <c r="G390" s="25">
        <f t="shared" si="6"/>
        <v>-3.5121192848561966E-2</v>
      </c>
    </row>
    <row r="391" spans="1:7">
      <c r="A391" s="61">
        <v>141.93</v>
      </c>
      <c r="B391" s="61">
        <v>142.74</v>
      </c>
      <c r="C391" s="61">
        <v>140.28</v>
      </c>
      <c r="D391" s="61">
        <v>140.86000000000001</v>
      </c>
      <c r="E391" s="61">
        <v>813650</v>
      </c>
      <c r="F391" s="61" t="s">
        <v>393</v>
      </c>
      <c r="G391" s="25">
        <f t="shared" si="6"/>
        <v>7.5961948033507198E-3</v>
      </c>
    </row>
    <row r="392" spans="1:7">
      <c r="A392" s="61">
        <v>137.99</v>
      </c>
      <c r="B392" s="61">
        <v>140.97</v>
      </c>
      <c r="C392" s="61">
        <v>136.19</v>
      </c>
      <c r="D392" s="61">
        <v>138.91999999999999</v>
      </c>
      <c r="E392" s="61">
        <v>830119</v>
      </c>
      <c r="F392" s="61" t="s">
        <v>394</v>
      </c>
      <c r="G392" s="25">
        <f t="shared" si="6"/>
        <v>-6.6945004319031165E-3</v>
      </c>
    </row>
    <row r="393" spans="1:7">
      <c r="A393" s="61">
        <v>140.80000000000001</v>
      </c>
      <c r="B393" s="61">
        <v>142.46</v>
      </c>
      <c r="C393" s="61">
        <v>138.51</v>
      </c>
      <c r="D393" s="61">
        <v>139.27000000000001</v>
      </c>
      <c r="E393" s="61">
        <v>933954</v>
      </c>
      <c r="F393" s="61" t="s">
        <v>395</v>
      </c>
      <c r="G393" s="25">
        <f t="shared" si="6"/>
        <v>1.0985854814389295E-2</v>
      </c>
    </row>
    <row r="394" spans="1:7">
      <c r="A394" s="61">
        <v>141.63</v>
      </c>
      <c r="B394" s="61">
        <v>144.44</v>
      </c>
      <c r="C394" s="61">
        <v>139.41999999999999</v>
      </c>
      <c r="D394" s="61">
        <v>144.1</v>
      </c>
      <c r="E394" s="61">
        <v>877037</v>
      </c>
      <c r="F394" s="61" t="s">
        <v>396</v>
      </c>
      <c r="G394" s="25">
        <f t="shared" si="6"/>
        <v>-1.7140874392782779E-2</v>
      </c>
    </row>
    <row r="395" spans="1:7">
      <c r="A395" s="61">
        <v>144.81</v>
      </c>
      <c r="B395" s="61">
        <v>145.26400000000001</v>
      </c>
      <c r="C395" s="61">
        <v>141.84</v>
      </c>
      <c r="D395" s="61">
        <v>144.09</v>
      </c>
      <c r="E395" s="61">
        <v>835746</v>
      </c>
      <c r="F395" s="61" t="s">
        <v>397</v>
      </c>
      <c r="G395" s="25">
        <f t="shared" si="6"/>
        <v>4.9968769519050937E-3</v>
      </c>
    </row>
    <row r="396" spans="1:7">
      <c r="A396" s="61">
        <v>144.31</v>
      </c>
      <c r="B396" s="61">
        <v>148.25</v>
      </c>
      <c r="C396" s="61">
        <v>143.9</v>
      </c>
      <c r="D396" s="61">
        <v>148.01</v>
      </c>
      <c r="E396" s="61">
        <v>975883</v>
      </c>
      <c r="F396" s="61" t="s">
        <v>398</v>
      </c>
      <c r="G396" s="25">
        <f t="shared" si="6"/>
        <v>-2.4998310924937428E-2</v>
      </c>
    </row>
    <row r="397" spans="1:7">
      <c r="A397" s="61">
        <v>147.4</v>
      </c>
      <c r="B397" s="61">
        <v>151.13</v>
      </c>
      <c r="C397" s="61">
        <v>145.41499999999999</v>
      </c>
      <c r="D397" s="61">
        <v>147.5</v>
      </c>
      <c r="E397" s="61">
        <v>1159716</v>
      </c>
      <c r="F397" s="61" t="s">
        <v>399</v>
      </c>
      <c r="G397" s="25">
        <f t="shared" si="6"/>
        <v>-6.7796610169490457E-4</v>
      </c>
    </row>
    <row r="398" spans="1:7">
      <c r="A398" s="61">
        <v>143.04</v>
      </c>
      <c r="B398" s="61">
        <v>146.44999999999999</v>
      </c>
      <c r="C398" s="61">
        <v>141.81</v>
      </c>
      <c r="D398" s="61">
        <v>145.36000000000001</v>
      </c>
      <c r="E398" s="61">
        <v>891668</v>
      </c>
      <c r="F398" s="61" t="s">
        <v>400</v>
      </c>
      <c r="G398" s="25">
        <f t="shared" si="6"/>
        <v>-1.5960374243258246E-2</v>
      </c>
    </row>
    <row r="399" spans="1:7">
      <c r="A399" s="61">
        <v>144.83000000000001</v>
      </c>
      <c r="B399" s="61">
        <v>147.10900000000001</v>
      </c>
      <c r="C399" s="61">
        <v>143.93</v>
      </c>
      <c r="D399" s="61">
        <v>145</v>
      </c>
      <c r="E399" s="61">
        <v>1105341</v>
      </c>
      <c r="F399" s="61" t="s">
        <v>401</v>
      </c>
      <c r="G399" s="25">
        <f t="shared" si="6"/>
        <v>-1.1724137931033995E-3</v>
      </c>
    </row>
    <row r="400" spans="1:7">
      <c r="A400" s="61">
        <v>143.75</v>
      </c>
      <c r="B400" s="61">
        <v>144.08500000000001</v>
      </c>
      <c r="C400" s="61">
        <v>137.94</v>
      </c>
      <c r="D400" s="61">
        <v>140.5</v>
      </c>
      <c r="E400" s="61">
        <v>1084806</v>
      </c>
      <c r="F400" s="61" t="s">
        <v>402</v>
      </c>
      <c r="G400" s="25">
        <f t="shared" si="6"/>
        <v>2.313167259786475E-2</v>
      </c>
    </row>
    <row r="401" spans="1:7">
      <c r="A401" s="61">
        <v>139.05000000000001</v>
      </c>
      <c r="B401" s="61">
        <v>140.34</v>
      </c>
      <c r="C401" s="61">
        <v>137.63499999999999</v>
      </c>
      <c r="D401" s="61">
        <v>138.16</v>
      </c>
      <c r="E401" s="61">
        <v>1491867</v>
      </c>
      <c r="F401" s="61" t="s">
        <v>403</v>
      </c>
      <c r="G401" s="25">
        <f t="shared" si="6"/>
        <v>6.4418066010423214E-3</v>
      </c>
    </row>
    <row r="402" spans="1:7">
      <c r="A402" s="61">
        <v>137.91999999999999</v>
      </c>
      <c r="B402" s="61">
        <v>144.32</v>
      </c>
      <c r="C402" s="61">
        <v>134.44499999999999</v>
      </c>
      <c r="D402" s="61">
        <v>142.94999999999999</v>
      </c>
      <c r="E402" s="61">
        <v>1257257</v>
      </c>
      <c r="F402" s="61" t="s">
        <v>404</v>
      </c>
      <c r="G402" s="25">
        <f t="shared" si="6"/>
        <v>-3.5187128366561793E-2</v>
      </c>
    </row>
    <row r="403" spans="1:7">
      <c r="A403" s="61">
        <v>139.81</v>
      </c>
      <c r="B403" s="61">
        <v>143</v>
      </c>
      <c r="C403" s="61">
        <v>138.2998</v>
      </c>
      <c r="D403" s="61">
        <v>138.53</v>
      </c>
      <c r="E403" s="61">
        <v>854314</v>
      </c>
      <c r="F403" s="61" t="s">
        <v>405</v>
      </c>
      <c r="G403" s="25">
        <f t="shared" si="6"/>
        <v>9.239875839168521E-3</v>
      </c>
    </row>
    <row r="404" spans="1:7">
      <c r="A404" s="61">
        <v>138.43</v>
      </c>
      <c r="B404" s="61">
        <v>139.79</v>
      </c>
      <c r="C404" s="61">
        <v>135.80000000000001</v>
      </c>
      <c r="D404" s="61">
        <v>135.80000000000001</v>
      </c>
      <c r="E404" s="61">
        <v>1118910</v>
      </c>
      <c r="F404" s="61" t="s">
        <v>406</v>
      </c>
      <c r="G404" s="25">
        <f t="shared" si="6"/>
        <v>1.9366715758468267E-2</v>
      </c>
    </row>
    <row r="405" spans="1:7">
      <c r="A405" s="61">
        <v>135.47</v>
      </c>
      <c r="B405" s="61">
        <v>136.8699</v>
      </c>
      <c r="C405" s="61">
        <v>129.08000000000001</v>
      </c>
      <c r="D405" s="61">
        <v>129.08000000000001</v>
      </c>
      <c r="E405" s="61">
        <v>1462828</v>
      </c>
      <c r="F405" s="61" t="s">
        <v>407</v>
      </c>
      <c r="G405" s="25">
        <f t="shared" si="6"/>
        <v>4.9504183452122597E-2</v>
      </c>
    </row>
    <row r="406" spans="1:7">
      <c r="A406" s="61">
        <v>128.77000000000001</v>
      </c>
      <c r="B406" s="61">
        <v>131.08000000000001</v>
      </c>
      <c r="C406" s="61">
        <v>128.56479999999999</v>
      </c>
      <c r="D406" s="61">
        <v>128.6</v>
      </c>
      <c r="E406" s="61">
        <v>825808</v>
      </c>
      <c r="F406" s="61" t="s">
        <v>408</v>
      </c>
      <c r="G406" s="25">
        <f t="shared" si="6"/>
        <v>1.3219284603422921E-3</v>
      </c>
    </row>
    <row r="407" spans="1:7">
      <c r="A407" s="61">
        <v>127.73</v>
      </c>
      <c r="B407" s="61">
        <v>128.87</v>
      </c>
      <c r="C407" s="61">
        <v>126.54</v>
      </c>
      <c r="D407" s="61">
        <v>128.13999999999999</v>
      </c>
      <c r="E407" s="61">
        <v>736269</v>
      </c>
      <c r="F407" s="61" t="s">
        <v>409</v>
      </c>
      <c r="G407" s="25">
        <f t="shared" si="6"/>
        <v>-3.1996254097079735E-3</v>
      </c>
    </row>
    <row r="408" spans="1:7">
      <c r="A408" s="61">
        <v>128.13999999999999</v>
      </c>
      <c r="B408" s="61">
        <v>128.83000000000001</v>
      </c>
      <c r="C408" s="61">
        <v>123.2</v>
      </c>
      <c r="D408" s="61">
        <v>125.37</v>
      </c>
      <c r="E408" s="61">
        <v>911429</v>
      </c>
      <c r="F408" s="61" t="s">
        <v>410</v>
      </c>
      <c r="G408" s="25">
        <f t="shared" si="6"/>
        <v>2.209459998404717E-2</v>
      </c>
    </row>
    <row r="409" spans="1:7">
      <c r="A409" s="61">
        <v>125.43</v>
      </c>
      <c r="B409" s="61">
        <v>129.18</v>
      </c>
      <c r="C409" s="61">
        <v>124.85</v>
      </c>
      <c r="D409" s="61">
        <v>126.7</v>
      </c>
      <c r="E409" s="61">
        <v>1091299</v>
      </c>
      <c r="F409" s="61" t="s">
        <v>411</v>
      </c>
      <c r="G409" s="25">
        <f t="shared" si="6"/>
        <v>-1.0023677979479007E-2</v>
      </c>
    </row>
    <row r="410" spans="1:7">
      <c r="A410" s="61">
        <v>125.73</v>
      </c>
      <c r="B410" s="61">
        <v>131.97</v>
      </c>
      <c r="C410" s="61">
        <v>125.52</v>
      </c>
      <c r="D410" s="61">
        <v>131.01</v>
      </c>
      <c r="E410" s="61">
        <v>1180487</v>
      </c>
      <c r="F410" s="61" t="s">
        <v>412</v>
      </c>
      <c r="G410" s="25">
        <f t="shared" si="6"/>
        <v>-4.0302267002518821E-2</v>
      </c>
    </row>
    <row r="411" spans="1:7">
      <c r="A411" s="61">
        <v>129.82</v>
      </c>
      <c r="B411" s="61">
        <v>136.37</v>
      </c>
      <c r="C411" s="61">
        <v>129.69999999999999</v>
      </c>
      <c r="D411" s="61">
        <v>135.41999999999999</v>
      </c>
      <c r="E411" s="61">
        <v>999988</v>
      </c>
      <c r="F411" s="61" t="s">
        <v>413</v>
      </c>
      <c r="G411" s="25">
        <f t="shared" si="6"/>
        <v>-4.1352828238074069E-2</v>
      </c>
    </row>
    <row r="412" spans="1:7">
      <c r="A412" s="61">
        <v>135.62</v>
      </c>
      <c r="B412" s="61">
        <v>138.72999999999999</v>
      </c>
      <c r="C412" s="61">
        <v>135.16999999999999</v>
      </c>
      <c r="D412" s="61">
        <v>138.72999999999999</v>
      </c>
      <c r="E412" s="61">
        <v>666821</v>
      </c>
      <c r="F412" s="61" t="s">
        <v>414</v>
      </c>
      <c r="G412" s="25">
        <f t="shared" si="6"/>
        <v>-2.2417645786779961E-2</v>
      </c>
    </row>
    <row r="413" spans="1:7">
      <c r="A413" s="61">
        <v>138.91999999999999</v>
      </c>
      <c r="B413" s="61">
        <v>140.71</v>
      </c>
      <c r="C413" s="61">
        <v>138.11000000000001</v>
      </c>
      <c r="D413" s="61">
        <v>138.38999999999999</v>
      </c>
      <c r="E413" s="61">
        <v>743261</v>
      </c>
      <c r="F413" s="61" t="s">
        <v>415</v>
      </c>
      <c r="G413" s="25">
        <f t="shared" si="6"/>
        <v>3.8297564852951549E-3</v>
      </c>
    </row>
    <row r="414" spans="1:7">
      <c r="A414" s="61">
        <v>139.91999999999999</v>
      </c>
      <c r="B414" s="61">
        <v>145.69999999999999</v>
      </c>
      <c r="C414" s="61">
        <v>139.13</v>
      </c>
      <c r="D414" s="61">
        <v>145.28</v>
      </c>
      <c r="E414" s="61">
        <v>912492</v>
      </c>
      <c r="F414" s="61" t="s">
        <v>416</v>
      </c>
      <c r="G414" s="25">
        <f t="shared" si="6"/>
        <v>-3.6894273127753396E-2</v>
      </c>
    </row>
    <row r="415" spans="1:7">
      <c r="A415" s="61">
        <v>146.16999999999999</v>
      </c>
      <c r="B415" s="61">
        <v>146.97999999999999</v>
      </c>
      <c r="C415" s="61">
        <v>143.05000000000001</v>
      </c>
      <c r="D415" s="61">
        <v>146.97999999999999</v>
      </c>
      <c r="E415" s="61">
        <v>601931</v>
      </c>
      <c r="F415" s="61" t="s">
        <v>417</v>
      </c>
      <c r="G415" s="25">
        <f t="shared" si="6"/>
        <v>-5.5109538712749817E-3</v>
      </c>
    </row>
    <row r="416" spans="1:7">
      <c r="A416" s="61">
        <v>145.28</v>
      </c>
      <c r="B416" s="61">
        <v>147.32</v>
      </c>
      <c r="C416" s="61">
        <v>142.22040000000001</v>
      </c>
      <c r="D416" s="61">
        <v>143.43</v>
      </c>
      <c r="E416" s="61">
        <v>774015</v>
      </c>
      <c r="F416" s="61" t="s">
        <v>418</v>
      </c>
      <c r="G416" s="25">
        <f t="shared" si="6"/>
        <v>1.289827790559861E-2</v>
      </c>
    </row>
    <row r="417" spans="1:7">
      <c r="A417" s="61">
        <v>143.11000000000001</v>
      </c>
      <c r="B417" s="61">
        <v>143.85</v>
      </c>
      <c r="C417" s="61">
        <v>139.85</v>
      </c>
      <c r="D417" s="61">
        <v>142.94</v>
      </c>
      <c r="E417" s="61">
        <v>785790</v>
      </c>
      <c r="F417" s="61" t="s">
        <v>419</v>
      </c>
      <c r="G417" s="25">
        <f t="shared" si="6"/>
        <v>1.1893102000841704E-3</v>
      </c>
    </row>
    <row r="418" spans="1:7">
      <c r="A418" s="61">
        <v>143.18</v>
      </c>
      <c r="B418" s="61">
        <v>143.59</v>
      </c>
      <c r="C418" s="61">
        <v>137.83500000000001</v>
      </c>
      <c r="D418" s="61">
        <v>139.36000000000001</v>
      </c>
      <c r="E418" s="61">
        <v>737685</v>
      </c>
      <c r="F418" s="61" t="s">
        <v>420</v>
      </c>
      <c r="G418" s="25">
        <f t="shared" si="6"/>
        <v>2.7411021814006897E-2</v>
      </c>
    </row>
    <row r="419" spans="1:7">
      <c r="A419" s="61">
        <v>140.07499999999999</v>
      </c>
      <c r="B419" s="61">
        <v>144.51</v>
      </c>
      <c r="C419" s="61">
        <v>138.91999999999999</v>
      </c>
      <c r="D419" s="61">
        <v>144.51</v>
      </c>
      <c r="E419" s="61">
        <v>978434</v>
      </c>
      <c r="F419" s="61" t="s">
        <v>421</v>
      </c>
      <c r="G419" s="25">
        <f t="shared" si="6"/>
        <v>-3.0689917652757637E-2</v>
      </c>
    </row>
    <row r="420" spans="1:7">
      <c r="A420" s="61">
        <v>144.69</v>
      </c>
      <c r="B420" s="61">
        <v>146.86000000000001</v>
      </c>
      <c r="C420" s="61">
        <v>143.16</v>
      </c>
      <c r="D420" s="61">
        <v>144.47999999999999</v>
      </c>
      <c r="E420" s="61">
        <v>1059418</v>
      </c>
      <c r="F420" s="61" t="s">
        <v>422</v>
      </c>
      <c r="G420" s="25">
        <f t="shared" si="6"/>
        <v>1.4534883720931369E-3</v>
      </c>
    </row>
    <row r="421" spans="1:7">
      <c r="A421" s="61">
        <v>142.06</v>
      </c>
      <c r="B421" s="61">
        <v>145.49</v>
      </c>
      <c r="C421" s="61">
        <v>141.32</v>
      </c>
      <c r="D421" s="61">
        <v>144.41</v>
      </c>
      <c r="E421" s="61">
        <v>1031908</v>
      </c>
      <c r="F421" s="61" t="s">
        <v>423</v>
      </c>
      <c r="G421" s="25">
        <f t="shared" si="6"/>
        <v>-1.6273111280382224E-2</v>
      </c>
    </row>
    <row r="422" spans="1:7">
      <c r="A422" s="61">
        <v>140.6</v>
      </c>
      <c r="B422" s="61">
        <v>145.37</v>
      </c>
      <c r="C422" s="61">
        <v>136.62</v>
      </c>
      <c r="D422" s="61">
        <v>137.12</v>
      </c>
      <c r="E422" s="61">
        <v>1529568</v>
      </c>
      <c r="F422" s="61" t="s">
        <v>424</v>
      </c>
      <c r="G422" s="25">
        <f t="shared" si="6"/>
        <v>2.5379229871645093E-2</v>
      </c>
    </row>
    <row r="423" spans="1:7">
      <c r="A423" s="61">
        <v>135.01</v>
      </c>
      <c r="B423" s="61">
        <v>139.45500000000001</v>
      </c>
      <c r="C423" s="61">
        <v>134.5</v>
      </c>
      <c r="D423" s="61">
        <v>139.4</v>
      </c>
      <c r="E423" s="61">
        <v>796561</v>
      </c>
      <c r="F423" s="61" t="s">
        <v>425</v>
      </c>
      <c r="G423" s="25">
        <f t="shared" si="6"/>
        <v>-3.1492109038737559E-2</v>
      </c>
    </row>
    <row r="424" spans="1:7">
      <c r="A424" s="61">
        <v>139.31</v>
      </c>
      <c r="B424" s="61">
        <v>140.11000000000001</v>
      </c>
      <c r="C424" s="61">
        <v>136.03</v>
      </c>
      <c r="D424" s="61">
        <v>136.03</v>
      </c>
      <c r="E424" s="61">
        <v>968631</v>
      </c>
      <c r="F424" s="61" t="s">
        <v>426</v>
      </c>
      <c r="G424" s="25">
        <f t="shared" si="6"/>
        <v>2.4112328162905206E-2</v>
      </c>
    </row>
    <row r="425" spans="1:7">
      <c r="A425" s="61">
        <v>136.05000000000001</v>
      </c>
      <c r="B425" s="61">
        <v>137.26</v>
      </c>
      <c r="C425" s="61">
        <v>134.75</v>
      </c>
      <c r="D425" s="61">
        <v>136.69</v>
      </c>
      <c r="E425" s="61">
        <v>717625</v>
      </c>
      <c r="F425" s="61" t="s">
        <v>427</v>
      </c>
      <c r="G425" s="25">
        <f t="shared" si="6"/>
        <v>-4.682127441656192E-3</v>
      </c>
    </row>
    <row r="426" spans="1:7">
      <c r="A426" s="61">
        <v>137.18</v>
      </c>
      <c r="B426" s="61">
        <v>138.66</v>
      </c>
      <c r="C426" s="61">
        <v>134.44</v>
      </c>
      <c r="D426" s="61">
        <v>136.66</v>
      </c>
      <c r="E426" s="61">
        <v>926025</v>
      </c>
      <c r="F426" s="61" t="s">
        <v>428</v>
      </c>
      <c r="G426" s="25">
        <f t="shared" si="6"/>
        <v>3.8050636616420164E-3</v>
      </c>
    </row>
    <row r="427" spans="1:7">
      <c r="A427" s="61">
        <v>131.38999999999999</v>
      </c>
      <c r="B427" s="61">
        <v>136.55000000000001</v>
      </c>
      <c r="C427" s="61">
        <v>131.09</v>
      </c>
      <c r="D427" s="61">
        <v>135.33000000000001</v>
      </c>
      <c r="E427" s="61">
        <v>1025678</v>
      </c>
      <c r="F427" s="61" t="s">
        <v>429</v>
      </c>
      <c r="G427" s="25">
        <f t="shared" si="6"/>
        <v>-2.9114017586640228E-2</v>
      </c>
    </row>
    <row r="428" spans="1:7">
      <c r="A428" s="61">
        <v>134.61000000000001</v>
      </c>
      <c r="B428" s="61">
        <v>135.85</v>
      </c>
      <c r="C428" s="61">
        <v>131.83000000000001</v>
      </c>
      <c r="D428" s="61">
        <v>132.06</v>
      </c>
      <c r="E428" s="61">
        <v>1451399</v>
      </c>
      <c r="F428" s="61" t="s">
        <v>430</v>
      </c>
      <c r="G428" s="25">
        <f t="shared" si="6"/>
        <v>1.9309404815992748E-2</v>
      </c>
    </row>
    <row r="429" spans="1:7">
      <c r="A429" s="61">
        <v>130.24</v>
      </c>
      <c r="B429" s="61">
        <v>132.435</v>
      </c>
      <c r="C429" s="61">
        <v>129.21</v>
      </c>
      <c r="D429" s="61">
        <v>132.27000000000001</v>
      </c>
      <c r="E429" s="61">
        <v>1048641</v>
      </c>
      <c r="F429" s="61" t="s">
        <v>431</v>
      </c>
      <c r="G429" s="25">
        <f t="shared" si="6"/>
        <v>-1.5347395478944592E-2</v>
      </c>
    </row>
    <row r="430" spans="1:7">
      <c r="A430" s="61">
        <v>132.27000000000001</v>
      </c>
      <c r="B430" s="61">
        <v>132.74</v>
      </c>
      <c r="C430" s="61">
        <v>129.48349999999999</v>
      </c>
      <c r="D430" s="61">
        <v>131.72999999999999</v>
      </c>
      <c r="E430" s="61">
        <v>899760</v>
      </c>
      <c r="F430" s="61" t="s">
        <v>432</v>
      </c>
      <c r="G430" s="25">
        <f t="shared" si="6"/>
        <v>4.09929401047604E-3</v>
      </c>
    </row>
    <row r="431" spans="1:7">
      <c r="A431" s="61">
        <v>131.75</v>
      </c>
      <c r="B431" s="61">
        <v>132.47999999999999</v>
      </c>
      <c r="C431" s="61">
        <v>126.6</v>
      </c>
      <c r="D431" s="61">
        <v>127.64</v>
      </c>
      <c r="E431" s="61">
        <v>914649</v>
      </c>
      <c r="F431" s="61" t="s">
        <v>433</v>
      </c>
      <c r="G431" s="25">
        <f t="shared" si="6"/>
        <v>3.2199937323722949E-2</v>
      </c>
    </row>
    <row r="432" spans="1:7">
      <c r="A432" s="61">
        <v>126.18</v>
      </c>
      <c r="B432" s="61">
        <v>131.72</v>
      </c>
      <c r="C432" s="61">
        <v>125.89</v>
      </c>
      <c r="D432" s="61">
        <v>128.49</v>
      </c>
      <c r="E432" s="61">
        <v>1355175</v>
      </c>
      <c r="F432" s="61" t="s">
        <v>434</v>
      </c>
      <c r="G432" s="25">
        <f t="shared" si="6"/>
        <v>-1.7978052766752239E-2</v>
      </c>
    </row>
    <row r="433" spans="1:7">
      <c r="A433" s="61">
        <v>126.69</v>
      </c>
      <c r="B433" s="61">
        <v>127.45</v>
      </c>
      <c r="C433" s="61">
        <v>122.77</v>
      </c>
      <c r="D433" s="61">
        <v>123.15</v>
      </c>
      <c r="E433" s="61">
        <v>1221338</v>
      </c>
      <c r="F433" s="61" t="s">
        <v>435</v>
      </c>
      <c r="G433" s="25">
        <f t="shared" si="6"/>
        <v>2.874543239951266E-2</v>
      </c>
    </row>
    <row r="434" spans="1:7">
      <c r="A434" s="61">
        <v>121.05</v>
      </c>
      <c r="B434" s="61">
        <v>122.38</v>
      </c>
      <c r="C434" s="61">
        <v>112.5</v>
      </c>
      <c r="D434" s="61">
        <v>114.55</v>
      </c>
      <c r="E434" s="61">
        <v>1821697</v>
      </c>
      <c r="F434" s="61" t="s">
        <v>436</v>
      </c>
      <c r="G434" s="25">
        <f t="shared" si="6"/>
        <v>5.6743780008729816E-2</v>
      </c>
    </row>
    <row r="435" spans="1:7">
      <c r="A435" s="61">
        <v>123.31</v>
      </c>
      <c r="B435" s="61">
        <v>125.37</v>
      </c>
      <c r="C435" s="61">
        <v>121.55</v>
      </c>
      <c r="D435" s="61">
        <v>123.86</v>
      </c>
      <c r="E435" s="61">
        <v>2195533</v>
      </c>
      <c r="F435" s="61" t="s">
        <v>437</v>
      </c>
      <c r="G435" s="25">
        <f t="shared" si="6"/>
        <v>-4.4404973357016209E-3</v>
      </c>
    </row>
    <row r="436" spans="1:7">
      <c r="A436" s="61">
        <v>130.81</v>
      </c>
      <c r="B436" s="61">
        <v>133.04</v>
      </c>
      <c r="C436" s="61">
        <v>120.8</v>
      </c>
      <c r="D436" s="61">
        <v>126.59</v>
      </c>
      <c r="E436" s="61">
        <v>4896071</v>
      </c>
      <c r="F436" s="61" t="s">
        <v>438</v>
      </c>
      <c r="G436" s="25">
        <f t="shared" si="6"/>
        <v>3.3335966506043091E-2</v>
      </c>
    </row>
    <row r="437" spans="1:7">
      <c r="A437" s="61">
        <v>134.37</v>
      </c>
      <c r="B437" s="61">
        <v>137.69999999999999</v>
      </c>
      <c r="C437" s="61">
        <v>132.61000000000001</v>
      </c>
      <c r="D437" s="61">
        <v>134.69</v>
      </c>
      <c r="E437" s="61">
        <v>2432800</v>
      </c>
      <c r="F437" s="61" t="s">
        <v>439</v>
      </c>
      <c r="G437" s="25">
        <f t="shared" si="6"/>
        <v>-2.3758259707475915E-3</v>
      </c>
    </row>
    <row r="438" spans="1:7">
      <c r="A438" s="61">
        <v>132.61000000000001</v>
      </c>
      <c r="B438" s="61">
        <v>136.02500000000001</v>
      </c>
      <c r="C438" s="61">
        <v>130.91</v>
      </c>
      <c r="D438" s="61">
        <v>132.69</v>
      </c>
      <c r="E438" s="61">
        <v>1694545</v>
      </c>
      <c r="F438" s="61" t="s">
        <v>440</v>
      </c>
      <c r="G438" s="25">
        <f t="shared" si="6"/>
        <v>-6.02909036099053E-4</v>
      </c>
    </row>
    <row r="439" spans="1:7">
      <c r="A439" s="61">
        <v>132.51</v>
      </c>
      <c r="B439" s="61">
        <v>134.04</v>
      </c>
      <c r="C439" s="61">
        <v>130.77010000000001</v>
      </c>
      <c r="D439" s="61">
        <v>130.91</v>
      </c>
      <c r="E439" s="61">
        <v>1337392</v>
      </c>
      <c r="F439" s="61" t="s">
        <v>441</v>
      </c>
      <c r="G439" s="25">
        <f t="shared" si="6"/>
        <v>1.2222137346268314E-2</v>
      </c>
    </row>
    <row r="440" spans="1:7">
      <c r="A440" s="61">
        <v>130.5</v>
      </c>
      <c r="B440" s="61">
        <v>133.63999999999999</v>
      </c>
      <c r="C440" s="61">
        <v>129.21</v>
      </c>
      <c r="D440" s="61">
        <v>129.5</v>
      </c>
      <c r="E440" s="61">
        <v>1876052</v>
      </c>
      <c r="F440" s="61" t="s">
        <v>442</v>
      </c>
      <c r="G440" s="25">
        <f t="shared" si="6"/>
        <v>7.7220077220077066E-3</v>
      </c>
    </row>
    <row r="441" spans="1:7">
      <c r="A441" s="61">
        <v>125.14</v>
      </c>
      <c r="B441" s="61">
        <v>130</v>
      </c>
      <c r="C441" s="61">
        <v>123.36</v>
      </c>
      <c r="D441" s="61">
        <v>130</v>
      </c>
      <c r="E441" s="61">
        <v>2123711</v>
      </c>
      <c r="F441" s="61" t="s">
        <v>443</v>
      </c>
      <c r="G441" s="25">
        <f t="shared" si="6"/>
        <v>-3.7384615384615349E-2</v>
      </c>
    </row>
    <row r="442" spans="1:7">
      <c r="A442" s="61">
        <v>129.38</v>
      </c>
      <c r="B442" s="61">
        <v>131.26</v>
      </c>
      <c r="C442" s="61">
        <v>128.16</v>
      </c>
      <c r="D442" s="61">
        <v>130.66999999999999</v>
      </c>
      <c r="E442" s="61">
        <v>999666</v>
      </c>
      <c r="F442" s="61" t="s">
        <v>444</v>
      </c>
      <c r="G442" s="25">
        <f t="shared" si="6"/>
        <v>-9.8721971378280537E-3</v>
      </c>
    </row>
    <row r="443" spans="1:7">
      <c r="A443" s="61">
        <v>131.30000000000001</v>
      </c>
      <c r="B443" s="61">
        <v>136.09989999999999</v>
      </c>
      <c r="C443" s="61">
        <v>131.125</v>
      </c>
      <c r="D443" s="61">
        <v>133.72999999999999</v>
      </c>
      <c r="E443" s="61">
        <v>1520009</v>
      </c>
      <c r="F443" s="61" t="s">
        <v>445</v>
      </c>
      <c r="G443" s="25">
        <f t="shared" si="6"/>
        <v>-1.8170941449188516E-2</v>
      </c>
    </row>
    <row r="444" spans="1:7">
      <c r="A444" s="61">
        <v>133.28</v>
      </c>
      <c r="B444" s="61">
        <v>134.43</v>
      </c>
      <c r="C444" s="61">
        <v>130.88499999999999</v>
      </c>
      <c r="D444" s="61">
        <v>134.30000000000001</v>
      </c>
      <c r="E444" s="61">
        <v>1257742</v>
      </c>
      <c r="F444" s="61" t="s">
        <v>446</v>
      </c>
      <c r="G444" s="25">
        <f t="shared" ref="G444:G507" si="7">A444/D444-1</f>
        <v>-7.5949367088608E-3</v>
      </c>
    </row>
    <row r="445" spans="1:7">
      <c r="A445" s="61">
        <v>133.5</v>
      </c>
      <c r="B445" s="61">
        <v>134.5</v>
      </c>
      <c r="C445" s="61">
        <v>130.22</v>
      </c>
      <c r="D445" s="61">
        <v>131.47999999999999</v>
      </c>
      <c r="E445" s="61">
        <v>1729428</v>
      </c>
      <c r="F445" s="61" t="s">
        <v>447</v>
      </c>
      <c r="G445" s="25">
        <f t="shared" si="7"/>
        <v>1.5363553392151008E-2</v>
      </c>
    </row>
    <row r="446" spans="1:7">
      <c r="A446" s="61">
        <v>131.55000000000001</v>
      </c>
      <c r="B446" s="61">
        <v>135.52000000000001</v>
      </c>
      <c r="C446" s="61">
        <v>130.08000000000001</v>
      </c>
      <c r="D446" s="61">
        <v>133.72</v>
      </c>
      <c r="E446" s="61">
        <v>1188075</v>
      </c>
      <c r="F446" s="61" t="s">
        <v>448</v>
      </c>
      <c r="G446" s="25">
        <f t="shared" si="7"/>
        <v>-1.6227938976966727E-2</v>
      </c>
    </row>
    <row r="447" spans="1:7">
      <c r="A447" s="61">
        <v>132.99</v>
      </c>
      <c r="B447" s="61">
        <v>137.16</v>
      </c>
      <c r="C447" s="61">
        <v>132.27000000000001</v>
      </c>
      <c r="D447" s="61">
        <v>133.49</v>
      </c>
      <c r="E447" s="61">
        <v>1088135</v>
      </c>
      <c r="F447" s="61" t="s">
        <v>449</v>
      </c>
      <c r="G447" s="25">
        <f t="shared" si="7"/>
        <v>-3.7455989212674679E-3</v>
      </c>
    </row>
    <row r="448" spans="1:7">
      <c r="A448" s="61">
        <v>136.1</v>
      </c>
      <c r="B448" s="61">
        <v>137.19999999999999</v>
      </c>
      <c r="C448" s="61">
        <v>133.59</v>
      </c>
      <c r="D448" s="61">
        <v>136.12</v>
      </c>
      <c r="E448" s="61">
        <v>1272823</v>
      </c>
      <c r="F448" s="61" t="s">
        <v>450</v>
      </c>
      <c r="G448" s="25">
        <f t="shared" si="7"/>
        <v>-1.4692918013525791E-4</v>
      </c>
    </row>
    <row r="449" spans="1:7">
      <c r="A449" s="61">
        <v>135.85</v>
      </c>
      <c r="B449" s="61">
        <v>139.22</v>
      </c>
      <c r="C449" s="61">
        <v>135.66</v>
      </c>
      <c r="D449" s="61">
        <v>139.22</v>
      </c>
      <c r="E449" s="61">
        <v>1235716</v>
      </c>
      <c r="F449" s="61" t="s">
        <v>451</v>
      </c>
      <c r="G449" s="25">
        <f t="shared" si="7"/>
        <v>-2.4206292199396628E-2</v>
      </c>
    </row>
    <row r="450" spans="1:7">
      <c r="A450" s="61">
        <v>139.24</v>
      </c>
      <c r="B450" s="61">
        <v>141.97999999999999</v>
      </c>
      <c r="C450" s="61">
        <v>138.85</v>
      </c>
      <c r="D450" s="61">
        <v>141.55000000000001</v>
      </c>
      <c r="E450" s="61">
        <v>1528246</v>
      </c>
      <c r="F450" s="61" t="s">
        <v>452</v>
      </c>
      <c r="G450" s="25">
        <f t="shared" si="7"/>
        <v>-1.6319321794418973E-2</v>
      </c>
    </row>
    <row r="451" spans="1:7">
      <c r="A451" s="61">
        <v>142.88999999999999</v>
      </c>
      <c r="B451" s="61">
        <v>143.77000000000001</v>
      </c>
      <c r="C451" s="61">
        <v>141.00899999999999</v>
      </c>
      <c r="D451" s="61">
        <v>142.16</v>
      </c>
      <c r="E451" s="61">
        <v>1120007</v>
      </c>
      <c r="F451" s="61" t="s">
        <v>453</v>
      </c>
      <c r="G451" s="25">
        <f t="shared" si="7"/>
        <v>5.1350590883509906E-3</v>
      </c>
    </row>
    <row r="452" spans="1:7">
      <c r="A452" s="61">
        <v>140.13999999999999</v>
      </c>
      <c r="B452" s="61">
        <v>144.44999999999999</v>
      </c>
      <c r="C452" s="61">
        <v>137.565</v>
      </c>
      <c r="D452" s="61">
        <v>144.44999999999999</v>
      </c>
      <c r="E452" s="61">
        <v>1473682</v>
      </c>
      <c r="F452" s="61" t="s">
        <v>454</v>
      </c>
      <c r="G452" s="25">
        <f t="shared" si="7"/>
        <v>-2.983731394946354E-2</v>
      </c>
    </row>
    <row r="453" spans="1:7">
      <c r="A453" s="61">
        <v>143.25</v>
      </c>
      <c r="B453" s="61">
        <v>145.33500000000001</v>
      </c>
      <c r="C453" s="61">
        <v>142.66</v>
      </c>
      <c r="D453" s="61">
        <v>144.5</v>
      </c>
      <c r="E453" s="61">
        <v>836005</v>
      </c>
      <c r="F453" s="61" t="s">
        <v>455</v>
      </c>
      <c r="G453" s="25">
        <f t="shared" si="7"/>
        <v>-8.65051903114189E-3</v>
      </c>
    </row>
    <row r="454" spans="1:7">
      <c r="A454" s="61">
        <v>144.52000000000001</v>
      </c>
      <c r="B454" s="61">
        <v>145.57380000000001</v>
      </c>
      <c r="C454" s="61">
        <v>143.03</v>
      </c>
      <c r="D454" s="61">
        <v>145</v>
      </c>
      <c r="E454" s="61">
        <v>1206912</v>
      </c>
      <c r="F454" s="61" t="s">
        <v>456</v>
      </c>
      <c r="G454" s="25">
        <f t="shared" si="7"/>
        <v>-3.3103448275861869E-3</v>
      </c>
    </row>
    <row r="455" spans="1:7">
      <c r="A455" s="61">
        <v>143.54</v>
      </c>
      <c r="B455" s="61">
        <v>148.88999999999999</v>
      </c>
      <c r="C455" s="61">
        <v>142.86000000000001</v>
      </c>
      <c r="D455" s="61">
        <v>147.81</v>
      </c>
      <c r="E455" s="61">
        <v>1106986</v>
      </c>
      <c r="F455" s="61" t="s">
        <v>457</v>
      </c>
      <c r="G455" s="25">
        <f t="shared" si="7"/>
        <v>-2.8888437859414196E-2</v>
      </c>
    </row>
    <row r="456" spans="1:7">
      <c r="A456" s="61">
        <v>147.9</v>
      </c>
      <c r="B456" s="61">
        <v>150.13990000000001</v>
      </c>
      <c r="C456" s="61">
        <v>146</v>
      </c>
      <c r="D456" s="61">
        <v>146.18</v>
      </c>
      <c r="E456" s="61">
        <v>512615</v>
      </c>
      <c r="F456" s="61" t="s">
        <v>458</v>
      </c>
      <c r="G456" s="25">
        <f t="shared" si="7"/>
        <v>1.1766315501436475E-2</v>
      </c>
    </row>
    <row r="457" spans="1:7">
      <c r="A457" s="61">
        <v>145.49</v>
      </c>
      <c r="B457" s="61">
        <v>147.02000000000001</v>
      </c>
      <c r="C457" s="61">
        <v>143.16</v>
      </c>
      <c r="D457" s="61">
        <v>146.62</v>
      </c>
      <c r="E457" s="61">
        <v>1276258</v>
      </c>
      <c r="F457" s="61" t="s">
        <v>459</v>
      </c>
      <c r="G457" s="25">
        <f t="shared" si="7"/>
        <v>-7.7069976810802965E-3</v>
      </c>
    </row>
    <row r="458" spans="1:7">
      <c r="A458" s="61">
        <v>147.75</v>
      </c>
      <c r="B458" s="61">
        <v>150.03</v>
      </c>
      <c r="C458" s="61">
        <v>146.84</v>
      </c>
      <c r="D458" s="61">
        <v>147.57</v>
      </c>
      <c r="E458" s="61">
        <v>1239830</v>
      </c>
      <c r="F458" s="61" t="s">
        <v>460</v>
      </c>
      <c r="G458" s="25">
        <f t="shared" si="7"/>
        <v>1.2197601138443925E-3</v>
      </c>
    </row>
    <row r="459" spans="1:7">
      <c r="A459" s="61">
        <v>145.94</v>
      </c>
      <c r="B459" s="61">
        <v>148.65</v>
      </c>
      <c r="C459" s="61">
        <v>142.80000000000001</v>
      </c>
      <c r="D459" s="61">
        <v>144.88999999999999</v>
      </c>
      <c r="E459" s="61">
        <v>2387296</v>
      </c>
      <c r="F459" s="61" t="s">
        <v>461</v>
      </c>
      <c r="G459" s="25">
        <f t="shared" si="7"/>
        <v>7.2468769411278E-3</v>
      </c>
    </row>
    <row r="460" spans="1:7">
      <c r="A460" s="61">
        <v>148.25</v>
      </c>
      <c r="B460" s="61">
        <v>148.73500000000001</v>
      </c>
      <c r="C460" s="61">
        <v>146.22999999999999</v>
      </c>
      <c r="D460" s="61">
        <v>147.9</v>
      </c>
      <c r="E460" s="61">
        <v>1014166</v>
      </c>
      <c r="F460" s="61" t="s">
        <v>462</v>
      </c>
      <c r="G460" s="25">
        <f t="shared" si="7"/>
        <v>2.3664638269100813E-3</v>
      </c>
    </row>
    <row r="461" spans="1:7">
      <c r="A461" s="61">
        <v>148.63999999999999</v>
      </c>
      <c r="B461" s="61">
        <v>154.80000000000001</v>
      </c>
      <c r="C461" s="61">
        <v>148.18</v>
      </c>
      <c r="D461" s="61">
        <v>151.94</v>
      </c>
      <c r="E461" s="61">
        <v>1109336</v>
      </c>
      <c r="F461" s="61" t="s">
        <v>463</v>
      </c>
      <c r="G461" s="25">
        <f t="shared" si="7"/>
        <v>-2.1719099644596618E-2</v>
      </c>
    </row>
    <row r="462" spans="1:7">
      <c r="A462" s="61">
        <v>151.13999999999999</v>
      </c>
      <c r="B462" s="61">
        <v>153.80000000000001</v>
      </c>
      <c r="C462" s="61">
        <v>150.66499999999999</v>
      </c>
      <c r="D462" s="61">
        <v>153.41</v>
      </c>
      <c r="E462" s="61">
        <v>938568</v>
      </c>
      <c r="F462" s="61" t="s">
        <v>464</v>
      </c>
      <c r="G462" s="25">
        <f t="shared" si="7"/>
        <v>-1.4796949351411293E-2</v>
      </c>
    </row>
    <row r="463" spans="1:7">
      <c r="A463" s="61">
        <v>152.59</v>
      </c>
      <c r="B463" s="61">
        <v>154.83000000000001</v>
      </c>
      <c r="C463" s="61">
        <v>151.46</v>
      </c>
      <c r="D463" s="61">
        <v>153.32</v>
      </c>
      <c r="E463" s="61">
        <v>1418317</v>
      </c>
      <c r="F463" s="61" t="s">
        <v>465</v>
      </c>
      <c r="G463" s="25">
        <f t="shared" si="7"/>
        <v>-4.7612835898772632E-3</v>
      </c>
    </row>
    <row r="464" spans="1:7">
      <c r="A464" s="61">
        <v>154.74</v>
      </c>
      <c r="B464" s="61">
        <v>156.5</v>
      </c>
      <c r="C464" s="61">
        <v>153.11000000000001</v>
      </c>
      <c r="D464" s="61">
        <v>156.5</v>
      </c>
      <c r="E464" s="61">
        <v>1765382</v>
      </c>
      <c r="F464" s="61" t="s">
        <v>466</v>
      </c>
      <c r="G464" s="25">
        <f t="shared" si="7"/>
        <v>-1.1246006389776353E-2</v>
      </c>
    </row>
    <row r="465" spans="1:7">
      <c r="A465" s="61">
        <v>157.85</v>
      </c>
      <c r="B465" s="61">
        <v>165.32</v>
      </c>
      <c r="C465" s="61">
        <v>156.7901</v>
      </c>
      <c r="D465" s="61">
        <v>160</v>
      </c>
      <c r="E465" s="61">
        <v>1541840</v>
      </c>
      <c r="F465" s="61" t="s">
        <v>467</v>
      </c>
      <c r="G465" s="25">
        <f t="shared" si="7"/>
        <v>-1.3437499999999991E-2</v>
      </c>
    </row>
    <row r="466" spans="1:7">
      <c r="A466" s="61">
        <v>159.41999999999999</v>
      </c>
      <c r="B466" s="61">
        <v>160.02500000000001</v>
      </c>
      <c r="C466" s="61">
        <v>156.34</v>
      </c>
      <c r="D466" s="61">
        <v>159.49</v>
      </c>
      <c r="E466" s="61">
        <v>1177560</v>
      </c>
      <c r="F466" s="61" t="s">
        <v>468</v>
      </c>
      <c r="G466" s="25">
        <f t="shared" si="7"/>
        <v>-4.3889899053251025E-4</v>
      </c>
    </row>
    <row r="467" spans="1:7">
      <c r="A467" s="61">
        <v>159.68</v>
      </c>
      <c r="B467" s="61">
        <v>161.04499999999999</v>
      </c>
      <c r="C467" s="61">
        <v>155.46</v>
      </c>
      <c r="D467" s="61">
        <v>156.63999999999999</v>
      </c>
      <c r="E467" s="61">
        <v>858634</v>
      </c>
      <c r="F467" s="61" t="s">
        <v>469</v>
      </c>
      <c r="G467" s="25">
        <f t="shared" si="7"/>
        <v>1.9407558733401498E-2</v>
      </c>
    </row>
    <row r="468" spans="1:7">
      <c r="A468" s="61">
        <v>156.97999999999999</v>
      </c>
      <c r="B468" s="61">
        <v>159.16079999999999</v>
      </c>
      <c r="C468" s="61">
        <v>154.78</v>
      </c>
      <c r="D468" s="61">
        <v>156.31</v>
      </c>
      <c r="E468" s="61">
        <v>1074275</v>
      </c>
      <c r="F468" s="61" t="s">
        <v>470</v>
      </c>
      <c r="G468" s="25">
        <f t="shared" si="7"/>
        <v>4.2863540400486233E-3</v>
      </c>
    </row>
    <row r="469" spans="1:7">
      <c r="A469" s="61">
        <v>158.65</v>
      </c>
      <c r="B469" s="61">
        <v>159.75</v>
      </c>
      <c r="C469" s="61">
        <v>155.52850000000001</v>
      </c>
      <c r="D469" s="61">
        <v>156.96</v>
      </c>
      <c r="E469" s="61">
        <v>1345116</v>
      </c>
      <c r="F469" s="61" t="s">
        <v>471</v>
      </c>
      <c r="G469" s="25">
        <f t="shared" si="7"/>
        <v>1.0767074413863487E-2</v>
      </c>
    </row>
    <row r="470" spans="1:7">
      <c r="A470" s="61">
        <v>157.44999999999999</v>
      </c>
      <c r="B470" s="61">
        <v>158.80000000000001</v>
      </c>
      <c r="C470" s="61">
        <v>155.54</v>
      </c>
      <c r="D470" s="61">
        <v>158</v>
      </c>
      <c r="E470" s="61">
        <v>1111527</v>
      </c>
      <c r="F470" s="61" t="s">
        <v>472</v>
      </c>
      <c r="G470" s="25">
        <f t="shared" si="7"/>
        <v>-3.4810126582278667E-3</v>
      </c>
    </row>
    <row r="471" spans="1:7">
      <c r="A471" s="61">
        <v>154.53</v>
      </c>
      <c r="B471" s="61">
        <v>154.66</v>
      </c>
      <c r="C471" s="61">
        <v>150.09</v>
      </c>
      <c r="D471" s="61">
        <v>153.01</v>
      </c>
      <c r="E471" s="61">
        <v>1014531</v>
      </c>
      <c r="F471" s="61" t="s">
        <v>473</v>
      </c>
      <c r="G471" s="25">
        <f t="shared" si="7"/>
        <v>9.9339912424025734E-3</v>
      </c>
    </row>
    <row r="472" spans="1:7">
      <c r="A472" s="61">
        <v>154.08000000000001</v>
      </c>
      <c r="B472" s="61">
        <v>155.04</v>
      </c>
      <c r="C472" s="61">
        <v>143.28</v>
      </c>
      <c r="D472" s="61">
        <v>145.4</v>
      </c>
      <c r="E472" s="61">
        <v>1361922</v>
      </c>
      <c r="F472" s="61" t="s">
        <v>474</v>
      </c>
      <c r="G472" s="25">
        <f t="shared" si="7"/>
        <v>5.969738651994505E-2</v>
      </c>
    </row>
    <row r="473" spans="1:7">
      <c r="A473" s="61">
        <v>147</v>
      </c>
      <c r="B473" s="61">
        <v>150.87</v>
      </c>
      <c r="C473" s="61">
        <v>146.66</v>
      </c>
      <c r="D473" s="61">
        <v>147.94</v>
      </c>
      <c r="E473" s="61">
        <v>923163</v>
      </c>
      <c r="F473" s="61" t="s">
        <v>475</v>
      </c>
      <c r="G473" s="25">
        <f t="shared" si="7"/>
        <v>-6.3539272678112546E-3</v>
      </c>
    </row>
    <row r="474" spans="1:7">
      <c r="A474" s="61">
        <v>148.41</v>
      </c>
      <c r="B474" s="61">
        <v>149.41999999999999</v>
      </c>
      <c r="C474" s="61">
        <v>146.66</v>
      </c>
      <c r="D474" s="61">
        <v>148.5</v>
      </c>
      <c r="E474" s="61">
        <v>1379440</v>
      </c>
      <c r="F474" s="61" t="s">
        <v>476</v>
      </c>
      <c r="G474" s="25">
        <f t="shared" si="7"/>
        <v>-6.0606060606060996E-4</v>
      </c>
    </row>
    <row r="475" spans="1:7">
      <c r="A475" s="61">
        <v>148.01</v>
      </c>
      <c r="B475" s="61">
        <v>149.69999999999999</v>
      </c>
      <c r="C475" s="61">
        <v>147.6</v>
      </c>
      <c r="D475" s="61">
        <v>148.96</v>
      </c>
      <c r="E475" s="61">
        <v>773591</v>
      </c>
      <c r="F475" s="61" t="s">
        <v>477</v>
      </c>
      <c r="G475" s="25">
        <f t="shared" si="7"/>
        <v>-6.3775510204082675E-3</v>
      </c>
    </row>
    <row r="476" spans="1:7">
      <c r="A476" s="61">
        <v>148.72</v>
      </c>
      <c r="B476" s="61">
        <v>154.7353</v>
      </c>
      <c r="C476" s="61">
        <v>148.58000000000001</v>
      </c>
      <c r="D476" s="61">
        <v>152.47999999999999</v>
      </c>
      <c r="E476" s="61">
        <v>1029842</v>
      </c>
      <c r="F476" s="61" t="s">
        <v>478</v>
      </c>
      <c r="G476" s="25">
        <f t="shared" si="7"/>
        <v>-2.4658971668415464E-2</v>
      </c>
    </row>
    <row r="477" spans="1:7">
      <c r="A477" s="61">
        <v>153.93</v>
      </c>
      <c r="B477" s="61">
        <v>158.11000000000001</v>
      </c>
      <c r="C477" s="61">
        <v>153.07499999999999</v>
      </c>
      <c r="D477" s="61">
        <v>157</v>
      </c>
      <c r="E477" s="61">
        <v>900876</v>
      </c>
      <c r="F477" s="61" t="s">
        <v>479</v>
      </c>
      <c r="G477" s="25">
        <f t="shared" si="7"/>
        <v>-1.9554140127388542E-2</v>
      </c>
    </row>
    <row r="478" spans="1:7">
      <c r="A478" s="61">
        <v>155.63999999999999</v>
      </c>
      <c r="B478" s="61">
        <v>158</v>
      </c>
      <c r="C478" s="61">
        <v>152.18</v>
      </c>
      <c r="D478" s="61">
        <v>156.34</v>
      </c>
      <c r="E478" s="61">
        <v>1050466</v>
      </c>
      <c r="F478" s="61" t="s">
        <v>480</v>
      </c>
      <c r="G478" s="25">
        <f t="shared" si="7"/>
        <v>-4.47742100550097E-3</v>
      </c>
    </row>
    <row r="479" spans="1:7">
      <c r="A479" s="61">
        <v>155.97</v>
      </c>
      <c r="B479" s="61">
        <v>157.56</v>
      </c>
      <c r="C479" s="61">
        <v>153.62</v>
      </c>
      <c r="D479" s="61">
        <v>154.05000000000001</v>
      </c>
      <c r="E479" s="61">
        <v>896304</v>
      </c>
      <c r="F479" s="61" t="s">
        <v>481</v>
      </c>
      <c r="G479" s="25">
        <f t="shared" si="7"/>
        <v>1.2463485881207381E-2</v>
      </c>
    </row>
    <row r="480" spans="1:7">
      <c r="A480" s="61">
        <v>153.61000000000001</v>
      </c>
      <c r="B480" s="61">
        <v>154.9</v>
      </c>
      <c r="C480" s="61">
        <v>151.57</v>
      </c>
      <c r="D480" s="61">
        <v>152.9</v>
      </c>
      <c r="E480" s="61">
        <v>1036687</v>
      </c>
      <c r="F480" s="61" t="s">
        <v>482</v>
      </c>
      <c r="G480" s="25">
        <f t="shared" si="7"/>
        <v>4.6435578809680411E-3</v>
      </c>
    </row>
    <row r="481" spans="1:7">
      <c r="A481" s="61">
        <v>154.91</v>
      </c>
      <c r="B481" s="61">
        <v>155.46</v>
      </c>
      <c r="C481" s="61">
        <v>150.7621</v>
      </c>
      <c r="D481" s="61">
        <v>150.77000000000001</v>
      </c>
      <c r="E481" s="61">
        <v>1447229</v>
      </c>
      <c r="F481" s="61" t="s">
        <v>483</v>
      </c>
      <c r="G481" s="25">
        <f t="shared" si="7"/>
        <v>2.745904357630824E-2</v>
      </c>
    </row>
    <row r="482" spans="1:7">
      <c r="A482" s="61">
        <v>148.91999999999999</v>
      </c>
      <c r="B482" s="61">
        <v>150.715</v>
      </c>
      <c r="C482" s="61">
        <v>144.72999999999999</v>
      </c>
      <c r="D482" s="61">
        <v>144.72999999999999</v>
      </c>
      <c r="E482" s="61">
        <v>1641822</v>
      </c>
      <c r="F482" s="61" t="s">
        <v>484</v>
      </c>
      <c r="G482" s="25">
        <f t="shared" si="7"/>
        <v>2.8950459476266177E-2</v>
      </c>
    </row>
    <row r="483" spans="1:7">
      <c r="A483" s="61">
        <v>142.62</v>
      </c>
      <c r="B483" s="61">
        <v>144.6</v>
      </c>
      <c r="C483" s="61">
        <v>139.5001</v>
      </c>
      <c r="D483" s="61">
        <v>141.86000000000001</v>
      </c>
      <c r="E483" s="61">
        <v>1106040</v>
      </c>
      <c r="F483" s="61" t="s">
        <v>485</v>
      </c>
      <c r="G483" s="25">
        <f t="shared" si="7"/>
        <v>5.3573946144085394E-3</v>
      </c>
    </row>
    <row r="484" spans="1:7">
      <c r="A484" s="61">
        <v>141.54</v>
      </c>
      <c r="B484" s="61">
        <v>144.24</v>
      </c>
      <c r="C484" s="61">
        <v>141.08000000000001</v>
      </c>
      <c r="D484" s="61">
        <v>142.97</v>
      </c>
      <c r="E484" s="61">
        <v>805052</v>
      </c>
      <c r="F484" s="61" t="s">
        <v>486</v>
      </c>
      <c r="G484" s="25">
        <f t="shared" si="7"/>
        <v>-1.0002098342309584E-2</v>
      </c>
    </row>
    <row r="485" spans="1:7">
      <c r="A485" s="61">
        <v>144.41999999999999</v>
      </c>
      <c r="B485" s="61">
        <v>144.88999999999999</v>
      </c>
      <c r="C485" s="61">
        <v>139.5</v>
      </c>
      <c r="D485" s="61">
        <v>139.54</v>
      </c>
      <c r="E485" s="61">
        <v>1086582</v>
      </c>
      <c r="F485" s="61" t="s">
        <v>487</v>
      </c>
      <c r="G485" s="25">
        <f t="shared" si="7"/>
        <v>3.4972051024795725E-2</v>
      </c>
    </row>
    <row r="486" spans="1:7">
      <c r="A486" s="61">
        <v>139.32</v>
      </c>
      <c r="B486" s="61">
        <v>141.8699</v>
      </c>
      <c r="C486" s="61">
        <v>139.01</v>
      </c>
      <c r="D486" s="61">
        <v>141.09</v>
      </c>
      <c r="E486" s="61">
        <v>609122</v>
      </c>
      <c r="F486" s="61" t="s">
        <v>488</v>
      </c>
      <c r="G486" s="25">
        <f t="shared" si="7"/>
        <v>-1.2545183925154246E-2</v>
      </c>
    </row>
    <row r="487" spans="1:7">
      <c r="A487" s="61">
        <v>140.94999999999999</v>
      </c>
      <c r="B487" s="61">
        <v>142.78</v>
      </c>
      <c r="C487" s="61">
        <v>140.19999999999999</v>
      </c>
      <c r="D487" s="61">
        <v>142.16</v>
      </c>
      <c r="E487" s="61">
        <v>878090</v>
      </c>
      <c r="F487" s="61" t="s">
        <v>489</v>
      </c>
      <c r="G487" s="25">
        <f t="shared" si="7"/>
        <v>-8.5115362971300845E-3</v>
      </c>
    </row>
    <row r="488" spans="1:7">
      <c r="A488" s="61">
        <v>142.01</v>
      </c>
      <c r="B488" s="61">
        <v>145.38</v>
      </c>
      <c r="C488" s="61">
        <v>140.72999999999999</v>
      </c>
      <c r="D488" s="61">
        <v>144.80000000000001</v>
      </c>
      <c r="E488" s="61">
        <v>1102201</v>
      </c>
      <c r="F488" s="61" t="s">
        <v>490</v>
      </c>
      <c r="G488" s="25">
        <f t="shared" si="7"/>
        <v>-1.9267955801105074E-2</v>
      </c>
    </row>
    <row r="489" spans="1:7">
      <c r="A489" s="61">
        <v>144.72999999999999</v>
      </c>
      <c r="B489" s="61">
        <v>148.16</v>
      </c>
      <c r="C489" s="61">
        <v>144.06</v>
      </c>
      <c r="D489" s="61">
        <v>146.83000000000001</v>
      </c>
      <c r="E489" s="61">
        <v>1054215</v>
      </c>
      <c r="F489" s="61" t="s">
        <v>491</v>
      </c>
      <c r="G489" s="25">
        <f t="shared" si="7"/>
        <v>-1.4302254307702933E-2</v>
      </c>
    </row>
    <row r="490" spans="1:7">
      <c r="A490" s="61">
        <v>145.31</v>
      </c>
      <c r="B490" s="61">
        <v>147.36000000000001</v>
      </c>
      <c r="C490" s="61">
        <v>144.57</v>
      </c>
      <c r="D490" s="61">
        <v>144.77000000000001</v>
      </c>
      <c r="E490" s="61">
        <v>1371245</v>
      </c>
      <c r="F490" s="61" t="s">
        <v>492</v>
      </c>
      <c r="G490" s="25">
        <f t="shared" si="7"/>
        <v>3.7300545693168541E-3</v>
      </c>
    </row>
    <row r="491" spans="1:7">
      <c r="A491" s="61">
        <v>142.94</v>
      </c>
      <c r="B491" s="61">
        <v>144.7799</v>
      </c>
      <c r="C491" s="61">
        <v>141.02000000000001</v>
      </c>
      <c r="D491" s="61">
        <v>144.59</v>
      </c>
      <c r="E491" s="61">
        <v>903974</v>
      </c>
      <c r="F491" s="61" t="s">
        <v>493</v>
      </c>
      <c r="G491" s="25">
        <f t="shared" si="7"/>
        <v>-1.1411577564146902E-2</v>
      </c>
    </row>
    <row r="492" spans="1:7">
      <c r="A492" s="61">
        <v>143.27000000000001</v>
      </c>
      <c r="B492" s="61">
        <v>143.36000000000001</v>
      </c>
      <c r="C492" s="61">
        <v>139.18010000000001</v>
      </c>
      <c r="D492" s="61">
        <v>140.72</v>
      </c>
      <c r="E492" s="61">
        <v>1711934</v>
      </c>
      <c r="F492" s="61" t="s">
        <v>494</v>
      </c>
      <c r="G492" s="25">
        <f t="shared" si="7"/>
        <v>1.8121091529277988E-2</v>
      </c>
    </row>
    <row r="493" spans="1:7">
      <c r="A493" s="61">
        <v>139.69999999999999</v>
      </c>
      <c r="B493" s="61">
        <v>139.86000000000001</v>
      </c>
      <c r="C493" s="61">
        <v>134.77000000000001</v>
      </c>
      <c r="D493" s="61">
        <v>135.86000000000001</v>
      </c>
      <c r="E493" s="61">
        <v>1419359</v>
      </c>
      <c r="F493" s="61" t="s">
        <v>495</v>
      </c>
      <c r="G493" s="25">
        <f t="shared" si="7"/>
        <v>2.8264389813042579E-2</v>
      </c>
    </row>
    <row r="494" spans="1:7">
      <c r="A494" s="61">
        <v>135.41999999999999</v>
      </c>
      <c r="B494" s="61">
        <v>137.27000000000001</v>
      </c>
      <c r="C494" s="61">
        <v>133.15</v>
      </c>
      <c r="D494" s="61">
        <v>135.27000000000001</v>
      </c>
      <c r="E494" s="61">
        <v>1204886</v>
      </c>
      <c r="F494" s="61" t="s">
        <v>496</v>
      </c>
      <c r="G494" s="25">
        <f t="shared" si="7"/>
        <v>1.108893324462068E-3</v>
      </c>
    </row>
    <row r="495" spans="1:7">
      <c r="A495" s="61">
        <v>136.49</v>
      </c>
      <c r="B495" s="61">
        <v>142.71</v>
      </c>
      <c r="C495" s="61">
        <v>132.1</v>
      </c>
      <c r="D495" s="61">
        <v>133.12</v>
      </c>
      <c r="E495" s="61">
        <v>5366566</v>
      </c>
      <c r="F495" s="61" t="s">
        <v>497</v>
      </c>
      <c r="G495" s="25">
        <f t="shared" si="7"/>
        <v>2.5315504807692291E-2</v>
      </c>
    </row>
    <row r="496" spans="1:7">
      <c r="A496" s="61">
        <v>126.63</v>
      </c>
      <c r="B496" s="61">
        <v>128.24</v>
      </c>
      <c r="C496" s="61">
        <v>125.5301</v>
      </c>
      <c r="D496" s="61">
        <v>125.9</v>
      </c>
      <c r="E496" s="61">
        <v>1799445</v>
      </c>
      <c r="F496" s="61" t="s">
        <v>498</v>
      </c>
      <c r="G496" s="25">
        <f t="shared" si="7"/>
        <v>5.7982525814137542E-3</v>
      </c>
    </row>
    <row r="497" spans="1:7">
      <c r="A497" s="61">
        <v>124.28</v>
      </c>
      <c r="B497" s="61">
        <v>129.59</v>
      </c>
      <c r="C497" s="61">
        <v>123.08</v>
      </c>
      <c r="D497" s="61">
        <v>129.59</v>
      </c>
      <c r="E497" s="61">
        <v>1423386</v>
      </c>
      <c r="F497" s="61" t="s">
        <v>499</v>
      </c>
      <c r="G497" s="25">
        <f t="shared" si="7"/>
        <v>-4.0975383903078977E-2</v>
      </c>
    </row>
    <row r="498" spans="1:7">
      <c r="A498" s="61">
        <v>126.7</v>
      </c>
      <c r="B498" s="61">
        <v>126.73</v>
      </c>
      <c r="C498" s="61">
        <v>123.62</v>
      </c>
      <c r="D498" s="61">
        <v>126.34</v>
      </c>
      <c r="E498" s="61">
        <v>801394</v>
      </c>
      <c r="F498" s="61" t="s">
        <v>500</v>
      </c>
      <c r="G498" s="25">
        <f t="shared" si="7"/>
        <v>2.8494538546779413E-3</v>
      </c>
    </row>
    <row r="499" spans="1:7">
      <c r="A499" s="61">
        <v>123.55</v>
      </c>
      <c r="B499" s="61">
        <v>126.66500000000001</v>
      </c>
      <c r="C499" s="61">
        <v>121.5</v>
      </c>
      <c r="D499" s="61">
        <v>124.25</v>
      </c>
      <c r="E499" s="61">
        <v>1010101</v>
      </c>
      <c r="F499" s="61" t="s">
        <v>501</v>
      </c>
      <c r="G499" s="25">
        <f t="shared" si="7"/>
        <v>-5.6338028169014009E-3</v>
      </c>
    </row>
    <row r="500" spans="1:7">
      <c r="A500" s="61">
        <v>124.37</v>
      </c>
      <c r="B500" s="61">
        <v>127.56</v>
      </c>
      <c r="C500" s="61">
        <v>124.31</v>
      </c>
      <c r="D500" s="61">
        <v>126.73</v>
      </c>
      <c r="E500" s="61">
        <v>756279</v>
      </c>
      <c r="F500" s="61" t="s">
        <v>502</v>
      </c>
      <c r="G500" s="25">
        <f t="shared" si="7"/>
        <v>-1.8622267813461657E-2</v>
      </c>
    </row>
    <row r="501" spans="1:7">
      <c r="A501" s="61">
        <v>127.69</v>
      </c>
      <c r="B501" s="61">
        <v>128.87</v>
      </c>
      <c r="C501" s="61">
        <v>126.02</v>
      </c>
      <c r="D501" s="61">
        <v>126.02</v>
      </c>
      <c r="E501" s="61">
        <v>825275</v>
      </c>
      <c r="F501" s="61" t="s">
        <v>503</v>
      </c>
      <c r="G501" s="25">
        <f t="shared" si="7"/>
        <v>1.3251864783367706E-2</v>
      </c>
    </row>
    <row r="502" spans="1:7">
      <c r="A502" s="61">
        <v>125.4</v>
      </c>
      <c r="B502" s="61">
        <v>127.73</v>
      </c>
      <c r="C502" s="61">
        <v>124.42</v>
      </c>
      <c r="D502" s="61">
        <v>125.31</v>
      </c>
      <c r="E502" s="61">
        <v>847006</v>
      </c>
      <c r="F502" s="61" t="s">
        <v>504</v>
      </c>
      <c r="G502" s="25">
        <f t="shared" si="7"/>
        <v>7.182188173331383E-4</v>
      </c>
    </row>
    <row r="503" spans="1:7">
      <c r="A503" s="61">
        <v>123.51</v>
      </c>
      <c r="B503" s="61">
        <v>124.07</v>
      </c>
      <c r="C503" s="61">
        <v>120.33</v>
      </c>
      <c r="D503" s="61">
        <v>123.44</v>
      </c>
      <c r="E503" s="61">
        <v>794241</v>
      </c>
      <c r="F503" s="61" t="s">
        <v>505</v>
      </c>
      <c r="G503" s="25">
        <f t="shared" si="7"/>
        <v>5.670771224888238E-4</v>
      </c>
    </row>
    <row r="504" spans="1:7">
      <c r="A504" s="61">
        <v>125.77</v>
      </c>
      <c r="B504" s="61">
        <v>127.3724</v>
      </c>
      <c r="C504" s="61">
        <v>124.2501</v>
      </c>
      <c r="D504" s="61">
        <v>126.68</v>
      </c>
      <c r="E504" s="61">
        <v>665004</v>
      </c>
      <c r="F504" s="61" t="s">
        <v>506</v>
      </c>
      <c r="G504" s="25">
        <f t="shared" si="7"/>
        <v>-7.1834543732239853E-3</v>
      </c>
    </row>
    <row r="505" spans="1:7">
      <c r="A505" s="61">
        <v>126.43</v>
      </c>
      <c r="B505" s="61">
        <v>128.44999999999999</v>
      </c>
      <c r="C505" s="61">
        <v>125.19</v>
      </c>
      <c r="D505" s="61">
        <v>125.65</v>
      </c>
      <c r="E505" s="61">
        <v>1172269</v>
      </c>
      <c r="F505" s="61" t="s">
        <v>507</v>
      </c>
      <c r="G505" s="25">
        <f t="shared" si="7"/>
        <v>6.2077198567449532E-3</v>
      </c>
    </row>
    <row r="506" spans="1:7">
      <c r="A506" s="61">
        <v>125.38</v>
      </c>
      <c r="B506" s="61">
        <v>127.47</v>
      </c>
      <c r="C506" s="61">
        <v>121.32</v>
      </c>
      <c r="D506" s="61">
        <v>121.82</v>
      </c>
      <c r="E506" s="61">
        <v>1285351</v>
      </c>
      <c r="F506" s="61" t="s">
        <v>508</v>
      </c>
      <c r="G506" s="25">
        <f t="shared" si="7"/>
        <v>2.9223444426202505E-2</v>
      </c>
    </row>
    <row r="507" spans="1:7">
      <c r="A507" s="61">
        <v>120.54</v>
      </c>
      <c r="B507" s="61">
        <v>122.63</v>
      </c>
      <c r="C507" s="61">
        <v>119.83</v>
      </c>
      <c r="D507" s="61">
        <v>120.23</v>
      </c>
      <c r="E507" s="61">
        <v>809878</v>
      </c>
      <c r="F507" s="61" t="s">
        <v>509</v>
      </c>
      <c r="G507" s="25">
        <f t="shared" si="7"/>
        <v>2.5783914164518862E-3</v>
      </c>
    </row>
    <row r="508" spans="1:7">
      <c r="A508" s="61">
        <v>121.08</v>
      </c>
      <c r="B508" s="61">
        <v>124.095</v>
      </c>
      <c r="C508" s="61">
        <v>119.72</v>
      </c>
      <c r="D508" s="61">
        <v>120.76</v>
      </c>
      <c r="E508" s="61">
        <v>715476</v>
      </c>
      <c r="F508" s="61" t="s">
        <v>510</v>
      </c>
      <c r="G508" s="25">
        <f t="shared" ref="G508:G571" si="8">A508/D508-1</f>
        <v>2.6498840675719393E-3</v>
      </c>
    </row>
    <row r="509" spans="1:7">
      <c r="A509" s="61">
        <v>119.33</v>
      </c>
      <c r="B509" s="61">
        <v>122.905</v>
      </c>
      <c r="C509" s="61">
        <v>118.6</v>
      </c>
      <c r="D509" s="61">
        <v>122.89</v>
      </c>
      <c r="E509" s="61">
        <v>987792</v>
      </c>
      <c r="F509" s="61" t="s">
        <v>511</v>
      </c>
      <c r="G509" s="25">
        <f t="shared" si="8"/>
        <v>-2.8968996663683022E-2</v>
      </c>
    </row>
    <row r="510" spans="1:7">
      <c r="A510" s="61">
        <v>120.68</v>
      </c>
      <c r="B510" s="61">
        <v>124.67</v>
      </c>
      <c r="C510" s="61">
        <v>119.9</v>
      </c>
      <c r="D510" s="61">
        <v>121.99</v>
      </c>
      <c r="E510" s="61">
        <v>1626338</v>
      </c>
      <c r="F510" s="61" t="s">
        <v>512</v>
      </c>
      <c r="G510" s="25">
        <f t="shared" si="8"/>
        <v>-1.0738585129928535E-2</v>
      </c>
    </row>
    <row r="511" spans="1:7">
      <c r="A511" s="61">
        <v>123.36</v>
      </c>
      <c r="B511" s="61">
        <v>128.34</v>
      </c>
      <c r="C511" s="61">
        <v>123.02</v>
      </c>
      <c r="D511" s="61">
        <v>126.96</v>
      </c>
      <c r="E511" s="61">
        <v>1090261</v>
      </c>
      <c r="F511" s="61" t="s">
        <v>513</v>
      </c>
      <c r="G511" s="25">
        <f t="shared" si="8"/>
        <v>-2.8355387523629427E-2</v>
      </c>
    </row>
    <row r="512" spans="1:7">
      <c r="A512" s="61">
        <v>125.54</v>
      </c>
      <c r="B512" s="61">
        <v>128.935</v>
      </c>
      <c r="C512" s="61">
        <v>124.85899999999999</v>
      </c>
      <c r="D512" s="61">
        <v>128.28</v>
      </c>
      <c r="E512" s="61">
        <v>882976</v>
      </c>
      <c r="F512" s="61" t="s">
        <v>514</v>
      </c>
      <c r="G512" s="25">
        <f t="shared" si="8"/>
        <v>-2.1359526036794474E-2</v>
      </c>
    </row>
    <row r="513" spans="1:7">
      <c r="A513" s="61">
        <v>129.41</v>
      </c>
      <c r="B513" s="61">
        <v>130.43</v>
      </c>
      <c r="C513" s="61">
        <v>128.15</v>
      </c>
      <c r="D513" s="61">
        <v>129.76</v>
      </c>
      <c r="E513" s="61">
        <v>743955</v>
      </c>
      <c r="F513" s="61" t="s">
        <v>515</v>
      </c>
      <c r="G513" s="25">
        <f t="shared" si="8"/>
        <v>-2.6972872996300357E-3</v>
      </c>
    </row>
    <row r="514" spans="1:7">
      <c r="A514" s="61">
        <v>128.29</v>
      </c>
      <c r="B514" s="61">
        <v>129.56989999999999</v>
      </c>
      <c r="C514" s="61">
        <v>124.1</v>
      </c>
      <c r="D514" s="61">
        <v>125.22</v>
      </c>
      <c r="E514" s="61">
        <v>910247</v>
      </c>
      <c r="F514" s="61" t="s">
        <v>516</v>
      </c>
      <c r="G514" s="25">
        <f t="shared" si="8"/>
        <v>2.451685034339568E-2</v>
      </c>
    </row>
    <row r="515" spans="1:7">
      <c r="A515" s="61">
        <v>128.22</v>
      </c>
      <c r="B515" s="61">
        <v>131.89500000000001</v>
      </c>
      <c r="C515" s="61">
        <v>125.59</v>
      </c>
      <c r="D515" s="61">
        <v>131.79</v>
      </c>
      <c r="E515" s="61">
        <v>1877691</v>
      </c>
      <c r="F515" s="61" t="s">
        <v>517</v>
      </c>
      <c r="G515" s="25">
        <f t="shared" si="8"/>
        <v>-2.7088549965854747E-2</v>
      </c>
    </row>
    <row r="516" spans="1:7">
      <c r="A516" s="61">
        <v>132.72999999999999</v>
      </c>
      <c r="B516" s="61">
        <v>135.5</v>
      </c>
      <c r="C516" s="61">
        <v>132.44</v>
      </c>
      <c r="D516" s="61">
        <v>134.51</v>
      </c>
      <c r="E516" s="61">
        <v>866417</v>
      </c>
      <c r="F516" s="61" t="s">
        <v>518</v>
      </c>
      <c r="G516" s="25">
        <f t="shared" si="8"/>
        <v>-1.3233216861199937E-2</v>
      </c>
    </row>
    <row r="517" spans="1:7">
      <c r="A517" s="61">
        <v>134.09</v>
      </c>
      <c r="B517" s="61">
        <v>135.75</v>
      </c>
      <c r="C517" s="61">
        <v>133.625</v>
      </c>
      <c r="D517" s="61">
        <v>134.52000000000001</v>
      </c>
      <c r="E517" s="61">
        <v>743789</v>
      </c>
      <c r="F517" s="61" t="s">
        <v>519</v>
      </c>
      <c r="G517" s="25">
        <f t="shared" si="8"/>
        <v>-3.1965506987808867E-3</v>
      </c>
    </row>
    <row r="518" spans="1:7">
      <c r="A518" s="61">
        <v>134.38</v>
      </c>
      <c r="B518" s="61">
        <v>141.02000000000001</v>
      </c>
      <c r="C518" s="61">
        <v>133.22499999999999</v>
      </c>
      <c r="D518" s="61">
        <v>140.97</v>
      </c>
      <c r="E518" s="61">
        <v>1241970</v>
      </c>
      <c r="F518" s="61" t="s">
        <v>520</v>
      </c>
      <c r="G518" s="25">
        <f t="shared" si="8"/>
        <v>-4.6747534936511292E-2</v>
      </c>
    </row>
    <row r="519" spans="1:7">
      <c r="A519" s="61">
        <v>138.76</v>
      </c>
      <c r="B519" s="61">
        <v>142.22</v>
      </c>
      <c r="C519" s="61">
        <v>138.06</v>
      </c>
      <c r="D519" s="61">
        <v>141.69</v>
      </c>
      <c r="E519" s="61">
        <v>1153092</v>
      </c>
      <c r="F519" s="61" t="s">
        <v>521</v>
      </c>
      <c r="G519" s="25">
        <f t="shared" si="8"/>
        <v>-2.0678946996965264E-2</v>
      </c>
    </row>
    <row r="520" spans="1:7">
      <c r="A520" s="61">
        <v>141.66</v>
      </c>
      <c r="B520" s="61">
        <v>142.69</v>
      </c>
      <c r="C520" s="61">
        <v>138.72999999999999</v>
      </c>
      <c r="D520" s="61">
        <v>141.75</v>
      </c>
      <c r="E520" s="61">
        <v>1081481</v>
      </c>
      <c r="F520" s="61" t="s">
        <v>522</v>
      </c>
      <c r="G520" s="25">
        <f t="shared" si="8"/>
        <v>-6.3492063492065487E-4</v>
      </c>
    </row>
    <row r="521" spans="1:7">
      <c r="A521" s="61">
        <v>145.75</v>
      </c>
      <c r="B521" s="61">
        <v>146.79</v>
      </c>
      <c r="C521" s="61">
        <v>143.88499999999999</v>
      </c>
      <c r="D521" s="61">
        <v>145.81</v>
      </c>
      <c r="E521" s="61">
        <v>1144909</v>
      </c>
      <c r="F521" s="61" t="s">
        <v>523</v>
      </c>
      <c r="G521" s="25">
        <f t="shared" si="8"/>
        <v>-4.1149441053422997E-4</v>
      </c>
    </row>
    <row r="522" spans="1:7">
      <c r="A522" s="61">
        <v>143.80000000000001</v>
      </c>
      <c r="B522" s="61">
        <v>144.88999999999999</v>
      </c>
      <c r="C522" s="61">
        <v>142.15</v>
      </c>
      <c r="D522" s="61">
        <v>142.9</v>
      </c>
      <c r="E522" s="61">
        <v>800035</v>
      </c>
      <c r="F522" s="61" t="s">
        <v>524</v>
      </c>
      <c r="G522" s="25">
        <f t="shared" si="8"/>
        <v>6.2981105668300508E-3</v>
      </c>
    </row>
    <row r="523" spans="1:7">
      <c r="A523" s="61">
        <v>143.02000000000001</v>
      </c>
      <c r="B523" s="61">
        <v>143.27500000000001</v>
      </c>
      <c r="C523" s="61">
        <v>139.67500000000001</v>
      </c>
      <c r="D523" s="61">
        <v>140.84</v>
      </c>
      <c r="E523" s="61">
        <v>1015594</v>
      </c>
      <c r="F523" s="61" t="s">
        <v>525</v>
      </c>
      <c r="G523" s="25">
        <f t="shared" si="8"/>
        <v>1.5478557228060241E-2</v>
      </c>
    </row>
    <row r="524" spans="1:7">
      <c r="A524" s="61">
        <v>140.05000000000001</v>
      </c>
      <c r="B524" s="61">
        <v>142.13999999999999</v>
      </c>
      <c r="C524" s="61">
        <v>139.91</v>
      </c>
      <c r="D524" s="61">
        <v>142.13999999999999</v>
      </c>
      <c r="E524" s="61">
        <v>1023328</v>
      </c>
      <c r="F524" s="61" t="s">
        <v>526</v>
      </c>
      <c r="G524" s="25">
        <f t="shared" si="8"/>
        <v>-1.4703813141972555E-2</v>
      </c>
    </row>
    <row r="525" spans="1:7">
      <c r="A525" s="61">
        <v>141.25</v>
      </c>
      <c r="B525" s="61">
        <v>143.91999999999999</v>
      </c>
      <c r="C525" s="61">
        <v>140.88999999999999</v>
      </c>
      <c r="D525" s="61">
        <v>141.72999999999999</v>
      </c>
      <c r="E525" s="61">
        <v>1071042</v>
      </c>
      <c r="F525" s="61" t="s">
        <v>527</v>
      </c>
      <c r="G525" s="25">
        <f t="shared" si="8"/>
        <v>-3.3867212305086491E-3</v>
      </c>
    </row>
    <row r="526" spans="1:7">
      <c r="A526" s="61">
        <v>141.62</v>
      </c>
      <c r="B526" s="61">
        <v>141.91</v>
      </c>
      <c r="C526" s="61">
        <v>138.62</v>
      </c>
      <c r="D526" s="61">
        <v>139.54</v>
      </c>
      <c r="E526" s="61">
        <v>1111254</v>
      </c>
      <c r="F526" s="61" t="s">
        <v>528</v>
      </c>
      <c r="G526" s="25">
        <f t="shared" si="8"/>
        <v>1.4906120108929333E-2</v>
      </c>
    </row>
    <row r="527" spans="1:7">
      <c r="A527" s="61">
        <v>141</v>
      </c>
      <c r="B527" s="61">
        <v>141.27000000000001</v>
      </c>
      <c r="C527" s="61">
        <v>138.38</v>
      </c>
      <c r="D527" s="61">
        <v>140</v>
      </c>
      <c r="E527" s="61">
        <v>1304420</v>
      </c>
      <c r="F527" s="61" t="s">
        <v>529</v>
      </c>
      <c r="G527" s="25">
        <f t="shared" si="8"/>
        <v>7.1428571428571175E-3</v>
      </c>
    </row>
    <row r="528" spans="1:7">
      <c r="A528" s="61">
        <v>139.99</v>
      </c>
      <c r="B528" s="61">
        <v>140.1</v>
      </c>
      <c r="C528" s="61">
        <v>132.76</v>
      </c>
      <c r="D528" s="61">
        <v>133.04</v>
      </c>
      <c r="E528" s="61">
        <v>2432394</v>
      </c>
      <c r="F528" s="61" t="s">
        <v>530</v>
      </c>
      <c r="G528" s="25">
        <f t="shared" si="8"/>
        <v>5.2239927841250866E-2</v>
      </c>
    </row>
    <row r="529" spans="1:7">
      <c r="A529" s="61">
        <v>131.71</v>
      </c>
      <c r="B529" s="61">
        <v>132.185</v>
      </c>
      <c r="C529" s="61">
        <v>128.08000000000001</v>
      </c>
      <c r="D529" s="61">
        <v>128.59</v>
      </c>
      <c r="E529" s="61">
        <v>964462</v>
      </c>
      <c r="F529" s="61" t="s">
        <v>531</v>
      </c>
      <c r="G529" s="25">
        <f t="shared" si="8"/>
        <v>2.4263161987712945E-2</v>
      </c>
    </row>
    <row r="530" spans="1:7">
      <c r="A530" s="61">
        <v>129.96</v>
      </c>
      <c r="B530" s="61">
        <v>131.24</v>
      </c>
      <c r="C530" s="61">
        <v>126.28</v>
      </c>
      <c r="D530" s="61">
        <v>128.01</v>
      </c>
      <c r="E530" s="61">
        <v>1175266</v>
      </c>
      <c r="F530" s="61" t="s">
        <v>532</v>
      </c>
      <c r="G530" s="25">
        <f t="shared" si="8"/>
        <v>1.5233184907429198E-2</v>
      </c>
    </row>
    <row r="531" spans="1:7">
      <c r="A531" s="61">
        <v>128.16999999999999</v>
      </c>
      <c r="B531" s="61">
        <v>129.05000000000001</v>
      </c>
      <c r="C531" s="61">
        <v>126.09</v>
      </c>
      <c r="D531" s="61">
        <v>126.18</v>
      </c>
      <c r="E531" s="61">
        <v>1466398</v>
      </c>
      <c r="F531" s="61" t="s">
        <v>533</v>
      </c>
      <c r="G531" s="25">
        <f t="shared" si="8"/>
        <v>1.5771120621334456E-2</v>
      </c>
    </row>
    <row r="532" spans="1:7">
      <c r="A532" s="61">
        <v>125.99</v>
      </c>
      <c r="B532" s="61">
        <v>130.04</v>
      </c>
      <c r="C532" s="61">
        <v>125.08</v>
      </c>
      <c r="D532" s="61">
        <v>129.72</v>
      </c>
      <c r="E532" s="61">
        <v>879043</v>
      </c>
      <c r="F532" s="61" t="s">
        <v>534</v>
      </c>
      <c r="G532" s="25">
        <f t="shared" si="8"/>
        <v>-2.8754239901325973E-2</v>
      </c>
    </row>
    <row r="533" spans="1:7">
      <c r="A533" s="61">
        <v>129.32</v>
      </c>
      <c r="B533" s="61">
        <v>129.4999</v>
      </c>
      <c r="C533" s="61">
        <v>125.53</v>
      </c>
      <c r="D533" s="61">
        <v>125.53</v>
      </c>
      <c r="E533" s="61">
        <v>1338871</v>
      </c>
      <c r="F533" s="61" t="s">
        <v>535</v>
      </c>
      <c r="G533" s="25">
        <f t="shared" si="8"/>
        <v>3.0191985979447056E-2</v>
      </c>
    </row>
    <row r="534" spans="1:7">
      <c r="A534" s="61">
        <v>125.59</v>
      </c>
      <c r="B534" s="61">
        <v>128.05000000000001</v>
      </c>
      <c r="C534" s="61">
        <v>124.03</v>
      </c>
      <c r="D534" s="61">
        <v>126.4</v>
      </c>
      <c r="E534" s="61">
        <v>1216074</v>
      </c>
      <c r="F534" s="61" t="s">
        <v>536</v>
      </c>
      <c r="G534" s="25">
        <f t="shared" si="8"/>
        <v>-6.4082278481012445E-3</v>
      </c>
    </row>
    <row r="535" spans="1:7">
      <c r="A535" s="61">
        <v>126.7</v>
      </c>
      <c r="B535" s="61">
        <v>127.02</v>
      </c>
      <c r="C535" s="61">
        <v>124.74</v>
      </c>
      <c r="D535" s="61">
        <v>124.9</v>
      </c>
      <c r="E535" s="61">
        <v>1219956</v>
      </c>
      <c r="F535" s="61" t="s">
        <v>537</v>
      </c>
      <c r="G535" s="25">
        <f t="shared" si="8"/>
        <v>1.4411529223378627E-2</v>
      </c>
    </row>
    <row r="536" spans="1:7">
      <c r="A536" s="61">
        <v>125.04</v>
      </c>
      <c r="B536" s="61">
        <v>126.58</v>
      </c>
      <c r="C536" s="61">
        <v>123.86</v>
      </c>
      <c r="D536" s="61">
        <v>124.19</v>
      </c>
      <c r="E536" s="61">
        <v>1112764</v>
      </c>
      <c r="F536" s="61" t="s">
        <v>538</v>
      </c>
      <c r="G536" s="25">
        <f t="shared" si="8"/>
        <v>6.8443513970528613E-3</v>
      </c>
    </row>
    <row r="537" spans="1:7">
      <c r="A537" s="61">
        <v>124</v>
      </c>
      <c r="B537" s="61">
        <v>124.795</v>
      </c>
      <c r="C537" s="61">
        <v>120.24</v>
      </c>
      <c r="D537" s="61">
        <v>120.24</v>
      </c>
      <c r="E537" s="61">
        <v>1152647</v>
      </c>
      <c r="F537" s="61" t="s">
        <v>539</v>
      </c>
      <c r="G537" s="25">
        <f t="shared" si="8"/>
        <v>3.1270791749833604E-2</v>
      </c>
    </row>
    <row r="538" spans="1:7">
      <c r="A538" s="61">
        <v>120.39</v>
      </c>
      <c r="B538" s="61">
        <v>123.8018</v>
      </c>
      <c r="C538" s="61">
        <v>120.31</v>
      </c>
      <c r="D538" s="61">
        <v>123.5</v>
      </c>
      <c r="E538" s="61">
        <v>689700</v>
      </c>
      <c r="F538" s="61" t="s">
        <v>540</v>
      </c>
      <c r="G538" s="25">
        <f t="shared" si="8"/>
        <v>-2.5182186234817827E-2</v>
      </c>
    </row>
    <row r="539" spans="1:7">
      <c r="A539" s="61">
        <v>122.02</v>
      </c>
      <c r="B539" s="61">
        <v>124.73</v>
      </c>
      <c r="C539" s="61">
        <v>121.36</v>
      </c>
      <c r="D539" s="61">
        <v>123.14</v>
      </c>
      <c r="E539" s="61">
        <v>1171398</v>
      </c>
      <c r="F539" s="61" t="s">
        <v>541</v>
      </c>
      <c r="G539" s="25">
        <f t="shared" si="8"/>
        <v>-9.0953386389476254E-3</v>
      </c>
    </row>
    <row r="540" spans="1:7">
      <c r="A540" s="61">
        <v>124.59</v>
      </c>
      <c r="B540" s="61">
        <v>126.04</v>
      </c>
      <c r="C540" s="61">
        <v>123.21</v>
      </c>
      <c r="D540" s="61">
        <v>125.99</v>
      </c>
      <c r="E540" s="61">
        <v>1039621</v>
      </c>
      <c r="F540" s="61" t="s">
        <v>542</v>
      </c>
      <c r="G540" s="25">
        <f t="shared" si="8"/>
        <v>-1.1111993015318622E-2</v>
      </c>
    </row>
    <row r="541" spans="1:7">
      <c r="A541" s="61">
        <v>124.81</v>
      </c>
      <c r="B541" s="61">
        <v>126.03</v>
      </c>
      <c r="C541" s="61">
        <v>122.09</v>
      </c>
      <c r="D541" s="61">
        <v>123.57</v>
      </c>
      <c r="E541" s="61">
        <v>1084491</v>
      </c>
      <c r="F541" s="61" t="s">
        <v>543</v>
      </c>
      <c r="G541" s="25">
        <f t="shared" si="8"/>
        <v>1.0034798090151398E-2</v>
      </c>
    </row>
    <row r="542" spans="1:7">
      <c r="A542" s="61">
        <v>122.25</v>
      </c>
      <c r="B542" s="61">
        <v>125.5</v>
      </c>
      <c r="C542" s="61">
        <v>121.87</v>
      </c>
      <c r="D542" s="61">
        <v>124.7</v>
      </c>
      <c r="E542" s="61">
        <v>1423386</v>
      </c>
      <c r="F542" s="61" t="s">
        <v>544</v>
      </c>
      <c r="G542" s="25">
        <f t="shared" si="8"/>
        <v>-1.9647153167602238E-2</v>
      </c>
    </row>
    <row r="543" spans="1:7">
      <c r="A543" s="61">
        <v>123.26</v>
      </c>
      <c r="B543" s="61">
        <v>124.42</v>
      </c>
      <c r="C543" s="61">
        <v>119.86320000000001</v>
      </c>
      <c r="D543" s="61">
        <v>120.17</v>
      </c>
      <c r="E543" s="61">
        <v>1015745</v>
      </c>
      <c r="F543" s="61" t="s">
        <v>545</v>
      </c>
      <c r="G543" s="25">
        <f t="shared" si="8"/>
        <v>2.5713572439044707E-2</v>
      </c>
    </row>
    <row r="544" spans="1:7">
      <c r="A544" s="61">
        <v>121.09</v>
      </c>
      <c r="B544" s="61">
        <v>121.64</v>
      </c>
      <c r="C544" s="61">
        <v>118.52</v>
      </c>
      <c r="D544" s="61">
        <v>118.52</v>
      </c>
      <c r="E544" s="61">
        <v>1189869</v>
      </c>
      <c r="F544" s="61" t="s">
        <v>546</v>
      </c>
      <c r="G544" s="25">
        <f t="shared" si="8"/>
        <v>2.1684103948700795E-2</v>
      </c>
    </row>
    <row r="545" spans="1:7">
      <c r="A545" s="61">
        <v>119.88</v>
      </c>
      <c r="B545" s="61">
        <v>120.43</v>
      </c>
      <c r="C545" s="61">
        <v>118.045</v>
      </c>
      <c r="D545" s="61">
        <v>118.75</v>
      </c>
      <c r="E545" s="61">
        <v>1099025</v>
      </c>
      <c r="F545" s="61" t="s">
        <v>547</v>
      </c>
      <c r="G545" s="25">
        <f t="shared" si="8"/>
        <v>9.5157894736841442E-3</v>
      </c>
    </row>
    <row r="546" spans="1:7">
      <c r="A546" s="61">
        <v>118.31</v>
      </c>
      <c r="B546" s="61">
        <v>119.44</v>
      </c>
      <c r="C546" s="61">
        <v>117.18</v>
      </c>
      <c r="D546" s="61">
        <v>117.28</v>
      </c>
      <c r="E546" s="61">
        <v>891902</v>
      </c>
      <c r="F546" s="61" t="s">
        <v>548</v>
      </c>
      <c r="G546" s="25">
        <f t="shared" si="8"/>
        <v>8.7824010914052675E-3</v>
      </c>
    </row>
    <row r="547" spans="1:7">
      <c r="A547" s="61">
        <v>117.29</v>
      </c>
      <c r="B547" s="61">
        <v>118.53</v>
      </c>
      <c r="C547" s="61">
        <v>116.105</v>
      </c>
      <c r="D547" s="61">
        <v>116.65</v>
      </c>
      <c r="E547" s="61">
        <v>1272503</v>
      </c>
      <c r="F547" s="61" t="s">
        <v>549</v>
      </c>
      <c r="G547" s="25">
        <f t="shared" si="8"/>
        <v>5.4864980711530897E-3</v>
      </c>
    </row>
    <row r="548" spans="1:7">
      <c r="A548" s="61">
        <v>115.72</v>
      </c>
      <c r="B548" s="61">
        <v>116.22</v>
      </c>
      <c r="C548" s="61">
        <v>113.32</v>
      </c>
      <c r="D548" s="61">
        <v>113.89</v>
      </c>
      <c r="E548" s="61">
        <v>861231</v>
      </c>
      <c r="F548" s="61" t="s">
        <v>550</v>
      </c>
      <c r="G548" s="25">
        <f t="shared" si="8"/>
        <v>1.6068135920625171E-2</v>
      </c>
    </row>
    <row r="549" spans="1:7">
      <c r="A549" s="61">
        <v>115.59</v>
      </c>
      <c r="B549" s="61">
        <v>117.83</v>
      </c>
      <c r="C549" s="61">
        <v>113.7</v>
      </c>
      <c r="D549" s="61">
        <v>117.08</v>
      </c>
      <c r="E549" s="61">
        <v>1482288</v>
      </c>
      <c r="F549" s="61" t="s">
        <v>551</v>
      </c>
      <c r="G549" s="25">
        <f t="shared" si="8"/>
        <v>-1.2726340963443716E-2</v>
      </c>
    </row>
    <row r="550" spans="1:7">
      <c r="A550" s="61">
        <v>118.98</v>
      </c>
      <c r="B550" s="61">
        <v>121.13</v>
      </c>
      <c r="C550" s="61">
        <v>117.69</v>
      </c>
      <c r="D550" s="61">
        <v>120.58</v>
      </c>
      <c r="E550" s="61">
        <v>1888107</v>
      </c>
      <c r="F550" s="61" t="s">
        <v>552</v>
      </c>
      <c r="G550" s="25">
        <f t="shared" si="8"/>
        <v>-1.3269198872118082E-2</v>
      </c>
    </row>
    <row r="551" spans="1:7">
      <c r="A551" s="61">
        <v>121.63</v>
      </c>
      <c r="B551" s="61">
        <v>122.69</v>
      </c>
      <c r="C551" s="61">
        <v>112.32129999999999</v>
      </c>
      <c r="D551" s="61">
        <v>116.66</v>
      </c>
      <c r="E551" s="61">
        <v>4853610</v>
      </c>
      <c r="F551" s="61" t="s">
        <v>553</v>
      </c>
      <c r="G551" s="25">
        <f t="shared" si="8"/>
        <v>4.2602434424824365E-2</v>
      </c>
    </row>
    <row r="552" spans="1:7">
      <c r="A552" s="61">
        <v>108.37</v>
      </c>
      <c r="B552" s="61">
        <v>109.66500000000001</v>
      </c>
      <c r="C552" s="61">
        <v>106.02</v>
      </c>
      <c r="D552" s="61">
        <v>108.99</v>
      </c>
      <c r="E552" s="61">
        <v>1944271</v>
      </c>
      <c r="F552" s="61" t="s">
        <v>554</v>
      </c>
      <c r="G552" s="25">
        <f t="shared" si="8"/>
        <v>-5.6885952839709208E-3</v>
      </c>
    </row>
    <row r="553" spans="1:7">
      <c r="A553" s="61">
        <v>106.94</v>
      </c>
      <c r="B553" s="61">
        <v>108.5</v>
      </c>
      <c r="C553" s="61">
        <v>104.6352</v>
      </c>
      <c r="D553" s="61">
        <v>105.4</v>
      </c>
      <c r="E553" s="61">
        <v>1370148</v>
      </c>
      <c r="F553" s="61" t="s">
        <v>555</v>
      </c>
      <c r="G553" s="25">
        <f t="shared" si="8"/>
        <v>1.4611005692599655E-2</v>
      </c>
    </row>
    <row r="554" spans="1:7">
      <c r="A554" s="61">
        <v>110.08</v>
      </c>
      <c r="B554" s="61">
        <v>112.41</v>
      </c>
      <c r="C554" s="61">
        <v>108</v>
      </c>
      <c r="D554" s="61">
        <v>108.14</v>
      </c>
      <c r="E554" s="61">
        <v>1554139</v>
      </c>
      <c r="F554" s="61" t="s">
        <v>556</v>
      </c>
      <c r="G554" s="25">
        <f t="shared" si="8"/>
        <v>1.793970778620313E-2</v>
      </c>
    </row>
    <row r="555" spans="1:7">
      <c r="A555" s="61">
        <v>107.54</v>
      </c>
      <c r="B555" s="61">
        <v>107.77</v>
      </c>
      <c r="C555" s="61">
        <v>104.62</v>
      </c>
      <c r="D555" s="61">
        <v>105.1</v>
      </c>
      <c r="E555" s="61">
        <v>1263917</v>
      </c>
      <c r="F555" s="61" t="s">
        <v>557</v>
      </c>
      <c r="G555" s="25">
        <f t="shared" si="8"/>
        <v>2.321598477640352E-2</v>
      </c>
    </row>
    <row r="556" spans="1:7">
      <c r="A556" s="61">
        <v>104.31</v>
      </c>
      <c r="B556" s="61">
        <v>104.37</v>
      </c>
      <c r="C556" s="61">
        <v>99.334299999999999</v>
      </c>
      <c r="D556" s="61">
        <v>100.97</v>
      </c>
      <c r="E556" s="61">
        <v>1135996</v>
      </c>
      <c r="F556" s="61" t="s">
        <v>558</v>
      </c>
      <c r="G556" s="25">
        <f t="shared" si="8"/>
        <v>3.3079132415569035E-2</v>
      </c>
    </row>
    <row r="557" spans="1:7">
      <c r="A557" s="61">
        <v>99.97</v>
      </c>
      <c r="B557" s="61">
        <v>100.51</v>
      </c>
      <c r="C557" s="61">
        <v>97.86</v>
      </c>
      <c r="D557" s="61">
        <v>99.82</v>
      </c>
      <c r="E557" s="61">
        <v>1020987</v>
      </c>
      <c r="F557" s="61" t="s">
        <v>559</v>
      </c>
      <c r="G557" s="25">
        <f t="shared" si="8"/>
        <v>1.5027048687639155E-3</v>
      </c>
    </row>
    <row r="558" spans="1:7">
      <c r="A558" s="61">
        <v>99</v>
      </c>
      <c r="B558" s="61">
        <v>99.6</v>
      </c>
      <c r="C558" s="61">
        <v>94.5</v>
      </c>
      <c r="D558" s="61">
        <v>96.484999999999999</v>
      </c>
      <c r="E558" s="61">
        <v>1004305</v>
      </c>
      <c r="F558" s="61" t="s">
        <v>560</v>
      </c>
      <c r="G558" s="25">
        <f t="shared" si="8"/>
        <v>2.6066227911074158E-2</v>
      </c>
    </row>
    <row r="559" spans="1:7">
      <c r="A559" s="61">
        <v>96.21</v>
      </c>
      <c r="B559" s="61">
        <v>97.71</v>
      </c>
      <c r="C559" s="61">
        <v>95.26</v>
      </c>
      <c r="D559" s="61">
        <v>97.53</v>
      </c>
      <c r="E559" s="61">
        <v>922048</v>
      </c>
      <c r="F559" s="61" t="s">
        <v>561</v>
      </c>
      <c r="G559" s="25">
        <f t="shared" si="8"/>
        <v>-1.3534297139341844E-2</v>
      </c>
    </row>
    <row r="560" spans="1:7">
      <c r="A560" s="61">
        <v>98.18</v>
      </c>
      <c r="B560" s="61">
        <v>99.75</v>
      </c>
      <c r="C560" s="61">
        <v>96.91</v>
      </c>
      <c r="D560" s="61">
        <v>99.58</v>
      </c>
      <c r="E560" s="61">
        <v>1665911</v>
      </c>
      <c r="F560" s="61" t="s">
        <v>562</v>
      </c>
      <c r="G560" s="25">
        <f t="shared" si="8"/>
        <v>-1.4059048001606622E-2</v>
      </c>
    </row>
    <row r="561" spans="1:7">
      <c r="A561" s="61">
        <v>100.81</v>
      </c>
      <c r="B561" s="61">
        <v>103.3199</v>
      </c>
      <c r="C561" s="61">
        <v>98.89</v>
      </c>
      <c r="D561" s="61">
        <v>103.04</v>
      </c>
      <c r="E561" s="61">
        <v>1759214</v>
      </c>
      <c r="F561" s="61" t="s">
        <v>563</v>
      </c>
      <c r="G561" s="25">
        <f t="shared" si="8"/>
        <v>-2.1642080745341685E-2</v>
      </c>
    </row>
    <row r="562" spans="1:7">
      <c r="A562" s="61">
        <v>101.48</v>
      </c>
      <c r="B562" s="61">
        <v>104.68</v>
      </c>
      <c r="C562" s="61">
        <v>101.41</v>
      </c>
      <c r="D562" s="61">
        <v>103</v>
      </c>
      <c r="E562" s="61">
        <v>1278646</v>
      </c>
      <c r="F562" s="61" t="s">
        <v>564</v>
      </c>
      <c r="G562" s="25">
        <f t="shared" si="8"/>
        <v>-1.4757281553398061E-2</v>
      </c>
    </row>
    <row r="563" spans="1:7">
      <c r="A563" s="61">
        <v>103.94</v>
      </c>
      <c r="B563" s="61">
        <v>104.43</v>
      </c>
      <c r="C563" s="61">
        <v>103.26</v>
      </c>
      <c r="D563" s="61">
        <v>104.01</v>
      </c>
      <c r="E563" s="61">
        <v>1009243</v>
      </c>
      <c r="F563" s="61" t="s">
        <v>565</v>
      </c>
      <c r="G563" s="25">
        <f t="shared" si="8"/>
        <v>-6.7301221036442094E-4</v>
      </c>
    </row>
    <row r="564" spans="1:7">
      <c r="A564" s="61">
        <v>104.4</v>
      </c>
      <c r="B564" s="61">
        <v>104.81</v>
      </c>
      <c r="C564" s="61">
        <v>103.07</v>
      </c>
      <c r="D564" s="61">
        <v>103.15</v>
      </c>
      <c r="E564" s="61">
        <v>1718693</v>
      </c>
      <c r="F564" s="61" t="s">
        <v>566</v>
      </c>
      <c r="G564" s="25">
        <f t="shared" si="8"/>
        <v>1.2118274357731496E-2</v>
      </c>
    </row>
    <row r="565" spans="1:7">
      <c r="A565" s="61">
        <v>102.96</v>
      </c>
      <c r="B565" s="61">
        <v>103.92</v>
      </c>
      <c r="C565" s="61">
        <v>101.74</v>
      </c>
      <c r="D565" s="61">
        <v>102.45</v>
      </c>
      <c r="E565" s="61">
        <v>1639558</v>
      </c>
      <c r="F565" s="61" t="s">
        <v>567</v>
      </c>
      <c r="G565" s="25">
        <f t="shared" si="8"/>
        <v>4.9780380673498659E-3</v>
      </c>
    </row>
    <row r="566" spans="1:7">
      <c r="A566" s="61">
        <v>100.66</v>
      </c>
      <c r="B566" s="61">
        <v>101.47620000000001</v>
      </c>
      <c r="C566" s="61">
        <v>99.25</v>
      </c>
      <c r="D566" s="61">
        <v>100.92</v>
      </c>
      <c r="E566" s="61">
        <v>1311945</v>
      </c>
      <c r="F566" s="61" t="s">
        <v>568</v>
      </c>
      <c r="G566" s="25">
        <f t="shared" si="8"/>
        <v>-2.576298057867632E-3</v>
      </c>
    </row>
    <row r="567" spans="1:7">
      <c r="A567" s="61">
        <v>100.2</v>
      </c>
      <c r="B567" s="61">
        <v>102.7936</v>
      </c>
      <c r="C567" s="61">
        <v>99.6</v>
      </c>
      <c r="D567" s="61">
        <v>102.69</v>
      </c>
      <c r="E567" s="61">
        <v>1195695</v>
      </c>
      <c r="F567" s="61" t="s">
        <v>569</v>
      </c>
      <c r="G567" s="25">
        <f t="shared" si="8"/>
        <v>-2.4247735904177614E-2</v>
      </c>
    </row>
    <row r="568" spans="1:7">
      <c r="A568" s="61">
        <v>101.99</v>
      </c>
      <c r="B568" s="61">
        <v>103.44</v>
      </c>
      <c r="C568" s="61">
        <v>100.16</v>
      </c>
      <c r="D568" s="61">
        <v>102.71</v>
      </c>
      <c r="E568" s="61">
        <v>1407970</v>
      </c>
      <c r="F568" s="61" t="s">
        <v>570</v>
      </c>
      <c r="G568" s="25">
        <f t="shared" si="8"/>
        <v>-7.0100282348359855E-3</v>
      </c>
    </row>
    <row r="569" spans="1:7">
      <c r="A569" s="61">
        <v>102.09</v>
      </c>
      <c r="B569" s="61">
        <v>102.97</v>
      </c>
      <c r="C569" s="61">
        <v>100.9</v>
      </c>
      <c r="D569" s="61">
        <v>102.73</v>
      </c>
      <c r="E569" s="61">
        <v>1234388</v>
      </c>
      <c r="F569" s="61" t="s">
        <v>571</v>
      </c>
      <c r="G569" s="25">
        <f t="shared" si="8"/>
        <v>-6.2299230993867472E-3</v>
      </c>
    </row>
    <row r="570" spans="1:7">
      <c r="A570" s="61">
        <v>101.35</v>
      </c>
      <c r="B570" s="61">
        <v>102.04</v>
      </c>
      <c r="C570" s="61">
        <v>99.05</v>
      </c>
      <c r="D570" s="61">
        <v>100.56</v>
      </c>
      <c r="E570" s="61">
        <v>813348</v>
      </c>
      <c r="F570" s="61" t="s">
        <v>572</v>
      </c>
      <c r="G570" s="25">
        <f t="shared" si="8"/>
        <v>7.856006364359569E-3</v>
      </c>
    </row>
    <row r="571" spans="1:7">
      <c r="A571" s="61">
        <v>100.5</v>
      </c>
      <c r="B571" s="61">
        <v>100.9045</v>
      </c>
      <c r="C571" s="61">
        <v>98.57</v>
      </c>
      <c r="D571" s="61">
        <v>100.1</v>
      </c>
      <c r="E571" s="61">
        <v>1044596</v>
      </c>
      <c r="F571" s="61" t="s">
        <v>573</v>
      </c>
      <c r="G571" s="25">
        <f t="shared" si="8"/>
        <v>3.9960039960040827E-3</v>
      </c>
    </row>
    <row r="572" spans="1:7">
      <c r="A572" s="61">
        <v>99.47</v>
      </c>
      <c r="B572" s="61">
        <v>99.93</v>
      </c>
      <c r="C572" s="61">
        <v>98.013999999999996</v>
      </c>
      <c r="D572" s="61">
        <v>99.2</v>
      </c>
      <c r="E572" s="61">
        <v>1145481</v>
      </c>
      <c r="F572" s="61" t="s">
        <v>574</v>
      </c>
      <c r="G572" s="25">
        <f t="shared" ref="G572:G635" si="9">A572/D572-1</f>
        <v>2.7217741935483541E-3</v>
      </c>
    </row>
    <row r="573" spans="1:7">
      <c r="A573" s="61">
        <v>100.73</v>
      </c>
      <c r="B573" s="61">
        <v>102.81</v>
      </c>
      <c r="C573" s="61">
        <v>99.58</v>
      </c>
      <c r="D573" s="61">
        <v>102.81</v>
      </c>
      <c r="E573" s="61">
        <v>1758434</v>
      </c>
      <c r="F573" s="61" t="s">
        <v>575</v>
      </c>
      <c r="G573" s="25">
        <f t="shared" si="9"/>
        <v>-2.0231494990759602E-2</v>
      </c>
    </row>
    <row r="574" spans="1:7">
      <c r="A574" s="61">
        <v>103.39</v>
      </c>
      <c r="B574" s="61">
        <v>105.8317</v>
      </c>
      <c r="C574" s="61">
        <v>103.09</v>
      </c>
      <c r="D574" s="61">
        <v>105.16</v>
      </c>
      <c r="E574" s="61">
        <v>1432243</v>
      </c>
      <c r="F574" s="61" t="s">
        <v>576</v>
      </c>
      <c r="G574" s="25">
        <f t="shared" si="9"/>
        <v>-1.68314948649676E-2</v>
      </c>
    </row>
    <row r="575" spans="1:7">
      <c r="A575" s="61">
        <v>104.9</v>
      </c>
      <c r="B575" s="61">
        <v>106.83</v>
      </c>
      <c r="C575" s="61">
        <v>103.34010000000001</v>
      </c>
      <c r="D575" s="61">
        <v>105.2</v>
      </c>
      <c r="E575" s="61">
        <v>1637107</v>
      </c>
      <c r="F575" s="61" t="s">
        <v>577</v>
      </c>
      <c r="G575" s="25">
        <f t="shared" si="9"/>
        <v>-2.8517110266159662E-3</v>
      </c>
    </row>
    <row r="576" spans="1:7">
      <c r="A576" s="61">
        <v>105.16</v>
      </c>
      <c r="B576" s="61">
        <v>106</v>
      </c>
      <c r="C576" s="61">
        <v>100.604</v>
      </c>
      <c r="D576" s="61">
        <v>101.19</v>
      </c>
      <c r="E576" s="61">
        <v>2245430</v>
      </c>
      <c r="F576" s="61" t="s">
        <v>578</v>
      </c>
      <c r="G576" s="25">
        <f t="shared" si="9"/>
        <v>3.9233125802945024E-2</v>
      </c>
    </row>
    <row r="577" spans="1:7">
      <c r="A577" s="61">
        <v>100.12</v>
      </c>
      <c r="B577" s="61">
        <v>104.14</v>
      </c>
      <c r="C577" s="61">
        <v>100.11</v>
      </c>
      <c r="D577" s="61">
        <v>103.35</v>
      </c>
      <c r="E577" s="61">
        <v>2942465</v>
      </c>
      <c r="F577" s="61" t="s">
        <v>579</v>
      </c>
      <c r="G577" s="25">
        <f t="shared" si="9"/>
        <v>-3.1253023705853811E-2</v>
      </c>
    </row>
    <row r="578" spans="1:7">
      <c r="A578" s="61">
        <v>104.03</v>
      </c>
      <c r="B578" s="61">
        <v>104.85</v>
      </c>
      <c r="C578" s="61">
        <v>96.02</v>
      </c>
      <c r="D578" s="61">
        <v>98.5</v>
      </c>
      <c r="E578" s="61">
        <v>7257957</v>
      </c>
      <c r="F578" s="61" t="s">
        <v>580</v>
      </c>
      <c r="G578" s="25">
        <f t="shared" si="9"/>
        <v>5.6142131979695531E-2</v>
      </c>
    </row>
    <row r="579" spans="1:7">
      <c r="A579" s="61">
        <v>86.454999999999998</v>
      </c>
      <c r="B579" s="61">
        <v>89.474999999999994</v>
      </c>
      <c r="C579" s="61">
        <v>85.71</v>
      </c>
      <c r="D579" s="61">
        <v>89</v>
      </c>
      <c r="E579" s="61">
        <v>2857360</v>
      </c>
      <c r="F579" s="61" t="s">
        <v>581</v>
      </c>
      <c r="G579" s="25">
        <f t="shared" si="9"/>
        <v>-2.8595505617977524E-2</v>
      </c>
    </row>
    <row r="580" spans="1:7">
      <c r="A580" s="61">
        <v>89.78</v>
      </c>
      <c r="B580" s="61">
        <v>91.2</v>
      </c>
      <c r="C580" s="61">
        <v>87.91</v>
      </c>
      <c r="D580" s="61">
        <v>88.19</v>
      </c>
      <c r="E580" s="61">
        <v>2094703</v>
      </c>
      <c r="F580" s="61" t="s">
        <v>582</v>
      </c>
      <c r="G580" s="25">
        <f t="shared" si="9"/>
        <v>1.8029255017575796E-2</v>
      </c>
    </row>
    <row r="581" spans="1:7">
      <c r="A581" s="61">
        <v>88.69</v>
      </c>
      <c r="B581" s="61">
        <v>92.22</v>
      </c>
      <c r="C581" s="61">
        <v>88.43</v>
      </c>
      <c r="D581" s="61">
        <v>92.12</v>
      </c>
      <c r="E581" s="61">
        <v>2243455</v>
      </c>
      <c r="F581" s="61" t="s">
        <v>583</v>
      </c>
      <c r="G581" s="25">
        <f t="shared" si="9"/>
        <v>-3.7234042553191515E-2</v>
      </c>
    </row>
    <row r="582" spans="1:7">
      <c r="A582" s="61">
        <v>93.77</v>
      </c>
      <c r="B582" s="61">
        <v>95.68</v>
      </c>
      <c r="C582" s="61">
        <v>92.18</v>
      </c>
      <c r="D582" s="61">
        <v>92.7</v>
      </c>
      <c r="E582" s="61">
        <v>1670305</v>
      </c>
      <c r="F582" s="61" t="s">
        <v>584</v>
      </c>
      <c r="G582" s="25">
        <f t="shared" si="9"/>
        <v>1.1542610571736667E-2</v>
      </c>
    </row>
    <row r="583" spans="1:7">
      <c r="A583" s="61">
        <v>93.41</v>
      </c>
      <c r="B583" s="61">
        <v>95.94</v>
      </c>
      <c r="C583" s="61">
        <v>92.88</v>
      </c>
      <c r="D583" s="61">
        <v>95</v>
      </c>
      <c r="E583" s="61">
        <v>1277012</v>
      </c>
      <c r="F583" s="61" t="s">
        <v>585</v>
      </c>
      <c r="G583" s="25">
        <f t="shared" si="9"/>
        <v>-1.6736842105263161E-2</v>
      </c>
    </row>
    <row r="584" spans="1:7">
      <c r="A584" s="61">
        <v>95.27</v>
      </c>
      <c r="B584" s="61">
        <v>95.29</v>
      </c>
      <c r="C584" s="61">
        <v>93.98</v>
      </c>
      <c r="D584" s="61">
        <v>94.36</v>
      </c>
      <c r="E584" s="61">
        <v>1169072</v>
      </c>
      <c r="F584" s="61" t="s">
        <v>586</v>
      </c>
      <c r="G584" s="25">
        <f t="shared" si="9"/>
        <v>9.6439169139466152E-3</v>
      </c>
    </row>
    <row r="585" spans="1:7">
      <c r="A585" s="61">
        <v>94.51</v>
      </c>
      <c r="B585" s="61">
        <v>96.96</v>
      </c>
      <c r="C585" s="61">
        <v>94.2</v>
      </c>
      <c r="D585" s="61">
        <v>96.75</v>
      </c>
      <c r="E585" s="61">
        <v>1570998</v>
      </c>
      <c r="F585" s="61" t="s">
        <v>587</v>
      </c>
      <c r="G585" s="25">
        <f t="shared" si="9"/>
        <v>-2.3152454780361653E-2</v>
      </c>
    </row>
    <row r="586" spans="1:7">
      <c r="A586" s="61">
        <v>96.7</v>
      </c>
      <c r="B586" s="61">
        <v>98.67</v>
      </c>
      <c r="C586" s="61">
        <v>96.605000000000004</v>
      </c>
      <c r="D586" s="61">
        <v>98.5</v>
      </c>
      <c r="E586" s="61">
        <v>1220278</v>
      </c>
      <c r="F586" s="61" t="s">
        <v>588</v>
      </c>
      <c r="G586" s="25">
        <f t="shared" si="9"/>
        <v>-1.8274111675126825E-2</v>
      </c>
    </row>
    <row r="587" spans="1:7">
      <c r="A587" s="61">
        <v>98.18</v>
      </c>
      <c r="B587" s="61">
        <v>99.8</v>
      </c>
      <c r="C587" s="61">
        <v>97.09</v>
      </c>
      <c r="D587" s="61">
        <v>99.69</v>
      </c>
      <c r="E587" s="61">
        <v>2336964</v>
      </c>
      <c r="F587" s="61" t="s">
        <v>589</v>
      </c>
      <c r="G587" s="25">
        <f t="shared" si="9"/>
        <v>-1.5146955562242881E-2</v>
      </c>
    </row>
    <row r="588" spans="1:7">
      <c r="A588" s="61">
        <v>102.33</v>
      </c>
      <c r="B588" s="61">
        <v>103.905</v>
      </c>
      <c r="C588" s="61">
        <v>101.55</v>
      </c>
      <c r="D588" s="61">
        <v>102.61</v>
      </c>
      <c r="E588" s="61">
        <v>957659</v>
      </c>
      <c r="F588" s="61" t="s">
        <v>590</v>
      </c>
      <c r="G588" s="25">
        <f t="shared" si="9"/>
        <v>-2.728778871455062E-3</v>
      </c>
    </row>
    <row r="589" spans="1:7">
      <c r="A589" s="61">
        <v>100.88</v>
      </c>
      <c r="B589" s="61">
        <v>106.5</v>
      </c>
      <c r="C589" s="61">
        <v>100.83</v>
      </c>
      <c r="D589" s="61">
        <v>105.07</v>
      </c>
      <c r="E589" s="61">
        <v>1259057</v>
      </c>
      <c r="F589" s="61" t="s">
        <v>591</v>
      </c>
      <c r="G589" s="25">
        <f t="shared" si="9"/>
        <v>-3.9878176453792658E-2</v>
      </c>
    </row>
    <row r="590" spans="1:7">
      <c r="A590" s="61">
        <v>105.26</v>
      </c>
      <c r="B590" s="61">
        <v>106.6</v>
      </c>
      <c r="C590" s="61">
        <v>104.09</v>
      </c>
      <c r="D590" s="61">
        <v>104.46</v>
      </c>
      <c r="E590" s="61">
        <v>1319394</v>
      </c>
      <c r="F590" s="61" t="s">
        <v>592</v>
      </c>
      <c r="G590" s="25">
        <f t="shared" si="9"/>
        <v>7.6584338502776461E-3</v>
      </c>
    </row>
    <row r="591" spans="1:7">
      <c r="A591" s="61">
        <v>103.63</v>
      </c>
      <c r="B591" s="61">
        <v>107.6</v>
      </c>
      <c r="C591" s="61">
        <v>103.46</v>
      </c>
      <c r="D591" s="61">
        <v>107.6</v>
      </c>
      <c r="E591" s="61">
        <v>1479858</v>
      </c>
      <c r="F591" s="61" t="s">
        <v>593</v>
      </c>
      <c r="G591" s="25">
        <f t="shared" si="9"/>
        <v>-3.6895910780669117E-2</v>
      </c>
    </row>
    <row r="592" spans="1:7">
      <c r="A592" s="61">
        <v>107.11</v>
      </c>
      <c r="B592" s="61">
        <v>108.93</v>
      </c>
      <c r="C592" s="61">
        <v>107.04</v>
      </c>
      <c r="D592" s="61">
        <v>107.93</v>
      </c>
      <c r="E592" s="61">
        <v>1384202</v>
      </c>
      <c r="F592" s="61" t="s">
        <v>594</v>
      </c>
      <c r="G592" s="25">
        <f t="shared" si="9"/>
        <v>-7.5975169091078154E-3</v>
      </c>
    </row>
    <row r="593" spans="1:7">
      <c r="A593" s="61">
        <v>107.86</v>
      </c>
      <c r="B593" s="61">
        <v>110.9</v>
      </c>
      <c r="C593" s="61">
        <v>107.8</v>
      </c>
      <c r="D593" s="61">
        <v>108.94</v>
      </c>
      <c r="E593" s="61">
        <v>1359303</v>
      </c>
      <c r="F593" s="61" t="s">
        <v>595</v>
      </c>
      <c r="G593" s="25">
        <f t="shared" si="9"/>
        <v>-9.9137139709931654E-3</v>
      </c>
    </row>
    <row r="594" spans="1:7">
      <c r="A594" s="61">
        <v>106.8</v>
      </c>
      <c r="B594" s="61">
        <v>107.23</v>
      </c>
      <c r="C594" s="61">
        <v>102.79</v>
      </c>
      <c r="D594" s="61">
        <v>104.5</v>
      </c>
      <c r="E594" s="61">
        <v>1101126</v>
      </c>
      <c r="F594" s="61" t="s">
        <v>596</v>
      </c>
      <c r="G594" s="25">
        <f t="shared" si="9"/>
        <v>2.2009569377990479E-2</v>
      </c>
    </row>
    <row r="595" spans="1:7">
      <c r="A595" s="61">
        <v>104.92</v>
      </c>
      <c r="B595" s="61">
        <v>106.05</v>
      </c>
      <c r="C595" s="61">
        <v>103.79</v>
      </c>
      <c r="D595" s="61">
        <v>106.05</v>
      </c>
      <c r="E595" s="61">
        <v>921955</v>
      </c>
      <c r="F595" s="61" t="s">
        <v>597</v>
      </c>
      <c r="G595" s="25">
        <f t="shared" si="9"/>
        <v>-1.0655351249410638E-2</v>
      </c>
    </row>
    <row r="596" spans="1:7">
      <c r="A596" s="61">
        <v>104.6</v>
      </c>
      <c r="B596" s="61">
        <v>105.47</v>
      </c>
      <c r="C596" s="61">
        <v>103.26</v>
      </c>
      <c r="D596" s="61">
        <v>103.26</v>
      </c>
      <c r="E596" s="61">
        <v>651653</v>
      </c>
      <c r="F596" s="61" t="s">
        <v>598</v>
      </c>
      <c r="G596" s="25">
        <f t="shared" si="9"/>
        <v>1.2976951384853663E-2</v>
      </c>
    </row>
    <row r="597" spans="1:7">
      <c r="A597" s="61">
        <v>103.74</v>
      </c>
      <c r="B597" s="61">
        <v>105.95</v>
      </c>
      <c r="C597" s="61">
        <v>103.13200000000001</v>
      </c>
      <c r="D597" s="61">
        <v>103.4</v>
      </c>
      <c r="E597" s="61">
        <v>928222</v>
      </c>
      <c r="F597" s="61" t="s">
        <v>599</v>
      </c>
      <c r="G597" s="25">
        <f t="shared" si="9"/>
        <v>3.2882011605415151E-3</v>
      </c>
    </row>
    <row r="598" spans="1:7">
      <c r="A598" s="61">
        <v>104.11</v>
      </c>
      <c r="B598" s="61">
        <v>104.29</v>
      </c>
      <c r="C598" s="61">
        <v>102.92</v>
      </c>
      <c r="D598" s="61">
        <v>103.15</v>
      </c>
      <c r="E598" s="61">
        <v>943758</v>
      </c>
      <c r="F598" s="61" t="s">
        <v>600</v>
      </c>
      <c r="G598" s="25">
        <f t="shared" si="9"/>
        <v>9.3068347067377655E-3</v>
      </c>
    </row>
    <row r="599" spans="1:7">
      <c r="A599" s="61">
        <v>103.67</v>
      </c>
      <c r="B599" s="61">
        <v>105.485</v>
      </c>
      <c r="C599" s="61">
        <v>102.71</v>
      </c>
      <c r="D599" s="61">
        <v>103.06</v>
      </c>
      <c r="E599" s="61">
        <v>1037709</v>
      </c>
      <c r="F599" s="61" t="s">
        <v>601</v>
      </c>
      <c r="G599" s="25">
        <f t="shared" si="9"/>
        <v>5.918882204541065E-3</v>
      </c>
    </row>
    <row r="600" spans="1:7">
      <c r="A600" s="61">
        <v>102.2</v>
      </c>
      <c r="B600" s="61">
        <v>104.56</v>
      </c>
      <c r="C600" s="61">
        <v>101.67</v>
      </c>
      <c r="D600" s="61">
        <v>104.32</v>
      </c>
      <c r="E600" s="61">
        <v>1563814</v>
      </c>
      <c r="F600" s="61" t="s">
        <v>602</v>
      </c>
      <c r="G600" s="25">
        <f t="shared" si="9"/>
        <v>-2.0322085889570407E-2</v>
      </c>
    </row>
    <row r="601" spans="1:7">
      <c r="A601" s="61">
        <v>105.06</v>
      </c>
      <c r="B601" s="61">
        <v>107.37990000000001</v>
      </c>
      <c r="C601" s="61">
        <v>104.035</v>
      </c>
      <c r="D601" s="61">
        <v>106.07</v>
      </c>
      <c r="E601" s="61">
        <v>1346660</v>
      </c>
      <c r="F601" s="61" t="s">
        <v>603</v>
      </c>
      <c r="G601" s="25">
        <f t="shared" si="9"/>
        <v>-9.5220137644950187E-3</v>
      </c>
    </row>
    <row r="602" spans="1:7">
      <c r="A602" s="61">
        <v>106.56</v>
      </c>
      <c r="B602" s="61">
        <v>106.72</v>
      </c>
      <c r="C602" s="61">
        <v>102.95</v>
      </c>
      <c r="D602" s="61">
        <v>104.99</v>
      </c>
      <c r="E602" s="61">
        <v>1697104</v>
      </c>
      <c r="F602" s="61" t="s">
        <v>604</v>
      </c>
      <c r="G602" s="25">
        <f t="shared" si="9"/>
        <v>1.495380512429767E-2</v>
      </c>
    </row>
    <row r="603" spans="1:7">
      <c r="A603" s="61">
        <v>105.61</v>
      </c>
      <c r="B603" s="61">
        <v>106.03</v>
      </c>
      <c r="C603" s="61">
        <v>101.77</v>
      </c>
      <c r="D603" s="61">
        <v>104</v>
      </c>
      <c r="E603" s="61">
        <v>1630647</v>
      </c>
      <c r="F603" s="61" t="s">
        <v>605</v>
      </c>
      <c r="G603" s="25">
        <f t="shared" si="9"/>
        <v>1.5480769230769242E-2</v>
      </c>
    </row>
    <row r="604" spans="1:7">
      <c r="A604" s="61">
        <v>103.7</v>
      </c>
      <c r="B604" s="61">
        <v>106.12</v>
      </c>
      <c r="C604" s="61">
        <v>102.18</v>
      </c>
      <c r="D604" s="61">
        <v>102.32</v>
      </c>
      <c r="E604" s="61">
        <v>1983449</v>
      </c>
      <c r="F604" s="61" t="s">
        <v>606</v>
      </c>
      <c r="G604" s="25">
        <f t="shared" si="9"/>
        <v>1.3487099296325411E-2</v>
      </c>
    </row>
    <row r="605" spans="1:7">
      <c r="A605" s="61">
        <v>101.09</v>
      </c>
      <c r="B605" s="61">
        <v>101.49</v>
      </c>
      <c r="C605" s="61">
        <v>97.06</v>
      </c>
      <c r="D605" s="61">
        <v>99.2</v>
      </c>
      <c r="E605" s="61">
        <v>2508032</v>
      </c>
      <c r="F605" s="61" t="s">
        <v>607</v>
      </c>
      <c r="G605" s="25">
        <f t="shared" si="9"/>
        <v>1.9052419354838701E-2</v>
      </c>
    </row>
    <row r="606" spans="1:7">
      <c r="A606" s="61">
        <v>96.16</v>
      </c>
      <c r="B606" s="61">
        <v>98.71</v>
      </c>
      <c r="C606" s="61">
        <v>93.47</v>
      </c>
      <c r="D606" s="61">
        <v>93.73</v>
      </c>
      <c r="E606" s="61">
        <v>2288370</v>
      </c>
      <c r="F606" s="61" t="s">
        <v>608</v>
      </c>
      <c r="G606" s="25">
        <f t="shared" si="9"/>
        <v>2.5925530779899564E-2</v>
      </c>
    </row>
    <row r="607" spans="1:7">
      <c r="A607" s="61">
        <v>94.59</v>
      </c>
      <c r="B607" s="61">
        <v>94.86</v>
      </c>
      <c r="C607" s="61">
        <v>93.394999999999996</v>
      </c>
      <c r="D607" s="61">
        <v>93.73</v>
      </c>
      <c r="E607" s="61">
        <v>437545</v>
      </c>
      <c r="F607" s="61" t="s">
        <v>609</v>
      </c>
      <c r="G607" s="25">
        <f t="shared" si="9"/>
        <v>9.1752907286888341E-3</v>
      </c>
    </row>
    <row r="608" spans="1:7">
      <c r="A608" s="61">
        <v>93.7</v>
      </c>
      <c r="B608" s="61">
        <v>94.56</v>
      </c>
      <c r="C608" s="61">
        <v>92.63</v>
      </c>
      <c r="D608" s="61">
        <v>93.64</v>
      </c>
      <c r="E608" s="61">
        <v>718388</v>
      </c>
      <c r="F608" s="61" t="s">
        <v>610</v>
      </c>
      <c r="G608" s="25">
        <f t="shared" si="9"/>
        <v>6.4075181546341398E-4</v>
      </c>
    </row>
    <row r="609" spans="1:7">
      <c r="A609" s="61">
        <v>92.6</v>
      </c>
      <c r="B609" s="61">
        <v>94.49</v>
      </c>
      <c r="C609" s="61">
        <v>91.84</v>
      </c>
      <c r="D609" s="61">
        <v>93.87</v>
      </c>
      <c r="E609" s="61">
        <v>1074432</v>
      </c>
      <c r="F609" s="61" t="s">
        <v>611</v>
      </c>
      <c r="G609" s="25">
        <f t="shared" si="9"/>
        <v>-1.3529349099818955E-2</v>
      </c>
    </row>
    <row r="610" spans="1:7">
      <c r="A610" s="61">
        <v>94.57</v>
      </c>
      <c r="B610" s="61">
        <v>94.7</v>
      </c>
      <c r="C610" s="61">
        <v>90.92</v>
      </c>
      <c r="D610" s="61">
        <v>91.1</v>
      </c>
      <c r="E610" s="61">
        <v>1506350</v>
      </c>
      <c r="F610" s="61" t="s">
        <v>612</v>
      </c>
      <c r="G610" s="25">
        <f t="shared" si="9"/>
        <v>3.8090010976948419E-2</v>
      </c>
    </row>
    <row r="611" spans="1:7">
      <c r="A611" s="61">
        <v>91.18</v>
      </c>
      <c r="B611" s="61">
        <v>91.5</v>
      </c>
      <c r="C611" s="61">
        <v>88.58</v>
      </c>
      <c r="D611" s="61">
        <v>89.49</v>
      </c>
      <c r="E611" s="61">
        <v>1139362</v>
      </c>
      <c r="F611" s="61" t="s">
        <v>613</v>
      </c>
      <c r="G611" s="25">
        <f t="shared" si="9"/>
        <v>1.8884791596826656E-2</v>
      </c>
    </row>
    <row r="612" spans="1:7">
      <c r="A612" s="61">
        <v>87.82</v>
      </c>
      <c r="B612" s="61">
        <v>88.97</v>
      </c>
      <c r="C612" s="61">
        <v>86.744</v>
      </c>
      <c r="D612" s="61">
        <v>88.5</v>
      </c>
      <c r="E612" s="61">
        <v>1065067</v>
      </c>
      <c r="F612" s="61" t="s">
        <v>614</v>
      </c>
      <c r="G612" s="25">
        <f t="shared" si="9"/>
        <v>-7.6836158192090664E-3</v>
      </c>
    </row>
    <row r="613" spans="1:7">
      <c r="A613" s="61">
        <v>89.51</v>
      </c>
      <c r="B613" s="61">
        <v>91.61</v>
      </c>
      <c r="C613" s="61">
        <v>86.5</v>
      </c>
      <c r="D613" s="61">
        <v>86.69</v>
      </c>
      <c r="E613" s="61">
        <v>2352416</v>
      </c>
      <c r="F613" s="61" t="s">
        <v>615</v>
      </c>
      <c r="G613" s="25">
        <f t="shared" si="9"/>
        <v>3.2529703541354316E-2</v>
      </c>
    </row>
    <row r="614" spans="1:7">
      <c r="A614" s="61">
        <v>85.14</v>
      </c>
      <c r="B614" s="61">
        <v>85.19</v>
      </c>
      <c r="C614" s="61">
        <v>79.444999999999993</v>
      </c>
      <c r="D614" s="61">
        <v>79.5</v>
      </c>
      <c r="E614" s="61">
        <v>1908163</v>
      </c>
      <c r="F614" s="61" t="s">
        <v>616</v>
      </c>
      <c r="G614" s="25">
        <f t="shared" si="9"/>
        <v>7.0943396226415212E-2</v>
      </c>
    </row>
    <row r="615" spans="1:7">
      <c r="A615" s="61">
        <v>77.27</v>
      </c>
      <c r="B615" s="61">
        <v>79.63</v>
      </c>
      <c r="C615" s="61">
        <v>77.16</v>
      </c>
      <c r="D615" s="61">
        <v>79.099999999999994</v>
      </c>
      <c r="E615" s="61">
        <v>1608607</v>
      </c>
      <c r="F615" s="61" t="s">
        <v>617</v>
      </c>
      <c r="G615" s="25">
        <f t="shared" si="9"/>
        <v>-2.3135271807838143E-2</v>
      </c>
    </row>
    <row r="616" spans="1:7">
      <c r="A616" s="61">
        <v>79.69</v>
      </c>
      <c r="B616" s="61">
        <v>79.709999999999994</v>
      </c>
      <c r="C616" s="61">
        <v>78.11</v>
      </c>
      <c r="D616" s="61">
        <v>79.3</v>
      </c>
      <c r="E616" s="61">
        <v>1223139</v>
      </c>
      <c r="F616" s="61" t="s">
        <v>618</v>
      </c>
      <c r="G616" s="25">
        <f t="shared" si="9"/>
        <v>4.9180327868851847E-3</v>
      </c>
    </row>
    <row r="617" spans="1:7">
      <c r="A617" s="61">
        <v>79.239999999999995</v>
      </c>
      <c r="B617" s="61">
        <v>83.57</v>
      </c>
      <c r="C617" s="61">
        <v>79.19</v>
      </c>
      <c r="D617" s="61">
        <v>83.57</v>
      </c>
      <c r="E617" s="61">
        <v>1425440</v>
      </c>
      <c r="F617" s="61" t="s">
        <v>619</v>
      </c>
      <c r="G617" s="25">
        <f t="shared" si="9"/>
        <v>-5.1812851501735091E-2</v>
      </c>
    </row>
    <row r="618" spans="1:7">
      <c r="A618" s="61">
        <v>82.98</v>
      </c>
      <c r="B618" s="61">
        <v>84.65</v>
      </c>
      <c r="C618" s="61">
        <v>81.63</v>
      </c>
      <c r="D618" s="61">
        <v>84.4</v>
      </c>
      <c r="E618" s="61">
        <v>1322281</v>
      </c>
      <c r="F618" s="61" t="s">
        <v>620</v>
      </c>
      <c r="G618" s="25">
        <f t="shared" si="9"/>
        <v>-1.6824644549763068E-2</v>
      </c>
    </row>
    <row r="619" spans="1:7">
      <c r="A619" s="61">
        <v>84.4</v>
      </c>
      <c r="B619" s="61">
        <v>84.47</v>
      </c>
      <c r="C619" s="61">
        <v>82.2</v>
      </c>
      <c r="D619" s="61">
        <v>82.29</v>
      </c>
      <c r="E619" s="61">
        <v>1194455</v>
      </c>
      <c r="F619" s="61" t="s">
        <v>621</v>
      </c>
      <c r="G619" s="25">
        <f t="shared" si="9"/>
        <v>2.564102564102555E-2</v>
      </c>
    </row>
    <row r="620" spans="1:7">
      <c r="A620" s="61">
        <v>82.2</v>
      </c>
      <c r="B620" s="61">
        <v>84.48</v>
      </c>
      <c r="C620" s="61">
        <v>81.025000000000006</v>
      </c>
      <c r="D620" s="61">
        <v>84.28</v>
      </c>
      <c r="E620" s="61">
        <v>1495199</v>
      </c>
      <c r="F620" s="61" t="s">
        <v>622</v>
      </c>
      <c r="G620" s="25">
        <f t="shared" si="9"/>
        <v>-2.4679639297579437E-2</v>
      </c>
    </row>
    <row r="621" spans="1:7">
      <c r="A621" s="61">
        <v>83.93</v>
      </c>
      <c r="B621" s="61">
        <v>87.424999999999997</v>
      </c>
      <c r="C621" s="61">
        <v>82.584999999999994</v>
      </c>
      <c r="D621" s="61">
        <v>84</v>
      </c>
      <c r="E621" s="61">
        <v>2183701</v>
      </c>
      <c r="F621" s="61" t="s">
        <v>623</v>
      </c>
      <c r="G621" s="25">
        <f t="shared" si="9"/>
        <v>-8.3333333333324155E-4</v>
      </c>
    </row>
    <row r="622" spans="1:7">
      <c r="A622" s="61">
        <v>82.79</v>
      </c>
      <c r="B622" s="61">
        <v>82.85</v>
      </c>
      <c r="C622" s="61">
        <v>74</v>
      </c>
      <c r="D622" s="61">
        <v>74.2</v>
      </c>
      <c r="E622" s="61">
        <v>6414436</v>
      </c>
      <c r="F622" s="61" t="s">
        <v>624</v>
      </c>
      <c r="G622" s="25">
        <f t="shared" si="9"/>
        <v>0.11576819407008099</v>
      </c>
    </row>
    <row r="623" spans="1:7">
      <c r="A623" s="61">
        <v>87.41</v>
      </c>
      <c r="B623" s="61">
        <v>89.67</v>
      </c>
      <c r="C623" s="61">
        <v>84.69</v>
      </c>
      <c r="D623" s="61">
        <v>89.32</v>
      </c>
      <c r="E623" s="61">
        <v>2640325</v>
      </c>
      <c r="F623" s="61" t="s">
        <v>625</v>
      </c>
      <c r="G623" s="25">
        <f t="shared" si="9"/>
        <v>-2.1383788625167877E-2</v>
      </c>
    </row>
    <row r="624" spans="1:7">
      <c r="A624" s="61">
        <v>89.32</v>
      </c>
      <c r="B624" s="61">
        <v>90.03</v>
      </c>
      <c r="C624" s="61">
        <v>87.4</v>
      </c>
      <c r="D624" s="61">
        <v>87.4</v>
      </c>
      <c r="E624" s="61">
        <v>1398541</v>
      </c>
      <c r="F624" s="61" t="s">
        <v>626</v>
      </c>
      <c r="G624" s="25">
        <f t="shared" si="9"/>
        <v>2.1967963386727574E-2</v>
      </c>
    </row>
    <row r="625" spans="1:7">
      <c r="A625" s="61">
        <v>87.48</v>
      </c>
      <c r="B625" s="61">
        <v>88.84</v>
      </c>
      <c r="C625" s="61">
        <v>87</v>
      </c>
      <c r="D625" s="61">
        <v>87</v>
      </c>
      <c r="E625" s="61">
        <v>1242573</v>
      </c>
      <c r="F625" s="61" t="s">
        <v>627</v>
      </c>
      <c r="G625" s="25">
        <f t="shared" si="9"/>
        <v>5.5172413793103114E-3</v>
      </c>
    </row>
    <row r="626" spans="1:7">
      <c r="A626" s="61">
        <v>85.98</v>
      </c>
      <c r="B626" s="61">
        <v>89.55</v>
      </c>
      <c r="C626" s="61">
        <v>85.84</v>
      </c>
      <c r="D626" s="61">
        <v>87.08</v>
      </c>
      <c r="E626" s="61">
        <v>1113317</v>
      </c>
      <c r="F626" s="61" t="s">
        <v>628</v>
      </c>
      <c r="G626" s="25">
        <f t="shared" si="9"/>
        <v>-1.2632062471290673E-2</v>
      </c>
    </row>
    <row r="627" spans="1:7">
      <c r="A627" s="61">
        <v>86.35</v>
      </c>
      <c r="B627" s="61">
        <v>88.68</v>
      </c>
      <c r="C627" s="61">
        <v>85.713999999999999</v>
      </c>
      <c r="D627" s="61">
        <v>87.16</v>
      </c>
      <c r="E627" s="61">
        <v>1271706</v>
      </c>
      <c r="F627" s="61" t="s">
        <v>629</v>
      </c>
      <c r="G627" s="25">
        <f t="shared" si="9"/>
        <v>-9.2932537861404318E-3</v>
      </c>
    </row>
    <row r="628" spans="1:7">
      <c r="A628" s="61">
        <v>87.52</v>
      </c>
      <c r="B628" s="61">
        <v>89.394999999999996</v>
      </c>
      <c r="C628" s="61">
        <v>87.47</v>
      </c>
      <c r="D628" s="61">
        <v>88.89</v>
      </c>
      <c r="E628" s="61">
        <v>1076265</v>
      </c>
      <c r="F628" s="61" t="s">
        <v>630</v>
      </c>
      <c r="G628" s="25">
        <f t="shared" si="9"/>
        <v>-1.5412307346158172E-2</v>
      </c>
    </row>
    <row r="629" spans="1:7">
      <c r="A629" s="61">
        <v>89.16</v>
      </c>
      <c r="B629" s="61">
        <v>89.92</v>
      </c>
      <c r="C629" s="61">
        <v>86.27</v>
      </c>
      <c r="D629" s="61">
        <v>86.27</v>
      </c>
      <c r="E629" s="61">
        <v>1540024</v>
      </c>
      <c r="F629" s="61" t="s">
        <v>631</v>
      </c>
      <c r="G629" s="25">
        <f t="shared" si="9"/>
        <v>3.3499478381824543E-2</v>
      </c>
    </row>
    <row r="630" spans="1:7">
      <c r="A630" s="61">
        <v>84.85</v>
      </c>
      <c r="B630" s="61">
        <v>86.32</v>
      </c>
      <c r="C630" s="61">
        <v>84.275000000000006</v>
      </c>
      <c r="D630" s="61">
        <v>85.28</v>
      </c>
      <c r="E630" s="61">
        <v>1087821</v>
      </c>
      <c r="F630" s="61" t="s">
        <v>632</v>
      </c>
      <c r="G630" s="25">
        <f t="shared" si="9"/>
        <v>-5.0422138836774266E-3</v>
      </c>
    </row>
    <row r="631" spans="1:7">
      <c r="A631" s="61">
        <v>85.56</v>
      </c>
      <c r="B631" s="61">
        <v>88.52</v>
      </c>
      <c r="C631" s="61">
        <v>85.06</v>
      </c>
      <c r="D631" s="61">
        <v>86.8</v>
      </c>
      <c r="E631" s="61">
        <v>1290814</v>
      </c>
      <c r="F631" s="61" t="s">
        <v>633</v>
      </c>
      <c r="G631" s="25">
        <f t="shared" si="9"/>
        <v>-1.4285714285714235E-2</v>
      </c>
    </row>
    <row r="632" spans="1:7">
      <c r="A632" s="61">
        <v>84.45</v>
      </c>
      <c r="B632" s="61">
        <v>86.307100000000005</v>
      </c>
      <c r="C632" s="61">
        <v>84.135000000000005</v>
      </c>
      <c r="D632" s="61">
        <v>85.3</v>
      </c>
      <c r="E632" s="61">
        <v>1292814</v>
      </c>
      <c r="F632" s="61" t="s">
        <v>634</v>
      </c>
      <c r="G632" s="25">
        <f t="shared" si="9"/>
        <v>-9.9648300117232136E-3</v>
      </c>
    </row>
    <row r="633" spans="1:7">
      <c r="A633" s="61">
        <v>85.3</v>
      </c>
      <c r="B633" s="61">
        <v>86.97</v>
      </c>
      <c r="C633" s="61">
        <v>85.05</v>
      </c>
      <c r="D633" s="61">
        <v>86.18</v>
      </c>
      <c r="E633" s="61">
        <v>1209628</v>
      </c>
      <c r="F633" s="61" t="s">
        <v>635</v>
      </c>
      <c r="G633" s="25">
        <f t="shared" si="9"/>
        <v>-1.0211185889997809E-2</v>
      </c>
    </row>
    <row r="634" spans="1:7">
      <c r="A634" s="61">
        <v>87.23</v>
      </c>
      <c r="B634" s="61">
        <v>88.99</v>
      </c>
      <c r="C634" s="61">
        <v>85.59</v>
      </c>
      <c r="D634" s="61">
        <v>85.59</v>
      </c>
      <c r="E634" s="61">
        <v>1600453</v>
      </c>
      <c r="F634" s="61" t="s">
        <v>636</v>
      </c>
      <c r="G634" s="25">
        <f t="shared" si="9"/>
        <v>1.9161116952915114E-2</v>
      </c>
    </row>
    <row r="635" spans="1:7">
      <c r="A635" s="61">
        <v>85.73</v>
      </c>
      <c r="B635" s="61">
        <v>86.48</v>
      </c>
      <c r="C635" s="61">
        <v>83.19</v>
      </c>
      <c r="D635" s="61">
        <v>83.2</v>
      </c>
      <c r="E635" s="61">
        <v>1610534</v>
      </c>
      <c r="F635" s="61" t="s">
        <v>637</v>
      </c>
      <c r="G635" s="25">
        <f t="shared" si="9"/>
        <v>3.0408653846153877E-2</v>
      </c>
    </row>
    <row r="636" spans="1:7">
      <c r="A636" s="61">
        <v>82.73</v>
      </c>
      <c r="B636" s="61">
        <v>84.78</v>
      </c>
      <c r="C636" s="61">
        <v>82.25</v>
      </c>
      <c r="D636" s="61">
        <v>84.78</v>
      </c>
      <c r="E636" s="61">
        <v>1161956</v>
      </c>
      <c r="F636" s="61" t="s">
        <v>638</v>
      </c>
      <c r="G636" s="25">
        <f t="shared" ref="G636:G699" si="10">A636/D636-1</f>
        <v>-2.418023118660062E-2</v>
      </c>
    </row>
    <row r="637" spans="1:7">
      <c r="A637" s="61">
        <v>84.8</v>
      </c>
      <c r="B637" s="61">
        <v>88.52</v>
      </c>
      <c r="C637" s="61">
        <v>84.59</v>
      </c>
      <c r="D637" s="61">
        <v>87.9</v>
      </c>
      <c r="E637" s="61">
        <v>1370357</v>
      </c>
      <c r="F637" s="61" t="s">
        <v>639</v>
      </c>
      <c r="G637" s="25">
        <f t="shared" si="10"/>
        <v>-3.526734926052344E-2</v>
      </c>
    </row>
    <row r="638" spans="1:7">
      <c r="A638" s="61">
        <v>86.58</v>
      </c>
      <c r="B638" s="61">
        <v>87.89</v>
      </c>
      <c r="C638" s="61">
        <v>85.22</v>
      </c>
      <c r="D638" s="61">
        <v>86.8</v>
      </c>
      <c r="E638" s="61">
        <v>1068183</v>
      </c>
      <c r="F638" s="61" t="s">
        <v>640</v>
      </c>
      <c r="G638" s="25">
        <f t="shared" si="10"/>
        <v>-2.5345622119815614E-3</v>
      </c>
    </row>
    <row r="639" spans="1:7">
      <c r="A639" s="61">
        <v>86.94</v>
      </c>
      <c r="B639" s="61">
        <v>88.06</v>
      </c>
      <c r="C639" s="61">
        <v>85.484999999999999</v>
      </c>
      <c r="D639" s="61">
        <v>85.66</v>
      </c>
      <c r="E639" s="61">
        <v>1042641</v>
      </c>
      <c r="F639" s="61" t="s">
        <v>641</v>
      </c>
      <c r="G639" s="25">
        <f t="shared" si="10"/>
        <v>1.4942797104833039E-2</v>
      </c>
    </row>
    <row r="640" spans="1:7">
      <c r="A640" s="61">
        <v>85.2</v>
      </c>
      <c r="B640" s="61">
        <v>85.62</v>
      </c>
      <c r="C640" s="61">
        <v>82.59</v>
      </c>
      <c r="D640" s="61">
        <v>83.69</v>
      </c>
      <c r="E640" s="61">
        <v>946262</v>
      </c>
      <c r="F640" s="61" t="s">
        <v>642</v>
      </c>
      <c r="G640" s="25">
        <f t="shared" si="10"/>
        <v>1.8042776914804604E-2</v>
      </c>
    </row>
    <row r="641" spans="1:7">
      <c r="A641" s="61">
        <v>84.82</v>
      </c>
      <c r="B641" s="61">
        <v>85.7</v>
      </c>
      <c r="C641" s="61">
        <v>82.75</v>
      </c>
      <c r="D641" s="61">
        <v>83.33</v>
      </c>
      <c r="E641" s="61">
        <v>927106</v>
      </c>
      <c r="F641" s="61" t="s">
        <v>643</v>
      </c>
      <c r="G641" s="25">
        <f t="shared" si="10"/>
        <v>1.7880715228609123E-2</v>
      </c>
    </row>
    <row r="642" spans="1:7">
      <c r="A642" s="61">
        <v>84.27</v>
      </c>
      <c r="B642" s="61">
        <v>86.57</v>
      </c>
      <c r="C642" s="61">
        <v>83.92</v>
      </c>
      <c r="D642" s="61">
        <v>85.73</v>
      </c>
      <c r="E642" s="61">
        <v>993273</v>
      </c>
      <c r="F642" s="61" t="s">
        <v>644</v>
      </c>
      <c r="G642" s="25">
        <f t="shared" si="10"/>
        <v>-1.7030211127959993E-2</v>
      </c>
    </row>
    <row r="643" spans="1:7">
      <c r="A643" s="61">
        <v>85.49</v>
      </c>
      <c r="B643" s="61">
        <v>86.19</v>
      </c>
      <c r="C643" s="61">
        <v>83.64</v>
      </c>
      <c r="D643" s="61">
        <v>85.15</v>
      </c>
      <c r="E643" s="61">
        <v>1437215</v>
      </c>
      <c r="F643" s="61" t="s">
        <v>645</v>
      </c>
      <c r="G643" s="25">
        <f t="shared" si="10"/>
        <v>3.9929536112741637E-3</v>
      </c>
    </row>
    <row r="644" spans="1:7">
      <c r="A644" s="61">
        <v>85.94</v>
      </c>
      <c r="B644" s="61">
        <v>87.42</v>
      </c>
      <c r="C644" s="61">
        <v>84.5</v>
      </c>
      <c r="D644" s="61">
        <v>86.94</v>
      </c>
      <c r="E644" s="61">
        <v>1339491</v>
      </c>
      <c r="F644" s="61" t="s">
        <v>646</v>
      </c>
      <c r="G644" s="25">
        <f t="shared" si="10"/>
        <v>-1.1502185415228849E-2</v>
      </c>
    </row>
    <row r="645" spans="1:7">
      <c r="A645" s="61">
        <v>87.88</v>
      </c>
      <c r="B645" s="61">
        <v>89.98</v>
      </c>
      <c r="C645" s="61">
        <v>87.8</v>
      </c>
      <c r="D645" s="61">
        <v>88.23</v>
      </c>
      <c r="E645" s="61">
        <v>1461932</v>
      </c>
      <c r="F645" s="61" t="s">
        <v>647</v>
      </c>
      <c r="G645" s="25">
        <f t="shared" si="10"/>
        <v>-3.9669046809476249E-3</v>
      </c>
    </row>
    <row r="646" spans="1:7">
      <c r="A646" s="61">
        <v>88.23</v>
      </c>
      <c r="B646" s="61">
        <v>90.63</v>
      </c>
      <c r="C646" s="61">
        <v>87.49</v>
      </c>
      <c r="D646" s="61">
        <v>89.82</v>
      </c>
      <c r="E646" s="61">
        <v>1800559</v>
      </c>
      <c r="F646" s="61" t="s">
        <v>648</v>
      </c>
      <c r="G646" s="25">
        <f t="shared" si="10"/>
        <v>-1.7702070808283121E-2</v>
      </c>
    </row>
    <row r="647" spans="1:7">
      <c r="A647" s="61">
        <v>85.87</v>
      </c>
      <c r="B647" s="61">
        <v>85.91</v>
      </c>
      <c r="C647" s="61">
        <v>83.74</v>
      </c>
      <c r="D647" s="61">
        <v>84.72</v>
      </c>
      <c r="E647" s="61">
        <v>1270538</v>
      </c>
      <c r="F647" s="61" t="s">
        <v>649</v>
      </c>
      <c r="G647" s="25">
        <f t="shared" si="10"/>
        <v>1.3574126534466435E-2</v>
      </c>
    </row>
    <row r="648" spans="1:7">
      <c r="A648" s="61">
        <v>84.56</v>
      </c>
      <c r="B648" s="61">
        <v>85.87</v>
      </c>
      <c r="C648" s="61">
        <v>83.39</v>
      </c>
      <c r="D648" s="61">
        <v>84.4</v>
      </c>
      <c r="E648" s="61">
        <v>1074084</v>
      </c>
      <c r="F648" s="61" t="s">
        <v>650</v>
      </c>
      <c r="G648" s="25">
        <f t="shared" si="10"/>
        <v>1.8957345971564177E-3</v>
      </c>
    </row>
    <row r="649" spans="1:7">
      <c r="A649" s="61">
        <v>83.86</v>
      </c>
      <c r="B649" s="61">
        <v>86.4</v>
      </c>
      <c r="C649" s="61">
        <v>83.784999999999997</v>
      </c>
      <c r="D649" s="61">
        <v>85.51</v>
      </c>
      <c r="E649" s="61">
        <v>1115873</v>
      </c>
      <c r="F649" s="61" t="s">
        <v>651</v>
      </c>
      <c r="G649" s="25">
        <f t="shared" si="10"/>
        <v>-1.9295988773243011E-2</v>
      </c>
    </row>
    <row r="650" spans="1:7">
      <c r="A650" s="61">
        <v>86.31</v>
      </c>
      <c r="B650" s="61">
        <v>86.79</v>
      </c>
      <c r="C650" s="61">
        <v>85.01</v>
      </c>
      <c r="D650" s="61">
        <v>85.53</v>
      </c>
      <c r="E650" s="61">
        <v>880361</v>
      </c>
      <c r="F650" s="61" t="s">
        <v>652</v>
      </c>
      <c r="G650" s="25">
        <f t="shared" si="10"/>
        <v>9.1196071553840685E-3</v>
      </c>
    </row>
    <row r="651" spans="1:7">
      <c r="A651" s="61">
        <v>86.45</v>
      </c>
      <c r="B651" s="61">
        <v>87.532799999999995</v>
      </c>
      <c r="C651" s="61">
        <v>85.45</v>
      </c>
      <c r="D651" s="61">
        <v>87.24</v>
      </c>
      <c r="E651" s="61">
        <v>784341</v>
      </c>
      <c r="F651" s="61" t="s">
        <v>653</v>
      </c>
      <c r="G651" s="25">
        <f t="shared" si="10"/>
        <v>-9.0554791380099697E-3</v>
      </c>
    </row>
    <row r="652" spans="1:7">
      <c r="A652" s="61">
        <v>86.08</v>
      </c>
      <c r="B652" s="61">
        <v>87.499899999999997</v>
      </c>
      <c r="C652" s="61">
        <v>86</v>
      </c>
      <c r="D652" s="61">
        <v>86.77</v>
      </c>
      <c r="E652" s="61">
        <v>1073796</v>
      </c>
      <c r="F652" s="61" t="s">
        <v>654</v>
      </c>
      <c r="G652" s="25">
        <f t="shared" si="10"/>
        <v>-7.9520571626138237E-3</v>
      </c>
    </row>
    <row r="653" spans="1:7">
      <c r="A653" s="61">
        <v>87.94</v>
      </c>
      <c r="B653" s="61">
        <v>90.698499999999996</v>
      </c>
      <c r="C653" s="61">
        <v>87.89</v>
      </c>
      <c r="D653" s="61">
        <v>90.07</v>
      </c>
      <c r="E653" s="61">
        <v>910798</v>
      </c>
      <c r="F653" s="61" t="s">
        <v>655</v>
      </c>
      <c r="G653" s="25">
        <f t="shared" si="10"/>
        <v>-2.3648273565004985E-2</v>
      </c>
    </row>
    <row r="654" spans="1:7">
      <c r="A654" s="61">
        <v>89.68</v>
      </c>
      <c r="B654" s="61">
        <v>90.36</v>
      </c>
      <c r="C654" s="61">
        <v>88</v>
      </c>
      <c r="D654" s="61">
        <v>88.04</v>
      </c>
      <c r="E654" s="61">
        <v>1633879</v>
      </c>
      <c r="F654" s="61" t="s">
        <v>656</v>
      </c>
      <c r="G654" s="25">
        <f t="shared" si="10"/>
        <v>1.8627896410722489E-2</v>
      </c>
    </row>
    <row r="655" spans="1:7">
      <c r="A655" s="61">
        <v>87.62</v>
      </c>
      <c r="B655" s="61">
        <v>88.98</v>
      </c>
      <c r="C655" s="61">
        <v>86.63</v>
      </c>
      <c r="D655" s="61">
        <v>87.76</v>
      </c>
      <c r="E655" s="61">
        <v>1506048</v>
      </c>
      <c r="F655" s="61" t="s">
        <v>657</v>
      </c>
      <c r="G655" s="25">
        <f t="shared" si="10"/>
        <v>-1.5952597994530748E-3</v>
      </c>
    </row>
    <row r="656" spans="1:7">
      <c r="A656" s="61">
        <v>87.99</v>
      </c>
      <c r="B656" s="61">
        <v>90.66</v>
      </c>
      <c r="C656" s="61">
        <v>87.27</v>
      </c>
      <c r="D656" s="61">
        <v>90.11</v>
      </c>
      <c r="E656" s="61">
        <v>3329759</v>
      </c>
      <c r="F656" s="61" t="s">
        <v>658</v>
      </c>
      <c r="G656" s="25">
        <f t="shared" si="10"/>
        <v>-2.3526800577072571E-2</v>
      </c>
    </row>
    <row r="657" spans="1:7">
      <c r="A657" s="61">
        <v>90.72</v>
      </c>
      <c r="B657" s="61">
        <v>90.77</v>
      </c>
      <c r="C657" s="61">
        <v>88.24</v>
      </c>
      <c r="D657" s="61">
        <v>90.66</v>
      </c>
      <c r="E657" s="61">
        <v>1153648</v>
      </c>
      <c r="F657" s="61" t="s">
        <v>659</v>
      </c>
      <c r="G657" s="25">
        <f t="shared" si="10"/>
        <v>6.6181336863002649E-4</v>
      </c>
    </row>
    <row r="658" spans="1:7">
      <c r="A658" s="61">
        <v>89.51</v>
      </c>
      <c r="B658" s="61">
        <v>91.906899999999993</v>
      </c>
      <c r="C658" s="61">
        <v>87.12</v>
      </c>
      <c r="D658" s="61">
        <v>91.7</v>
      </c>
      <c r="E658" s="61">
        <v>2033756</v>
      </c>
      <c r="F658" s="61" t="s">
        <v>660</v>
      </c>
      <c r="G658" s="25">
        <f t="shared" si="10"/>
        <v>-2.3882224645583428E-2</v>
      </c>
    </row>
    <row r="659" spans="1:7">
      <c r="A659" s="61">
        <v>91.86</v>
      </c>
      <c r="B659" s="61">
        <v>93.48</v>
      </c>
      <c r="C659" s="61">
        <v>91.75</v>
      </c>
      <c r="D659" s="61">
        <v>92.27</v>
      </c>
      <c r="E659" s="61">
        <v>844556</v>
      </c>
      <c r="F659" s="61" t="s">
        <v>661</v>
      </c>
      <c r="G659" s="25">
        <f t="shared" si="10"/>
        <v>-4.4434810881109899E-3</v>
      </c>
    </row>
    <row r="660" spans="1:7">
      <c r="A660" s="61">
        <v>92.75</v>
      </c>
      <c r="B660" s="61">
        <v>95.41</v>
      </c>
      <c r="C660" s="61">
        <v>92.36</v>
      </c>
      <c r="D660" s="61">
        <v>94.29</v>
      </c>
      <c r="E660" s="61">
        <v>978062</v>
      </c>
      <c r="F660" s="61" t="s">
        <v>662</v>
      </c>
      <c r="G660" s="25">
        <f t="shared" si="10"/>
        <v>-1.6332590942836012E-2</v>
      </c>
    </row>
    <row r="661" spans="1:7">
      <c r="A661" s="61">
        <v>93.37</v>
      </c>
      <c r="B661" s="61">
        <v>96.465000000000003</v>
      </c>
      <c r="C661" s="61">
        <v>93.26</v>
      </c>
      <c r="D661" s="61">
        <v>96.28</v>
      </c>
      <c r="E661" s="61">
        <v>1035655</v>
      </c>
      <c r="F661" s="61" t="s">
        <v>663</v>
      </c>
      <c r="G661" s="25">
        <f t="shared" si="10"/>
        <v>-3.0224345658495966E-2</v>
      </c>
    </row>
    <row r="662" spans="1:7">
      <c r="A662" s="61">
        <v>96.28</v>
      </c>
      <c r="B662" s="61">
        <v>97.144999999999996</v>
      </c>
      <c r="C662" s="61">
        <v>92.29</v>
      </c>
      <c r="D662" s="61">
        <v>93.48</v>
      </c>
      <c r="E662" s="61">
        <v>1822107</v>
      </c>
      <c r="F662" s="61" t="s">
        <v>664</v>
      </c>
      <c r="G662" s="25">
        <f t="shared" si="10"/>
        <v>2.9952931108258474E-2</v>
      </c>
    </row>
    <row r="663" spans="1:7">
      <c r="A663" s="61">
        <v>96.36</v>
      </c>
      <c r="B663" s="61">
        <v>98.92</v>
      </c>
      <c r="C663" s="61">
        <v>96.31</v>
      </c>
      <c r="D663" s="61">
        <v>98</v>
      </c>
      <c r="E663" s="61">
        <v>1185202</v>
      </c>
      <c r="F663" s="61" t="s">
        <v>665</v>
      </c>
      <c r="G663" s="25">
        <f t="shared" si="10"/>
        <v>-1.6734693877550999E-2</v>
      </c>
    </row>
    <row r="664" spans="1:7">
      <c r="A664" s="61">
        <v>98.39</v>
      </c>
      <c r="B664" s="61">
        <v>100</v>
      </c>
      <c r="C664" s="61">
        <v>96.96</v>
      </c>
      <c r="D664" s="61">
        <v>99.71</v>
      </c>
      <c r="E664" s="61">
        <v>1079182</v>
      </c>
      <c r="F664" s="61" t="s">
        <v>666</v>
      </c>
      <c r="G664" s="25">
        <f t="shared" si="10"/>
        <v>-1.3238391334871036E-2</v>
      </c>
    </row>
    <row r="665" spans="1:7">
      <c r="A665" s="61">
        <v>99.86</v>
      </c>
      <c r="B665" s="61">
        <v>100.42</v>
      </c>
      <c r="C665" s="61">
        <v>98.48</v>
      </c>
      <c r="D665" s="61">
        <v>98.69</v>
      </c>
      <c r="E665" s="61">
        <v>1010358</v>
      </c>
      <c r="F665" s="61" t="s">
        <v>667</v>
      </c>
      <c r="G665" s="25">
        <f t="shared" si="10"/>
        <v>1.1855304488803231E-2</v>
      </c>
    </row>
    <row r="666" spans="1:7">
      <c r="A666" s="61">
        <v>97.34</v>
      </c>
      <c r="B666" s="61">
        <v>98.79</v>
      </c>
      <c r="C666" s="61">
        <v>96.84</v>
      </c>
      <c r="D666" s="61">
        <v>96.84</v>
      </c>
      <c r="E666" s="61">
        <v>853538</v>
      </c>
      <c r="F666" s="61" t="s">
        <v>668</v>
      </c>
      <c r="G666" s="25">
        <f t="shared" si="10"/>
        <v>5.1631557207765244E-3</v>
      </c>
    </row>
    <row r="667" spans="1:7">
      <c r="A667" s="61">
        <v>96.84</v>
      </c>
      <c r="B667" s="61">
        <v>98.305000000000007</v>
      </c>
      <c r="C667" s="61">
        <v>95.64</v>
      </c>
      <c r="D667" s="61">
        <v>97.67</v>
      </c>
      <c r="E667" s="61">
        <v>917549</v>
      </c>
      <c r="F667" s="61" t="s">
        <v>669</v>
      </c>
      <c r="G667" s="25">
        <f t="shared" si="10"/>
        <v>-8.4980034811098504E-3</v>
      </c>
    </row>
    <row r="668" spans="1:7">
      <c r="A668" s="61">
        <v>97.35</v>
      </c>
      <c r="B668" s="61">
        <v>97.69</v>
      </c>
      <c r="C668" s="61">
        <v>95.611500000000007</v>
      </c>
      <c r="D668" s="61">
        <v>96.4</v>
      </c>
      <c r="E668" s="61">
        <v>961404</v>
      </c>
      <c r="F668" s="61" t="s">
        <v>670</v>
      </c>
      <c r="G668" s="25">
        <f t="shared" si="10"/>
        <v>9.8547717842323301E-3</v>
      </c>
    </row>
    <row r="669" spans="1:7">
      <c r="A669" s="61">
        <v>96.84</v>
      </c>
      <c r="B669" s="61">
        <v>97.345399999999998</v>
      </c>
      <c r="C669" s="61">
        <v>95.97</v>
      </c>
      <c r="D669" s="61">
        <v>96.24</v>
      </c>
      <c r="E669" s="61">
        <v>1178880</v>
      </c>
      <c r="F669" s="61" t="s">
        <v>671</v>
      </c>
      <c r="G669" s="25">
        <f t="shared" si="10"/>
        <v>6.2344139650873931E-3</v>
      </c>
    </row>
    <row r="670" spans="1:7">
      <c r="A670" s="61">
        <v>95.56</v>
      </c>
      <c r="B670" s="61">
        <v>96.76</v>
      </c>
      <c r="C670" s="61">
        <v>93.94</v>
      </c>
      <c r="D670" s="61">
        <v>95.78</v>
      </c>
      <c r="E670" s="61">
        <v>974426</v>
      </c>
      <c r="F670" s="61" t="s">
        <v>672</v>
      </c>
      <c r="G670" s="25">
        <f t="shared" si="10"/>
        <v>-2.2969304656503819E-3</v>
      </c>
    </row>
    <row r="671" spans="1:7">
      <c r="A671" s="61">
        <v>95.1</v>
      </c>
      <c r="B671" s="61">
        <v>99.56</v>
      </c>
      <c r="C671" s="61">
        <v>94.81</v>
      </c>
      <c r="D671" s="61">
        <v>99.16</v>
      </c>
      <c r="E671" s="61">
        <v>1485152</v>
      </c>
      <c r="F671" s="61" t="s">
        <v>673</v>
      </c>
      <c r="G671" s="25">
        <f t="shared" si="10"/>
        <v>-4.094392900363053E-2</v>
      </c>
    </row>
    <row r="672" spans="1:7">
      <c r="A672" s="61">
        <v>99.21</v>
      </c>
      <c r="B672" s="61">
        <v>100.4</v>
      </c>
      <c r="C672" s="61">
        <v>94.82</v>
      </c>
      <c r="D672" s="61">
        <v>95.36</v>
      </c>
      <c r="E672" s="61">
        <v>1755634</v>
      </c>
      <c r="F672" s="61" t="s">
        <v>674</v>
      </c>
      <c r="G672" s="25">
        <f t="shared" si="10"/>
        <v>4.0373322147650992E-2</v>
      </c>
    </row>
    <row r="673" spans="1:7">
      <c r="A673" s="61">
        <v>98.51</v>
      </c>
      <c r="B673" s="61">
        <v>98.95</v>
      </c>
      <c r="C673" s="61">
        <v>96.51</v>
      </c>
      <c r="D673" s="61">
        <v>96.65</v>
      </c>
      <c r="E673" s="61">
        <v>1642477</v>
      </c>
      <c r="F673" s="61" t="s">
        <v>675</v>
      </c>
      <c r="G673" s="25">
        <f t="shared" si="10"/>
        <v>1.9244697361614049E-2</v>
      </c>
    </row>
    <row r="674" spans="1:7">
      <c r="A674" s="61">
        <v>98.08</v>
      </c>
      <c r="B674" s="61">
        <v>98.7</v>
      </c>
      <c r="C674" s="61">
        <v>95.63</v>
      </c>
      <c r="D674" s="61">
        <v>95.888000000000005</v>
      </c>
      <c r="E674" s="61">
        <v>1850081</v>
      </c>
      <c r="F674" s="61" t="s">
        <v>676</v>
      </c>
      <c r="G674" s="25">
        <f t="shared" si="10"/>
        <v>2.2860003337226598E-2</v>
      </c>
    </row>
    <row r="675" spans="1:7">
      <c r="A675" s="61">
        <v>94.8</v>
      </c>
      <c r="B675" s="61">
        <v>95</v>
      </c>
      <c r="C675" s="61">
        <v>91.14</v>
      </c>
      <c r="D675" s="61">
        <v>91.25</v>
      </c>
      <c r="E675" s="61">
        <v>1820718</v>
      </c>
      <c r="F675" s="61" t="s">
        <v>677</v>
      </c>
      <c r="G675" s="25">
        <f t="shared" si="10"/>
        <v>3.8904109589041003E-2</v>
      </c>
    </row>
    <row r="676" spans="1:7">
      <c r="A676" s="61">
        <v>92.47</v>
      </c>
      <c r="B676" s="61">
        <v>95.31</v>
      </c>
      <c r="C676" s="61">
        <v>92.38</v>
      </c>
      <c r="D676" s="61">
        <v>94.15</v>
      </c>
      <c r="E676" s="61">
        <v>2417940</v>
      </c>
      <c r="F676" s="61" t="s">
        <v>678</v>
      </c>
      <c r="G676" s="25">
        <f t="shared" si="10"/>
        <v>-1.7843866171003753E-2</v>
      </c>
    </row>
    <row r="677" spans="1:7">
      <c r="A677" s="61">
        <v>94.01</v>
      </c>
      <c r="B677" s="61">
        <v>98.45</v>
      </c>
      <c r="C677" s="61">
        <v>93.87</v>
      </c>
      <c r="D677" s="61">
        <v>97.79</v>
      </c>
      <c r="E677" s="61">
        <v>2570766</v>
      </c>
      <c r="F677" s="61" t="s">
        <v>679</v>
      </c>
      <c r="G677" s="25">
        <f t="shared" si="10"/>
        <v>-3.8654259126700063E-2</v>
      </c>
    </row>
    <row r="678" spans="1:7">
      <c r="A678" s="61">
        <v>97.8</v>
      </c>
      <c r="B678" s="61">
        <v>99.23</v>
      </c>
      <c r="C678" s="61">
        <v>97.08</v>
      </c>
      <c r="D678" s="61">
        <v>98.25</v>
      </c>
      <c r="E678" s="61">
        <v>1967364</v>
      </c>
      <c r="F678" s="61" t="s">
        <v>680</v>
      </c>
      <c r="G678" s="25">
        <f t="shared" si="10"/>
        <v>-4.5801526717557106E-3</v>
      </c>
    </row>
    <row r="679" spans="1:7">
      <c r="A679" s="61">
        <v>99.22</v>
      </c>
      <c r="B679" s="61">
        <v>102.02</v>
      </c>
      <c r="C679" s="61">
        <v>98.27</v>
      </c>
      <c r="D679" s="61">
        <v>101.98</v>
      </c>
      <c r="E679" s="61">
        <v>1912443</v>
      </c>
      <c r="F679" s="61" t="s">
        <v>681</v>
      </c>
      <c r="G679" s="25">
        <f t="shared" si="10"/>
        <v>-2.7064130221612137E-2</v>
      </c>
    </row>
    <row r="680" spans="1:7">
      <c r="A680" s="61">
        <v>100.59</v>
      </c>
      <c r="B680" s="61">
        <v>102.56</v>
      </c>
      <c r="C680" s="61">
        <v>99.96</v>
      </c>
      <c r="D680" s="61">
        <v>102.1</v>
      </c>
      <c r="E680" s="61">
        <v>1511248</v>
      </c>
      <c r="F680" s="61" t="s">
        <v>682</v>
      </c>
      <c r="G680" s="25">
        <f t="shared" si="10"/>
        <v>-1.4789422135161545E-2</v>
      </c>
    </row>
    <row r="681" spans="1:7">
      <c r="A681" s="61">
        <v>103</v>
      </c>
      <c r="B681" s="61">
        <v>106.19</v>
      </c>
      <c r="C681" s="61">
        <v>102.11</v>
      </c>
      <c r="D681" s="61">
        <v>103.38</v>
      </c>
      <c r="E681" s="61">
        <v>1379782</v>
      </c>
      <c r="F681" s="61" t="s">
        <v>683</v>
      </c>
      <c r="G681" s="25">
        <f t="shared" si="10"/>
        <v>-3.6757593344940442E-3</v>
      </c>
    </row>
    <row r="682" spans="1:7">
      <c r="A682" s="61">
        <v>102.95</v>
      </c>
      <c r="B682" s="61">
        <v>104.375</v>
      </c>
      <c r="C682" s="61">
        <v>101.73</v>
      </c>
      <c r="D682" s="61">
        <v>103.2</v>
      </c>
      <c r="E682" s="61">
        <v>1061146</v>
      </c>
      <c r="F682" s="61" t="s">
        <v>684</v>
      </c>
      <c r="G682" s="25">
        <f t="shared" si="10"/>
        <v>-2.4224806201550431E-3</v>
      </c>
    </row>
    <row r="683" spans="1:7">
      <c r="A683" s="61">
        <v>104.06</v>
      </c>
      <c r="B683" s="61">
        <v>104.24</v>
      </c>
      <c r="C683" s="61">
        <v>101.21</v>
      </c>
      <c r="D683" s="61">
        <v>102.39</v>
      </c>
      <c r="E683" s="61">
        <v>1646946</v>
      </c>
      <c r="F683" s="61" t="s">
        <v>685</v>
      </c>
      <c r="G683" s="25">
        <f t="shared" si="10"/>
        <v>1.6310186541654392E-2</v>
      </c>
    </row>
    <row r="684" spans="1:7">
      <c r="A684" s="61">
        <v>104.48</v>
      </c>
      <c r="B684" s="61">
        <v>106.79</v>
      </c>
      <c r="C684" s="61">
        <v>103.3</v>
      </c>
      <c r="D684" s="61">
        <v>106.16</v>
      </c>
      <c r="E684" s="61">
        <v>1384648</v>
      </c>
      <c r="F684" s="61" t="s">
        <v>686</v>
      </c>
      <c r="G684" s="25">
        <f t="shared" si="10"/>
        <v>-1.5825169555388041E-2</v>
      </c>
    </row>
    <row r="685" spans="1:7">
      <c r="A685" s="61">
        <v>105.91</v>
      </c>
      <c r="B685" s="61">
        <v>108.25</v>
      </c>
      <c r="C685" s="61">
        <v>104.4722</v>
      </c>
      <c r="D685" s="61">
        <v>105.13</v>
      </c>
      <c r="E685" s="61">
        <v>2301963</v>
      </c>
      <c r="F685" s="61" t="s">
        <v>687</v>
      </c>
      <c r="G685" s="25">
        <f t="shared" si="10"/>
        <v>7.4193855226862837E-3</v>
      </c>
    </row>
    <row r="686" spans="1:7">
      <c r="A686" s="61">
        <v>103.77</v>
      </c>
      <c r="B686" s="61">
        <v>105.76</v>
      </c>
      <c r="C686" s="61">
        <v>103.355</v>
      </c>
      <c r="D686" s="61">
        <v>104.79</v>
      </c>
      <c r="E686" s="61">
        <v>1794133</v>
      </c>
      <c r="F686" s="61" t="s">
        <v>688</v>
      </c>
      <c r="G686" s="25">
        <f t="shared" si="10"/>
        <v>-9.7337532207272259E-3</v>
      </c>
    </row>
    <row r="687" spans="1:7">
      <c r="A687" s="61">
        <v>104.3</v>
      </c>
      <c r="B687" s="61">
        <v>106.3655</v>
      </c>
      <c r="C687" s="61">
        <v>102.83</v>
      </c>
      <c r="D687" s="61">
        <v>105.83</v>
      </c>
      <c r="E687" s="61">
        <v>2137141</v>
      </c>
      <c r="F687" s="61" t="s">
        <v>689</v>
      </c>
      <c r="G687" s="25">
        <f t="shared" si="10"/>
        <v>-1.4457148256638019E-2</v>
      </c>
    </row>
    <row r="688" spans="1:7">
      <c r="A688" s="61">
        <v>107</v>
      </c>
      <c r="B688" s="61">
        <v>108</v>
      </c>
      <c r="C688" s="61">
        <v>105.8</v>
      </c>
      <c r="D688" s="61">
        <v>107.09</v>
      </c>
      <c r="E688" s="61">
        <v>1685710</v>
      </c>
      <c r="F688" s="61" t="s">
        <v>690</v>
      </c>
      <c r="G688" s="25">
        <f t="shared" si="10"/>
        <v>-8.4041460453831984E-4</v>
      </c>
    </row>
    <row r="689" spans="1:7">
      <c r="A689" s="61">
        <v>108.35</v>
      </c>
      <c r="B689" s="61">
        <v>108.69</v>
      </c>
      <c r="C689" s="61">
        <v>105.91</v>
      </c>
      <c r="D689" s="61">
        <v>108.49</v>
      </c>
      <c r="E689" s="61">
        <v>3093903</v>
      </c>
      <c r="F689" s="61" t="s">
        <v>691</v>
      </c>
      <c r="G689" s="25">
        <f t="shared" si="10"/>
        <v>-1.2904415153470739E-3</v>
      </c>
    </row>
    <row r="690" spans="1:7">
      <c r="A690" s="61">
        <v>108.14</v>
      </c>
      <c r="B690" s="61">
        <v>108.76</v>
      </c>
      <c r="C690" s="61">
        <v>103.71</v>
      </c>
      <c r="D690" s="61">
        <v>105.16</v>
      </c>
      <c r="E690" s="61">
        <v>4594082</v>
      </c>
      <c r="F690" s="61" t="s">
        <v>692</v>
      </c>
      <c r="G690" s="25">
        <f t="shared" si="10"/>
        <v>2.8337771015595425E-2</v>
      </c>
    </row>
    <row r="691" spans="1:7">
      <c r="A691" s="61">
        <v>102.3</v>
      </c>
      <c r="B691" s="61">
        <v>111.13849999999999</v>
      </c>
      <c r="C691" s="61">
        <v>101.011</v>
      </c>
      <c r="D691" s="61">
        <v>110.38</v>
      </c>
      <c r="E691" s="61">
        <v>10487049</v>
      </c>
      <c r="F691" s="61" t="s">
        <v>693</v>
      </c>
      <c r="G691" s="25">
        <f t="shared" si="10"/>
        <v>-7.3201666968653711E-2</v>
      </c>
    </row>
    <row r="692" spans="1:7">
      <c r="A692" s="61">
        <v>119.8</v>
      </c>
      <c r="B692" s="61">
        <v>122.5544</v>
      </c>
      <c r="C692" s="61">
        <v>118.39</v>
      </c>
      <c r="D692" s="61">
        <v>121</v>
      </c>
      <c r="E692" s="61">
        <v>2410927</v>
      </c>
      <c r="F692" s="61" t="s">
        <v>694</v>
      </c>
      <c r="G692" s="25">
        <f t="shared" si="10"/>
        <v>-9.91735537190086E-3</v>
      </c>
    </row>
    <row r="693" spans="1:7">
      <c r="A693" s="61">
        <v>121.87</v>
      </c>
      <c r="B693" s="61">
        <v>124.69</v>
      </c>
      <c r="C693" s="61">
        <v>121.69</v>
      </c>
      <c r="D693" s="61">
        <v>122.58</v>
      </c>
      <c r="E693" s="61">
        <v>1479820</v>
      </c>
      <c r="F693" s="61" t="s">
        <v>695</v>
      </c>
      <c r="G693" s="25">
        <f t="shared" si="10"/>
        <v>-5.792135748082794E-3</v>
      </c>
    </row>
    <row r="694" spans="1:7">
      <c r="A694" s="61">
        <v>122.66</v>
      </c>
      <c r="B694" s="61">
        <v>126.42</v>
      </c>
      <c r="C694" s="61">
        <v>122.14</v>
      </c>
      <c r="D694" s="61">
        <v>123.82</v>
      </c>
      <c r="E694" s="61">
        <v>1571417</v>
      </c>
      <c r="F694" s="61" t="s">
        <v>696</v>
      </c>
      <c r="G694" s="25">
        <f t="shared" si="10"/>
        <v>-9.368438055241457E-3</v>
      </c>
    </row>
    <row r="695" spans="1:7">
      <c r="A695" s="61">
        <v>122.81</v>
      </c>
      <c r="B695" s="61">
        <v>125.63120000000001</v>
      </c>
      <c r="C695" s="61">
        <v>122.62</v>
      </c>
      <c r="D695" s="61">
        <v>124.05</v>
      </c>
      <c r="E695" s="61">
        <v>1105547</v>
      </c>
      <c r="F695" s="61" t="s">
        <v>697</v>
      </c>
      <c r="G695" s="25">
        <f t="shared" si="10"/>
        <v>-9.9959693671906047E-3</v>
      </c>
    </row>
    <row r="696" spans="1:7">
      <c r="A696" s="61">
        <v>121.84</v>
      </c>
      <c r="B696" s="61">
        <v>129.68</v>
      </c>
      <c r="C696" s="61">
        <v>121.77</v>
      </c>
      <c r="D696" s="61">
        <v>129.68</v>
      </c>
      <c r="E696" s="61">
        <v>1702843</v>
      </c>
      <c r="F696" s="61" t="s">
        <v>698</v>
      </c>
      <c r="G696" s="25">
        <f t="shared" si="10"/>
        <v>-6.0456508328192493E-2</v>
      </c>
    </row>
    <row r="697" spans="1:7">
      <c r="A697" s="61">
        <v>129.88999999999999</v>
      </c>
      <c r="B697" s="61">
        <v>130.36000000000001</v>
      </c>
      <c r="C697" s="61">
        <v>127.215</v>
      </c>
      <c r="D697" s="61">
        <v>128.44999999999999</v>
      </c>
      <c r="E697" s="61">
        <v>1115723</v>
      </c>
      <c r="F697" s="61" t="s">
        <v>699</v>
      </c>
      <c r="G697" s="25">
        <f t="shared" si="10"/>
        <v>1.1210587777345182E-2</v>
      </c>
    </row>
    <row r="698" spans="1:7">
      <c r="A698" s="61">
        <v>127.34</v>
      </c>
      <c r="B698" s="61">
        <v>128.85499999999999</v>
      </c>
      <c r="C698" s="61">
        <v>125.15</v>
      </c>
      <c r="D698" s="61">
        <v>126.83</v>
      </c>
      <c r="E698" s="61">
        <v>1285902</v>
      </c>
      <c r="F698" s="61" t="s">
        <v>700</v>
      </c>
      <c r="G698" s="25">
        <f t="shared" si="10"/>
        <v>4.0211306473232344E-3</v>
      </c>
    </row>
    <row r="699" spans="1:7">
      <c r="A699" s="61">
        <v>127.1</v>
      </c>
      <c r="B699" s="61">
        <v>127.49</v>
      </c>
      <c r="C699" s="61">
        <v>122.35</v>
      </c>
      <c r="D699" s="61">
        <v>124.07</v>
      </c>
      <c r="E699" s="61">
        <v>1183926</v>
      </c>
      <c r="F699" s="61" t="s">
        <v>701</v>
      </c>
      <c r="G699" s="25">
        <f t="shared" si="10"/>
        <v>2.4421697428870903E-2</v>
      </c>
    </row>
    <row r="700" spans="1:7">
      <c r="A700" s="61">
        <v>124.04</v>
      </c>
      <c r="B700" s="61">
        <v>126.78</v>
      </c>
      <c r="C700" s="61">
        <v>123.52</v>
      </c>
      <c r="D700" s="61">
        <v>125.99</v>
      </c>
      <c r="E700" s="61">
        <v>1370740</v>
      </c>
      <c r="F700" s="61" t="s">
        <v>702</v>
      </c>
      <c r="G700" s="25">
        <f t="shared" ref="G700:G763" si="11">A700/D700-1</f>
        <v>-1.5477418842765212E-2</v>
      </c>
    </row>
    <row r="701" spans="1:7">
      <c r="A701" s="61">
        <v>125.99</v>
      </c>
      <c r="B701" s="61">
        <v>129.88999999999999</v>
      </c>
      <c r="C701" s="61">
        <v>123.755</v>
      </c>
      <c r="D701" s="61">
        <v>127.73</v>
      </c>
      <c r="E701" s="61">
        <v>1786158</v>
      </c>
      <c r="F701" s="61" t="s">
        <v>703</v>
      </c>
      <c r="G701" s="25">
        <f t="shared" si="11"/>
        <v>-1.3622484929147527E-2</v>
      </c>
    </row>
    <row r="702" spans="1:7">
      <c r="A702" s="61">
        <v>126.42</v>
      </c>
      <c r="B702" s="61">
        <v>126.68</v>
      </c>
      <c r="C702" s="61">
        <v>122.1493</v>
      </c>
      <c r="D702" s="61">
        <v>122.97</v>
      </c>
      <c r="E702" s="61">
        <v>1833950</v>
      </c>
      <c r="F702" s="61" t="s">
        <v>704</v>
      </c>
      <c r="G702" s="25">
        <f t="shared" si="11"/>
        <v>2.8055623322761569E-2</v>
      </c>
    </row>
    <row r="703" spans="1:7">
      <c r="A703" s="61">
        <v>120.44</v>
      </c>
      <c r="B703" s="61">
        <v>121.42</v>
      </c>
      <c r="C703" s="61">
        <v>117.17</v>
      </c>
      <c r="D703" s="61">
        <v>118</v>
      </c>
      <c r="E703" s="61">
        <v>1584707</v>
      </c>
      <c r="F703" s="61" t="s">
        <v>705</v>
      </c>
      <c r="G703" s="25">
        <f t="shared" si="11"/>
        <v>2.0677966101694922E-2</v>
      </c>
    </row>
    <row r="704" spans="1:7">
      <c r="A704" s="61">
        <v>117.37</v>
      </c>
      <c r="B704" s="61">
        <v>117.74</v>
      </c>
      <c r="C704" s="61">
        <v>112.45</v>
      </c>
      <c r="D704" s="61">
        <v>112.76</v>
      </c>
      <c r="E704" s="61">
        <v>1591290</v>
      </c>
      <c r="F704" s="61" t="s">
        <v>706</v>
      </c>
      <c r="G704" s="25">
        <f t="shared" si="11"/>
        <v>4.0883291947499067E-2</v>
      </c>
    </row>
    <row r="705" spans="1:7">
      <c r="A705" s="61">
        <v>112.43</v>
      </c>
      <c r="B705" s="61">
        <v>113.58499999999999</v>
      </c>
      <c r="C705" s="61">
        <v>110.97</v>
      </c>
      <c r="D705" s="61">
        <v>111.43</v>
      </c>
      <c r="E705" s="61">
        <v>1559740</v>
      </c>
      <c r="F705" s="61" t="s">
        <v>707</v>
      </c>
      <c r="G705" s="25">
        <f t="shared" si="11"/>
        <v>8.9742439199498314E-3</v>
      </c>
    </row>
    <row r="706" spans="1:7">
      <c r="A706" s="61">
        <v>111.43</v>
      </c>
      <c r="B706" s="61">
        <v>113.1</v>
      </c>
      <c r="C706" s="61">
        <v>109.11</v>
      </c>
      <c r="D706" s="61">
        <v>112.13</v>
      </c>
      <c r="E706" s="61">
        <v>1852002</v>
      </c>
      <c r="F706" s="61" t="s">
        <v>708</v>
      </c>
      <c r="G706" s="25">
        <f t="shared" si="11"/>
        <v>-6.2427539463122406E-3</v>
      </c>
    </row>
    <row r="707" spans="1:7">
      <c r="A707" s="61">
        <v>114.26</v>
      </c>
      <c r="B707" s="61">
        <v>116.37</v>
      </c>
      <c r="C707" s="61">
        <v>114.14</v>
      </c>
      <c r="D707" s="61">
        <v>116.2</v>
      </c>
      <c r="E707" s="61">
        <v>1269888</v>
      </c>
      <c r="F707" s="61" t="s">
        <v>709</v>
      </c>
      <c r="G707" s="25">
        <f t="shared" si="11"/>
        <v>-1.6695352839931177E-2</v>
      </c>
    </row>
    <row r="708" spans="1:7">
      <c r="A708" s="61">
        <v>117.06</v>
      </c>
      <c r="B708" s="61">
        <v>117.34</v>
      </c>
      <c r="C708" s="61">
        <v>113.24</v>
      </c>
      <c r="D708" s="61">
        <v>113.24</v>
      </c>
      <c r="E708" s="61">
        <v>1219105</v>
      </c>
      <c r="F708" s="61" t="s">
        <v>710</v>
      </c>
      <c r="G708" s="25">
        <f t="shared" si="11"/>
        <v>3.3733663016602078E-2</v>
      </c>
    </row>
    <row r="709" spans="1:7">
      <c r="A709" s="61">
        <v>112.44</v>
      </c>
      <c r="B709" s="61">
        <v>113.03</v>
      </c>
      <c r="C709" s="61">
        <v>107.73</v>
      </c>
      <c r="D709" s="61">
        <v>109</v>
      </c>
      <c r="E709" s="61">
        <v>1432211</v>
      </c>
      <c r="F709" s="61" t="s">
        <v>711</v>
      </c>
      <c r="G709" s="25">
        <f t="shared" si="11"/>
        <v>3.155963302752296E-2</v>
      </c>
    </row>
    <row r="710" spans="1:7">
      <c r="A710" s="61">
        <v>108.21</v>
      </c>
      <c r="B710" s="61">
        <v>110.67</v>
      </c>
      <c r="C710" s="61">
        <v>107.49</v>
      </c>
      <c r="D710" s="61">
        <v>108.21</v>
      </c>
      <c r="E710" s="61">
        <v>1112772</v>
      </c>
      <c r="F710" s="61" t="s">
        <v>712</v>
      </c>
      <c r="G710" s="25">
        <f t="shared" si="11"/>
        <v>0</v>
      </c>
    </row>
    <row r="711" spans="1:7">
      <c r="A711" s="61">
        <v>107.13</v>
      </c>
      <c r="B711" s="61">
        <v>107.58499999999999</v>
      </c>
      <c r="C711" s="61">
        <v>105.08</v>
      </c>
      <c r="D711" s="61">
        <v>107.04</v>
      </c>
      <c r="E711" s="61">
        <v>1601236</v>
      </c>
      <c r="F711" s="61" t="s">
        <v>713</v>
      </c>
      <c r="G711" s="25">
        <f t="shared" si="11"/>
        <v>8.408071748877699E-4</v>
      </c>
    </row>
    <row r="712" spans="1:7">
      <c r="A712" s="61">
        <v>107.08</v>
      </c>
      <c r="B712" s="61">
        <v>109.2</v>
      </c>
      <c r="C712" s="61">
        <v>106.01</v>
      </c>
      <c r="D712" s="61">
        <v>106.01</v>
      </c>
      <c r="E712" s="61">
        <v>1418921</v>
      </c>
      <c r="F712" s="61" t="s">
        <v>714</v>
      </c>
      <c r="G712" s="25">
        <f t="shared" si="11"/>
        <v>1.0093387416281407E-2</v>
      </c>
    </row>
    <row r="713" spans="1:7">
      <c r="A713" s="61">
        <v>104.79</v>
      </c>
      <c r="B713" s="61">
        <v>110.35</v>
      </c>
      <c r="C713" s="61">
        <v>104.71</v>
      </c>
      <c r="D713" s="61">
        <v>106.69</v>
      </c>
      <c r="E713" s="61">
        <v>1484060</v>
      </c>
      <c r="F713" s="61" t="s">
        <v>715</v>
      </c>
      <c r="G713" s="25">
        <f t="shared" si="11"/>
        <v>-1.7808604367794412E-2</v>
      </c>
    </row>
    <row r="714" spans="1:7">
      <c r="A714" s="61">
        <v>106.01</v>
      </c>
      <c r="B714" s="61">
        <v>107.785</v>
      </c>
      <c r="C714" s="61">
        <v>104.6</v>
      </c>
      <c r="D714" s="61">
        <v>105.45</v>
      </c>
      <c r="E714" s="61">
        <v>8150029</v>
      </c>
      <c r="F714" s="61" t="s">
        <v>716</v>
      </c>
      <c r="G714" s="25">
        <f t="shared" si="11"/>
        <v>5.3105737316263557E-3</v>
      </c>
    </row>
    <row r="715" spans="1:7">
      <c r="A715" s="61">
        <v>107.06</v>
      </c>
      <c r="B715" s="61">
        <v>109.4299</v>
      </c>
      <c r="C715" s="61">
        <v>106.56</v>
      </c>
      <c r="D715" s="61">
        <v>108.22</v>
      </c>
      <c r="E715" s="61">
        <v>1223809</v>
      </c>
      <c r="F715" s="61" t="s">
        <v>717</v>
      </c>
      <c r="G715" s="25">
        <f t="shared" si="11"/>
        <v>-1.0718905932360023E-2</v>
      </c>
    </row>
    <row r="716" spans="1:7">
      <c r="A716" s="61">
        <v>108.58</v>
      </c>
      <c r="B716" s="61">
        <v>110.23</v>
      </c>
      <c r="C716" s="61">
        <v>105.49</v>
      </c>
      <c r="D716" s="61">
        <v>105.95</v>
      </c>
      <c r="E716" s="61">
        <v>1882392</v>
      </c>
      <c r="F716" s="61" t="s">
        <v>718</v>
      </c>
      <c r="G716" s="25">
        <f t="shared" si="11"/>
        <v>2.4823029731005253E-2</v>
      </c>
    </row>
    <row r="717" spans="1:7">
      <c r="A717" s="61">
        <v>105.95</v>
      </c>
      <c r="B717" s="61">
        <v>109.38</v>
      </c>
      <c r="C717" s="61">
        <v>104.14</v>
      </c>
      <c r="D717" s="61">
        <v>109.19</v>
      </c>
      <c r="E717" s="61">
        <v>2634454</v>
      </c>
      <c r="F717" s="61" t="s">
        <v>719</v>
      </c>
      <c r="G717" s="25">
        <f t="shared" si="11"/>
        <v>-2.9673046982324314E-2</v>
      </c>
    </row>
    <row r="718" spans="1:7">
      <c r="A718" s="61">
        <v>109.95</v>
      </c>
      <c r="B718" s="61">
        <v>116.61</v>
      </c>
      <c r="C718" s="61">
        <v>109.57</v>
      </c>
      <c r="D718" s="61">
        <v>116.39</v>
      </c>
      <c r="E718" s="61">
        <v>2171193</v>
      </c>
      <c r="F718" s="61" t="s">
        <v>720</v>
      </c>
      <c r="G718" s="25">
        <f t="shared" si="11"/>
        <v>-5.5331214021823172E-2</v>
      </c>
    </row>
    <row r="719" spans="1:7">
      <c r="A719" s="61">
        <v>115.09</v>
      </c>
      <c r="B719" s="61">
        <v>115.72</v>
      </c>
      <c r="C719" s="61">
        <v>112.5</v>
      </c>
      <c r="D719" s="61">
        <v>113.17</v>
      </c>
      <c r="E719" s="61">
        <v>908886</v>
      </c>
      <c r="F719" s="61" t="s">
        <v>721</v>
      </c>
      <c r="G719" s="25">
        <f t="shared" si="11"/>
        <v>1.6965626932932798E-2</v>
      </c>
    </row>
    <row r="720" spans="1:7">
      <c r="A720" s="61">
        <v>114.72</v>
      </c>
      <c r="B720" s="61">
        <v>116.48</v>
      </c>
      <c r="C720" s="61">
        <v>112.61</v>
      </c>
      <c r="D720" s="61">
        <v>114.78</v>
      </c>
      <c r="E720" s="61">
        <v>1505528</v>
      </c>
      <c r="F720" s="61" t="s">
        <v>722</v>
      </c>
      <c r="G720" s="25">
        <f t="shared" si="11"/>
        <v>-5.2273915316258801E-4</v>
      </c>
    </row>
    <row r="721" spans="1:7">
      <c r="A721" s="61">
        <v>114.8</v>
      </c>
      <c r="B721" s="61">
        <v>117.83</v>
      </c>
      <c r="C721" s="61">
        <v>114.39</v>
      </c>
      <c r="D721" s="61">
        <v>116.71</v>
      </c>
      <c r="E721" s="61">
        <v>1480821</v>
      </c>
      <c r="F721" s="61" t="s">
        <v>723</v>
      </c>
      <c r="G721" s="25">
        <f t="shared" si="11"/>
        <v>-1.6365350012852331E-2</v>
      </c>
    </row>
    <row r="722" spans="1:7">
      <c r="A722" s="61">
        <v>115.605</v>
      </c>
      <c r="B722" s="61">
        <v>117.84</v>
      </c>
      <c r="C722" s="61">
        <v>114.8229</v>
      </c>
      <c r="D722" s="61">
        <v>117</v>
      </c>
      <c r="E722" s="61">
        <v>1200876</v>
      </c>
      <c r="F722" s="61" t="s">
        <v>724</v>
      </c>
      <c r="G722" s="25">
        <f t="shared" si="11"/>
        <v>-1.1923076923076925E-2</v>
      </c>
    </row>
    <row r="723" spans="1:7">
      <c r="A723" s="61">
        <v>116.19</v>
      </c>
      <c r="B723" s="61">
        <v>119.98</v>
      </c>
      <c r="C723" s="61">
        <v>115.97</v>
      </c>
      <c r="D723" s="61">
        <v>117.49</v>
      </c>
      <c r="E723" s="61">
        <v>1033186</v>
      </c>
      <c r="F723" s="61" t="s">
        <v>725</v>
      </c>
      <c r="G723" s="25">
        <f t="shared" si="11"/>
        <v>-1.106477146991236E-2</v>
      </c>
    </row>
    <row r="724" spans="1:7">
      <c r="A724" s="61">
        <v>116.57</v>
      </c>
      <c r="B724" s="61">
        <v>122.19499999999999</v>
      </c>
      <c r="C724" s="61">
        <v>115.82</v>
      </c>
      <c r="D724" s="61">
        <v>120.61</v>
      </c>
      <c r="E724" s="61">
        <v>1194940</v>
      </c>
      <c r="F724" s="61" t="s">
        <v>726</v>
      </c>
      <c r="G724" s="25">
        <f t="shared" si="11"/>
        <v>-3.3496393333886099E-2</v>
      </c>
    </row>
    <row r="725" spans="1:7">
      <c r="A725" s="61">
        <v>121.09</v>
      </c>
      <c r="B725" s="61">
        <v>122.82</v>
      </c>
      <c r="C725" s="61">
        <v>114.9</v>
      </c>
      <c r="D725" s="61">
        <v>115.6</v>
      </c>
      <c r="E725" s="61">
        <v>2568483</v>
      </c>
      <c r="F725" s="61" t="s">
        <v>727</v>
      </c>
      <c r="G725" s="25">
        <f t="shared" si="11"/>
        <v>4.7491349480969003E-2</v>
      </c>
    </row>
    <row r="726" spans="1:7">
      <c r="A726" s="61">
        <v>115.96</v>
      </c>
      <c r="B726" s="61">
        <v>116.03</v>
      </c>
      <c r="C726" s="61">
        <v>109.48</v>
      </c>
      <c r="D726" s="61">
        <v>109.66</v>
      </c>
      <c r="E726" s="61">
        <v>1795624</v>
      </c>
      <c r="F726" s="61" t="s">
        <v>728</v>
      </c>
      <c r="G726" s="25">
        <f t="shared" si="11"/>
        <v>5.7450300930147691E-2</v>
      </c>
    </row>
    <row r="727" spans="1:7">
      <c r="A727" s="61">
        <v>109.66</v>
      </c>
      <c r="B727" s="61">
        <v>110.39</v>
      </c>
      <c r="C727" s="61">
        <v>107.25149999999999</v>
      </c>
      <c r="D727" s="61">
        <v>110.04</v>
      </c>
      <c r="E727" s="61">
        <v>1046955</v>
      </c>
      <c r="F727" s="61" t="s">
        <v>729</v>
      </c>
      <c r="G727" s="25">
        <f t="shared" si="11"/>
        <v>-3.4532897128317641E-3</v>
      </c>
    </row>
    <row r="728" spans="1:7">
      <c r="A728" s="61">
        <v>110.04</v>
      </c>
      <c r="B728" s="61">
        <v>110.58</v>
      </c>
      <c r="C728" s="61">
        <v>105.25</v>
      </c>
      <c r="D728" s="61">
        <v>107.83</v>
      </c>
      <c r="E728" s="61">
        <v>1849157</v>
      </c>
      <c r="F728" s="61" t="s">
        <v>730</v>
      </c>
      <c r="G728" s="25">
        <f t="shared" si="11"/>
        <v>2.0495223963646447E-2</v>
      </c>
    </row>
    <row r="729" spans="1:7">
      <c r="A729" s="61">
        <v>105.16</v>
      </c>
      <c r="B729" s="61">
        <v>111.6</v>
      </c>
      <c r="C729" s="61">
        <v>104.07</v>
      </c>
      <c r="D729" s="61">
        <v>111.16</v>
      </c>
      <c r="E729" s="61">
        <v>2094747</v>
      </c>
      <c r="F729" s="61" t="s">
        <v>731</v>
      </c>
      <c r="G729" s="25">
        <f t="shared" si="11"/>
        <v>-5.3976250449802143E-2</v>
      </c>
    </row>
    <row r="730" spans="1:7">
      <c r="A730" s="61">
        <v>112.28</v>
      </c>
      <c r="B730" s="61">
        <v>113.3</v>
      </c>
      <c r="C730" s="61">
        <v>110.11</v>
      </c>
      <c r="D730" s="61">
        <v>112.94</v>
      </c>
      <c r="E730" s="61">
        <v>2070824</v>
      </c>
      <c r="F730" s="61" t="s">
        <v>732</v>
      </c>
      <c r="G730" s="25">
        <f t="shared" si="11"/>
        <v>-5.8438108730298755E-3</v>
      </c>
    </row>
    <row r="731" spans="1:7">
      <c r="A731" s="61">
        <v>114.33</v>
      </c>
      <c r="B731" s="61">
        <v>114.63</v>
      </c>
      <c r="C731" s="61">
        <v>108</v>
      </c>
      <c r="D731" s="61">
        <v>108.12</v>
      </c>
      <c r="E731" s="61">
        <v>2157393</v>
      </c>
      <c r="F731" s="61" t="s">
        <v>733</v>
      </c>
      <c r="G731" s="25">
        <f t="shared" si="11"/>
        <v>5.7436182019977799E-2</v>
      </c>
    </row>
    <row r="732" spans="1:7">
      <c r="A732" s="61">
        <v>106.74</v>
      </c>
      <c r="B732" s="61">
        <v>108.41</v>
      </c>
      <c r="C732" s="61">
        <v>103.36</v>
      </c>
      <c r="D732" s="61">
        <v>104.2</v>
      </c>
      <c r="E732" s="61">
        <v>1416807</v>
      </c>
      <c r="F732" s="61" t="s">
        <v>734</v>
      </c>
      <c r="G732" s="25">
        <f t="shared" si="11"/>
        <v>2.4376199616122696E-2</v>
      </c>
    </row>
    <row r="733" spans="1:7">
      <c r="A733" s="61">
        <v>104.32</v>
      </c>
      <c r="B733" s="61">
        <v>108.92</v>
      </c>
      <c r="C733" s="61">
        <v>101.65</v>
      </c>
      <c r="D733" s="61">
        <v>104.35</v>
      </c>
      <c r="E733" s="61">
        <v>2955257</v>
      </c>
      <c r="F733" s="61" t="s">
        <v>735</v>
      </c>
      <c r="G733" s="25">
        <f t="shared" si="11"/>
        <v>-2.8749401054151136E-4</v>
      </c>
    </row>
    <row r="734" spans="1:7">
      <c r="A734" s="61">
        <v>104.09</v>
      </c>
      <c r="B734" s="61">
        <v>106.44</v>
      </c>
      <c r="C734" s="61">
        <v>102.71</v>
      </c>
      <c r="D734" s="61">
        <v>105.95</v>
      </c>
      <c r="E734" s="61">
        <v>1413663</v>
      </c>
      <c r="F734" s="61" t="s">
        <v>736</v>
      </c>
      <c r="G734" s="25">
        <f t="shared" si="11"/>
        <v>-1.755545068428499E-2</v>
      </c>
    </row>
    <row r="735" spans="1:7">
      <c r="A735" s="61">
        <v>106.14</v>
      </c>
      <c r="B735" s="61">
        <v>107.66</v>
      </c>
      <c r="C735" s="61">
        <v>104.91</v>
      </c>
      <c r="D735" s="61">
        <v>107.17</v>
      </c>
      <c r="E735" s="61">
        <v>1552102</v>
      </c>
      <c r="F735" s="61" t="s">
        <v>737</v>
      </c>
      <c r="G735" s="25">
        <f t="shared" si="11"/>
        <v>-9.6108985723616369E-3</v>
      </c>
    </row>
    <row r="736" spans="1:7">
      <c r="A736" s="61">
        <v>107.11</v>
      </c>
      <c r="B736" s="61">
        <v>110.21</v>
      </c>
      <c r="C736" s="61">
        <v>106.5</v>
      </c>
      <c r="D736" s="61">
        <v>109.21</v>
      </c>
      <c r="E736" s="61">
        <v>1900134</v>
      </c>
      <c r="F736" s="61" t="s">
        <v>738</v>
      </c>
      <c r="G736" s="25">
        <f t="shared" si="11"/>
        <v>-1.9229008332570241E-2</v>
      </c>
    </row>
    <row r="737" spans="1:7">
      <c r="A737" s="61">
        <v>109</v>
      </c>
      <c r="B737" s="61">
        <v>113.5</v>
      </c>
      <c r="C737" s="61">
        <v>107.8</v>
      </c>
      <c r="D737" s="61">
        <v>113.5</v>
      </c>
      <c r="E737" s="61">
        <v>3238930</v>
      </c>
      <c r="F737" s="61" t="s">
        <v>739</v>
      </c>
      <c r="G737" s="25">
        <f t="shared" si="11"/>
        <v>-3.9647577092510988E-2</v>
      </c>
    </row>
    <row r="738" spans="1:7">
      <c r="A738" s="61">
        <v>115.37</v>
      </c>
      <c r="B738" s="61">
        <v>118.74</v>
      </c>
      <c r="C738" s="61">
        <v>114.76</v>
      </c>
      <c r="D738" s="61">
        <v>116.38</v>
      </c>
      <c r="E738" s="61">
        <v>1064268</v>
      </c>
      <c r="F738" s="61" t="s">
        <v>740</v>
      </c>
      <c r="G738" s="25">
        <f t="shared" si="11"/>
        <v>-8.6784670905653005E-3</v>
      </c>
    </row>
    <row r="739" spans="1:7">
      <c r="A739" s="61">
        <v>116.67</v>
      </c>
      <c r="B739" s="61">
        <v>116.9</v>
      </c>
      <c r="C739" s="61">
        <v>111.67</v>
      </c>
      <c r="D739" s="61">
        <v>113.73</v>
      </c>
      <c r="E739" s="61">
        <v>1235662</v>
      </c>
      <c r="F739" s="61" t="s">
        <v>741</v>
      </c>
      <c r="G739" s="25">
        <f t="shared" si="11"/>
        <v>2.5850699024004165E-2</v>
      </c>
    </row>
    <row r="740" spans="1:7">
      <c r="A740" s="61">
        <v>113.45</v>
      </c>
      <c r="B740" s="61">
        <v>117.35</v>
      </c>
      <c r="C740" s="61">
        <v>113.401</v>
      </c>
      <c r="D740" s="61">
        <v>117.35</v>
      </c>
      <c r="E740" s="61">
        <v>1425390</v>
      </c>
      <c r="F740" s="61" t="s">
        <v>742</v>
      </c>
      <c r="G740" s="25">
        <f t="shared" si="11"/>
        <v>-3.3233915636983302E-2</v>
      </c>
    </row>
    <row r="741" spans="1:7">
      <c r="A741" s="61">
        <v>118.39</v>
      </c>
      <c r="B741" s="61">
        <v>120.34</v>
      </c>
      <c r="C741" s="61">
        <v>116.17010000000001</v>
      </c>
      <c r="D741" s="61">
        <v>117.3</v>
      </c>
      <c r="E741" s="61">
        <v>1093262</v>
      </c>
      <c r="F741" s="61" t="s">
        <v>743</v>
      </c>
      <c r="G741" s="25">
        <f t="shared" si="11"/>
        <v>9.2924126172209132E-3</v>
      </c>
    </row>
    <row r="742" spans="1:7">
      <c r="A742" s="61">
        <v>115.4</v>
      </c>
      <c r="B742" s="61">
        <v>118.61</v>
      </c>
      <c r="C742" s="61">
        <v>113.9</v>
      </c>
      <c r="D742" s="61">
        <v>117.3</v>
      </c>
      <c r="E742" s="61">
        <v>753411</v>
      </c>
      <c r="F742" s="61" t="s">
        <v>744</v>
      </c>
      <c r="G742" s="25">
        <f t="shared" si="11"/>
        <v>-1.619778346121048E-2</v>
      </c>
    </row>
    <row r="743" spans="1:7">
      <c r="A743" s="61">
        <v>116.8</v>
      </c>
      <c r="B743" s="61">
        <v>117.6</v>
      </c>
      <c r="C743" s="61">
        <v>114.675</v>
      </c>
      <c r="D743" s="61">
        <v>116.2</v>
      </c>
      <c r="E743" s="61">
        <v>883311</v>
      </c>
      <c r="F743" s="61" t="s">
        <v>745</v>
      </c>
      <c r="G743" s="25">
        <f t="shared" si="11"/>
        <v>5.1635111876076056E-3</v>
      </c>
    </row>
    <row r="744" spans="1:7">
      <c r="A744" s="61">
        <v>116.46</v>
      </c>
      <c r="B744" s="61">
        <v>119.04</v>
      </c>
      <c r="C744" s="61">
        <v>114.37</v>
      </c>
      <c r="D744" s="61">
        <v>118.68</v>
      </c>
      <c r="E744" s="61">
        <v>1151004</v>
      </c>
      <c r="F744" s="61" t="s">
        <v>746</v>
      </c>
      <c r="G744" s="25">
        <f t="shared" si="11"/>
        <v>-1.8705763397371178E-2</v>
      </c>
    </row>
    <row r="745" spans="1:7">
      <c r="A745" s="61">
        <v>116.91</v>
      </c>
      <c r="B745" s="61">
        <v>117.065</v>
      </c>
      <c r="C745" s="61">
        <v>113.36</v>
      </c>
      <c r="D745" s="61">
        <v>115.03</v>
      </c>
      <c r="E745" s="61">
        <v>1312336</v>
      </c>
      <c r="F745" s="61" t="s">
        <v>747</v>
      </c>
      <c r="G745" s="25">
        <f t="shared" si="11"/>
        <v>1.6343562548900348E-2</v>
      </c>
    </row>
    <row r="746" spans="1:7">
      <c r="A746" s="61">
        <v>116.75</v>
      </c>
      <c r="B746" s="61">
        <v>117.08</v>
      </c>
      <c r="C746" s="61">
        <v>113.53</v>
      </c>
      <c r="D746" s="61">
        <v>115.11</v>
      </c>
      <c r="E746" s="61">
        <v>1198137</v>
      </c>
      <c r="F746" s="61" t="s">
        <v>748</v>
      </c>
      <c r="G746" s="25">
        <f t="shared" si="11"/>
        <v>1.4247241768742924E-2</v>
      </c>
    </row>
    <row r="747" spans="1:7">
      <c r="A747" s="61">
        <v>114.48</v>
      </c>
      <c r="B747" s="61">
        <v>115.6139</v>
      </c>
      <c r="C747" s="61">
        <v>110.0367</v>
      </c>
      <c r="D747" s="61">
        <v>111.7</v>
      </c>
      <c r="E747" s="61">
        <v>1535804</v>
      </c>
      <c r="F747" s="61" t="s">
        <v>749</v>
      </c>
      <c r="G747" s="25">
        <f t="shared" si="11"/>
        <v>2.4888093106535392E-2</v>
      </c>
    </row>
    <row r="748" spans="1:7">
      <c r="A748" s="61">
        <v>109.85</v>
      </c>
      <c r="B748" s="61">
        <v>119.61</v>
      </c>
      <c r="C748" s="61">
        <v>109.4</v>
      </c>
      <c r="D748" s="61">
        <v>119.08</v>
      </c>
      <c r="E748" s="61">
        <v>2266707</v>
      </c>
      <c r="F748" s="61" t="s">
        <v>750</v>
      </c>
      <c r="G748" s="25">
        <f t="shared" si="11"/>
        <v>-7.7510917030567672E-2</v>
      </c>
    </row>
    <row r="749" spans="1:7">
      <c r="A749" s="61">
        <v>120.13</v>
      </c>
      <c r="B749" s="61">
        <v>121.93</v>
      </c>
      <c r="C749" s="61">
        <v>118.83</v>
      </c>
      <c r="D749" s="61">
        <v>119.84</v>
      </c>
      <c r="E749" s="61">
        <v>1526736</v>
      </c>
      <c r="F749" s="61" t="s">
        <v>751</v>
      </c>
      <c r="G749" s="25">
        <f t="shared" si="11"/>
        <v>2.4198931909211741E-3</v>
      </c>
    </row>
    <row r="750" spans="1:7">
      <c r="A750" s="61">
        <v>120.16</v>
      </c>
      <c r="B750" s="61">
        <v>120.735</v>
      </c>
      <c r="C750" s="61">
        <v>116.5</v>
      </c>
      <c r="D750" s="61">
        <v>120.67</v>
      </c>
      <c r="E750" s="61">
        <v>1668651</v>
      </c>
      <c r="F750" s="61" t="s">
        <v>752</v>
      </c>
      <c r="G750" s="25">
        <f t="shared" si="11"/>
        <v>-4.2264025855639487E-3</v>
      </c>
    </row>
    <row r="751" spans="1:7">
      <c r="A751" s="61">
        <v>120.98</v>
      </c>
      <c r="B751" s="61">
        <v>125.5</v>
      </c>
      <c r="C751" s="61">
        <v>119.44</v>
      </c>
      <c r="D751" s="61">
        <v>123.88</v>
      </c>
      <c r="E751" s="61">
        <v>1744906</v>
      </c>
      <c r="F751" s="61" t="s">
        <v>753</v>
      </c>
      <c r="G751" s="25">
        <f t="shared" si="11"/>
        <v>-2.3409751372295728E-2</v>
      </c>
    </row>
    <row r="752" spans="1:7">
      <c r="A752" s="61">
        <v>123.67</v>
      </c>
      <c r="B752" s="61">
        <v>124.8</v>
      </c>
      <c r="C752" s="61">
        <v>118.53</v>
      </c>
      <c r="D752" s="61">
        <v>123.01</v>
      </c>
      <c r="E752" s="61">
        <v>3114309</v>
      </c>
      <c r="F752" s="61" t="s">
        <v>754</v>
      </c>
      <c r="G752" s="25">
        <f t="shared" si="11"/>
        <v>5.3654174457360426E-3</v>
      </c>
    </row>
    <row r="753" spans="1:7">
      <c r="A753" s="61">
        <v>124.32</v>
      </c>
      <c r="B753" s="61">
        <v>136.495</v>
      </c>
      <c r="C753" s="61">
        <v>116.61</v>
      </c>
      <c r="D753" s="61">
        <v>135.80000000000001</v>
      </c>
      <c r="E753" s="61">
        <v>10529493</v>
      </c>
      <c r="F753" s="61" t="s">
        <v>755</v>
      </c>
      <c r="G753" s="25">
        <f t="shared" si="11"/>
        <v>-8.4536082474226948E-2</v>
      </c>
    </row>
    <row r="754" spans="1:7">
      <c r="A754" s="61">
        <v>147.78</v>
      </c>
      <c r="B754" s="61">
        <v>150.28</v>
      </c>
      <c r="C754" s="61">
        <v>143.83000000000001</v>
      </c>
      <c r="D754" s="61">
        <v>145.35</v>
      </c>
      <c r="E754" s="61">
        <v>2089010</v>
      </c>
      <c r="F754" s="61" t="s">
        <v>756</v>
      </c>
      <c r="G754" s="25">
        <f t="shared" si="11"/>
        <v>1.6718266253870073E-2</v>
      </c>
    </row>
    <row r="755" spans="1:7">
      <c r="A755" s="61">
        <v>145.33000000000001</v>
      </c>
      <c r="B755" s="61">
        <v>150.56219999999999</v>
      </c>
      <c r="C755" s="61">
        <v>144.72999999999999</v>
      </c>
      <c r="D755" s="61">
        <v>149.06</v>
      </c>
      <c r="E755" s="61">
        <v>1457259</v>
      </c>
      <c r="F755" s="61" t="s">
        <v>757</v>
      </c>
      <c r="G755" s="25">
        <f t="shared" si="11"/>
        <v>-2.5023480477659898E-2</v>
      </c>
    </row>
    <row r="756" spans="1:7">
      <c r="A756" s="61">
        <v>151.13</v>
      </c>
      <c r="B756" s="61">
        <v>151.32</v>
      </c>
      <c r="C756" s="61">
        <v>146.68</v>
      </c>
      <c r="D756" s="61">
        <v>146.68</v>
      </c>
      <c r="E756" s="61">
        <v>1947640</v>
      </c>
      <c r="F756" s="61" t="s">
        <v>758</v>
      </c>
      <c r="G756" s="25">
        <f t="shared" si="11"/>
        <v>3.0338151077174746E-2</v>
      </c>
    </row>
    <row r="757" spans="1:7">
      <c r="A757" s="61">
        <v>147.18</v>
      </c>
      <c r="B757" s="61">
        <v>148.179</v>
      </c>
      <c r="C757" s="61">
        <v>144.0667</v>
      </c>
      <c r="D757" s="61">
        <v>145.83000000000001</v>
      </c>
      <c r="E757" s="61">
        <v>1055755</v>
      </c>
      <c r="F757" s="61" t="s">
        <v>759</v>
      </c>
      <c r="G757" s="25">
        <f t="shared" si="11"/>
        <v>9.2573544538161467E-3</v>
      </c>
    </row>
    <row r="758" spans="1:7">
      <c r="A758" s="61">
        <v>145.72999999999999</v>
      </c>
      <c r="B758" s="61">
        <v>146.85</v>
      </c>
      <c r="C758" s="61">
        <v>142.12</v>
      </c>
      <c r="D758" s="61">
        <v>142.33000000000001</v>
      </c>
      <c r="E758" s="61">
        <v>1189461</v>
      </c>
      <c r="F758" s="61" t="s">
        <v>760</v>
      </c>
      <c r="G758" s="25">
        <f t="shared" si="11"/>
        <v>2.3888147263401827E-2</v>
      </c>
    </row>
    <row r="759" spans="1:7">
      <c r="A759" s="61">
        <v>144.37</v>
      </c>
      <c r="B759" s="61">
        <v>146.22999999999999</v>
      </c>
      <c r="C759" s="61">
        <v>142.01</v>
      </c>
      <c r="D759" s="61">
        <v>142.69</v>
      </c>
      <c r="E759" s="61">
        <v>1691079</v>
      </c>
      <c r="F759" s="61" t="s">
        <v>761</v>
      </c>
      <c r="G759" s="25">
        <f t="shared" si="11"/>
        <v>1.1773775317120982E-2</v>
      </c>
    </row>
    <row r="760" spans="1:7">
      <c r="A760" s="61">
        <v>143.75</v>
      </c>
      <c r="B760" s="61">
        <v>145.19</v>
      </c>
      <c r="C760" s="61">
        <v>138.91999999999999</v>
      </c>
      <c r="D760" s="61">
        <v>140.6</v>
      </c>
      <c r="E760" s="61">
        <v>1923568</v>
      </c>
      <c r="F760" s="61" t="s">
        <v>762</v>
      </c>
      <c r="G760" s="25">
        <f t="shared" si="11"/>
        <v>2.240398293029866E-2</v>
      </c>
    </row>
    <row r="761" spans="1:7">
      <c r="A761" s="61">
        <v>139.04</v>
      </c>
      <c r="B761" s="61">
        <v>140.16</v>
      </c>
      <c r="C761" s="61">
        <v>135.345</v>
      </c>
      <c r="D761" s="61">
        <v>135.55000000000001</v>
      </c>
      <c r="E761" s="61">
        <v>1980616</v>
      </c>
      <c r="F761" s="61" t="s">
        <v>763</v>
      </c>
      <c r="G761" s="25">
        <f t="shared" si="11"/>
        <v>2.5746956842493507E-2</v>
      </c>
    </row>
    <row r="762" spans="1:7">
      <c r="A762" s="61">
        <v>134.30000000000001</v>
      </c>
      <c r="B762" s="61">
        <v>134.80000000000001</v>
      </c>
      <c r="C762" s="61">
        <v>131.01</v>
      </c>
      <c r="D762" s="61">
        <v>131.44999999999999</v>
      </c>
      <c r="E762" s="61">
        <v>1256243</v>
      </c>
      <c r="F762" s="61" t="s">
        <v>764</v>
      </c>
      <c r="G762" s="25">
        <f t="shared" si="11"/>
        <v>2.168124762267043E-2</v>
      </c>
    </row>
    <row r="763" spans="1:7">
      <c r="A763" s="61">
        <v>130.78</v>
      </c>
      <c r="B763" s="61">
        <v>131.28</v>
      </c>
      <c r="C763" s="61">
        <v>126.88</v>
      </c>
      <c r="D763" s="61">
        <v>128</v>
      </c>
      <c r="E763" s="61">
        <v>909145</v>
      </c>
      <c r="F763" s="61" t="s">
        <v>765</v>
      </c>
      <c r="G763" s="25">
        <f t="shared" si="11"/>
        <v>2.1718750000000009E-2</v>
      </c>
    </row>
    <row r="764" spans="1:7">
      <c r="A764" s="61">
        <v>126.19</v>
      </c>
      <c r="B764" s="61">
        <v>130.41</v>
      </c>
      <c r="C764" s="61">
        <v>126</v>
      </c>
      <c r="D764" s="61">
        <v>129.46</v>
      </c>
      <c r="E764" s="61">
        <v>970825</v>
      </c>
      <c r="F764" s="61" t="s">
        <v>766</v>
      </c>
      <c r="G764" s="25">
        <f t="shared" ref="G764:G827" si="12">A764/D764-1</f>
        <v>-2.5258767186775888E-2</v>
      </c>
    </row>
    <row r="765" spans="1:7">
      <c r="A765" s="61">
        <v>128.07</v>
      </c>
      <c r="B765" s="61">
        <v>129.13999999999999</v>
      </c>
      <c r="C765" s="61">
        <v>125.06</v>
      </c>
      <c r="D765" s="61">
        <v>128.16</v>
      </c>
      <c r="E765" s="61">
        <v>1147500</v>
      </c>
      <c r="F765" s="61" t="s">
        <v>767</v>
      </c>
      <c r="G765" s="25">
        <f t="shared" si="12"/>
        <v>-7.0224719101130706E-4</v>
      </c>
    </row>
    <row r="766" spans="1:7">
      <c r="A766" s="61">
        <v>127.97</v>
      </c>
      <c r="B766" s="61">
        <v>128.1765</v>
      </c>
      <c r="C766" s="61">
        <v>120.78</v>
      </c>
      <c r="D766" s="61">
        <v>121.34</v>
      </c>
      <c r="E766" s="61">
        <v>1226258</v>
      </c>
      <c r="F766" s="61" t="s">
        <v>768</v>
      </c>
      <c r="G766" s="25">
        <f t="shared" si="12"/>
        <v>5.463985495302448E-2</v>
      </c>
    </row>
    <row r="767" spans="1:7">
      <c r="A767" s="61">
        <v>121.86</v>
      </c>
      <c r="B767" s="61">
        <v>122.8</v>
      </c>
      <c r="C767" s="61">
        <v>119.61</v>
      </c>
      <c r="D767" s="61">
        <v>122.55</v>
      </c>
      <c r="E767" s="61">
        <v>714204</v>
      </c>
      <c r="F767" s="61" t="s">
        <v>769</v>
      </c>
      <c r="G767" s="25">
        <f t="shared" si="12"/>
        <v>-5.6303549571603551E-3</v>
      </c>
    </row>
    <row r="768" spans="1:7">
      <c r="A768" s="61">
        <v>123.58</v>
      </c>
      <c r="B768" s="61">
        <v>125.92</v>
      </c>
      <c r="C768" s="61">
        <v>121.04</v>
      </c>
      <c r="D768" s="61">
        <v>125.22</v>
      </c>
      <c r="E768" s="61">
        <v>1334839</v>
      </c>
      <c r="F768" s="61" t="s">
        <v>770</v>
      </c>
      <c r="G768" s="25">
        <f t="shared" si="12"/>
        <v>-1.3096949369110322E-2</v>
      </c>
    </row>
    <row r="769" spans="1:7">
      <c r="A769" s="61">
        <v>127.02</v>
      </c>
      <c r="B769" s="61">
        <v>129.59</v>
      </c>
      <c r="C769" s="61">
        <v>124.6</v>
      </c>
      <c r="D769" s="61">
        <v>129.58000000000001</v>
      </c>
      <c r="E769" s="61">
        <v>1180892</v>
      </c>
      <c r="F769" s="61" t="s">
        <v>771</v>
      </c>
      <c r="G769" s="25">
        <f t="shared" si="12"/>
        <v>-1.9756135206050462E-2</v>
      </c>
    </row>
    <row r="770" spans="1:7">
      <c r="A770" s="61">
        <v>128.66999999999999</v>
      </c>
      <c r="B770" s="61">
        <v>128.77000000000001</v>
      </c>
      <c r="C770" s="61">
        <v>125.25</v>
      </c>
      <c r="D770" s="61">
        <v>125.63</v>
      </c>
      <c r="E770" s="61">
        <v>1065532</v>
      </c>
      <c r="F770" s="61" t="s">
        <v>772</v>
      </c>
      <c r="G770" s="25">
        <f t="shared" si="12"/>
        <v>2.4198041868980225E-2</v>
      </c>
    </row>
    <row r="771" spans="1:7">
      <c r="A771" s="61">
        <v>126.44</v>
      </c>
      <c r="B771" s="61">
        <v>130.80000000000001</v>
      </c>
      <c r="C771" s="61">
        <v>125.85</v>
      </c>
      <c r="D771" s="61">
        <v>126.04</v>
      </c>
      <c r="E771" s="61">
        <v>1736661</v>
      </c>
      <c r="F771" s="61" t="s">
        <v>773</v>
      </c>
      <c r="G771" s="25">
        <f t="shared" si="12"/>
        <v>3.1735956839098467E-3</v>
      </c>
    </row>
    <row r="772" spans="1:7">
      <c r="A772" s="61">
        <v>125.06</v>
      </c>
      <c r="B772" s="61">
        <v>125.36</v>
      </c>
      <c r="C772" s="61">
        <v>121.32</v>
      </c>
      <c r="D772" s="61">
        <v>121.54</v>
      </c>
      <c r="E772" s="61">
        <v>2264228</v>
      </c>
      <c r="F772" s="61" t="s">
        <v>774</v>
      </c>
      <c r="G772" s="25">
        <f t="shared" si="12"/>
        <v>2.8961658713180904E-2</v>
      </c>
    </row>
    <row r="773" spans="1:7">
      <c r="A773" s="61">
        <v>119.26</v>
      </c>
      <c r="B773" s="61">
        <v>120.55</v>
      </c>
      <c r="C773" s="61">
        <v>117.32</v>
      </c>
      <c r="D773" s="61">
        <v>120.31</v>
      </c>
      <c r="E773" s="61">
        <v>1043941</v>
      </c>
      <c r="F773" s="61" t="s">
        <v>775</v>
      </c>
      <c r="G773" s="25">
        <f t="shared" si="12"/>
        <v>-8.7274540769678444E-3</v>
      </c>
    </row>
    <row r="774" spans="1:7">
      <c r="A774" s="61">
        <v>117.99</v>
      </c>
      <c r="B774" s="61">
        <v>119.4</v>
      </c>
      <c r="C774" s="61">
        <v>115.98</v>
      </c>
      <c r="D774" s="61">
        <v>118.12</v>
      </c>
      <c r="E774" s="61">
        <v>772969</v>
      </c>
      <c r="F774" s="61" t="s">
        <v>776</v>
      </c>
      <c r="G774" s="25">
        <f t="shared" si="12"/>
        <v>-1.100575685743399E-3</v>
      </c>
    </row>
    <row r="775" spans="1:7">
      <c r="A775" s="61">
        <v>117.34</v>
      </c>
      <c r="B775" s="61">
        <v>119.83</v>
      </c>
      <c r="C775" s="61">
        <v>115.24</v>
      </c>
      <c r="D775" s="61">
        <v>119.83</v>
      </c>
      <c r="E775" s="61">
        <v>1073131</v>
      </c>
      <c r="F775" s="61" t="s">
        <v>777</v>
      </c>
      <c r="G775" s="25">
        <f t="shared" si="12"/>
        <v>-2.0779437536510015E-2</v>
      </c>
    </row>
    <row r="776" spans="1:7">
      <c r="A776" s="61">
        <v>118.35</v>
      </c>
      <c r="B776" s="61">
        <v>119.55</v>
      </c>
      <c r="C776" s="61">
        <v>115.57</v>
      </c>
      <c r="D776" s="61">
        <v>118.99</v>
      </c>
      <c r="E776" s="61">
        <v>1004788</v>
      </c>
      <c r="F776" s="61" t="s">
        <v>778</v>
      </c>
      <c r="G776" s="25">
        <f t="shared" si="12"/>
        <v>-5.3786032439701037E-3</v>
      </c>
    </row>
    <row r="777" spans="1:7">
      <c r="A777" s="61">
        <v>120.88</v>
      </c>
      <c r="B777" s="61">
        <v>124.11</v>
      </c>
      <c r="C777" s="61">
        <v>117.01</v>
      </c>
      <c r="D777" s="61">
        <v>117.5</v>
      </c>
      <c r="E777" s="61">
        <v>1545421</v>
      </c>
      <c r="F777" s="61" t="s">
        <v>779</v>
      </c>
      <c r="G777" s="25">
        <f t="shared" si="12"/>
        <v>2.8765957446808432E-2</v>
      </c>
    </row>
    <row r="778" spans="1:7">
      <c r="A778" s="61">
        <v>115.9</v>
      </c>
      <c r="B778" s="61">
        <v>122.17</v>
      </c>
      <c r="C778" s="61">
        <v>115.855</v>
      </c>
      <c r="D778" s="61">
        <v>121.27</v>
      </c>
      <c r="E778" s="61">
        <v>1163966</v>
      </c>
      <c r="F778" s="61" t="s">
        <v>780</v>
      </c>
      <c r="G778" s="25">
        <f t="shared" si="12"/>
        <v>-4.4281355652675769E-2</v>
      </c>
    </row>
    <row r="779" spans="1:7">
      <c r="A779" s="61">
        <v>122.02</v>
      </c>
      <c r="B779" s="61">
        <v>126.2</v>
      </c>
      <c r="C779" s="61">
        <v>121.27</v>
      </c>
      <c r="D779" s="61">
        <v>121.56</v>
      </c>
      <c r="E779" s="61">
        <v>1746640</v>
      </c>
      <c r="F779" s="61" t="s">
        <v>781</v>
      </c>
      <c r="G779" s="25">
        <f t="shared" si="12"/>
        <v>3.7841395195787886E-3</v>
      </c>
    </row>
    <row r="780" spans="1:7">
      <c r="A780" s="61">
        <v>118.59</v>
      </c>
      <c r="B780" s="61">
        <v>122.28</v>
      </c>
      <c r="C780" s="61">
        <v>117.5868</v>
      </c>
      <c r="D780" s="61">
        <v>121.45</v>
      </c>
      <c r="E780" s="61">
        <v>1076555</v>
      </c>
      <c r="F780" s="61" t="s">
        <v>782</v>
      </c>
      <c r="G780" s="25">
        <f t="shared" si="12"/>
        <v>-2.354878550843964E-2</v>
      </c>
    </row>
    <row r="781" spans="1:7">
      <c r="A781" s="61">
        <v>119.92</v>
      </c>
      <c r="B781" s="61">
        <v>120.65</v>
      </c>
      <c r="C781" s="61">
        <v>117.87</v>
      </c>
      <c r="D781" s="61">
        <v>120.6</v>
      </c>
      <c r="E781" s="61">
        <v>1551595</v>
      </c>
      <c r="F781" s="61" t="s">
        <v>783</v>
      </c>
      <c r="G781" s="25">
        <f t="shared" si="12"/>
        <v>-5.6384742951905986E-3</v>
      </c>
    </row>
    <row r="782" spans="1:7">
      <c r="A782" s="61">
        <v>121.26</v>
      </c>
      <c r="B782" s="61">
        <v>122.08</v>
      </c>
      <c r="C782" s="61">
        <v>115.8</v>
      </c>
      <c r="D782" s="61">
        <v>116.32</v>
      </c>
      <c r="E782" s="61">
        <v>1687564</v>
      </c>
      <c r="F782" s="61" t="s">
        <v>784</v>
      </c>
      <c r="G782" s="25">
        <f t="shared" si="12"/>
        <v>4.2469050894085481E-2</v>
      </c>
    </row>
    <row r="783" spans="1:7">
      <c r="A783" s="61">
        <v>117.43</v>
      </c>
      <c r="B783" s="61">
        <v>117.88</v>
      </c>
      <c r="C783" s="61">
        <v>109.76</v>
      </c>
      <c r="D783" s="61">
        <v>112.399</v>
      </c>
      <c r="E783" s="61">
        <v>2593828</v>
      </c>
      <c r="F783" s="61" t="s">
        <v>785</v>
      </c>
      <c r="G783" s="25">
        <f t="shared" si="12"/>
        <v>4.4760184699152106E-2</v>
      </c>
    </row>
    <row r="784" spans="1:7">
      <c r="A784" s="61">
        <v>116.24</v>
      </c>
      <c r="B784" s="61">
        <v>119.455</v>
      </c>
      <c r="C784" s="61">
        <v>114.19</v>
      </c>
      <c r="D784" s="61">
        <v>115.07</v>
      </c>
      <c r="E784" s="61">
        <v>1517338</v>
      </c>
      <c r="F784" s="61" t="s">
        <v>786</v>
      </c>
      <c r="G784" s="25">
        <f t="shared" si="12"/>
        <v>1.0167723994090494E-2</v>
      </c>
    </row>
    <row r="785" spans="1:7">
      <c r="A785" s="61">
        <v>111.31</v>
      </c>
      <c r="B785" s="61">
        <v>115.09</v>
      </c>
      <c r="C785" s="61">
        <v>109.47</v>
      </c>
      <c r="D785" s="61">
        <v>112.15</v>
      </c>
      <c r="E785" s="61">
        <v>2002679</v>
      </c>
      <c r="F785" s="61" t="s">
        <v>787</v>
      </c>
      <c r="G785" s="25">
        <f t="shared" si="12"/>
        <v>-7.4899687917967528E-3</v>
      </c>
    </row>
    <row r="786" spans="1:7">
      <c r="A786" s="61">
        <v>115.32</v>
      </c>
      <c r="B786" s="61">
        <v>119.1</v>
      </c>
      <c r="C786" s="61">
        <v>113.83</v>
      </c>
      <c r="D786" s="61">
        <v>119.1</v>
      </c>
      <c r="E786" s="61">
        <v>1792826</v>
      </c>
      <c r="F786" s="61" t="s">
        <v>788</v>
      </c>
      <c r="G786" s="25">
        <f t="shared" si="12"/>
        <v>-3.1738035264483599E-2</v>
      </c>
    </row>
    <row r="787" spans="1:7">
      <c r="A787" s="61">
        <v>119.63</v>
      </c>
      <c r="B787" s="61">
        <v>125.05</v>
      </c>
      <c r="C787" s="61">
        <v>118.55</v>
      </c>
      <c r="D787" s="61">
        <v>123.86</v>
      </c>
      <c r="E787" s="61">
        <v>1478186</v>
      </c>
      <c r="F787" s="61" t="s">
        <v>789</v>
      </c>
      <c r="G787" s="25">
        <f t="shared" si="12"/>
        <v>-3.4151461327305066E-2</v>
      </c>
    </row>
    <row r="788" spans="1:7">
      <c r="A788" s="61">
        <v>123.8</v>
      </c>
      <c r="B788" s="61">
        <v>125.035</v>
      </c>
      <c r="C788" s="61">
        <v>122.75</v>
      </c>
      <c r="D788" s="61">
        <v>124.75</v>
      </c>
      <c r="E788" s="61">
        <v>782567</v>
      </c>
      <c r="F788" s="61" t="s">
        <v>790</v>
      </c>
      <c r="G788" s="25">
        <f t="shared" si="12"/>
        <v>-7.6152304609218291E-3</v>
      </c>
    </row>
    <row r="789" spans="1:7">
      <c r="A789" s="61">
        <v>124.47</v>
      </c>
      <c r="B789" s="61">
        <v>127.4</v>
      </c>
      <c r="C789" s="61">
        <v>123.66</v>
      </c>
      <c r="D789" s="61">
        <v>125.19</v>
      </c>
      <c r="E789" s="61">
        <v>1530180</v>
      </c>
      <c r="F789" s="61" t="s">
        <v>791</v>
      </c>
      <c r="G789" s="25">
        <f t="shared" si="12"/>
        <v>-5.7512580877067121E-3</v>
      </c>
    </row>
    <row r="790" spans="1:7">
      <c r="A790" s="61">
        <v>125.06</v>
      </c>
      <c r="B790" s="61">
        <v>129.5624</v>
      </c>
      <c r="C790" s="61">
        <v>124.41</v>
      </c>
      <c r="D790" s="61">
        <v>126.01</v>
      </c>
      <c r="E790" s="61">
        <v>1764711</v>
      </c>
      <c r="F790" s="61" t="s">
        <v>792</v>
      </c>
      <c r="G790" s="25">
        <f t="shared" si="12"/>
        <v>-7.5390841996667568E-3</v>
      </c>
    </row>
    <row r="791" spans="1:7">
      <c r="A791" s="61">
        <v>125.54</v>
      </c>
      <c r="B791" s="61">
        <v>126.33</v>
      </c>
      <c r="C791" s="61">
        <v>121.78</v>
      </c>
      <c r="D791" s="61">
        <v>125.97</v>
      </c>
      <c r="E791" s="61">
        <v>1548282</v>
      </c>
      <c r="F791" s="61" t="s">
        <v>793</v>
      </c>
      <c r="G791" s="25">
        <f t="shared" si="12"/>
        <v>-3.4135111534491225E-3</v>
      </c>
    </row>
    <row r="792" spans="1:7">
      <c r="A792" s="61">
        <v>125.35</v>
      </c>
      <c r="B792" s="61">
        <v>125.98</v>
      </c>
      <c r="C792" s="61">
        <v>122</v>
      </c>
      <c r="D792" s="61">
        <v>123.22</v>
      </c>
      <c r="E792" s="61">
        <v>928198</v>
      </c>
      <c r="F792" s="61" t="s">
        <v>794</v>
      </c>
      <c r="G792" s="25">
        <f t="shared" si="12"/>
        <v>1.728615484499274E-2</v>
      </c>
    </row>
    <row r="793" spans="1:7">
      <c r="A793" s="61">
        <v>124.45</v>
      </c>
      <c r="B793" s="61">
        <v>125.7569</v>
      </c>
      <c r="C793" s="61">
        <v>121.1</v>
      </c>
      <c r="D793" s="61">
        <v>123.08</v>
      </c>
      <c r="E793" s="61">
        <v>1396195</v>
      </c>
      <c r="F793" s="61" t="s">
        <v>795</v>
      </c>
      <c r="G793" s="25">
        <f t="shared" si="12"/>
        <v>1.1130971725706873E-2</v>
      </c>
    </row>
    <row r="794" spans="1:7">
      <c r="A794" s="61">
        <v>121.71</v>
      </c>
      <c r="B794" s="61">
        <v>124.05</v>
      </c>
      <c r="C794" s="61">
        <v>121.29</v>
      </c>
      <c r="D794" s="61">
        <v>123.42</v>
      </c>
      <c r="E794" s="61">
        <v>1225554</v>
      </c>
      <c r="F794" s="61" t="s">
        <v>796</v>
      </c>
      <c r="G794" s="25">
        <f t="shared" si="12"/>
        <v>-1.3855128828390906E-2</v>
      </c>
    </row>
    <row r="795" spans="1:7">
      <c r="A795" s="61">
        <v>123.58</v>
      </c>
      <c r="B795" s="61">
        <v>126.13</v>
      </c>
      <c r="C795" s="61">
        <v>122.94</v>
      </c>
      <c r="D795" s="61">
        <v>123.93</v>
      </c>
      <c r="E795" s="61">
        <v>1130289</v>
      </c>
      <c r="F795" s="61" t="s">
        <v>797</v>
      </c>
      <c r="G795" s="25">
        <f t="shared" si="12"/>
        <v>-2.8241749374647851E-3</v>
      </c>
    </row>
    <row r="796" spans="1:7">
      <c r="A796" s="61">
        <v>122.36</v>
      </c>
      <c r="B796" s="61">
        <v>123.89</v>
      </c>
      <c r="C796" s="61">
        <v>121.73</v>
      </c>
      <c r="D796" s="61">
        <v>122.87</v>
      </c>
      <c r="E796" s="61">
        <v>1061930</v>
      </c>
      <c r="F796" s="61" t="s">
        <v>798</v>
      </c>
      <c r="G796" s="25">
        <f t="shared" si="12"/>
        <v>-4.1507284121429233E-3</v>
      </c>
    </row>
    <row r="797" spans="1:7">
      <c r="A797" s="61">
        <v>125.47</v>
      </c>
      <c r="B797" s="61">
        <v>128.80000000000001</v>
      </c>
      <c r="C797" s="61">
        <v>123.57</v>
      </c>
      <c r="D797" s="61">
        <v>127.5</v>
      </c>
      <c r="E797" s="61">
        <v>1280071</v>
      </c>
      <c r="F797" s="61" t="s">
        <v>799</v>
      </c>
      <c r="G797" s="25">
        <f t="shared" si="12"/>
        <v>-1.5921568627450977E-2</v>
      </c>
    </row>
    <row r="798" spans="1:7">
      <c r="A798" s="61">
        <v>125.18</v>
      </c>
      <c r="B798" s="61">
        <v>125.21</v>
      </c>
      <c r="C798" s="61">
        <v>116.65</v>
      </c>
      <c r="D798" s="61">
        <v>118.64</v>
      </c>
      <c r="E798" s="61">
        <v>2057416</v>
      </c>
      <c r="F798" s="61" t="s">
        <v>800</v>
      </c>
      <c r="G798" s="25">
        <f t="shared" si="12"/>
        <v>5.5124747134187579E-2</v>
      </c>
    </row>
    <row r="799" spans="1:7">
      <c r="A799" s="61">
        <v>118.72</v>
      </c>
      <c r="B799" s="61">
        <v>131.34</v>
      </c>
      <c r="C799" s="61">
        <v>118.19</v>
      </c>
      <c r="D799" s="61">
        <v>129</v>
      </c>
      <c r="E799" s="61">
        <v>2611702</v>
      </c>
      <c r="F799" s="61" t="s">
        <v>801</v>
      </c>
      <c r="G799" s="25">
        <f t="shared" si="12"/>
        <v>-7.9689922480620123E-2</v>
      </c>
    </row>
    <row r="800" spans="1:7">
      <c r="A800" s="61">
        <v>131.47</v>
      </c>
      <c r="B800" s="61">
        <v>136.22</v>
      </c>
      <c r="C800" s="61">
        <v>129.74</v>
      </c>
      <c r="D800" s="61">
        <v>131.29</v>
      </c>
      <c r="E800" s="61">
        <v>2440369</v>
      </c>
      <c r="F800" s="61" t="s">
        <v>802</v>
      </c>
      <c r="G800" s="25">
        <f t="shared" si="12"/>
        <v>1.371010739584122E-3</v>
      </c>
    </row>
    <row r="801" spans="1:7">
      <c r="A801" s="61">
        <v>131.19999999999999</v>
      </c>
      <c r="B801" s="61">
        <v>143.4999</v>
      </c>
      <c r="C801" s="61">
        <v>130.45500000000001</v>
      </c>
      <c r="D801" s="61">
        <v>132.85</v>
      </c>
      <c r="E801" s="61">
        <v>5664790</v>
      </c>
      <c r="F801" s="61" t="s">
        <v>803</v>
      </c>
      <c r="G801" s="25">
        <f t="shared" si="12"/>
        <v>-1.2420022581859258E-2</v>
      </c>
    </row>
    <row r="802" spans="1:7">
      <c r="A802" s="61">
        <v>125.67</v>
      </c>
      <c r="B802" s="61">
        <v>125.86499999999999</v>
      </c>
      <c r="C802" s="61">
        <v>121.57</v>
      </c>
      <c r="D802" s="61">
        <v>121.75</v>
      </c>
      <c r="E802" s="61">
        <v>1974032</v>
      </c>
      <c r="F802" s="61" t="s">
        <v>804</v>
      </c>
      <c r="G802" s="25">
        <f t="shared" si="12"/>
        <v>3.2197125256673509E-2</v>
      </c>
    </row>
    <row r="803" spans="1:7">
      <c r="A803" s="61">
        <v>122.43</v>
      </c>
      <c r="B803" s="61">
        <v>122.78</v>
      </c>
      <c r="C803" s="61">
        <v>116.09</v>
      </c>
      <c r="D803" s="61">
        <v>116.52</v>
      </c>
      <c r="E803" s="61">
        <v>1893468</v>
      </c>
      <c r="F803" s="61" t="s">
        <v>805</v>
      </c>
      <c r="G803" s="25">
        <f t="shared" si="12"/>
        <v>5.0720906282183398E-2</v>
      </c>
    </row>
    <row r="804" spans="1:7">
      <c r="A804" s="61">
        <v>118.65</v>
      </c>
      <c r="B804" s="61">
        <v>119.15</v>
      </c>
      <c r="C804" s="61">
        <v>112.73</v>
      </c>
      <c r="D804" s="61">
        <v>116.44</v>
      </c>
      <c r="E804" s="61">
        <v>2069591</v>
      </c>
      <c r="F804" s="61" t="s">
        <v>806</v>
      </c>
      <c r="G804" s="25">
        <f t="shared" si="12"/>
        <v>1.8979732050841802E-2</v>
      </c>
    </row>
    <row r="805" spans="1:7">
      <c r="A805" s="61">
        <v>115.3</v>
      </c>
      <c r="B805" s="61">
        <v>115.86</v>
      </c>
      <c r="C805" s="61">
        <v>110.69</v>
      </c>
      <c r="D805" s="61">
        <v>112.74</v>
      </c>
      <c r="E805" s="61">
        <v>1592784</v>
      </c>
      <c r="F805" s="61" t="s">
        <v>807</v>
      </c>
      <c r="G805" s="25">
        <f t="shared" si="12"/>
        <v>2.2707113712967963E-2</v>
      </c>
    </row>
    <row r="806" spans="1:7">
      <c r="A806" s="61">
        <v>114.78</v>
      </c>
      <c r="B806" s="61">
        <v>119.43</v>
      </c>
      <c r="C806" s="61">
        <v>113.9297</v>
      </c>
      <c r="D806" s="61">
        <v>119.02</v>
      </c>
      <c r="E806" s="61">
        <v>1304480</v>
      </c>
      <c r="F806" s="61" t="s">
        <v>808</v>
      </c>
      <c r="G806" s="25">
        <f t="shared" si="12"/>
        <v>-3.5624264829440366E-2</v>
      </c>
    </row>
    <row r="807" spans="1:7">
      <c r="A807" s="61">
        <v>116.62</v>
      </c>
      <c r="B807" s="61">
        <v>119.38</v>
      </c>
      <c r="C807" s="61">
        <v>115.84</v>
      </c>
      <c r="D807" s="61">
        <v>118.39</v>
      </c>
      <c r="E807" s="61">
        <v>1608037</v>
      </c>
      <c r="F807" s="61" t="s">
        <v>809</v>
      </c>
      <c r="G807" s="25">
        <f t="shared" si="12"/>
        <v>-1.4950587042824481E-2</v>
      </c>
    </row>
    <row r="808" spans="1:7">
      <c r="A808" s="61">
        <v>120.56</v>
      </c>
      <c r="B808" s="61">
        <v>121.26</v>
      </c>
      <c r="C808" s="61">
        <v>115.81</v>
      </c>
      <c r="D808" s="61">
        <v>118.48</v>
      </c>
      <c r="E808" s="61">
        <v>1459511</v>
      </c>
      <c r="F808" s="61" t="s">
        <v>810</v>
      </c>
      <c r="G808" s="25">
        <f t="shared" si="12"/>
        <v>1.7555705604321403E-2</v>
      </c>
    </row>
    <row r="809" spans="1:7">
      <c r="A809" s="61">
        <v>118.73</v>
      </c>
      <c r="B809" s="61">
        <v>121.14</v>
      </c>
      <c r="C809" s="61">
        <v>117.2</v>
      </c>
      <c r="D809" s="61">
        <v>120</v>
      </c>
      <c r="E809" s="61">
        <v>1446253</v>
      </c>
      <c r="F809" s="61" t="s">
        <v>811</v>
      </c>
      <c r="G809" s="25">
        <f t="shared" si="12"/>
        <v>-1.0583333333333278E-2</v>
      </c>
    </row>
    <row r="810" spans="1:7">
      <c r="A810" s="61">
        <v>121.98</v>
      </c>
      <c r="B810" s="61">
        <v>126.99</v>
      </c>
      <c r="C810" s="61">
        <v>120.89</v>
      </c>
      <c r="D810" s="61">
        <v>122.9</v>
      </c>
      <c r="E810" s="61">
        <v>1945474</v>
      </c>
      <c r="F810" s="61" t="s">
        <v>812</v>
      </c>
      <c r="G810" s="25">
        <f t="shared" si="12"/>
        <v>-7.485760781122841E-3</v>
      </c>
    </row>
    <row r="811" spans="1:7">
      <c r="A811" s="61">
        <v>125.42</v>
      </c>
      <c r="B811" s="61">
        <v>128.80000000000001</v>
      </c>
      <c r="C811" s="61">
        <v>123.7</v>
      </c>
      <c r="D811" s="61">
        <v>126.03</v>
      </c>
      <c r="E811" s="61">
        <v>1168220</v>
      </c>
      <c r="F811" s="61" t="s">
        <v>813</v>
      </c>
      <c r="G811" s="25">
        <f t="shared" si="12"/>
        <v>-4.8401174323573493E-3</v>
      </c>
    </row>
    <row r="812" spans="1:7">
      <c r="A812" s="61">
        <v>125.24</v>
      </c>
      <c r="B812" s="61">
        <v>126.96</v>
      </c>
      <c r="C812" s="61">
        <v>121.35</v>
      </c>
      <c r="D812" s="61">
        <v>122.2</v>
      </c>
      <c r="E812" s="61">
        <v>1624488</v>
      </c>
      <c r="F812" s="61" t="s">
        <v>814</v>
      </c>
      <c r="G812" s="25">
        <f t="shared" si="12"/>
        <v>2.4877250409165219E-2</v>
      </c>
    </row>
    <row r="813" spans="1:7">
      <c r="A813" s="61">
        <v>121.77</v>
      </c>
      <c r="B813" s="61">
        <v>123.14</v>
      </c>
      <c r="C813" s="61">
        <v>118.13</v>
      </c>
      <c r="D813" s="61">
        <v>118.13</v>
      </c>
      <c r="E813" s="61">
        <v>1401976</v>
      </c>
      <c r="F813" s="61" t="s">
        <v>815</v>
      </c>
      <c r="G813" s="25">
        <f t="shared" si="12"/>
        <v>3.0813510539236422E-2</v>
      </c>
    </row>
    <row r="814" spans="1:7">
      <c r="A814" s="61">
        <v>118.08</v>
      </c>
      <c r="B814" s="61">
        <v>121.23990000000001</v>
      </c>
      <c r="C814" s="61">
        <v>118.06</v>
      </c>
      <c r="D814" s="61">
        <v>119.4</v>
      </c>
      <c r="E814" s="61">
        <v>984489</v>
      </c>
      <c r="F814" s="61" t="s">
        <v>816</v>
      </c>
      <c r="G814" s="25">
        <f t="shared" si="12"/>
        <v>-1.1055276381909618E-2</v>
      </c>
    </row>
    <row r="815" spans="1:7">
      <c r="A815" s="61">
        <v>121.32</v>
      </c>
      <c r="B815" s="61">
        <v>122.875</v>
      </c>
      <c r="C815" s="61">
        <v>119.81</v>
      </c>
      <c r="D815" s="61">
        <v>120.16</v>
      </c>
      <c r="E815" s="61">
        <v>730714</v>
      </c>
      <c r="F815" s="61" t="s">
        <v>817</v>
      </c>
      <c r="G815" s="25">
        <f t="shared" si="12"/>
        <v>9.6537949400798961E-3</v>
      </c>
    </row>
    <row r="816" spans="1:7">
      <c r="A816" s="61">
        <v>121.05</v>
      </c>
      <c r="B816" s="61">
        <v>125.69</v>
      </c>
      <c r="C816" s="61">
        <v>120.18</v>
      </c>
      <c r="D816" s="61">
        <v>124.83</v>
      </c>
      <c r="E816" s="61">
        <v>1095030</v>
      </c>
      <c r="F816" s="61" t="s">
        <v>818</v>
      </c>
      <c r="G816" s="25">
        <f t="shared" si="12"/>
        <v>-3.028118240807498E-2</v>
      </c>
    </row>
    <row r="817" spans="1:7">
      <c r="A817" s="61">
        <v>123.34</v>
      </c>
      <c r="B817" s="61">
        <v>123.36</v>
      </c>
      <c r="C817" s="61">
        <v>118.02</v>
      </c>
      <c r="D817" s="61">
        <v>120.62</v>
      </c>
      <c r="E817" s="61">
        <v>1206924</v>
      </c>
      <c r="F817" s="61" t="s">
        <v>819</v>
      </c>
      <c r="G817" s="25">
        <f t="shared" si="12"/>
        <v>2.2550157519482639E-2</v>
      </c>
    </row>
    <row r="818" spans="1:7">
      <c r="A818" s="61">
        <v>123.24</v>
      </c>
      <c r="B818" s="61">
        <v>125</v>
      </c>
      <c r="C818" s="61">
        <v>122.05</v>
      </c>
      <c r="D818" s="61">
        <v>124.1</v>
      </c>
      <c r="E818" s="61">
        <v>1326069</v>
      </c>
      <c r="F818" s="61" t="s">
        <v>820</v>
      </c>
      <c r="G818" s="25">
        <f t="shared" si="12"/>
        <v>-6.9298952457695906E-3</v>
      </c>
    </row>
    <row r="819" spans="1:7">
      <c r="A819" s="61">
        <v>125.59</v>
      </c>
      <c r="B819" s="61">
        <v>126.33</v>
      </c>
      <c r="C819" s="61">
        <v>121.92010000000001</v>
      </c>
      <c r="D819" s="61">
        <v>122.73</v>
      </c>
      <c r="E819" s="61">
        <v>1317781</v>
      </c>
      <c r="F819" s="61" t="s">
        <v>821</v>
      </c>
      <c r="G819" s="25">
        <f t="shared" si="12"/>
        <v>2.3303185855129138E-2</v>
      </c>
    </row>
    <row r="820" spans="1:7">
      <c r="A820" s="61">
        <v>122.4</v>
      </c>
      <c r="B820" s="61">
        <v>124.6296</v>
      </c>
      <c r="C820" s="61">
        <v>121.24</v>
      </c>
      <c r="D820" s="61">
        <v>122.94</v>
      </c>
      <c r="E820" s="61">
        <v>1403767</v>
      </c>
      <c r="F820" s="61" t="s">
        <v>822</v>
      </c>
      <c r="G820" s="25">
        <f t="shared" si="12"/>
        <v>-4.3923865300146137E-3</v>
      </c>
    </row>
    <row r="821" spans="1:7">
      <c r="A821" s="61">
        <v>121.43</v>
      </c>
      <c r="B821" s="61">
        <v>125.8</v>
      </c>
      <c r="C821" s="61">
        <v>121.22</v>
      </c>
      <c r="D821" s="61">
        <v>125.6</v>
      </c>
      <c r="E821" s="61">
        <v>1729449</v>
      </c>
      <c r="F821" s="61" t="s">
        <v>823</v>
      </c>
      <c r="G821" s="25">
        <f t="shared" si="12"/>
        <v>-3.3200636942675055E-2</v>
      </c>
    </row>
    <row r="822" spans="1:7">
      <c r="A822" s="61">
        <v>127.47</v>
      </c>
      <c r="B822" s="61">
        <v>131.1799</v>
      </c>
      <c r="C822" s="61">
        <v>127.13</v>
      </c>
      <c r="D822" s="61">
        <v>128.72</v>
      </c>
      <c r="E822" s="61">
        <v>1352126</v>
      </c>
      <c r="F822" s="61" t="s">
        <v>824</v>
      </c>
      <c r="G822" s="25">
        <f t="shared" si="12"/>
        <v>-9.7110006215039846E-3</v>
      </c>
    </row>
    <row r="823" spans="1:7">
      <c r="A823" s="61">
        <v>128.05000000000001</v>
      </c>
      <c r="B823" s="61">
        <v>129.01</v>
      </c>
      <c r="C823" s="61">
        <v>124.88</v>
      </c>
      <c r="D823" s="61">
        <v>125.51</v>
      </c>
      <c r="E823" s="61">
        <v>1073578</v>
      </c>
      <c r="F823" s="61" t="s">
        <v>825</v>
      </c>
      <c r="G823" s="25">
        <f t="shared" si="12"/>
        <v>2.0237431280376139E-2</v>
      </c>
    </row>
    <row r="824" spans="1:7">
      <c r="A824" s="61">
        <v>125.82</v>
      </c>
      <c r="B824" s="61">
        <v>127.6581</v>
      </c>
      <c r="C824" s="61">
        <v>122.715</v>
      </c>
      <c r="D824" s="61">
        <v>125</v>
      </c>
      <c r="E824" s="61">
        <v>1459323</v>
      </c>
      <c r="F824" s="61" t="s">
        <v>826</v>
      </c>
      <c r="G824" s="25">
        <f t="shared" si="12"/>
        <v>6.5599999999998992E-3</v>
      </c>
    </row>
    <row r="825" spans="1:7">
      <c r="A825" s="61">
        <v>127.11</v>
      </c>
      <c r="B825" s="61">
        <v>127.4</v>
      </c>
      <c r="C825" s="61">
        <v>121.38</v>
      </c>
      <c r="D825" s="61">
        <v>124.02</v>
      </c>
      <c r="E825" s="61">
        <v>1694504</v>
      </c>
      <c r="F825" s="61" t="s">
        <v>827</v>
      </c>
      <c r="G825" s="25">
        <f t="shared" si="12"/>
        <v>2.491533623609099E-2</v>
      </c>
    </row>
    <row r="826" spans="1:7">
      <c r="A826" s="61">
        <v>122.45</v>
      </c>
      <c r="B826" s="61">
        <v>124.15</v>
      </c>
      <c r="C826" s="61">
        <v>116.15</v>
      </c>
      <c r="D826" s="61">
        <v>116.73</v>
      </c>
      <c r="E826" s="61">
        <v>2078914</v>
      </c>
      <c r="F826" s="61" t="s">
        <v>828</v>
      </c>
      <c r="G826" s="25">
        <f t="shared" si="12"/>
        <v>4.9001970358947933E-2</v>
      </c>
    </row>
    <row r="827" spans="1:7">
      <c r="A827" s="61">
        <v>115.27</v>
      </c>
      <c r="B827" s="61">
        <v>115.38</v>
      </c>
      <c r="C827" s="61">
        <v>109.65</v>
      </c>
      <c r="D827" s="61">
        <v>112.17</v>
      </c>
      <c r="E827" s="61">
        <v>1716648</v>
      </c>
      <c r="F827" s="61" t="s">
        <v>829</v>
      </c>
      <c r="G827" s="25">
        <f t="shared" si="12"/>
        <v>2.7636622982972314E-2</v>
      </c>
    </row>
    <row r="828" spans="1:7">
      <c r="A828" s="61">
        <v>113.43</v>
      </c>
      <c r="B828" s="61">
        <v>114.86</v>
      </c>
      <c r="C828" s="61">
        <v>108.88</v>
      </c>
      <c r="D828" s="61">
        <v>110.875</v>
      </c>
      <c r="E828" s="61">
        <v>1492174</v>
      </c>
      <c r="F828" s="61" t="s">
        <v>830</v>
      </c>
      <c r="G828" s="25">
        <f t="shared" ref="G828:G891" si="13">A828/D828-1</f>
        <v>2.3043968432920003E-2</v>
      </c>
    </row>
    <row r="829" spans="1:7">
      <c r="A829" s="61">
        <v>111.11</v>
      </c>
      <c r="B829" s="61">
        <v>115.99</v>
      </c>
      <c r="C829" s="61">
        <v>109.84</v>
      </c>
      <c r="D829" s="61">
        <v>110.37</v>
      </c>
      <c r="E829" s="61">
        <v>1810820</v>
      </c>
      <c r="F829" s="61" t="s">
        <v>831</v>
      </c>
      <c r="G829" s="25">
        <f t="shared" si="13"/>
        <v>6.7047204856391929E-3</v>
      </c>
    </row>
    <row r="830" spans="1:7">
      <c r="A830" s="61">
        <v>109.95</v>
      </c>
      <c r="B830" s="61">
        <v>110.49</v>
      </c>
      <c r="C830" s="61">
        <v>104.45</v>
      </c>
      <c r="D830" s="61">
        <v>107.17</v>
      </c>
      <c r="E830" s="61">
        <v>1076424</v>
      </c>
      <c r="F830" s="61" t="s">
        <v>832</v>
      </c>
      <c r="G830" s="25">
        <f t="shared" si="13"/>
        <v>2.59400951758888E-2</v>
      </c>
    </row>
    <row r="831" spans="1:7">
      <c r="A831" s="61">
        <v>108.53</v>
      </c>
      <c r="B831" s="61">
        <v>110.13</v>
      </c>
      <c r="C831" s="61">
        <v>107.3</v>
      </c>
      <c r="D831" s="61">
        <v>108.25</v>
      </c>
      <c r="E831" s="61">
        <v>1280440</v>
      </c>
      <c r="F831" s="61" t="s">
        <v>833</v>
      </c>
      <c r="G831" s="25">
        <f t="shared" si="13"/>
        <v>2.5866050808314167E-3</v>
      </c>
    </row>
    <row r="832" spans="1:7">
      <c r="A832" s="61">
        <v>106.81</v>
      </c>
      <c r="B832" s="61">
        <v>110.61</v>
      </c>
      <c r="C832" s="61">
        <v>105.78</v>
      </c>
      <c r="D832" s="61">
        <v>109.89</v>
      </c>
      <c r="E832" s="61">
        <v>1336497</v>
      </c>
      <c r="F832" s="61" t="s">
        <v>834</v>
      </c>
      <c r="G832" s="25">
        <f t="shared" si="13"/>
        <v>-2.8028028028028062E-2</v>
      </c>
    </row>
    <row r="833" spans="1:7">
      <c r="A833" s="61">
        <v>108.43</v>
      </c>
      <c r="B833" s="61">
        <v>108.51</v>
      </c>
      <c r="C833" s="61">
        <v>104.86</v>
      </c>
      <c r="D833" s="61">
        <v>105.77</v>
      </c>
      <c r="E833" s="61">
        <v>940039</v>
      </c>
      <c r="F833" s="61" t="s">
        <v>835</v>
      </c>
      <c r="G833" s="25">
        <f t="shared" si="13"/>
        <v>2.5148908007941895E-2</v>
      </c>
    </row>
    <row r="834" spans="1:7">
      <c r="A834" s="61">
        <v>107.69</v>
      </c>
      <c r="B834" s="61">
        <v>108.83</v>
      </c>
      <c r="C834" s="61">
        <v>104.29</v>
      </c>
      <c r="D834" s="61">
        <v>105.99</v>
      </c>
      <c r="E834" s="61">
        <v>1306552</v>
      </c>
      <c r="F834" s="61" t="s">
        <v>836</v>
      </c>
      <c r="G834" s="25">
        <f t="shared" si="13"/>
        <v>1.6039248985753485E-2</v>
      </c>
    </row>
    <row r="835" spans="1:7">
      <c r="A835" s="61">
        <v>105.17</v>
      </c>
      <c r="B835" s="61">
        <v>108.5531</v>
      </c>
      <c r="C835" s="61">
        <v>103.36</v>
      </c>
      <c r="D835" s="61">
        <v>108.1</v>
      </c>
      <c r="E835" s="61">
        <v>1178965</v>
      </c>
      <c r="F835" s="61" t="s">
        <v>837</v>
      </c>
      <c r="G835" s="25">
        <f t="shared" si="13"/>
        <v>-2.7104532839962947E-2</v>
      </c>
    </row>
    <row r="836" spans="1:7">
      <c r="A836" s="61">
        <v>107.97</v>
      </c>
      <c r="B836" s="61">
        <v>108.09</v>
      </c>
      <c r="C836" s="61">
        <v>102</v>
      </c>
      <c r="D836" s="61">
        <v>103</v>
      </c>
      <c r="E836" s="61">
        <v>1536719</v>
      </c>
      <c r="F836" s="61" t="s">
        <v>838</v>
      </c>
      <c r="G836" s="25">
        <f t="shared" si="13"/>
        <v>4.8252427184465985E-2</v>
      </c>
    </row>
    <row r="837" spans="1:7">
      <c r="A837" s="61">
        <v>103</v>
      </c>
      <c r="B837" s="61">
        <v>103.17</v>
      </c>
      <c r="C837" s="61">
        <v>99.1</v>
      </c>
      <c r="D837" s="61">
        <v>102.48</v>
      </c>
      <c r="E837" s="61">
        <v>1241770</v>
      </c>
      <c r="F837" s="61" t="s">
        <v>839</v>
      </c>
      <c r="G837" s="25">
        <f t="shared" si="13"/>
        <v>5.0741608118656245E-3</v>
      </c>
    </row>
    <row r="838" spans="1:7">
      <c r="A838" s="61">
        <v>102.45</v>
      </c>
      <c r="B838" s="61">
        <v>102.67</v>
      </c>
      <c r="C838" s="61">
        <v>98.3</v>
      </c>
      <c r="D838" s="61">
        <v>101.23</v>
      </c>
      <c r="E838" s="61">
        <v>1423637</v>
      </c>
      <c r="F838" s="61" t="s">
        <v>840</v>
      </c>
      <c r="G838" s="25">
        <f t="shared" si="13"/>
        <v>1.2051763311271335E-2</v>
      </c>
    </row>
    <row r="839" spans="1:7">
      <c r="A839" s="61">
        <v>102.5</v>
      </c>
      <c r="B839" s="61">
        <v>102.5</v>
      </c>
      <c r="C839" s="61">
        <v>96.94</v>
      </c>
      <c r="D839" s="61">
        <v>96.94</v>
      </c>
      <c r="E839" s="61">
        <v>1994322</v>
      </c>
      <c r="F839" s="61" t="s">
        <v>841</v>
      </c>
      <c r="G839" s="25">
        <f t="shared" si="13"/>
        <v>5.7355064988652726E-2</v>
      </c>
    </row>
    <row r="840" spans="1:7">
      <c r="A840" s="61">
        <v>94.5</v>
      </c>
      <c r="B840" s="61">
        <v>95.87</v>
      </c>
      <c r="C840" s="61">
        <v>92.49</v>
      </c>
      <c r="D840" s="61">
        <v>93.51</v>
      </c>
      <c r="E840" s="61">
        <v>1029907</v>
      </c>
      <c r="F840" s="61" t="s">
        <v>842</v>
      </c>
      <c r="G840" s="25">
        <f t="shared" si="13"/>
        <v>1.0587102983637964E-2</v>
      </c>
    </row>
    <row r="841" spans="1:7">
      <c r="A841" s="61">
        <v>93.85</v>
      </c>
      <c r="B841" s="61">
        <v>97.51</v>
      </c>
      <c r="C841" s="61">
        <v>93.61</v>
      </c>
      <c r="D841" s="61">
        <v>94.79</v>
      </c>
      <c r="E841" s="61">
        <v>1295533</v>
      </c>
      <c r="F841" s="61" t="s">
        <v>843</v>
      </c>
      <c r="G841" s="25">
        <f t="shared" si="13"/>
        <v>-9.9166578753033807E-3</v>
      </c>
    </row>
    <row r="842" spans="1:7">
      <c r="A842" s="61">
        <v>95.01</v>
      </c>
      <c r="B842" s="61">
        <v>95.89</v>
      </c>
      <c r="C842" s="61">
        <v>91.42</v>
      </c>
      <c r="D842" s="61">
        <v>92.41</v>
      </c>
      <c r="E842" s="61">
        <v>1678565</v>
      </c>
      <c r="F842" s="61" t="s">
        <v>844</v>
      </c>
      <c r="G842" s="25">
        <f t="shared" si="13"/>
        <v>2.8135483172816889E-2</v>
      </c>
    </row>
    <row r="843" spans="1:7">
      <c r="A843" s="61">
        <v>92.41</v>
      </c>
      <c r="B843" s="61">
        <v>94.64</v>
      </c>
      <c r="C843" s="61">
        <v>92.23</v>
      </c>
      <c r="D843" s="61">
        <v>94.15</v>
      </c>
      <c r="E843" s="61">
        <v>1202018</v>
      </c>
      <c r="F843" s="61" t="s">
        <v>845</v>
      </c>
      <c r="G843" s="25">
        <f t="shared" si="13"/>
        <v>-1.8481147105682494E-2</v>
      </c>
    </row>
    <row r="844" spans="1:7">
      <c r="A844" s="61">
        <v>96.76</v>
      </c>
      <c r="B844" s="61">
        <v>98.62</v>
      </c>
      <c r="C844" s="61">
        <v>95.18</v>
      </c>
      <c r="D844" s="61">
        <v>95.72</v>
      </c>
      <c r="E844" s="61">
        <v>837289</v>
      </c>
      <c r="F844" s="61" t="s">
        <v>846</v>
      </c>
      <c r="G844" s="25">
        <f t="shared" si="13"/>
        <v>1.0865022983702621E-2</v>
      </c>
    </row>
    <row r="845" spans="1:7">
      <c r="A845" s="61">
        <v>95.47</v>
      </c>
      <c r="B845" s="61">
        <v>99.31</v>
      </c>
      <c r="C845" s="61">
        <v>93.27</v>
      </c>
      <c r="D845" s="61">
        <v>98.75</v>
      </c>
      <c r="E845" s="61">
        <v>1237127</v>
      </c>
      <c r="F845" s="61" t="s">
        <v>847</v>
      </c>
      <c r="G845" s="25">
        <f t="shared" si="13"/>
        <v>-3.3215189873417761E-2</v>
      </c>
    </row>
    <row r="846" spans="1:7">
      <c r="A846" s="61">
        <v>93.63</v>
      </c>
      <c r="B846" s="61">
        <v>95.5</v>
      </c>
      <c r="C846" s="61">
        <v>93.31</v>
      </c>
      <c r="D846" s="61">
        <v>95.5</v>
      </c>
      <c r="E846" s="61">
        <v>813757</v>
      </c>
      <c r="F846" s="61" t="s">
        <v>848</v>
      </c>
      <c r="G846" s="25">
        <f t="shared" si="13"/>
        <v>-1.9581151832460786E-2</v>
      </c>
    </row>
    <row r="847" spans="1:7">
      <c r="A847" s="61">
        <v>94.77</v>
      </c>
      <c r="B847" s="61">
        <v>97.51</v>
      </c>
      <c r="C847" s="61">
        <v>94.1</v>
      </c>
      <c r="D847" s="61">
        <v>95.53</v>
      </c>
      <c r="E847" s="61">
        <v>776041</v>
      </c>
      <c r="F847" s="61" t="s">
        <v>849</v>
      </c>
      <c r="G847" s="25">
        <f t="shared" si="13"/>
        <v>-7.9556160368471351E-3</v>
      </c>
    </row>
    <row r="848" spans="1:7">
      <c r="A848" s="61">
        <v>96.53</v>
      </c>
      <c r="B848" s="61">
        <v>99.48</v>
      </c>
      <c r="C848" s="61">
        <v>95.84</v>
      </c>
      <c r="D848" s="61">
        <v>98.53</v>
      </c>
      <c r="E848" s="61">
        <v>980907</v>
      </c>
      <c r="F848" s="61" t="s">
        <v>850</v>
      </c>
      <c r="G848" s="25">
        <f t="shared" si="13"/>
        <v>-2.0298386278290836E-2</v>
      </c>
    </row>
    <row r="849" spans="1:7">
      <c r="A849" s="61">
        <v>96.93</v>
      </c>
      <c r="B849" s="61">
        <v>98.28</v>
      </c>
      <c r="C849" s="61">
        <v>92.361000000000004</v>
      </c>
      <c r="D849" s="61">
        <v>93.8</v>
      </c>
      <c r="E849" s="61">
        <v>1338115</v>
      </c>
      <c r="F849" s="61" t="s">
        <v>851</v>
      </c>
      <c r="G849" s="25">
        <f t="shared" si="13"/>
        <v>3.3368869936034162E-2</v>
      </c>
    </row>
    <row r="850" spans="1:7">
      <c r="A850" s="61">
        <v>94.43</v>
      </c>
      <c r="B850" s="61">
        <v>99.78</v>
      </c>
      <c r="C850" s="61">
        <v>93.2</v>
      </c>
      <c r="D850" s="61">
        <v>98.88</v>
      </c>
      <c r="E850" s="61">
        <v>1919015</v>
      </c>
      <c r="F850" s="61" t="s">
        <v>852</v>
      </c>
      <c r="G850" s="25">
        <f t="shared" si="13"/>
        <v>-4.5004045307443286E-2</v>
      </c>
    </row>
    <row r="851" spans="1:7">
      <c r="A851" s="61">
        <v>98.09</v>
      </c>
      <c r="B851" s="61">
        <v>102.94</v>
      </c>
      <c r="C851" s="61">
        <v>97.02</v>
      </c>
      <c r="D851" s="61">
        <v>102.88</v>
      </c>
      <c r="E851" s="61">
        <v>1964322</v>
      </c>
      <c r="F851" s="61" t="s">
        <v>853</v>
      </c>
      <c r="G851" s="25">
        <f t="shared" si="13"/>
        <v>-4.6559097978226993E-2</v>
      </c>
    </row>
    <row r="852" spans="1:7">
      <c r="A852" s="61">
        <v>103.99</v>
      </c>
      <c r="B852" s="61">
        <v>104.23</v>
      </c>
      <c r="C852" s="61">
        <v>97.5</v>
      </c>
      <c r="D852" s="61">
        <v>98.17</v>
      </c>
      <c r="E852" s="61">
        <v>1683666</v>
      </c>
      <c r="F852" s="61" t="s">
        <v>854</v>
      </c>
      <c r="G852" s="25">
        <f t="shared" si="13"/>
        <v>5.9284913924824156E-2</v>
      </c>
    </row>
    <row r="853" spans="1:7">
      <c r="A853" s="61">
        <v>99.69</v>
      </c>
      <c r="B853" s="61">
        <v>103.8057</v>
      </c>
      <c r="C853" s="61">
        <v>98.59</v>
      </c>
      <c r="D853" s="61">
        <v>101.14</v>
      </c>
      <c r="E853" s="61">
        <v>1649721</v>
      </c>
      <c r="F853" s="61" t="s">
        <v>855</v>
      </c>
      <c r="G853" s="25">
        <f t="shared" si="13"/>
        <v>-1.433656317975085E-2</v>
      </c>
    </row>
    <row r="854" spans="1:7">
      <c r="A854" s="61">
        <v>101</v>
      </c>
      <c r="B854" s="61">
        <v>101.01</v>
      </c>
      <c r="C854" s="61">
        <v>96.73</v>
      </c>
      <c r="D854" s="61">
        <v>98.02</v>
      </c>
      <c r="E854" s="61">
        <v>1973024</v>
      </c>
      <c r="F854" s="61" t="s">
        <v>856</v>
      </c>
      <c r="G854" s="25">
        <f t="shared" si="13"/>
        <v>3.0401958783921712E-2</v>
      </c>
    </row>
    <row r="855" spans="1:7">
      <c r="A855" s="61">
        <v>97.68</v>
      </c>
      <c r="B855" s="61">
        <v>99.5</v>
      </c>
      <c r="C855" s="61">
        <v>93.96</v>
      </c>
      <c r="D855" s="61">
        <v>93.96</v>
      </c>
      <c r="E855" s="61">
        <v>1872882</v>
      </c>
      <c r="F855" s="61" t="s">
        <v>857</v>
      </c>
      <c r="G855" s="25">
        <f t="shared" si="13"/>
        <v>3.9591315453384457E-2</v>
      </c>
    </row>
    <row r="856" spans="1:7">
      <c r="A856" s="61">
        <v>93.84</v>
      </c>
      <c r="B856" s="61">
        <v>95.89</v>
      </c>
      <c r="C856" s="61">
        <v>93.14</v>
      </c>
      <c r="D856" s="61">
        <v>93.92</v>
      </c>
      <c r="E856" s="61">
        <v>1205067</v>
      </c>
      <c r="F856" s="61" t="s">
        <v>858</v>
      </c>
      <c r="G856" s="25">
        <f t="shared" si="13"/>
        <v>-8.5178875638836082E-4</v>
      </c>
    </row>
    <row r="857" spans="1:7">
      <c r="A857" s="61">
        <v>94.91</v>
      </c>
      <c r="B857" s="61">
        <v>96.8</v>
      </c>
      <c r="C857" s="61">
        <v>94.042500000000004</v>
      </c>
      <c r="D857" s="61">
        <v>95.9</v>
      </c>
      <c r="E857" s="61">
        <v>711737</v>
      </c>
      <c r="F857" s="61" t="s">
        <v>859</v>
      </c>
      <c r="G857" s="25">
        <f t="shared" si="13"/>
        <v>-1.0323253388946907E-2</v>
      </c>
    </row>
    <row r="858" spans="1:7">
      <c r="A858" s="61">
        <v>96.63</v>
      </c>
      <c r="B858" s="61">
        <v>97.87</v>
      </c>
      <c r="C858" s="61">
        <v>95.32</v>
      </c>
      <c r="D858" s="61">
        <v>96.13</v>
      </c>
      <c r="E858" s="61">
        <v>982550</v>
      </c>
      <c r="F858" s="61" t="s">
        <v>860</v>
      </c>
      <c r="G858" s="25">
        <f t="shared" si="13"/>
        <v>5.2012899199000984E-3</v>
      </c>
    </row>
    <row r="859" spans="1:7">
      <c r="A859" s="61">
        <v>96.13</v>
      </c>
      <c r="B859" s="61">
        <v>96.3</v>
      </c>
      <c r="C859" s="61">
        <v>90.76</v>
      </c>
      <c r="D859" s="61">
        <v>94.1</v>
      </c>
      <c r="E859" s="61">
        <v>1629982</v>
      </c>
      <c r="F859" s="61" t="s">
        <v>861</v>
      </c>
      <c r="G859" s="25">
        <f t="shared" si="13"/>
        <v>2.1572794899043624E-2</v>
      </c>
    </row>
    <row r="860" spans="1:7">
      <c r="A860" s="61">
        <v>92.57</v>
      </c>
      <c r="B860" s="61">
        <v>100.03</v>
      </c>
      <c r="C860" s="61">
        <v>91.29</v>
      </c>
      <c r="D860" s="61">
        <v>99.82</v>
      </c>
      <c r="E860" s="61">
        <v>2754965</v>
      </c>
      <c r="F860" s="61" t="s">
        <v>862</v>
      </c>
      <c r="G860" s="25">
        <f t="shared" si="13"/>
        <v>-7.263073532358244E-2</v>
      </c>
    </row>
    <row r="861" spans="1:7">
      <c r="A861" s="61">
        <v>101.42</v>
      </c>
      <c r="B861" s="61">
        <v>101.99</v>
      </c>
      <c r="C861" s="61">
        <v>98.11</v>
      </c>
      <c r="D861" s="61">
        <v>100.55</v>
      </c>
      <c r="E861" s="61">
        <v>2666590</v>
      </c>
      <c r="F861" s="61" t="s">
        <v>863</v>
      </c>
      <c r="G861" s="25">
        <f t="shared" si="13"/>
        <v>8.6524117354549457E-3</v>
      </c>
    </row>
    <row r="862" spans="1:7">
      <c r="A862" s="61">
        <v>98.31</v>
      </c>
      <c r="B862" s="61">
        <v>98.4</v>
      </c>
      <c r="C862" s="61">
        <v>94.25</v>
      </c>
      <c r="D862" s="61">
        <v>95.8</v>
      </c>
      <c r="E862" s="61">
        <v>1478408</v>
      </c>
      <c r="F862" s="61" t="s">
        <v>864</v>
      </c>
      <c r="G862" s="25">
        <f t="shared" si="13"/>
        <v>2.6200417536534459E-2</v>
      </c>
    </row>
    <row r="863" spans="1:7">
      <c r="A863" s="61">
        <v>97.28</v>
      </c>
      <c r="B863" s="61">
        <v>99.91</v>
      </c>
      <c r="C863" s="61">
        <v>94.07</v>
      </c>
      <c r="D863" s="61">
        <v>95.16</v>
      </c>
      <c r="E863" s="61">
        <v>2218797</v>
      </c>
      <c r="F863" s="61" t="s">
        <v>865</v>
      </c>
      <c r="G863" s="25">
        <f t="shared" si="13"/>
        <v>2.2278268179907634E-2</v>
      </c>
    </row>
    <row r="864" spans="1:7">
      <c r="A864" s="61">
        <v>96.66</v>
      </c>
      <c r="B864" s="61">
        <v>99.45</v>
      </c>
      <c r="C864" s="61">
        <v>92.28</v>
      </c>
      <c r="D864" s="61">
        <v>94.28</v>
      </c>
      <c r="E864" s="61">
        <v>2812301</v>
      </c>
      <c r="F864" s="61" t="s">
        <v>866</v>
      </c>
      <c r="G864" s="25">
        <f t="shared" si="13"/>
        <v>2.5243954179041017E-2</v>
      </c>
    </row>
    <row r="865" spans="1:7">
      <c r="A865" s="61">
        <v>90.89</v>
      </c>
      <c r="B865" s="61">
        <v>92.715000000000003</v>
      </c>
      <c r="C865" s="61">
        <v>89.06</v>
      </c>
      <c r="D865" s="61">
        <v>92.63</v>
      </c>
      <c r="E865" s="61">
        <v>1639797</v>
      </c>
      <c r="F865" s="61" t="s">
        <v>867</v>
      </c>
      <c r="G865" s="25">
        <f t="shared" si="13"/>
        <v>-1.8784411097916398E-2</v>
      </c>
    </row>
    <row r="866" spans="1:7">
      <c r="A866" s="61">
        <v>93.24</v>
      </c>
      <c r="B866" s="61">
        <v>98.7</v>
      </c>
      <c r="C866" s="61">
        <v>92.456000000000003</v>
      </c>
      <c r="D866" s="61">
        <v>93.36</v>
      </c>
      <c r="E866" s="61">
        <v>3325744</v>
      </c>
      <c r="F866" s="61" t="s">
        <v>868</v>
      </c>
      <c r="G866" s="25">
        <f t="shared" si="13"/>
        <v>-1.2853470437018677E-3</v>
      </c>
    </row>
    <row r="867" spans="1:7">
      <c r="A867" s="61">
        <v>92.36</v>
      </c>
      <c r="B867" s="61">
        <v>92.44</v>
      </c>
      <c r="C867" s="61">
        <v>85.680099999999996</v>
      </c>
      <c r="D867" s="61">
        <v>85.91</v>
      </c>
      <c r="E867" s="61">
        <v>2535502</v>
      </c>
      <c r="F867" s="61" t="s">
        <v>869</v>
      </c>
      <c r="G867" s="25">
        <f t="shared" si="13"/>
        <v>7.5078570597136629E-2</v>
      </c>
    </row>
    <row r="868" spans="1:7">
      <c r="A868" s="61">
        <v>81.13</v>
      </c>
      <c r="B868" s="61">
        <v>85.88</v>
      </c>
      <c r="C868" s="61">
        <v>80.8</v>
      </c>
      <c r="D868" s="61">
        <v>81.849999999999994</v>
      </c>
      <c r="E868" s="61">
        <v>1794153</v>
      </c>
      <c r="F868" s="61" t="s">
        <v>870</v>
      </c>
      <c r="G868" s="25">
        <f t="shared" si="13"/>
        <v>-8.7965791081245914E-3</v>
      </c>
    </row>
    <row r="869" spans="1:7">
      <c r="A869" s="61">
        <v>82.93</v>
      </c>
      <c r="B869" s="61">
        <v>84.314999999999998</v>
      </c>
      <c r="C869" s="61">
        <v>80.72</v>
      </c>
      <c r="D869" s="61">
        <v>81.17</v>
      </c>
      <c r="E869" s="61">
        <v>2182795</v>
      </c>
      <c r="F869" s="61" t="s">
        <v>871</v>
      </c>
      <c r="G869" s="25">
        <f t="shared" si="13"/>
        <v>2.1682887766416137E-2</v>
      </c>
    </row>
    <row r="870" spans="1:7">
      <c r="A870" s="61">
        <v>80.400000000000006</v>
      </c>
      <c r="B870" s="61">
        <v>86.97</v>
      </c>
      <c r="C870" s="61">
        <v>77.56</v>
      </c>
      <c r="D870" s="61">
        <v>86.69</v>
      </c>
      <c r="E870" s="61">
        <v>3195961</v>
      </c>
      <c r="F870" s="61" t="s">
        <v>872</v>
      </c>
      <c r="G870" s="25">
        <f t="shared" si="13"/>
        <v>-7.255738839543191E-2</v>
      </c>
    </row>
    <row r="871" spans="1:7">
      <c r="A871" s="61">
        <v>85.38</v>
      </c>
      <c r="B871" s="61">
        <v>85.427599999999998</v>
      </c>
      <c r="C871" s="61">
        <v>76.819999999999993</v>
      </c>
      <c r="D871" s="61">
        <v>78.81</v>
      </c>
      <c r="E871" s="61">
        <v>3825675</v>
      </c>
      <c r="F871" s="61" t="s">
        <v>873</v>
      </c>
      <c r="G871" s="25">
        <f t="shared" si="13"/>
        <v>8.3365055196040982E-2</v>
      </c>
    </row>
    <row r="872" spans="1:7">
      <c r="A872" s="61">
        <v>76.599999999999994</v>
      </c>
      <c r="B872" s="61">
        <v>78.48</v>
      </c>
      <c r="C872" s="61">
        <v>67.61</v>
      </c>
      <c r="D872" s="61">
        <v>70.09</v>
      </c>
      <c r="E872" s="61">
        <v>5122581</v>
      </c>
      <c r="F872" s="61" t="s">
        <v>874</v>
      </c>
      <c r="G872" s="25">
        <f t="shared" si="13"/>
        <v>9.2880582108717302E-2</v>
      </c>
    </row>
    <row r="873" spans="1:7">
      <c r="A873" s="61">
        <v>67.05</v>
      </c>
      <c r="B873" s="61">
        <v>71.489900000000006</v>
      </c>
      <c r="C873" s="61">
        <v>66.599999999999994</v>
      </c>
      <c r="D873" s="61">
        <v>71</v>
      </c>
      <c r="E873" s="61">
        <v>2901158</v>
      </c>
      <c r="F873" s="61" t="s">
        <v>875</v>
      </c>
      <c r="G873" s="25">
        <f t="shared" si="13"/>
        <v>-5.5633802816901445E-2</v>
      </c>
    </row>
    <row r="874" spans="1:7">
      <c r="A874" s="61">
        <v>71.680000000000007</v>
      </c>
      <c r="B874" s="61">
        <v>74.47</v>
      </c>
      <c r="C874" s="61">
        <v>70.44</v>
      </c>
      <c r="D874" s="61">
        <v>72.53</v>
      </c>
      <c r="E874" s="61">
        <v>1614124</v>
      </c>
      <c r="F874" s="61" t="s">
        <v>876</v>
      </c>
      <c r="G874" s="25">
        <f t="shared" si="13"/>
        <v>-1.1719288570246733E-2</v>
      </c>
    </row>
    <row r="875" spans="1:7">
      <c r="A875" s="61">
        <v>70.75</v>
      </c>
      <c r="B875" s="61">
        <v>72.2</v>
      </c>
      <c r="C875" s="61">
        <v>69.709999999999994</v>
      </c>
      <c r="D875" s="61">
        <v>70.86</v>
      </c>
      <c r="E875" s="61">
        <v>1660900</v>
      </c>
      <c r="F875" s="61" t="s">
        <v>877</v>
      </c>
      <c r="G875" s="25">
        <f t="shared" si="13"/>
        <v>-1.5523567598080268E-3</v>
      </c>
    </row>
    <row r="876" spans="1:7">
      <c r="A876" s="61">
        <v>71.81</v>
      </c>
      <c r="B876" s="61">
        <v>73.364999999999995</v>
      </c>
      <c r="C876" s="61">
        <v>68.56</v>
      </c>
      <c r="D876" s="61">
        <v>73.2</v>
      </c>
      <c r="E876" s="61">
        <v>2645112</v>
      </c>
      <c r="F876" s="61" t="s">
        <v>878</v>
      </c>
      <c r="G876" s="25">
        <f t="shared" si="13"/>
        <v>-1.8989071038251426E-2</v>
      </c>
    </row>
    <row r="877" spans="1:7">
      <c r="A877" s="61">
        <v>73.39</v>
      </c>
      <c r="B877" s="61">
        <v>78.650000000000006</v>
      </c>
      <c r="C877" s="61">
        <v>73.3</v>
      </c>
      <c r="D877" s="61">
        <v>77.91</v>
      </c>
      <c r="E877" s="61">
        <v>1833527</v>
      </c>
      <c r="F877" s="61" t="s">
        <v>879</v>
      </c>
      <c r="G877" s="25">
        <f t="shared" si="13"/>
        <v>-5.8015659093826111E-2</v>
      </c>
    </row>
    <row r="878" spans="1:7">
      <c r="A878" s="61">
        <v>76.709999999999994</v>
      </c>
      <c r="B878" s="61">
        <v>80.400000000000006</v>
      </c>
      <c r="C878" s="61">
        <v>76.400000000000006</v>
      </c>
      <c r="D878" s="61">
        <v>78</v>
      </c>
      <c r="E878" s="61">
        <v>1649624</v>
      </c>
      <c r="F878" s="61" t="s">
        <v>880</v>
      </c>
      <c r="G878" s="25">
        <f t="shared" si="13"/>
        <v>-1.6538461538461613E-2</v>
      </c>
    </row>
    <row r="879" spans="1:7">
      <c r="A879" s="61">
        <v>79.52</v>
      </c>
      <c r="B879" s="61">
        <v>80.72</v>
      </c>
      <c r="C879" s="61">
        <v>77.09</v>
      </c>
      <c r="D879" s="61">
        <v>77.09</v>
      </c>
      <c r="E879" s="61">
        <v>1541820</v>
      </c>
      <c r="F879" s="61" t="s">
        <v>881</v>
      </c>
      <c r="G879" s="25">
        <f t="shared" si="13"/>
        <v>3.1521598132053352E-2</v>
      </c>
    </row>
    <row r="880" spans="1:7">
      <c r="A880" s="61">
        <v>76.42</v>
      </c>
      <c r="B880" s="61">
        <v>78.34</v>
      </c>
      <c r="C880" s="61">
        <v>74.36</v>
      </c>
      <c r="D880" s="61">
        <v>78.03</v>
      </c>
      <c r="E880" s="61">
        <v>1360974</v>
      </c>
      <c r="F880" s="61" t="s">
        <v>882</v>
      </c>
      <c r="G880" s="25">
        <f t="shared" si="13"/>
        <v>-2.0633089837242102E-2</v>
      </c>
    </row>
    <row r="881" spans="1:7">
      <c r="A881" s="61">
        <v>77.709999999999994</v>
      </c>
      <c r="B881" s="61">
        <v>77.849999999999994</v>
      </c>
      <c r="C881" s="61">
        <v>72.959999999999994</v>
      </c>
      <c r="D881" s="61">
        <v>73.44</v>
      </c>
      <c r="E881" s="61">
        <v>1702013</v>
      </c>
      <c r="F881" s="61" t="s">
        <v>883</v>
      </c>
      <c r="G881" s="25">
        <f t="shared" si="13"/>
        <v>5.8142701525054408E-2</v>
      </c>
    </row>
    <row r="882" spans="1:7">
      <c r="A882" s="61">
        <v>73.3</v>
      </c>
      <c r="B882" s="61">
        <v>79.965000000000003</v>
      </c>
      <c r="C882" s="61">
        <v>73.260000000000005</v>
      </c>
      <c r="D882" s="61">
        <v>77.44</v>
      </c>
      <c r="E882" s="61">
        <v>1933276</v>
      </c>
      <c r="F882" s="61" t="s">
        <v>884</v>
      </c>
      <c r="G882" s="25">
        <f t="shared" si="13"/>
        <v>-5.3460743801652888E-2</v>
      </c>
    </row>
    <row r="883" spans="1:7">
      <c r="A883" s="61">
        <v>77.099999999999994</v>
      </c>
      <c r="B883" s="61">
        <v>78.616</v>
      </c>
      <c r="C883" s="61">
        <v>75.95</v>
      </c>
      <c r="D883" s="61">
        <v>77.930000000000007</v>
      </c>
      <c r="E883" s="61">
        <v>1534117</v>
      </c>
      <c r="F883" s="61" t="s">
        <v>885</v>
      </c>
      <c r="G883" s="25">
        <f t="shared" si="13"/>
        <v>-1.0650583857307994E-2</v>
      </c>
    </row>
    <row r="884" spans="1:7">
      <c r="A884" s="61">
        <v>79.930000000000007</v>
      </c>
      <c r="B884" s="61">
        <v>82.3</v>
      </c>
      <c r="C884" s="61">
        <v>79.28</v>
      </c>
      <c r="D884" s="61">
        <v>80.989999999999995</v>
      </c>
      <c r="E884" s="61">
        <v>1762360</v>
      </c>
      <c r="F884" s="61" t="s">
        <v>886</v>
      </c>
      <c r="G884" s="25">
        <f t="shared" si="13"/>
        <v>-1.3088035559945532E-2</v>
      </c>
    </row>
    <row r="885" spans="1:7">
      <c r="A885" s="61">
        <v>78.03</v>
      </c>
      <c r="B885" s="61">
        <v>80.254999999999995</v>
      </c>
      <c r="C885" s="61">
        <v>76.03</v>
      </c>
      <c r="D885" s="61">
        <v>79.48</v>
      </c>
      <c r="E885" s="61">
        <v>1305648</v>
      </c>
      <c r="F885" s="61" t="s">
        <v>887</v>
      </c>
      <c r="G885" s="25">
        <f t="shared" si="13"/>
        <v>-1.8243583291394083E-2</v>
      </c>
    </row>
    <row r="886" spans="1:7">
      <c r="A886" s="61">
        <v>77.510000000000005</v>
      </c>
      <c r="B886" s="61">
        <v>81.459999999999994</v>
      </c>
      <c r="C886" s="61">
        <v>77</v>
      </c>
      <c r="D886" s="61">
        <v>79.150000000000006</v>
      </c>
      <c r="E886" s="61">
        <v>1708670</v>
      </c>
      <c r="F886" s="61" t="s">
        <v>888</v>
      </c>
      <c r="G886" s="25">
        <f t="shared" si="13"/>
        <v>-2.0720151610865489E-2</v>
      </c>
    </row>
    <row r="887" spans="1:7">
      <c r="A887" s="61">
        <v>78.05</v>
      </c>
      <c r="B887" s="61">
        <v>79.73</v>
      </c>
      <c r="C887" s="61">
        <v>71.400000000000006</v>
      </c>
      <c r="D887" s="61">
        <v>73.37</v>
      </c>
      <c r="E887" s="61">
        <v>1593290</v>
      </c>
      <c r="F887" s="61" t="s">
        <v>889</v>
      </c>
      <c r="G887" s="25">
        <f t="shared" si="13"/>
        <v>6.3786288673844727E-2</v>
      </c>
    </row>
    <row r="888" spans="1:7">
      <c r="A888" s="61">
        <v>76.099999999999994</v>
      </c>
      <c r="B888" s="61">
        <v>76.67</v>
      </c>
      <c r="C888" s="61">
        <v>73.89</v>
      </c>
      <c r="D888" s="61">
        <v>76.11</v>
      </c>
      <c r="E888" s="61">
        <v>1085516</v>
      </c>
      <c r="F888" s="61" t="s">
        <v>890</v>
      </c>
      <c r="G888" s="25">
        <f t="shared" si="13"/>
        <v>-1.3138877939833371E-4</v>
      </c>
    </row>
    <row r="889" spans="1:7">
      <c r="A889" s="61">
        <v>76.260000000000005</v>
      </c>
      <c r="B889" s="61">
        <v>77.69</v>
      </c>
      <c r="C889" s="61">
        <v>72.180000000000007</v>
      </c>
      <c r="D889" s="61">
        <v>73.180000000000007</v>
      </c>
      <c r="E889" s="61">
        <v>1657647</v>
      </c>
      <c r="F889" s="61" t="s">
        <v>891</v>
      </c>
      <c r="G889" s="25">
        <f t="shared" si="13"/>
        <v>4.2088002186389639E-2</v>
      </c>
    </row>
    <row r="890" spans="1:7">
      <c r="A890" s="61">
        <v>73.67</v>
      </c>
      <c r="B890" s="61">
        <v>77</v>
      </c>
      <c r="C890" s="61">
        <v>72.16</v>
      </c>
      <c r="D890" s="61">
        <v>76.61</v>
      </c>
      <c r="E890" s="61">
        <v>1285991</v>
      </c>
      <c r="F890" s="61" t="s">
        <v>892</v>
      </c>
      <c r="G890" s="25">
        <f t="shared" si="13"/>
        <v>-3.8376191097767909E-2</v>
      </c>
    </row>
    <row r="891" spans="1:7">
      <c r="A891" s="61">
        <v>76.64</v>
      </c>
      <c r="B891" s="61">
        <v>77.11</v>
      </c>
      <c r="C891" s="61">
        <v>75.03</v>
      </c>
      <c r="D891" s="61">
        <v>76.069999999999993</v>
      </c>
      <c r="E891" s="61">
        <v>886491</v>
      </c>
      <c r="F891" s="61" t="s">
        <v>893</v>
      </c>
      <c r="G891" s="25">
        <f t="shared" si="13"/>
        <v>7.4930984619430152E-3</v>
      </c>
    </row>
    <row r="892" spans="1:7">
      <c r="A892" s="61">
        <v>78.599999999999994</v>
      </c>
      <c r="B892" s="61">
        <v>80.38</v>
      </c>
      <c r="C892" s="61">
        <v>77.749799999999993</v>
      </c>
      <c r="D892" s="61">
        <v>78.930000000000007</v>
      </c>
      <c r="E892" s="61">
        <v>1052152</v>
      </c>
      <c r="F892" s="61" t="s">
        <v>894</v>
      </c>
      <c r="G892" s="25">
        <f t="shared" ref="G892:G955" si="14">A892/D892-1</f>
        <v>-4.1809198023566863E-3</v>
      </c>
    </row>
    <row r="893" spans="1:7">
      <c r="A893" s="61">
        <v>79.23</v>
      </c>
      <c r="B893" s="61">
        <v>80.08</v>
      </c>
      <c r="C893" s="61">
        <v>75.849999999999994</v>
      </c>
      <c r="D893" s="61">
        <v>76.33</v>
      </c>
      <c r="E893" s="61">
        <v>1548497</v>
      </c>
      <c r="F893" s="61" t="s">
        <v>895</v>
      </c>
      <c r="G893" s="25">
        <f t="shared" si="14"/>
        <v>3.7992925455260229E-2</v>
      </c>
    </row>
    <row r="894" spans="1:7">
      <c r="A894" s="61">
        <v>77.48</v>
      </c>
      <c r="B894" s="61">
        <v>78.06</v>
      </c>
      <c r="C894" s="61">
        <v>75.180000000000007</v>
      </c>
      <c r="D894" s="61">
        <v>75.180000000000007</v>
      </c>
      <c r="E894" s="61">
        <v>2005907</v>
      </c>
      <c r="F894" s="61" t="s">
        <v>896</v>
      </c>
      <c r="G894" s="25">
        <f t="shared" si="14"/>
        <v>3.0593242883745653E-2</v>
      </c>
    </row>
    <row r="895" spans="1:7">
      <c r="A895" s="61">
        <v>72.36</v>
      </c>
      <c r="B895" s="61">
        <v>73.33</v>
      </c>
      <c r="C895" s="61">
        <v>69.36</v>
      </c>
      <c r="D895" s="61">
        <v>69.489999999999995</v>
      </c>
      <c r="E895" s="61">
        <v>1585623</v>
      </c>
      <c r="F895" s="61" t="s">
        <v>897</v>
      </c>
      <c r="G895" s="25">
        <f t="shared" si="14"/>
        <v>4.1300906605266974E-2</v>
      </c>
    </row>
    <row r="896" spans="1:7">
      <c r="A896" s="61">
        <v>68.66</v>
      </c>
      <c r="B896" s="61">
        <v>71.405000000000001</v>
      </c>
      <c r="C896" s="61">
        <v>65.25</v>
      </c>
      <c r="D896" s="61">
        <v>67.94</v>
      </c>
      <c r="E896" s="61">
        <v>1650529</v>
      </c>
      <c r="F896" s="61" t="s">
        <v>898</v>
      </c>
      <c r="G896" s="25">
        <f t="shared" si="14"/>
        <v>1.059758610538708E-2</v>
      </c>
    </row>
    <row r="897" spans="1:7">
      <c r="A897" s="61">
        <v>71.599999999999994</v>
      </c>
      <c r="B897" s="61">
        <v>71.647999999999996</v>
      </c>
      <c r="C897" s="61">
        <v>68.400000000000006</v>
      </c>
      <c r="D897" s="61">
        <v>70.459999999999994</v>
      </c>
      <c r="E897" s="61">
        <v>1077180</v>
      </c>
      <c r="F897" s="61" t="s">
        <v>899</v>
      </c>
      <c r="G897" s="25">
        <f t="shared" si="14"/>
        <v>1.617939256315637E-2</v>
      </c>
    </row>
    <row r="898" spans="1:7">
      <c r="A898" s="61">
        <v>72.239999999999995</v>
      </c>
      <c r="B898" s="61">
        <v>72.857900000000001</v>
      </c>
      <c r="C898" s="61">
        <v>68.8</v>
      </c>
      <c r="D898" s="61">
        <v>69.52</v>
      </c>
      <c r="E898" s="61">
        <v>1486820</v>
      </c>
      <c r="F898" s="61" t="s">
        <v>900</v>
      </c>
      <c r="G898" s="25">
        <f t="shared" si="14"/>
        <v>3.9125431530494748E-2</v>
      </c>
    </row>
    <row r="899" spans="1:7">
      <c r="A899" s="61">
        <v>68.95</v>
      </c>
      <c r="B899" s="61">
        <v>71.16</v>
      </c>
      <c r="C899" s="61">
        <v>67.48</v>
      </c>
      <c r="D899" s="61">
        <v>67.709999999999994</v>
      </c>
      <c r="E899" s="61">
        <v>1757068</v>
      </c>
      <c r="F899" s="61" t="s">
        <v>901</v>
      </c>
      <c r="G899" s="25">
        <f t="shared" si="14"/>
        <v>1.8313395362575813E-2</v>
      </c>
    </row>
    <row r="900" spans="1:7">
      <c r="A900" s="61">
        <v>65.599999999999994</v>
      </c>
      <c r="B900" s="61">
        <v>68.784999999999997</v>
      </c>
      <c r="C900" s="61">
        <v>65.5</v>
      </c>
      <c r="D900" s="61">
        <v>66.510000000000005</v>
      </c>
      <c r="E900" s="61">
        <v>1608328</v>
      </c>
      <c r="F900" s="61" t="s">
        <v>902</v>
      </c>
      <c r="G900" s="25">
        <f t="shared" si="14"/>
        <v>-1.3682153059690449E-2</v>
      </c>
    </row>
    <row r="901" spans="1:7">
      <c r="A901" s="61">
        <v>66.709999999999994</v>
      </c>
      <c r="B901" s="61">
        <v>68.45</v>
      </c>
      <c r="C901" s="61">
        <v>65.170100000000005</v>
      </c>
      <c r="D901" s="61">
        <v>66.885000000000005</v>
      </c>
      <c r="E901" s="61">
        <v>2020560</v>
      </c>
      <c r="F901" s="61" t="s">
        <v>903</v>
      </c>
      <c r="G901" s="25">
        <f t="shared" si="14"/>
        <v>-2.6164311878599245E-3</v>
      </c>
    </row>
    <row r="902" spans="1:7">
      <c r="A902" s="61">
        <v>68.78</v>
      </c>
      <c r="B902" s="61">
        <v>74.98</v>
      </c>
      <c r="C902" s="61">
        <v>68.739999999999995</v>
      </c>
      <c r="D902" s="61">
        <v>74.489999999999995</v>
      </c>
      <c r="E902" s="61">
        <v>1646061</v>
      </c>
      <c r="F902" s="61" t="s">
        <v>904</v>
      </c>
      <c r="G902" s="25">
        <f t="shared" si="14"/>
        <v>-7.6654584507987567E-2</v>
      </c>
    </row>
    <row r="903" spans="1:7">
      <c r="A903" s="61">
        <v>74.78</v>
      </c>
      <c r="B903" s="61">
        <v>78.91</v>
      </c>
      <c r="C903" s="61">
        <v>74.715000000000003</v>
      </c>
      <c r="D903" s="61">
        <v>77.95</v>
      </c>
      <c r="E903" s="61">
        <v>1044547</v>
      </c>
      <c r="F903" s="61" t="s">
        <v>905</v>
      </c>
      <c r="G903" s="25">
        <f t="shared" si="14"/>
        <v>-4.0667094291212291E-2</v>
      </c>
    </row>
    <row r="904" spans="1:7">
      <c r="A904" s="61">
        <v>77.290000000000006</v>
      </c>
      <c r="B904" s="61">
        <v>78.28</v>
      </c>
      <c r="C904" s="61">
        <v>76.3</v>
      </c>
      <c r="D904" s="61">
        <v>76.62</v>
      </c>
      <c r="E904" s="61">
        <v>871473</v>
      </c>
      <c r="F904" s="61" t="s">
        <v>906</v>
      </c>
      <c r="G904" s="25">
        <f t="shared" si="14"/>
        <v>8.7444531453928498E-3</v>
      </c>
    </row>
    <row r="905" spans="1:7">
      <c r="A905" s="61">
        <v>78.41</v>
      </c>
      <c r="B905" s="61">
        <v>78.849999999999994</v>
      </c>
      <c r="C905" s="61">
        <v>74.819999999999993</v>
      </c>
      <c r="D905" s="61">
        <v>74.819999999999993</v>
      </c>
      <c r="E905" s="61">
        <v>1452256</v>
      </c>
      <c r="F905" s="61" t="s">
        <v>907</v>
      </c>
      <c r="G905" s="25">
        <f t="shared" si="14"/>
        <v>4.798182304196752E-2</v>
      </c>
    </row>
    <row r="906" spans="1:7">
      <c r="A906" s="61">
        <v>76.150000000000006</v>
      </c>
      <c r="B906" s="61">
        <v>76.38</v>
      </c>
      <c r="C906" s="61">
        <v>74.75</v>
      </c>
      <c r="D906" s="61">
        <v>76.08</v>
      </c>
      <c r="E906" s="61">
        <v>1438271</v>
      </c>
      <c r="F906" s="61" t="s">
        <v>908</v>
      </c>
      <c r="G906" s="25">
        <f t="shared" si="14"/>
        <v>9.2008412197697176E-4</v>
      </c>
    </row>
    <row r="907" spans="1:7">
      <c r="A907" s="61">
        <v>77.41</v>
      </c>
      <c r="B907" s="61">
        <v>79.91</v>
      </c>
      <c r="C907" s="61">
        <v>75.825000000000003</v>
      </c>
      <c r="D907" s="61">
        <v>75.86</v>
      </c>
      <c r="E907" s="61">
        <v>1304627</v>
      </c>
      <c r="F907" s="61" t="s">
        <v>909</v>
      </c>
      <c r="G907" s="25">
        <f t="shared" si="14"/>
        <v>2.0432375428420801E-2</v>
      </c>
    </row>
    <row r="908" spans="1:7">
      <c r="A908" s="61">
        <v>76.42</v>
      </c>
      <c r="B908" s="61">
        <v>76.569999999999993</v>
      </c>
      <c r="C908" s="61">
        <v>72.88</v>
      </c>
      <c r="D908" s="61">
        <v>75.510000000000005</v>
      </c>
      <c r="E908" s="61">
        <v>1690479</v>
      </c>
      <c r="F908" s="61" t="s">
        <v>910</v>
      </c>
      <c r="G908" s="25">
        <f t="shared" si="14"/>
        <v>1.2051383922659253E-2</v>
      </c>
    </row>
    <row r="909" spans="1:7">
      <c r="A909" s="61">
        <v>75.39</v>
      </c>
      <c r="B909" s="61">
        <v>80.34</v>
      </c>
      <c r="C909" s="61">
        <v>74.86</v>
      </c>
      <c r="D909" s="61">
        <v>79.02</v>
      </c>
      <c r="E909" s="61">
        <v>1935674</v>
      </c>
      <c r="F909" s="61" t="s">
        <v>911</v>
      </c>
      <c r="G909" s="25">
        <f t="shared" si="14"/>
        <v>-4.5937737281700808E-2</v>
      </c>
    </row>
    <row r="910" spans="1:7">
      <c r="A910" s="61">
        <v>83.59</v>
      </c>
      <c r="B910" s="61">
        <v>83.64</v>
      </c>
      <c r="C910" s="61">
        <v>80.62</v>
      </c>
      <c r="D910" s="61">
        <v>80.98</v>
      </c>
      <c r="E910" s="61">
        <v>1434530</v>
      </c>
      <c r="F910" s="61" t="s">
        <v>912</v>
      </c>
      <c r="G910" s="25">
        <f t="shared" si="14"/>
        <v>3.2230180291429988E-2</v>
      </c>
    </row>
    <row r="911" spans="1:7">
      <c r="A911" s="61">
        <v>80.62</v>
      </c>
      <c r="B911" s="61">
        <v>81.430000000000007</v>
      </c>
      <c r="C911" s="61">
        <v>78.78</v>
      </c>
      <c r="D911" s="61">
        <v>79.48</v>
      </c>
      <c r="E911" s="61">
        <v>1338565</v>
      </c>
      <c r="F911" s="61" t="s">
        <v>913</v>
      </c>
      <c r="G911" s="25">
        <f t="shared" si="14"/>
        <v>1.4343231001509915E-2</v>
      </c>
    </row>
    <row r="912" spans="1:7">
      <c r="A912" s="61">
        <v>78.55</v>
      </c>
      <c r="B912" s="61">
        <v>78.58</v>
      </c>
      <c r="C912" s="61">
        <v>73.53</v>
      </c>
      <c r="D912" s="61">
        <v>74.875</v>
      </c>
      <c r="E912" s="61">
        <v>1074857</v>
      </c>
      <c r="F912" s="61" t="s">
        <v>914</v>
      </c>
      <c r="G912" s="25">
        <f t="shared" si="14"/>
        <v>4.9081803005008418E-2</v>
      </c>
    </row>
    <row r="913" spans="1:7">
      <c r="A913" s="61">
        <v>76.33</v>
      </c>
      <c r="B913" s="61">
        <v>76.680000000000007</v>
      </c>
      <c r="C913" s="61">
        <v>71.12</v>
      </c>
      <c r="D913" s="61">
        <v>71.47</v>
      </c>
      <c r="E913" s="61">
        <v>1130043</v>
      </c>
      <c r="F913" s="61" t="s">
        <v>915</v>
      </c>
      <c r="G913" s="25">
        <f t="shared" si="14"/>
        <v>6.8000559675388317E-2</v>
      </c>
    </row>
    <row r="914" spans="1:7">
      <c r="A914" s="61">
        <v>71.94</v>
      </c>
      <c r="B914" s="61">
        <v>72.540000000000006</v>
      </c>
      <c r="C914" s="61">
        <v>68.06</v>
      </c>
      <c r="D914" s="61">
        <v>71.25</v>
      </c>
      <c r="E914" s="61">
        <v>1356654</v>
      </c>
      <c r="F914" s="61" t="s">
        <v>916</v>
      </c>
      <c r="G914" s="25">
        <f t="shared" si="14"/>
        <v>9.6842105263157396E-3</v>
      </c>
    </row>
    <row r="915" spans="1:7">
      <c r="A915" s="61">
        <v>71</v>
      </c>
      <c r="B915" s="61">
        <v>74.010000000000005</v>
      </c>
      <c r="C915" s="61">
        <v>70.540000000000006</v>
      </c>
      <c r="D915" s="61">
        <v>73.650000000000006</v>
      </c>
      <c r="E915" s="61">
        <v>968425</v>
      </c>
      <c r="F915" s="61" t="s">
        <v>917</v>
      </c>
      <c r="G915" s="25">
        <f t="shared" si="14"/>
        <v>-3.5980991174473953E-2</v>
      </c>
    </row>
    <row r="916" spans="1:7">
      <c r="A916" s="61">
        <v>73.02</v>
      </c>
      <c r="B916" s="61">
        <v>73.72</v>
      </c>
      <c r="C916" s="61">
        <v>71.11</v>
      </c>
      <c r="D916" s="61">
        <v>72.17</v>
      </c>
      <c r="E916" s="61">
        <v>1188073</v>
      </c>
      <c r="F916" s="61" t="s">
        <v>918</v>
      </c>
      <c r="G916" s="25">
        <f t="shared" si="14"/>
        <v>1.1777746986282311E-2</v>
      </c>
    </row>
    <row r="917" spans="1:7">
      <c r="A917" s="61">
        <v>73.7</v>
      </c>
      <c r="B917" s="61">
        <v>74.599999999999994</v>
      </c>
      <c r="C917" s="61">
        <v>72.31</v>
      </c>
      <c r="D917" s="61">
        <v>74.19</v>
      </c>
      <c r="E917" s="61">
        <v>971101</v>
      </c>
      <c r="F917" s="61" t="s">
        <v>919</v>
      </c>
      <c r="G917" s="25">
        <f t="shared" si="14"/>
        <v>-6.6046637013074116E-3</v>
      </c>
    </row>
    <row r="918" spans="1:7">
      <c r="A918" s="61">
        <v>73.78</v>
      </c>
      <c r="B918" s="61">
        <v>76.599999999999994</v>
      </c>
      <c r="C918" s="61">
        <v>72.56</v>
      </c>
      <c r="D918" s="61">
        <v>75.92</v>
      </c>
      <c r="E918" s="61">
        <v>934044</v>
      </c>
      <c r="F918" s="61" t="s">
        <v>920</v>
      </c>
      <c r="G918" s="25">
        <f t="shared" si="14"/>
        <v>-2.818756585879878E-2</v>
      </c>
    </row>
    <row r="919" spans="1:7">
      <c r="A919" s="61">
        <v>74.86</v>
      </c>
      <c r="B919" s="61">
        <v>76.86</v>
      </c>
      <c r="C919" s="61">
        <v>74.510000000000005</v>
      </c>
      <c r="D919" s="61">
        <v>75.41</v>
      </c>
      <c r="E919" s="61">
        <v>931846</v>
      </c>
      <c r="F919" s="61" t="s">
        <v>921</v>
      </c>
      <c r="G919" s="25">
        <f t="shared" si="14"/>
        <v>-7.2934624055164265E-3</v>
      </c>
    </row>
    <row r="920" spans="1:7">
      <c r="A920" s="61">
        <v>77.11</v>
      </c>
      <c r="B920" s="61">
        <v>81.247299999999996</v>
      </c>
      <c r="C920" s="61">
        <v>76.83</v>
      </c>
      <c r="D920" s="61">
        <v>80.73</v>
      </c>
      <c r="E920" s="61">
        <v>1469958</v>
      </c>
      <c r="F920" s="61" t="s">
        <v>922</v>
      </c>
      <c r="G920" s="25">
        <f t="shared" si="14"/>
        <v>-4.4840827449523113E-2</v>
      </c>
    </row>
    <row r="921" spans="1:7">
      <c r="A921" s="61">
        <v>81.010000000000005</v>
      </c>
      <c r="B921" s="61">
        <v>81.02</v>
      </c>
      <c r="C921" s="61">
        <v>77.06</v>
      </c>
      <c r="D921" s="61">
        <v>77.180000000000007</v>
      </c>
      <c r="E921" s="61">
        <v>1465715</v>
      </c>
      <c r="F921" s="61" t="s">
        <v>923</v>
      </c>
      <c r="G921" s="25">
        <f t="shared" si="14"/>
        <v>4.9624254988339001E-2</v>
      </c>
    </row>
    <row r="922" spans="1:7">
      <c r="A922" s="61">
        <v>76.69</v>
      </c>
      <c r="B922" s="61">
        <v>78.599999999999994</v>
      </c>
      <c r="C922" s="61">
        <v>73.989999999999995</v>
      </c>
      <c r="D922" s="61">
        <v>74.180000000000007</v>
      </c>
      <c r="E922" s="61">
        <v>1559329</v>
      </c>
      <c r="F922" s="61" t="s">
        <v>924</v>
      </c>
      <c r="G922" s="25">
        <f t="shared" si="14"/>
        <v>3.383661364249102E-2</v>
      </c>
    </row>
    <row r="923" spans="1:7">
      <c r="A923" s="61">
        <v>73.930000000000007</v>
      </c>
      <c r="B923" s="61">
        <v>75.13</v>
      </c>
      <c r="C923" s="61">
        <v>72.819999999999993</v>
      </c>
      <c r="D923" s="61">
        <v>72.819999999999993</v>
      </c>
      <c r="E923" s="61">
        <v>988930</v>
      </c>
      <c r="F923" s="61" t="s">
        <v>925</v>
      </c>
      <c r="G923" s="25">
        <f t="shared" si="14"/>
        <v>1.5243065092007901E-2</v>
      </c>
    </row>
    <row r="924" spans="1:7">
      <c r="A924" s="61">
        <v>72.430000000000007</v>
      </c>
      <c r="B924" s="61">
        <v>74</v>
      </c>
      <c r="C924" s="61">
        <v>70.051000000000002</v>
      </c>
      <c r="D924" s="61">
        <v>70.98</v>
      </c>
      <c r="E924" s="61">
        <v>1209568</v>
      </c>
      <c r="F924" s="61" t="s">
        <v>926</v>
      </c>
      <c r="G924" s="25">
        <f t="shared" si="14"/>
        <v>2.0428289659058851E-2</v>
      </c>
    </row>
    <row r="925" spans="1:7">
      <c r="A925" s="61">
        <v>72.849999999999994</v>
      </c>
      <c r="B925" s="61">
        <v>76.010000000000005</v>
      </c>
      <c r="C925" s="61">
        <v>71.900000000000006</v>
      </c>
      <c r="D925" s="61">
        <v>75.424999999999997</v>
      </c>
      <c r="E925" s="61">
        <v>1796779</v>
      </c>
      <c r="F925" s="61" t="s">
        <v>927</v>
      </c>
      <c r="G925" s="25">
        <f t="shared" si="14"/>
        <v>-3.4139874047066643E-2</v>
      </c>
    </row>
    <row r="926" spans="1:7">
      <c r="A926" s="61">
        <v>76.92</v>
      </c>
      <c r="B926" s="61">
        <v>77.284999999999997</v>
      </c>
      <c r="C926" s="61">
        <v>75.38</v>
      </c>
      <c r="D926" s="61">
        <v>76.5</v>
      </c>
      <c r="E926" s="61">
        <v>1100377</v>
      </c>
      <c r="F926" s="61" t="s">
        <v>928</v>
      </c>
      <c r="G926" s="25">
        <f t="shared" si="14"/>
        <v>5.4901960784314863E-3</v>
      </c>
    </row>
    <row r="927" spans="1:7">
      <c r="A927" s="61">
        <v>76.75</v>
      </c>
      <c r="B927" s="61">
        <v>78.61</v>
      </c>
      <c r="C927" s="61">
        <v>75.790000000000006</v>
      </c>
      <c r="D927" s="61">
        <v>77.86</v>
      </c>
      <c r="E927" s="61">
        <v>1233247</v>
      </c>
      <c r="F927" s="61" t="s">
        <v>929</v>
      </c>
      <c r="G927" s="25">
        <f t="shared" si="14"/>
        <v>-1.4256357564859989E-2</v>
      </c>
    </row>
    <row r="928" spans="1:7">
      <c r="A928" s="61">
        <v>79.16</v>
      </c>
      <c r="B928" s="61">
        <v>80.59</v>
      </c>
      <c r="C928" s="61">
        <v>76.625</v>
      </c>
      <c r="D928" s="61">
        <v>78.69</v>
      </c>
      <c r="E928" s="61">
        <v>1304922</v>
      </c>
      <c r="F928" s="61" t="s">
        <v>930</v>
      </c>
      <c r="G928" s="25">
        <f t="shared" si="14"/>
        <v>5.9728046765790133E-3</v>
      </c>
    </row>
    <row r="929" spans="1:7">
      <c r="A929" s="61">
        <v>78.83</v>
      </c>
      <c r="B929" s="61">
        <v>79.63</v>
      </c>
      <c r="C929" s="61">
        <v>76.69</v>
      </c>
      <c r="D929" s="61">
        <v>77.38</v>
      </c>
      <c r="E929" s="61">
        <v>1378910</v>
      </c>
      <c r="F929" s="61" t="s">
        <v>931</v>
      </c>
      <c r="G929" s="25">
        <f t="shared" si="14"/>
        <v>1.8738692168519089E-2</v>
      </c>
    </row>
    <row r="930" spans="1:7">
      <c r="A930" s="61">
        <v>77.94</v>
      </c>
      <c r="B930" s="61">
        <v>78.185199999999995</v>
      </c>
      <c r="C930" s="61">
        <v>76.311199999999999</v>
      </c>
      <c r="D930" s="61">
        <v>77.7</v>
      </c>
      <c r="E930" s="61">
        <v>1030639</v>
      </c>
      <c r="F930" s="61" t="s">
        <v>932</v>
      </c>
      <c r="G930" s="25">
        <f t="shared" si="14"/>
        <v>3.0888030888029938E-3</v>
      </c>
    </row>
    <row r="931" spans="1:7">
      <c r="A931" s="61">
        <v>76.8</v>
      </c>
      <c r="B931" s="61">
        <v>79.3</v>
      </c>
      <c r="C931" s="61">
        <v>75.989999999999995</v>
      </c>
      <c r="D931" s="61">
        <v>77</v>
      </c>
      <c r="E931" s="61">
        <v>1731210</v>
      </c>
      <c r="F931" s="61" t="s">
        <v>933</v>
      </c>
      <c r="G931" s="25">
        <f t="shared" si="14"/>
        <v>-2.5974025974025983E-3</v>
      </c>
    </row>
    <row r="932" spans="1:7">
      <c r="A932" s="61">
        <v>75.569999999999993</v>
      </c>
      <c r="B932" s="61">
        <v>75.92</v>
      </c>
      <c r="C932" s="61">
        <v>73.34</v>
      </c>
      <c r="D932" s="61">
        <v>73.599999999999994</v>
      </c>
      <c r="E932" s="61">
        <v>1651748</v>
      </c>
      <c r="F932" s="61" t="s">
        <v>934</v>
      </c>
      <c r="G932" s="25">
        <f t="shared" si="14"/>
        <v>2.676630434782612E-2</v>
      </c>
    </row>
    <row r="933" spans="1:7">
      <c r="A933" s="61">
        <v>70.97</v>
      </c>
      <c r="B933" s="61">
        <v>73.248699999999999</v>
      </c>
      <c r="C933" s="61">
        <v>70.010000000000005</v>
      </c>
      <c r="D933" s="61">
        <v>72.7</v>
      </c>
      <c r="E933" s="61">
        <v>1617825</v>
      </c>
      <c r="F933" s="61" t="s">
        <v>935</v>
      </c>
      <c r="G933" s="25">
        <f t="shared" si="14"/>
        <v>-2.3796423658872135E-2</v>
      </c>
    </row>
    <row r="934" spans="1:7">
      <c r="A934" s="61">
        <v>74.14</v>
      </c>
      <c r="B934" s="61">
        <v>77.349999999999994</v>
      </c>
      <c r="C934" s="61">
        <v>73.39</v>
      </c>
      <c r="D934" s="61">
        <v>74</v>
      </c>
      <c r="E934" s="61">
        <v>2024254</v>
      </c>
      <c r="F934" s="61" t="s">
        <v>936</v>
      </c>
      <c r="G934" s="25">
        <f t="shared" si="14"/>
        <v>1.8918918918919836E-3</v>
      </c>
    </row>
    <row r="935" spans="1:7">
      <c r="A935" s="61">
        <v>73.61</v>
      </c>
      <c r="B935" s="61">
        <v>73.66</v>
      </c>
      <c r="C935" s="61">
        <v>67.250100000000003</v>
      </c>
      <c r="D935" s="61">
        <v>68.03</v>
      </c>
      <c r="E935" s="61">
        <v>3329476</v>
      </c>
      <c r="F935" s="61" t="s">
        <v>937</v>
      </c>
      <c r="G935" s="25">
        <f t="shared" si="14"/>
        <v>8.2022637071879956E-2</v>
      </c>
    </row>
    <row r="936" spans="1:7">
      <c r="A936" s="61">
        <v>69.08</v>
      </c>
      <c r="B936" s="61">
        <v>71.81</v>
      </c>
      <c r="C936" s="61">
        <v>66.010000000000005</v>
      </c>
      <c r="D936" s="61">
        <v>69.180000000000007</v>
      </c>
      <c r="E936" s="61">
        <v>6350899</v>
      </c>
      <c r="F936" s="61" t="s">
        <v>938</v>
      </c>
      <c r="G936" s="25">
        <f t="shared" si="14"/>
        <v>-1.4455044810640638E-3</v>
      </c>
    </row>
    <row r="937" spans="1:7">
      <c r="A937" s="61">
        <v>77.38</v>
      </c>
      <c r="B937" s="61">
        <v>77.739999999999995</v>
      </c>
      <c r="C937" s="61">
        <v>73.73</v>
      </c>
      <c r="D937" s="61">
        <v>73.73</v>
      </c>
      <c r="E937" s="61">
        <v>2100379</v>
      </c>
      <c r="F937" s="61" t="s">
        <v>939</v>
      </c>
      <c r="G937" s="25">
        <f t="shared" si="14"/>
        <v>4.9504950495049327E-2</v>
      </c>
    </row>
    <row r="938" spans="1:7">
      <c r="A938" s="61">
        <v>72.739999999999995</v>
      </c>
      <c r="B938" s="61">
        <v>73.709900000000005</v>
      </c>
      <c r="C938" s="61">
        <v>71.34</v>
      </c>
      <c r="D938" s="61">
        <v>72.090500000000006</v>
      </c>
      <c r="E938" s="61">
        <v>1578604</v>
      </c>
      <c r="F938" s="61" t="s">
        <v>940</v>
      </c>
      <c r="G938" s="25">
        <f t="shared" si="14"/>
        <v>9.0095088811978918E-3</v>
      </c>
    </row>
    <row r="939" spans="1:7">
      <c r="A939" s="61">
        <v>72.66</v>
      </c>
      <c r="B939" s="61">
        <v>74</v>
      </c>
      <c r="C939" s="61">
        <v>70.2</v>
      </c>
      <c r="D939" s="61">
        <v>71</v>
      </c>
      <c r="E939" s="61">
        <v>1760522</v>
      </c>
      <c r="F939" s="61" t="s">
        <v>941</v>
      </c>
      <c r="G939" s="25">
        <f t="shared" si="14"/>
        <v>2.3380281690140725E-2</v>
      </c>
    </row>
    <row r="940" spans="1:7">
      <c r="A940" s="61">
        <v>71.64</v>
      </c>
      <c r="B940" s="61">
        <v>72</v>
      </c>
      <c r="C940" s="61">
        <v>65.760000000000005</v>
      </c>
      <c r="D940" s="61">
        <v>67</v>
      </c>
      <c r="E940" s="61">
        <v>2747360</v>
      </c>
      <c r="F940" s="61" t="s">
        <v>942</v>
      </c>
      <c r="G940" s="25">
        <f t="shared" si="14"/>
        <v>6.9253731343283498E-2</v>
      </c>
    </row>
    <row r="941" spans="1:7">
      <c r="A941" s="61">
        <v>66.56</v>
      </c>
      <c r="B941" s="61">
        <v>66.900000000000006</v>
      </c>
      <c r="C941" s="61">
        <v>61.1</v>
      </c>
      <c r="D941" s="61">
        <v>61.86</v>
      </c>
      <c r="E941" s="61">
        <v>2635561</v>
      </c>
      <c r="F941" s="61" t="s">
        <v>943</v>
      </c>
      <c r="G941" s="25">
        <f t="shared" si="14"/>
        <v>7.5978014872292388E-2</v>
      </c>
    </row>
    <row r="942" spans="1:7">
      <c r="A942" s="61">
        <v>61.32</v>
      </c>
      <c r="B942" s="61">
        <v>61.55</v>
      </c>
      <c r="C942" s="61">
        <v>58.6</v>
      </c>
      <c r="D942" s="61">
        <v>59.75</v>
      </c>
      <c r="E942" s="61">
        <v>1431984</v>
      </c>
      <c r="F942" s="61" t="s">
        <v>944</v>
      </c>
      <c r="G942" s="25">
        <f t="shared" si="14"/>
        <v>2.6276150627615014E-2</v>
      </c>
    </row>
    <row r="943" spans="1:7">
      <c r="A943" s="61">
        <v>58.35</v>
      </c>
      <c r="B943" s="61">
        <v>60.06</v>
      </c>
      <c r="C943" s="61">
        <v>57.383899999999997</v>
      </c>
      <c r="D943" s="61">
        <v>59</v>
      </c>
      <c r="E943" s="61">
        <v>1360035</v>
      </c>
      <c r="F943" s="61" t="s">
        <v>945</v>
      </c>
      <c r="G943" s="25">
        <f t="shared" si="14"/>
        <v>-1.1016949152542366E-2</v>
      </c>
    </row>
    <row r="944" spans="1:7">
      <c r="A944" s="61">
        <v>60.88</v>
      </c>
      <c r="B944" s="61">
        <v>62.55</v>
      </c>
      <c r="C944" s="61">
        <v>60.25</v>
      </c>
      <c r="D944" s="61">
        <v>62.51</v>
      </c>
      <c r="E944" s="61">
        <v>1167679</v>
      </c>
      <c r="F944" s="61" t="s">
        <v>946</v>
      </c>
      <c r="G944" s="25">
        <f t="shared" si="14"/>
        <v>-2.6075827867541146E-2</v>
      </c>
    </row>
    <row r="945" spans="1:7">
      <c r="A945" s="61">
        <v>62.84</v>
      </c>
      <c r="B945" s="61">
        <v>65</v>
      </c>
      <c r="C945" s="61">
        <v>61.5</v>
      </c>
      <c r="D945" s="61">
        <v>63.82</v>
      </c>
      <c r="E945" s="61">
        <v>1458912</v>
      </c>
      <c r="F945" s="61" t="s">
        <v>947</v>
      </c>
      <c r="G945" s="25">
        <f t="shared" si="14"/>
        <v>-1.5355687872140367E-2</v>
      </c>
    </row>
    <row r="946" spans="1:7">
      <c r="A946" s="61">
        <v>63.89</v>
      </c>
      <c r="B946" s="61">
        <v>63.89</v>
      </c>
      <c r="C946" s="61">
        <v>61.14</v>
      </c>
      <c r="D946" s="61">
        <v>62.17</v>
      </c>
      <c r="E946" s="61">
        <v>2316109</v>
      </c>
      <c r="F946" s="61" t="s">
        <v>948</v>
      </c>
      <c r="G946" s="25">
        <f t="shared" si="14"/>
        <v>2.7666076885957791E-2</v>
      </c>
    </row>
    <row r="947" spans="1:7">
      <c r="A947" s="61">
        <v>62.61</v>
      </c>
      <c r="B947" s="61">
        <v>62.95</v>
      </c>
      <c r="C947" s="61">
        <v>57.08</v>
      </c>
      <c r="D947" s="61">
        <v>57.55</v>
      </c>
      <c r="E947" s="61">
        <v>2862248</v>
      </c>
      <c r="F947" s="61" t="s">
        <v>949</v>
      </c>
      <c r="G947" s="25">
        <f t="shared" si="14"/>
        <v>8.7923544743701232E-2</v>
      </c>
    </row>
    <row r="948" spans="1:7">
      <c r="A948" s="61">
        <v>58.02</v>
      </c>
      <c r="B948" s="61">
        <v>58.73</v>
      </c>
      <c r="C948" s="61">
        <v>54.765000000000001</v>
      </c>
      <c r="D948" s="61">
        <v>55.2</v>
      </c>
      <c r="E948" s="61">
        <v>1653517</v>
      </c>
      <c r="F948" s="61" t="s">
        <v>950</v>
      </c>
      <c r="G948" s="25">
        <f t="shared" si="14"/>
        <v>5.1086956521739113E-2</v>
      </c>
    </row>
    <row r="949" spans="1:7">
      <c r="A949" s="61">
        <v>54.99</v>
      </c>
      <c r="B949" s="61">
        <v>56.96</v>
      </c>
      <c r="C949" s="61">
        <v>54.634999999999998</v>
      </c>
      <c r="D949" s="61">
        <v>55.47</v>
      </c>
      <c r="E949" s="61">
        <v>1328386</v>
      </c>
      <c r="F949" s="61" t="s">
        <v>951</v>
      </c>
      <c r="G949" s="25">
        <f t="shared" si="14"/>
        <v>-8.6533261222281332E-3</v>
      </c>
    </row>
    <row r="950" spans="1:7">
      <c r="A950" s="61">
        <v>54.14</v>
      </c>
      <c r="B950" s="61">
        <v>54.5</v>
      </c>
      <c r="C950" s="61">
        <v>52.43</v>
      </c>
      <c r="D950" s="61">
        <v>53.99</v>
      </c>
      <c r="E950" s="61">
        <v>1153903</v>
      </c>
      <c r="F950" s="61" t="s">
        <v>952</v>
      </c>
      <c r="G950" s="25">
        <f t="shared" si="14"/>
        <v>2.778292276347516E-3</v>
      </c>
    </row>
    <row r="951" spans="1:7">
      <c r="A951" s="61">
        <v>52.85</v>
      </c>
      <c r="B951" s="61">
        <v>53.82</v>
      </c>
      <c r="C951" s="61">
        <v>51.884799999999998</v>
      </c>
      <c r="D951" s="61">
        <v>53.7</v>
      </c>
      <c r="E951" s="61">
        <v>1030837</v>
      </c>
      <c r="F951" s="61" t="s">
        <v>953</v>
      </c>
      <c r="G951" s="25">
        <f t="shared" si="14"/>
        <v>-1.5828677839851091E-2</v>
      </c>
    </row>
    <row r="952" spans="1:7">
      <c r="A952" s="61">
        <v>54.42</v>
      </c>
      <c r="B952" s="61">
        <v>55.372300000000003</v>
      </c>
      <c r="C952" s="61">
        <v>51.63</v>
      </c>
      <c r="D952" s="61">
        <v>52.66</v>
      </c>
      <c r="E952" s="61">
        <v>1118865</v>
      </c>
      <c r="F952" s="61" t="s">
        <v>954</v>
      </c>
      <c r="G952" s="25">
        <f t="shared" si="14"/>
        <v>3.3421952145841427E-2</v>
      </c>
    </row>
    <row r="953" spans="1:7">
      <c r="A953" s="61">
        <v>53.66</v>
      </c>
      <c r="B953" s="61">
        <v>56</v>
      </c>
      <c r="C953" s="61">
        <v>52.92</v>
      </c>
      <c r="D953" s="61">
        <v>54.38</v>
      </c>
      <c r="E953" s="61">
        <v>1269016</v>
      </c>
      <c r="F953" s="61" t="s">
        <v>955</v>
      </c>
      <c r="G953" s="25">
        <f t="shared" si="14"/>
        <v>-1.3240161824200181E-2</v>
      </c>
    </row>
    <row r="954" spans="1:7">
      <c r="A954" s="61">
        <v>54.54</v>
      </c>
      <c r="B954" s="61">
        <v>57.756500000000003</v>
      </c>
      <c r="C954" s="61">
        <v>54.37</v>
      </c>
      <c r="D954" s="61">
        <v>57.32</v>
      </c>
      <c r="E954" s="61">
        <v>1378003</v>
      </c>
      <c r="F954" s="61" t="s">
        <v>956</v>
      </c>
      <c r="G954" s="25">
        <f t="shared" si="14"/>
        <v>-4.8499651081646888E-2</v>
      </c>
    </row>
    <row r="955" spans="1:7">
      <c r="A955" s="61">
        <v>58.08</v>
      </c>
      <c r="B955" s="61">
        <v>58.55</v>
      </c>
      <c r="C955" s="61">
        <v>56.02</v>
      </c>
      <c r="D955" s="61">
        <v>57.41</v>
      </c>
      <c r="E955" s="61">
        <v>1459650</v>
      </c>
      <c r="F955" s="61" t="s">
        <v>957</v>
      </c>
      <c r="G955" s="25">
        <f t="shared" si="14"/>
        <v>1.1670440689775408E-2</v>
      </c>
    </row>
    <row r="956" spans="1:7">
      <c r="A956" s="61">
        <v>58.11</v>
      </c>
      <c r="B956" s="61">
        <v>58.229900000000001</v>
      </c>
      <c r="C956" s="61">
        <v>52.66</v>
      </c>
      <c r="D956" s="61">
        <v>53.03</v>
      </c>
      <c r="E956" s="61">
        <v>2790120</v>
      </c>
      <c r="F956" s="61" t="s">
        <v>958</v>
      </c>
      <c r="G956" s="25">
        <f t="shared" ref="G956:G1019" si="15">A956/D956-1</f>
        <v>9.5794833113332034E-2</v>
      </c>
    </row>
    <row r="957" spans="1:7">
      <c r="A957" s="61">
        <v>52.33</v>
      </c>
      <c r="B957" s="61">
        <v>54.39</v>
      </c>
      <c r="C957" s="61">
        <v>51.56</v>
      </c>
      <c r="D957" s="61">
        <v>53.06</v>
      </c>
      <c r="E957" s="61">
        <v>1677102</v>
      </c>
      <c r="F957" s="61" t="s">
        <v>959</v>
      </c>
      <c r="G957" s="25">
        <f t="shared" si="15"/>
        <v>-1.3758009800226234E-2</v>
      </c>
    </row>
    <row r="958" spans="1:7">
      <c r="A958" s="61">
        <v>53.81</v>
      </c>
      <c r="B958" s="61">
        <v>54.058799999999998</v>
      </c>
      <c r="C958" s="61">
        <v>47.88</v>
      </c>
      <c r="D958" s="61">
        <v>48.06</v>
      </c>
      <c r="E958" s="61">
        <v>2598082</v>
      </c>
      <c r="F958" s="61" t="s">
        <v>960</v>
      </c>
      <c r="G958" s="25">
        <f t="shared" si="15"/>
        <v>0.11964211402413638</v>
      </c>
    </row>
    <row r="959" spans="1:7">
      <c r="A959" s="61">
        <v>47.95</v>
      </c>
      <c r="B959" s="61">
        <v>48.81</v>
      </c>
      <c r="C959" s="61">
        <v>46.08</v>
      </c>
      <c r="D959" s="61">
        <v>48.31</v>
      </c>
      <c r="E959" s="61">
        <v>1275897</v>
      </c>
      <c r="F959" s="61" t="s">
        <v>961</v>
      </c>
      <c r="G959" s="25">
        <f t="shared" si="15"/>
        <v>-7.4518733181535568E-3</v>
      </c>
    </row>
    <row r="960" spans="1:7">
      <c r="A960" s="61">
        <v>48.67</v>
      </c>
      <c r="B960" s="61">
        <v>49.13</v>
      </c>
      <c r="C960" s="61">
        <v>46.37</v>
      </c>
      <c r="D960" s="61">
        <v>47.78</v>
      </c>
      <c r="E960" s="61">
        <v>1620565</v>
      </c>
      <c r="F960" s="61" t="s">
        <v>962</v>
      </c>
      <c r="G960" s="25">
        <f t="shared" si="15"/>
        <v>1.8627040602762657E-2</v>
      </c>
    </row>
    <row r="961" spans="1:7">
      <c r="A961" s="61">
        <v>48.53</v>
      </c>
      <c r="B961" s="61">
        <v>50.67</v>
      </c>
      <c r="C961" s="61">
        <v>47.66</v>
      </c>
      <c r="D961" s="61">
        <v>50.67</v>
      </c>
      <c r="E961" s="61">
        <v>1376608</v>
      </c>
      <c r="F961" s="61" t="s">
        <v>963</v>
      </c>
      <c r="G961" s="25">
        <f t="shared" si="15"/>
        <v>-4.2234063548450718E-2</v>
      </c>
    </row>
    <row r="962" spans="1:7">
      <c r="A962" s="61">
        <v>50.47</v>
      </c>
      <c r="B962" s="61">
        <v>54.93</v>
      </c>
      <c r="C962" s="61">
        <v>50.38</v>
      </c>
      <c r="D962" s="61">
        <v>52.98</v>
      </c>
      <c r="E962" s="61">
        <v>1354125</v>
      </c>
      <c r="F962" s="61" t="s">
        <v>964</v>
      </c>
      <c r="G962" s="25">
        <f t="shared" si="15"/>
        <v>-4.7376368440921079E-2</v>
      </c>
    </row>
    <row r="963" spans="1:7">
      <c r="A963" s="61">
        <v>52.88</v>
      </c>
      <c r="B963" s="61">
        <v>54.07</v>
      </c>
      <c r="C963" s="61">
        <v>51.77</v>
      </c>
      <c r="D963" s="61">
        <v>53.79</v>
      </c>
      <c r="E963" s="61">
        <v>1149906</v>
      </c>
      <c r="F963" s="61" t="s">
        <v>965</v>
      </c>
      <c r="G963" s="25">
        <f t="shared" si="15"/>
        <v>-1.6917642684513789E-2</v>
      </c>
    </row>
    <row r="964" spans="1:7">
      <c r="A964" s="61">
        <v>53.49</v>
      </c>
      <c r="B964" s="61">
        <v>53.51</v>
      </c>
      <c r="C964" s="61">
        <v>50</v>
      </c>
      <c r="D964" s="61">
        <v>50.25</v>
      </c>
      <c r="E964" s="61">
        <v>1642009</v>
      </c>
      <c r="F964" s="61" t="s">
        <v>966</v>
      </c>
      <c r="G964" s="25">
        <f t="shared" si="15"/>
        <v>6.4477611940298551E-2</v>
      </c>
    </row>
    <row r="965" spans="1:7">
      <c r="A965" s="61">
        <v>49.41</v>
      </c>
      <c r="B965" s="61">
        <v>49.47</v>
      </c>
      <c r="C965" s="61">
        <v>47.14</v>
      </c>
      <c r="D965" s="61">
        <v>48.16</v>
      </c>
      <c r="E965" s="61">
        <v>1406740</v>
      </c>
      <c r="F965" s="61" t="s">
        <v>967</v>
      </c>
      <c r="G965" s="25">
        <f t="shared" si="15"/>
        <v>2.5955149501661223E-2</v>
      </c>
    </row>
    <row r="966" spans="1:7">
      <c r="A966" s="61">
        <v>47.73</v>
      </c>
      <c r="B966" s="61">
        <v>48.8</v>
      </c>
      <c r="C966" s="61">
        <v>47.12</v>
      </c>
      <c r="D966" s="61">
        <v>47.55</v>
      </c>
      <c r="E966" s="61">
        <v>1039656</v>
      </c>
      <c r="F966" s="61" t="s">
        <v>968</v>
      </c>
      <c r="G966" s="25">
        <f t="shared" si="15"/>
        <v>3.7854889589905572E-3</v>
      </c>
    </row>
    <row r="967" spans="1:7">
      <c r="A967" s="61">
        <v>48.46</v>
      </c>
      <c r="B967" s="61">
        <v>49.27</v>
      </c>
      <c r="C967" s="61">
        <v>47.12</v>
      </c>
      <c r="D967" s="61">
        <v>48.52</v>
      </c>
      <c r="E967" s="61">
        <v>1529709</v>
      </c>
      <c r="F967" s="61" t="s">
        <v>969</v>
      </c>
      <c r="G967" s="25">
        <f t="shared" si="15"/>
        <v>-1.2366034624897715E-3</v>
      </c>
    </row>
    <row r="968" spans="1:7">
      <c r="A968" s="61">
        <v>47.21</v>
      </c>
      <c r="B968" s="61">
        <v>48.9</v>
      </c>
      <c r="C968" s="61">
        <v>47.08</v>
      </c>
      <c r="D968" s="61">
        <v>47.59</v>
      </c>
      <c r="E968" s="61">
        <v>2204018</v>
      </c>
      <c r="F968" s="61" t="s">
        <v>970</v>
      </c>
      <c r="G968" s="25">
        <f t="shared" si="15"/>
        <v>-7.9848707711704936E-3</v>
      </c>
    </row>
    <row r="969" spans="1:7">
      <c r="A969" s="61">
        <v>47.22</v>
      </c>
      <c r="B969" s="61">
        <v>50.42</v>
      </c>
      <c r="C969" s="61">
        <v>46.914999999999999</v>
      </c>
      <c r="D969" s="61">
        <v>50.18</v>
      </c>
      <c r="E969" s="61">
        <v>1696492</v>
      </c>
      <c r="F969" s="61" t="s">
        <v>971</v>
      </c>
      <c r="G969" s="25">
        <f t="shared" si="15"/>
        <v>-5.8987644479872481E-2</v>
      </c>
    </row>
    <row r="970" spans="1:7">
      <c r="A970" s="61">
        <v>52.25</v>
      </c>
      <c r="B970" s="61">
        <v>53.11</v>
      </c>
      <c r="C970" s="61">
        <v>50.43</v>
      </c>
      <c r="D970" s="61">
        <v>51.82</v>
      </c>
      <c r="E970" s="61">
        <v>1432593</v>
      </c>
      <c r="F970" s="61" t="s">
        <v>972</v>
      </c>
      <c r="G970" s="25">
        <f t="shared" si="15"/>
        <v>8.297954457738399E-3</v>
      </c>
    </row>
    <row r="971" spans="1:7">
      <c r="A971" s="61">
        <v>51.1</v>
      </c>
      <c r="B971" s="61">
        <v>51.734999999999999</v>
      </c>
      <c r="C971" s="61">
        <v>50.05</v>
      </c>
      <c r="D971" s="61">
        <v>50.05</v>
      </c>
      <c r="E971" s="61">
        <v>1313248</v>
      </c>
      <c r="F971" s="61" t="s">
        <v>973</v>
      </c>
      <c r="G971" s="25">
        <f t="shared" si="15"/>
        <v>2.0979020979021046E-2</v>
      </c>
    </row>
    <row r="972" spans="1:7">
      <c r="A972" s="61">
        <v>49.93</v>
      </c>
      <c r="B972" s="61">
        <v>52.96</v>
      </c>
      <c r="C972" s="61">
        <v>49.59</v>
      </c>
      <c r="D972" s="61">
        <v>51.155000000000001</v>
      </c>
      <c r="E972" s="61">
        <v>2044721</v>
      </c>
      <c r="F972" s="61" t="s">
        <v>974</v>
      </c>
      <c r="G972" s="25">
        <f t="shared" si="15"/>
        <v>-2.394682826703165E-2</v>
      </c>
    </row>
    <row r="973" spans="1:7">
      <c r="A973" s="61">
        <v>53.82</v>
      </c>
      <c r="B973" s="61">
        <v>56.768500000000003</v>
      </c>
      <c r="C973" s="61">
        <v>53.69</v>
      </c>
      <c r="D973" s="61">
        <v>55.98</v>
      </c>
      <c r="E973" s="61">
        <v>1412357</v>
      </c>
      <c r="F973" s="61" t="s">
        <v>975</v>
      </c>
      <c r="G973" s="25">
        <f t="shared" si="15"/>
        <v>-3.8585209003215382E-2</v>
      </c>
    </row>
    <row r="974" spans="1:7">
      <c r="A974" s="61">
        <v>57.56</v>
      </c>
      <c r="B974" s="61">
        <v>59.5</v>
      </c>
      <c r="C974" s="61">
        <v>57.212899999999998</v>
      </c>
      <c r="D974" s="61">
        <v>58.34</v>
      </c>
      <c r="E974" s="61">
        <v>1139751</v>
      </c>
      <c r="F974" s="61" t="s">
        <v>976</v>
      </c>
      <c r="G974" s="25">
        <f t="shared" si="15"/>
        <v>-1.3369900582790528E-2</v>
      </c>
    </row>
    <row r="975" spans="1:7">
      <c r="A975" s="61">
        <v>58.67</v>
      </c>
      <c r="B975" s="61">
        <v>60.949300000000001</v>
      </c>
      <c r="C975" s="61">
        <v>57.670099999999998</v>
      </c>
      <c r="D975" s="61">
        <v>60.09</v>
      </c>
      <c r="E975" s="61">
        <v>1641726</v>
      </c>
      <c r="F975" s="61" t="s">
        <v>977</v>
      </c>
      <c r="G975" s="25">
        <f t="shared" si="15"/>
        <v>-2.3631219836911299E-2</v>
      </c>
    </row>
    <row r="976" spans="1:7">
      <c r="A976" s="61">
        <v>60.64</v>
      </c>
      <c r="B976" s="61">
        <v>61.734999999999999</v>
      </c>
      <c r="C976" s="61">
        <v>58.865000000000002</v>
      </c>
      <c r="D976" s="61">
        <v>59.1</v>
      </c>
      <c r="E976" s="61">
        <v>1871845</v>
      </c>
      <c r="F976" s="61" t="s">
        <v>978</v>
      </c>
      <c r="G976" s="25">
        <f t="shared" si="15"/>
        <v>2.6057529610829189E-2</v>
      </c>
    </row>
    <row r="977" spans="1:7">
      <c r="A977" s="61">
        <v>60.6</v>
      </c>
      <c r="B977" s="61">
        <v>62.06</v>
      </c>
      <c r="C977" s="61">
        <v>60.08</v>
      </c>
      <c r="D977" s="61">
        <v>61.72</v>
      </c>
      <c r="E977" s="61">
        <v>1370119</v>
      </c>
      <c r="F977" s="61" t="s">
        <v>979</v>
      </c>
      <c r="G977" s="25">
        <f t="shared" si="15"/>
        <v>-1.8146467919637033E-2</v>
      </c>
    </row>
    <row r="978" spans="1:7">
      <c r="A978" s="61">
        <v>60.84</v>
      </c>
      <c r="B978" s="61">
        <v>61.465000000000003</v>
      </c>
      <c r="C978" s="61">
        <v>58.84</v>
      </c>
      <c r="D978" s="61">
        <v>60.2</v>
      </c>
      <c r="E978" s="61">
        <v>1492136</v>
      </c>
      <c r="F978" s="61" t="s">
        <v>980</v>
      </c>
      <c r="G978" s="25">
        <f t="shared" si="15"/>
        <v>1.0631229235880335E-2</v>
      </c>
    </row>
    <row r="979" spans="1:7">
      <c r="A979" s="61">
        <v>61.33</v>
      </c>
      <c r="B979" s="61">
        <v>61.33</v>
      </c>
      <c r="C979" s="61">
        <v>55.81</v>
      </c>
      <c r="D979" s="61">
        <v>55.81</v>
      </c>
      <c r="E979" s="61">
        <v>1952881</v>
      </c>
      <c r="F979" s="61" t="s">
        <v>981</v>
      </c>
      <c r="G979" s="25">
        <f t="shared" si="15"/>
        <v>9.8907005912918677E-2</v>
      </c>
    </row>
    <row r="980" spans="1:7">
      <c r="A980" s="61">
        <v>55.94</v>
      </c>
      <c r="B980" s="61">
        <v>57.4</v>
      </c>
      <c r="C980" s="61">
        <v>54.82</v>
      </c>
      <c r="D980" s="61">
        <v>56.71</v>
      </c>
      <c r="E980" s="61">
        <v>1826505</v>
      </c>
      <c r="F980" s="61" t="s">
        <v>982</v>
      </c>
      <c r="G980" s="25">
        <f t="shared" si="15"/>
        <v>-1.3577852230647225E-2</v>
      </c>
    </row>
    <row r="981" spans="1:7">
      <c r="A981" s="61">
        <v>55.76</v>
      </c>
      <c r="B981" s="61">
        <v>56.54</v>
      </c>
      <c r="C981" s="61">
        <v>54.41</v>
      </c>
      <c r="D981" s="61">
        <v>56.1</v>
      </c>
      <c r="E981" s="61">
        <v>1770190</v>
      </c>
      <c r="F981" s="61" t="s">
        <v>983</v>
      </c>
      <c r="G981" s="25">
        <f t="shared" si="15"/>
        <v>-6.0606060606060996E-3</v>
      </c>
    </row>
    <row r="982" spans="1:7">
      <c r="A982" s="61">
        <v>56.14</v>
      </c>
      <c r="B982" s="61">
        <v>56.14</v>
      </c>
      <c r="C982" s="61">
        <v>54.265000000000001</v>
      </c>
      <c r="D982" s="61">
        <v>54.5</v>
      </c>
      <c r="E982" s="61">
        <v>1606950</v>
      </c>
      <c r="F982" s="61" t="s">
        <v>984</v>
      </c>
      <c r="G982" s="25">
        <f t="shared" si="15"/>
        <v>3.009174311926599E-2</v>
      </c>
    </row>
    <row r="983" spans="1:7">
      <c r="A983" s="61">
        <v>53.28</v>
      </c>
      <c r="B983" s="61">
        <v>54.27</v>
      </c>
      <c r="C983" s="61">
        <v>51.07</v>
      </c>
      <c r="D983" s="61">
        <v>51.08</v>
      </c>
      <c r="E983" s="61">
        <v>1906386</v>
      </c>
      <c r="F983" s="61" t="s">
        <v>985</v>
      </c>
      <c r="G983" s="25">
        <f t="shared" si="15"/>
        <v>4.3069694596711061E-2</v>
      </c>
    </row>
    <row r="984" spans="1:7">
      <c r="A984" s="61">
        <v>50.76</v>
      </c>
      <c r="B984" s="61">
        <v>51.774999999999999</v>
      </c>
      <c r="C984" s="61">
        <v>47.33</v>
      </c>
      <c r="D984" s="61">
        <v>48.075000000000003</v>
      </c>
      <c r="E984" s="61">
        <v>1998506</v>
      </c>
      <c r="F984" s="61" t="s">
        <v>986</v>
      </c>
      <c r="G984" s="25">
        <f t="shared" si="15"/>
        <v>5.5850234009360289E-2</v>
      </c>
    </row>
    <row r="985" spans="1:7">
      <c r="A985" s="61">
        <v>48.73</v>
      </c>
      <c r="B985" s="61">
        <v>52.405000000000001</v>
      </c>
      <c r="C985" s="61">
        <v>48.07</v>
      </c>
      <c r="D985" s="61">
        <v>52.25</v>
      </c>
      <c r="E985" s="61">
        <v>1996128</v>
      </c>
      <c r="F985" s="61" t="s">
        <v>987</v>
      </c>
      <c r="G985" s="25">
        <f t="shared" si="15"/>
        <v>-6.7368421052631633E-2</v>
      </c>
    </row>
    <row r="986" spans="1:7">
      <c r="A986" s="61">
        <v>53.5</v>
      </c>
      <c r="B986" s="61">
        <v>54.999899999999997</v>
      </c>
      <c r="C986" s="61">
        <v>52.33</v>
      </c>
      <c r="D986" s="61">
        <v>54.15</v>
      </c>
      <c r="E986" s="61">
        <v>1163501</v>
      </c>
      <c r="F986" s="61" t="s">
        <v>988</v>
      </c>
      <c r="G986" s="25">
        <f t="shared" si="15"/>
        <v>-1.2003693444136654E-2</v>
      </c>
    </row>
    <row r="987" spans="1:7">
      <c r="A987" s="61">
        <v>54.01</v>
      </c>
      <c r="B987" s="61">
        <v>55.85</v>
      </c>
      <c r="C987" s="61">
        <v>51.54</v>
      </c>
      <c r="D987" s="61">
        <v>55.77</v>
      </c>
      <c r="E987" s="61">
        <v>2044498</v>
      </c>
      <c r="F987" s="61" t="s">
        <v>989</v>
      </c>
      <c r="G987" s="25">
        <f t="shared" si="15"/>
        <v>-3.1558185404339301E-2</v>
      </c>
    </row>
    <row r="988" spans="1:7">
      <c r="A988" s="61">
        <v>54.28</v>
      </c>
      <c r="B988" s="61">
        <v>55.5</v>
      </c>
      <c r="C988" s="61">
        <v>52.87</v>
      </c>
      <c r="D988" s="61">
        <v>54.2</v>
      </c>
      <c r="E988" s="61">
        <v>2060943</v>
      </c>
      <c r="F988" s="61" t="s">
        <v>990</v>
      </c>
      <c r="G988" s="25">
        <f t="shared" si="15"/>
        <v>1.4760147601475815E-3</v>
      </c>
    </row>
    <row r="989" spans="1:7">
      <c r="A989" s="61">
        <v>55.24</v>
      </c>
      <c r="B989" s="61">
        <v>59.37</v>
      </c>
      <c r="C989" s="61">
        <v>54.35</v>
      </c>
      <c r="D989" s="61">
        <v>56.32</v>
      </c>
      <c r="E989" s="61">
        <v>2242899</v>
      </c>
      <c r="F989" s="61" t="s">
        <v>991</v>
      </c>
      <c r="G989" s="25">
        <f t="shared" si="15"/>
        <v>-1.9176136363636354E-2</v>
      </c>
    </row>
    <row r="990" spans="1:7">
      <c r="A990" s="61">
        <v>57.22</v>
      </c>
      <c r="B990" s="61">
        <v>58.85</v>
      </c>
      <c r="C990" s="61">
        <v>55.11</v>
      </c>
      <c r="D990" s="61">
        <v>58.06</v>
      </c>
      <c r="E990" s="61">
        <v>1604059</v>
      </c>
      <c r="F990" s="61" t="s">
        <v>992</v>
      </c>
      <c r="G990" s="25">
        <f t="shared" si="15"/>
        <v>-1.4467791939373087E-2</v>
      </c>
    </row>
    <row r="991" spans="1:7">
      <c r="A991" s="61">
        <v>56.48</v>
      </c>
      <c r="B991" s="61">
        <v>58.523800000000001</v>
      </c>
      <c r="C991" s="61">
        <v>56.03</v>
      </c>
      <c r="D991" s="61">
        <v>57.545000000000002</v>
      </c>
      <c r="E991" s="61">
        <v>1393549</v>
      </c>
      <c r="F991" s="61" t="s">
        <v>993</v>
      </c>
      <c r="G991" s="25">
        <f t="shared" si="15"/>
        <v>-1.8507255191589245E-2</v>
      </c>
    </row>
    <row r="992" spans="1:7">
      <c r="A992" s="61">
        <v>58.34</v>
      </c>
      <c r="B992" s="61">
        <v>60.51</v>
      </c>
      <c r="C992" s="61">
        <v>57.2</v>
      </c>
      <c r="D992" s="61">
        <v>57.49</v>
      </c>
      <c r="E992" s="61">
        <v>2081740</v>
      </c>
      <c r="F992" s="61" t="s">
        <v>994</v>
      </c>
      <c r="G992" s="25">
        <f t="shared" si="15"/>
        <v>1.4785180031309908E-2</v>
      </c>
    </row>
    <row r="993" spans="1:7">
      <c r="A993" s="61">
        <v>56.05</v>
      </c>
      <c r="B993" s="61">
        <v>57.06</v>
      </c>
      <c r="C993" s="61">
        <v>51.44</v>
      </c>
      <c r="D993" s="61">
        <v>51.46</v>
      </c>
      <c r="E993" s="61">
        <v>2839389</v>
      </c>
      <c r="F993" s="61" t="s">
        <v>995</v>
      </c>
      <c r="G993" s="25">
        <f t="shared" si="15"/>
        <v>8.9195491643995206E-2</v>
      </c>
    </row>
    <row r="994" spans="1:7">
      <c r="A994" s="61">
        <v>52.35</v>
      </c>
      <c r="B994" s="61">
        <v>56.859900000000003</v>
      </c>
      <c r="C994" s="61">
        <v>52.24</v>
      </c>
      <c r="D994" s="61">
        <v>55.78</v>
      </c>
      <c r="E994" s="61">
        <v>2339229</v>
      </c>
      <c r="F994" s="61" t="s">
        <v>996</v>
      </c>
      <c r="G994" s="25">
        <f t="shared" si="15"/>
        <v>-6.1491574040874908E-2</v>
      </c>
    </row>
    <row r="995" spans="1:7">
      <c r="A995" s="61">
        <v>54.2</v>
      </c>
      <c r="B995" s="61">
        <v>56.81</v>
      </c>
      <c r="C995" s="61">
        <v>51.261800000000001</v>
      </c>
      <c r="D995" s="61">
        <v>56.8</v>
      </c>
      <c r="E995" s="61">
        <v>2840101</v>
      </c>
      <c r="F995" s="61" t="s">
        <v>997</v>
      </c>
      <c r="G995" s="25">
        <f t="shared" si="15"/>
        <v>-4.5774647887323883E-2</v>
      </c>
    </row>
    <row r="996" spans="1:7">
      <c r="A996" s="61">
        <v>54.22</v>
      </c>
      <c r="B996" s="61">
        <v>59.89</v>
      </c>
      <c r="C996" s="61">
        <v>54.055</v>
      </c>
      <c r="D996" s="61">
        <v>59.3</v>
      </c>
      <c r="E996" s="61">
        <v>3129544</v>
      </c>
      <c r="F996" s="61" t="s">
        <v>998</v>
      </c>
      <c r="G996" s="25">
        <f t="shared" si="15"/>
        <v>-8.5666104553119737E-2</v>
      </c>
    </row>
    <row r="997" spans="1:7">
      <c r="A997" s="61">
        <v>60.87</v>
      </c>
      <c r="B997" s="61">
        <v>65.599999999999994</v>
      </c>
      <c r="C997" s="61">
        <v>59.57</v>
      </c>
      <c r="D997" s="61">
        <v>65.02</v>
      </c>
      <c r="E997" s="61">
        <v>3169336</v>
      </c>
      <c r="F997" s="61" t="s">
        <v>999</v>
      </c>
      <c r="G997" s="25">
        <f t="shared" si="15"/>
        <v>-6.3826514918486565E-2</v>
      </c>
    </row>
    <row r="998" spans="1:7">
      <c r="A998" s="61">
        <v>65.63</v>
      </c>
      <c r="B998" s="61">
        <v>75.5</v>
      </c>
      <c r="C998" s="61">
        <v>64.810400000000001</v>
      </c>
      <c r="D998" s="61">
        <v>75</v>
      </c>
      <c r="E998" s="61">
        <v>4708214</v>
      </c>
      <c r="F998" s="61" t="s">
        <v>1000</v>
      </c>
      <c r="G998" s="25">
        <f t="shared" si="15"/>
        <v>-0.12493333333333334</v>
      </c>
    </row>
    <row r="999" spans="1:7">
      <c r="A999" s="61">
        <v>72.209999999999994</v>
      </c>
      <c r="B999" s="61">
        <v>72.400000000000006</v>
      </c>
      <c r="C999" s="61">
        <v>67.400000000000006</v>
      </c>
      <c r="D999" s="61">
        <v>70.86</v>
      </c>
      <c r="E999" s="61">
        <v>1914048</v>
      </c>
      <c r="F999" s="61" t="s">
        <v>1001</v>
      </c>
      <c r="G999" s="25">
        <f t="shared" si="15"/>
        <v>1.9051651143098924E-2</v>
      </c>
    </row>
    <row r="1000" spans="1:7">
      <c r="A1000" s="61">
        <v>70.44</v>
      </c>
      <c r="B1000" s="61">
        <v>71.03</v>
      </c>
      <c r="C1000" s="61">
        <v>68.41</v>
      </c>
      <c r="D1000" s="61">
        <v>70.5</v>
      </c>
      <c r="E1000" s="61">
        <v>1126616</v>
      </c>
      <c r="F1000" s="61" t="s">
        <v>1002</v>
      </c>
      <c r="G1000" s="25">
        <f t="shared" si="15"/>
        <v>-8.5106382978727968E-4</v>
      </c>
    </row>
    <row r="1001" spans="1:7">
      <c r="A1001" s="61">
        <v>70.959999999999994</v>
      </c>
      <c r="B1001" s="61">
        <v>71.099999999999994</v>
      </c>
      <c r="C1001" s="61">
        <v>65.989999999999995</v>
      </c>
      <c r="D1001" s="61">
        <v>66.75</v>
      </c>
      <c r="E1001" s="61">
        <v>1591694</v>
      </c>
      <c r="F1001" s="61" t="s">
        <v>1003</v>
      </c>
      <c r="G1001" s="25">
        <f t="shared" si="15"/>
        <v>6.3071161048689151E-2</v>
      </c>
    </row>
    <row r="1002" spans="1:7">
      <c r="A1002" s="61">
        <v>66.430000000000007</v>
      </c>
      <c r="B1002" s="61">
        <v>71.010000000000005</v>
      </c>
      <c r="C1002" s="61">
        <v>66.280100000000004</v>
      </c>
      <c r="D1002" s="61">
        <v>67.83</v>
      </c>
      <c r="E1002" s="61">
        <v>1373819</v>
      </c>
      <c r="F1002" s="61" t="s">
        <v>1004</v>
      </c>
      <c r="G1002" s="25">
        <f t="shared" si="15"/>
        <v>-2.0639834881320818E-2</v>
      </c>
    </row>
    <row r="1003" spans="1:7">
      <c r="A1003" s="61">
        <v>67.819999999999993</v>
      </c>
      <c r="B1003" s="61">
        <v>68.92</v>
      </c>
      <c r="C1003" s="61">
        <v>65.349999999999994</v>
      </c>
      <c r="D1003" s="61">
        <v>68.099999999999994</v>
      </c>
      <c r="E1003" s="61">
        <v>1549063</v>
      </c>
      <c r="F1003" s="61" t="s">
        <v>1005</v>
      </c>
      <c r="G1003" s="25">
        <f t="shared" si="15"/>
        <v>-4.1116005873714778E-3</v>
      </c>
    </row>
    <row r="1004" spans="1:7">
      <c r="A1004" s="61">
        <v>66.58</v>
      </c>
      <c r="B1004" s="61">
        <v>68.36</v>
      </c>
      <c r="C1004" s="61">
        <v>65.13</v>
      </c>
      <c r="D1004" s="61">
        <v>65.45</v>
      </c>
      <c r="E1004" s="61">
        <v>1487350</v>
      </c>
      <c r="F1004" s="61" t="s">
        <v>1006</v>
      </c>
      <c r="G1004" s="25">
        <f t="shared" si="15"/>
        <v>1.7265087853323147E-2</v>
      </c>
    </row>
    <row r="1005" spans="1:7">
      <c r="A1005" s="61">
        <v>65.02</v>
      </c>
      <c r="B1005" s="61">
        <v>68.819999999999993</v>
      </c>
      <c r="C1005" s="61">
        <v>64.7</v>
      </c>
      <c r="D1005" s="61">
        <v>68.75</v>
      </c>
      <c r="E1005" s="61">
        <v>1533119</v>
      </c>
      <c r="F1005" s="61" t="s">
        <v>1007</v>
      </c>
      <c r="G1005" s="25">
        <f t="shared" si="15"/>
        <v>-5.4254545454545555E-2</v>
      </c>
    </row>
    <row r="1006" spans="1:7">
      <c r="A1006" s="61">
        <v>69.400000000000006</v>
      </c>
      <c r="B1006" s="61">
        <v>69.8</v>
      </c>
      <c r="C1006" s="61">
        <v>66.8</v>
      </c>
      <c r="D1006" s="61">
        <v>69.704999999999998</v>
      </c>
      <c r="E1006" s="61">
        <v>1649575</v>
      </c>
      <c r="F1006" s="61" t="s">
        <v>1008</v>
      </c>
      <c r="G1006" s="25">
        <f t="shared" si="15"/>
        <v>-4.3755828132844288E-3</v>
      </c>
    </row>
    <row r="1007" spans="1:7">
      <c r="A1007" s="61">
        <v>71.180000000000007</v>
      </c>
      <c r="B1007" s="61">
        <v>74.010000000000005</v>
      </c>
      <c r="C1007" s="61">
        <v>70.67</v>
      </c>
      <c r="D1007" s="61">
        <v>73.510000000000005</v>
      </c>
      <c r="E1007" s="61">
        <v>1172362</v>
      </c>
      <c r="F1007" s="61" t="s">
        <v>1009</v>
      </c>
      <c r="G1007" s="25">
        <f t="shared" si="15"/>
        <v>-3.1696367841110074E-2</v>
      </c>
    </row>
    <row r="1008" spans="1:7">
      <c r="A1008" s="61">
        <v>74.16</v>
      </c>
      <c r="B1008" s="61">
        <v>79.510000000000005</v>
      </c>
      <c r="C1008" s="61">
        <v>73.421400000000006</v>
      </c>
      <c r="D1008" s="61">
        <v>78.53</v>
      </c>
      <c r="E1008" s="61">
        <v>1288079</v>
      </c>
      <c r="F1008" s="61" t="s">
        <v>1010</v>
      </c>
      <c r="G1008" s="25">
        <f t="shared" si="15"/>
        <v>-5.5647523239526375E-2</v>
      </c>
    </row>
    <row r="1009" spans="1:7">
      <c r="A1009" s="61">
        <v>76.319999999999993</v>
      </c>
      <c r="B1009" s="61">
        <v>78.729900000000001</v>
      </c>
      <c r="C1009" s="61">
        <v>76.260000000000005</v>
      </c>
      <c r="D1009" s="61">
        <v>78.3</v>
      </c>
      <c r="E1009" s="61">
        <v>1431818</v>
      </c>
      <c r="F1009" s="61" t="s">
        <v>1011</v>
      </c>
      <c r="G1009" s="25">
        <f t="shared" si="15"/>
        <v>-2.5287356321839094E-2</v>
      </c>
    </row>
    <row r="1010" spans="1:7">
      <c r="A1010" s="61">
        <v>77.7</v>
      </c>
      <c r="B1010" s="61">
        <v>78.5</v>
      </c>
      <c r="C1010" s="61">
        <v>72.965000000000003</v>
      </c>
      <c r="D1010" s="61">
        <v>73.33</v>
      </c>
      <c r="E1010" s="61">
        <v>1361783</v>
      </c>
      <c r="F1010" s="61" t="s">
        <v>1012</v>
      </c>
      <c r="G1010" s="25">
        <f t="shared" si="15"/>
        <v>5.9593617891722461E-2</v>
      </c>
    </row>
    <row r="1011" spans="1:7">
      <c r="A1011" s="61">
        <v>73</v>
      </c>
      <c r="B1011" s="61">
        <v>73.25</v>
      </c>
      <c r="C1011" s="61">
        <v>70.58</v>
      </c>
      <c r="D1011" s="61">
        <v>71.930000000000007</v>
      </c>
      <c r="E1011" s="61">
        <v>893057</v>
      </c>
      <c r="F1011" s="61" t="s">
        <v>1013</v>
      </c>
      <c r="G1011" s="25">
        <f t="shared" si="15"/>
        <v>1.4875573474210979E-2</v>
      </c>
    </row>
    <row r="1012" spans="1:7">
      <c r="A1012" s="61">
        <v>72.319999999999993</v>
      </c>
      <c r="B1012" s="61">
        <v>74.989999999999995</v>
      </c>
      <c r="C1012" s="61">
        <v>71.680000000000007</v>
      </c>
      <c r="D1012" s="61">
        <v>74.260000000000005</v>
      </c>
      <c r="E1012" s="61">
        <v>898046</v>
      </c>
      <c r="F1012" s="61" t="s">
        <v>1014</v>
      </c>
      <c r="G1012" s="25">
        <f t="shared" si="15"/>
        <v>-2.6124427686507024E-2</v>
      </c>
    </row>
    <row r="1013" spans="1:7">
      <c r="A1013" s="61">
        <v>73.97</v>
      </c>
      <c r="B1013" s="61">
        <v>74.56</v>
      </c>
      <c r="C1013" s="61">
        <v>71.47</v>
      </c>
      <c r="D1013" s="61">
        <v>71.680000000000007</v>
      </c>
      <c r="E1013" s="61">
        <v>1076826</v>
      </c>
      <c r="F1013" s="61" t="s">
        <v>1015</v>
      </c>
      <c r="G1013" s="25">
        <f t="shared" si="15"/>
        <v>3.1947544642856984E-2</v>
      </c>
    </row>
    <row r="1014" spans="1:7">
      <c r="A1014" s="61">
        <v>71.97</v>
      </c>
      <c r="B1014" s="61">
        <v>75.454999999999998</v>
      </c>
      <c r="C1014" s="61">
        <v>71.344999999999999</v>
      </c>
      <c r="D1014" s="61">
        <v>73.31</v>
      </c>
      <c r="E1014" s="61">
        <v>1279430</v>
      </c>
      <c r="F1014" s="61" t="s">
        <v>1016</v>
      </c>
      <c r="G1014" s="25">
        <f t="shared" si="15"/>
        <v>-1.8278543172827733E-2</v>
      </c>
    </row>
    <row r="1015" spans="1:7">
      <c r="A1015" s="61">
        <v>71.569999999999993</v>
      </c>
      <c r="B1015" s="61">
        <v>72.989999999999995</v>
      </c>
      <c r="C1015" s="61">
        <v>69.871200000000002</v>
      </c>
      <c r="D1015" s="61">
        <v>70.739999999999995</v>
      </c>
      <c r="E1015" s="61">
        <v>1203289</v>
      </c>
      <c r="F1015" s="61" t="s">
        <v>1017</v>
      </c>
      <c r="G1015" s="25">
        <f t="shared" si="15"/>
        <v>1.1733107152954503E-2</v>
      </c>
    </row>
    <row r="1016" spans="1:7">
      <c r="A1016" s="61">
        <v>71.88</v>
      </c>
      <c r="B1016" s="61">
        <v>73.540000000000006</v>
      </c>
      <c r="C1016" s="61">
        <v>69.97</v>
      </c>
      <c r="D1016" s="61">
        <v>72</v>
      </c>
      <c r="E1016" s="61">
        <v>1150509</v>
      </c>
      <c r="F1016" s="61" t="s">
        <v>1018</v>
      </c>
      <c r="G1016" s="25">
        <f t="shared" si="15"/>
        <v>-1.6666666666667052E-3</v>
      </c>
    </row>
    <row r="1017" spans="1:7">
      <c r="A1017" s="61">
        <v>72.180000000000007</v>
      </c>
      <c r="B1017" s="61">
        <v>72.8</v>
      </c>
      <c r="C1017" s="61">
        <v>68.914100000000005</v>
      </c>
      <c r="D1017" s="61">
        <v>70.055000000000007</v>
      </c>
      <c r="E1017" s="61">
        <v>1398651</v>
      </c>
      <c r="F1017" s="61" t="s">
        <v>1019</v>
      </c>
      <c r="G1017" s="25">
        <f t="shared" si="15"/>
        <v>3.033330954250224E-2</v>
      </c>
    </row>
    <row r="1018" spans="1:7">
      <c r="A1018" s="61">
        <v>70.150000000000006</v>
      </c>
      <c r="B1018" s="61">
        <v>72.02</v>
      </c>
      <c r="C1018" s="61">
        <v>69</v>
      </c>
      <c r="D1018" s="61">
        <v>71.875</v>
      </c>
      <c r="E1018" s="61">
        <v>1648165</v>
      </c>
      <c r="F1018" s="61" t="s">
        <v>1020</v>
      </c>
      <c r="G1018" s="25">
        <f t="shared" si="15"/>
        <v>-2.399999999999991E-2</v>
      </c>
    </row>
    <row r="1019" spans="1:7">
      <c r="A1019" s="61">
        <v>73.239999999999995</v>
      </c>
      <c r="B1019" s="61">
        <v>75.12</v>
      </c>
      <c r="C1019" s="61">
        <v>71.84</v>
      </c>
      <c r="D1019" s="61">
        <v>75.040000000000006</v>
      </c>
      <c r="E1019" s="61">
        <v>1635387</v>
      </c>
      <c r="F1019" s="61" t="s">
        <v>1021</v>
      </c>
      <c r="G1019" s="25">
        <f t="shared" si="15"/>
        <v>-2.3987206823027907E-2</v>
      </c>
    </row>
    <row r="1020" spans="1:7">
      <c r="A1020" s="61">
        <v>75.569999999999993</v>
      </c>
      <c r="B1020" s="61">
        <v>76.48</v>
      </c>
      <c r="C1020" s="61">
        <v>73.45</v>
      </c>
      <c r="D1020" s="61">
        <v>74.13</v>
      </c>
      <c r="E1020" s="61">
        <v>1366790</v>
      </c>
      <c r="F1020" s="61" t="s">
        <v>1022</v>
      </c>
      <c r="G1020" s="25">
        <f t="shared" ref="G1020:G1083" si="16">A1020/D1020-1</f>
        <v>1.9425333872925998E-2</v>
      </c>
    </row>
    <row r="1021" spans="1:7">
      <c r="A1021" s="61">
        <v>75.73</v>
      </c>
      <c r="B1021" s="61">
        <v>77.809899999999999</v>
      </c>
      <c r="C1021" s="61">
        <v>74.834999999999994</v>
      </c>
      <c r="D1021" s="61">
        <v>76.73</v>
      </c>
      <c r="E1021" s="61">
        <v>1287004</v>
      </c>
      <c r="F1021" s="61" t="s">
        <v>1023</v>
      </c>
      <c r="G1021" s="25">
        <f t="shared" si="16"/>
        <v>-1.3032712107389544E-2</v>
      </c>
    </row>
    <row r="1022" spans="1:7">
      <c r="A1022" s="61">
        <v>76.400000000000006</v>
      </c>
      <c r="B1022" s="61">
        <v>79.513300000000001</v>
      </c>
      <c r="C1022" s="61">
        <v>76.260000000000005</v>
      </c>
      <c r="D1022" s="61">
        <v>79.290000000000006</v>
      </c>
      <c r="E1022" s="61">
        <v>978701</v>
      </c>
      <c r="F1022" s="61" t="s">
        <v>1024</v>
      </c>
      <c r="G1022" s="25">
        <f t="shared" si="16"/>
        <v>-3.6448480262328165E-2</v>
      </c>
    </row>
    <row r="1023" spans="1:7">
      <c r="A1023" s="61">
        <v>79.56</v>
      </c>
      <c r="B1023" s="61">
        <v>82.84</v>
      </c>
      <c r="C1023" s="61">
        <v>78.73</v>
      </c>
      <c r="D1023" s="61">
        <v>82.8</v>
      </c>
      <c r="E1023" s="61">
        <v>1358863</v>
      </c>
      <c r="F1023" s="61" t="s">
        <v>1025</v>
      </c>
      <c r="G1023" s="25">
        <f t="shared" si="16"/>
        <v>-3.9130434782608581E-2</v>
      </c>
    </row>
    <row r="1024" spans="1:7">
      <c r="A1024" s="61">
        <v>83.38</v>
      </c>
      <c r="B1024" s="61">
        <v>84.17</v>
      </c>
      <c r="C1024" s="61">
        <v>80.239999999999995</v>
      </c>
      <c r="D1024" s="61">
        <v>80.83</v>
      </c>
      <c r="E1024" s="61">
        <v>1390022</v>
      </c>
      <c r="F1024" s="61" t="s">
        <v>1026</v>
      </c>
      <c r="G1024" s="25">
        <f t="shared" si="16"/>
        <v>3.154769268835822E-2</v>
      </c>
    </row>
    <row r="1025" spans="1:7">
      <c r="A1025" s="61">
        <v>79.180000000000007</v>
      </c>
      <c r="B1025" s="61">
        <v>79.290000000000006</v>
      </c>
      <c r="C1025" s="61">
        <v>75.62</v>
      </c>
      <c r="D1025" s="61">
        <v>78.27</v>
      </c>
      <c r="E1025" s="61">
        <v>1393946</v>
      </c>
      <c r="F1025" s="61" t="s">
        <v>1027</v>
      </c>
      <c r="G1025" s="25">
        <f t="shared" si="16"/>
        <v>1.1626421361952355E-2</v>
      </c>
    </row>
    <row r="1026" spans="1:7">
      <c r="A1026" s="61">
        <v>78.040000000000006</v>
      </c>
      <c r="B1026" s="61">
        <v>79.5</v>
      </c>
      <c r="C1026" s="61">
        <v>76.44</v>
      </c>
      <c r="D1026" s="61">
        <v>79.5</v>
      </c>
      <c r="E1026" s="61">
        <v>1300198</v>
      </c>
      <c r="F1026" s="61" t="s">
        <v>1028</v>
      </c>
      <c r="G1026" s="25">
        <f t="shared" si="16"/>
        <v>-1.836477987421381E-2</v>
      </c>
    </row>
    <row r="1027" spans="1:7">
      <c r="A1027" s="61">
        <v>79.2</v>
      </c>
      <c r="B1027" s="61">
        <v>80.12</v>
      </c>
      <c r="C1027" s="61">
        <v>77.81</v>
      </c>
      <c r="D1027" s="61">
        <v>79.569999999999993</v>
      </c>
      <c r="E1027" s="61">
        <v>1637227</v>
      </c>
      <c r="F1027" s="61" t="s">
        <v>1029</v>
      </c>
      <c r="G1027" s="25">
        <f t="shared" si="16"/>
        <v>-4.649993716224543E-3</v>
      </c>
    </row>
    <row r="1028" spans="1:7">
      <c r="A1028" s="61">
        <v>79.16</v>
      </c>
      <c r="B1028" s="61">
        <v>82.7</v>
      </c>
      <c r="C1028" s="61">
        <v>78.8</v>
      </c>
      <c r="D1028" s="61">
        <v>82.53</v>
      </c>
      <c r="E1028" s="61">
        <v>1483927</v>
      </c>
      <c r="F1028" s="61" t="s">
        <v>1030</v>
      </c>
      <c r="G1028" s="25">
        <f t="shared" si="16"/>
        <v>-4.0833636253483685E-2</v>
      </c>
    </row>
    <row r="1029" spans="1:7">
      <c r="A1029" s="61">
        <v>83.35</v>
      </c>
      <c r="B1029" s="61">
        <v>84.825000000000003</v>
      </c>
      <c r="C1029" s="61">
        <v>82.12</v>
      </c>
      <c r="D1029" s="61">
        <v>82.23</v>
      </c>
      <c r="E1029" s="61">
        <v>1353719</v>
      </c>
      <c r="F1029" s="61" t="s">
        <v>1031</v>
      </c>
      <c r="G1029" s="25">
        <f t="shared" si="16"/>
        <v>1.3620333211723068E-2</v>
      </c>
    </row>
    <row r="1030" spans="1:7">
      <c r="A1030" s="61">
        <v>81.45</v>
      </c>
      <c r="B1030" s="61">
        <v>83.78</v>
      </c>
      <c r="C1030" s="61">
        <v>79.790000000000006</v>
      </c>
      <c r="D1030" s="61">
        <v>83.78</v>
      </c>
      <c r="E1030" s="61">
        <v>1452145</v>
      </c>
      <c r="F1030" s="61" t="s">
        <v>1032</v>
      </c>
      <c r="G1030" s="25">
        <f t="shared" si="16"/>
        <v>-2.7810933396992144E-2</v>
      </c>
    </row>
    <row r="1031" spans="1:7">
      <c r="A1031" s="61">
        <v>83.12</v>
      </c>
      <c r="B1031" s="61">
        <v>83.54</v>
      </c>
      <c r="C1031" s="61">
        <v>78.75</v>
      </c>
      <c r="D1031" s="61">
        <v>79.42</v>
      </c>
      <c r="E1031" s="61">
        <v>2555017</v>
      </c>
      <c r="F1031" s="61" t="s">
        <v>1033</v>
      </c>
      <c r="G1031" s="25">
        <f t="shared" si="16"/>
        <v>4.6587761269201833E-2</v>
      </c>
    </row>
    <row r="1032" spans="1:7">
      <c r="A1032" s="61">
        <v>79.540000000000006</v>
      </c>
      <c r="B1032" s="61">
        <v>79.599999999999994</v>
      </c>
      <c r="C1032" s="61">
        <v>75.610699999999994</v>
      </c>
      <c r="D1032" s="61">
        <v>76.150000000000006</v>
      </c>
      <c r="E1032" s="61">
        <v>1489710</v>
      </c>
      <c r="F1032" s="61" t="s">
        <v>1034</v>
      </c>
      <c r="G1032" s="25">
        <f t="shared" si="16"/>
        <v>4.4517399868680307E-2</v>
      </c>
    </row>
    <row r="1033" spans="1:7">
      <c r="A1033" s="61">
        <v>77.44</v>
      </c>
      <c r="B1033" s="61">
        <v>78.75</v>
      </c>
      <c r="C1033" s="61">
        <v>74.03</v>
      </c>
      <c r="D1033" s="61">
        <v>74.680000000000007</v>
      </c>
      <c r="E1033" s="61">
        <v>2373913</v>
      </c>
      <c r="F1033" s="61" t="s">
        <v>1035</v>
      </c>
      <c r="G1033" s="25">
        <f t="shared" si="16"/>
        <v>3.6957686127477185E-2</v>
      </c>
    </row>
    <row r="1034" spans="1:7">
      <c r="A1034" s="61">
        <v>72.3</v>
      </c>
      <c r="B1034" s="61">
        <v>72.72</v>
      </c>
      <c r="C1034" s="61">
        <v>68.12</v>
      </c>
      <c r="D1034" s="61">
        <v>68.12</v>
      </c>
      <c r="E1034" s="61">
        <v>1492659</v>
      </c>
      <c r="F1034" s="61" t="s">
        <v>1036</v>
      </c>
      <c r="G1034" s="25">
        <f t="shared" si="16"/>
        <v>6.1362301820316878E-2</v>
      </c>
    </row>
    <row r="1035" spans="1:7">
      <c r="A1035" s="61">
        <v>67.569999999999993</v>
      </c>
      <c r="B1035" s="61">
        <v>71.25</v>
      </c>
      <c r="C1035" s="61">
        <v>66.5</v>
      </c>
      <c r="D1035" s="61">
        <v>70.62</v>
      </c>
      <c r="E1035" s="61">
        <v>1723175</v>
      </c>
      <c r="F1035" s="61" t="s">
        <v>1037</v>
      </c>
      <c r="G1035" s="25">
        <f t="shared" si="16"/>
        <v>-4.3188898329085457E-2</v>
      </c>
    </row>
    <row r="1036" spans="1:7">
      <c r="A1036" s="61">
        <v>70.14</v>
      </c>
      <c r="B1036" s="61">
        <v>74.14</v>
      </c>
      <c r="C1036" s="61">
        <v>69.95</v>
      </c>
      <c r="D1036" s="61">
        <v>73.94</v>
      </c>
      <c r="E1036" s="61">
        <v>1258125</v>
      </c>
      <c r="F1036" s="61" t="s">
        <v>1038</v>
      </c>
      <c r="G1036" s="25">
        <f t="shared" si="16"/>
        <v>-5.1393021368677294E-2</v>
      </c>
    </row>
    <row r="1037" spans="1:7">
      <c r="A1037" s="61">
        <v>73.150000000000006</v>
      </c>
      <c r="B1037" s="61">
        <v>73.599999999999994</v>
      </c>
      <c r="C1037" s="61">
        <v>70.739999999999995</v>
      </c>
      <c r="D1037" s="61">
        <v>71.25</v>
      </c>
      <c r="E1037" s="61">
        <v>1070881</v>
      </c>
      <c r="F1037" s="61" t="s">
        <v>1039</v>
      </c>
      <c r="G1037" s="25">
        <f t="shared" si="16"/>
        <v>2.6666666666666838E-2</v>
      </c>
    </row>
    <row r="1038" spans="1:7">
      <c r="A1038" s="61">
        <v>73.17</v>
      </c>
      <c r="B1038" s="61">
        <v>75.09</v>
      </c>
      <c r="C1038" s="61">
        <v>71.59</v>
      </c>
      <c r="D1038" s="61">
        <v>71.62</v>
      </c>
      <c r="E1038" s="61">
        <v>2393990</v>
      </c>
      <c r="F1038" s="61" t="s">
        <v>1040</v>
      </c>
      <c r="G1038" s="25">
        <f t="shared" si="16"/>
        <v>2.1641999441496695E-2</v>
      </c>
    </row>
    <row r="1039" spans="1:7">
      <c r="A1039" s="61">
        <v>69.03</v>
      </c>
      <c r="B1039" s="61">
        <v>72.12</v>
      </c>
      <c r="C1039" s="61">
        <v>67.03</v>
      </c>
      <c r="D1039" s="61">
        <v>67.97</v>
      </c>
      <c r="E1039" s="61">
        <v>2464957</v>
      </c>
      <c r="F1039" s="61" t="s">
        <v>1041</v>
      </c>
      <c r="G1039" s="25">
        <f t="shared" si="16"/>
        <v>1.5595115492128997E-2</v>
      </c>
    </row>
    <row r="1040" spans="1:7">
      <c r="A1040" s="61">
        <v>67.44</v>
      </c>
      <c r="B1040" s="61">
        <v>73.853999999999999</v>
      </c>
      <c r="C1040" s="61">
        <v>67.25</v>
      </c>
      <c r="D1040" s="61">
        <v>73.430000000000007</v>
      </c>
      <c r="E1040" s="61">
        <v>2404742</v>
      </c>
      <c r="F1040" s="61" t="s">
        <v>1042</v>
      </c>
      <c r="G1040" s="25">
        <f t="shared" si="16"/>
        <v>-8.1574288437968212E-2</v>
      </c>
    </row>
    <row r="1041" spans="1:7">
      <c r="A1041" s="61">
        <v>71.73</v>
      </c>
      <c r="B1041" s="61">
        <v>77.09</v>
      </c>
      <c r="C1041" s="61">
        <v>70.640100000000004</v>
      </c>
      <c r="D1041" s="61">
        <v>76.3</v>
      </c>
      <c r="E1041" s="61">
        <v>2115724</v>
      </c>
      <c r="F1041" s="61" t="s">
        <v>1043</v>
      </c>
      <c r="G1041" s="25">
        <f t="shared" si="16"/>
        <v>-5.989515072083873E-2</v>
      </c>
    </row>
    <row r="1042" spans="1:7">
      <c r="A1042" s="61">
        <v>77.03</v>
      </c>
      <c r="B1042" s="61">
        <v>83.219899999999996</v>
      </c>
      <c r="C1042" s="61">
        <v>76.180000000000007</v>
      </c>
      <c r="D1042" s="61">
        <v>82.66</v>
      </c>
      <c r="E1042" s="61">
        <v>2020350</v>
      </c>
      <c r="F1042" s="61" t="s">
        <v>1044</v>
      </c>
      <c r="G1042" s="25">
        <f t="shared" si="16"/>
        <v>-6.8110331478344999E-2</v>
      </c>
    </row>
    <row r="1043" spans="1:7">
      <c r="A1043" s="61">
        <v>82.67</v>
      </c>
      <c r="B1043" s="61">
        <v>83.94</v>
      </c>
      <c r="C1043" s="61">
        <v>80</v>
      </c>
      <c r="D1043" s="61">
        <v>80.73</v>
      </c>
      <c r="E1043" s="61">
        <v>1412368</v>
      </c>
      <c r="F1043" s="61" t="s">
        <v>1045</v>
      </c>
      <c r="G1043" s="25">
        <f t="shared" si="16"/>
        <v>2.4030719682893498E-2</v>
      </c>
    </row>
    <row r="1044" spans="1:7">
      <c r="A1044" s="61">
        <v>79.78</v>
      </c>
      <c r="B1044" s="61">
        <v>84.24</v>
      </c>
      <c r="C1044" s="61">
        <v>79.39</v>
      </c>
      <c r="D1044" s="61">
        <v>83.73</v>
      </c>
      <c r="E1044" s="61">
        <v>1543452</v>
      </c>
      <c r="F1044" s="61" t="s">
        <v>1046</v>
      </c>
      <c r="G1044" s="25">
        <f t="shared" si="16"/>
        <v>-4.7175444882360029E-2</v>
      </c>
    </row>
    <row r="1045" spans="1:7">
      <c r="A1045" s="61">
        <v>83.73</v>
      </c>
      <c r="B1045" s="61">
        <v>84.21</v>
      </c>
      <c r="C1045" s="61">
        <v>80.64</v>
      </c>
      <c r="D1045" s="61">
        <v>82.06</v>
      </c>
      <c r="E1045" s="61">
        <v>1801074</v>
      </c>
      <c r="F1045" s="61" t="s">
        <v>1047</v>
      </c>
      <c r="G1045" s="25">
        <f t="shared" si="16"/>
        <v>2.0350962710212084E-2</v>
      </c>
    </row>
    <row r="1046" spans="1:7">
      <c r="A1046" s="61">
        <v>83.62</v>
      </c>
      <c r="B1046" s="61">
        <v>84.44</v>
      </c>
      <c r="C1046" s="61">
        <v>80.81</v>
      </c>
      <c r="D1046" s="61">
        <v>83.14</v>
      </c>
      <c r="E1046" s="61">
        <v>1510129</v>
      </c>
      <c r="F1046" s="61" t="s">
        <v>1048</v>
      </c>
      <c r="G1046" s="25">
        <f t="shared" si="16"/>
        <v>5.7733942747173472E-3</v>
      </c>
    </row>
    <row r="1047" spans="1:7">
      <c r="A1047" s="61">
        <v>83.89</v>
      </c>
      <c r="B1047" s="61">
        <v>84.069800000000001</v>
      </c>
      <c r="C1047" s="61">
        <v>75.709000000000003</v>
      </c>
      <c r="D1047" s="61">
        <v>76.48</v>
      </c>
      <c r="E1047" s="61">
        <v>2096929</v>
      </c>
      <c r="F1047" s="61" t="s">
        <v>1049</v>
      </c>
      <c r="G1047" s="25">
        <f t="shared" si="16"/>
        <v>9.6888075313807498E-2</v>
      </c>
    </row>
    <row r="1048" spans="1:7">
      <c r="A1048" s="61">
        <v>79.78</v>
      </c>
      <c r="B1048" s="61">
        <v>83.06</v>
      </c>
      <c r="C1048" s="61">
        <v>79.44</v>
      </c>
      <c r="D1048" s="61">
        <v>82.25</v>
      </c>
      <c r="E1048" s="61">
        <v>1984870</v>
      </c>
      <c r="F1048" s="61" t="s">
        <v>1050</v>
      </c>
      <c r="G1048" s="25">
        <f t="shared" si="16"/>
        <v>-3.0030395136778076E-2</v>
      </c>
    </row>
    <row r="1049" spans="1:7">
      <c r="A1049" s="61">
        <v>81.19</v>
      </c>
      <c r="B1049" s="61">
        <v>83.66</v>
      </c>
      <c r="C1049" s="61">
        <v>78.150000000000006</v>
      </c>
      <c r="D1049" s="61">
        <v>78.489999999999995</v>
      </c>
      <c r="E1049" s="61">
        <v>2533699</v>
      </c>
      <c r="F1049" s="61" t="s">
        <v>1051</v>
      </c>
      <c r="G1049" s="25">
        <f t="shared" si="16"/>
        <v>3.4399286533316475E-2</v>
      </c>
    </row>
    <row r="1050" spans="1:7">
      <c r="A1050" s="61">
        <v>79.260000000000005</v>
      </c>
      <c r="B1050" s="61">
        <v>84.03</v>
      </c>
      <c r="C1050" s="61">
        <v>78.83</v>
      </c>
      <c r="D1050" s="61">
        <v>83.91</v>
      </c>
      <c r="E1050" s="61">
        <v>3415588</v>
      </c>
      <c r="F1050" s="61" t="s">
        <v>1052</v>
      </c>
      <c r="G1050" s="25">
        <f t="shared" si="16"/>
        <v>-5.5416517697532974E-2</v>
      </c>
    </row>
    <row r="1051" spans="1:7">
      <c r="A1051" s="61">
        <v>82.09</v>
      </c>
      <c r="B1051" s="61">
        <v>94.76</v>
      </c>
      <c r="C1051" s="61">
        <v>82.05</v>
      </c>
      <c r="D1051" s="61">
        <v>94.54</v>
      </c>
      <c r="E1051" s="61">
        <v>5147355</v>
      </c>
      <c r="F1051" s="61" t="s">
        <v>1053</v>
      </c>
      <c r="G1051" s="25">
        <f t="shared" si="16"/>
        <v>-0.131690289824413</v>
      </c>
    </row>
    <row r="1052" spans="1:7">
      <c r="A1052" s="61">
        <v>94.8</v>
      </c>
      <c r="B1052" s="61">
        <v>97.899900000000002</v>
      </c>
      <c r="C1052" s="61">
        <v>93.01</v>
      </c>
      <c r="D1052" s="61">
        <v>93.8</v>
      </c>
      <c r="E1052" s="61">
        <v>4126461</v>
      </c>
      <c r="F1052" s="61" t="s">
        <v>1054</v>
      </c>
      <c r="G1052" s="25">
        <f t="shared" si="16"/>
        <v>1.0660980810234477E-2</v>
      </c>
    </row>
    <row r="1053" spans="1:7">
      <c r="A1053" s="61">
        <v>101.23</v>
      </c>
      <c r="B1053" s="61">
        <v>102.01</v>
      </c>
      <c r="C1053" s="61">
        <v>99.08</v>
      </c>
      <c r="D1053" s="61">
        <v>100.3</v>
      </c>
      <c r="E1053" s="61">
        <v>1746140</v>
      </c>
      <c r="F1053" s="61" t="s">
        <v>1055</v>
      </c>
      <c r="G1053" s="25">
        <f t="shared" si="16"/>
        <v>9.2721834496511946E-3</v>
      </c>
    </row>
    <row r="1054" spans="1:7">
      <c r="A1054" s="61">
        <v>97.73</v>
      </c>
      <c r="B1054" s="61">
        <v>100.93</v>
      </c>
      <c r="C1054" s="61">
        <v>96.8001</v>
      </c>
      <c r="D1054" s="61">
        <v>99.18</v>
      </c>
      <c r="E1054" s="61">
        <v>1455611</v>
      </c>
      <c r="F1054" s="61" t="s">
        <v>1056</v>
      </c>
      <c r="G1054" s="25">
        <f t="shared" si="16"/>
        <v>-1.4619883040935755E-2</v>
      </c>
    </row>
    <row r="1055" spans="1:7">
      <c r="A1055" s="61">
        <v>98.2</v>
      </c>
      <c r="B1055" s="61">
        <v>105.7</v>
      </c>
      <c r="C1055" s="61">
        <v>96.55</v>
      </c>
      <c r="D1055" s="61">
        <v>104.78</v>
      </c>
      <c r="E1055" s="61">
        <v>2263513</v>
      </c>
      <c r="F1055" s="61" t="s">
        <v>1057</v>
      </c>
      <c r="G1055" s="25">
        <f t="shared" si="16"/>
        <v>-6.279824393968314E-2</v>
      </c>
    </row>
    <row r="1056" spans="1:7">
      <c r="A1056" s="61">
        <v>105.22</v>
      </c>
      <c r="B1056" s="61">
        <v>111.18</v>
      </c>
      <c r="C1056" s="61">
        <v>104.16</v>
      </c>
      <c r="D1056" s="61">
        <v>105.44</v>
      </c>
      <c r="E1056" s="61">
        <v>1599827</v>
      </c>
      <c r="F1056" s="61" t="s">
        <v>1058</v>
      </c>
      <c r="G1056" s="25">
        <f t="shared" si="16"/>
        <v>-2.0864946889226355E-3</v>
      </c>
    </row>
    <row r="1057" spans="1:7">
      <c r="A1057" s="61">
        <v>108.39</v>
      </c>
      <c r="B1057" s="61">
        <v>109.23</v>
      </c>
      <c r="C1057" s="61">
        <v>104.93</v>
      </c>
      <c r="D1057" s="61">
        <v>105.98</v>
      </c>
      <c r="E1057" s="61">
        <v>1816282</v>
      </c>
      <c r="F1057" s="61" t="s">
        <v>1059</v>
      </c>
      <c r="G1057" s="25">
        <f t="shared" si="16"/>
        <v>2.2740139648990354E-2</v>
      </c>
    </row>
    <row r="1058" spans="1:7">
      <c r="A1058" s="61">
        <v>103.28</v>
      </c>
      <c r="B1058" s="61">
        <v>103.6</v>
      </c>
      <c r="C1058" s="61">
        <v>98.65</v>
      </c>
      <c r="D1058" s="61">
        <v>100.2</v>
      </c>
      <c r="E1058" s="61">
        <v>814651</v>
      </c>
      <c r="F1058" s="61" t="s">
        <v>1060</v>
      </c>
      <c r="G1058" s="25">
        <f t="shared" si="16"/>
        <v>3.073852295409174E-2</v>
      </c>
    </row>
    <row r="1059" spans="1:7">
      <c r="A1059" s="61">
        <v>100.31</v>
      </c>
      <c r="B1059" s="61">
        <v>102.51009999999999</v>
      </c>
      <c r="C1059" s="61">
        <v>99.385000000000005</v>
      </c>
      <c r="D1059" s="61">
        <v>99.96</v>
      </c>
      <c r="E1059" s="61">
        <v>756549</v>
      </c>
      <c r="F1059" s="61" t="s">
        <v>1061</v>
      </c>
      <c r="G1059" s="25">
        <f t="shared" si="16"/>
        <v>3.5014005602240772E-3</v>
      </c>
    </row>
    <row r="1060" spans="1:7">
      <c r="A1060" s="61">
        <v>99.74</v>
      </c>
      <c r="B1060" s="61">
        <v>101.12</v>
      </c>
      <c r="C1060" s="61">
        <v>97.12</v>
      </c>
      <c r="D1060" s="61">
        <v>99.344999999999999</v>
      </c>
      <c r="E1060" s="61">
        <v>1232383</v>
      </c>
      <c r="F1060" s="61" t="s">
        <v>1062</v>
      </c>
      <c r="G1060" s="25">
        <f t="shared" si="16"/>
        <v>3.9760430821882409E-3</v>
      </c>
    </row>
    <row r="1061" spans="1:7">
      <c r="A1061" s="61">
        <v>98.83</v>
      </c>
      <c r="B1061" s="61">
        <v>102.94</v>
      </c>
      <c r="C1061" s="61">
        <v>98.37</v>
      </c>
      <c r="D1061" s="61">
        <v>100.25</v>
      </c>
      <c r="E1061" s="61">
        <v>1336439</v>
      </c>
      <c r="F1061" s="61" t="s">
        <v>1063</v>
      </c>
      <c r="G1061" s="25">
        <f t="shared" si="16"/>
        <v>-1.4164588528678301E-2</v>
      </c>
    </row>
    <row r="1062" spans="1:7">
      <c r="A1062" s="61">
        <v>103.61</v>
      </c>
      <c r="B1062" s="61">
        <v>106.4</v>
      </c>
      <c r="C1062" s="61">
        <v>101.51</v>
      </c>
      <c r="D1062" s="61">
        <v>106.36</v>
      </c>
      <c r="E1062" s="61">
        <v>1157090</v>
      </c>
      <c r="F1062" s="61" t="s">
        <v>1064</v>
      </c>
      <c r="G1062" s="25">
        <f t="shared" si="16"/>
        <v>-2.585558480631811E-2</v>
      </c>
    </row>
    <row r="1063" spans="1:7">
      <c r="A1063" s="61">
        <v>103.66</v>
      </c>
      <c r="B1063" s="61">
        <v>104.16</v>
      </c>
      <c r="C1063" s="61">
        <v>99.41</v>
      </c>
      <c r="D1063" s="61">
        <v>103.26</v>
      </c>
      <c r="E1063" s="61">
        <v>1314083</v>
      </c>
      <c r="F1063" s="61" t="s">
        <v>1065</v>
      </c>
      <c r="G1063" s="25">
        <f t="shared" si="16"/>
        <v>3.8737168312994452E-3</v>
      </c>
    </row>
    <row r="1064" spans="1:7">
      <c r="A1064" s="61">
        <v>102.62</v>
      </c>
      <c r="B1064" s="61">
        <v>102.9</v>
      </c>
      <c r="C1064" s="61">
        <v>96.47</v>
      </c>
      <c r="D1064" s="61">
        <v>96.57</v>
      </c>
      <c r="E1064" s="61">
        <v>1588632</v>
      </c>
      <c r="F1064" s="61" t="s">
        <v>1066</v>
      </c>
      <c r="G1064" s="25">
        <f t="shared" si="16"/>
        <v>6.2648855752304167E-2</v>
      </c>
    </row>
    <row r="1065" spans="1:7">
      <c r="A1065" s="61">
        <v>96.51</v>
      </c>
      <c r="B1065" s="61">
        <v>96.63</v>
      </c>
      <c r="C1065" s="61">
        <v>89.6</v>
      </c>
      <c r="D1065" s="61">
        <v>94.4</v>
      </c>
      <c r="E1065" s="61">
        <v>1647155</v>
      </c>
      <c r="F1065" s="61" t="s">
        <v>1067</v>
      </c>
      <c r="G1065" s="25">
        <f t="shared" si="16"/>
        <v>2.2351694915254239E-2</v>
      </c>
    </row>
    <row r="1066" spans="1:7">
      <c r="A1066" s="61">
        <v>93.78</v>
      </c>
      <c r="B1066" s="61">
        <v>98.91</v>
      </c>
      <c r="C1066" s="61">
        <v>92.864999999999995</v>
      </c>
      <c r="D1066" s="61">
        <v>97.5</v>
      </c>
      <c r="E1066" s="61">
        <v>1947865</v>
      </c>
      <c r="F1066" s="61" t="s">
        <v>1068</v>
      </c>
      <c r="G1066" s="25">
        <f t="shared" si="16"/>
        <v>-3.8153846153846094E-2</v>
      </c>
    </row>
    <row r="1067" spans="1:7">
      <c r="A1067" s="61">
        <v>94.78</v>
      </c>
      <c r="B1067" s="61">
        <v>104.71</v>
      </c>
      <c r="C1067" s="61">
        <v>93.99</v>
      </c>
      <c r="D1067" s="61">
        <v>104.38</v>
      </c>
      <c r="E1067" s="61">
        <v>2704516</v>
      </c>
      <c r="F1067" s="61" t="s">
        <v>1069</v>
      </c>
      <c r="G1067" s="25">
        <f t="shared" si="16"/>
        <v>-9.1971642077026239E-2</v>
      </c>
    </row>
    <row r="1068" spans="1:7">
      <c r="A1068" s="61">
        <v>101.39</v>
      </c>
      <c r="B1068" s="61">
        <v>103.54</v>
      </c>
      <c r="C1068" s="61">
        <v>100.01</v>
      </c>
      <c r="D1068" s="61">
        <v>103.01</v>
      </c>
      <c r="E1068" s="61">
        <v>2050029</v>
      </c>
      <c r="F1068" s="61" t="s">
        <v>1070</v>
      </c>
      <c r="G1068" s="25">
        <f t="shared" si="16"/>
        <v>-1.572662848267159E-2</v>
      </c>
    </row>
    <row r="1069" spans="1:7">
      <c r="A1069" s="61">
        <v>106.13</v>
      </c>
      <c r="B1069" s="61">
        <v>106.84</v>
      </c>
      <c r="C1069" s="61">
        <v>94.712500000000006</v>
      </c>
      <c r="D1069" s="61">
        <v>96.451400000000007</v>
      </c>
      <c r="E1069" s="61">
        <v>3092985</v>
      </c>
      <c r="F1069" s="61" t="s">
        <v>1071</v>
      </c>
      <c r="G1069" s="25">
        <f t="shared" si="16"/>
        <v>0.10034691046475208</v>
      </c>
    </row>
    <row r="1070" spans="1:7">
      <c r="A1070" s="61">
        <v>102.14</v>
      </c>
      <c r="B1070" s="61">
        <v>107.767</v>
      </c>
      <c r="C1070" s="61">
        <v>100.46</v>
      </c>
      <c r="D1070" s="61">
        <v>104.91</v>
      </c>
      <c r="E1070" s="61">
        <v>3366969</v>
      </c>
      <c r="F1070" s="61" t="s">
        <v>1072</v>
      </c>
      <c r="G1070" s="25">
        <f t="shared" si="16"/>
        <v>-2.6403584024401794E-2</v>
      </c>
    </row>
    <row r="1071" spans="1:7">
      <c r="A1071" s="61">
        <v>106.57</v>
      </c>
      <c r="B1071" s="61">
        <v>117.2277</v>
      </c>
      <c r="C1071" s="61">
        <v>106.35</v>
      </c>
      <c r="D1071" s="61">
        <v>115.36</v>
      </c>
      <c r="E1071" s="61">
        <v>2826696</v>
      </c>
      <c r="F1071" s="61" t="s">
        <v>1073</v>
      </c>
      <c r="G1071" s="25">
        <f t="shared" si="16"/>
        <v>-7.6196255201109619E-2</v>
      </c>
    </row>
    <row r="1072" spans="1:7">
      <c r="A1072" s="61">
        <v>113.52</v>
      </c>
      <c r="B1072" s="61">
        <v>121.5399</v>
      </c>
      <c r="C1072" s="61">
        <v>113.35</v>
      </c>
      <c r="D1072" s="61">
        <v>118.1</v>
      </c>
      <c r="E1072" s="61">
        <v>1642679</v>
      </c>
      <c r="F1072" s="61" t="s">
        <v>1074</v>
      </c>
      <c r="G1072" s="25">
        <f t="shared" si="16"/>
        <v>-3.8780694326841614E-2</v>
      </c>
    </row>
    <row r="1073" spans="1:7">
      <c r="A1073" s="61">
        <v>118.06</v>
      </c>
      <c r="B1073" s="61">
        <v>122.7</v>
      </c>
      <c r="C1073" s="61">
        <v>117.72</v>
      </c>
      <c r="D1073" s="61">
        <v>119</v>
      </c>
      <c r="E1073" s="61">
        <v>1643172</v>
      </c>
      <c r="F1073" s="61" t="s">
        <v>1075</v>
      </c>
      <c r="G1073" s="25">
        <f t="shared" si="16"/>
        <v>-7.8991596638655626E-3</v>
      </c>
    </row>
    <row r="1074" spans="1:7">
      <c r="A1074" s="61">
        <v>122.54</v>
      </c>
      <c r="B1074" s="61">
        <v>125.8115</v>
      </c>
      <c r="C1074" s="61">
        <v>118.21</v>
      </c>
      <c r="D1074" s="61">
        <v>124</v>
      </c>
      <c r="E1074" s="61">
        <v>2594333</v>
      </c>
      <c r="F1074" s="61" t="s">
        <v>1076</v>
      </c>
      <c r="G1074" s="25">
        <f t="shared" si="16"/>
        <v>-1.1774193548387046E-2</v>
      </c>
    </row>
    <row r="1075" spans="1:7">
      <c r="A1075" s="61">
        <v>125.87</v>
      </c>
      <c r="B1075" s="61">
        <v>136.44999999999999</v>
      </c>
      <c r="C1075" s="61">
        <v>125.21</v>
      </c>
      <c r="D1075" s="61">
        <v>136.05000000000001</v>
      </c>
      <c r="E1075" s="61">
        <v>2780277</v>
      </c>
      <c r="F1075" s="61" t="s">
        <v>1077</v>
      </c>
      <c r="G1075" s="25">
        <f t="shared" si="16"/>
        <v>-7.482543182653445E-2</v>
      </c>
    </row>
    <row r="1076" spans="1:7">
      <c r="A1076" s="61">
        <v>134.91</v>
      </c>
      <c r="B1076" s="61">
        <v>136.81</v>
      </c>
      <c r="C1076" s="61">
        <v>130.49199999999999</v>
      </c>
      <c r="D1076" s="61">
        <v>131.72</v>
      </c>
      <c r="E1076" s="61">
        <v>4529089</v>
      </c>
      <c r="F1076" s="61" t="s">
        <v>1078</v>
      </c>
      <c r="G1076" s="25">
        <f t="shared" si="16"/>
        <v>2.4218038262981967E-2</v>
      </c>
    </row>
    <row r="1077" spans="1:7">
      <c r="A1077" s="61">
        <v>126.27</v>
      </c>
      <c r="B1077" s="61">
        <v>126.375</v>
      </c>
      <c r="C1077" s="61">
        <v>120.5</v>
      </c>
      <c r="D1077" s="61">
        <v>124.02</v>
      </c>
      <c r="E1077" s="61">
        <v>1708661</v>
      </c>
      <c r="F1077" s="61" t="s">
        <v>1079</v>
      </c>
      <c r="G1077" s="25">
        <f t="shared" si="16"/>
        <v>1.8142235123367101E-2</v>
      </c>
    </row>
    <row r="1078" spans="1:7">
      <c r="A1078" s="61">
        <v>122.6</v>
      </c>
      <c r="B1078" s="61">
        <v>124.3541</v>
      </c>
      <c r="C1078" s="61">
        <v>115.58</v>
      </c>
      <c r="D1078" s="61">
        <v>124.265</v>
      </c>
      <c r="E1078" s="61">
        <v>3207720</v>
      </c>
      <c r="F1078" s="61" t="s">
        <v>1080</v>
      </c>
      <c r="G1078" s="25">
        <f t="shared" si="16"/>
        <v>-1.3398784854947166E-2</v>
      </c>
    </row>
    <row r="1079" spans="1:7">
      <c r="A1079" s="61">
        <v>125.7</v>
      </c>
      <c r="B1079" s="61">
        <v>132.72999999999999</v>
      </c>
      <c r="C1079" s="61">
        <v>124.34</v>
      </c>
      <c r="D1079" s="61">
        <v>128.22</v>
      </c>
      <c r="E1079" s="61">
        <v>1994590</v>
      </c>
      <c r="F1079" s="61" t="s">
        <v>1081</v>
      </c>
      <c r="G1079" s="25">
        <f t="shared" si="16"/>
        <v>-1.9653720168460453E-2</v>
      </c>
    </row>
    <row r="1080" spans="1:7">
      <c r="A1080" s="61">
        <v>128.68</v>
      </c>
      <c r="B1080" s="61">
        <v>130.83000000000001</v>
      </c>
      <c r="C1080" s="61">
        <v>122.02</v>
      </c>
      <c r="D1080" s="61">
        <v>125.01</v>
      </c>
      <c r="E1080" s="61">
        <v>1893035</v>
      </c>
      <c r="F1080" s="61" t="s">
        <v>1082</v>
      </c>
      <c r="G1080" s="25">
        <f t="shared" si="16"/>
        <v>2.9357651387889039E-2</v>
      </c>
    </row>
    <row r="1081" spans="1:7">
      <c r="A1081" s="61">
        <v>125.57</v>
      </c>
      <c r="B1081" s="61">
        <v>134</v>
      </c>
      <c r="C1081" s="61">
        <v>125.02</v>
      </c>
      <c r="D1081" s="61">
        <v>131.63</v>
      </c>
      <c r="E1081" s="61">
        <v>1729847</v>
      </c>
      <c r="F1081" s="61" t="s">
        <v>1083</v>
      </c>
      <c r="G1081" s="25">
        <f t="shared" si="16"/>
        <v>-4.6038137202765395E-2</v>
      </c>
    </row>
    <row r="1082" spans="1:7">
      <c r="A1082" s="61">
        <v>132.13</v>
      </c>
      <c r="B1082" s="61">
        <v>135.66999999999999</v>
      </c>
      <c r="C1082" s="61">
        <v>129.08000000000001</v>
      </c>
      <c r="D1082" s="61">
        <v>133.07</v>
      </c>
      <c r="E1082" s="61">
        <v>1362859</v>
      </c>
      <c r="F1082" s="61" t="s">
        <v>1084</v>
      </c>
      <c r="G1082" s="25">
        <f t="shared" si="16"/>
        <v>-7.063951303825089E-3</v>
      </c>
    </row>
    <row r="1083" spans="1:7">
      <c r="A1083" s="61">
        <v>132.11000000000001</v>
      </c>
      <c r="B1083" s="61">
        <v>132.19</v>
      </c>
      <c r="C1083" s="61">
        <v>127.08</v>
      </c>
      <c r="D1083" s="61">
        <v>128.69999999999999</v>
      </c>
      <c r="E1083" s="61">
        <v>1381434</v>
      </c>
      <c r="F1083" s="61" t="s">
        <v>1085</v>
      </c>
      <c r="G1083" s="25">
        <f t="shared" si="16"/>
        <v>2.6495726495726624E-2</v>
      </c>
    </row>
    <row r="1084" spans="1:7">
      <c r="A1084" s="61">
        <v>128.22</v>
      </c>
      <c r="B1084" s="61">
        <v>128.74</v>
      </c>
      <c r="C1084" s="61">
        <v>126.37</v>
      </c>
      <c r="D1084" s="61">
        <v>128.16999999999999</v>
      </c>
      <c r="E1084" s="61">
        <v>1057367</v>
      </c>
      <c r="F1084" s="61" t="s">
        <v>1086</v>
      </c>
      <c r="G1084" s="25">
        <f t="shared" ref="G1084:G1147" si="17">A1084/D1084-1</f>
        <v>3.9010688928775572E-4</v>
      </c>
    </row>
    <row r="1085" spans="1:7">
      <c r="A1085" s="61">
        <v>128.37</v>
      </c>
      <c r="B1085" s="61">
        <v>130.97999999999999</v>
      </c>
      <c r="C1085" s="61">
        <v>127.95</v>
      </c>
      <c r="D1085" s="61">
        <v>130.47999999999999</v>
      </c>
      <c r="E1085" s="61">
        <v>1401822</v>
      </c>
      <c r="F1085" s="61" t="s">
        <v>1087</v>
      </c>
      <c r="G1085" s="25">
        <f t="shared" si="17"/>
        <v>-1.6171060698957573E-2</v>
      </c>
    </row>
    <row r="1086" spans="1:7">
      <c r="A1086" s="61">
        <v>129.94999999999999</v>
      </c>
      <c r="B1086" s="61">
        <v>131.5532</v>
      </c>
      <c r="C1086" s="61">
        <v>126.57</v>
      </c>
      <c r="D1086" s="61">
        <v>128.03</v>
      </c>
      <c r="E1086" s="61">
        <v>1275660</v>
      </c>
      <c r="F1086" s="61" t="s">
        <v>1088</v>
      </c>
      <c r="G1086" s="25">
        <f t="shared" si="17"/>
        <v>1.4996485198781384E-2</v>
      </c>
    </row>
    <row r="1087" spans="1:7">
      <c r="A1087" s="61">
        <v>127.35</v>
      </c>
      <c r="B1087" s="61">
        <v>133.31</v>
      </c>
      <c r="C1087" s="61">
        <v>127.2624</v>
      </c>
      <c r="D1087" s="61">
        <v>128.80000000000001</v>
      </c>
      <c r="E1087" s="61">
        <v>2565497</v>
      </c>
      <c r="F1087" s="61" t="s">
        <v>1089</v>
      </c>
      <c r="G1087" s="25">
        <f t="shared" si="17"/>
        <v>-1.1257763975155433E-2</v>
      </c>
    </row>
    <row r="1088" spans="1:7">
      <c r="A1088" s="61">
        <v>127.83</v>
      </c>
      <c r="B1088" s="61">
        <v>128.69</v>
      </c>
      <c r="C1088" s="61">
        <v>121.81</v>
      </c>
      <c r="D1088" s="61">
        <v>124.01</v>
      </c>
      <c r="E1088" s="61">
        <v>3205904</v>
      </c>
      <c r="F1088" s="61" t="s">
        <v>1090</v>
      </c>
      <c r="G1088" s="25">
        <f t="shared" si="17"/>
        <v>3.0803967421981993E-2</v>
      </c>
    </row>
    <row r="1089" spans="1:7">
      <c r="A1089" s="61">
        <v>123.53</v>
      </c>
      <c r="B1089" s="61">
        <v>132.96</v>
      </c>
      <c r="C1089" s="61">
        <v>115.85120000000001</v>
      </c>
      <c r="D1089" s="61">
        <v>131.84</v>
      </c>
      <c r="E1089" s="61">
        <v>9532902</v>
      </c>
      <c r="F1089" s="61" t="s">
        <v>1091</v>
      </c>
      <c r="G1089" s="25">
        <f t="shared" si="17"/>
        <v>-6.3030946601941751E-2</v>
      </c>
    </row>
    <row r="1090" spans="1:7">
      <c r="A1090" s="61">
        <v>139.78</v>
      </c>
      <c r="B1090" s="61">
        <v>140.9</v>
      </c>
      <c r="C1090" s="61">
        <v>137.36529999999999</v>
      </c>
      <c r="D1090" s="61">
        <v>139</v>
      </c>
      <c r="E1090" s="61">
        <v>1171336</v>
      </c>
      <c r="F1090" s="61" t="s">
        <v>1092</v>
      </c>
      <c r="G1090" s="25">
        <f t="shared" si="17"/>
        <v>5.6115107913670137E-3</v>
      </c>
    </row>
    <row r="1091" spans="1:7">
      <c r="A1091" s="61">
        <v>138.93</v>
      </c>
      <c r="B1091" s="61">
        <v>139.36000000000001</v>
      </c>
      <c r="C1091" s="61">
        <v>133.5</v>
      </c>
      <c r="D1091" s="61">
        <v>134.91999999999999</v>
      </c>
      <c r="E1091" s="61">
        <v>1637105</v>
      </c>
      <c r="F1091" s="61" t="s">
        <v>1093</v>
      </c>
      <c r="G1091" s="25">
        <f t="shared" si="17"/>
        <v>2.9721316335606485E-2</v>
      </c>
    </row>
    <row r="1092" spans="1:7">
      <c r="A1092" s="61">
        <v>131.47999999999999</v>
      </c>
      <c r="B1092" s="61">
        <v>135.0188</v>
      </c>
      <c r="C1092" s="61">
        <v>128.53</v>
      </c>
      <c r="D1092" s="61">
        <v>133.88</v>
      </c>
      <c r="E1092" s="61">
        <v>1676220</v>
      </c>
      <c r="F1092" s="61" t="s">
        <v>1094</v>
      </c>
      <c r="G1092" s="25">
        <f t="shared" si="17"/>
        <v>-1.7926501344487589E-2</v>
      </c>
    </row>
    <row r="1093" spans="1:7">
      <c r="A1093" s="61">
        <v>136.12</v>
      </c>
      <c r="B1093" s="61">
        <v>138.94</v>
      </c>
      <c r="C1093" s="61">
        <v>131.01</v>
      </c>
      <c r="D1093" s="61">
        <v>134.01</v>
      </c>
      <c r="E1093" s="61">
        <v>3630122</v>
      </c>
      <c r="F1093" s="61" t="s">
        <v>1095</v>
      </c>
      <c r="G1093" s="25">
        <f t="shared" si="17"/>
        <v>1.5745093649727648E-2</v>
      </c>
    </row>
    <row r="1094" spans="1:7">
      <c r="A1094" s="61">
        <v>139.56</v>
      </c>
      <c r="B1094" s="61">
        <v>153.82</v>
      </c>
      <c r="C1094" s="61">
        <v>138.755</v>
      </c>
      <c r="D1094" s="61">
        <v>152.96</v>
      </c>
      <c r="E1094" s="61">
        <v>1828966</v>
      </c>
      <c r="F1094" s="61" t="s">
        <v>1096</v>
      </c>
      <c r="G1094" s="25">
        <f t="shared" si="17"/>
        <v>-8.7604602510460317E-2</v>
      </c>
    </row>
    <row r="1095" spans="1:7">
      <c r="A1095" s="61">
        <v>151.33000000000001</v>
      </c>
      <c r="B1095" s="61">
        <v>154</v>
      </c>
      <c r="C1095" s="61">
        <v>144.66999999999999</v>
      </c>
      <c r="D1095" s="61">
        <v>154</v>
      </c>
      <c r="E1095" s="61">
        <v>1690105</v>
      </c>
      <c r="F1095" s="61" t="s">
        <v>1097</v>
      </c>
      <c r="G1095" s="25">
        <f t="shared" si="17"/>
        <v>-1.7337662337662207E-2</v>
      </c>
    </row>
    <row r="1096" spans="1:7">
      <c r="A1096" s="61">
        <v>153.57</v>
      </c>
      <c r="B1096" s="61">
        <v>155.03800000000001</v>
      </c>
      <c r="C1096" s="61">
        <v>150.91999999999999</v>
      </c>
      <c r="D1096" s="61">
        <v>154.96</v>
      </c>
      <c r="E1096" s="61">
        <v>1225030</v>
      </c>
      <c r="F1096" s="61" t="s">
        <v>1098</v>
      </c>
      <c r="G1096" s="25">
        <f t="shared" si="17"/>
        <v>-8.9700567888488791E-3</v>
      </c>
    </row>
    <row r="1097" spans="1:7">
      <c r="A1097" s="61">
        <v>156.91</v>
      </c>
      <c r="B1097" s="61">
        <v>159.745</v>
      </c>
      <c r="C1097" s="61">
        <v>152.01</v>
      </c>
      <c r="D1097" s="61">
        <v>159.18</v>
      </c>
      <c r="E1097" s="61">
        <v>1061627</v>
      </c>
      <c r="F1097" s="61" t="s">
        <v>1099</v>
      </c>
      <c r="G1097" s="25">
        <f t="shared" si="17"/>
        <v>-1.4260585500691092E-2</v>
      </c>
    </row>
    <row r="1098" spans="1:7">
      <c r="A1098" s="61">
        <v>158.69999999999999</v>
      </c>
      <c r="B1098" s="61">
        <v>163.38999999999999</v>
      </c>
      <c r="C1098" s="61">
        <v>155.74</v>
      </c>
      <c r="D1098" s="61">
        <v>163.38999999999999</v>
      </c>
      <c r="E1098" s="61">
        <v>1252450</v>
      </c>
      <c r="F1098" s="61" t="s">
        <v>1100</v>
      </c>
      <c r="G1098" s="25">
        <f t="shared" si="17"/>
        <v>-2.8704327070200097E-2</v>
      </c>
    </row>
    <row r="1099" spans="1:7">
      <c r="A1099" s="61">
        <v>161.72</v>
      </c>
      <c r="B1099" s="61">
        <v>168.82</v>
      </c>
      <c r="C1099" s="61">
        <v>161.29</v>
      </c>
      <c r="D1099" s="61">
        <v>166.58</v>
      </c>
      <c r="E1099" s="61">
        <v>887882</v>
      </c>
      <c r="F1099" s="61" t="s">
        <v>1101</v>
      </c>
      <c r="G1099" s="25">
        <f t="shared" si="17"/>
        <v>-2.917517108896639E-2</v>
      </c>
    </row>
    <row r="1100" spans="1:7">
      <c r="A1100" s="61">
        <v>166.75</v>
      </c>
      <c r="B1100" s="61">
        <v>168.74</v>
      </c>
      <c r="C1100" s="61">
        <v>165.55330000000001</v>
      </c>
      <c r="D1100" s="61">
        <v>168.01</v>
      </c>
      <c r="E1100" s="61">
        <v>684835</v>
      </c>
      <c r="F1100" s="61" t="s">
        <v>1102</v>
      </c>
      <c r="G1100" s="25">
        <f t="shared" si="17"/>
        <v>-7.4995535980000305E-3</v>
      </c>
    </row>
    <row r="1101" spans="1:7">
      <c r="A1101" s="61">
        <v>166.94</v>
      </c>
      <c r="B1101" s="61">
        <v>168.81</v>
      </c>
      <c r="C1101" s="61">
        <v>162.26</v>
      </c>
      <c r="D1101" s="61">
        <v>162.31219999999999</v>
      </c>
      <c r="E1101" s="61">
        <v>1054458</v>
      </c>
      <c r="F1101" s="61" t="s">
        <v>1103</v>
      </c>
      <c r="G1101" s="25">
        <f t="shared" si="17"/>
        <v>2.8511720006259678E-2</v>
      </c>
    </row>
    <row r="1102" spans="1:7">
      <c r="A1102" s="61">
        <v>158.9</v>
      </c>
      <c r="B1102" s="61">
        <v>164.38</v>
      </c>
      <c r="C1102" s="61">
        <v>156.51</v>
      </c>
      <c r="D1102" s="61">
        <v>163.22999999999999</v>
      </c>
      <c r="E1102" s="61">
        <v>1318231</v>
      </c>
      <c r="F1102" s="61" t="s">
        <v>1104</v>
      </c>
      <c r="G1102" s="25">
        <f t="shared" si="17"/>
        <v>-2.6526986460822077E-2</v>
      </c>
    </row>
    <row r="1103" spans="1:7">
      <c r="A1103" s="61">
        <v>162.38</v>
      </c>
      <c r="B1103" s="61">
        <v>169.41</v>
      </c>
      <c r="C1103" s="61">
        <v>157.69</v>
      </c>
      <c r="D1103" s="61">
        <v>166.5</v>
      </c>
      <c r="E1103" s="61">
        <v>1399930</v>
      </c>
      <c r="F1103" s="61" t="s">
        <v>1105</v>
      </c>
      <c r="G1103" s="25">
        <f t="shared" si="17"/>
        <v>-2.4744744744744751E-2</v>
      </c>
    </row>
    <row r="1104" spans="1:7">
      <c r="A1104" s="61">
        <v>166.15</v>
      </c>
      <c r="B1104" s="61">
        <v>167.4</v>
      </c>
      <c r="C1104" s="61">
        <v>160.16999999999999</v>
      </c>
      <c r="D1104" s="61">
        <v>162.08000000000001</v>
      </c>
      <c r="E1104" s="61">
        <v>963243</v>
      </c>
      <c r="F1104" s="61" t="s">
        <v>1106</v>
      </c>
      <c r="G1104" s="25">
        <f t="shared" si="17"/>
        <v>2.5111056268509291E-2</v>
      </c>
    </row>
    <row r="1105" spans="1:7">
      <c r="A1105" s="61">
        <v>162.74</v>
      </c>
      <c r="B1105" s="61">
        <v>173.88</v>
      </c>
      <c r="C1105" s="61">
        <v>162.35499999999999</v>
      </c>
      <c r="D1105" s="61">
        <v>167.78</v>
      </c>
      <c r="E1105" s="61">
        <v>1239040</v>
      </c>
      <c r="F1105" s="61" t="s">
        <v>1107</v>
      </c>
      <c r="G1105" s="25">
        <f t="shared" si="17"/>
        <v>-3.0039337227321439E-2</v>
      </c>
    </row>
    <row r="1106" spans="1:7">
      <c r="A1106" s="61">
        <v>164.02</v>
      </c>
      <c r="B1106" s="61">
        <v>169.065</v>
      </c>
      <c r="C1106" s="61">
        <v>160.77000000000001</v>
      </c>
      <c r="D1106" s="61">
        <v>167.21</v>
      </c>
      <c r="E1106" s="61">
        <v>1398556</v>
      </c>
      <c r="F1106" s="61" t="s">
        <v>1108</v>
      </c>
      <c r="G1106" s="25">
        <f t="shared" si="17"/>
        <v>-1.9077806351294746E-2</v>
      </c>
    </row>
    <row r="1107" spans="1:7">
      <c r="A1107" s="61">
        <v>168.6</v>
      </c>
      <c r="B1107" s="61">
        <v>172.5</v>
      </c>
      <c r="C1107" s="61">
        <v>166.03</v>
      </c>
      <c r="D1107" s="61">
        <v>171.27</v>
      </c>
      <c r="E1107" s="61">
        <v>805343</v>
      </c>
      <c r="F1107" s="61" t="s">
        <v>1109</v>
      </c>
      <c r="G1107" s="25">
        <f t="shared" si="17"/>
        <v>-1.5589420213697802E-2</v>
      </c>
    </row>
    <row r="1108" spans="1:7">
      <c r="A1108" s="61">
        <v>168.04</v>
      </c>
      <c r="B1108" s="61">
        <v>170.75</v>
      </c>
      <c r="C1108" s="61">
        <v>165.52</v>
      </c>
      <c r="D1108" s="61">
        <v>166.42</v>
      </c>
      <c r="E1108" s="61">
        <v>606200</v>
      </c>
      <c r="F1108" s="61" t="s">
        <v>1110</v>
      </c>
      <c r="G1108" s="25">
        <f t="shared" si="17"/>
        <v>9.7344069222449203E-3</v>
      </c>
    </row>
    <row r="1109" spans="1:7">
      <c r="A1109" s="61">
        <v>171.65</v>
      </c>
      <c r="B1109" s="61">
        <v>172.47</v>
      </c>
      <c r="C1109" s="61">
        <v>166.08</v>
      </c>
      <c r="D1109" s="61">
        <v>169.01</v>
      </c>
      <c r="E1109" s="61">
        <v>726925</v>
      </c>
      <c r="F1109" s="61" t="s">
        <v>1111</v>
      </c>
      <c r="G1109" s="25">
        <f t="shared" si="17"/>
        <v>1.562037749245615E-2</v>
      </c>
    </row>
    <row r="1110" spans="1:7">
      <c r="A1110" s="61">
        <v>170.74</v>
      </c>
      <c r="B1110" s="61">
        <v>175.49</v>
      </c>
      <c r="C1110" s="61">
        <v>166.68</v>
      </c>
      <c r="D1110" s="61">
        <v>173.73</v>
      </c>
      <c r="E1110" s="61">
        <v>1422509</v>
      </c>
      <c r="F1110" s="61" t="s">
        <v>1112</v>
      </c>
      <c r="G1110" s="25">
        <f t="shared" si="17"/>
        <v>-1.7210614171415339E-2</v>
      </c>
    </row>
    <row r="1111" spans="1:7">
      <c r="A1111" s="61">
        <v>175.54</v>
      </c>
      <c r="B1111" s="61">
        <v>180.88</v>
      </c>
      <c r="C1111" s="61">
        <v>172.31</v>
      </c>
      <c r="D1111" s="61">
        <v>177</v>
      </c>
      <c r="E1111" s="61">
        <v>1062107</v>
      </c>
      <c r="F1111" s="61" t="s">
        <v>1113</v>
      </c>
      <c r="G1111" s="25">
        <f t="shared" si="17"/>
        <v>-8.2485875706215239E-3</v>
      </c>
    </row>
    <row r="1112" spans="1:7">
      <c r="A1112" s="61">
        <v>175.5</v>
      </c>
      <c r="B1112" s="61">
        <v>178.44</v>
      </c>
      <c r="C1112" s="61">
        <v>174.65</v>
      </c>
      <c r="D1112" s="61">
        <v>175.59</v>
      </c>
      <c r="E1112" s="61">
        <v>1354910</v>
      </c>
      <c r="F1112" s="61" t="s">
        <v>1114</v>
      </c>
      <c r="G1112" s="25">
        <f t="shared" si="17"/>
        <v>-5.125576627370565E-4</v>
      </c>
    </row>
    <row r="1113" spans="1:7">
      <c r="A1113" s="61">
        <v>176.98</v>
      </c>
      <c r="B1113" s="61">
        <v>180.85</v>
      </c>
      <c r="C1113" s="61">
        <v>175.75</v>
      </c>
      <c r="D1113" s="61">
        <v>178.57</v>
      </c>
      <c r="E1113" s="61">
        <v>685577</v>
      </c>
      <c r="F1113" s="61" t="s">
        <v>1115</v>
      </c>
      <c r="G1113" s="25">
        <f t="shared" si="17"/>
        <v>-8.9040712325698657E-3</v>
      </c>
    </row>
    <row r="1114" spans="1:7">
      <c r="A1114" s="61">
        <v>176.16</v>
      </c>
      <c r="B1114" s="61">
        <v>181.6</v>
      </c>
      <c r="C1114" s="61">
        <v>173.47499999999999</v>
      </c>
      <c r="D1114" s="61">
        <v>179.59</v>
      </c>
      <c r="E1114" s="61">
        <v>1168898</v>
      </c>
      <c r="F1114" s="61" t="s">
        <v>1116</v>
      </c>
      <c r="G1114" s="25">
        <f t="shared" si="17"/>
        <v>-1.9099058967648519E-2</v>
      </c>
    </row>
    <row r="1115" spans="1:7">
      <c r="A1115" s="61">
        <v>180.45</v>
      </c>
      <c r="B1115" s="61">
        <v>183.14</v>
      </c>
      <c r="C1115" s="61">
        <v>176.39</v>
      </c>
      <c r="D1115" s="61">
        <v>177.28649999999999</v>
      </c>
      <c r="E1115" s="61">
        <v>899803</v>
      </c>
      <c r="F1115" s="61" t="s">
        <v>1117</v>
      </c>
      <c r="G1115" s="25">
        <f t="shared" si="17"/>
        <v>1.7843998273980199E-2</v>
      </c>
    </row>
    <row r="1116" spans="1:7">
      <c r="A1116" s="61">
        <v>177.5</v>
      </c>
      <c r="B1116" s="61">
        <v>183.88</v>
      </c>
      <c r="C1116" s="61">
        <v>176.315</v>
      </c>
      <c r="D1116" s="61">
        <v>181.51</v>
      </c>
      <c r="E1116" s="61">
        <v>1169324</v>
      </c>
      <c r="F1116" s="61" t="s">
        <v>1118</v>
      </c>
      <c r="G1116" s="25">
        <f t="shared" si="17"/>
        <v>-2.2092446697151602E-2</v>
      </c>
    </row>
    <row r="1117" spans="1:7">
      <c r="A1117" s="61">
        <v>180.57</v>
      </c>
      <c r="B1117" s="61">
        <v>182.02</v>
      </c>
      <c r="C1117" s="61">
        <v>177.67</v>
      </c>
      <c r="D1117" s="61">
        <v>178.08</v>
      </c>
      <c r="E1117" s="61">
        <v>927854</v>
      </c>
      <c r="F1117" s="61" t="s">
        <v>1119</v>
      </c>
      <c r="G1117" s="25">
        <f t="shared" si="17"/>
        <v>1.3982479784366397E-2</v>
      </c>
    </row>
    <row r="1118" spans="1:7">
      <c r="A1118" s="61">
        <v>176.19</v>
      </c>
      <c r="B1118" s="61">
        <v>178.68989999999999</v>
      </c>
      <c r="C1118" s="61">
        <v>172.9</v>
      </c>
      <c r="D1118" s="61">
        <v>175.3</v>
      </c>
      <c r="E1118" s="61">
        <v>823532</v>
      </c>
      <c r="F1118" s="61" t="s">
        <v>1120</v>
      </c>
      <c r="G1118" s="25">
        <f t="shared" si="17"/>
        <v>5.0770108385624901E-3</v>
      </c>
    </row>
    <row r="1119" spans="1:7">
      <c r="A1119" s="61">
        <v>174.18</v>
      </c>
      <c r="B1119" s="61">
        <v>177.77</v>
      </c>
      <c r="C1119" s="61">
        <v>171.61259999999999</v>
      </c>
      <c r="D1119" s="61">
        <v>175.32</v>
      </c>
      <c r="E1119" s="61">
        <v>858662</v>
      </c>
      <c r="F1119" s="61" t="s">
        <v>1121</v>
      </c>
      <c r="G1119" s="25">
        <f t="shared" si="17"/>
        <v>-6.5023956194386612E-3</v>
      </c>
    </row>
    <row r="1120" spans="1:7">
      <c r="A1120" s="61">
        <v>178.5</v>
      </c>
      <c r="B1120" s="61">
        <v>179.73660000000001</v>
      </c>
      <c r="C1120" s="61">
        <v>175</v>
      </c>
      <c r="D1120" s="61">
        <v>175</v>
      </c>
      <c r="E1120" s="61">
        <v>740483</v>
      </c>
      <c r="F1120" s="61" t="s">
        <v>1122</v>
      </c>
      <c r="G1120" s="25">
        <f t="shared" si="17"/>
        <v>2.0000000000000018E-2</v>
      </c>
    </row>
    <row r="1121" spans="1:7">
      <c r="A1121" s="61">
        <v>176.54</v>
      </c>
      <c r="B1121" s="61">
        <v>182.75</v>
      </c>
      <c r="C1121" s="61">
        <v>174.67</v>
      </c>
      <c r="D1121" s="61">
        <v>181.85</v>
      </c>
      <c r="E1121" s="61">
        <v>1169467</v>
      </c>
      <c r="F1121" s="61" t="s">
        <v>1123</v>
      </c>
      <c r="G1121" s="25">
        <f t="shared" si="17"/>
        <v>-2.919989001924661E-2</v>
      </c>
    </row>
    <row r="1122" spans="1:7">
      <c r="A1122" s="61">
        <v>180.17</v>
      </c>
      <c r="B1122" s="61">
        <v>180.83</v>
      </c>
      <c r="C1122" s="61">
        <v>176.86</v>
      </c>
      <c r="D1122" s="61">
        <v>178.03</v>
      </c>
      <c r="E1122" s="61">
        <v>927038</v>
      </c>
      <c r="F1122" s="61" t="s">
        <v>1124</v>
      </c>
      <c r="G1122" s="25">
        <f t="shared" si="17"/>
        <v>1.2020445992248385E-2</v>
      </c>
    </row>
    <row r="1123" spans="1:7">
      <c r="A1123" s="61">
        <v>177.42</v>
      </c>
      <c r="B1123" s="61">
        <v>179.47</v>
      </c>
      <c r="C1123" s="61">
        <v>173.8</v>
      </c>
      <c r="D1123" s="61">
        <v>175.31</v>
      </c>
      <c r="E1123" s="61">
        <v>1801565</v>
      </c>
      <c r="F1123" s="61" t="s">
        <v>1125</v>
      </c>
      <c r="G1123" s="25">
        <f t="shared" si="17"/>
        <v>1.2035822257714823E-2</v>
      </c>
    </row>
    <row r="1124" spans="1:7">
      <c r="A1124" s="61">
        <v>173.3</v>
      </c>
      <c r="B1124" s="61">
        <v>175.25</v>
      </c>
      <c r="C1124" s="61">
        <v>166.74</v>
      </c>
      <c r="D1124" s="61">
        <v>166.74</v>
      </c>
      <c r="E1124" s="61">
        <v>1324797</v>
      </c>
      <c r="F1124" s="61" t="s">
        <v>1126</v>
      </c>
      <c r="G1124" s="25">
        <f t="shared" si="17"/>
        <v>3.9342689216744553E-2</v>
      </c>
    </row>
    <row r="1125" spans="1:7">
      <c r="A1125" s="61">
        <v>167.4</v>
      </c>
      <c r="B1125" s="61">
        <v>171.35499999999999</v>
      </c>
      <c r="C1125" s="61">
        <v>165.53370000000001</v>
      </c>
      <c r="D1125" s="61">
        <v>168.44</v>
      </c>
      <c r="E1125" s="61">
        <v>1110816</v>
      </c>
      <c r="F1125" s="61" t="s">
        <v>1127</v>
      </c>
      <c r="G1125" s="25">
        <f t="shared" si="17"/>
        <v>-6.1743053906434531E-3</v>
      </c>
    </row>
    <row r="1126" spans="1:7">
      <c r="A1126" s="61">
        <v>167.73</v>
      </c>
      <c r="B1126" s="61">
        <v>169.09</v>
      </c>
      <c r="C1126" s="61">
        <v>162.69999999999999</v>
      </c>
      <c r="D1126" s="61">
        <v>162.69999999999999</v>
      </c>
      <c r="E1126" s="61">
        <v>1509992</v>
      </c>
      <c r="F1126" s="61" t="s">
        <v>1128</v>
      </c>
      <c r="G1126" s="25">
        <f t="shared" si="17"/>
        <v>3.0915795943454283E-2</v>
      </c>
    </row>
    <row r="1127" spans="1:7">
      <c r="A1127" s="61">
        <v>161.44999999999999</v>
      </c>
      <c r="B1127" s="61">
        <v>161.75</v>
      </c>
      <c r="C1127" s="61">
        <v>155.84</v>
      </c>
      <c r="D1127" s="61">
        <v>155.84</v>
      </c>
      <c r="E1127" s="61">
        <v>1278204</v>
      </c>
      <c r="F1127" s="61" t="s">
        <v>1129</v>
      </c>
      <c r="G1127" s="25">
        <f t="shared" si="17"/>
        <v>3.599845995893225E-2</v>
      </c>
    </row>
    <row r="1128" spans="1:7">
      <c r="A1128" s="61">
        <v>156.53</v>
      </c>
      <c r="B1128" s="61">
        <v>157.1</v>
      </c>
      <c r="C1128" s="61">
        <v>151.9</v>
      </c>
      <c r="D1128" s="61">
        <v>152.19999999999999</v>
      </c>
      <c r="E1128" s="61">
        <v>1168622</v>
      </c>
      <c r="F1128" s="61" t="s">
        <v>1130</v>
      </c>
      <c r="G1128" s="25">
        <f t="shared" si="17"/>
        <v>2.8449408672799104E-2</v>
      </c>
    </row>
    <row r="1129" spans="1:7">
      <c r="A1129" s="61">
        <v>151.88</v>
      </c>
      <c r="B1129" s="61">
        <v>155.02000000000001</v>
      </c>
      <c r="C1129" s="61">
        <v>150.22999999999999</v>
      </c>
      <c r="D1129" s="61">
        <v>154.41999999999999</v>
      </c>
      <c r="E1129" s="61">
        <v>1188082</v>
      </c>
      <c r="F1129" s="61" t="s">
        <v>1131</v>
      </c>
      <c r="G1129" s="25">
        <f t="shared" si="17"/>
        <v>-1.6448646548374524E-2</v>
      </c>
    </row>
    <row r="1130" spans="1:7">
      <c r="A1130" s="61">
        <v>154.24</v>
      </c>
      <c r="B1130" s="61">
        <v>160.75</v>
      </c>
      <c r="C1130" s="61">
        <v>152.77000000000001</v>
      </c>
      <c r="D1130" s="61">
        <v>156.4</v>
      </c>
      <c r="E1130" s="61">
        <v>1713410</v>
      </c>
      <c r="F1130" s="61" t="s">
        <v>1132</v>
      </c>
      <c r="G1130" s="25">
        <f t="shared" si="17"/>
        <v>-1.3810741687979466E-2</v>
      </c>
    </row>
    <row r="1131" spans="1:7">
      <c r="A1131" s="61">
        <v>155.63999999999999</v>
      </c>
      <c r="B1131" s="61">
        <v>159.74</v>
      </c>
      <c r="C1131" s="61">
        <v>151.61000000000001</v>
      </c>
      <c r="D1131" s="61">
        <v>152.28790000000001</v>
      </c>
      <c r="E1131" s="61">
        <v>2222896</v>
      </c>
      <c r="F1131" s="61" t="s">
        <v>1133</v>
      </c>
      <c r="G1131" s="25">
        <f t="shared" si="17"/>
        <v>2.2011597769750368E-2</v>
      </c>
    </row>
    <row r="1132" spans="1:7">
      <c r="A1132" s="61">
        <v>149.76</v>
      </c>
      <c r="B1132" s="61">
        <v>154.44</v>
      </c>
      <c r="C1132" s="61">
        <v>147.38</v>
      </c>
      <c r="D1132" s="61">
        <v>147.80000000000001</v>
      </c>
      <c r="E1132" s="61">
        <v>2162588</v>
      </c>
      <c r="F1132" s="61" t="s">
        <v>1134</v>
      </c>
      <c r="G1132" s="25">
        <f t="shared" si="17"/>
        <v>1.3261163734776593E-2</v>
      </c>
    </row>
    <row r="1133" spans="1:7">
      <c r="A1133" s="61">
        <v>148.6</v>
      </c>
      <c r="B1133" s="61">
        <v>155.5</v>
      </c>
      <c r="C1133" s="61">
        <v>143.38999999999999</v>
      </c>
      <c r="D1133" s="61">
        <v>152</v>
      </c>
      <c r="E1133" s="61">
        <v>8067304</v>
      </c>
      <c r="F1133" s="61" t="s">
        <v>1135</v>
      </c>
      <c r="G1133" s="25">
        <f t="shared" si="17"/>
        <v>-2.2368421052631593E-2</v>
      </c>
    </row>
    <row r="1134" spans="1:7">
      <c r="A1134" s="61">
        <v>135.93</v>
      </c>
      <c r="B1134" s="61">
        <v>143.19999999999999</v>
      </c>
      <c r="C1134" s="61">
        <v>135.32</v>
      </c>
      <c r="D1134" s="61">
        <v>142.76</v>
      </c>
      <c r="E1134" s="61">
        <v>2193578</v>
      </c>
      <c r="F1134" s="61" t="s">
        <v>1136</v>
      </c>
      <c r="G1134" s="25">
        <f t="shared" si="17"/>
        <v>-4.784253292238716E-2</v>
      </c>
    </row>
    <row r="1135" spans="1:7">
      <c r="A1135" s="61">
        <v>142.4</v>
      </c>
      <c r="B1135" s="61">
        <v>145.37</v>
      </c>
      <c r="C1135" s="61">
        <v>140.19</v>
      </c>
      <c r="D1135" s="61">
        <v>144.5</v>
      </c>
      <c r="E1135" s="61">
        <v>1712107</v>
      </c>
      <c r="F1135" s="61" t="s">
        <v>1137</v>
      </c>
      <c r="G1135" s="25">
        <f t="shared" si="17"/>
        <v>-1.453287197231834E-2</v>
      </c>
    </row>
    <row r="1136" spans="1:7">
      <c r="A1136" s="61">
        <v>143.15</v>
      </c>
      <c r="B1136" s="61">
        <v>143.41999999999999</v>
      </c>
      <c r="C1136" s="61">
        <v>136.51660000000001</v>
      </c>
      <c r="D1136" s="61">
        <v>136.74</v>
      </c>
      <c r="E1136" s="61">
        <v>1141277</v>
      </c>
      <c r="F1136" s="61" t="s">
        <v>1138</v>
      </c>
      <c r="G1136" s="25">
        <f t="shared" si="17"/>
        <v>4.6877285359075538E-2</v>
      </c>
    </row>
    <row r="1137" spans="1:7">
      <c r="A1137" s="61">
        <v>137.19</v>
      </c>
      <c r="B1137" s="61">
        <v>139.69999999999999</v>
      </c>
      <c r="C1137" s="61">
        <v>136.91</v>
      </c>
      <c r="D1137" s="61">
        <v>137.97999999999999</v>
      </c>
      <c r="E1137" s="61">
        <v>1155511</v>
      </c>
      <c r="F1137" s="61" t="s">
        <v>1139</v>
      </c>
      <c r="G1137" s="25">
        <f t="shared" si="17"/>
        <v>-5.7254674590520027E-3</v>
      </c>
    </row>
    <row r="1138" spans="1:7">
      <c r="A1138" s="61">
        <v>136.62</v>
      </c>
      <c r="B1138" s="61">
        <v>136.94999999999999</v>
      </c>
      <c r="C1138" s="61">
        <v>133.81</v>
      </c>
      <c r="D1138" s="61">
        <v>135.25219999999999</v>
      </c>
      <c r="E1138" s="61">
        <v>1540814</v>
      </c>
      <c r="F1138" s="61" t="s">
        <v>1140</v>
      </c>
      <c r="G1138" s="25">
        <f t="shared" si="17"/>
        <v>1.011295934557821E-2</v>
      </c>
    </row>
    <row r="1139" spans="1:7">
      <c r="A1139" s="61">
        <v>132.47</v>
      </c>
      <c r="B1139" s="61">
        <v>133.49</v>
      </c>
      <c r="C1139" s="61">
        <v>130.19999999999999</v>
      </c>
      <c r="D1139" s="61">
        <v>130.51</v>
      </c>
      <c r="E1139" s="61">
        <v>1065855</v>
      </c>
      <c r="F1139" s="61" t="s">
        <v>1141</v>
      </c>
      <c r="G1139" s="25">
        <f t="shared" si="17"/>
        <v>1.5018006283043617E-2</v>
      </c>
    </row>
    <row r="1140" spans="1:7">
      <c r="A1140" s="61">
        <v>130.09</v>
      </c>
      <c r="B1140" s="61">
        <v>131.16</v>
      </c>
      <c r="C1140" s="61">
        <v>125.89</v>
      </c>
      <c r="D1140" s="61">
        <v>126.89</v>
      </c>
      <c r="E1140" s="61">
        <v>1230102</v>
      </c>
      <c r="F1140" s="61" t="s">
        <v>1142</v>
      </c>
      <c r="G1140" s="25">
        <f t="shared" si="17"/>
        <v>2.5218693356450439E-2</v>
      </c>
    </row>
    <row r="1141" spans="1:7">
      <c r="A1141" s="61">
        <v>125.62</v>
      </c>
      <c r="B1141" s="61">
        <v>131.4</v>
      </c>
      <c r="C1141" s="61">
        <v>125.54</v>
      </c>
      <c r="D1141" s="61">
        <v>129.80000000000001</v>
      </c>
      <c r="E1141" s="61">
        <v>2207881</v>
      </c>
      <c r="F1141" s="61" t="s">
        <v>1143</v>
      </c>
      <c r="G1141" s="25">
        <f t="shared" si="17"/>
        <v>-3.2203389830508522E-2</v>
      </c>
    </row>
    <row r="1142" spans="1:7">
      <c r="A1142" s="61">
        <v>130.4</v>
      </c>
      <c r="B1142" s="61">
        <v>140.13999999999999</v>
      </c>
      <c r="C1142" s="61">
        <v>129.89150000000001</v>
      </c>
      <c r="D1142" s="61">
        <v>139.5</v>
      </c>
      <c r="E1142" s="61">
        <v>2414349</v>
      </c>
      <c r="F1142" s="61" t="s">
        <v>1144</v>
      </c>
      <c r="G1142" s="25">
        <f t="shared" si="17"/>
        <v>-6.5232974910394259E-2</v>
      </c>
    </row>
    <row r="1143" spans="1:7">
      <c r="A1143" s="61">
        <v>139.54</v>
      </c>
      <c r="B1143" s="61">
        <v>142.7424</v>
      </c>
      <c r="C1143" s="61">
        <v>139.05000000000001</v>
      </c>
      <c r="D1143" s="61">
        <v>140.53</v>
      </c>
      <c r="E1143" s="61">
        <v>1073583</v>
      </c>
      <c r="F1143" s="61" t="s">
        <v>1145</v>
      </c>
      <c r="G1143" s="25">
        <f t="shared" si="17"/>
        <v>-7.044759126165312E-3</v>
      </c>
    </row>
    <row r="1144" spans="1:7">
      <c r="A1144" s="61">
        <v>138.31</v>
      </c>
      <c r="B1144" s="61">
        <v>139.86000000000001</v>
      </c>
      <c r="C1144" s="61">
        <v>133.86000000000001</v>
      </c>
      <c r="D1144" s="61">
        <v>134.875</v>
      </c>
      <c r="E1144" s="61">
        <v>1127990</v>
      </c>
      <c r="F1144" s="61" t="s">
        <v>1146</v>
      </c>
      <c r="G1144" s="25">
        <f t="shared" si="17"/>
        <v>2.5468025949953788E-2</v>
      </c>
    </row>
    <row r="1145" spans="1:7">
      <c r="A1145" s="61">
        <v>136.91999999999999</v>
      </c>
      <c r="B1145" s="61">
        <v>140.46</v>
      </c>
      <c r="C1145" s="61">
        <v>135.46</v>
      </c>
      <c r="D1145" s="61">
        <v>136.29</v>
      </c>
      <c r="E1145" s="61">
        <v>1400289</v>
      </c>
      <c r="F1145" s="61" t="s">
        <v>1147</v>
      </c>
      <c r="G1145" s="25">
        <f t="shared" si="17"/>
        <v>4.6224961479197635E-3</v>
      </c>
    </row>
    <row r="1146" spans="1:7">
      <c r="A1146" s="61">
        <v>136.07</v>
      </c>
      <c r="B1146" s="61">
        <v>140.27000000000001</v>
      </c>
      <c r="C1146" s="61">
        <v>134.51</v>
      </c>
      <c r="D1146" s="61">
        <v>140.27000000000001</v>
      </c>
      <c r="E1146" s="61">
        <v>1387285</v>
      </c>
      <c r="F1146" s="61" t="s">
        <v>1148</v>
      </c>
      <c r="G1146" s="25">
        <f t="shared" si="17"/>
        <v>-2.9942254223996656E-2</v>
      </c>
    </row>
    <row r="1147" spans="1:7">
      <c r="A1147" s="61">
        <v>141.13</v>
      </c>
      <c r="B1147" s="61">
        <v>144.2509</v>
      </c>
      <c r="C1147" s="61">
        <v>137.72999999999999</v>
      </c>
      <c r="D1147" s="61">
        <v>144.2509</v>
      </c>
      <c r="E1147" s="61">
        <v>1615446</v>
      </c>
      <c r="F1147" s="61" t="s">
        <v>1149</v>
      </c>
      <c r="G1147" s="25">
        <f t="shared" si="17"/>
        <v>-2.1635220300185387E-2</v>
      </c>
    </row>
    <row r="1148" spans="1:7">
      <c r="A1148" s="61">
        <v>143.47999999999999</v>
      </c>
      <c r="B1148" s="61">
        <v>151.84989999999999</v>
      </c>
      <c r="C1148" s="61">
        <v>143.16</v>
      </c>
      <c r="D1148" s="61">
        <v>149.88999999999999</v>
      </c>
      <c r="E1148" s="61">
        <v>1252171</v>
      </c>
      <c r="F1148" s="61" t="s">
        <v>1150</v>
      </c>
      <c r="G1148" s="25">
        <f t="shared" ref="G1148:G1168" si="18">A1148/D1148-1</f>
        <v>-4.276469410901329E-2</v>
      </c>
    </row>
    <row r="1149" spans="1:7">
      <c r="A1149" s="61">
        <v>149.81</v>
      </c>
      <c r="B1149" s="61">
        <v>153.22999999999999</v>
      </c>
      <c r="C1149" s="61">
        <v>147.85</v>
      </c>
      <c r="D1149" s="61">
        <v>152.85</v>
      </c>
      <c r="E1149" s="61">
        <v>804216</v>
      </c>
      <c r="F1149" s="61" t="s">
        <v>1151</v>
      </c>
      <c r="G1149" s="25">
        <f t="shared" si="18"/>
        <v>-1.988877984952564E-2</v>
      </c>
    </row>
    <row r="1150" spans="1:7">
      <c r="A1150" s="61">
        <v>150.63</v>
      </c>
      <c r="B1150" s="61">
        <v>153.1</v>
      </c>
      <c r="C1150" s="61">
        <v>148.35</v>
      </c>
      <c r="D1150" s="61">
        <v>151.91999999999999</v>
      </c>
      <c r="E1150" s="61">
        <v>1118670</v>
      </c>
      <c r="F1150" s="61" t="s">
        <v>1152</v>
      </c>
      <c r="G1150" s="25">
        <f t="shared" si="18"/>
        <v>-8.4913112164296534E-3</v>
      </c>
    </row>
    <row r="1151" spans="1:7">
      <c r="A1151" s="61">
        <v>153.59</v>
      </c>
      <c r="B1151" s="61">
        <v>157.19999999999999</v>
      </c>
      <c r="C1151" s="61">
        <v>151.4085</v>
      </c>
      <c r="D1151" s="61">
        <v>156.99430000000001</v>
      </c>
      <c r="E1151" s="61">
        <v>1403434</v>
      </c>
      <c r="F1151" s="61" t="s">
        <v>1153</v>
      </c>
      <c r="G1151" s="25">
        <f t="shared" si="18"/>
        <v>-2.1684226752181512E-2</v>
      </c>
    </row>
    <row r="1152" spans="1:7">
      <c r="A1152" s="61">
        <v>156.30000000000001</v>
      </c>
      <c r="B1152" s="61">
        <v>160.98500000000001</v>
      </c>
      <c r="C1152" s="61">
        <v>154.53</v>
      </c>
      <c r="D1152" s="61">
        <v>160.88999999999999</v>
      </c>
      <c r="E1152" s="61">
        <v>1780958</v>
      </c>
      <c r="F1152" s="61" t="s">
        <v>1154</v>
      </c>
      <c r="G1152" s="25">
        <f t="shared" si="18"/>
        <v>-2.8528808502703562E-2</v>
      </c>
    </row>
    <row r="1153" spans="1:7">
      <c r="A1153" s="61">
        <v>163</v>
      </c>
      <c r="B1153" s="61">
        <v>163.18</v>
      </c>
      <c r="C1153" s="61">
        <v>157.5</v>
      </c>
      <c r="D1153" s="61">
        <v>158.11000000000001</v>
      </c>
      <c r="E1153" s="61">
        <v>1446880</v>
      </c>
      <c r="F1153" s="61" t="s">
        <v>1155</v>
      </c>
      <c r="G1153" s="25">
        <f t="shared" si="18"/>
        <v>3.0927835051546282E-2</v>
      </c>
    </row>
    <row r="1154" spans="1:7">
      <c r="A1154" s="61">
        <v>155.72999999999999</v>
      </c>
      <c r="B1154" s="61">
        <v>156.44999999999999</v>
      </c>
      <c r="C1154" s="61">
        <v>149.32</v>
      </c>
      <c r="D1154" s="61">
        <v>153</v>
      </c>
      <c r="E1154" s="61">
        <v>1122881</v>
      </c>
      <c r="F1154" s="61" t="s">
        <v>1156</v>
      </c>
      <c r="G1154" s="25">
        <f t="shared" si="18"/>
        <v>1.7843137254901942E-2</v>
      </c>
    </row>
    <row r="1155" spans="1:7">
      <c r="A1155" s="61">
        <v>152.47</v>
      </c>
      <c r="B1155" s="61">
        <v>154.38999999999999</v>
      </c>
      <c r="C1155" s="61">
        <v>150.28</v>
      </c>
      <c r="D1155" s="61">
        <v>152.84</v>
      </c>
      <c r="E1155" s="61">
        <v>1094674</v>
      </c>
      <c r="F1155" s="61" t="s">
        <v>1157</v>
      </c>
      <c r="G1155" s="25">
        <f t="shared" si="18"/>
        <v>-2.4208322428683759E-3</v>
      </c>
    </row>
    <row r="1156" spans="1:7">
      <c r="A1156" s="61">
        <v>151.72</v>
      </c>
      <c r="B1156" s="61">
        <v>153.41</v>
      </c>
      <c r="C1156" s="61">
        <v>146.18</v>
      </c>
      <c r="D1156" s="61">
        <v>148.21</v>
      </c>
      <c r="E1156" s="61">
        <v>1857918</v>
      </c>
      <c r="F1156" s="61" t="s">
        <v>1158</v>
      </c>
      <c r="G1156" s="25">
        <f t="shared" si="18"/>
        <v>2.3682612509277279E-2</v>
      </c>
    </row>
    <row r="1157" spans="1:7">
      <c r="A1157" s="61">
        <v>155.18</v>
      </c>
      <c r="B1157" s="61">
        <v>161.28</v>
      </c>
      <c r="C1157" s="61">
        <v>152.91</v>
      </c>
      <c r="D1157" s="61">
        <v>158.01</v>
      </c>
      <c r="E1157" s="61">
        <v>3403942</v>
      </c>
      <c r="F1157" s="61" t="s">
        <v>1159</v>
      </c>
      <c r="G1157" s="25">
        <f t="shared" si="18"/>
        <v>-1.7910258844376803E-2</v>
      </c>
    </row>
    <row r="1158" spans="1:7">
      <c r="A1158" s="61">
        <v>157.82</v>
      </c>
      <c r="B1158" s="61">
        <v>159.7602</v>
      </c>
      <c r="C1158" s="61">
        <v>153.25</v>
      </c>
      <c r="D1158" s="61">
        <v>153.62</v>
      </c>
      <c r="E1158" s="61">
        <v>2788606</v>
      </c>
      <c r="F1158" s="61" t="s">
        <v>1160</v>
      </c>
      <c r="G1158" s="25">
        <f t="shared" si="18"/>
        <v>2.7340190079416571E-2</v>
      </c>
    </row>
    <row r="1159" spans="1:7">
      <c r="A1159" s="61">
        <v>153.68</v>
      </c>
      <c r="B1159" s="61">
        <v>155.82</v>
      </c>
      <c r="C1159" s="61">
        <v>148.70009999999999</v>
      </c>
      <c r="D1159" s="61">
        <v>150.5</v>
      </c>
      <c r="E1159" s="61">
        <v>3639508</v>
      </c>
      <c r="F1159" s="61" t="s">
        <v>1161</v>
      </c>
      <c r="G1159" s="25">
        <f t="shared" si="18"/>
        <v>2.1129568106312391E-2</v>
      </c>
    </row>
    <row r="1160" spans="1:7">
      <c r="A1160" s="61">
        <v>149.38</v>
      </c>
      <c r="B1160" s="61">
        <v>157.80000000000001</v>
      </c>
      <c r="C1160" s="61">
        <v>136.63999999999999</v>
      </c>
      <c r="D1160" s="61">
        <v>138.88999999999999</v>
      </c>
      <c r="E1160" s="61">
        <v>7337899</v>
      </c>
      <c r="F1160" s="61" t="s">
        <v>1162</v>
      </c>
      <c r="G1160" s="25">
        <f t="shared" si="18"/>
        <v>7.5527395780833784E-2</v>
      </c>
    </row>
    <row r="1161" spans="1:7">
      <c r="A1161" s="61">
        <v>137.72</v>
      </c>
      <c r="B1161" s="61">
        <v>145.54</v>
      </c>
      <c r="C1161" s="61">
        <v>135.1</v>
      </c>
      <c r="D1161" s="61">
        <v>145.34</v>
      </c>
      <c r="E1161" s="61">
        <v>1862558</v>
      </c>
      <c r="F1161" s="61" t="s">
        <v>1163</v>
      </c>
      <c r="G1161" s="25">
        <f t="shared" si="18"/>
        <v>-5.2428787670290355E-2</v>
      </c>
    </row>
    <row r="1162" spans="1:7">
      <c r="A1162" s="61">
        <v>144.11000000000001</v>
      </c>
      <c r="B1162" s="61">
        <v>146.34</v>
      </c>
      <c r="C1162" s="61">
        <v>141.77000000000001</v>
      </c>
      <c r="D1162" s="61">
        <v>142.11000000000001</v>
      </c>
      <c r="E1162" s="61">
        <v>1328295</v>
      </c>
      <c r="F1162" s="61" t="s">
        <v>1164</v>
      </c>
      <c r="G1162" s="25">
        <f t="shared" si="18"/>
        <v>1.4073604953908969E-2</v>
      </c>
    </row>
    <row r="1163" spans="1:7">
      <c r="A1163" s="61">
        <v>141.53</v>
      </c>
      <c r="B1163" s="61">
        <v>144.27000000000001</v>
      </c>
      <c r="C1163" s="61">
        <v>139.125</v>
      </c>
      <c r="D1163" s="61">
        <v>139.125</v>
      </c>
      <c r="E1163" s="61">
        <v>1225542</v>
      </c>
      <c r="F1163" s="61" t="s">
        <v>1165</v>
      </c>
      <c r="G1163" s="25">
        <f t="shared" si="18"/>
        <v>1.7286612758310893E-2</v>
      </c>
    </row>
    <row r="1164" spans="1:7">
      <c r="A1164" s="61">
        <v>138.96</v>
      </c>
      <c r="B1164" s="61">
        <v>140.83500000000001</v>
      </c>
      <c r="C1164" s="61">
        <v>132.6</v>
      </c>
      <c r="D1164" s="61">
        <v>135.94</v>
      </c>
      <c r="E1164" s="61">
        <v>1761032</v>
      </c>
      <c r="F1164" s="61" t="s">
        <v>1166</v>
      </c>
      <c r="G1164" s="25">
        <f t="shared" si="18"/>
        <v>2.22156833897309E-2</v>
      </c>
    </row>
    <row r="1165" spans="1:7">
      <c r="A1165" s="61">
        <v>136.28</v>
      </c>
      <c r="B1165" s="61">
        <v>139.84</v>
      </c>
      <c r="C1165" s="61">
        <v>133.80000000000001</v>
      </c>
      <c r="D1165" s="61">
        <v>139.72999999999999</v>
      </c>
      <c r="E1165" s="61">
        <v>1568383</v>
      </c>
      <c r="F1165" s="61" t="s">
        <v>1167</v>
      </c>
      <c r="G1165" s="25">
        <f t="shared" si="18"/>
        <v>-2.4690474486509628E-2</v>
      </c>
    </row>
    <row r="1166" spans="1:7">
      <c r="A1166" s="61">
        <v>139.69</v>
      </c>
      <c r="B1166" s="61">
        <v>139.87</v>
      </c>
      <c r="C1166" s="61">
        <v>135.22</v>
      </c>
      <c r="D1166" s="61">
        <v>138.5</v>
      </c>
      <c r="E1166" s="61">
        <v>1009711</v>
      </c>
      <c r="F1166" s="61" t="s">
        <v>1168</v>
      </c>
      <c r="G1166" s="25">
        <f t="shared" si="18"/>
        <v>8.5920577617328853E-3</v>
      </c>
    </row>
    <row r="1167" spans="1:7">
      <c r="A1167" s="61">
        <v>138.57</v>
      </c>
      <c r="B1167" s="61">
        <v>144.98990000000001</v>
      </c>
      <c r="C1167" s="61">
        <v>138.36750000000001</v>
      </c>
      <c r="D1167" s="61">
        <v>144</v>
      </c>
      <c r="E1167" s="61">
        <v>1083314</v>
      </c>
      <c r="F1167" s="61" t="s">
        <v>1169</v>
      </c>
      <c r="G1167" s="25">
        <f t="shared" si="18"/>
        <v>-3.7708333333333344E-2</v>
      </c>
    </row>
    <row r="1168" spans="1:7">
      <c r="A1168" s="61">
        <v>143.36000000000001</v>
      </c>
      <c r="B1168" s="61">
        <v>146.04</v>
      </c>
      <c r="C1168" s="61">
        <v>142.86500000000001</v>
      </c>
      <c r="D1168" s="61">
        <v>143.16</v>
      </c>
      <c r="E1168" s="61">
        <v>867184</v>
      </c>
      <c r="F1168" s="61" t="s">
        <v>1170</v>
      </c>
      <c r="G1168" s="25">
        <f t="shared" si="18"/>
        <v>1.39703827884885E-3</v>
      </c>
    </row>
    <row r="1169" spans="1:7">
      <c r="A1169" s="61">
        <v>142.82</v>
      </c>
      <c r="B1169" s="61">
        <v>147.01499999999999</v>
      </c>
      <c r="C1169" s="61">
        <v>142.66999999999999</v>
      </c>
      <c r="D1169" s="61">
        <v>146.41999999999999</v>
      </c>
      <c r="E1169" s="61">
        <v>945729</v>
      </c>
      <c r="F1169" s="61" t="s">
        <v>1171</v>
      </c>
      <c r="G1169" s="25">
        <f>A1169/D1169-1</f>
        <v>-2.4586805081272978E-2</v>
      </c>
    </row>
    <row r="1170" spans="1:7">
      <c r="G1170" s="25"/>
    </row>
    <row r="1171" spans="1:7">
      <c r="G1171" s="25"/>
    </row>
    <row r="1172" spans="1:7">
      <c r="G1172" s="25"/>
    </row>
    <row r="1173" spans="1:7">
      <c r="G1173" s="25"/>
    </row>
    <row r="1174" spans="1:7">
      <c r="G1174" s="25"/>
    </row>
    <row r="1175" spans="1:7">
      <c r="G1175" s="25"/>
    </row>
    <row r="1176" spans="1:7">
      <c r="G1176" s="25"/>
    </row>
    <row r="1177" spans="1:7">
      <c r="G1177" s="25"/>
    </row>
    <row r="1178" spans="1:7">
      <c r="G1178" s="25"/>
    </row>
    <row r="1179" spans="1:7">
      <c r="G1179" s="25"/>
    </row>
    <row r="1180" spans="1:7">
      <c r="G1180" s="25"/>
    </row>
    <row r="1181" spans="1:7">
      <c r="G1181" s="25"/>
    </row>
    <row r="1182" spans="1:7">
      <c r="G1182" s="25"/>
    </row>
    <row r="1183" spans="1:7">
      <c r="G1183" s="25"/>
    </row>
    <row r="1184" spans="1:7">
      <c r="G1184" s="25"/>
    </row>
    <row r="1185" spans="7:7">
      <c r="G1185" s="25"/>
    </row>
    <row r="1186" spans="7:7">
      <c r="G1186" s="25"/>
    </row>
    <row r="1187" spans="7:7">
      <c r="G1187" s="25"/>
    </row>
    <row r="1188" spans="7:7">
      <c r="G1188" s="25"/>
    </row>
    <row r="1189" spans="7:7">
      <c r="G1189" s="25"/>
    </row>
    <row r="1190" spans="7:7">
      <c r="G1190" s="25"/>
    </row>
    <row r="1191" spans="7:7">
      <c r="G1191" s="25"/>
    </row>
    <row r="1192" spans="7:7">
      <c r="G1192" s="25"/>
    </row>
    <row r="1193" spans="7:7">
      <c r="G1193" s="25"/>
    </row>
    <row r="1194" spans="7:7">
      <c r="G1194" s="25"/>
    </row>
    <row r="1195" spans="7:7">
      <c r="G1195" s="25"/>
    </row>
    <row r="1196" spans="7:7">
      <c r="G1196" s="25"/>
    </row>
    <row r="1197" spans="7:7">
      <c r="G1197" s="25"/>
    </row>
    <row r="1198" spans="7:7">
      <c r="G1198" s="25"/>
    </row>
    <row r="1199" spans="7:7">
      <c r="G1199" s="25"/>
    </row>
    <row r="1200" spans="7:7">
      <c r="G1200" s="25"/>
    </row>
    <row r="1201" spans="7:7">
      <c r="G1201" s="25"/>
    </row>
    <row r="1202" spans="7:7">
      <c r="G1202" s="25"/>
    </row>
    <row r="1203" spans="7:7">
      <c r="G1203" s="25"/>
    </row>
    <row r="1204" spans="7:7">
      <c r="G1204" s="25"/>
    </row>
    <row r="1205" spans="7:7">
      <c r="G1205" s="25"/>
    </row>
    <row r="1206" spans="7:7">
      <c r="G1206" s="25"/>
    </row>
    <row r="1207" spans="7:7">
      <c r="G1207" s="25"/>
    </row>
    <row r="1208" spans="7:7">
      <c r="G1208" s="25"/>
    </row>
    <row r="1209" spans="7:7">
      <c r="G1209" s="25"/>
    </row>
    <row r="1210" spans="7:7">
      <c r="G1210" s="25"/>
    </row>
    <row r="1211" spans="7:7">
      <c r="G1211" s="25"/>
    </row>
    <row r="1212" spans="7:7">
      <c r="G1212" s="25"/>
    </row>
    <row r="1213" spans="7:7">
      <c r="G1213" s="25"/>
    </row>
    <row r="1214" spans="7:7">
      <c r="G1214" s="25"/>
    </row>
    <row r="1215" spans="7:7">
      <c r="G1215" s="25"/>
    </row>
    <row r="1216" spans="7:7">
      <c r="G1216" s="25"/>
    </row>
    <row r="1217" spans="7:7">
      <c r="G1217" s="25"/>
    </row>
    <row r="1218" spans="7:7">
      <c r="G1218" s="25"/>
    </row>
    <row r="1219" spans="7:7">
      <c r="G1219" s="25"/>
    </row>
    <row r="1220" spans="7:7">
      <c r="G1220" s="25"/>
    </row>
    <row r="1221" spans="7:7">
      <c r="G1221" s="25"/>
    </row>
    <row r="1222" spans="7:7">
      <c r="G1222" s="25"/>
    </row>
    <row r="1223" spans="7:7">
      <c r="G1223" s="25"/>
    </row>
    <row r="1224" spans="7:7">
      <c r="G1224" s="25"/>
    </row>
    <row r="1225" spans="7:7">
      <c r="G1225" s="25"/>
    </row>
    <row r="1226" spans="7:7">
      <c r="G1226" s="25"/>
    </row>
    <row r="1227" spans="7:7">
      <c r="G1227" s="25"/>
    </row>
    <row r="1228" spans="7:7">
      <c r="G1228" s="25"/>
    </row>
    <row r="1229" spans="7:7">
      <c r="G1229" s="25"/>
    </row>
    <row r="1230" spans="7:7">
      <c r="G1230" s="25"/>
    </row>
    <row r="1231" spans="7:7">
      <c r="G1231" s="25"/>
    </row>
    <row r="1232" spans="7:7">
      <c r="G1232" s="25"/>
    </row>
    <row r="1233" spans="7:7">
      <c r="G1233" s="25"/>
    </row>
    <row r="1234" spans="7:7">
      <c r="G1234" s="25"/>
    </row>
    <row r="1235" spans="7:7">
      <c r="G1235" s="25"/>
    </row>
    <row r="1236" spans="7:7">
      <c r="G1236" s="25"/>
    </row>
    <row r="1237" spans="7:7">
      <c r="G1237" s="25"/>
    </row>
    <row r="1238" spans="7:7">
      <c r="G1238" s="25"/>
    </row>
    <row r="1239" spans="7:7">
      <c r="G1239" s="25"/>
    </row>
    <row r="1240" spans="7:7">
      <c r="G1240" s="25"/>
    </row>
    <row r="1241" spans="7:7">
      <c r="G1241" s="25"/>
    </row>
    <row r="1242" spans="7:7">
      <c r="G1242" s="25"/>
    </row>
    <row r="1243" spans="7:7">
      <c r="G1243" s="25"/>
    </row>
    <row r="1244" spans="7:7">
      <c r="G1244" s="25"/>
    </row>
    <row r="1245" spans="7:7">
      <c r="G1245" s="25"/>
    </row>
    <row r="1246" spans="7:7">
      <c r="G1246" s="25"/>
    </row>
    <row r="1247" spans="7:7">
      <c r="G1247" s="25"/>
    </row>
    <row r="1248" spans="7:7">
      <c r="G1248" s="25"/>
    </row>
    <row r="1249" spans="7:7">
      <c r="G1249" s="25"/>
    </row>
    <row r="1250" spans="7:7">
      <c r="G1250" s="25"/>
    </row>
    <row r="1251" spans="7:7">
      <c r="G1251" s="25"/>
    </row>
    <row r="1252" spans="7:7">
      <c r="G1252" s="25"/>
    </row>
    <row r="1253" spans="7:7">
      <c r="G1253" s="25"/>
    </row>
    <row r="1254" spans="7:7">
      <c r="G1254" s="25"/>
    </row>
    <row r="1255" spans="7:7">
      <c r="G1255" s="25"/>
    </row>
    <row r="1256" spans="7:7">
      <c r="G1256" s="25"/>
    </row>
    <row r="1257" spans="7:7">
      <c r="G1257" s="25"/>
    </row>
    <row r="1258" spans="7:7">
      <c r="G1258" s="25"/>
    </row>
    <row r="1259" spans="7:7">
      <c r="G1259" s="25"/>
    </row>
    <row r="1260" spans="7:7">
      <c r="G1260" s="25"/>
    </row>
    <row r="1261" spans="7:7">
      <c r="G1261" s="25"/>
    </row>
    <row r="1262" spans="7:7">
      <c r="G1262" s="25"/>
    </row>
    <row r="1263" spans="7:7">
      <c r="G1263" s="25"/>
    </row>
    <row r="1264" spans="7:7">
      <c r="G1264" s="25"/>
    </row>
    <row r="1265" spans="7:7">
      <c r="G1265" s="25"/>
    </row>
    <row r="1266" spans="7:7">
      <c r="G1266" s="25"/>
    </row>
    <row r="1267" spans="7:7">
      <c r="G1267" s="25"/>
    </row>
    <row r="1268" spans="7:7">
      <c r="G1268" s="25"/>
    </row>
    <row r="1269" spans="7:7">
      <c r="G1269" s="25"/>
    </row>
    <row r="1270" spans="7:7">
      <c r="G1270" s="25"/>
    </row>
    <row r="1271" spans="7:7">
      <c r="G1271" s="25"/>
    </row>
    <row r="1272" spans="7:7">
      <c r="G1272" s="25"/>
    </row>
    <row r="1273" spans="7:7">
      <c r="G1273" s="25"/>
    </row>
    <row r="1274" spans="7:7">
      <c r="G1274" s="25"/>
    </row>
    <row r="1275" spans="7:7">
      <c r="G1275" s="25"/>
    </row>
    <row r="1276" spans="7:7">
      <c r="G1276" s="25"/>
    </row>
    <row r="1277" spans="7:7">
      <c r="G1277" s="25"/>
    </row>
    <row r="1278" spans="7:7">
      <c r="G1278" s="25"/>
    </row>
    <row r="1279" spans="7:7">
      <c r="G1279" s="25"/>
    </row>
    <row r="1280" spans="7:7">
      <c r="G1280" s="25"/>
    </row>
    <row r="1281" spans="7:7">
      <c r="G1281" s="25"/>
    </row>
    <row r="1282" spans="7:7">
      <c r="G1282" s="25"/>
    </row>
    <row r="1283" spans="7:7">
      <c r="G1283" s="25"/>
    </row>
    <row r="1284" spans="7:7">
      <c r="G1284" s="25"/>
    </row>
    <row r="1285" spans="7:7">
      <c r="G1285" s="25"/>
    </row>
    <row r="1286" spans="7:7">
      <c r="G1286" s="25"/>
    </row>
    <row r="1287" spans="7:7">
      <c r="G1287" s="25"/>
    </row>
    <row r="1288" spans="7:7">
      <c r="G1288" s="25"/>
    </row>
    <row r="1289" spans="7:7">
      <c r="G1289" s="25"/>
    </row>
    <row r="1290" spans="7:7">
      <c r="G1290" s="25"/>
    </row>
    <row r="1291" spans="7:7">
      <c r="G1291" s="25"/>
    </row>
    <row r="1292" spans="7:7">
      <c r="G1292" s="25"/>
    </row>
    <row r="1293" spans="7:7">
      <c r="G1293" s="25"/>
    </row>
    <row r="1294" spans="7:7">
      <c r="G1294" s="25"/>
    </row>
    <row r="1295" spans="7:7">
      <c r="G1295" s="25"/>
    </row>
    <row r="1296" spans="7:7">
      <c r="G1296" s="25"/>
    </row>
    <row r="1297" spans="7:7">
      <c r="G1297" s="25"/>
    </row>
    <row r="1298" spans="7:7">
      <c r="G1298" s="25"/>
    </row>
    <row r="1299" spans="7:7">
      <c r="G1299" s="25"/>
    </row>
    <row r="1300" spans="7:7">
      <c r="G1300" s="25"/>
    </row>
    <row r="1301" spans="7:7">
      <c r="G1301" s="25"/>
    </row>
    <row r="1302" spans="7:7">
      <c r="G1302" s="25"/>
    </row>
    <row r="1303" spans="7:7">
      <c r="G1303" s="25"/>
    </row>
    <row r="1304" spans="7:7">
      <c r="G1304" s="25"/>
    </row>
    <row r="1305" spans="7:7">
      <c r="G1305" s="25"/>
    </row>
    <row r="1306" spans="7:7">
      <c r="G1306" s="25"/>
    </row>
    <row r="1307" spans="7:7">
      <c r="G1307" s="25"/>
    </row>
    <row r="1308" spans="7:7">
      <c r="G1308" s="25"/>
    </row>
    <row r="1309" spans="7:7">
      <c r="G1309" s="25"/>
    </row>
    <row r="1310" spans="7:7">
      <c r="G1310" s="25"/>
    </row>
    <row r="1311" spans="7:7">
      <c r="G1311" s="25"/>
    </row>
    <row r="1312" spans="7:7">
      <c r="G1312" s="25"/>
    </row>
    <row r="1313" spans="7:7">
      <c r="G1313" s="25"/>
    </row>
    <row r="1314" spans="7:7">
      <c r="G1314" s="25"/>
    </row>
    <row r="1315" spans="7:7">
      <c r="G1315" s="25"/>
    </row>
    <row r="1316" spans="7:7">
      <c r="G1316" s="25"/>
    </row>
    <row r="1317" spans="7:7">
      <c r="G1317" s="25"/>
    </row>
    <row r="1318" spans="7:7">
      <c r="G1318" s="25"/>
    </row>
    <row r="1319" spans="7:7">
      <c r="G1319" s="25"/>
    </row>
    <row r="1320" spans="7:7">
      <c r="G1320" s="25"/>
    </row>
    <row r="1321" spans="7:7">
      <c r="G1321" s="25"/>
    </row>
    <row r="1322" spans="7:7">
      <c r="G1322" s="25"/>
    </row>
    <row r="1323" spans="7:7">
      <c r="G1323" s="25"/>
    </row>
    <row r="1324" spans="7:7">
      <c r="G1324" s="25"/>
    </row>
    <row r="1325" spans="7:7">
      <c r="G1325" s="25"/>
    </row>
    <row r="1326" spans="7:7">
      <c r="G1326" s="25"/>
    </row>
    <row r="1327" spans="7:7">
      <c r="G1327" s="25"/>
    </row>
    <row r="1328" spans="7:7">
      <c r="G1328" s="25"/>
    </row>
    <row r="1329" spans="7:7">
      <c r="G1329" s="25"/>
    </row>
    <row r="1330" spans="7:7">
      <c r="G1330" s="25"/>
    </row>
    <row r="1331" spans="7:7">
      <c r="G1331" s="25"/>
    </row>
    <row r="1332" spans="7:7">
      <c r="G1332" s="25"/>
    </row>
    <row r="1333" spans="7:7">
      <c r="G1333" s="25"/>
    </row>
    <row r="1334" spans="7:7">
      <c r="G1334" s="25"/>
    </row>
    <row r="1335" spans="7:7">
      <c r="G1335" s="25"/>
    </row>
    <row r="1336" spans="7:7">
      <c r="G1336" s="25"/>
    </row>
    <row r="1337" spans="7:7">
      <c r="G1337" s="25"/>
    </row>
    <row r="1338" spans="7:7">
      <c r="G1338" s="25"/>
    </row>
    <row r="1339" spans="7:7">
      <c r="G1339" s="25"/>
    </row>
    <row r="1340" spans="7:7">
      <c r="G1340" s="25"/>
    </row>
    <row r="1341" spans="7:7">
      <c r="G1341" s="25"/>
    </row>
    <row r="1342" spans="7:7">
      <c r="G1342" s="25"/>
    </row>
    <row r="1343" spans="7:7">
      <c r="G1343" s="25"/>
    </row>
    <row r="1344" spans="7:7">
      <c r="G1344" s="25"/>
    </row>
    <row r="1345" spans="7:7">
      <c r="G1345" s="25"/>
    </row>
    <row r="1346" spans="7:7">
      <c r="G1346" s="25"/>
    </row>
    <row r="1347" spans="7:7">
      <c r="G1347" s="25"/>
    </row>
    <row r="1348" spans="7:7">
      <c r="G1348" s="25"/>
    </row>
    <row r="1349" spans="7:7">
      <c r="G1349" s="25"/>
    </row>
    <row r="1350" spans="7:7">
      <c r="G1350" s="25"/>
    </row>
    <row r="1351" spans="7:7">
      <c r="G1351" s="25"/>
    </row>
    <row r="1352" spans="7:7">
      <c r="G1352" s="25"/>
    </row>
    <row r="1353" spans="7:7">
      <c r="G1353" s="25"/>
    </row>
    <row r="1354" spans="7:7">
      <c r="G1354" s="25"/>
    </row>
    <row r="1355" spans="7:7">
      <c r="G1355" s="25"/>
    </row>
    <row r="1356" spans="7:7">
      <c r="G1356" s="25"/>
    </row>
    <row r="1357" spans="7:7">
      <c r="G1357" s="25"/>
    </row>
    <row r="1358" spans="7:7">
      <c r="G1358" s="25"/>
    </row>
    <row r="1359" spans="7:7">
      <c r="G1359" s="25"/>
    </row>
    <row r="1360" spans="7:7">
      <c r="G1360" s="25"/>
    </row>
    <row r="1361" spans="7:7">
      <c r="G1361" s="25"/>
    </row>
    <row r="1362" spans="7:7">
      <c r="G1362" s="25"/>
    </row>
    <row r="1363" spans="7:7">
      <c r="G1363" s="25"/>
    </row>
    <row r="1364" spans="7:7">
      <c r="G1364" s="25"/>
    </row>
    <row r="1365" spans="7:7">
      <c r="G1365" s="25"/>
    </row>
    <row r="1366" spans="7:7">
      <c r="G1366" s="25"/>
    </row>
    <row r="1367" spans="7:7">
      <c r="G1367" s="25"/>
    </row>
    <row r="1368" spans="7:7">
      <c r="G1368" s="25"/>
    </row>
    <row r="1369" spans="7:7">
      <c r="G1369" s="25"/>
    </row>
    <row r="1370" spans="7:7">
      <c r="G1370" s="25"/>
    </row>
    <row r="1371" spans="7:7">
      <c r="G1371" s="25"/>
    </row>
    <row r="1372" spans="7:7">
      <c r="G1372" s="25"/>
    </row>
    <row r="1373" spans="7:7">
      <c r="G1373" s="25"/>
    </row>
    <row r="1374" spans="7:7">
      <c r="G1374" s="25"/>
    </row>
    <row r="1375" spans="7:7">
      <c r="G1375" s="25"/>
    </row>
    <row r="1376" spans="7:7">
      <c r="G1376" s="25"/>
    </row>
    <row r="1377" spans="7:7">
      <c r="G1377" s="25"/>
    </row>
    <row r="1378" spans="7:7">
      <c r="G1378" s="25"/>
    </row>
    <row r="1379" spans="7:7">
      <c r="G1379" s="25"/>
    </row>
    <row r="1380" spans="7:7">
      <c r="G1380" s="25"/>
    </row>
    <row r="1381" spans="7:7">
      <c r="G1381" s="25"/>
    </row>
    <row r="1382" spans="7:7">
      <c r="G1382" s="25"/>
    </row>
    <row r="1383" spans="7:7">
      <c r="G1383" s="25"/>
    </row>
    <row r="1384" spans="7:7">
      <c r="G1384" s="25"/>
    </row>
    <row r="1385" spans="7:7">
      <c r="G1385" s="25"/>
    </row>
    <row r="1386" spans="7:7">
      <c r="G1386" s="25"/>
    </row>
    <row r="1387" spans="7:7">
      <c r="G1387" s="25"/>
    </row>
    <row r="1388" spans="7:7">
      <c r="G1388" s="25"/>
    </row>
    <row r="1389" spans="7:7">
      <c r="G1389" s="25"/>
    </row>
    <row r="1390" spans="7:7">
      <c r="G1390" s="25"/>
    </row>
    <row r="1391" spans="7:7">
      <c r="G1391" s="25"/>
    </row>
    <row r="1392" spans="7:7">
      <c r="G1392" s="25"/>
    </row>
    <row r="1393" spans="7:7">
      <c r="G1393" s="25"/>
    </row>
    <row r="1394" spans="7:7">
      <c r="G1394" s="25"/>
    </row>
    <row r="1395" spans="7:7">
      <c r="G1395" s="25"/>
    </row>
    <row r="1396" spans="7:7">
      <c r="G1396" s="25"/>
    </row>
    <row r="1397" spans="7:7">
      <c r="G1397" s="25"/>
    </row>
    <row r="1398" spans="7:7">
      <c r="G1398" s="25"/>
    </row>
    <row r="1399" spans="7:7">
      <c r="G1399" s="25"/>
    </row>
    <row r="1400" spans="7:7">
      <c r="G1400" s="25"/>
    </row>
    <row r="1401" spans="7:7">
      <c r="G1401" s="25"/>
    </row>
    <row r="1402" spans="7:7">
      <c r="G1402" s="25"/>
    </row>
    <row r="1403" spans="7:7">
      <c r="G1403" s="25"/>
    </row>
    <row r="1404" spans="7:7">
      <c r="G1404" s="25"/>
    </row>
    <row r="1405" spans="7:7">
      <c r="G1405" s="25"/>
    </row>
    <row r="1406" spans="7:7">
      <c r="G1406" s="25"/>
    </row>
    <row r="1407" spans="7:7">
      <c r="G1407" s="25"/>
    </row>
    <row r="1408" spans="7:7">
      <c r="G1408" s="25"/>
    </row>
    <row r="1409" spans="7:7">
      <c r="G1409" s="25"/>
    </row>
    <row r="1410" spans="7:7">
      <c r="G1410" s="25"/>
    </row>
    <row r="1411" spans="7:7">
      <c r="G1411" s="25"/>
    </row>
    <row r="1412" spans="7:7">
      <c r="G1412" s="25"/>
    </row>
    <row r="1413" spans="7:7">
      <c r="G1413" s="25"/>
    </row>
    <row r="1414" spans="7:7">
      <c r="G1414" s="25"/>
    </row>
    <row r="1415" spans="7:7">
      <c r="G1415" s="25"/>
    </row>
    <row r="1416" spans="7:7">
      <c r="G1416" s="25"/>
    </row>
    <row r="1417" spans="7:7">
      <c r="G1417" s="25"/>
    </row>
    <row r="1418" spans="7:7">
      <c r="G1418" s="25"/>
    </row>
    <row r="1419" spans="7:7">
      <c r="G1419" s="25"/>
    </row>
    <row r="1420" spans="7:7">
      <c r="G1420" s="25"/>
    </row>
    <row r="1421" spans="7:7">
      <c r="G1421" s="25"/>
    </row>
    <row r="1422" spans="7:7">
      <c r="G1422" s="25"/>
    </row>
    <row r="1423" spans="7:7">
      <c r="G1423" s="25"/>
    </row>
    <row r="1424" spans="7:7">
      <c r="G1424" s="25"/>
    </row>
    <row r="1425" spans="7:7">
      <c r="G1425" s="25"/>
    </row>
    <row r="1426" spans="7:7">
      <c r="G1426" s="25"/>
    </row>
    <row r="1427" spans="7:7">
      <c r="G1427" s="25"/>
    </row>
    <row r="1428" spans="7:7">
      <c r="G1428" s="25"/>
    </row>
    <row r="1429" spans="7:7">
      <c r="G1429" s="25"/>
    </row>
    <row r="1430" spans="7:7">
      <c r="G1430" s="25"/>
    </row>
    <row r="1431" spans="7:7">
      <c r="G1431" s="25"/>
    </row>
    <row r="1432" spans="7:7">
      <c r="G1432" s="25"/>
    </row>
    <row r="1433" spans="7:7">
      <c r="G1433" s="25"/>
    </row>
    <row r="1434" spans="7:7">
      <c r="G1434" s="25"/>
    </row>
    <row r="1435" spans="7:7">
      <c r="G1435" s="25"/>
    </row>
    <row r="1436" spans="7:7">
      <c r="G1436" s="25"/>
    </row>
    <row r="1437" spans="7:7">
      <c r="G1437" s="25"/>
    </row>
    <row r="1438" spans="7:7">
      <c r="G1438" s="25"/>
    </row>
    <row r="1439" spans="7:7">
      <c r="G1439" s="25"/>
    </row>
    <row r="1440" spans="7:7">
      <c r="G1440" s="25"/>
    </row>
    <row r="1441" spans="7:7">
      <c r="G1441" s="25"/>
    </row>
    <row r="1442" spans="7:7">
      <c r="G1442" s="25"/>
    </row>
    <row r="1443" spans="7:7">
      <c r="G1443" s="25"/>
    </row>
    <row r="1444" spans="7:7">
      <c r="G1444" s="25"/>
    </row>
    <row r="1445" spans="7:7">
      <c r="G1445" s="25"/>
    </row>
    <row r="1446" spans="7:7">
      <c r="G1446" s="25"/>
    </row>
    <row r="1447" spans="7:7">
      <c r="G1447" s="25"/>
    </row>
    <row r="1448" spans="7:7">
      <c r="G1448" s="25"/>
    </row>
    <row r="1449" spans="7:7">
      <c r="G1449" s="25"/>
    </row>
    <row r="1450" spans="7:7">
      <c r="G1450" s="25"/>
    </row>
    <row r="1451" spans="7:7">
      <c r="G1451" s="25"/>
    </row>
    <row r="1452" spans="7:7">
      <c r="G1452" s="25"/>
    </row>
    <row r="1453" spans="7:7">
      <c r="G1453" s="25"/>
    </row>
    <row r="1454" spans="7:7">
      <c r="G1454" s="25"/>
    </row>
    <row r="1455" spans="7:7">
      <c r="G1455" s="25"/>
    </row>
    <row r="1456" spans="7:7">
      <c r="G1456" s="25"/>
    </row>
    <row r="1457" spans="7:7">
      <c r="G1457" s="25"/>
    </row>
    <row r="1458" spans="7:7">
      <c r="G1458" s="25"/>
    </row>
    <row r="1459" spans="7:7">
      <c r="G1459" s="25"/>
    </row>
    <row r="1460" spans="7:7">
      <c r="G1460" s="25"/>
    </row>
    <row r="1461" spans="7:7">
      <c r="G1461" s="25"/>
    </row>
    <row r="1462" spans="7:7">
      <c r="G1462" s="25"/>
    </row>
    <row r="1463" spans="7:7">
      <c r="G1463" s="25"/>
    </row>
    <row r="1464" spans="7:7">
      <c r="G1464" s="25"/>
    </row>
    <row r="1465" spans="7:7">
      <c r="G1465" s="25"/>
    </row>
    <row r="1466" spans="7:7">
      <c r="G1466" s="25"/>
    </row>
    <row r="1467" spans="7:7">
      <c r="G1467" s="25"/>
    </row>
    <row r="1468" spans="7:7">
      <c r="G1468" s="25"/>
    </row>
    <row r="1469" spans="7:7">
      <c r="G1469" s="25"/>
    </row>
    <row r="1470" spans="7:7">
      <c r="G1470" s="25"/>
    </row>
    <row r="1471" spans="7:7">
      <c r="G1471" s="25"/>
    </row>
    <row r="1472" spans="7:7">
      <c r="G1472" s="25"/>
    </row>
    <row r="1473" spans="7:7">
      <c r="G1473" s="25"/>
    </row>
    <row r="1474" spans="7:7">
      <c r="G1474" s="25"/>
    </row>
    <row r="1475" spans="7:7">
      <c r="G1475" s="25"/>
    </row>
    <row r="1476" spans="7:7">
      <c r="G1476" s="25"/>
    </row>
    <row r="1477" spans="7:7">
      <c r="G1477" s="25"/>
    </row>
    <row r="1478" spans="7:7">
      <c r="G1478" s="25"/>
    </row>
    <row r="1479" spans="7:7">
      <c r="G1479" s="25"/>
    </row>
    <row r="1480" spans="7:7">
      <c r="G1480" s="25"/>
    </row>
    <row r="1481" spans="7:7">
      <c r="G1481" s="25"/>
    </row>
    <row r="1482" spans="7:7">
      <c r="G1482" s="25"/>
    </row>
    <row r="1483" spans="7:7">
      <c r="G1483" s="25"/>
    </row>
    <row r="1484" spans="7:7">
      <c r="G1484" s="25"/>
    </row>
    <row r="1485" spans="7:7">
      <c r="G1485" s="25"/>
    </row>
    <row r="1486" spans="7:7">
      <c r="G1486" s="25"/>
    </row>
    <row r="1487" spans="7:7">
      <c r="G1487" s="25"/>
    </row>
    <row r="1488" spans="7:7">
      <c r="G1488" s="25"/>
    </row>
    <row r="1489" spans="7:7">
      <c r="G1489" s="25"/>
    </row>
    <row r="1490" spans="7:7">
      <c r="G1490" s="25"/>
    </row>
    <row r="1491" spans="7:7">
      <c r="G1491" s="25"/>
    </row>
    <row r="1492" spans="7:7">
      <c r="G1492" s="25"/>
    </row>
    <row r="1493" spans="7:7">
      <c r="G1493" s="25"/>
    </row>
    <row r="1494" spans="7:7">
      <c r="G1494" s="25"/>
    </row>
    <row r="1495" spans="7:7">
      <c r="G1495" s="25"/>
    </row>
    <row r="1496" spans="7:7">
      <c r="G1496" s="25"/>
    </row>
    <row r="1497" spans="7:7">
      <c r="G1497" s="25"/>
    </row>
    <row r="1498" spans="7:7">
      <c r="G1498" s="25"/>
    </row>
    <row r="1499" spans="7:7">
      <c r="G1499" s="25"/>
    </row>
    <row r="1500" spans="7:7">
      <c r="G1500" s="25"/>
    </row>
    <row r="1501" spans="7:7">
      <c r="G1501" s="25"/>
    </row>
    <row r="1502" spans="7:7">
      <c r="G1502" s="25"/>
    </row>
    <row r="1503" spans="7:7">
      <c r="G1503" s="25"/>
    </row>
    <row r="1504" spans="7: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546" spans="7:7">
      <c r="G1546" s="25"/>
    </row>
    <row r="1547" spans="7:7">
      <c r="G1547" s="25"/>
    </row>
    <row r="1548" spans="7:7">
      <c r="G1548" s="25"/>
    </row>
    <row r="1549" spans="7:7">
      <c r="G1549" s="25"/>
    </row>
    <row r="1550" spans="7:7">
      <c r="G1550" s="25"/>
    </row>
    <row r="1551" spans="7:7">
      <c r="G1551" s="25"/>
    </row>
    <row r="1552" spans="7:7">
      <c r="G1552" s="25"/>
    </row>
    <row r="1553" spans="7:7">
      <c r="G1553" s="25"/>
    </row>
    <row r="1554" spans="7:7">
      <c r="G1554" s="25"/>
    </row>
    <row r="1555" spans="7:7">
      <c r="G1555" s="25"/>
    </row>
    <row r="1556" spans="7:7">
      <c r="G1556" s="25"/>
    </row>
    <row r="1557" spans="7:7">
      <c r="G1557" s="25"/>
    </row>
  </sheetData>
  <sortState xmlns:xlrd2="http://schemas.microsoft.com/office/spreadsheetml/2017/richdata2" ref="I212:I282">
    <sortCondition ref="I212"/>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1F04-4DAD-4214-920A-3F7B879474F1}">
  <dimension ref="A1"/>
  <sheetViews>
    <sheetView workbookViewId="0">
      <selection activeCell="B3" sqref="B3"/>
    </sheetView>
  </sheetViews>
  <sheetFormatPr defaultColWidth="9.140625" defaultRowHeight="14.25"/>
  <cols>
    <col min="1" max="1" width="3.28515625"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10</v>
      </c>
      <c r="C2" s="4"/>
      <c r="D2" s="4"/>
      <c r="E2" s="4"/>
      <c r="F2" s="4"/>
      <c r="G2" s="3" t="s">
        <v>10</v>
      </c>
      <c r="H2" s="5"/>
      <c r="I2" s="5"/>
      <c r="J2" s="5"/>
      <c r="K2" s="5"/>
      <c r="L2" s="5"/>
      <c r="M2" s="5"/>
      <c r="N2" s="5"/>
      <c r="O2" s="5"/>
      <c r="P2" s="5"/>
      <c r="Q2" s="5"/>
      <c r="R2" s="5"/>
      <c r="S2" s="5"/>
      <c r="T2" s="5"/>
      <c r="U2" s="5"/>
      <c r="V2" s="5"/>
      <c r="W2" s="5"/>
      <c r="X2" s="5"/>
      <c r="Y2" s="5"/>
      <c r="Z2" s="6"/>
    </row>
    <row r="3" spans="2:26" ht="15">
      <c r="B3" s="7" t="s">
        <v>11</v>
      </c>
      <c r="C3" s="8"/>
      <c r="D3" s="8"/>
      <c r="E3" s="8"/>
      <c r="F3" s="9"/>
      <c r="G3" s="10" t="s">
        <v>12</v>
      </c>
      <c r="H3" s="10"/>
      <c r="I3" s="10"/>
      <c r="J3" s="10"/>
      <c r="K3" s="10"/>
      <c r="L3" s="10"/>
      <c r="M3" s="10"/>
      <c r="N3" s="10"/>
      <c r="O3" s="10"/>
      <c r="P3" s="10"/>
      <c r="Q3" s="10"/>
      <c r="R3" s="10"/>
      <c r="S3" s="10"/>
      <c r="T3" s="10"/>
      <c r="U3" s="10"/>
      <c r="V3" s="10"/>
      <c r="W3" s="10"/>
      <c r="X3" s="10"/>
      <c r="Y3" s="10"/>
      <c r="Z3" s="11"/>
    </row>
    <row r="4" spans="2:26" ht="15">
      <c r="B4" s="12" t="s">
        <v>11</v>
      </c>
      <c r="C4" s="13"/>
      <c r="D4" s="13"/>
      <c r="E4" s="13"/>
      <c r="F4" s="14"/>
      <c r="G4" s="15" t="s">
        <v>13</v>
      </c>
      <c r="H4" s="15"/>
      <c r="I4" s="15"/>
      <c r="J4" s="15"/>
      <c r="K4" s="15"/>
      <c r="L4" s="15"/>
      <c r="M4" s="15"/>
      <c r="N4" s="15"/>
      <c r="O4" s="15"/>
      <c r="P4" s="15"/>
      <c r="Q4" s="15"/>
      <c r="R4" s="15"/>
      <c r="S4" s="15"/>
      <c r="T4" s="15"/>
      <c r="U4" s="15"/>
      <c r="V4" s="15"/>
      <c r="W4" s="15"/>
      <c r="X4" s="15"/>
      <c r="Y4" s="15"/>
      <c r="Z4" s="16"/>
    </row>
    <row r="5" spans="2:26" ht="15">
      <c r="B5" s="12" t="s">
        <v>11</v>
      </c>
      <c r="C5" s="13"/>
      <c r="D5" s="13"/>
      <c r="E5" s="13"/>
      <c r="F5" s="14"/>
      <c r="G5" s="17" t="s">
        <v>12</v>
      </c>
      <c r="H5" s="17"/>
      <c r="I5" s="17"/>
      <c r="J5" s="17"/>
      <c r="K5" s="17"/>
      <c r="L5" s="17"/>
      <c r="M5" s="17"/>
      <c r="N5" s="17"/>
      <c r="O5" s="17"/>
      <c r="P5" s="17"/>
      <c r="Q5" s="17"/>
      <c r="R5" s="17"/>
      <c r="S5" s="17"/>
      <c r="T5" s="17"/>
      <c r="U5" s="17"/>
      <c r="V5" s="17"/>
      <c r="W5" s="17"/>
      <c r="X5" s="17"/>
      <c r="Y5" s="17"/>
      <c r="Z5" s="18"/>
    </row>
    <row r="6" spans="2:26" ht="15">
      <c r="B6" s="12" t="s">
        <v>11</v>
      </c>
      <c r="C6" s="13"/>
      <c r="D6" s="13"/>
      <c r="E6" s="13"/>
      <c r="F6" s="14"/>
      <c r="G6" s="15" t="s">
        <v>13</v>
      </c>
      <c r="H6" s="15"/>
      <c r="I6" s="15"/>
      <c r="J6" s="15"/>
      <c r="K6" s="15"/>
      <c r="L6" s="15"/>
      <c r="M6" s="15"/>
      <c r="N6" s="15"/>
      <c r="O6" s="15"/>
      <c r="P6" s="15"/>
      <c r="Q6" s="15"/>
      <c r="R6" s="15"/>
      <c r="S6" s="15"/>
      <c r="T6" s="15"/>
      <c r="U6" s="15"/>
      <c r="V6" s="15"/>
      <c r="W6" s="15"/>
      <c r="X6" s="15"/>
      <c r="Y6" s="15"/>
      <c r="Z6" s="16"/>
    </row>
    <row r="7" spans="2:26" ht="15">
      <c r="B7" s="12" t="s">
        <v>11</v>
      </c>
      <c r="C7" s="13"/>
      <c r="D7" s="13"/>
      <c r="E7" s="13"/>
      <c r="F7" s="14"/>
      <c r="G7" s="17" t="s">
        <v>12</v>
      </c>
      <c r="H7" s="17"/>
      <c r="I7" s="17"/>
      <c r="J7" s="17"/>
      <c r="K7" s="17"/>
      <c r="L7" s="17"/>
      <c r="M7" s="17"/>
      <c r="N7" s="17"/>
      <c r="O7" s="17"/>
      <c r="P7" s="17"/>
      <c r="Q7" s="17"/>
      <c r="R7" s="17"/>
      <c r="S7" s="17"/>
      <c r="T7" s="17"/>
      <c r="U7" s="17"/>
      <c r="V7" s="17"/>
      <c r="W7" s="17"/>
      <c r="X7" s="17"/>
      <c r="Y7" s="17"/>
      <c r="Z7" s="18"/>
    </row>
    <row r="8" spans="2:26" ht="15">
      <c r="B8" s="19" t="s">
        <v>11</v>
      </c>
      <c r="C8" s="20"/>
      <c r="D8" s="20"/>
      <c r="E8" s="20"/>
      <c r="F8" s="21"/>
      <c r="G8" s="22" t="s">
        <v>13</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Model</vt:lpstr>
      <vt:lpstr>Notes | Quant Analysis</vt:lpstr>
      <vt:lpstr>Product Lines</vt:lpstr>
      <vt:lpstr>Debt Schedule</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2025-12-25T11:19:43Z</dcterms:modified>
</cp:coreProperties>
</file>